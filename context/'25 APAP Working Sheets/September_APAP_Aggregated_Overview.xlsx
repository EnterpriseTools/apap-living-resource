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ckardish/Documents/APAP Working Sheets/"/>
    </mc:Choice>
  </mc:AlternateContent>
  <xr:revisionPtr revIDLastSave="0" documentId="13_ncr:1_{E91730D7-0FB0-FD4E-8D2F-AD27915F33D0}" xr6:coauthVersionLast="47" xr6:coauthVersionMax="47" xr10:uidLastSave="{00000000-0000-0000-0000-000000000000}"/>
  <bookViews>
    <workbookView xWindow="4160" yWindow="3360" windowWidth="26240" windowHeight="16360" xr2:uid="{00000000-000D-0000-FFFF-FFFF00000000}"/>
  </bookViews>
  <sheets>
    <sheet name="Detailed Data" sheetId="1" r:id="rId1"/>
    <sheet name="Sheet1" sheetId="8" r:id="rId2"/>
    <sheet name="Overview" sheetId="2" r:id="rId3"/>
    <sheet name="Majors Overview" sheetId="3" r:id="rId4"/>
    <sheet name="T10 Overview" sheetId="4" r:id="rId5"/>
    <sheet name="T7 Overview" sheetId="5" r:id="rId6"/>
    <sheet name="T10 Majors Overview" sheetId="6" r:id="rId7"/>
    <sheet name="T7 Majors Overview" sheetId="7" r:id="rId8"/>
  </sheets>
  <definedNames>
    <definedName name="_xlnm._FilterDatabase" localSheetId="0" hidden="1">'Detailed Data'!$A$1:$I$1146</definedName>
    <definedName name="_xlnm._FilterDatabase" localSheetId="1" hidden="1">Sheet1!$A$1:$I$29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5" i="1" l="1"/>
  <c r="H909" i="1"/>
  <c r="H704" i="1"/>
  <c r="H603" i="1"/>
  <c r="H1092" i="1"/>
  <c r="H894" i="1"/>
  <c r="H1077" i="1"/>
  <c r="H960" i="1"/>
  <c r="H629" i="1"/>
  <c r="H575" i="1"/>
  <c r="H594" i="1"/>
  <c r="H1126" i="1"/>
  <c r="H951" i="1"/>
  <c r="H616" i="1"/>
  <c r="H961" i="1"/>
  <c r="H1074" i="1"/>
  <c r="H584" i="1"/>
  <c r="H1090" i="1"/>
  <c r="H569" i="1"/>
  <c r="H685" i="1"/>
  <c r="H654" i="1"/>
  <c r="H138" i="1"/>
  <c r="H1052" i="1"/>
  <c r="H846" i="1"/>
  <c r="H753" i="1"/>
  <c r="H261" i="1"/>
  <c r="H806" i="1"/>
  <c r="H655" i="1"/>
  <c r="H1088" i="1"/>
  <c r="H389" i="1"/>
  <c r="H996" i="1"/>
  <c r="H1086" i="1"/>
  <c r="H1121" i="1"/>
  <c r="H331" i="1"/>
  <c r="H987" i="1"/>
  <c r="H427" i="1"/>
  <c r="H910" i="1"/>
  <c r="H738" i="1"/>
  <c r="H956" i="1"/>
  <c r="H522" i="1"/>
  <c r="H1085" i="1"/>
  <c r="H580" i="1"/>
  <c r="H467" i="1"/>
  <c r="H1111" i="1"/>
  <c r="H963" i="1"/>
  <c r="H1072" i="1"/>
  <c r="H986" i="1"/>
  <c r="H818" i="1"/>
  <c r="H128" i="1"/>
  <c r="H694" i="1"/>
  <c r="H350" i="1"/>
  <c r="H692" i="1"/>
  <c r="H912" i="1"/>
  <c r="H1033" i="1"/>
  <c r="H1130" i="1"/>
  <c r="H366" i="1"/>
  <c r="H833" i="1"/>
  <c r="H1119" i="1"/>
  <c r="H281" i="1"/>
  <c r="H882" i="1"/>
  <c r="H466" i="1"/>
  <c r="H618" i="1"/>
  <c r="H340" i="1"/>
  <c r="H798" i="1"/>
  <c r="H599" i="1"/>
  <c r="H861" i="1"/>
  <c r="H401" i="1"/>
  <c r="H526" i="1"/>
  <c r="H357" i="1"/>
  <c r="H1042" i="1"/>
  <c r="H162" i="1"/>
  <c r="H533" i="1"/>
  <c r="H646" i="1"/>
  <c r="H1125" i="1"/>
  <c r="H920" i="1"/>
  <c r="H1029" i="1"/>
  <c r="H412" i="1"/>
  <c r="H540" i="1"/>
  <c r="H556" i="1"/>
  <c r="H855" i="1"/>
  <c r="H1011" i="1"/>
  <c r="H1014" i="1"/>
  <c r="H158" i="1"/>
  <c r="H1058" i="1"/>
  <c r="H795" i="1"/>
  <c r="H527" i="1"/>
  <c r="H179" i="1"/>
  <c r="H297" i="1"/>
  <c r="H807" i="1"/>
  <c r="H1051" i="1"/>
  <c r="H978" i="1"/>
  <c r="H1124" i="1"/>
  <c r="H299" i="1"/>
  <c r="H681" i="1"/>
  <c r="H153" i="1"/>
  <c r="H269" i="1"/>
  <c r="H1112" i="1"/>
  <c r="H826" i="1"/>
  <c r="H1022" i="1"/>
  <c r="H206" i="1"/>
  <c r="H1026" i="1"/>
  <c r="H689" i="1"/>
  <c r="H482" i="1"/>
  <c r="H952" i="1"/>
  <c r="H315" i="1"/>
  <c r="H426" i="1"/>
  <c r="H802" i="1"/>
  <c r="H572" i="1"/>
  <c r="H1075" i="1"/>
  <c r="H221" i="1"/>
  <c r="H713" i="1"/>
  <c r="H592" i="1"/>
  <c r="H877" i="1"/>
  <c r="H1138" i="1"/>
  <c r="H983" i="1"/>
  <c r="H1116" i="1"/>
  <c r="H808" i="1"/>
  <c r="H1063" i="1"/>
  <c r="H686" i="1"/>
  <c r="H890" i="1"/>
  <c r="H995" i="1"/>
  <c r="H223" i="1"/>
  <c r="H683" i="1"/>
  <c r="H545" i="1"/>
  <c r="H484" i="1"/>
  <c r="H310" i="1"/>
  <c r="H886" i="1"/>
  <c r="H999" i="1"/>
  <c r="H622" i="1"/>
  <c r="H913" i="1"/>
  <c r="H1139" i="1"/>
  <c r="H775" i="1"/>
  <c r="H1061" i="1"/>
  <c r="H319" i="1"/>
  <c r="H941" i="1"/>
  <c r="H703" i="1"/>
  <c r="H984" i="1"/>
  <c r="H709" i="1"/>
  <c r="H1027" i="1"/>
  <c r="H904" i="1"/>
  <c r="H1082" i="1"/>
  <c r="H1046" i="1"/>
  <c r="H991" i="1"/>
  <c r="H950" i="1"/>
  <c r="H1069" i="1"/>
  <c r="H1129" i="1"/>
  <c r="H847" i="1"/>
  <c r="H497" i="1"/>
  <c r="H779" i="1"/>
  <c r="H404" i="1"/>
  <c r="H383" i="1"/>
  <c r="H160" i="1"/>
  <c r="H794" i="1"/>
  <c r="H968" i="1"/>
  <c r="H1039" i="1"/>
  <c r="H684" i="1"/>
  <c r="H461" i="1"/>
  <c r="H800" i="1"/>
  <c r="H1055" i="1"/>
  <c r="H957" i="1"/>
  <c r="H895" i="1"/>
  <c r="H687" i="1"/>
  <c r="H1103" i="1"/>
  <c r="H1019" i="1"/>
  <c r="H1066" i="1"/>
  <c r="H438" i="1"/>
  <c r="H129" i="1"/>
  <c r="H131" i="1"/>
  <c r="H723" i="1"/>
  <c r="H385" i="1"/>
  <c r="H932" i="1"/>
  <c r="H469" i="1"/>
  <c r="H604" i="1"/>
  <c r="H1068" i="1"/>
  <c r="H1100" i="1"/>
  <c r="H363" i="1"/>
  <c r="H669" i="1"/>
  <c r="H534" i="1"/>
  <c r="H573" i="1"/>
  <c r="H656" i="1"/>
  <c r="H832" i="1"/>
  <c r="H884" i="1"/>
  <c r="H750" i="1"/>
  <c r="H241" i="1"/>
  <c r="H375" i="1"/>
  <c r="H187" i="1"/>
  <c r="H1140" i="1"/>
  <c r="H1059" i="1"/>
  <c r="H969" i="1"/>
  <c r="H774" i="1"/>
  <c r="H1094" i="1"/>
  <c r="H876" i="1"/>
  <c r="H601" i="1"/>
  <c r="H770" i="1"/>
  <c r="H480" i="1"/>
  <c r="H765" i="1"/>
  <c r="H1002" i="1"/>
  <c r="H1030" i="1"/>
  <c r="H1102" i="1"/>
  <c r="H447" i="1"/>
  <c r="H348" i="1"/>
  <c r="H442" i="1"/>
  <c r="H430" i="1"/>
  <c r="H699" i="1"/>
  <c r="H258" i="1"/>
  <c r="H364" i="1"/>
  <c r="H159" i="1"/>
  <c r="H830" i="1"/>
  <c r="H763" i="1"/>
  <c r="H452" i="1"/>
  <c r="H856" i="1"/>
  <c r="H922" i="1"/>
  <c r="H1008" i="1"/>
  <c r="H728" i="1"/>
  <c r="H537" i="1"/>
  <c r="H541" i="1"/>
  <c r="H1098" i="1"/>
  <c r="H546" i="1"/>
  <c r="H1070" i="1"/>
  <c r="H148" i="1"/>
  <c r="H883" i="1"/>
  <c r="H938" i="1"/>
  <c r="H1009" i="1"/>
  <c r="H782" i="1"/>
  <c r="H842" i="1"/>
  <c r="H632" i="1"/>
  <c r="H990" i="1"/>
  <c r="H191" i="1"/>
  <c r="H648" i="1"/>
  <c r="H705" i="1"/>
  <c r="H899" i="1"/>
  <c r="H163" i="1"/>
  <c r="H994" i="1"/>
  <c r="H657" i="1"/>
  <c r="H1017" i="1"/>
  <c r="H1127" i="1"/>
  <c r="H607" i="1"/>
  <c r="H1133" i="1"/>
  <c r="H433" i="1"/>
  <c r="H874" i="1"/>
  <c r="H576" i="1"/>
  <c r="H333" i="1"/>
  <c r="H586" i="1"/>
  <c r="H557" i="1"/>
  <c r="H781" i="1"/>
  <c r="H871" i="1"/>
  <c r="H605" i="1"/>
  <c r="H788" i="1"/>
  <c r="H867" i="1"/>
  <c r="H857" i="1"/>
  <c r="H722" i="1"/>
  <c r="H677" i="1"/>
  <c r="H809" i="1"/>
  <c r="H456" i="1"/>
  <c r="H853" i="1"/>
  <c r="H844" i="1"/>
  <c r="H518" i="1"/>
  <c r="H626" i="1"/>
  <c r="H535" i="1"/>
  <c r="H929" i="1"/>
  <c r="H921" i="1"/>
  <c r="H948" i="1"/>
  <c r="H598" i="1"/>
  <c r="H1078" i="1"/>
  <c r="H997" i="1"/>
  <c r="H359" i="1"/>
  <c r="H175" i="1"/>
  <c r="H199" i="1"/>
  <c r="H1041" i="1"/>
  <c r="H1034" i="1"/>
  <c r="H777" i="1"/>
  <c r="H959" i="1"/>
  <c r="H658" i="1"/>
  <c r="H1109" i="1"/>
  <c r="H1104" i="1"/>
  <c r="H976" i="1"/>
  <c r="H845" i="1"/>
  <c r="H132" i="1"/>
  <c r="H197" i="1"/>
  <c r="H918" i="1"/>
  <c r="H1021" i="1"/>
  <c r="H146" i="1"/>
  <c r="H382" i="1"/>
  <c r="H740" i="1"/>
  <c r="H610" i="1"/>
  <c r="H334" i="1"/>
  <c r="H858" i="1"/>
  <c r="H327" i="1"/>
  <c r="H1097" i="1"/>
  <c r="H755" i="1"/>
  <c r="H155" i="1"/>
  <c r="H668" i="1"/>
  <c r="H306" i="1"/>
  <c r="H390" i="1"/>
  <c r="H1037" i="1"/>
  <c r="H823" i="1"/>
  <c r="H415" i="1"/>
  <c r="H1032" i="1"/>
  <c r="H848" i="1"/>
  <c r="H1003" i="1"/>
  <c r="H1117" i="1"/>
  <c r="H176" i="1"/>
  <c r="H869" i="1"/>
  <c r="H230" i="1"/>
  <c r="H235" i="1"/>
  <c r="H752" i="1"/>
  <c r="H993" i="1"/>
  <c r="H715" i="1"/>
  <c r="H204" i="1"/>
  <c r="H863" i="1"/>
  <c r="H953" i="1"/>
  <c r="H1053" i="1"/>
  <c r="H171" i="1"/>
  <c r="H259" i="1"/>
  <c r="H1136" i="1"/>
  <c r="H1134" i="1"/>
  <c r="H675" i="1"/>
  <c r="H1016" i="1"/>
  <c r="H631" i="1"/>
  <c r="H1056" i="1"/>
  <c r="H500" i="1"/>
  <c r="H615" i="1"/>
  <c r="H577" i="1"/>
  <c r="H998" i="1"/>
  <c r="H367" i="1"/>
  <c r="H370" i="1"/>
  <c r="H849" i="1"/>
  <c r="H491" i="1"/>
  <c r="H748" i="1"/>
  <c r="H822" i="1"/>
  <c r="H985" i="1"/>
  <c r="H641" i="1"/>
  <c r="H885" i="1"/>
  <c r="H453" i="1"/>
  <c r="H346" i="1"/>
  <c r="H529" i="1"/>
  <c r="H924" i="1"/>
  <c r="H323" i="1"/>
  <c r="H928" i="1"/>
  <c r="H177" i="1"/>
  <c r="H263" i="1"/>
  <c r="H280" i="1"/>
  <c r="H457" i="1"/>
  <c r="H1049" i="1"/>
  <c r="H679" i="1"/>
  <c r="H732" i="1"/>
  <c r="H1131" i="1"/>
  <c r="H789" i="1"/>
  <c r="H1143" i="1"/>
  <c r="H322" i="1"/>
  <c r="H568" i="1"/>
  <c r="H450" i="1"/>
  <c r="H733" i="1"/>
  <c r="H326" i="1"/>
  <c r="H530" i="1"/>
  <c r="H504" i="1"/>
  <c r="H143" i="1"/>
  <c r="H517" i="1"/>
  <c r="H304" i="1"/>
  <c r="H184" i="1"/>
  <c r="H398" i="1"/>
  <c r="H225" i="1"/>
  <c r="H865" i="1"/>
  <c r="H761" i="1"/>
  <c r="H119" i="1"/>
  <c r="H791" i="1"/>
  <c r="H911" i="1"/>
  <c r="H509" i="1"/>
  <c r="H1145" i="1"/>
  <c r="H231" i="1"/>
  <c r="H937" i="1"/>
  <c r="H840" i="1"/>
  <c r="H659" i="1"/>
  <c r="H564" i="1"/>
  <c r="H423" i="1"/>
  <c r="H507" i="1"/>
  <c r="H559" i="1"/>
  <c r="H936" i="1"/>
  <c r="H695" i="1"/>
  <c r="H690" i="1"/>
  <c r="H720" i="1"/>
  <c r="H637" i="1"/>
  <c r="H908" i="1"/>
  <c r="H1007" i="1"/>
  <c r="H406" i="1"/>
  <c r="H286" i="1"/>
  <c r="H172" i="1"/>
  <c r="H741" i="1"/>
  <c r="H1028" i="1"/>
  <c r="H166" i="1"/>
  <c r="H312" i="1"/>
  <c r="H819" i="1"/>
  <c r="H422" i="1"/>
  <c r="H841" i="1"/>
  <c r="H630" i="1"/>
  <c r="H481" i="1"/>
  <c r="H402" i="1"/>
  <c r="H475" i="1"/>
  <c r="H946" i="1"/>
  <c r="H1146" i="1"/>
  <c r="H746" i="1"/>
  <c r="H236" i="1"/>
  <c r="H133" i="1"/>
  <c r="H384" i="1"/>
  <c r="H428" i="1"/>
  <c r="H602" i="1"/>
  <c r="H725" i="1"/>
  <c r="H1040" i="1"/>
  <c r="H419" i="1"/>
  <c r="H116" i="1"/>
  <c r="H271" i="1"/>
  <c r="H660" i="1"/>
  <c r="H336" i="1"/>
  <c r="H958" i="1"/>
  <c r="H887" i="1"/>
  <c r="H249" i="1"/>
  <c r="H773" i="1"/>
  <c r="H325" i="1"/>
  <c r="H354" i="1"/>
  <c r="H247" i="1"/>
  <c r="H268" i="1"/>
  <c r="H1013" i="1"/>
  <c r="H1054" i="1"/>
  <c r="H878" i="1"/>
  <c r="H554" i="1"/>
  <c r="H772" i="1"/>
  <c r="H696" i="1"/>
  <c r="H183" i="1"/>
  <c r="H272" i="1"/>
  <c r="H1048" i="1"/>
  <c r="H667" i="1"/>
  <c r="H278" i="1"/>
  <c r="H574" i="1"/>
  <c r="H196" i="1"/>
  <c r="H463" i="1"/>
  <c r="H240" i="1"/>
  <c r="H260" i="1"/>
  <c r="H628" i="1"/>
  <c r="H567" i="1"/>
  <c r="H403" i="1"/>
  <c r="H314" i="1"/>
  <c r="H799" i="1"/>
  <c r="H524" i="1"/>
  <c r="H203" i="1"/>
  <c r="H917" i="1"/>
  <c r="H514" i="1"/>
  <c r="H451" i="1"/>
  <c r="H443" i="1"/>
  <c r="H729" i="1"/>
  <c r="H167" i="1"/>
  <c r="H472" i="1"/>
  <c r="H678" i="1"/>
  <c r="H851" i="1"/>
  <c r="H542" i="1"/>
  <c r="H1128" i="1"/>
  <c r="H714" i="1"/>
  <c r="H636" i="1"/>
  <c r="H749" i="1"/>
  <c r="H410" i="1"/>
  <c r="H647" i="1"/>
  <c r="H1038" i="1"/>
  <c r="H309" i="1"/>
  <c r="H227" i="1"/>
  <c r="H627" i="1"/>
  <c r="H837" i="1"/>
  <c r="H232" i="1"/>
  <c r="H875" i="1"/>
  <c r="H368" i="1"/>
  <c r="H511" i="1"/>
  <c r="H805" i="1"/>
  <c r="H642" i="1"/>
  <c r="H1118" i="1"/>
  <c r="H764" i="1"/>
  <c r="H892" i="1"/>
  <c r="H1083" i="1"/>
  <c r="H623" i="1"/>
  <c r="H1108" i="1"/>
  <c r="H582" i="1"/>
  <c r="H479" i="1"/>
  <c r="H495" i="1"/>
  <c r="H973" i="1"/>
  <c r="H478" i="1"/>
  <c r="H473" i="1"/>
  <c r="H470" i="1"/>
  <c r="H1106" i="1"/>
  <c r="H144" i="1"/>
  <c r="H940" i="1"/>
  <c r="H234" i="1"/>
  <c r="H784" i="1"/>
  <c r="H942" i="1"/>
  <c r="H708" i="1"/>
  <c r="H154" i="1"/>
  <c r="H947" i="1"/>
  <c r="H608" i="1"/>
  <c r="H888" i="1"/>
  <c r="H661" i="1"/>
  <c r="H543" i="1"/>
  <c r="H834" i="1"/>
  <c r="H233" i="1"/>
  <c r="H215" i="1"/>
  <c r="H726" i="1"/>
  <c r="H1113" i="1"/>
  <c r="H387" i="1"/>
  <c r="H400" i="1"/>
  <c r="H126" i="1"/>
  <c r="H563" i="1"/>
  <c r="H1062" i="1"/>
  <c r="H881" i="1"/>
  <c r="H1114" i="1"/>
  <c r="H716" i="1"/>
  <c r="H1025" i="1"/>
  <c r="H293" i="1"/>
  <c r="H117" i="1"/>
  <c r="H324" i="1"/>
  <c r="H222" i="1"/>
  <c r="H619" i="1"/>
  <c r="H285" i="1"/>
  <c r="H612" i="1"/>
  <c r="H219" i="1"/>
  <c r="H611" i="1"/>
  <c r="H778" i="1"/>
  <c r="H638" i="1"/>
  <c r="H521" i="1"/>
  <c r="H905" i="1"/>
  <c r="H416" i="1"/>
  <c r="H405" i="1"/>
  <c r="H1006" i="1"/>
  <c r="H670" i="1"/>
  <c r="H600" i="1"/>
  <c r="H801" i="1"/>
  <c r="H836" i="1"/>
  <c r="H213" i="1"/>
  <c r="H617" i="1"/>
  <c r="H536" i="1"/>
  <c r="H796" i="1"/>
  <c r="H238" i="1"/>
  <c r="H519" i="1"/>
  <c r="H906" i="1"/>
  <c r="H140" i="1"/>
  <c r="H493" i="1"/>
  <c r="H429" i="1"/>
  <c r="H264" i="1"/>
  <c r="H332" i="1"/>
  <c r="H1050" i="1"/>
  <c r="H843" i="1"/>
  <c r="H120" i="1"/>
  <c r="H727" i="1"/>
  <c r="H300" i="1"/>
  <c r="H239" i="1"/>
  <c r="H444" i="1"/>
  <c r="H464" i="1"/>
  <c r="H311" i="1"/>
  <c r="H135" i="1"/>
  <c r="H1087" i="1"/>
  <c r="H552" i="1"/>
  <c r="H1091" i="1"/>
  <c r="H965" i="1"/>
  <c r="H544" i="1"/>
  <c r="H335" i="1"/>
  <c r="H979" i="1"/>
  <c r="H1093" i="1"/>
  <c r="H352" i="1"/>
  <c r="H210" i="1"/>
  <c r="H189" i="1"/>
  <c r="H614" i="1"/>
  <c r="H565" i="1"/>
  <c r="H1001" i="1"/>
  <c r="H139" i="1"/>
  <c r="H930" i="1"/>
  <c r="H380" i="1"/>
  <c r="H328" i="1"/>
  <c r="H345" i="1"/>
  <c r="H288" i="1"/>
  <c r="H1067" i="1"/>
  <c r="H501" i="1"/>
  <c r="H593" i="1"/>
  <c r="H634" i="1"/>
  <c r="H923" i="1"/>
  <c r="H943" i="1"/>
  <c r="H827" i="1"/>
  <c r="H562" i="1"/>
  <c r="H914" i="1"/>
  <c r="H503" i="1"/>
  <c r="H944" i="1"/>
  <c r="H766" i="1"/>
  <c r="H449" i="1"/>
  <c r="H682" i="1"/>
  <c r="H229" i="1"/>
  <c r="H330" i="1"/>
  <c r="H362" i="1"/>
  <c r="H1120" i="1"/>
  <c r="H292" i="1"/>
  <c r="H512" i="1"/>
  <c r="H532" i="1"/>
  <c r="H1105" i="1"/>
  <c r="H156" i="1"/>
  <c r="H130" i="1"/>
  <c r="H408" i="1"/>
  <c r="H289" i="1"/>
  <c r="H756" i="1"/>
  <c r="H298" i="1"/>
  <c r="H173" i="1"/>
  <c r="H1015" i="1"/>
  <c r="H1095" i="1"/>
  <c r="H371" i="1"/>
  <c r="H783" i="1"/>
  <c r="H201" i="1"/>
  <c r="H369" i="1"/>
  <c r="H515" i="1"/>
  <c r="H458" i="1"/>
  <c r="H872" i="1"/>
  <c r="H780" i="1"/>
  <c r="H317" i="1"/>
  <c r="H454" i="1"/>
  <c r="H640" i="1"/>
  <c r="H437" i="1"/>
  <c r="H425" i="1"/>
  <c r="H907" i="1"/>
  <c r="H124" i="1"/>
  <c r="H149" i="1"/>
  <c r="H587" i="1"/>
  <c r="H817" i="1"/>
  <c r="H502" i="1"/>
  <c r="H588" i="1"/>
  <c r="H635" i="1"/>
  <c r="H1010" i="1"/>
  <c r="H388" i="1"/>
  <c r="H492" i="1"/>
  <c r="H831" i="1"/>
  <c r="H980" i="1"/>
  <c r="H547" i="1"/>
  <c r="H643" i="1"/>
  <c r="H339" i="1"/>
  <c r="H673" i="1"/>
  <c r="H852" i="1"/>
  <c r="H578" i="1"/>
  <c r="H485" i="1"/>
  <c r="H893" i="1"/>
  <c r="H581" i="1"/>
  <c r="H1035" i="1"/>
  <c r="H561" i="1"/>
  <c r="H1142" i="1"/>
  <c r="H649" i="1"/>
  <c r="H407" i="1"/>
  <c r="H262" i="1"/>
  <c r="H804" i="1"/>
  <c r="H265" i="1"/>
  <c r="H391" i="1"/>
  <c r="H926" i="1"/>
  <c r="H257" i="1"/>
  <c r="H399" i="1"/>
  <c r="H1060" i="1"/>
  <c r="H919" i="1"/>
  <c r="H717" i="1"/>
  <c r="H192" i="1"/>
  <c r="H476" i="1"/>
  <c r="H935" i="1"/>
  <c r="H246" i="1"/>
  <c r="H214" i="1"/>
  <c r="H413" i="1"/>
  <c r="H758" i="1"/>
  <c r="H505" i="1"/>
  <c r="H242" i="1"/>
  <c r="H421" i="1"/>
  <c r="H321" i="1"/>
  <c r="H838" i="1"/>
  <c r="H585" i="1"/>
  <c r="H142" i="1"/>
  <c r="H934" i="1"/>
  <c r="H1141" i="1"/>
  <c r="H250" i="1"/>
  <c r="H486" i="1"/>
  <c r="H1122" i="1"/>
  <c r="H810" i="1"/>
  <c r="H431" i="1"/>
  <c r="H977" i="1"/>
  <c r="H308" i="1"/>
  <c r="H516" i="1"/>
  <c r="H744" i="1"/>
  <c r="H468" i="1"/>
  <c r="H644" i="1"/>
  <c r="H925" i="1"/>
  <c r="H839" i="1"/>
  <c r="H420" i="1"/>
  <c r="H702" i="1"/>
  <c r="H811" i="1"/>
  <c r="H115" i="1"/>
  <c r="H508" i="1"/>
  <c r="H624" i="1"/>
  <c r="H698" i="1"/>
  <c r="H760" i="1"/>
  <c r="H224" i="1"/>
  <c r="H793" i="1"/>
  <c r="H828" i="1"/>
  <c r="H296" i="1"/>
  <c r="H358" i="1"/>
  <c r="H205" i="1"/>
  <c r="H202" i="1"/>
  <c r="H676" i="1"/>
  <c r="H954" i="1"/>
  <c r="H650" i="1"/>
  <c r="H662" i="1"/>
  <c r="H355" i="1"/>
  <c r="H276" i="1"/>
  <c r="H825" i="1"/>
  <c r="H360" i="1"/>
  <c r="H597" i="1"/>
  <c r="H353" i="1"/>
  <c r="H243" i="1"/>
  <c r="H674" i="1"/>
  <c r="H1023" i="1"/>
  <c r="H651" i="1"/>
  <c r="H757" i="1"/>
  <c r="H555" i="1"/>
  <c r="H933" i="1"/>
  <c r="H441" i="1"/>
  <c r="H653" i="1"/>
  <c r="H868" i="1"/>
  <c r="H365" i="1"/>
  <c r="H707" i="1"/>
  <c r="H591" i="1"/>
  <c r="H786" i="1"/>
  <c r="H768" i="1"/>
  <c r="H180" i="1"/>
  <c r="H448" i="1"/>
  <c r="H859" i="1"/>
  <c r="H891" i="1"/>
  <c r="H220" i="1"/>
  <c r="H118" i="1"/>
  <c r="H866" i="1"/>
  <c r="H190" i="1"/>
  <c r="H121" i="1"/>
  <c r="H531" i="1"/>
  <c r="H295" i="1"/>
  <c r="H471" i="1"/>
  <c r="H376" i="1"/>
  <c r="H351" i="1"/>
  <c r="H251" i="1"/>
  <c r="H307" i="1"/>
  <c r="H228" i="1"/>
  <c r="H523" i="1"/>
  <c r="H939" i="1"/>
  <c r="H1064" i="1"/>
  <c r="H1000" i="1"/>
  <c r="H803" i="1"/>
  <c r="H490" i="1"/>
  <c r="H528" i="1"/>
  <c r="H734" i="1"/>
  <c r="H301" i="1"/>
  <c r="H338" i="1"/>
  <c r="H164" i="1"/>
  <c r="H341" i="1"/>
  <c r="H344" i="1"/>
  <c r="H989" i="1"/>
  <c r="H252" i="1"/>
  <c r="H620" i="1"/>
  <c r="H553" i="1"/>
  <c r="H440" i="1"/>
  <c r="H645" i="1"/>
  <c r="H680" i="1"/>
  <c r="H566" i="1"/>
  <c r="H1144" i="1"/>
  <c r="H266" i="1"/>
  <c r="H313" i="1"/>
  <c r="H710" i="1"/>
  <c r="H193" i="1"/>
  <c r="H735" i="1"/>
  <c r="H374" i="1"/>
  <c r="H195" i="1"/>
  <c r="H377" i="1"/>
  <c r="H900" i="1"/>
  <c r="H494" i="1"/>
  <c r="H137" i="1"/>
  <c r="H270" i="1"/>
  <c r="H151" i="1"/>
  <c r="H769" i="1"/>
  <c r="H916" i="1"/>
  <c r="H590" i="1"/>
  <c r="H975" i="1"/>
  <c r="H751" i="1"/>
  <c r="H898" i="1"/>
  <c r="H609" i="1"/>
  <c r="H974" i="1"/>
  <c r="H165" i="1"/>
  <c r="H1024" i="1"/>
  <c r="H697" i="1"/>
  <c r="H548" i="1"/>
  <c r="H459" i="1"/>
  <c r="H903" i="1"/>
  <c r="H439" i="1"/>
  <c r="H862" i="1"/>
  <c r="H754" i="1"/>
  <c r="H134" i="1"/>
  <c r="H424" i="1"/>
  <c r="H595" i="1"/>
  <c r="H188" i="1"/>
  <c r="H320" i="1"/>
  <c r="H170" i="1"/>
  <c r="H719" i="1"/>
  <c r="H178" i="1"/>
  <c r="H168" i="1"/>
  <c r="H349" i="1"/>
  <c r="H971" i="1"/>
  <c r="H663" i="1"/>
  <c r="H414" i="1"/>
  <c r="H513" i="1"/>
  <c r="H207" i="1"/>
  <c r="H880" i="1"/>
  <c r="H378" i="1"/>
  <c r="H1135" i="1"/>
  <c r="H821" i="1"/>
  <c r="H496" i="1"/>
  <c r="H123" i="1"/>
  <c r="H283" i="1"/>
  <c r="H901" i="1"/>
  <c r="H127" i="1"/>
  <c r="H337" i="1"/>
  <c r="H896" i="1"/>
  <c r="H570" i="1"/>
  <c r="H226" i="1"/>
  <c r="H411" i="1"/>
  <c r="H316" i="1"/>
  <c r="H157" i="1"/>
  <c r="H711" i="1"/>
  <c r="H318" i="1"/>
  <c r="H237" i="1"/>
  <c r="H549" i="1"/>
  <c r="H169" i="1"/>
  <c r="H835" i="1"/>
  <c r="H445" i="1"/>
  <c r="H211" i="1"/>
  <c r="H897" i="1"/>
  <c r="H487" i="1"/>
  <c r="H200" i="1"/>
  <c r="H664" i="1"/>
  <c r="H409" i="1"/>
  <c r="H824" i="1"/>
  <c r="H550" i="1"/>
  <c r="H625" i="1"/>
  <c r="H972" i="1"/>
  <c r="H539" i="1"/>
  <c r="H347" i="1"/>
  <c r="H342" i="1"/>
  <c r="H589" i="1"/>
  <c r="H671" i="1"/>
  <c r="H583" i="1"/>
  <c r="H1036" i="1"/>
  <c r="H392" i="1"/>
  <c r="H736" i="1"/>
  <c r="H477" i="1"/>
  <c r="H393" i="1"/>
  <c r="H209" i="1"/>
  <c r="H1018" i="1"/>
  <c r="H666" i="1"/>
  <c r="H488" i="1"/>
  <c r="H217" i="1"/>
  <c r="H962" i="1"/>
  <c r="H381" i="1"/>
  <c r="H248" i="1"/>
  <c r="H790" i="1"/>
  <c r="H302" i="1"/>
  <c r="H397" i="1"/>
  <c r="H931" i="1"/>
  <c r="H198" i="1"/>
  <c r="H864" i="1"/>
  <c r="H510" i="1"/>
  <c r="H712" i="1"/>
  <c r="H343" i="1"/>
  <c r="H879" i="1"/>
  <c r="H244" i="1"/>
  <c r="H372" i="1"/>
  <c r="H747" i="1"/>
  <c r="H525" i="1"/>
  <c r="H551" i="1"/>
  <c r="H483" i="1"/>
  <c r="H465" i="1"/>
  <c r="H284" i="1"/>
  <c r="H489" i="1"/>
  <c r="H981" i="1"/>
  <c r="H1005" i="1"/>
  <c r="H394" i="1"/>
  <c r="H303" i="1"/>
  <c r="H161" i="1"/>
  <c r="H395" i="1"/>
  <c r="H787" i="1"/>
  <c r="H273" i="1"/>
  <c r="H672" i="1"/>
  <c r="H386" i="1"/>
  <c r="H889" i="1"/>
  <c r="H122" i="1"/>
  <c r="H373" i="1"/>
  <c r="H767" i="1"/>
  <c r="H1047" i="1"/>
  <c r="H812" i="1"/>
  <c r="H759" i="1"/>
  <c r="H1079" i="1"/>
  <c r="H436" i="1"/>
  <c r="H396" i="1"/>
  <c r="H218" i="1"/>
  <c r="H2" i="1"/>
  <c r="H3" i="1"/>
  <c r="H1071" i="1"/>
  <c r="H652" i="1"/>
  <c r="H730" i="1"/>
  <c r="H4" i="1"/>
  <c r="H418" i="1"/>
  <c r="H737" i="1"/>
  <c r="H693" i="1"/>
  <c r="H1099" i="1"/>
  <c r="H5" i="1"/>
  <c r="H724" i="1"/>
  <c r="H6" i="1"/>
  <c r="H379" i="1"/>
  <c r="H1132" i="1"/>
  <c r="H949" i="1"/>
  <c r="H739" i="1"/>
  <c r="H274" i="1"/>
  <c r="H7" i="1"/>
  <c r="H8" i="1"/>
  <c r="H9" i="1"/>
  <c r="H174" i="1"/>
  <c r="H1044" i="1"/>
  <c r="H1137" i="1"/>
  <c r="H506" i="1"/>
  <c r="H785" i="1"/>
  <c r="H10" i="1"/>
  <c r="H287" i="1"/>
  <c r="H762" i="1"/>
  <c r="H745" i="1"/>
  <c r="H1123" i="1"/>
  <c r="H927" i="1"/>
  <c r="H11" i="1"/>
  <c r="H1115" i="1"/>
  <c r="H870" i="1"/>
  <c r="H633" i="1"/>
  <c r="H329" i="1"/>
  <c r="H538" i="1"/>
  <c r="H12" i="1"/>
  <c r="H1101" i="1"/>
  <c r="H854" i="1"/>
  <c r="H813" i="1"/>
  <c r="H136" i="1"/>
  <c r="H435" i="1"/>
  <c r="H474" i="1"/>
  <c r="H1081" i="1"/>
  <c r="H1004" i="1"/>
  <c r="H455" i="1"/>
  <c r="H13" i="1"/>
  <c r="H275" i="1"/>
  <c r="H945" i="1"/>
  <c r="H186" i="1"/>
  <c r="H731" i="1"/>
  <c r="H282" i="1"/>
  <c r="H14" i="1"/>
  <c r="H15" i="1"/>
  <c r="H776" i="1"/>
  <c r="H432" i="1"/>
  <c r="H596" i="1"/>
  <c r="H16" i="1"/>
  <c r="H992" i="1"/>
  <c r="H1096" i="1"/>
  <c r="H1057" i="1"/>
  <c r="H814" i="1"/>
  <c r="H873" i="1"/>
  <c r="H665" i="1"/>
  <c r="H1107" i="1"/>
  <c r="H17" i="1"/>
  <c r="H18" i="1"/>
  <c r="H966" i="1"/>
  <c r="H815" i="1"/>
  <c r="H141" i="1"/>
  <c r="H1020" i="1"/>
  <c r="H1076" i="1"/>
  <c r="H19" i="1"/>
  <c r="H305" i="1"/>
  <c r="H253" i="1"/>
  <c r="H194" i="1"/>
  <c r="H792" i="1"/>
  <c r="H706" i="1"/>
  <c r="H1084" i="1"/>
  <c r="H988" i="1"/>
  <c r="H850" i="1"/>
  <c r="H216" i="1"/>
  <c r="H1089" i="1"/>
  <c r="H20" i="1"/>
  <c r="H21" i="1"/>
  <c r="H356" i="1"/>
  <c r="H22" i="1"/>
  <c r="H23" i="1"/>
  <c r="H700" i="1"/>
  <c r="H24" i="1"/>
  <c r="H771" i="1"/>
  <c r="H520" i="1"/>
  <c r="H277" i="1"/>
  <c r="H25" i="1"/>
  <c r="H26" i="1"/>
  <c r="H621" i="1"/>
  <c r="H964" i="1"/>
  <c r="H742" i="1"/>
  <c r="H721" i="1"/>
  <c r="H571" i="1"/>
  <c r="H860" i="1"/>
  <c r="H254" i="1"/>
  <c r="H27" i="1"/>
  <c r="H28" i="1"/>
  <c r="H29" i="1"/>
  <c r="H30" i="1"/>
  <c r="H31" i="1"/>
  <c r="H32" i="1"/>
  <c r="H33" i="1"/>
  <c r="H498" i="1"/>
  <c r="H267" i="1"/>
  <c r="H1110" i="1"/>
  <c r="H417" i="1"/>
  <c r="H34" i="1"/>
  <c r="H255" i="1"/>
  <c r="H35" i="1"/>
  <c r="H36" i="1"/>
  <c r="H37" i="1"/>
  <c r="H1012" i="1"/>
  <c r="H1031" i="1"/>
  <c r="H279" i="1"/>
  <c r="H902" i="1"/>
  <c r="H38" i="1"/>
  <c r="H39" i="1"/>
  <c r="H40" i="1"/>
  <c r="H829" i="1"/>
  <c r="H967" i="1"/>
  <c r="H820" i="1"/>
  <c r="H579" i="1"/>
  <c r="H558" i="1"/>
  <c r="H955" i="1"/>
  <c r="H1045" i="1"/>
  <c r="H41" i="1"/>
  <c r="H42" i="1"/>
  <c r="H43" i="1"/>
  <c r="H701" i="1"/>
  <c r="H245" i="1"/>
  <c r="H691" i="1"/>
  <c r="H44" i="1"/>
  <c r="H688" i="1"/>
  <c r="H970" i="1"/>
  <c r="H45" i="1"/>
  <c r="H46" i="1"/>
  <c r="H47" i="1"/>
  <c r="H48" i="1"/>
  <c r="H152" i="1"/>
  <c r="H212" i="1"/>
  <c r="H460" i="1"/>
  <c r="H361" i="1"/>
  <c r="H434" i="1"/>
  <c r="H1065" i="1"/>
  <c r="H1080" i="1"/>
  <c r="H446" i="1"/>
  <c r="H150" i="1"/>
  <c r="H797" i="1"/>
  <c r="H816" i="1"/>
  <c r="H49" i="1"/>
  <c r="H50" i="1"/>
  <c r="H51" i="1"/>
  <c r="H52" i="1"/>
  <c r="H294" i="1"/>
  <c r="H613" i="1"/>
  <c r="H208" i="1"/>
  <c r="H606" i="1"/>
  <c r="H182" i="1"/>
  <c r="H53" i="1"/>
  <c r="H499" i="1"/>
  <c r="H462" i="1"/>
  <c r="H181" i="1"/>
  <c r="H54" i="1"/>
  <c r="H290" i="1"/>
  <c r="H55" i="1"/>
  <c r="H982" i="1"/>
  <c r="H291" i="1"/>
  <c r="H56" i="1"/>
  <c r="H639" i="1"/>
  <c r="H1073" i="1"/>
  <c r="H743" i="1"/>
  <c r="H718" i="1"/>
  <c r="H57" i="1"/>
  <c r="H58" i="1"/>
  <c r="H125" i="1"/>
  <c r="H145" i="1"/>
  <c r="H915" i="1"/>
  <c r="H256" i="1"/>
  <c r="H59" i="1"/>
  <c r="H1043" i="1"/>
  <c r="H147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560" i="1"/>
  <c r="C32" i="8"/>
  <c r="C31" i="8"/>
</calcChain>
</file>

<file path=xl/sharedStrings.xml><?xml version="1.0" encoding="utf-8"?>
<sst xmlns="http://schemas.openxmlformats.org/spreadsheetml/2006/main" count="2418" uniqueCount="1201">
  <si>
    <t>AgencySlug</t>
  </si>
  <si>
    <t>AgencyName</t>
  </si>
  <si>
    <t>Agency Size</t>
  </si>
  <si>
    <t>CEW Type</t>
  </si>
  <si>
    <t>SIM Completions</t>
  </si>
  <si>
    <t>Non-SIM Completions</t>
  </si>
  <si>
    <t>SIM Per Person</t>
  </si>
  <si>
    <t>Westminster Police Dept. - CO</t>
  </si>
  <si>
    <t>CET ONLY</t>
  </si>
  <si>
    <t>Northglenn Police Department - CO</t>
  </si>
  <si>
    <t>Grand Junction Police Dept. - CO</t>
  </si>
  <si>
    <t>Black Diamond Police Dept. - WA</t>
  </si>
  <si>
    <t>Franklin Police Department - TN</t>
  </si>
  <si>
    <t>Las Cruces Police Dept. - NM</t>
  </si>
  <si>
    <t>Seal Beach Police Dept. - CA</t>
  </si>
  <si>
    <t>Hall County Sheriff's Office - GA</t>
  </si>
  <si>
    <t>Chino Valley Police Dept. - AZ</t>
  </si>
  <si>
    <t>Lyon County Sheriff's Office - NV</t>
  </si>
  <si>
    <t>Macomb County Sheriff's Office - MI</t>
  </si>
  <si>
    <t>Charlottesville Police Dept. - VA</t>
  </si>
  <si>
    <t>Tallahassee Police Dept.-FL</t>
  </si>
  <si>
    <t>El Cajon Police Dept. - CA</t>
  </si>
  <si>
    <t>Kodiak Police Dept. - AK</t>
  </si>
  <si>
    <t>Takoma Park Police Dept. - MD</t>
  </si>
  <si>
    <t>Summit County Sheriff's Office - CO</t>
  </si>
  <si>
    <t>Division of Capitol Police - VA</t>
  </si>
  <si>
    <t>Sarasota Police Dept - FL</t>
  </si>
  <si>
    <t>Sanford Police Dept - FL</t>
  </si>
  <si>
    <t>Troutman Police Dept. - NC</t>
  </si>
  <si>
    <t>Whitfield County Sheriff's Office - GA</t>
  </si>
  <si>
    <t>Corson County Sheriff's Office - SD</t>
  </si>
  <si>
    <t>Mohave County Sheriff's Office - AZ</t>
  </si>
  <si>
    <t>Concord Police Department - NC</t>
  </si>
  <si>
    <t>Grapevine Police Dept. - TX</t>
  </si>
  <si>
    <t>San Diego County Probation Department - CA</t>
  </si>
  <si>
    <t>Covington Police Dept. - VA</t>
  </si>
  <si>
    <t>Orono Police Dept. - ME</t>
  </si>
  <si>
    <t>Lindenwold Police Dept - NJ</t>
  </si>
  <si>
    <t>Toledo Public Schools PD - OH</t>
  </si>
  <si>
    <t>Bladensburg Police Dept. - MD</t>
  </si>
  <si>
    <t>Dallas College Police Dept.  - TX</t>
  </si>
  <si>
    <t>Manteca Police Dept. - CA</t>
  </si>
  <si>
    <t>CET ONLY (LEGACY)</t>
  </si>
  <si>
    <t>Boulder Police Dept. - CO</t>
  </si>
  <si>
    <t>Cabarrus County Sheriff's Office - NC</t>
  </si>
  <si>
    <t>Bakersfield Police Dept. - CA</t>
  </si>
  <si>
    <t>Austin Police Dept. - TX</t>
  </si>
  <si>
    <t>Chesapeake Police Dept. - VA</t>
  </si>
  <si>
    <t>T7</t>
  </si>
  <si>
    <t>Bensalem Township Police Dept. - PA</t>
  </si>
  <si>
    <t>Baltimore City Police Dept - MD</t>
  </si>
  <si>
    <t>Torrance Police Dept. - CA</t>
  </si>
  <si>
    <t>Aurora Police Dept. - CO</t>
  </si>
  <si>
    <t>Montgomery County Sheriff's Dept. - AL</t>
  </si>
  <si>
    <t>Largo Police Dept. - FL</t>
  </si>
  <si>
    <t>Bristol Police Dept. - CT</t>
  </si>
  <si>
    <t>Greenburgh Police Dept. - NY</t>
  </si>
  <si>
    <t>Schaumburg Police Dept. - IL</t>
  </si>
  <si>
    <t>Seattle Police Dept. - WA</t>
  </si>
  <si>
    <t>Washington County Sheriff's Office - OR</t>
  </si>
  <si>
    <t>Reno Police Dept. - NV</t>
  </si>
  <si>
    <t>Washoe County Sheriff's Office - NV</t>
  </si>
  <si>
    <t>Jonesboro Police Department - AR</t>
  </si>
  <si>
    <t>Pima County Sheriff's Office - AZ</t>
  </si>
  <si>
    <t>Pittsburg Police Dept - CA</t>
  </si>
  <si>
    <t>Loveland Police Dept. - CO</t>
  </si>
  <si>
    <t>Charlotte - Mecklenburg Police Dept. - NC</t>
  </si>
  <si>
    <t>Marysville Police Dept. - WA</t>
  </si>
  <si>
    <t>Alameda County Sheriff's Office - CA</t>
  </si>
  <si>
    <t>Lincoln Police Department - NE</t>
  </si>
  <si>
    <t>Flagstaff Police Dept. - AZ</t>
  </si>
  <si>
    <t>Clarkston Police Dept. - WA</t>
  </si>
  <si>
    <t>Fullerton Police Dept. - CA</t>
  </si>
  <si>
    <t>Faribault Police Department - MN</t>
  </si>
  <si>
    <t>Providence Police Dept. - RI</t>
  </si>
  <si>
    <t>Schenectady City Police Dept - NY</t>
  </si>
  <si>
    <t>Orange County Sheriff's Office - NY</t>
  </si>
  <si>
    <t>Cape Girardeau Police Dept. - MO</t>
  </si>
  <si>
    <t>Port Hueneme Police Dept. - CA</t>
  </si>
  <si>
    <t>Dothan Police Department - AL</t>
  </si>
  <si>
    <t>Lee's Summit Police Department - MO</t>
  </si>
  <si>
    <t>Arapahoe County Sheriff's Office - CO</t>
  </si>
  <si>
    <t>Las Vegas Police Dept. - NM</t>
  </si>
  <si>
    <t>Woodburn Police Dept. - OR</t>
  </si>
  <si>
    <t>Colerain Township Police Dept. - OH</t>
  </si>
  <si>
    <t>Melbourne Police Dept - FL</t>
  </si>
  <si>
    <t>Peoria Police Dept. - AZ</t>
  </si>
  <si>
    <t>Multnomah County Sheriff's Office - OR</t>
  </si>
  <si>
    <t>Turlock Police Dept. - CA</t>
  </si>
  <si>
    <t>Tuttle Police Department - OK</t>
  </si>
  <si>
    <t>St. Joseph County Police Dept. - IN</t>
  </si>
  <si>
    <t>Temple Police Dept. - TX</t>
  </si>
  <si>
    <t>Metro Transit Police Dept - MN</t>
  </si>
  <si>
    <t>Savage Police Dept. - MN</t>
  </si>
  <si>
    <t>Polk County Sheriff's Office - OR</t>
  </si>
  <si>
    <t>Madison County Sheriff's Office - AL</t>
  </si>
  <si>
    <t>East Ridge Police Dept - TN</t>
  </si>
  <si>
    <t>White County Sheriff's Dept. - TN</t>
  </si>
  <si>
    <t>West Allis Police Dept. - WI</t>
  </si>
  <si>
    <t>Greenfield Police Dept. - CA</t>
  </si>
  <si>
    <t>Monterey Police Dept. - CA</t>
  </si>
  <si>
    <t>Winfield Police Dept. - MO</t>
  </si>
  <si>
    <t>Clarksville Police Dept. - TN</t>
  </si>
  <si>
    <t>Metropolitan Transportation Authority PD - NY</t>
  </si>
  <si>
    <t>Buncombe County Sheriff's Office - NC</t>
  </si>
  <si>
    <t>Maryland Transportation Authority Police - MD</t>
  </si>
  <si>
    <t>Sumter County Sheriff - FL</t>
  </si>
  <si>
    <t>Kennesaw State University Police Dept. - GA</t>
  </si>
  <si>
    <t>Renton Police Dept. - WA</t>
  </si>
  <si>
    <t>Castle Rock Police Department - CO</t>
  </si>
  <si>
    <t>Minooka Police Department - IL</t>
  </si>
  <si>
    <t>Kern County Sheriff's Office - CA</t>
  </si>
  <si>
    <t>Southern Connecticut State University Police Dept</t>
  </si>
  <si>
    <t>Palm Beach County Sheriff's Office - FL</t>
  </si>
  <si>
    <t>Michigan State University Police Dept.</t>
  </si>
  <si>
    <t>Greenwood Police Dept - IN</t>
  </si>
  <si>
    <t>Placer County Sheriff's Office - CA</t>
  </si>
  <si>
    <t>Grand Prairie Police Dept. - TX</t>
  </si>
  <si>
    <t>Hagerstown Police Dept. - MD</t>
  </si>
  <si>
    <t>Lansing Police Department - MI</t>
  </si>
  <si>
    <t>University of California Police - Davis</t>
  </si>
  <si>
    <t>Citrus County Sheriff's Office - FL</t>
  </si>
  <si>
    <t>Buena Park Police Dept. - CA</t>
  </si>
  <si>
    <t>Ann Arbor Police Dept. - MI</t>
  </si>
  <si>
    <t>Hays County Sheriff's Office- TX</t>
  </si>
  <si>
    <t>Gilroy Police Department - CA</t>
  </si>
  <si>
    <t>New Rochelle Police Dept. - NY</t>
  </si>
  <si>
    <t>Milton Police Dept. - DE</t>
  </si>
  <si>
    <t>West Bountiful Police Dept. - UT</t>
  </si>
  <si>
    <t>Dutchess County Sheriff's Office - NY</t>
  </si>
  <si>
    <t>Auburn Police Dept. - WA</t>
  </si>
  <si>
    <t>University of Florida Police Dept - FL</t>
  </si>
  <si>
    <t>Oak Point Dept. of Public Safety - TX</t>
  </si>
  <si>
    <t>Kyle Police Dept. - TX</t>
  </si>
  <si>
    <t>Lawton Police Dept. - OK</t>
  </si>
  <si>
    <t>Ponca City Police Department-OK</t>
  </si>
  <si>
    <t>Roseburg Police Dept. - OR</t>
  </si>
  <si>
    <t>Williamsburg Police Dept. - OH</t>
  </si>
  <si>
    <t>Tulsa Police Dept. - OK</t>
  </si>
  <si>
    <t>Anaheim Police Dept. - CA</t>
  </si>
  <si>
    <t>Douglas County Sheriff's Office - GA</t>
  </si>
  <si>
    <t>Pitt County Sheriff's Office - NC</t>
  </si>
  <si>
    <t>Allentown Police Department - PA</t>
  </si>
  <si>
    <t>SYRACUSE POLICE DEPT.  - NY</t>
  </si>
  <si>
    <t>Milan Police Dept. - MI</t>
  </si>
  <si>
    <t>Knox County Sheriff's Office - TN</t>
  </si>
  <si>
    <t>Cheatham County Sheriff's Office - TN</t>
  </si>
  <si>
    <t>Columbus Police Dept - OH</t>
  </si>
  <si>
    <t>Hays County Constable Pct. 1 - TX</t>
  </si>
  <si>
    <t>Clayton County Sheriff's Office - GA</t>
  </si>
  <si>
    <t>Waukesha County Sheriff-WI</t>
  </si>
  <si>
    <t>Upper Chichester Township Police Dept. - PA</t>
  </si>
  <si>
    <t>Indianola Police Dept. - IA</t>
  </si>
  <si>
    <t>Crescent City Police Dept. - CA</t>
  </si>
  <si>
    <t>Savannah Police - GA</t>
  </si>
  <si>
    <t>Daytona Beach PD - FL</t>
  </si>
  <si>
    <t>Pasco County Board of County Commissioners (Corrections Department)</t>
  </si>
  <si>
    <t>College Station Police Dept. - TX</t>
  </si>
  <si>
    <t>Lakeland Police Dept. - FL</t>
  </si>
  <si>
    <t>Fishers Police Dept. - IN</t>
  </si>
  <si>
    <t>Visalia Police Dept. - CA</t>
  </si>
  <si>
    <t>Alexandria Police Dept. - LA</t>
  </si>
  <si>
    <t>TRIBAL-CHEROKEE INDIAN PD (EBCI)-NC</t>
  </si>
  <si>
    <t>Horry County Police Dept - SC</t>
  </si>
  <si>
    <t>Columbus Police Department - GA</t>
  </si>
  <si>
    <t>Delaware Capitol Police Dept. - DE</t>
  </si>
  <si>
    <t>Jenkintown Police Dept - PA</t>
  </si>
  <si>
    <t>Otter Tail County Sheriff's Office - MN</t>
  </si>
  <si>
    <t>Zephyrhills Police Dept. - FL</t>
  </si>
  <si>
    <t>Jackson County Sheriff's - MS</t>
  </si>
  <si>
    <t>TRIBAL-SEMINOLE PD-FL</t>
  </si>
  <si>
    <t>Onondaga County Sheriff's Office - NY</t>
  </si>
  <si>
    <t>Albany Police Dept. - NY</t>
  </si>
  <si>
    <t>Maine State Police - ME</t>
  </si>
  <si>
    <t>Bexar County Sheriff's Office - TX</t>
  </si>
  <si>
    <t>Seminole County Sheriffs Office - GA</t>
  </si>
  <si>
    <t>Seward Police Dept. - AK</t>
  </si>
  <si>
    <t>Hennepin County Medical Center Security</t>
  </si>
  <si>
    <t>Elkhart County Sheriff's Office - IN</t>
  </si>
  <si>
    <t>Worcester County Sheriff's Office - MD</t>
  </si>
  <si>
    <t>Grand Rapids Police Dept. - MI</t>
  </si>
  <si>
    <t>Hamilton County Sheriff's Office - TN</t>
  </si>
  <si>
    <t>Lawrence County Sheriff's Office - IL</t>
  </si>
  <si>
    <t>Ilion Village Police Dept. - NY</t>
  </si>
  <si>
    <t>Portland Police Department - ME</t>
  </si>
  <si>
    <t>Dover Police Dept. - DE</t>
  </si>
  <si>
    <t>North Catasauqua Police Dept - PA</t>
  </si>
  <si>
    <t>Davie Police Dept - FL</t>
  </si>
  <si>
    <t>Milford Police Dept - MA</t>
  </si>
  <si>
    <t>New Bedford Police Department - MA</t>
  </si>
  <si>
    <t>Silt Police Department - CO</t>
  </si>
  <si>
    <t>Fairfield Police Department - CT</t>
  </si>
  <si>
    <t>Columbia Police Department - SC</t>
  </si>
  <si>
    <t>Worcester Police Department - MA</t>
  </si>
  <si>
    <t>Centre County Correctional Facility - PA</t>
  </si>
  <si>
    <t>Suffolk County Sheriff's Office - NY</t>
  </si>
  <si>
    <t>Franklin Parish Sheriff's Office - LA</t>
  </si>
  <si>
    <t>Los Angeles World Airports (LAWA) - CA</t>
  </si>
  <si>
    <t>Nash County Sheriff's Office - NC</t>
  </si>
  <si>
    <t>Floyd County Sheriff's Office - GA</t>
  </si>
  <si>
    <t>Utica City Police Dept. - NY</t>
  </si>
  <si>
    <t>Evanston Police Dept. - IL</t>
  </si>
  <si>
    <t>Burr Ridge Police Dept. - IL</t>
  </si>
  <si>
    <t>Palatine Police Department - IL</t>
  </si>
  <si>
    <t>Oneida County Sheriff's Office - NY</t>
  </si>
  <si>
    <t>University Of Kentucky Police Department - KY</t>
  </si>
  <si>
    <t>Cortez Police Department - CO</t>
  </si>
  <si>
    <t>Washtenaw County Sheriff's Office - MI</t>
  </si>
  <si>
    <t>West Baton Rouge Parish Sheriff's Office - LA</t>
  </si>
  <si>
    <t>Ft Smith Police Dept / Fort Smith Police Dept. - AR</t>
  </si>
  <si>
    <t>Douglasville Police Dept. - GA</t>
  </si>
  <si>
    <t>Pine Bluff Police Dept. - AR</t>
  </si>
  <si>
    <t>Richmond Police Dept. - VA</t>
  </si>
  <si>
    <t>New Braunfels Police Dept. - TX</t>
  </si>
  <si>
    <t>Kanawha County Sheriff's Office - WV</t>
  </si>
  <si>
    <t>Gilford Police Dept. - NH</t>
  </si>
  <si>
    <t>Revere Police Dept. - MA</t>
  </si>
  <si>
    <t>Network Sanford Health Security Department - Fargo - ND</t>
  </si>
  <si>
    <t>Lawrence Police Dept. - KS</t>
  </si>
  <si>
    <t>Northampton Dept. of Corrections - PA</t>
  </si>
  <si>
    <t>Kenner Police Dept. - LA</t>
  </si>
  <si>
    <t>Berkley Police Dept. - MI</t>
  </si>
  <si>
    <t>Central CT State University Police Dept. - CT</t>
  </si>
  <si>
    <t>Ferguson Township Police Dept. - PA</t>
  </si>
  <si>
    <t>Laconia Police Dept. - NH</t>
  </si>
  <si>
    <t>Leominster Police Dept - MA</t>
  </si>
  <si>
    <t>Gary Police Dept. - IN</t>
  </si>
  <si>
    <t>Lancaster City Police Dept. - PA</t>
  </si>
  <si>
    <t>Stickney Police Dept. - IL</t>
  </si>
  <si>
    <t>Hillsboro Beach Police Dept.-FL</t>
  </si>
  <si>
    <t>Anniston Police Dept. - AL</t>
  </si>
  <si>
    <t>Aberdeen Police Dept. - MD</t>
  </si>
  <si>
    <t>Baker Police Dept. - LA</t>
  </si>
  <si>
    <t>Mission Police Dept - KS</t>
  </si>
  <si>
    <t>Washoe County Dept of Alternative Sentencing - NV</t>
  </si>
  <si>
    <t>Amherst Police Dept. - NY</t>
  </si>
  <si>
    <t>Florida Highway Patrol - FL</t>
  </si>
  <si>
    <t>DEPT. OF HOMELESS SERVICES POLICE DEPT. - NY</t>
  </si>
  <si>
    <t>Elizabethton Police Dept. - TN</t>
  </si>
  <si>
    <t>Rincon Police Dept. - GA</t>
  </si>
  <si>
    <t>Hutchinson Regional Medical Center - KS</t>
  </si>
  <si>
    <t>TRIBAL-AK-CHIN PD-AZ</t>
  </si>
  <si>
    <t>North Little Rock Police Dept. - AR</t>
  </si>
  <si>
    <t>Ocean City Police Dept - MD</t>
  </si>
  <si>
    <t>Oswego County Probation - NY</t>
  </si>
  <si>
    <t>Medford Township Police Dept - NJ</t>
  </si>
  <si>
    <t>Carbondale Police Dept. -IL</t>
  </si>
  <si>
    <t>Washington Metro Area Transit</t>
  </si>
  <si>
    <t>Portsmouth Police Department - VA</t>
  </si>
  <si>
    <t>Parkview Health Department of Public Safety - IN</t>
  </si>
  <si>
    <t>TRIBAL-MICCOSUKEE PD-FL</t>
  </si>
  <si>
    <t>Wichita County Sheriff's Office - TX</t>
  </si>
  <si>
    <t>Soperton Police Dept. - GA</t>
  </si>
  <si>
    <t>MNCP POLICE - Montgomery County Division</t>
  </si>
  <si>
    <t>Foley Police Dept. - AL</t>
  </si>
  <si>
    <t>Bossier City Police Dept. - LA</t>
  </si>
  <si>
    <t>University of Maryland Baltimore - MD</t>
  </si>
  <si>
    <t>Maryland Transit Administration Police - MD</t>
  </si>
  <si>
    <t>Erie County Sheriff‚Äôs Office - NY</t>
  </si>
  <si>
    <t>Broome County Sheriff's Office - NY</t>
  </si>
  <si>
    <t>McCracken County Sheriff's Office - KY</t>
  </si>
  <si>
    <t>Annapolis Police Dept. - MD</t>
  </si>
  <si>
    <t>Santa Clara County Sheriff's Office - CA</t>
  </si>
  <si>
    <t>Decorah Police Dept. - IA</t>
  </si>
  <si>
    <t>Alexandria Police Dept. - VA</t>
  </si>
  <si>
    <t>Durham County Sheriff's Office - NC</t>
  </si>
  <si>
    <t>Forest Heights Police Dept. - MD</t>
  </si>
  <si>
    <t>Allegheny County Police Dept. - PA</t>
  </si>
  <si>
    <t>Pennsauken Police Dept. - NJ</t>
  </si>
  <si>
    <t>Hays County Constable Pct. 5 - TX</t>
  </si>
  <si>
    <t>Georgia Tech Police Department - GA</t>
  </si>
  <si>
    <t>Syracuse University DPS - NY</t>
  </si>
  <si>
    <t>Montgomery County Sheriff's Office - PA</t>
  </si>
  <si>
    <t>Duck Police Dept. - NC</t>
  </si>
  <si>
    <t>Lincoln University Police Dept. - PA</t>
  </si>
  <si>
    <t>Cobb County School Police Dept. - GA</t>
  </si>
  <si>
    <t>Sumter Police Department - SC</t>
  </si>
  <si>
    <t>Clemson Police Dept. - SC</t>
  </si>
  <si>
    <t>Nutley Police Dept. - NJ</t>
  </si>
  <si>
    <t>Westfield Police Dept. - NJ</t>
  </si>
  <si>
    <t>Rutgers University PD - New Brunswick - NJ</t>
  </si>
  <si>
    <t>Holmdel Police Dept. - NJ</t>
  </si>
  <si>
    <t>Fayette County Sheriff's Office - KY</t>
  </si>
  <si>
    <t>Verona Police Dept. - NJ</t>
  </si>
  <si>
    <t>Union Township Police Dept. - NJ</t>
  </si>
  <si>
    <t>Fairfax County Sheriff's Office - VA</t>
  </si>
  <si>
    <t>Co-Op City Police - NY</t>
  </si>
  <si>
    <t>Hays County Constable Pct. 4 - TX</t>
  </si>
  <si>
    <t>Mississippi Alcoholic Beverage Control - MS</t>
  </si>
  <si>
    <t>Lincoln University Police Department - MO</t>
  </si>
  <si>
    <t>Nevada Legislative Police</t>
  </si>
  <si>
    <t>Northern Lancaster County Regional Police Dept-PA</t>
  </si>
  <si>
    <t>Scituate Police Dept - MA</t>
  </si>
  <si>
    <t>QuikTrip Corporation</t>
  </si>
  <si>
    <t>Philadelphia County Sheriff's Office - PA</t>
  </si>
  <si>
    <t>McCook County Sheriff's Office - SD</t>
  </si>
  <si>
    <t>Central Valley Medical Center - UT</t>
  </si>
  <si>
    <t>Springdale Police Department - UT</t>
  </si>
  <si>
    <t>University of Rhode Island Police Dept.</t>
  </si>
  <si>
    <t>University of Nebraska Police Department - NE</t>
  </si>
  <si>
    <t>Empire Police Department - CO</t>
  </si>
  <si>
    <t>Shippingport Police Dept - PA</t>
  </si>
  <si>
    <t>Anna Police Dept. - TX</t>
  </si>
  <si>
    <t>Erie School District Police Dept - PA</t>
  </si>
  <si>
    <t>West Lampeter Township Police Dept - PA</t>
  </si>
  <si>
    <t>Harris-Stowe State University Public Safety - MO</t>
  </si>
  <si>
    <t>Herriman City Police Department - UT</t>
  </si>
  <si>
    <t>Calhan Police Department - CO</t>
  </si>
  <si>
    <t>Florida Department of Financial Services</t>
  </si>
  <si>
    <t>Virginia Beach Sheriff's Office - VA</t>
  </si>
  <si>
    <t>Network Legacy Health System</t>
  </si>
  <si>
    <t>Shelby County Sheriff's Office - TN</t>
  </si>
  <si>
    <t>Columbia County School District Police - GA</t>
  </si>
  <si>
    <t>San Joaquin County Sheriff's Office - CUSTODY</t>
  </si>
  <si>
    <t>Renown Health - NV</t>
  </si>
  <si>
    <t>Treasure Island Casino- Security</t>
  </si>
  <si>
    <t>Network - Providence (North Division)</t>
  </si>
  <si>
    <t>Children's Healthcare of Atlanta</t>
  </si>
  <si>
    <t>Children's Minnesota</t>
  </si>
  <si>
    <t>Central Montana Protection Services</t>
  </si>
  <si>
    <t>Villanova Department of Public Safety - PA</t>
  </si>
  <si>
    <t>Network McLaren Flint Hospital- MI</t>
  </si>
  <si>
    <t>Endeavor Health</t>
  </si>
  <si>
    <t>Providence - South Division</t>
  </si>
  <si>
    <t>Columbia County Prison - PA</t>
  </si>
  <si>
    <t>CA0115412</t>
  </si>
  <si>
    <t>Royal Canadian Mounted Police HQ -CAN</t>
  </si>
  <si>
    <t>CA0115430</t>
  </si>
  <si>
    <t>Toronto Police Service</t>
  </si>
  <si>
    <t>CA0115432</t>
  </si>
  <si>
    <t>Alberta Sheriff's Branch</t>
  </si>
  <si>
    <t>CA0115551</t>
  </si>
  <si>
    <t>Guelph Police Service</t>
  </si>
  <si>
    <t>CA0115794</t>
  </si>
  <si>
    <t>RCMP - E-Division Store -CAN</t>
  </si>
  <si>
    <t>CA0115795</t>
  </si>
  <si>
    <t>RCMP - Depot Division Store &amp; Training Academy</t>
  </si>
  <si>
    <t>CA0115862</t>
  </si>
  <si>
    <t>Victoria Police Department</t>
  </si>
  <si>
    <t>Oregon Health and Science University Police Dept.</t>
  </si>
  <si>
    <t>T10</t>
  </si>
  <si>
    <t>Culver City Police Department - CA</t>
  </si>
  <si>
    <t>Glendale Police Dept. - AZ</t>
  </si>
  <si>
    <t>San Bernardino County Sheriff's Dept. - CA</t>
  </si>
  <si>
    <t>Chandler Police Dept. - AZ</t>
  </si>
  <si>
    <t>Mesa Police Department</t>
  </si>
  <si>
    <t>East Point Police Dept. - GA</t>
  </si>
  <si>
    <t>Tampa Police Department - FL</t>
  </si>
  <si>
    <t>San Mateo Police Dept. - CA</t>
  </si>
  <si>
    <t>Corona Police Dept. - CA</t>
  </si>
  <si>
    <t>Pueblo Police Department - CO</t>
  </si>
  <si>
    <t>Amarillo Police Dept - TX</t>
  </si>
  <si>
    <t>Homestead Police Dept.- FL</t>
  </si>
  <si>
    <t>Fort Worth Police Department - TX</t>
  </si>
  <si>
    <t>University of Utah Police Dept. - UT</t>
  </si>
  <si>
    <t>Atlanta Police Dept. - GA</t>
  </si>
  <si>
    <t>Commerce City Police Department - CO</t>
  </si>
  <si>
    <t>Phoenix Police Dept. - AZ</t>
  </si>
  <si>
    <t>LOUISIANA STATE PENITENTIARY</t>
  </si>
  <si>
    <t>Waushara County Sheriff's Office  - WI</t>
  </si>
  <si>
    <t>Laredo Police Dept. - TX</t>
  </si>
  <si>
    <t>Springfield Police Department - MO</t>
  </si>
  <si>
    <t>Los Angeles County Sheriff's Dept. - HQ</t>
  </si>
  <si>
    <t>Oregon State Police - OR</t>
  </si>
  <si>
    <t>Tomball Police Dept. - TX</t>
  </si>
  <si>
    <t>City of Rock Hill Police Dept - SC</t>
  </si>
  <si>
    <t>Fresno Police Dept. - CA</t>
  </si>
  <si>
    <t>Ontario Police Dept. - CA</t>
  </si>
  <si>
    <t>Farmers Branch Police Dept. - TX</t>
  </si>
  <si>
    <t>Hamilton County Sheriff's Office - OH</t>
  </si>
  <si>
    <t>Port of Seattle Police Dept. - WA</t>
  </si>
  <si>
    <t>Eagan Police Dept. - MN</t>
  </si>
  <si>
    <t>Titusville Police Dept - FL</t>
  </si>
  <si>
    <t>TRIBAL-STILLAGUAMISH PD-WA</t>
  </si>
  <si>
    <t>Appleton Police Department - WI</t>
  </si>
  <si>
    <t>Elk Grove Village Police Dept. - IL</t>
  </si>
  <si>
    <t>Mobile Police Department - AL</t>
  </si>
  <si>
    <t>Olmsted County Sheriff's Office - MN</t>
  </si>
  <si>
    <t>Kent Police Dept. - WA</t>
  </si>
  <si>
    <t>Columbia County Sheriff's Office - FL</t>
  </si>
  <si>
    <t>Terrebonne Parish Sheriff's Office - LA</t>
  </si>
  <si>
    <t>Iberville Parish Sheriff's Office - LA</t>
  </si>
  <si>
    <t>Westminster Police Dept. - CA</t>
  </si>
  <si>
    <t>Iberia Parish Sheriff's Office - LA</t>
  </si>
  <si>
    <t>Placentia Police Dept. - CA</t>
  </si>
  <si>
    <t>Tucson Police Dept - AZ</t>
  </si>
  <si>
    <t>El Centro Police Dept. - CA</t>
  </si>
  <si>
    <t>Santa Fe Police Dept. - NM</t>
  </si>
  <si>
    <t>Oak Brook Police Dept. - IL</t>
  </si>
  <si>
    <t>Fairfax County Police Dept. - VA</t>
  </si>
  <si>
    <t>Henrico County Police Dept. - VA</t>
  </si>
  <si>
    <t>Hurricane Police Department - UT</t>
  </si>
  <si>
    <t>Santa Monica Police Dept. - CA</t>
  </si>
  <si>
    <t>Chautauqua County Sheriff's Office - NY</t>
  </si>
  <si>
    <t>Meriden Police Department - CT</t>
  </si>
  <si>
    <t>Seminole County Sheriff's Office - FL</t>
  </si>
  <si>
    <t>Rosemont Department of Public Safety - IL</t>
  </si>
  <si>
    <t>Margate Police Dept. - FL</t>
  </si>
  <si>
    <t>Brunswick Police Department - GA</t>
  </si>
  <si>
    <t>Columbia Heights Police Department - MN</t>
  </si>
  <si>
    <t>Wilmer Police Dept. - TX</t>
  </si>
  <si>
    <t>Washington State Patrol - District 1- WA</t>
  </si>
  <si>
    <t>Long Beach Police Dept. - CA</t>
  </si>
  <si>
    <t>Asotin County Sheriff's Office-WA</t>
  </si>
  <si>
    <t>Lincoln County Sheriff's Office - NC</t>
  </si>
  <si>
    <t>Mount Pleasant Police Dept. - SC</t>
  </si>
  <si>
    <t>Kearney Police Dept. - NE</t>
  </si>
  <si>
    <t>Pasco Sheriff's Office - FL</t>
  </si>
  <si>
    <t>Firestone Police Department - CO</t>
  </si>
  <si>
    <t>Criminal Justice Training Commission - WA</t>
  </si>
  <si>
    <t>Marin County Sheriff's Office - CA</t>
  </si>
  <si>
    <t>Coral Springs Police Dept. - FL</t>
  </si>
  <si>
    <t>Arizona Department of Corrections - AZ</t>
  </si>
  <si>
    <t>New Mexico Dept. of Public Safety - NM</t>
  </si>
  <si>
    <t>Spokane County Sheriff's Office - WA</t>
  </si>
  <si>
    <t>Houston Metro Transit Authority - TX</t>
  </si>
  <si>
    <t>East Baton Rouge Parish Sheriff's Dept. - LA</t>
  </si>
  <si>
    <t>Memphis Police Department - TN</t>
  </si>
  <si>
    <t>Louisville Metro Police Department</t>
  </si>
  <si>
    <t>Rialto Police Dept. - CA</t>
  </si>
  <si>
    <t>Winthrop Police Dept - MN</t>
  </si>
  <si>
    <t>Lower Merion Twp Police Dept. - PA</t>
  </si>
  <si>
    <t>Ada County Sheriff's Office - ID</t>
  </si>
  <si>
    <t>Meridian Police Dept. - ID</t>
  </si>
  <si>
    <t>Wooster Police Dept -OH</t>
  </si>
  <si>
    <t>East Bay Regional Park Police Dept. - CA</t>
  </si>
  <si>
    <t>Adams County Sheriff's Office - CO</t>
  </si>
  <si>
    <t>Metro Nashville Police Department -TN</t>
  </si>
  <si>
    <t>Williamson County Sheriff's Office - TN</t>
  </si>
  <si>
    <t>Frederick Police Department - CO</t>
  </si>
  <si>
    <t>Waukesha Police Dept. - WI</t>
  </si>
  <si>
    <t>Greenbelt Police Dept. - MD</t>
  </si>
  <si>
    <t>Newport News Police Dept. - VA</t>
  </si>
  <si>
    <t>Saint Paul Park Police Dept. - MN</t>
  </si>
  <si>
    <t>Pueblo County Sheriff's Office - CO</t>
  </si>
  <si>
    <t>Clarksville Police Dept - IN</t>
  </si>
  <si>
    <t>Tell City Police Dept - IN</t>
  </si>
  <si>
    <t>Jefferson County Sheriff's Office - WA</t>
  </si>
  <si>
    <t>Medina Police Dept. - MN</t>
  </si>
  <si>
    <t>Niceville Police Dept. - FL</t>
  </si>
  <si>
    <t>Minnesota State Patrol - MN</t>
  </si>
  <si>
    <t>Merced County Sheriff's Dept. - HQ</t>
  </si>
  <si>
    <t>San Joaquin County Sheriff's Office - CA</t>
  </si>
  <si>
    <t>Evans Police Department - CO</t>
  </si>
  <si>
    <t>Shawnee County Sheriff's Office - KS</t>
  </si>
  <si>
    <t>Tuscaloosa County Sheriff's Office - AL</t>
  </si>
  <si>
    <t>Englewood Police Department - OH</t>
  </si>
  <si>
    <t>Charlotte County Sheriff's Office - FL</t>
  </si>
  <si>
    <t>Blount County Sheriffs Office - TN</t>
  </si>
  <si>
    <t>HILLSBOROUGH CO SHERIFF'S OFFICE - FL</t>
  </si>
  <si>
    <t>Sevier County Sheriff's Office - TN</t>
  </si>
  <si>
    <t>Maryland State Police - MD</t>
  </si>
  <si>
    <t>Collier County Sheriff's Office - FL</t>
  </si>
  <si>
    <t>San Leandro Police Dept. - CA</t>
  </si>
  <si>
    <t>Biloxi Police Dept. - MS</t>
  </si>
  <si>
    <t>Natrona County Sheriff's Office - WY</t>
  </si>
  <si>
    <t>Travis County Sheriff's Office - TX</t>
  </si>
  <si>
    <t>Belton Police Department - MO</t>
  </si>
  <si>
    <t>Omaha Police Dept - NE</t>
  </si>
  <si>
    <t>Sarpy County Sheriff's - NE</t>
  </si>
  <si>
    <t>Littleton Police Department - CO</t>
  </si>
  <si>
    <t>Westfield Police Department - IN</t>
  </si>
  <si>
    <t>Monroe Police Dept. - MI</t>
  </si>
  <si>
    <t>Hendry County Sheriff's Office - FL</t>
  </si>
  <si>
    <t>Springfield Police Department - IL</t>
  </si>
  <si>
    <t>Coloma Township Police Department - MI</t>
  </si>
  <si>
    <t>North Kansas City Police Dept. - MO</t>
  </si>
  <si>
    <t>Madison County Sheriffs Office - IL</t>
  </si>
  <si>
    <t>North Carolina State Highway Patrol - NC</t>
  </si>
  <si>
    <t>Yavapai County Sheriff's Office - AZ</t>
  </si>
  <si>
    <t>Hialeah Police Dept. - FL</t>
  </si>
  <si>
    <t>Indian River County Sheriff's Office - FL</t>
  </si>
  <si>
    <t>Kissimmee Police Dept. - FL</t>
  </si>
  <si>
    <t>Orlando Police Dept. - FL</t>
  </si>
  <si>
    <t>Greenville Police Dept. - SC</t>
  </si>
  <si>
    <t>Los Banos Police Dept. - CA</t>
  </si>
  <si>
    <t>Osceola County Sheriff's Office - FL</t>
  </si>
  <si>
    <t>Clay County Sheriff's Office - FL</t>
  </si>
  <si>
    <t>Seguin Police Dept. - TX</t>
  </si>
  <si>
    <t>Arlington Police Dept. - VA</t>
  </si>
  <si>
    <t>North Miami Police Dept - FL</t>
  </si>
  <si>
    <t>KANABEC CO SHERIFF'S OFFICE-MN</t>
  </si>
  <si>
    <t>Surfside Police Dept.- FL</t>
  </si>
  <si>
    <t>Kalamazoo County Sheriff's Office - MI</t>
  </si>
  <si>
    <t>Naperville Police Dept. - IL</t>
  </si>
  <si>
    <t>Central Marin Police Authority - CA</t>
  </si>
  <si>
    <t>Calcasieu Parish Sheriff's Office - LA</t>
  </si>
  <si>
    <t>Duluth Police Dept. - MN</t>
  </si>
  <si>
    <t>Richmond Police Dept. - CA</t>
  </si>
  <si>
    <t>Broomfield Police Dept. - CO</t>
  </si>
  <si>
    <t>Surprise Police Dept. - AZ</t>
  </si>
  <si>
    <t>Northfield Township Police Department - MI</t>
  </si>
  <si>
    <t>Kalamazoo Department of Public Safety - MI</t>
  </si>
  <si>
    <t>Cincinnati Police Dept. - OH</t>
  </si>
  <si>
    <t>University of Colorado - Boulder - CO</t>
  </si>
  <si>
    <t>Orange County Sheriff's Office - FL</t>
  </si>
  <si>
    <t>Mauston Police Department - WI</t>
  </si>
  <si>
    <t>Skagit County Sheriff's Office - WA</t>
  </si>
  <si>
    <t>Vallejo Police Dept. - CA</t>
  </si>
  <si>
    <t>Downers Grove Police Dept. - IL</t>
  </si>
  <si>
    <t>Manatee County Sheriff's Office - FL</t>
  </si>
  <si>
    <t>Oswego City Police Dept. - NY</t>
  </si>
  <si>
    <t>Bethalto Police Dept. - IL</t>
  </si>
  <si>
    <t>Middletown Police Dept. - CT</t>
  </si>
  <si>
    <t>Lake Hamilton Police Dept.- FL</t>
  </si>
  <si>
    <t>Miami Beach Police Dept. - FL</t>
  </si>
  <si>
    <t>Richmond Hill Police Dept. - GA</t>
  </si>
  <si>
    <t>Texas Christian University Police Dept. - TX</t>
  </si>
  <si>
    <t>Maumee Police Division - OH</t>
  </si>
  <si>
    <t>Florence County Sheriff's Office - SC</t>
  </si>
  <si>
    <t>Springfield Police Department - MN</t>
  </si>
  <si>
    <t>Volusia Sheriff's Office - FL</t>
  </si>
  <si>
    <t>Tracy Police Dept. - CA</t>
  </si>
  <si>
    <t>Germantown Police Department - WI</t>
  </si>
  <si>
    <t>Downingtown Police Dept - PA</t>
  </si>
  <si>
    <t>San Marcos Police Dept. - TX</t>
  </si>
  <si>
    <t>California State University Police - Monterey Bay</t>
  </si>
  <si>
    <t>Sleepy Eye Police Dept - MN</t>
  </si>
  <si>
    <t>Wilson Police Department - NC</t>
  </si>
  <si>
    <t>Daly City Police Department - CA</t>
  </si>
  <si>
    <t>Hammond Police Dept. - IN</t>
  </si>
  <si>
    <t>Flagler County Sheriff's Office - FL</t>
  </si>
  <si>
    <t>Joliet Police Dept. - IL</t>
  </si>
  <si>
    <t>Rensselaer County Sheriff's Office - NY</t>
  </si>
  <si>
    <t>Shreveport Police Dept - LA</t>
  </si>
  <si>
    <t>Do√±a Ana County Sheriff's Dept. - NM</t>
  </si>
  <si>
    <t>Mountain View Police Dept. - CA</t>
  </si>
  <si>
    <t>Farmington Hills Police Dept. - MI</t>
  </si>
  <si>
    <t>New Britain Police Department - CT</t>
  </si>
  <si>
    <t>Albany County Sheriff's Office - NY</t>
  </si>
  <si>
    <t>Perham Police Dept. - MN</t>
  </si>
  <si>
    <t>Walton County Sheriff's Office - GA</t>
  </si>
  <si>
    <t>Durango Police Department - CO</t>
  </si>
  <si>
    <t>RED BAY POLICE DEPT. - AL</t>
  </si>
  <si>
    <t>Lake County Sheriff's Office - FL</t>
  </si>
  <si>
    <t>Leander Police Dept. - TX</t>
  </si>
  <si>
    <t>Chaffee County Sheriff's Office - CO</t>
  </si>
  <si>
    <t>St. Charles Police Dept. - MO</t>
  </si>
  <si>
    <t>Kauai Police Dept. - HI</t>
  </si>
  <si>
    <t>Jefferson Parish Sheriff's Office - LA</t>
  </si>
  <si>
    <t>Shiloh Police Dept. - IL</t>
  </si>
  <si>
    <t>Leon County Sheriff's Dept. - FL</t>
  </si>
  <si>
    <t>San Benito County Sheriff's Office - CA</t>
  </si>
  <si>
    <t>Wilkes-Barre City Police Dept - PA</t>
  </si>
  <si>
    <t>Wauwatosa Police Dept. - WI</t>
  </si>
  <si>
    <t>Country Club Hills Police Dept. - IL</t>
  </si>
  <si>
    <t>Killeen Police Dept. - TX</t>
  </si>
  <si>
    <t>Virginia Beach Police Dept. - VA</t>
  </si>
  <si>
    <t>Orleans County Sheriff's Dept. - NY</t>
  </si>
  <si>
    <t>DuPage County Sheriff's Office</t>
  </si>
  <si>
    <t>Pekin Police Dept.- IL</t>
  </si>
  <si>
    <t>Pinellas County Sheriff's Office - FL</t>
  </si>
  <si>
    <t>Hampden Police Dept - ME</t>
  </si>
  <si>
    <t>Coppell Police Dept - TX</t>
  </si>
  <si>
    <t>Eagle Point Police Dept. - OR</t>
  </si>
  <si>
    <t>Mooresville Police Dept. - NC</t>
  </si>
  <si>
    <t>Sparks Police Dept. - NV</t>
  </si>
  <si>
    <t>Statesville Police Department - NC</t>
  </si>
  <si>
    <t>City of Bend, Police Dept -OR</t>
  </si>
  <si>
    <t>Birmingham Police Dept. - MI</t>
  </si>
  <si>
    <t>Clay Twp. Police Dept. - MI</t>
  </si>
  <si>
    <t>Royal Oak Police Dept.- MI</t>
  </si>
  <si>
    <t>Campbell Police Dept. - CA</t>
  </si>
  <si>
    <t>California State University Police - Fullerton</t>
  </si>
  <si>
    <t>Missoula Police Dept. - MT</t>
  </si>
  <si>
    <t>Saint Croix Falls Police Department - WI</t>
  </si>
  <si>
    <t>Buckley Police Dept. - WA</t>
  </si>
  <si>
    <t>Pinellas Park Police Dept - FL</t>
  </si>
  <si>
    <t>Oklahoma City Police Dept. - OK</t>
  </si>
  <si>
    <t>Hailey Police Department - ID</t>
  </si>
  <si>
    <t>Jeffersonville Police Department - IN</t>
  </si>
  <si>
    <t>Apopka Police Dept.-FL</t>
  </si>
  <si>
    <t>Modesto Police Dept. - CA</t>
  </si>
  <si>
    <t>Santa Cruz Police Dept. - CA</t>
  </si>
  <si>
    <t>Niagara Falls Police Dept - NY</t>
  </si>
  <si>
    <t>Cheektowaga Police Dept - NY</t>
  </si>
  <si>
    <t>Niles Police Dept. - IL</t>
  </si>
  <si>
    <t>Alachua Police Dept.- FL</t>
  </si>
  <si>
    <t>Atwater Police Dept. - CA</t>
  </si>
  <si>
    <t>Coconut Creek Police Dept - FL</t>
  </si>
  <si>
    <t>Lake Stevens Police Dept. - WA</t>
  </si>
  <si>
    <t>Trenton Police Dept. - GA</t>
  </si>
  <si>
    <t>Monroe County Sheriff's Dept. - NY</t>
  </si>
  <si>
    <t>City of Wichita Police Department</t>
  </si>
  <si>
    <t>Texas Department of Public Safety - TX</t>
  </si>
  <si>
    <t>San Francisco State Univ. (CSU campus) - CA</t>
  </si>
  <si>
    <t>Catoosa County Sheriff's Office - GA</t>
  </si>
  <si>
    <t>Melissa Police Dept. - TX</t>
  </si>
  <si>
    <t>Baltimore County Police Dept. - MD</t>
  </si>
  <si>
    <t>Williams County Sheriff's Office - ND</t>
  </si>
  <si>
    <t>Manor Police Dept - TX</t>
  </si>
  <si>
    <t>Juneau County Sheriff's Office - WI</t>
  </si>
  <si>
    <t>Hayward Police Dept. - CA</t>
  </si>
  <si>
    <t>Bethlehem Police Dept. - NH</t>
  </si>
  <si>
    <t>Paradise Valley Police Dept. - AZ</t>
  </si>
  <si>
    <t>Jefferson County Sheriff's Office - AL</t>
  </si>
  <si>
    <t>South Beloit Police Dept. - IL</t>
  </si>
  <si>
    <t>Yakima Police Dept. - WA</t>
  </si>
  <si>
    <t>Napa County Sheriff's Office - CA</t>
  </si>
  <si>
    <t>Bryan Police Dept. - TX</t>
  </si>
  <si>
    <t>Mount Horeb Police Department</t>
  </si>
  <si>
    <t>Mesquite Police Department - NV</t>
  </si>
  <si>
    <t>Auburn Hills Police Department - MI</t>
  </si>
  <si>
    <t>Cary Police Department - NC</t>
  </si>
  <si>
    <t>Elk Grove Police Dept. - CA</t>
  </si>
  <si>
    <t>Burlington Police Dept. - VT</t>
  </si>
  <si>
    <t>Morton Police Dept. - IL</t>
  </si>
  <si>
    <t>Sunland Park Police Dept. - NM</t>
  </si>
  <si>
    <t>Albuquerque Police Dept. - NM</t>
  </si>
  <si>
    <t>Altoona Police Dept. - IA</t>
  </si>
  <si>
    <t>Addison Police Department - IL</t>
  </si>
  <si>
    <t>CADDO PARISH SHERIFF'S OFFICE - LA</t>
  </si>
  <si>
    <t>Lynchburg Police Department - VA</t>
  </si>
  <si>
    <t>SLC Unified Police Dept. - UT</t>
  </si>
  <si>
    <t>Mills County Sheriff's Dept. - TX</t>
  </si>
  <si>
    <t>Pasadena Police Dept. - TX</t>
  </si>
  <si>
    <t>California State Univ (CSU campus) Police - Long Beach</t>
  </si>
  <si>
    <t>New Castle County Police Dept. - DE</t>
  </si>
  <si>
    <t>California State University Police - Stanislaus</t>
  </si>
  <si>
    <t>Lower Gwynedd Twp Police Dept - PA</t>
  </si>
  <si>
    <t>New Buffalo City Police Dept. - MI</t>
  </si>
  <si>
    <t>Sunset Police Dept. - UT</t>
  </si>
  <si>
    <t>Fruitland Park Police Dept.-FL</t>
  </si>
  <si>
    <t>Pittsburgh Bureau of Police - PA</t>
  </si>
  <si>
    <t>Vail Police Dept. - CO</t>
  </si>
  <si>
    <t>Auburn Police Dept - AL</t>
  </si>
  <si>
    <t>Hoffman Estates Police Dept. - IL</t>
  </si>
  <si>
    <t>New Windsor Police Dept. - NY</t>
  </si>
  <si>
    <t>Sedgwick County Sheriff's Office - KS</t>
  </si>
  <si>
    <t>Flossmoor Police Department - IL</t>
  </si>
  <si>
    <t>Inyo County Sheriff's Office - CA</t>
  </si>
  <si>
    <t>Mississippi Highway Patrol - MS</t>
  </si>
  <si>
    <t>Greenville Police Dept. - TX</t>
  </si>
  <si>
    <t>Champaign County Sheriff's Office - IL</t>
  </si>
  <si>
    <t>Tavares Police Department - FL</t>
  </si>
  <si>
    <t>Rockdale Police Dept. - IL</t>
  </si>
  <si>
    <t>Napa Police Dept. - CA</t>
  </si>
  <si>
    <t>Brevard County Sheriff's Office - FL</t>
  </si>
  <si>
    <t>Mamaroneck Village Police Dept. - NY</t>
  </si>
  <si>
    <t>Frederick County Sheriff's Office - MD</t>
  </si>
  <si>
    <t>Cuyahoga County Sheriff's Office - OH</t>
  </si>
  <si>
    <t>Orofino Police Dept - ID</t>
  </si>
  <si>
    <t>Putnam County Sheriff's Office - NY</t>
  </si>
  <si>
    <t>North Richland Hills Police Dept. - TX</t>
  </si>
  <si>
    <t>Ventura County Sheriff's Office - CA</t>
  </si>
  <si>
    <t>Bolingbrook Police Dept. - IL</t>
  </si>
  <si>
    <t>New London Police Department - CT</t>
  </si>
  <si>
    <t>San Francisco County Sheriff's Dept. - CA</t>
  </si>
  <si>
    <t>Greeley Police Dept. - CO</t>
  </si>
  <si>
    <t>Roy City Police Dept. - UT</t>
  </si>
  <si>
    <t>Anne Arundel County Police Dept. - MD</t>
  </si>
  <si>
    <t>Valdosta Police Department - GA</t>
  </si>
  <si>
    <t>Simi Valley Police Dept. - CA</t>
  </si>
  <si>
    <t>Bellevue Police Dept. - WA</t>
  </si>
  <si>
    <t>North Port Police Dept. - FL</t>
  </si>
  <si>
    <t>Villa Grove Police Dept. - IL</t>
  </si>
  <si>
    <t>Rio Arriba County Sheriff's Office - NM</t>
  </si>
  <si>
    <t>St. Charles Parish Sheriff's Office - LA</t>
  </si>
  <si>
    <t>Medina Police Dept.- WA</t>
  </si>
  <si>
    <t>Duquesne University Police Department - PA</t>
  </si>
  <si>
    <t>Norfolk Police Dept. - VA</t>
  </si>
  <si>
    <t>North Bay Village Police Dept. - FL</t>
  </si>
  <si>
    <t>Ontario County Sheriff's Office - NY</t>
  </si>
  <si>
    <t>Mauldin Police Dept. - SC</t>
  </si>
  <si>
    <t>Clark County Sheriff's Office - WA</t>
  </si>
  <si>
    <t>Winter Haven Police Dept. - FL</t>
  </si>
  <si>
    <t>Wright State University Police Dept. - OH</t>
  </si>
  <si>
    <t>Middletown Police Dept. - RI</t>
  </si>
  <si>
    <t>Decatur County Sheriff's Office - IN</t>
  </si>
  <si>
    <t>Suffolk Police Dept. - VA</t>
  </si>
  <si>
    <t>Rye Brook Police Dept. - NY</t>
  </si>
  <si>
    <t>Orange County Sheriff's Department - NC</t>
  </si>
  <si>
    <t>Justin Police Dept. - TX</t>
  </si>
  <si>
    <t>Marion County Sheriff's Office - IL</t>
  </si>
  <si>
    <t>Bartow County Sheriff's Office - GA</t>
  </si>
  <si>
    <t>Quincy Police Department - MA</t>
  </si>
  <si>
    <t>Burbank Police Dept. - CA</t>
  </si>
  <si>
    <t>Centralia Police Dept. - IL</t>
  </si>
  <si>
    <t>Stone Mountain Park Dept. of Public Safety - GA</t>
  </si>
  <si>
    <t>Hampton Police Dept. - GA</t>
  </si>
  <si>
    <t>Northampton Township Police Dept - PA</t>
  </si>
  <si>
    <t>Aitkin Police Department-MN</t>
  </si>
  <si>
    <t>Benicia Police Dept. - CA</t>
  </si>
  <si>
    <t>Bloomington Police Dept. - MN</t>
  </si>
  <si>
    <t>Shafter Police Dept. - CA</t>
  </si>
  <si>
    <t>Hanford Police Dept. - CA</t>
  </si>
  <si>
    <t>Minnetonka Police Department - MN</t>
  </si>
  <si>
    <t>New Haven Police Dept. - CT</t>
  </si>
  <si>
    <t>Gainesville Police Dept. -FL</t>
  </si>
  <si>
    <t>Sealy Police Dept. - TX</t>
  </si>
  <si>
    <t>Sonoma State Univ Police Dept. (CSU campus)- CA</t>
  </si>
  <si>
    <t>Winchester Police Department - KY</t>
  </si>
  <si>
    <t>Branford Police Dept. - CT</t>
  </si>
  <si>
    <t>Shaler Township Police Dept. - PA</t>
  </si>
  <si>
    <t>Erie Police Dept. - PA</t>
  </si>
  <si>
    <t>Harrisonville Police Department - MO</t>
  </si>
  <si>
    <t>Moab City Police Dept. - UT</t>
  </si>
  <si>
    <t>Glenville Police Dept. - NY</t>
  </si>
  <si>
    <t>Fort Mill Police Dept. - SC</t>
  </si>
  <si>
    <t>Cobb County Sheriff's Office - GA</t>
  </si>
  <si>
    <t>Niskayuna Police Dept. - NY</t>
  </si>
  <si>
    <t>Ridgefield Police Department - WA</t>
  </si>
  <si>
    <t>Sheridan Police Dept. - IN</t>
  </si>
  <si>
    <t>Brunswick Hills Police Dept. - OH</t>
  </si>
  <si>
    <t>Virginia Peninsula Regional Jail - VA</t>
  </si>
  <si>
    <t>Holly Springs Police Dept. - NC</t>
  </si>
  <si>
    <t>Elyria Police Department - OH</t>
  </si>
  <si>
    <t>Hampton University Police Dept. - VA</t>
  </si>
  <si>
    <t>Boston Police Dept. - MA</t>
  </si>
  <si>
    <t>Middletown Police Dept. - DE</t>
  </si>
  <si>
    <t>Walker Police Dept. - MI</t>
  </si>
  <si>
    <t>San Jose State Univ, (CSU campus) - CA</t>
  </si>
  <si>
    <t>Beecher Police Dept. - IL</t>
  </si>
  <si>
    <t>Lafayette Police Department - CO</t>
  </si>
  <si>
    <t>St. Cloud Police Dept. - FL</t>
  </si>
  <si>
    <t>Pasco Police Dept. - WA</t>
  </si>
  <si>
    <t>Pender County Sheriff's Office - NC</t>
  </si>
  <si>
    <t>Jasper County Sheriff's Office - SC</t>
  </si>
  <si>
    <t>Trousdale County Sheriff's Office - TN</t>
  </si>
  <si>
    <t>San Rafael Police Dept. - CA</t>
  </si>
  <si>
    <t>Mount Vernon Municipal Court - OH</t>
  </si>
  <si>
    <t>Jackson Police Dept. - WY</t>
  </si>
  <si>
    <t>Roswell Police Dept. - GA</t>
  </si>
  <si>
    <t>Old Dominion University Police Dept. - VA</t>
  </si>
  <si>
    <t>Malden Police Department - MA</t>
  </si>
  <si>
    <t>Carteret County Sheriff's Office - NC</t>
  </si>
  <si>
    <t>Stallings Police Department - NC</t>
  </si>
  <si>
    <t>Divide County Sheriff's Office - ND</t>
  </si>
  <si>
    <t>Monterey County Sheriffs Office - CA</t>
  </si>
  <si>
    <t>Hillsborough Community College - FL</t>
  </si>
  <si>
    <t>Sulphur Police Dept. - LA</t>
  </si>
  <si>
    <t>Liberty Hill Police Dept. - TX</t>
  </si>
  <si>
    <t>Tarrant County College Police Academy - TX</t>
  </si>
  <si>
    <t>Highfill Police Department - AR</t>
  </si>
  <si>
    <t>DIXIE INN POLICE DEPT. - LA</t>
  </si>
  <si>
    <t>Redwood City Police Department - CA</t>
  </si>
  <si>
    <t>Grady County Sheriff - GA</t>
  </si>
  <si>
    <t>Genoa Police Dept. - IL</t>
  </si>
  <si>
    <t>Kentwood Police Department - MI</t>
  </si>
  <si>
    <t>Franklin Police Dept - MA</t>
  </si>
  <si>
    <t>Rockford Park District Police Dept. - IL</t>
  </si>
  <si>
    <t>Brentwood Borough Police Dept. - PA</t>
  </si>
  <si>
    <t>FARMER CITY POLICE DEPT - IL</t>
  </si>
  <si>
    <t>Ninety Six Police Dept. - SC</t>
  </si>
  <si>
    <t>CORTLAND POLICE DEPT - IL</t>
  </si>
  <si>
    <t>North Carolina General Assembly - NC</t>
  </si>
  <si>
    <t>Tonkawa Police Dept.</t>
  </si>
  <si>
    <t>State of Hawai'i, Dept. of Law Enforcement</t>
  </si>
  <si>
    <t>Metra Police Department - IL</t>
  </si>
  <si>
    <t>Muskogee County Sheriff's Office - OK</t>
  </si>
  <si>
    <t>San Bernardino County Probation Dept. - CA</t>
  </si>
  <si>
    <t>Brush Police Department - CO</t>
  </si>
  <si>
    <t>Michigan Department of Natural Resources</t>
  </si>
  <si>
    <t>Pulaski County Sheriff's Dept. - IL</t>
  </si>
  <si>
    <t>Scranton Police Dept. - PA</t>
  </si>
  <si>
    <t>California State University Police - East Bay</t>
  </si>
  <si>
    <t>California State University Police - Fresno</t>
  </si>
  <si>
    <t>Redmond Police Dept. - WA</t>
  </si>
  <si>
    <t>Glynn County School Police Department - GA</t>
  </si>
  <si>
    <t>Village Of Montgomery Police - NY</t>
  </si>
  <si>
    <t>Orleans Parish Sheriff's Dept. - LA</t>
  </si>
  <si>
    <t>Douglas County Parole &amp; Probation - OR</t>
  </si>
  <si>
    <t>Moniteau County Sheriff's Dept. - MO</t>
  </si>
  <si>
    <t>Saratoga County Sheriff's Office - NY</t>
  </si>
  <si>
    <t>Huntsville Police Department - AL</t>
  </si>
  <si>
    <t>Conrad Police Dept. - MT</t>
  </si>
  <si>
    <t>Ferguson Police Dept. - MO</t>
  </si>
  <si>
    <t>Lockport Police Dept. - NY</t>
  </si>
  <si>
    <t>Ogden Police Dept. - NY</t>
  </si>
  <si>
    <t>Fairfield County Municipal Court - OH</t>
  </si>
  <si>
    <t>Raisin Township Police Dept. - MI</t>
  </si>
  <si>
    <t>Tuscaloosa Police Dept. - AL</t>
  </si>
  <si>
    <t>Melrose Park Police Dept.- IL</t>
  </si>
  <si>
    <t>Hardeeville Police Department - SC</t>
  </si>
  <si>
    <t>Fremont County Sheriff's Office - ID</t>
  </si>
  <si>
    <t>BUFFALO CITY POLICE DEPT. - NY</t>
  </si>
  <si>
    <t>Hopewell City Sheriff's Office - VA</t>
  </si>
  <si>
    <t>Youngsville Police Dept. - LA</t>
  </si>
  <si>
    <t>Crockett Police Dept. - TX</t>
  </si>
  <si>
    <t>Green Oak Township Police Dept. - MI</t>
  </si>
  <si>
    <t>THE PORT AUTHORITY OF NEW YORK / NEW JERSEY</t>
  </si>
  <si>
    <t>Amherst County Sheriff's Office - VA</t>
  </si>
  <si>
    <t>Peachtree City Police Dept - GA</t>
  </si>
  <si>
    <t>University of Southern California DPS - CA</t>
  </si>
  <si>
    <t>Clinton County Sheriff's Office - NY</t>
  </si>
  <si>
    <t>Kalkaska Police Department - MI</t>
  </si>
  <si>
    <t>Fort Collins Police Services - CO</t>
  </si>
  <si>
    <t>South Dakota Highway Patrol - SD</t>
  </si>
  <si>
    <t>Sullivan's Island Police Dept - SC</t>
  </si>
  <si>
    <t>Early County Sheriff Office - GA</t>
  </si>
  <si>
    <t>Louisiana Department of Corrections - LA</t>
  </si>
  <si>
    <t>Black Hawk County Sheriff Dept - IA</t>
  </si>
  <si>
    <t>Artesia Police Dept. - NM</t>
  </si>
  <si>
    <t>Lee County Sheriff's Office - AL</t>
  </si>
  <si>
    <t>Ottawa Police Dept. - IL</t>
  </si>
  <si>
    <t>Rockton Police Dept. - IL</t>
  </si>
  <si>
    <t>Williamsport Police Dept - PA</t>
  </si>
  <si>
    <t>Virginia Department of Corrections - VA</t>
  </si>
  <si>
    <t>Yuma Police Department - CO</t>
  </si>
  <si>
    <t>Philadelphia Police Dept. - PA</t>
  </si>
  <si>
    <t>Newark Police Department - CA</t>
  </si>
  <si>
    <t>Newark Police Dept. - NJ</t>
  </si>
  <si>
    <t>Detroit Police Dept. - MI</t>
  </si>
  <si>
    <t>Prescott Police Department - AZ</t>
  </si>
  <si>
    <t>Ocoee Police Dept. - FL</t>
  </si>
  <si>
    <t>University of Illinois PD at Urbana-Champaign</t>
  </si>
  <si>
    <t>Beaver Police Dept - PA</t>
  </si>
  <si>
    <t>Monmouth County Sheriff's Office - NJ</t>
  </si>
  <si>
    <t>Braselton Police Dept. - GA</t>
  </si>
  <si>
    <t>Crawford County Sheriff's Office - KS</t>
  </si>
  <si>
    <t>Spokane Police Dept. - WA</t>
  </si>
  <si>
    <t>Elwood Police Dept. - IL</t>
  </si>
  <si>
    <t>Richardson Police Department - TX</t>
  </si>
  <si>
    <t>Smith County Constable Precinct 5 - TX</t>
  </si>
  <si>
    <t>Sherman Police Dept. - IL</t>
  </si>
  <si>
    <t>Carlstadt Police Dept. - NJ</t>
  </si>
  <si>
    <t>Village Of Boonville Police Dept. - NY</t>
  </si>
  <si>
    <t>Louisville Metro Department of Corrections - KY</t>
  </si>
  <si>
    <t>Brockway Borough Police Dept.</t>
  </si>
  <si>
    <t>Linn County Parole and Probation - OR</t>
  </si>
  <si>
    <t>Ward County Sheriff's Office - TX</t>
  </si>
  <si>
    <t>Dallas Area Rapid Transit Police Department - TX</t>
  </si>
  <si>
    <t>Seligman Police Department - MO</t>
  </si>
  <si>
    <t>California Maritime Academy Police Dept. (CSU) - CA</t>
  </si>
  <si>
    <t>West Lake Hills Police Dept. - TX</t>
  </si>
  <si>
    <t>Ramsey Police Dept. - NJ</t>
  </si>
  <si>
    <t>Indianapolis Metro Police Dept. - IN</t>
  </si>
  <si>
    <t>York City School Police Dept - PA</t>
  </si>
  <si>
    <t>Virginia Commonwealth University Police - VA</t>
  </si>
  <si>
    <t>Forest Preserves of Cook County Police Dept. - IL</t>
  </si>
  <si>
    <t>Gurnee Police Dept - IL</t>
  </si>
  <si>
    <t>Braintree Police Dept. - MA</t>
  </si>
  <si>
    <t>Pigeon Forge Police Dept. - TN</t>
  </si>
  <si>
    <t>Monroe Township Police (Gloucester County) - NJ</t>
  </si>
  <si>
    <t>Chicopee Police Department - MA</t>
  </si>
  <si>
    <t>Minneapolis-St Paul Airport Police Dept -MN</t>
  </si>
  <si>
    <t>California Poly State Univ Police (CSU campus) - Pomona</t>
  </si>
  <si>
    <t>Moody County Sheriff's Office - SD</t>
  </si>
  <si>
    <t>Delphi Police Dept.-IN</t>
  </si>
  <si>
    <t>Harris County Constable Pct. 8 - TX</t>
  </si>
  <si>
    <t>Shawnee County Park Police - KS</t>
  </si>
  <si>
    <t>Stowe Township Police Department - PA</t>
  </si>
  <si>
    <t>Bannockburn Police Dept. - IL</t>
  </si>
  <si>
    <t>Saint John Parish Sheriff's Office - LA</t>
  </si>
  <si>
    <t>Markle Police Dept. - IN</t>
  </si>
  <si>
    <t>Flagler Beach Police Dept. - FL</t>
  </si>
  <si>
    <t>Nevada Dept of Motor Vehicles</t>
  </si>
  <si>
    <t>Savannah Airport Commission Police - GA</t>
  </si>
  <si>
    <t>Georgetown Police Department - IL</t>
  </si>
  <si>
    <t>Amber Police Department - OK</t>
  </si>
  <si>
    <t>Pamlico County Sheriff's Office - NC</t>
  </si>
  <si>
    <t>Ore City Police Dept. - TX</t>
  </si>
  <si>
    <t>Winhall Police and Rescue - VT</t>
  </si>
  <si>
    <t>BERRIEN SPRINGS-ORONOKO TWP POLICE DEPT</t>
  </si>
  <si>
    <t>Union Pacific Railroad Police Dept. - NE</t>
  </si>
  <si>
    <t>El Dorado County Probation Dept. - CA</t>
  </si>
  <si>
    <t>Cotter Police Dept. - AR</t>
  </si>
  <si>
    <t>South Carolina State University - SC</t>
  </si>
  <si>
    <t>DuBois City Police Department - PA</t>
  </si>
  <si>
    <t>Smithfield TWP Police Dept - OH</t>
  </si>
  <si>
    <t>Town of Mead Police Department - CO</t>
  </si>
  <si>
    <t>California Department of Parks and Recreation</t>
  </si>
  <si>
    <t>Monahans Police Dept. - TX</t>
  </si>
  <si>
    <t>Venango County Prison - PA</t>
  </si>
  <si>
    <t>Franklin Lakes Police Dept. - NJ</t>
  </si>
  <si>
    <t>Lovejoy Police Dept. - GA</t>
  </si>
  <si>
    <t>Southwest Georgia Regional Airport Police Dept. - GA</t>
  </si>
  <si>
    <t>Atlanta Technical College Police Dept.- GA</t>
  </si>
  <si>
    <t>Monroe County Probation Dept - PA</t>
  </si>
  <si>
    <t>Ozawkie Police Department-KS</t>
  </si>
  <si>
    <t>Dauntless Security Group, Inc.</t>
  </si>
  <si>
    <t>Ohio Dept of Rehabilitation and Correction</t>
  </si>
  <si>
    <t>City of South Fulton Police Department - GA</t>
  </si>
  <si>
    <t>Belt Railway Police Dept. - IL</t>
  </si>
  <si>
    <t>New Harmony Police Dept. - IN</t>
  </si>
  <si>
    <t>Menifee Police Dept. - CA</t>
  </si>
  <si>
    <t>Manor ISD</t>
  </si>
  <si>
    <t>Miami County Park District Rangers</t>
  </si>
  <si>
    <t>Queen Creek Police Department - AZ</t>
  </si>
  <si>
    <t>Will County Sheriff Office Enforcement - IL</t>
  </si>
  <si>
    <t>Louisville Police Department - CO</t>
  </si>
  <si>
    <t>Escalon Police Dept. - CA</t>
  </si>
  <si>
    <t>Golden West College Criminal Justice - Training Center</t>
  </si>
  <si>
    <t>Lathrop Police Department - CA</t>
  </si>
  <si>
    <t>Delaware State Fire Marshal's Office</t>
  </si>
  <si>
    <t>National Commissioner of the Icelandic Police</t>
  </si>
  <si>
    <t>Mellette County Sheriffs Office - SD</t>
  </si>
  <si>
    <t>Johns Hopkins University Police Dept. - MD</t>
  </si>
  <si>
    <t>Bedford County Probation - PA</t>
  </si>
  <si>
    <t>CSX Railroad Police - FL</t>
  </si>
  <si>
    <t>Boston University Police Dept - MA</t>
  </si>
  <si>
    <t>CapMetro Transit Police Dept - TX</t>
  </si>
  <si>
    <t>Neptune Township Police Dept - NJ</t>
  </si>
  <si>
    <t>University of Rochester</t>
  </si>
  <si>
    <t>Syracuse Regional Airport Authority Police Department</t>
  </si>
  <si>
    <t>BR DF PRF Pol√≠cia Rodovi√°ria Federal</t>
  </si>
  <si>
    <t>Okawville Police Dept. - IL</t>
  </si>
  <si>
    <t>Webb County Sheriff's Office - TX</t>
  </si>
  <si>
    <t>Peru State College - NE</t>
  </si>
  <si>
    <t>MBTA Transit Police Department - MA</t>
  </si>
  <si>
    <t>Point Pleasant Police Dept - WV</t>
  </si>
  <si>
    <t>Hallsville Police Department - TX</t>
  </si>
  <si>
    <t>Adrian Police Department MN</t>
  </si>
  <si>
    <t>Hochatown Police Department - OK</t>
  </si>
  <si>
    <t>AU0115817</t>
  </si>
  <si>
    <t>Office of Sheriff of New South Wales</t>
  </si>
  <si>
    <t>CA0115409</t>
  </si>
  <si>
    <t>Peel Regional Police Service</t>
  </si>
  <si>
    <t>CA0115465</t>
  </si>
  <si>
    <t>Barrie Police Service</t>
  </si>
  <si>
    <t>CA0115498</t>
  </si>
  <si>
    <t>Fredericton Police Force</t>
  </si>
  <si>
    <t>CA0115604</t>
  </si>
  <si>
    <t>Manitoba First Nations Police Service</t>
  </si>
  <si>
    <t>CA0115746</t>
  </si>
  <si>
    <t>CPKC Railway Police Service</t>
  </si>
  <si>
    <t>CA0115747</t>
  </si>
  <si>
    <t>Belleville Police Service</t>
  </si>
  <si>
    <t>CA0115761</t>
  </si>
  <si>
    <t>The City of Edmonton</t>
  </si>
  <si>
    <t>UK0115453</t>
  </si>
  <si>
    <t>College of Policing</t>
  </si>
  <si>
    <t>Clackamas County Sheriff's Office - OR</t>
  </si>
  <si>
    <t>UNKNOWN</t>
  </si>
  <si>
    <t>Town of Tonawanda Police Department - NY</t>
  </si>
  <si>
    <t>Minneapolis Police Dept. - MN</t>
  </si>
  <si>
    <t>Covina Police Department - CA</t>
  </si>
  <si>
    <t>North Palm Beach Police Department - FL</t>
  </si>
  <si>
    <t>Evergreen State College Police Dept - WA</t>
  </si>
  <si>
    <t>Brown County Sheriff's Office - SD</t>
  </si>
  <si>
    <t>Bernalillo County Sheriff's Dept. - NM</t>
  </si>
  <si>
    <t>FINNEY COUNTY SHERIFF'S OFFICE- KS</t>
  </si>
  <si>
    <t>Dixon Police Dept. - CA</t>
  </si>
  <si>
    <t>Levy County Sheriff's Office - FL</t>
  </si>
  <si>
    <t>Scottsdale Police Dept. - AZ</t>
  </si>
  <si>
    <t>Laurel Police Dept. - MD</t>
  </si>
  <si>
    <t>Carson City Sheriff's Office - NV</t>
  </si>
  <si>
    <t>Greenville County Sheriff -SC</t>
  </si>
  <si>
    <t>Brier Police Dept. - WA</t>
  </si>
  <si>
    <t>Clinton Police Dept. - IA</t>
  </si>
  <si>
    <t>Connecticut State Police Dept. - CT</t>
  </si>
  <si>
    <t>Blue Springs Police Dept. - MO</t>
  </si>
  <si>
    <t>Waynesboro Police Dept. - VA</t>
  </si>
  <si>
    <t>Birmingham Police Dept. - AL</t>
  </si>
  <si>
    <t>Tigard Police Dept. - OR</t>
  </si>
  <si>
    <t>Montgomery County Police Department - MD</t>
  </si>
  <si>
    <t>North Mankato Police Department - MN</t>
  </si>
  <si>
    <t>Logan Police Department - UT</t>
  </si>
  <si>
    <t>Upper Moreland Township Police Dept - PA</t>
  </si>
  <si>
    <t>Fox Valley Technical College - WI</t>
  </si>
  <si>
    <t>Dallas-Fort Worth Int'l Airport Police - TX</t>
  </si>
  <si>
    <t>Parker County Sheriff's Office - TX</t>
  </si>
  <si>
    <t>Payson Police Department - AZ</t>
  </si>
  <si>
    <t>Brazos County Sheriff's Office - TX</t>
  </si>
  <si>
    <t>El Monte Police Dept. - CA</t>
  </si>
  <si>
    <t>Sullivan Police Department - MO</t>
  </si>
  <si>
    <t>Bloomington Police Dept. - IN</t>
  </si>
  <si>
    <t>Blackman-Leoni Twp Dept Of Public Safety - MI</t>
  </si>
  <si>
    <t>Ingham County Sheriff's Office - MI</t>
  </si>
  <si>
    <t>MNCP POLICE - Prince George's County Division</t>
  </si>
  <si>
    <t>Green County Sheriff's Office - WI</t>
  </si>
  <si>
    <t>East Lansing Police Dept. - MI</t>
  </si>
  <si>
    <t>Dekalb County Police Dept.- GA</t>
  </si>
  <si>
    <t>West Palm Beach Police Dept. - FL</t>
  </si>
  <si>
    <t>Frederick Police Dept. - MD</t>
  </si>
  <si>
    <t>Alliance Police Dept - OH</t>
  </si>
  <si>
    <t>Brockport Police Dept. - NY</t>
  </si>
  <si>
    <t>Acadia Parish Sheriff's Office - LA</t>
  </si>
  <si>
    <t>Corning Police Dept. - NY</t>
  </si>
  <si>
    <t>Lee County Sheriff's Office - FL</t>
  </si>
  <si>
    <t>Kansas City Police Dept. - KS</t>
  </si>
  <si>
    <t>Hinsdale Police Dept. - NH</t>
  </si>
  <si>
    <t>Boca Raton Police Dept - FL</t>
  </si>
  <si>
    <t>Greensboro Police Dept. - NC</t>
  </si>
  <si>
    <t>Apex Police Department - NC</t>
  </si>
  <si>
    <t>Toledo Police Dept. - OH</t>
  </si>
  <si>
    <t>Gallatin Police Dept - TN</t>
  </si>
  <si>
    <t>Boynton Beach Police Dept. - FL</t>
  </si>
  <si>
    <t>Temple Terrace Police Dept.-FL</t>
  </si>
  <si>
    <t>Clinton City Police Dept - UT</t>
  </si>
  <si>
    <t>Coral Gables Police Department</t>
  </si>
  <si>
    <t>Highland Village Police Dept. - TX</t>
  </si>
  <si>
    <t>VICKSBURG POLICE DEPT. - MI</t>
  </si>
  <si>
    <t>Williams Police Dept. - AZ</t>
  </si>
  <si>
    <t>Johnson City Police Dept. -TN</t>
  </si>
  <si>
    <t>University of Wisconsin LaCrosse Police - WI</t>
  </si>
  <si>
    <t>Alhambra Police Dept. - CA</t>
  </si>
  <si>
    <t>Aiken County Sheriff's Office - SC</t>
  </si>
  <si>
    <t>South Burlington Police Dept. - VT</t>
  </si>
  <si>
    <t>Huerfano County Sheriff's Office - CO</t>
  </si>
  <si>
    <t>Pinehurst Police Dept. - NC</t>
  </si>
  <si>
    <t>Concord Police Dept. - MA</t>
  </si>
  <si>
    <t>Nelsonville Police Dept - OH</t>
  </si>
  <si>
    <t>Fordyce Police Dept. - AR</t>
  </si>
  <si>
    <t>Chelsea Police Department - MA</t>
  </si>
  <si>
    <t>Attleboro Police Dept - MA</t>
  </si>
  <si>
    <t>Sweet Home Police Dept. - OR</t>
  </si>
  <si>
    <t>Bulloch County Sheriff's Office - GA</t>
  </si>
  <si>
    <t>Shalimar Police Dept - FL</t>
  </si>
  <si>
    <t>Walla Walla Police Dept. - WA</t>
  </si>
  <si>
    <t>Irvington Police Dept - NY</t>
  </si>
  <si>
    <t>Wilmington Police Dept. - DE</t>
  </si>
  <si>
    <t>Tremonton/Garland City Police Dept. - UT</t>
  </si>
  <si>
    <t>Lawrenceville Police Dept. - GA</t>
  </si>
  <si>
    <t>Hollywood Police Dept. - AL</t>
  </si>
  <si>
    <t>Surf City Police Department - NC</t>
  </si>
  <si>
    <t>Kingston Police Dept - MA</t>
  </si>
  <si>
    <t>Town of Groton Police Department - CT</t>
  </si>
  <si>
    <t>Louisiana State Police - LA</t>
  </si>
  <si>
    <t>Folly Beach Department of Public Safety - SC</t>
  </si>
  <si>
    <t>Old Town Police Dept. - ME</t>
  </si>
  <si>
    <t>Castle Shannon Police Dept. - PA</t>
  </si>
  <si>
    <t>Waterloo Police Dept. - IA</t>
  </si>
  <si>
    <t>West Lafayette Police Dept - IN</t>
  </si>
  <si>
    <t>Webster Police Dept. - NY</t>
  </si>
  <si>
    <t>Denton Police Dept. - TX</t>
  </si>
  <si>
    <t>Scarborough Police Dept. - ME</t>
  </si>
  <si>
    <t>East Hampton Village Police Dept. - NY</t>
  </si>
  <si>
    <t>LeRoy Police Dept. - IL</t>
  </si>
  <si>
    <t>Wilson County Sheriff's Office - NC</t>
  </si>
  <si>
    <t>Oxford Police Dept. - MS</t>
  </si>
  <si>
    <t>Ransom County Sheriff's Office - ND</t>
  </si>
  <si>
    <t>Hennepin County Sheriff's Office - MN</t>
  </si>
  <si>
    <t>Pearl Police Dept. - MS</t>
  </si>
  <si>
    <t>Watseka Police Dept. - IL</t>
  </si>
  <si>
    <t>Blue Earth Police Dept. - MN</t>
  </si>
  <si>
    <t>Livermore Falls Police Dept. - ME</t>
  </si>
  <si>
    <t>Goodlettsville Police Dept. - TN</t>
  </si>
  <si>
    <t>Somerset Police Dept.- MA</t>
  </si>
  <si>
    <t>Iowa City Police Dept. - IA</t>
  </si>
  <si>
    <t>Westmont Police Dept. - IL</t>
  </si>
  <si>
    <t>Wilkinsburg Police Dept - PA</t>
  </si>
  <si>
    <t>Oscoda Township Police Department - MI</t>
  </si>
  <si>
    <t>Russellville Police Dept. - AR</t>
  </si>
  <si>
    <t>Gulf County Sheriff-FL</t>
  </si>
  <si>
    <t>Clayton County Sheriff's Office - IA</t>
  </si>
  <si>
    <t>Glenwood Police Department-MN-</t>
  </si>
  <si>
    <t>Pembroke Police Dept. - MA</t>
  </si>
  <si>
    <t>Alcona County Sheriff's Office - MI</t>
  </si>
  <si>
    <t>Katy Police Dept. - TX</t>
  </si>
  <si>
    <t>Elizabethtown Police Dept.- KY</t>
  </si>
  <si>
    <t>Key West Police Dept. - FL</t>
  </si>
  <si>
    <t>Littleton Police Dept. - NH</t>
  </si>
  <si>
    <t>Candia Police Dept. - NH</t>
  </si>
  <si>
    <t>Indiana County Jail - PA</t>
  </si>
  <si>
    <t>Canaan Police Dept. - NH</t>
  </si>
  <si>
    <t>Chickasaw County Sheriff's Department - IA</t>
  </si>
  <si>
    <t>Friendswood Police Dept. - TX</t>
  </si>
  <si>
    <t>Carrollton Police Dept. - TX</t>
  </si>
  <si>
    <t>Charlotte Police Dept. - MI</t>
  </si>
  <si>
    <t>Breezy Point Police Dept. - MN</t>
  </si>
  <si>
    <t>Grover Beach Police Dept. - CA</t>
  </si>
  <si>
    <t>Bridgton Police Department - ME</t>
  </si>
  <si>
    <t>Shiner Police Dept. - TX</t>
  </si>
  <si>
    <t>Fruitport Township Police Department - MI</t>
  </si>
  <si>
    <t>Ulster County Sheriff's Office - NY</t>
  </si>
  <si>
    <t>Old Westbury Village Police Dept. - NY</t>
  </si>
  <si>
    <t>TEXAS CHILDREN'S HOSPITAL Main Campus - TX</t>
  </si>
  <si>
    <t>Louisiana Probation &amp; Parole</t>
  </si>
  <si>
    <t>Roosevelt Park Police Dept. - MI</t>
  </si>
  <si>
    <t>Union Public Safety Dept. - SC</t>
  </si>
  <si>
    <t>Watertown Police Department - SD</t>
  </si>
  <si>
    <t>Abington Police Dept - MA</t>
  </si>
  <si>
    <t>Central Virginia Regional Jail - VA</t>
  </si>
  <si>
    <t>HOLMES BEACH POLICE DEPT</t>
  </si>
  <si>
    <t>Esmeralda County Sheriff's Office - NV</t>
  </si>
  <si>
    <t>Athens-Clarke County Police Dept. - GA</t>
  </si>
  <si>
    <t>Cochran County Sheriff's - TX</t>
  </si>
  <si>
    <t>Hallettsville Police Dept. - TX</t>
  </si>
  <si>
    <t>Warwick Police Department - RI</t>
  </si>
  <si>
    <t>Elsmere Police Dept. - KY</t>
  </si>
  <si>
    <t>Newton Police Department - MA</t>
  </si>
  <si>
    <t>York Police Department - ME</t>
  </si>
  <si>
    <t>Ohio Dept of Natural Resources - OH</t>
  </si>
  <si>
    <t>Caro Police Department - MI</t>
  </si>
  <si>
    <t>Maple Shade Police Dept - NJ</t>
  </si>
  <si>
    <t>Owyhee County Sheriff's Office - ID</t>
  </si>
  <si>
    <t>Leachville Police Department - AR</t>
  </si>
  <si>
    <t>Brookhaven Police Department - GA</t>
  </si>
  <si>
    <t>Univ. Of Tennessee Knoxville - TN</t>
  </si>
  <si>
    <t>Louisa County Sheriff's Office - VA</t>
  </si>
  <si>
    <t>University of Pittsburgh Police Dept. - HQ</t>
  </si>
  <si>
    <t>St. Clair County Sheriff's Office - AL</t>
  </si>
  <si>
    <t>Kansas Wildlife and Parks - KS</t>
  </si>
  <si>
    <t>Georgia State Patrol</t>
  </si>
  <si>
    <t>Idaho State University Public Safety - Pocatello - ID</t>
  </si>
  <si>
    <t>Spanish Fort Police Dept. - AL</t>
  </si>
  <si>
    <t>Rutland Town Police Department - VT</t>
  </si>
  <si>
    <t>Hudson Valley Community College DPS - NY</t>
  </si>
  <si>
    <t>Flora Police Dept. - MS</t>
  </si>
  <si>
    <t>Mashpee Wampanoag Police Dept. - MA</t>
  </si>
  <si>
    <t>Arma Police Department - KS</t>
  </si>
  <si>
    <t>Pendleton Police Department - SC</t>
  </si>
  <si>
    <t>PR Policia de Puerto Rico</t>
  </si>
  <si>
    <t>Manassa Police Dept. - CO</t>
  </si>
  <si>
    <t>Belleville Police Department - KS</t>
  </si>
  <si>
    <t>Newport Police Department- DE</t>
  </si>
  <si>
    <t>Regional Transportation District Police - CO</t>
  </si>
  <si>
    <t>Hesperia Recreation &amp; Park District Rangers - CA</t>
  </si>
  <si>
    <t>White Castle Police Department - LA</t>
  </si>
  <si>
    <t>Madison Police Department - NE</t>
  </si>
  <si>
    <t>Sullivan County Probation Department - NY</t>
  </si>
  <si>
    <t>Lake Charles Memorial Hospital - LA</t>
  </si>
  <si>
    <t>DISBANDED Lockney Police Dept - TX</t>
  </si>
  <si>
    <t>Aurum Global Information Technology</t>
  </si>
  <si>
    <t>Indiana Dept of Nat Resources LE Div</t>
  </si>
  <si>
    <t>Hampton Roads Criminal Justice Training Academy - VA</t>
  </si>
  <si>
    <t>West Greenwich Police Dept - RI</t>
  </si>
  <si>
    <t>Mountain Park Police Dept - OK</t>
  </si>
  <si>
    <t>BR ES PMES POLICIA MILITAR DO ESPIRITO SANTO</t>
  </si>
  <si>
    <t>Cumberland Police Department - KY</t>
  </si>
  <si>
    <t>BR DF DPF Departamento de Policia Federal</t>
  </si>
  <si>
    <t>Florala Police Dept. - AL</t>
  </si>
  <si>
    <t>Rock Valley College Police - IL</t>
  </si>
  <si>
    <t>University of Denver Campus Safety. - CO</t>
  </si>
  <si>
    <t>Guadalupe County Sheriff's Office - TX</t>
  </si>
  <si>
    <t>CA0115786</t>
  </si>
  <si>
    <t>Surrey Police Service</t>
  </si>
  <si>
    <t>ES100047</t>
  </si>
  <si>
    <t>BARRAGUN Armament S.L.</t>
  </si>
  <si>
    <t>SE0116151</t>
  </si>
  <si>
    <t>GuardWings s.r.l.</t>
  </si>
  <si>
    <t>NAN</t>
  </si>
  <si>
    <t>CA0115780</t>
  </si>
  <si>
    <t>CA0115781</t>
  </si>
  <si>
    <t>CA0115784</t>
  </si>
  <si>
    <t>CA0115789</t>
  </si>
  <si>
    <t>CA0115790</t>
  </si>
  <si>
    <t>CA0115791</t>
  </si>
  <si>
    <t>CA0115792</t>
  </si>
  <si>
    <t>CA0115793</t>
  </si>
  <si>
    <t>CA0115878</t>
  </si>
  <si>
    <t>ES100082</t>
  </si>
  <si>
    <t>SE0115980</t>
  </si>
  <si>
    <t>SE0116156</t>
  </si>
  <si>
    <t>SE0116875</t>
  </si>
  <si>
    <t>UK0115404</t>
  </si>
  <si>
    <t>CA0115474</t>
  </si>
  <si>
    <t>CA0115657</t>
  </si>
  <si>
    <t>CA0115867</t>
  </si>
  <si>
    <t>CA0115903</t>
  </si>
  <si>
    <t>Metric</t>
  </si>
  <si>
    <t>Agency Count</t>
  </si>
  <si>
    <t>Total Agency Size</t>
  </si>
  <si>
    <t>Total Possible Points</t>
  </si>
  <si>
    <t>Total Possible Agencies</t>
  </si>
  <si>
    <t>Actual APAP Sum</t>
  </si>
  <si>
    <t>Actual APAP Count</t>
  </si>
  <si>
    <t>SIM-Only APAP Sum</t>
  </si>
  <si>
    <t>SIM-Only APAP Count</t>
  </si>
  <si>
    <t>Close to SIM-Only APAP Sum</t>
  </si>
  <si>
    <t>Close to SIM-Only APAP Count</t>
  </si>
  <si>
    <t>Majors Total Possible Points</t>
  </si>
  <si>
    <t>Majors Total Possible Agencies</t>
  </si>
  <si>
    <t>Majors Actual APAP Sum</t>
  </si>
  <si>
    <t>Majors Actual APAP Count</t>
  </si>
  <si>
    <t>Majors SIM-Only APAP Sum</t>
  </si>
  <si>
    <t>Majors SIM-Only APAP Count</t>
  </si>
  <si>
    <t>Majors Close to SIM-Only APAP Sum</t>
  </si>
  <si>
    <t>Majors Close to SIM-Only APAP Count</t>
  </si>
  <si>
    <t>Majors Some SIM Engagement Sum</t>
  </si>
  <si>
    <t>Majors Some SIM Engagement Count</t>
  </si>
  <si>
    <t>T10 Total Possible Points</t>
  </si>
  <si>
    <t>T10 Total Possible Agencies</t>
  </si>
  <si>
    <t>T10 Actual APAP Sum</t>
  </si>
  <si>
    <t>T10 Actual APAP Count</t>
  </si>
  <si>
    <t>T10 SIM-Only APAP Sum</t>
  </si>
  <si>
    <t>T10 SIM-Only APAP Count</t>
  </si>
  <si>
    <t>T10 Close to SIM-Only APAP Sum</t>
  </si>
  <si>
    <t>T10 Close to SIM-Only APAP Count</t>
  </si>
  <si>
    <t>T7 Total Possible Points</t>
  </si>
  <si>
    <t>T7 Total Possible Agencies</t>
  </si>
  <si>
    <t>T7 Actual APAP Sum</t>
  </si>
  <si>
    <t>T7 Actual APAP Count</t>
  </si>
  <si>
    <t>T7 SIM-Only APAP Sum</t>
  </si>
  <si>
    <t>T7 SIM-Only APAP Count</t>
  </si>
  <si>
    <t>T7 Close to SIM-Only APAP Sum</t>
  </si>
  <si>
    <t>T7 Close to SIM-Only APAP Count</t>
  </si>
  <si>
    <t>Majors T10 Total Possible Points</t>
  </si>
  <si>
    <t>Majors T10 Total Possible Agencies</t>
  </si>
  <si>
    <t>Majors T10 Actual APAP Sum</t>
  </si>
  <si>
    <t>Majors T10 Actual APAP Count</t>
  </si>
  <si>
    <t>Majors T10 SIM-Only APAP Sum</t>
  </si>
  <si>
    <t>Majors T10 SIM-Only APAP Count</t>
  </si>
  <si>
    <t>Majors T10 Close to SIM-Only APAP Sum</t>
  </si>
  <si>
    <t>Majors T10 Close to SIM-Only APAP Count</t>
  </si>
  <si>
    <t>Majors T10 Some SIM Engagement Sum</t>
  </si>
  <si>
    <t>Majors T10 Some SIM Engagement Count</t>
  </si>
  <si>
    <t>Majors T7 Total Possible Points</t>
  </si>
  <si>
    <t>Majors T7 Total Possible Agencies</t>
  </si>
  <si>
    <t>Majors T7 Actual APAP Sum</t>
  </si>
  <si>
    <t>Majors T7 Actual APAP Count</t>
  </si>
  <si>
    <t>Majors T7 SIM-Only APAP Sum</t>
  </si>
  <si>
    <t>Majors T7 SIM-Only APAP Count</t>
  </si>
  <si>
    <t>Majors T7 Close to SIM-Only APAP Sum</t>
  </si>
  <si>
    <t>Majors T7 Close to SIM-Only APAP Count</t>
  </si>
  <si>
    <t>Majors T7 Some SIM Engagement Sum</t>
  </si>
  <si>
    <t>Majors T7 Some SIM Engagement Count</t>
  </si>
  <si>
    <t>Non-SIM Needed</t>
  </si>
  <si>
    <t>SIM Needed</t>
  </si>
  <si>
    <t>Total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</si>
</sst>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006100"/>
      <name val="Calibri"/>
      <family val="2"/>
      <scheme val="minor"/>
    </font>
    <font>
      <sz val="12"/>
      <color rgb="FF9C5700"/>
      <name val="Calibri"/>
      <family val="2"/>
      <scheme val="minor"/>
    </font>
    <font>
      <b/>
      <sz val="11"/>
      <color theme="1"/>
      <name val="Calibri (Body)"/>
    </font>
    <font>
      <sz val="11"/>
      <color theme="1"/>
      <name val="Calibri (Body)"/>
    </font>
    <font>
      <sz val="12"/>
      <color theme="1"/>
      <name val="Calibri (Body)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1"/>
    <xf numFmtId="0" fontId="3" fillId="3" borderId="0" xfId="2"/>
    <xf numFmtId="0" fontId="0" fillId="4" borderId="0" xfId="0" applyFill="1"/>
    <xf numFmtId="0" fontId="1" fillId="0" borderId="2" xfId="0" applyFont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horizontal="center" vertical="top"/>
    </xf>
    <xf numFmtId="0" fontId="5" fillId="0" borderId="0" xfId="0" applyFont="1" applyFill="1"/>
    <xf numFmtId="0" fontId="6" fillId="0" borderId="0" xfId="2" applyFont="1" applyFill="1"/>
    <xf numFmtId="0" fontId="6" fillId="0" borderId="0" xfId="1" applyFont="1" applyFill="1"/>
    <xf numFmtId="0" fontId="5" fillId="5" borderId="0" xfId="0" applyFont="1" applyFill="1"/>
    <xf numFmtId="0" fontId="6" fillId="5" borderId="0" xfId="2" applyFont="1" applyFill="1"/>
    <xf numFmtId="0" fontId="0" fillId="5" borderId="0" xfId="0" applyFill="1"/>
  </cellXfs>
  <cellStyles count="3">
    <cellStyle name="Good" xfId="1" builtinId="26"/>
    <cellStyle name="Neutral" xfId="2" builtinId="28"/>
    <cellStyle name="Normal" xfId="0" builtinId="0"/>
  </cellStyles>
  <dxfs count="3">
    <dxf>
      <fill>
        <patternFill patternType="solid">
          <fgColor rgb="FF92D050"/>
          <bgColor rgb="FF000000"/>
        </patternFill>
      </fill>
    </dxf>
    <dxf>
      <fill>
        <patternFill patternType="solid">
          <fgColor rgb="FFB7DEE8"/>
          <bgColor rgb="FF000000"/>
        </patternFill>
      </fill>
    </dxf>
    <dxf>
      <fill>
        <patternFill patternType="solid">
          <fgColor rgb="FFFFEB9C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146"/>
  <sheetViews>
    <sheetView tabSelected="1" workbookViewId="0">
      <selection sqref="A1:H482"/>
    </sheetView>
  </sheetViews>
  <sheetFormatPr baseColWidth="10" defaultColWidth="8.83203125" defaultRowHeight="15" x14ac:dyDescent="0.2"/>
  <cols>
    <col min="1" max="1" width="10.33203125" style="8" bestFit="1" customWidth="1"/>
    <col min="2" max="2" width="56.6640625" style="8" bestFit="1" customWidth="1"/>
    <col min="3" max="3" width="10.1640625" style="8" bestFit="1" customWidth="1"/>
    <col min="4" max="4" width="15.1640625" style="8" bestFit="1" customWidth="1"/>
    <col min="5" max="5" width="14.33203125" style="8" bestFit="1" customWidth="1"/>
    <col min="6" max="6" width="18.1640625" style="8" bestFit="1" customWidth="1"/>
    <col min="7" max="7" width="12.83203125" style="8" bestFit="1" customWidth="1"/>
    <col min="8" max="8" width="13.6640625" style="8" bestFit="1" customWidth="1"/>
    <col min="9" max="16384" width="8.83203125" style="8"/>
  </cols>
  <sheetData>
    <row r="1" spans="1:9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1200</v>
      </c>
      <c r="I1" s="7"/>
    </row>
    <row r="2" spans="1:9" customFormat="1" hidden="1" x14ac:dyDescent="0.2">
      <c r="A2">
        <v>106525</v>
      </c>
      <c r="B2" t="s">
        <v>928</v>
      </c>
      <c r="C2">
        <v>0</v>
      </c>
      <c r="D2" t="s">
        <v>923</v>
      </c>
      <c r="E2">
        <v>3</v>
      </c>
      <c r="F2">
        <v>0</v>
      </c>
      <c r="G2">
        <v>0</v>
      </c>
      <c r="H2" t="e">
        <f>(F2+E2)/C2</f>
        <v>#DIV/0!</v>
      </c>
    </row>
    <row r="3" spans="1:9" customFormat="1" hidden="1" x14ac:dyDescent="0.2">
      <c r="A3">
        <v>106576</v>
      </c>
      <c r="B3" t="s">
        <v>929</v>
      </c>
      <c r="C3">
        <v>0</v>
      </c>
      <c r="D3" t="s">
        <v>923</v>
      </c>
      <c r="E3">
        <v>38</v>
      </c>
      <c r="F3">
        <v>0</v>
      </c>
      <c r="G3">
        <v>0</v>
      </c>
      <c r="H3" t="e">
        <f>(F3+E3)/C3</f>
        <v>#DIV/0!</v>
      </c>
    </row>
    <row r="4" spans="1:9" customFormat="1" hidden="1" x14ac:dyDescent="0.2">
      <c r="A4">
        <v>106657</v>
      </c>
      <c r="B4" t="s">
        <v>933</v>
      </c>
      <c r="C4">
        <v>0</v>
      </c>
      <c r="D4" t="s">
        <v>923</v>
      </c>
      <c r="E4">
        <v>2</v>
      </c>
      <c r="F4">
        <v>0</v>
      </c>
      <c r="G4">
        <v>0</v>
      </c>
      <c r="H4" t="e">
        <f>(F4+E4)/C4</f>
        <v>#DIV/0!</v>
      </c>
    </row>
    <row r="5" spans="1:9" customFormat="1" hidden="1" x14ac:dyDescent="0.2">
      <c r="A5">
        <v>107450</v>
      </c>
      <c r="B5" t="s">
        <v>938</v>
      </c>
      <c r="C5">
        <v>0</v>
      </c>
      <c r="D5" t="s">
        <v>923</v>
      </c>
      <c r="E5">
        <v>11</v>
      </c>
      <c r="F5">
        <v>0</v>
      </c>
      <c r="G5">
        <v>0</v>
      </c>
      <c r="H5" t="e">
        <f>(F5+E5)/C5</f>
        <v>#DIV/0!</v>
      </c>
    </row>
    <row r="6" spans="1:9" customFormat="1" hidden="1" x14ac:dyDescent="0.2">
      <c r="A6">
        <v>107826</v>
      </c>
      <c r="B6" t="s">
        <v>940</v>
      </c>
      <c r="C6">
        <v>0</v>
      </c>
      <c r="D6" t="s">
        <v>923</v>
      </c>
      <c r="E6">
        <v>26</v>
      </c>
      <c r="F6">
        <v>26</v>
      </c>
      <c r="G6">
        <v>0</v>
      </c>
      <c r="H6" t="e">
        <f>(F6+E6)/C6</f>
        <v>#DIV/0!</v>
      </c>
    </row>
    <row r="7" spans="1:9" customFormat="1" hidden="1" x14ac:dyDescent="0.2">
      <c r="A7">
        <v>108291</v>
      </c>
      <c r="B7" t="s">
        <v>946</v>
      </c>
      <c r="C7">
        <v>0</v>
      </c>
      <c r="D7" t="s">
        <v>923</v>
      </c>
      <c r="E7">
        <v>5</v>
      </c>
      <c r="F7">
        <v>14</v>
      </c>
      <c r="G7">
        <v>0</v>
      </c>
      <c r="H7" t="e">
        <f>(F7+E7)/C7</f>
        <v>#DIV/0!</v>
      </c>
    </row>
    <row r="8" spans="1:9" customFormat="1" hidden="1" x14ac:dyDescent="0.2">
      <c r="A8">
        <v>108337</v>
      </c>
      <c r="B8" t="s">
        <v>947</v>
      </c>
      <c r="C8">
        <v>0</v>
      </c>
      <c r="D8" t="s">
        <v>923</v>
      </c>
      <c r="E8">
        <v>1</v>
      </c>
      <c r="F8">
        <v>0</v>
      </c>
      <c r="G8">
        <v>0</v>
      </c>
      <c r="H8" t="e">
        <f>(F8+E8)/C8</f>
        <v>#DIV/0!</v>
      </c>
    </row>
    <row r="9" spans="1:9" customFormat="1" hidden="1" x14ac:dyDescent="0.2">
      <c r="A9">
        <v>108428</v>
      </c>
      <c r="B9" t="s">
        <v>948</v>
      </c>
      <c r="C9">
        <v>0</v>
      </c>
      <c r="D9" t="s">
        <v>923</v>
      </c>
      <c r="E9">
        <v>27</v>
      </c>
      <c r="F9">
        <v>0</v>
      </c>
      <c r="G9">
        <v>0</v>
      </c>
      <c r="H9" t="e">
        <f>(F9+E9)/C9</f>
        <v>#DIV/0!</v>
      </c>
    </row>
    <row r="10" spans="1:9" customFormat="1" hidden="1" x14ac:dyDescent="0.2">
      <c r="A10">
        <v>108662</v>
      </c>
      <c r="B10" t="s">
        <v>954</v>
      </c>
      <c r="C10">
        <v>0</v>
      </c>
      <c r="D10" t="s">
        <v>923</v>
      </c>
      <c r="E10">
        <v>5</v>
      </c>
      <c r="F10">
        <v>0</v>
      </c>
      <c r="G10">
        <v>0</v>
      </c>
      <c r="H10" t="e">
        <f>(F10+E10)/C10</f>
        <v>#DIV/0!</v>
      </c>
    </row>
    <row r="11" spans="1:9" customFormat="1" hidden="1" x14ac:dyDescent="0.2">
      <c r="A11">
        <v>109378</v>
      </c>
      <c r="B11" t="s">
        <v>960</v>
      </c>
      <c r="C11">
        <v>0</v>
      </c>
      <c r="D11" t="s">
        <v>923</v>
      </c>
      <c r="E11">
        <v>27</v>
      </c>
      <c r="F11">
        <v>12</v>
      </c>
      <c r="G11">
        <v>0</v>
      </c>
      <c r="H11" t="e">
        <f>(F11+E11)/C11</f>
        <v>#DIV/0!</v>
      </c>
    </row>
    <row r="12" spans="1:9" customFormat="1" hidden="1" x14ac:dyDescent="0.2">
      <c r="A12">
        <v>109834</v>
      </c>
      <c r="B12" t="s">
        <v>966</v>
      </c>
      <c r="C12">
        <v>0</v>
      </c>
      <c r="D12" t="s">
        <v>923</v>
      </c>
      <c r="E12">
        <v>2</v>
      </c>
      <c r="F12">
        <v>30</v>
      </c>
      <c r="G12">
        <v>0</v>
      </c>
      <c r="H12" t="e">
        <f>(F12+E12)/C12</f>
        <v>#DIV/0!</v>
      </c>
    </row>
    <row r="13" spans="1:9" customFormat="1" hidden="1" x14ac:dyDescent="0.2">
      <c r="A13">
        <v>111040</v>
      </c>
      <c r="B13" t="s">
        <v>976</v>
      </c>
      <c r="C13">
        <v>0</v>
      </c>
      <c r="D13" t="s">
        <v>923</v>
      </c>
      <c r="E13">
        <v>2</v>
      </c>
      <c r="F13">
        <v>0</v>
      </c>
      <c r="G13">
        <v>0</v>
      </c>
      <c r="H13" t="e">
        <f>(F13+E13)/C13</f>
        <v>#DIV/0!</v>
      </c>
    </row>
    <row r="14" spans="1:9" customFormat="1" hidden="1" x14ac:dyDescent="0.2">
      <c r="A14">
        <v>112359</v>
      </c>
      <c r="B14" t="s">
        <v>982</v>
      </c>
      <c r="C14">
        <v>0</v>
      </c>
      <c r="D14" t="s">
        <v>923</v>
      </c>
      <c r="E14">
        <v>39</v>
      </c>
      <c r="F14">
        <v>6</v>
      </c>
      <c r="G14">
        <v>0</v>
      </c>
      <c r="H14" t="e">
        <f>(F14+E14)/C14</f>
        <v>#DIV/0!</v>
      </c>
    </row>
    <row r="15" spans="1:9" customFormat="1" hidden="1" x14ac:dyDescent="0.2">
      <c r="A15">
        <v>112499</v>
      </c>
      <c r="B15" t="s">
        <v>983</v>
      </c>
      <c r="C15">
        <v>0</v>
      </c>
      <c r="D15" t="s">
        <v>923</v>
      </c>
      <c r="E15">
        <v>3</v>
      </c>
      <c r="F15">
        <v>4</v>
      </c>
      <c r="G15">
        <v>0</v>
      </c>
      <c r="H15" t="e">
        <f>(F15+E15)/C15</f>
        <v>#DIV/0!</v>
      </c>
    </row>
    <row r="16" spans="1:9" customFormat="1" hidden="1" x14ac:dyDescent="0.2">
      <c r="A16">
        <v>113004</v>
      </c>
      <c r="B16" t="s">
        <v>987</v>
      </c>
      <c r="C16">
        <v>0</v>
      </c>
      <c r="D16" t="s">
        <v>923</v>
      </c>
      <c r="E16">
        <v>2</v>
      </c>
      <c r="F16">
        <v>0</v>
      </c>
      <c r="G16">
        <v>0</v>
      </c>
      <c r="H16" t="e">
        <f>(F16+E16)/C16</f>
        <v>#DIV/0!</v>
      </c>
    </row>
    <row r="17" spans="1:8" customFormat="1" hidden="1" x14ac:dyDescent="0.2">
      <c r="A17">
        <v>115079</v>
      </c>
      <c r="B17" t="s">
        <v>995</v>
      </c>
      <c r="C17">
        <v>0</v>
      </c>
      <c r="D17" t="s">
        <v>923</v>
      </c>
      <c r="E17">
        <v>36</v>
      </c>
      <c r="F17">
        <v>65</v>
      </c>
      <c r="G17">
        <v>0</v>
      </c>
      <c r="H17" t="e">
        <f>(F17+E17)/C17</f>
        <v>#DIV/0!</v>
      </c>
    </row>
    <row r="18" spans="1:8" customFormat="1" hidden="1" x14ac:dyDescent="0.2">
      <c r="A18">
        <v>115279</v>
      </c>
      <c r="B18" t="s">
        <v>996</v>
      </c>
      <c r="C18">
        <v>0</v>
      </c>
      <c r="D18" t="s">
        <v>923</v>
      </c>
      <c r="E18">
        <v>2</v>
      </c>
      <c r="F18">
        <v>0</v>
      </c>
      <c r="G18">
        <v>0</v>
      </c>
      <c r="H18" t="e">
        <f>(F18+E18)/C18</f>
        <v>#DIV/0!</v>
      </c>
    </row>
    <row r="19" spans="1:8" customFormat="1" hidden="1" x14ac:dyDescent="0.2">
      <c r="A19">
        <v>116393</v>
      </c>
      <c r="B19" t="s">
        <v>1002</v>
      </c>
      <c r="C19">
        <v>0</v>
      </c>
      <c r="D19" t="s">
        <v>923</v>
      </c>
      <c r="E19">
        <v>2</v>
      </c>
      <c r="F19">
        <v>0</v>
      </c>
      <c r="G19">
        <v>0</v>
      </c>
      <c r="H19" t="e">
        <f>(F19+E19)/C19</f>
        <v>#DIV/0!</v>
      </c>
    </row>
    <row r="20" spans="1:8" customFormat="1" hidden="1" x14ac:dyDescent="0.2">
      <c r="A20">
        <v>128761</v>
      </c>
      <c r="B20" t="s">
        <v>1013</v>
      </c>
      <c r="C20">
        <v>0</v>
      </c>
      <c r="D20" t="s">
        <v>923</v>
      </c>
      <c r="E20">
        <v>2</v>
      </c>
      <c r="F20">
        <v>0</v>
      </c>
      <c r="G20">
        <v>0</v>
      </c>
      <c r="H20" t="e">
        <f>(F20+E20)/C20</f>
        <v>#DIV/0!</v>
      </c>
    </row>
    <row r="21" spans="1:8" customFormat="1" hidden="1" x14ac:dyDescent="0.2">
      <c r="A21">
        <v>128823</v>
      </c>
      <c r="B21" t="s">
        <v>1014</v>
      </c>
      <c r="C21">
        <v>0</v>
      </c>
      <c r="D21" t="s">
        <v>923</v>
      </c>
      <c r="E21">
        <v>3</v>
      </c>
      <c r="F21">
        <v>0</v>
      </c>
      <c r="G21">
        <v>0</v>
      </c>
      <c r="H21" t="e">
        <f>(F21+E21)/C21</f>
        <v>#DIV/0!</v>
      </c>
    </row>
    <row r="22" spans="1:8" customFormat="1" hidden="1" x14ac:dyDescent="0.2">
      <c r="A22">
        <v>132173</v>
      </c>
      <c r="B22" t="s">
        <v>1016</v>
      </c>
      <c r="C22">
        <v>0</v>
      </c>
      <c r="D22" t="s">
        <v>923</v>
      </c>
      <c r="E22">
        <v>0</v>
      </c>
      <c r="F22">
        <v>2</v>
      </c>
      <c r="G22">
        <v>0</v>
      </c>
      <c r="H22" t="e">
        <f>(F22+E22)/C22</f>
        <v>#DIV/0!</v>
      </c>
    </row>
    <row r="23" spans="1:8" customFormat="1" hidden="1" x14ac:dyDescent="0.2">
      <c r="A23">
        <v>132522</v>
      </c>
      <c r="B23" t="s">
        <v>1017</v>
      </c>
      <c r="C23">
        <v>0</v>
      </c>
      <c r="D23" t="s">
        <v>923</v>
      </c>
      <c r="E23">
        <v>5</v>
      </c>
      <c r="F23">
        <v>0</v>
      </c>
      <c r="G23">
        <v>0</v>
      </c>
      <c r="H23" t="e">
        <f>(F23+E23)/C23</f>
        <v>#DIV/0!</v>
      </c>
    </row>
    <row r="24" spans="1:8" customFormat="1" hidden="1" x14ac:dyDescent="0.2">
      <c r="A24">
        <v>140280</v>
      </c>
      <c r="B24" t="s">
        <v>1019</v>
      </c>
      <c r="C24">
        <v>0</v>
      </c>
      <c r="D24" t="s">
        <v>923</v>
      </c>
      <c r="E24">
        <v>3</v>
      </c>
      <c r="F24">
        <v>0</v>
      </c>
      <c r="G24">
        <v>0</v>
      </c>
      <c r="H24" t="e">
        <f>(F24+E24)/C24</f>
        <v>#DIV/0!</v>
      </c>
    </row>
    <row r="25" spans="1:8" customFormat="1" hidden="1" x14ac:dyDescent="0.2">
      <c r="A25">
        <v>145184</v>
      </c>
      <c r="B25" t="s">
        <v>1023</v>
      </c>
      <c r="C25">
        <v>0</v>
      </c>
      <c r="D25" t="s">
        <v>923</v>
      </c>
      <c r="E25">
        <v>12</v>
      </c>
      <c r="F25">
        <v>0</v>
      </c>
      <c r="G25">
        <v>0</v>
      </c>
      <c r="H25" t="e">
        <f>(F25+E25)/C25</f>
        <v>#DIV/0!</v>
      </c>
    </row>
    <row r="26" spans="1:8" customFormat="1" hidden="1" x14ac:dyDescent="0.2">
      <c r="A26">
        <v>146825</v>
      </c>
      <c r="B26" t="s">
        <v>1024</v>
      </c>
      <c r="C26">
        <v>0</v>
      </c>
      <c r="D26" t="s">
        <v>923</v>
      </c>
      <c r="E26">
        <v>54</v>
      </c>
      <c r="F26">
        <v>2</v>
      </c>
      <c r="G26">
        <v>0</v>
      </c>
      <c r="H26" t="e">
        <f>(F26+E26)/C26</f>
        <v>#DIV/0!</v>
      </c>
    </row>
    <row r="27" spans="1:8" customFormat="1" hidden="1" x14ac:dyDescent="0.2">
      <c r="A27">
        <v>164535</v>
      </c>
      <c r="B27" t="s">
        <v>1032</v>
      </c>
      <c r="C27">
        <v>0</v>
      </c>
      <c r="D27" t="s">
        <v>923</v>
      </c>
      <c r="E27">
        <v>7</v>
      </c>
      <c r="F27">
        <v>0</v>
      </c>
      <c r="G27">
        <v>0</v>
      </c>
      <c r="H27" t="e">
        <f>(F27+E27)/C27</f>
        <v>#DIV/0!</v>
      </c>
    </row>
    <row r="28" spans="1:8" customFormat="1" hidden="1" x14ac:dyDescent="0.2">
      <c r="A28">
        <v>165139</v>
      </c>
      <c r="B28" t="s">
        <v>1033</v>
      </c>
      <c r="C28">
        <v>0</v>
      </c>
      <c r="D28" t="s">
        <v>923</v>
      </c>
      <c r="E28">
        <v>1</v>
      </c>
      <c r="F28">
        <v>0</v>
      </c>
      <c r="G28">
        <v>0</v>
      </c>
      <c r="H28" t="e">
        <f>(F28+E28)/C28</f>
        <v>#DIV/0!</v>
      </c>
    </row>
    <row r="29" spans="1:8" customFormat="1" hidden="1" x14ac:dyDescent="0.2">
      <c r="A29">
        <v>168226</v>
      </c>
      <c r="B29" t="s">
        <v>1034</v>
      </c>
      <c r="C29">
        <v>0</v>
      </c>
      <c r="D29" t="s">
        <v>923</v>
      </c>
      <c r="E29">
        <v>10</v>
      </c>
      <c r="F29">
        <v>1</v>
      </c>
      <c r="G29">
        <v>0</v>
      </c>
      <c r="H29" t="e">
        <f>(F29+E29)/C29</f>
        <v>#DIV/0!</v>
      </c>
    </row>
    <row r="30" spans="1:8" customFormat="1" hidden="1" x14ac:dyDescent="0.2">
      <c r="A30">
        <v>168376</v>
      </c>
      <c r="B30" t="s">
        <v>1035</v>
      </c>
      <c r="C30">
        <v>0</v>
      </c>
      <c r="D30" t="s">
        <v>923</v>
      </c>
      <c r="E30">
        <v>20</v>
      </c>
      <c r="F30">
        <v>0</v>
      </c>
      <c r="G30">
        <v>0</v>
      </c>
      <c r="H30" t="e">
        <f>(F30+E30)/C30</f>
        <v>#DIV/0!</v>
      </c>
    </row>
    <row r="31" spans="1:8" customFormat="1" hidden="1" x14ac:dyDescent="0.2">
      <c r="A31">
        <v>169396</v>
      </c>
      <c r="B31" t="s">
        <v>1036</v>
      </c>
      <c r="C31">
        <v>0</v>
      </c>
      <c r="D31" t="s">
        <v>923</v>
      </c>
      <c r="E31">
        <v>7</v>
      </c>
      <c r="F31">
        <v>0</v>
      </c>
      <c r="G31">
        <v>0</v>
      </c>
      <c r="H31" t="e">
        <f>(F31+E31)/C31</f>
        <v>#DIV/0!</v>
      </c>
    </row>
    <row r="32" spans="1:8" customFormat="1" hidden="1" x14ac:dyDescent="0.2">
      <c r="A32">
        <v>171769</v>
      </c>
      <c r="B32" t="s">
        <v>1037</v>
      </c>
      <c r="C32">
        <v>0</v>
      </c>
      <c r="D32" t="s">
        <v>923</v>
      </c>
      <c r="E32">
        <v>4</v>
      </c>
      <c r="F32">
        <v>0</v>
      </c>
      <c r="G32">
        <v>0</v>
      </c>
      <c r="H32" t="e">
        <f>(F32+E32)/C32</f>
        <v>#DIV/0!</v>
      </c>
    </row>
    <row r="33" spans="1:9" customFormat="1" hidden="1" x14ac:dyDescent="0.2">
      <c r="A33">
        <v>179820</v>
      </c>
      <c r="B33" t="s">
        <v>1038</v>
      </c>
      <c r="C33">
        <v>0</v>
      </c>
      <c r="D33" t="s">
        <v>923</v>
      </c>
      <c r="E33">
        <v>0</v>
      </c>
      <c r="F33">
        <v>1</v>
      </c>
      <c r="G33">
        <v>0</v>
      </c>
      <c r="H33" t="e">
        <f>(F33+E33)/C33</f>
        <v>#DIV/0!</v>
      </c>
    </row>
    <row r="34" spans="1:9" customFormat="1" hidden="1" x14ac:dyDescent="0.2">
      <c r="A34">
        <v>194255</v>
      </c>
      <c r="B34" t="s">
        <v>1043</v>
      </c>
      <c r="C34">
        <v>0</v>
      </c>
      <c r="D34" t="s">
        <v>923</v>
      </c>
      <c r="E34">
        <v>39</v>
      </c>
      <c r="F34">
        <v>6</v>
      </c>
      <c r="G34">
        <v>0</v>
      </c>
      <c r="H34" t="e">
        <f>(F34+E34)/C34</f>
        <v>#DIV/0!</v>
      </c>
    </row>
    <row r="35" spans="1:9" customFormat="1" hidden="1" x14ac:dyDescent="0.2">
      <c r="A35">
        <v>202077</v>
      </c>
      <c r="B35" t="s">
        <v>1045</v>
      </c>
      <c r="C35">
        <v>0</v>
      </c>
      <c r="D35" t="s">
        <v>923</v>
      </c>
      <c r="E35">
        <v>12</v>
      </c>
      <c r="F35">
        <v>5</v>
      </c>
      <c r="G35">
        <v>0</v>
      </c>
      <c r="H35" t="e">
        <f>(F35+E35)/C35</f>
        <v>#DIV/0!</v>
      </c>
    </row>
    <row r="36" spans="1:9" customFormat="1" hidden="1" x14ac:dyDescent="0.2">
      <c r="A36">
        <v>202744</v>
      </c>
      <c r="B36" t="s">
        <v>1046</v>
      </c>
      <c r="C36">
        <v>0</v>
      </c>
      <c r="D36" t="s">
        <v>923</v>
      </c>
      <c r="E36">
        <v>6</v>
      </c>
      <c r="F36">
        <v>0</v>
      </c>
      <c r="G36">
        <v>0</v>
      </c>
      <c r="H36" t="e">
        <f>(F36+E36)/C36</f>
        <v>#DIV/0!</v>
      </c>
    </row>
    <row r="37" spans="1:9" customFormat="1" hidden="1" x14ac:dyDescent="0.2">
      <c r="A37">
        <v>204092</v>
      </c>
      <c r="B37" t="s">
        <v>1047</v>
      </c>
      <c r="C37">
        <v>0</v>
      </c>
      <c r="D37" t="s">
        <v>923</v>
      </c>
      <c r="E37">
        <v>93</v>
      </c>
      <c r="F37">
        <v>133</v>
      </c>
      <c r="G37">
        <v>0</v>
      </c>
      <c r="H37" t="e">
        <f>(F37+E37)/C37</f>
        <v>#DIV/0!</v>
      </c>
    </row>
    <row r="38" spans="1:9" hidden="1" x14ac:dyDescent="0.2">
      <c r="A38">
        <v>232925</v>
      </c>
      <c r="B38" t="s">
        <v>1052</v>
      </c>
      <c r="C38">
        <v>0</v>
      </c>
      <c r="D38" t="s">
        <v>923</v>
      </c>
      <c r="E38">
        <v>11</v>
      </c>
      <c r="F38">
        <v>32</v>
      </c>
      <c r="G38">
        <v>0</v>
      </c>
      <c r="H38" t="e">
        <f>(F38+E38)/C38</f>
        <v>#DIV/0!</v>
      </c>
      <c r="I38"/>
    </row>
    <row r="39" spans="1:9" customFormat="1" hidden="1" x14ac:dyDescent="0.2">
      <c r="A39">
        <v>236186</v>
      </c>
      <c r="B39" t="s">
        <v>1053</v>
      </c>
      <c r="C39">
        <v>0</v>
      </c>
      <c r="D39" t="s">
        <v>923</v>
      </c>
      <c r="E39">
        <v>5</v>
      </c>
      <c r="F39">
        <v>0</v>
      </c>
      <c r="G39">
        <v>0</v>
      </c>
      <c r="H39" t="e">
        <f>(F39+E39)/C39</f>
        <v>#DIV/0!</v>
      </c>
    </row>
    <row r="40" spans="1:9" customFormat="1" hidden="1" x14ac:dyDescent="0.2">
      <c r="A40">
        <v>236367</v>
      </c>
      <c r="B40" t="s">
        <v>1054</v>
      </c>
      <c r="C40">
        <v>0</v>
      </c>
      <c r="D40" t="s">
        <v>923</v>
      </c>
      <c r="E40">
        <v>3</v>
      </c>
      <c r="F40">
        <v>0</v>
      </c>
      <c r="G40">
        <v>0</v>
      </c>
      <c r="H40" t="e">
        <f>(F40+E40)/C40</f>
        <v>#DIV/0!</v>
      </c>
    </row>
    <row r="41" spans="1:9" customFormat="1" hidden="1" x14ac:dyDescent="0.2">
      <c r="A41">
        <v>306040</v>
      </c>
      <c r="B41" t="s">
        <v>1062</v>
      </c>
      <c r="C41">
        <v>0</v>
      </c>
      <c r="D41" t="s">
        <v>923</v>
      </c>
      <c r="E41">
        <v>5</v>
      </c>
      <c r="F41">
        <v>3</v>
      </c>
      <c r="G41">
        <v>0</v>
      </c>
      <c r="H41" t="e">
        <f>(F41+E41)/C41</f>
        <v>#DIV/0!</v>
      </c>
    </row>
    <row r="42" spans="1:9" customFormat="1" hidden="1" x14ac:dyDescent="0.2">
      <c r="A42">
        <v>308142</v>
      </c>
      <c r="B42" t="s">
        <v>1063</v>
      </c>
      <c r="C42">
        <v>0</v>
      </c>
      <c r="D42" t="s">
        <v>923</v>
      </c>
      <c r="E42">
        <v>0</v>
      </c>
      <c r="F42">
        <v>15</v>
      </c>
      <c r="G42">
        <v>0</v>
      </c>
      <c r="H42" t="e">
        <f>(F42+E42)/C42</f>
        <v>#DIV/0!</v>
      </c>
    </row>
    <row r="43" spans="1:9" customFormat="1" hidden="1" x14ac:dyDescent="0.2">
      <c r="A43">
        <v>315562</v>
      </c>
      <c r="B43" t="s">
        <v>1064</v>
      </c>
      <c r="C43">
        <v>0</v>
      </c>
      <c r="D43" t="s">
        <v>923</v>
      </c>
      <c r="E43">
        <v>16</v>
      </c>
      <c r="F43">
        <v>12</v>
      </c>
      <c r="G43">
        <v>0</v>
      </c>
      <c r="H43" t="e">
        <f>(F43+E43)/C43</f>
        <v>#DIV/0!</v>
      </c>
    </row>
    <row r="44" spans="1:9" customFormat="1" hidden="1" x14ac:dyDescent="0.2">
      <c r="A44">
        <v>322540</v>
      </c>
      <c r="B44" t="s">
        <v>1068</v>
      </c>
      <c r="C44">
        <v>0</v>
      </c>
      <c r="D44" t="s">
        <v>923</v>
      </c>
      <c r="E44">
        <v>5</v>
      </c>
      <c r="F44">
        <v>2</v>
      </c>
      <c r="G44">
        <v>0</v>
      </c>
      <c r="H44" t="e">
        <f>(F44+E44)/C44</f>
        <v>#DIV/0!</v>
      </c>
    </row>
    <row r="45" spans="1:9" customFormat="1" hidden="1" x14ac:dyDescent="0.2">
      <c r="A45">
        <v>327726</v>
      </c>
      <c r="B45" t="s">
        <v>1071</v>
      </c>
      <c r="C45">
        <v>0</v>
      </c>
      <c r="D45" t="s">
        <v>923</v>
      </c>
      <c r="E45">
        <v>12</v>
      </c>
      <c r="F45">
        <v>1</v>
      </c>
      <c r="G45">
        <v>0</v>
      </c>
      <c r="H45" t="e">
        <f>(F45+E45)/C45</f>
        <v>#DIV/0!</v>
      </c>
    </row>
    <row r="46" spans="1:9" customFormat="1" hidden="1" x14ac:dyDescent="0.2">
      <c r="A46">
        <v>327790</v>
      </c>
      <c r="B46" t="s">
        <v>1072</v>
      </c>
      <c r="C46">
        <v>0</v>
      </c>
      <c r="D46" t="s">
        <v>923</v>
      </c>
      <c r="E46">
        <v>21</v>
      </c>
      <c r="F46">
        <v>12</v>
      </c>
      <c r="G46">
        <v>0</v>
      </c>
      <c r="H46" t="e">
        <f>(F46+E46)/C46</f>
        <v>#DIV/0!</v>
      </c>
    </row>
    <row r="47" spans="1:9" customFormat="1" hidden="1" x14ac:dyDescent="0.2">
      <c r="A47">
        <v>365837</v>
      </c>
      <c r="B47" t="s">
        <v>1073</v>
      </c>
      <c r="C47">
        <v>0</v>
      </c>
      <c r="D47" t="s">
        <v>923</v>
      </c>
      <c r="E47">
        <v>288</v>
      </c>
      <c r="F47">
        <v>22</v>
      </c>
      <c r="G47">
        <v>0</v>
      </c>
      <c r="H47" t="e">
        <f>(F47+E47)/C47</f>
        <v>#DIV/0!</v>
      </c>
    </row>
    <row r="48" spans="1:9" customFormat="1" hidden="1" x14ac:dyDescent="0.2">
      <c r="A48">
        <v>411270</v>
      </c>
      <c r="B48" t="s">
        <v>1074</v>
      </c>
      <c r="C48">
        <v>0</v>
      </c>
      <c r="D48" t="s">
        <v>923</v>
      </c>
      <c r="E48">
        <v>0</v>
      </c>
      <c r="F48">
        <v>8</v>
      </c>
      <c r="G48">
        <v>0</v>
      </c>
      <c r="H48" t="e">
        <f>(F48+E48)/C48</f>
        <v>#DIV/0!</v>
      </c>
    </row>
    <row r="49" spans="1:8" customFormat="1" hidden="1" x14ac:dyDescent="0.2">
      <c r="A49">
        <v>472541</v>
      </c>
      <c r="B49" t="s">
        <v>1086</v>
      </c>
      <c r="C49">
        <v>0</v>
      </c>
      <c r="D49" t="s">
        <v>923</v>
      </c>
      <c r="E49">
        <v>4</v>
      </c>
      <c r="F49">
        <v>0</v>
      </c>
      <c r="G49">
        <v>0</v>
      </c>
      <c r="H49" t="e">
        <f>(F49+E49)/C49</f>
        <v>#DIV/0!</v>
      </c>
    </row>
    <row r="50" spans="1:8" customFormat="1" hidden="1" x14ac:dyDescent="0.2">
      <c r="A50">
        <v>472627</v>
      </c>
      <c r="B50" t="s">
        <v>1087</v>
      </c>
      <c r="C50">
        <v>0</v>
      </c>
      <c r="D50" t="s">
        <v>923</v>
      </c>
      <c r="E50">
        <v>4</v>
      </c>
      <c r="F50">
        <v>0</v>
      </c>
      <c r="G50">
        <v>0</v>
      </c>
      <c r="H50" t="e">
        <f>(F50+E50)/C50</f>
        <v>#DIV/0!</v>
      </c>
    </row>
    <row r="51" spans="1:8" customFormat="1" hidden="1" x14ac:dyDescent="0.2">
      <c r="A51">
        <v>473714</v>
      </c>
      <c r="B51" t="s">
        <v>1088</v>
      </c>
      <c r="C51">
        <v>0</v>
      </c>
      <c r="D51" t="s">
        <v>923</v>
      </c>
      <c r="E51">
        <v>9</v>
      </c>
      <c r="F51">
        <v>4</v>
      </c>
      <c r="G51">
        <v>0</v>
      </c>
      <c r="H51" t="e">
        <f>(F51+E51)/C51</f>
        <v>#DIV/0!</v>
      </c>
    </row>
    <row r="52" spans="1:8" customFormat="1" hidden="1" x14ac:dyDescent="0.2">
      <c r="A52">
        <v>477343</v>
      </c>
      <c r="B52" t="s">
        <v>1089</v>
      </c>
      <c r="C52">
        <v>0</v>
      </c>
      <c r="D52" t="s">
        <v>923</v>
      </c>
      <c r="E52">
        <v>4</v>
      </c>
      <c r="F52">
        <v>0</v>
      </c>
      <c r="G52">
        <v>0</v>
      </c>
      <c r="H52" t="e">
        <f>(F52+E52)/C52</f>
        <v>#DIV/0!</v>
      </c>
    </row>
    <row r="53" spans="1:8" customFormat="1" hidden="1" x14ac:dyDescent="0.2">
      <c r="A53">
        <v>487132</v>
      </c>
      <c r="B53" t="s">
        <v>1095</v>
      </c>
      <c r="C53">
        <v>0</v>
      </c>
      <c r="D53" t="s">
        <v>923</v>
      </c>
      <c r="E53">
        <v>10</v>
      </c>
      <c r="F53">
        <v>6</v>
      </c>
      <c r="G53">
        <v>0</v>
      </c>
      <c r="H53" t="e">
        <f>(F53+E53)/C53</f>
        <v>#DIV/0!</v>
      </c>
    </row>
    <row r="54" spans="1:8" customFormat="1" hidden="1" x14ac:dyDescent="0.2">
      <c r="A54">
        <v>499870</v>
      </c>
      <c r="B54" t="s">
        <v>1099</v>
      </c>
      <c r="C54">
        <v>0</v>
      </c>
      <c r="D54" t="s">
        <v>923</v>
      </c>
      <c r="E54">
        <v>9</v>
      </c>
      <c r="F54">
        <v>0</v>
      </c>
      <c r="G54">
        <v>0</v>
      </c>
      <c r="H54" t="e">
        <f>(F54+E54)/C54</f>
        <v>#DIV/0!</v>
      </c>
    </row>
    <row r="55" spans="1:8" customFormat="1" hidden="1" x14ac:dyDescent="0.2">
      <c r="A55">
        <v>507940</v>
      </c>
      <c r="B55" t="s">
        <v>1101</v>
      </c>
      <c r="C55">
        <v>0</v>
      </c>
      <c r="D55" t="s">
        <v>923</v>
      </c>
      <c r="E55">
        <v>2</v>
      </c>
      <c r="F55">
        <v>0</v>
      </c>
      <c r="G55">
        <v>0</v>
      </c>
      <c r="H55" t="e">
        <f>(F55+E55)/C55</f>
        <v>#DIV/0!</v>
      </c>
    </row>
    <row r="56" spans="1:8" customFormat="1" hidden="1" x14ac:dyDescent="0.2">
      <c r="A56">
        <v>513304</v>
      </c>
      <c r="B56" t="s">
        <v>1104</v>
      </c>
      <c r="C56">
        <v>0</v>
      </c>
      <c r="D56" t="s">
        <v>923</v>
      </c>
      <c r="E56">
        <v>8</v>
      </c>
      <c r="F56">
        <v>0</v>
      </c>
      <c r="G56">
        <v>0</v>
      </c>
      <c r="H56" t="e">
        <f>(F56+E56)/C56</f>
        <v>#DIV/0!</v>
      </c>
    </row>
    <row r="57" spans="1:8" customFormat="1" hidden="1" x14ac:dyDescent="0.2">
      <c r="A57">
        <v>518748</v>
      </c>
      <c r="B57" t="s">
        <v>1109</v>
      </c>
      <c r="C57">
        <v>0</v>
      </c>
      <c r="D57" t="s">
        <v>923</v>
      </c>
      <c r="E57">
        <v>4</v>
      </c>
      <c r="F57">
        <v>0</v>
      </c>
      <c r="G57">
        <v>0</v>
      </c>
      <c r="H57" t="e">
        <f>(F57+E57)/C57</f>
        <v>#DIV/0!</v>
      </c>
    </row>
    <row r="58" spans="1:8" customFormat="1" hidden="1" x14ac:dyDescent="0.2">
      <c r="A58">
        <v>531557</v>
      </c>
      <c r="B58" t="s">
        <v>1110</v>
      </c>
      <c r="C58">
        <v>0</v>
      </c>
      <c r="D58" t="s">
        <v>923</v>
      </c>
      <c r="E58">
        <v>3</v>
      </c>
      <c r="F58">
        <v>0</v>
      </c>
      <c r="G58">
        <v>0</v>
      </c>
      <c r="H58" t="e">
        <f>(F58+E58)/C58</f>
        <v>#DIV/0!</v>
      </c>
    </row>
    <row r="59" spans="1:8" customFormat="1" hidden="1" x14ac:dyDescent="0.2">
      <c r="A59">
        <v>582952</v>
      </c>
      <c r="B59" t="s">
        <v>1115</v>
      </c>
      <c r="C59">
        <v>0</v>
      </c>
      <c r="D59" t="s">
        <v>923</v>
      </c>
      <c r="E59">
        <v>10</v>
      </c>
      <c r="F59">
        <v>32</v>
      </c>
      <c r="G59">
        <v>0</v>
      </c>
      <c r="H59" t="e">
        <f>(F59+E59)/C59</f>
        <v>#DIV/0!</v>
      </c>
    </row>
    <row r="60" spans="1:8" customFormat="1" hidden="1" x14ac:dyDescent="0.2">
      <c r="A60" t="s">
        <v>1120</v>
      </c>
      <c r="B60" t="s">
        <v>1121</v>
      </c>
      <c r="C60">
        <v>0</v>
      </c>
      <c r="D60" t="s">
        <v>923</v>
      </c>
      <c r="E60">
        <v>10</v>
      </c>
      <c r="F60">
        <v>0</v>
      </c>
      <c r="G60">
        <v>0</v>
      </c>
      <c r="H60" t="e">
        <f>(F60+E60)/C60</f>
        <v>#DIV/0!</v>
      </c>
    </row>
    <row r="61" spans="1:8" customFormat="1" hidden="1" x14ac:dyDescent="0.2">
      <c r="A61">
        <v>106524</v>
      </c>
      <c r="C61">
        <v>0</v>
      </c>
      <c r="D61" t="s">
        <v>1122</v>
      </c>
      <c r="E61">
        <v>1261</v>
      </c>
      <c r="F61">
        <v>28</v>
      </c>
      <c r="G61">
        <v>0</v>
      </c>
      <c r="H61" t="e">
        <f>(F61+E61)/C61</f>
        <v>#DIV/0!</v>
      </c>
    </row>
    <row r="62" spans="1:8" customFormat="1" hidden="1" x14ac:dyDescent="0.2">
      <c r="A62">
        <v>106900</v>
      </c>
      <c r="C62">
        <v>0</v>
      </c>
      <c r="D62" t="s">
        <v>1122</v>
      </c>
      <c r="E62">
        <v>1</v>
      </c>
      <c r="F62">
        <v>0</v>
      </c>
      <c r="G62">
        <v>0</v>
      </c>
      <c r="H62" t="e">
        <f>(F62+E62)/C62</f>
        <v>#DIV/0!</v>
      </c>
    </row>
    <row r="63" spans="1:8" customFormat="1" hidden="1" x14ac:dyDescent="0.2">
      <c r="A63">
        <v>107824</v>
      </c>
      <c r="C63">
        <v>0</v>
      </c>
      <c r="D63" t="s">
        <v>1122</v>
      </c>
      <c r="E63">
        <v>1257</v>
      </c>
      <c r="F63">
        <v>79</v>
      </c>
      <c r="G63">
        <v>0</v>
      </c>
      <c r="H63" t="e">
        <f>(F63+E63)/C63</f>
        <v>#DIV/0!</v>
      </c>
    </row>
    <row r="64" spans="1:8" customFormat="1" hidden="1" x14ac:dyDescent="0.2">
      <c r="A64">
        <v>108481</v>
      </c>
      <c r="C64">
        <v>0</v>
      </c>
      <c r="D64" t="s">
        <v>1122</v>
      </c>
      <c r="E64">
        <v>7</v>
      </c>
      <c r="F64">
        <v>10</v>
      </c>
      <c r="G64">
        <v>0</v>
      </c>
      <c r="H64" t="e">
        <f>(F64+E64)/C64</f>
        <v>#DIV/0!</v>
      </c>
    </row>
    <row r="65" spans="1:8" customFormat="1" hidden="1" x14ac:dyDescent="0.2">
      <c r="A65">
        <v>109149</v>
      </c>
      <c r="C65">
        <v>0</v>
      </c>
      <c r="D65" t="s">
        <v>1122</v>
      </c>
      <c r="E65">
        <v>71</v>
      </c>
      <c r="F65">
        <v>3</v>
      </c>
      <c r="G65">
        <v>0</v>
      </c>
      <c r="H65" t="e">
        <f>(F65+E65)/C65</f>
        <v>#DIV/0!</v>
      </c>
    </row>
    <row r="66" spans="1:8" customFormat="1" hidden="1" x14ac:dyDescent="0.2">
      <c r="A66">
        <v>109374</v>
      </c>
      <c r="C66">
        <v>0</v>
      </c>
      <c r="D66" t="s">
        <v>1122</v>
      </c>
      <c r="E66">
        <v>482</v>
      </c>
      <c r="F66">
        <v>12</v>
      </c>
      <c r="G66">
        <v>0</v>
      </c>
      <c r="H66" t="e">
        <f>(F66+E66)/C66</f>
        <v>#DIV/0!</v>
      </c>
    </row>
    <row r="67" spans="1:8" customFormat="1" hidden="1" x14ac:dyDescent="0.2">
      <c r="A67">
        <v>112009</v>
      </c>
      <c r="C67">
        <v>0</v>
      </c>
      <c r="D67" t="s">
        <v>1122</v>
      </c>
      <c r="E67">
        <v>84</v>
      </c>
      <c r="F67">
        <v>27</v>
      </c>
      <c r="G67">
        <v>0</v>
      </c>
      <c r="H67" t="e">
        <f>(F67+E67)/C67</f>
        <v>#DIV/0!</v>
      </c>
    </row>
    <row r="68" spans="1:8" customFormat="1" hidden="1" x14ac:dyDescent="0.2">
      <c r="A68">
        <v>114821</v>
      </c>
      <c r="C68">
        <v>0</v>
      </c>
      <c r="D68" t="s">
        <v>1122</v>
      </c>
      <c r="E68">
        <v>5</v>
      </c>
      <c r="F68">
        <v>0</v>
      </c>
      <c r="G68">
        <v>0</v>
      </c>
      <c r="H68" t="e">
        <f>(F68+E68)/C68</f>
        <v>#DIV/0!</v>
      </c>
    </row>
    <row r="69" spans="1:8" customFormat="1" hidden="1" x14ac:dyDescent="0.2">
      <c r="A69">
        <v>132232</v>
      </c>
      <c r="C69">
        <v>0</v>
      </c>
      <c r="D69" t="s">
        <v>1122</v>
      </c>
      <c r="E69">
        <v>209</v>
      </c>
      <c r="F69">
        <v>141</v>
      </c>
      <c r="G69">
        <v>0</v>
      </c>
      <c r="H69" t="e">
        <f>(F69+E69)/C69</f>
        <v>#DIV/0!</v>
      </c>
    </row>
    <row r="70" spans="1:8" customFormat="1" hidden="1" x14ac:dyDescent="0.2">
      <c r="A70">
        <v>149220</v>
      </c>
      <c r="C70">
        <v>0</v>
      </c>
      <c r="D70" t="s">
        <v>1122</v>
      </c>
      <c r="E70">
        <v>420</v>
      </c>
      <c r="F70">
        <v>279</v>
      </c>
      <c r="G70">
        <v>0</v>
      </c>
      <c r="H70" t="e">
        <f>(F70+E70)/C70</f>
        <v>#DIV/0!</v>
      </c>
    </row>
    <row r="71" spans="1:8" customFormat="1" hidden="1" x14ac:dyDescent="0.2">
      <c r="A71">
        <v>164778</v>
      </c>
      <c r="C71">
        <v>0</v>
      </c>
      <c r="D71" t="s">
        <v>1122</v>
      </c>
      <c r="E71">
        <v>85</v>
      </c>
      <c r="F71">
        <v>0</v>
      </c>
      <c r="G71">
        <v>0</v>
      </c>
      <c r="H71" t="e">
        <f>(F71+E71)/C71</f>
        <v>#DIV/0!</v>
      </c>
    </row>
    <row r="72" spans="1:8" customFormat="1" hidden="1" x14ac:dyDescent="0.2">
      <c r="A72">
        <v>186139</v>
      </c>
      <c r="C72">
        <v>0</v>
      </c>
      <c r="D72" t="s">
        <v>1122</v>
      </c>
      <c r="E72">
        <v>5</v>
      </c>
      <c r="F72">
        <v>2</v>
      </c>
      <c r="G72">
        <v>0</v>
      </c>
      <c r="H72" t="e">
        <f>(F72+E72)/C72</f>
        <v>#DIV/0!</v>
      </c>
    </row>
    <row r="73" spans="1:8" customFormat="1" hidden="1" x14ac:dyDescent="0.2">
      <c r="A73">
        <v>239483</v>
      </c>
      <c r="C73">
        <v>0</v>
      </c>
      <c r="D73" t="s">
        <v>1122</v>
      </c>
      <c r="E73">
        <v>13</v>
      </c>
      <c r="F73">
        <v>23</v>
      </c>
      <c r="G73">
        <v>0</v>
      </c>
      <c r="H73" t="e">
        <f>(F73+E73)/C73</f>
        <v>#DIV/0!</v>
      </c>
    </row>
    <row r="74" spans="1:8" customFormat="1" hidden="1" x14ac:dyDescent="0.2">
      <c r="A74">
        <v>309015</v>
      </c>
      <c r="C74">
        <v>0</v>
      </c>
      <c r="D74" t="s">
        <v>1122</v>
      </c>
      <c r="E74">
        <v>7</v>
      </c>
      <c r="F74">
        <v>0</v>
      </c>
      <c r="G74">
        <v>0</v>
      </c>
      <c r="H74" t="e">
        <f>(F74+E74)/C74</f>
        <v>#DIV/0!</v>
      </c>
    </row>
    <row r="75" spans="1:8" customFormat="1" hidden="1" x14ac:dyDescent="0.2">
      <c r="A75">
        <v>409372</v>
      </c>
      <c r="C75">
        <v>0</v>
      </c>
      <c r="D75" t="s">
        <v>1122</v>
      </c>
      <c r="E75">
        <v>10</v>
      </c>
      <c r="F75">
        <v>3</v>
      </c>
      <c r="G75">
        <v>0</v>
      </c>
      <c r="H75" t="e">
        <f>(F75+E75)/C75</f>
        <v>#DIV/0!</v>
      </c>
    </row>
    <row r="76" spans="1:8" customFormat="1" hidden="1" x14ac:dyDescent="0.2">
      <c r="A76">
        <v>452548</v>
      </c>
      <c r="C76">
        <v>0</v>
      </c>
      <c r="D76" t="s">
        <v>1122</v>
      </c>
      <c r="E76">
        <v>175</v>
      </c>
      <c r="F76">
        <v>70</v>
      </c>
      <c r="G76">
        <v>0</v>
      </c>
      <c r="H76" t="e">
        <f>(F76+E76)/C76</f>
        <v>#DIV/0!</v>
      </c>
    </row>
    <row r="77" spans="1:8" customFormat="1" hidden="1" x14ac:dyDescent="0.2">
      <c r="A77">
        <v>461574</v>
      </c>
      <c r="C77">
        <v>0</v>
      </c>
      <c r="D77" t="s">
        <v>1122</v>
      </c>
      <c r="E77">
        <v>9</v>
      </c>
      <c r="F77">
        <v>0</v>
      </c>
      <c r="G77">
        <v>0</v>
      </c>
      <c r="H77" t="e">
        <f>(F77+E77)/C77</f>
        <v>#DIV/0!</v>
      </c>
    </row>
    <row r="78" spans="1:8" customFormat="1" hidden="1" x14ac:dyDescent="0.2">
      <c r="A78">
        <v>466492</v>
      </c>
      <c r="C78">
        <v>0</v>
      </c>
      <c r="D78" t="s">
        <v>1122</v>
      </c>
      <c r="E78">
        <v>82</v>
      </c>
      <c r="F78">
        <v>0</v>
      </c>
      <c r="G78">
        <v>0</v>
      </c>
      <c r="H78" t="e">
        <f>(F78+E78)/C78</f>
        <v>#DIV/0!</v>
      </c>
    </row>
    <row r="79" spans="1:8" customFormat="1" hidden="1" x14ac:dyDescent="0.2">
      <c r="A79">
        <v>478409</v>
      </c>
      <c r="C79">
        <v>0</v>
      </c>
      <c r="D79" t="s">
        <v>1122</v>
      </c>
      <c r="E79">
        <v>833</v>
      </c>
      <c r="F79">
        <v>0</v>
      </c>
      <c r="G79">
        <v>0</v>
      </c>
      <c r="H79" t="e">
        <f>(F79+E79)/C79</f>
        <v>#DIV/0!</v>
      </c>
    </row>
    <row r="80" spans="1:8" customFormat="1" hidden="1" x14ac:dyDescent="0.2">
      <c r="A80">
        <v>512879</v>
      </c>
      <c r="C80">
        <v>0</v>
      </c>
      <c r="D80" t="s">
        <v>1122</v>
      </c>
      <c r="E80">
        <v>17</v>
      </c>
      <c r="F80">
        <v>22</v>
      </c>
      <c r="G80">
        <v>0</v>
      </c>
      <c r="H80" t="e">
        <f>(F80+E80)/C80</f>
        <v>#DIV/0!</v>
      </c>
    </row>
    <row r="81" spans="1:9" customFormat="1" hidden="1" x14ac:dyDescent="0.2">
      <c r="A81">
        <v>513323</v>
      </c>
      <c r="C81">
        <v>0</v>
      </c>
      <c r="D81" t="s">
        <v>1122</v>
      </c>
      <c r="E81">
        <v>2</v>
      </c>
      <c r="F81">
        <v>5</v>
      </c>
      <c r="G81">
        <v>0</v>
      </c>
      <c r="H81" t="e">
        <f>(F81+E81)/C81</f>
        <v>#DIV/0!</v>
      </c>
    </row>
    <row r="82" spans="1:9" customFormat="1" hidden="1" x14ac:dyDescent="0.2">
      <c r="A82">
        <v>514474</v>
      </c>
      <c r="C82">
        <v>0</v>
      </c>
      <c r="D82" t="s">
        <v>1122</v>
      </c>
      <c r="E82">
        <v>9</v>
      </c>
      <c r="F82">
        <v>0</v>
      </c>
      <c r="G82">
        <v>0</v>
      </c>
      <c r="H82" t="e">
        <f>(F82+E82)/C82</f>
        <v>#DIV/0!</v>
      </c>
    </row>
    <row r="83" spans="1:9" customFormat="1" hidden="1" x14ac:dyDescent="0.2">
      <c r="A83">
        <v>515481</v>
      </c>
      <c r="C83">
        <v>0</v>
      </c>
      <c r="D83" t="s">
        <v>1122</v>
      </c>
      <c r="E83">
        <v>3</v>
      </c>
      <c r="F83">
        <v>1</v>
      </c>
      <c r="G83">
        <v>0</v>
      </c>
      <c r="H83" t="e">
        <f>(F83+E83)/C83</f>
        <v>#DIV/0!</v>
      </c>
    </row>
    <row r="84" spans="1:9" customFormat="1" hidden="1" x14ac:dyDescent="0.2">
      <c r="A84">
        <v>534862</v>
      </c>
      <c r="C84">
        <v>0</v>
      </c>
      <c r="D84" t="s">
        <v>1122</v>
      </c>
      <c r="E84">
        <v>104</v>
      </c>
      <c r="F84">
        <v>116</v>
      </c>
      <c r="G84">
        <v>0</v>
      </c>
      <c r="H84" t="e">
        <f>(F84+E84)/C84</f>
        <v>#DIV/0!</v>
      </c>
    </row>
    <row r="85" spans="1:9" customFormat="1" hidden="1" x14ac:dyDescent="0.2">
      <c r="A85">
        <v>545648</v>
      </c>
      <c r="C85">
        <v>0</v>
      </c>
      <c r="D85" t="s">
        <v>1122</v>
      </c>
      <c r="E85">
        <v>15</v>
      </c>
      <c r="F85">
        <v>2</v>
      </c>
      <c r="G85">
        <v>0</v>
      </c>
      <c r="H85" t="e">
        <f>(F85+E85)/C85</f>
        <v>#DIV/0!</v>
      </c>
    </row>
    <row r="86" spans="1:9" customFormat="1" hidden="1" x14ac:dyDescent="0.2">
      <c r="A86">
        <v>560664</v>
      </c>
      <c r="C86">
        <v>0</v>
      </c>
      <c r="D86" t="s">
        <v>1122</v>
      </c>
      <c r="E86">
        <v>3</v>
      </c>
      <c r="F86">
        <v>19</v>
      </c>
      <c r="G86">
        <v>0</v>
      </c>
      <c r="H86" t="e">
        <f>(F86+E86)/C86</f>
        <v>#DIV/0!</v>
      </c>
    </row>
    <row r="87" spans="1:9" customFormat="1" hidden="1" x14ac:dyDescent="0.2">
      <c r="A87">
        <v>576647</v>
      </c>
      <c r="C87">
        <v>0</v>
      </c>
      <c r="D87" t="s">
        <v>1122</v>
      </c>
      <c r="E87">
        <v>2</v>
      </c>
      <c r="F87">
        <v>0</v>
      </c>
      <c r="G87">
        <v>0</v>
      </c>
      <c r="H87" t="e">
        <f>(F87+E87)/C87</f>
        <v>#DIV/0!</v>
      </c>
    </row>
    <row r="88" spans="1:9" customFormat="1" hidden="1" x14ac:dyDescent="0.2">
      <c r="A88">
        <v>579056</v>
      </c>
      <c r="C88">
        <v>0</v>
      </c>
      <c r="D88" t="s">
        <v>1122</v>
      </c>
      <c r="E88">
        <v>64</v>
      </c>
      <c r="F88">
        <v>0</v>
      </c>
      <c r="G88">
        <v>0</v>
      </c>
      <c r="H88" t="e">
        <f>(F88+E88)/C88</f>
        <v>#DIV/0!</v>
      </c>
    </row>
    <row r="89" spans="1:9" customFormat="1" hidden="1" x14ac:dyDescent="0.2">
      <c r="A89">
        <v>583650</v>
      </c>
      <c r="C89">
        <v>0</v>
      </c>
      <c r="D89" t="s">
        <v>1122</v>
      </c>
      <c r="E89">
        <v>2</v>
      </c>
      <c r="F89">
        <v>1</v>
      </c>
      <c r="G89">
        <v>0</v>
      </c>
      <c r="H89" t="e">
        <f>(F89+E89)/C89</f>
        <v>#DIV/0!</v>
      </c>
    </row>
    <row r="90" spans="1:9" customFormat="1" hidden="1" x14ac:dyDescent="0.2">
      <c r="A90">
        <v>585848</v>
      </c>
      <c r="C90">
        <v>0</v>
      </c>
      <c r="D90" t="s">
        <v>1122</v>
      </c>
      <c r="E90">
        <v>66</v>
      </c>
      <c r="F90">
        <v>7</v>
      </c>
      <c r="G90">
        <v>0</v>
      </c>
      <c r="H90" t="e">
        <f>(F90+E90)/C90</f>
        <v>#DIV/0!</v>
      </c>
    </row>
    <row r="91" spans="1:9" customFormat="1" hidden="1" x14ac:dyDescent="0.2">
      <c r="A91">
        <v>595748</v>
      </c>
      <c r="C91">
        <v>0</v>
      </c>
      <c r="D91" t="s">
        <v>1122</v>
      </c>
      <c r="E91">
        <v>5</v>
      </c>
      <c r="F91">
        <v>0</v>
      </c>
      <c r="G91">
        <v>0</v>
      </c>
      <c r="H91" t="e">
        <f>(F91+E91)/C91</f>
        <v>#DIV/0!</v>
      </c>
    </row>
    <row r="92" spans="1:9" customFormat="1" hidden="1" x14ac:dyDescent="0.2">
      <c r="A92" t="s">
        <v>1123</v>
      </c>
      <c r="C92">
        <v>0</v>
      </c>
      <c r="D92" t="s">
        <v>1122</v>
      </c>
      <c r="E92">
        <v>6</v>
      </c>
      <c r="F92">
        <v>0</v>
      </c>
      <c r="G92">
        <v>0</v>
      </c>
      <c r="H92" t="e">
        <f>(F92+E92)/C92</f>
        <v>#DIV/0!</v>
      </c>
    </row>
    <row r="93" spans="1:9" customFormat="1" hidden="1" x14ac:dyDescent="0.2">
      <c r="A93" t="s">
        <v>1124</v>
      </c>
      <c r="C93">
        <v>0</v>
      </c>
      <c r="D93" t="s">
        <v>1122</v>
      </c>
      <c r="E93">
        <v>46</v>
      </c>
      <c r="F93">
        <v>24</v>
      </c>
      <c r="G93">
        <v>0</v>
      </c>
      <c r="H93" t="e">
        <f>(F93+E93)/C93</f>
        <v>#DIV/0!</v>
      </c>
    </row>
    <row r="94" spans="1:9" customFormat="1" hidden="1" x14ac:dyDescent="0.2">
      <c r="A94" t="s">
        <v>1125</v>
      </c>
      <c r="C94">
        <v>0</v>
      </c>
      <c r="D94" t="s">
        <v>1122</v>
      </c>
      <c r="E94">
        <v>8</v>
      </c>
      <c r="F94">
        <v>0</v>
      </c>
      <c r="G94">
        <v>0</v>
      </c>
      <c r="H94" t="e">
        <f>(F94+E94)/C94</f>
        <v>#DIV/0!</v>
      </c>
    </row>
    <row r="95" spans="1:9" hidden="1" x14ac:dyDescent="0.2">
      <c r="A95" t="s">
        <v>1126</v>
      </c>
      <c r="B95"/>
      <c r="C95">
        <v>0</v>
      </c>
      <c r="D95" t="s">
        <v>1122</v>
      </c>
      <c r="E95">
        <v>15</v>
      </c>
      <c r="F95">
        <v>8</v>
      </c>
      <c r="G95">
        <v>0</v>
      </c>
      <c r="H95" t="e">
        <f>(F95+E95)/C95</f>
        <v>#DIV/0!</v>
      </c>
      <c r="I95"/>
    </row>
    <row r="96" spans="1:9" customFormat="1" hidden="1" x14ac:dyDescent="0.2">
      <c r="A96" t="s">
        <v>1127</v>
      </c>
      <c r="C96">
        <v>0</v>
      </c>
      <c r="D96" t="s">
        <v>1122</v>
      </c>
      <c r="E96">
        <v>2</v>
      </c>
      <c r="F96">
        <v>0</v>
      </c>
      <c r="G96">
        <v>0</v>
      </c>
      <c r="H96" t="e">
        <f>(F96+E96)/C96</f>
        <v>#DIV/0!</v>
      </c>
    </row>
    <row r="97" spans="1:8" customFormat="1" hidden="1" x14ac:dyDescent="0.2">
      <c r="A97" t="s">
        <v>1128</v>
      </c>
      <c r="C97">
        <v>0</v>
      </c>
      <c r="D97" t="s">
        <v>1122</v>
      </c>
      <c r="E97">
        <v>107</v>
      </c>
      <c r="F97">
        <v>0</v>
      </c>
      <c r="G97">
        <v>0</v>
      </c>
      <c r="H97" t="e">
        <f>(F97+E97)/C97</f>
        <v>#DIV/0!</v>
      </c>
    </row>
    <row r="98" spans="1:8" customFormat="1" hidden="1" x14ac:dyDescent="0.2">
      <c r="A98" t="s">
        <v>1129</v>
      </c>
      <c r="C98">
        <v>0</v>
      </c>
      <c r="D98" t="s">
        <v>1122</v>
      </c>
      <c r="E98">
        <v>4</v>
      </c>
      <c r="F98">
        <v>14</v>
      </c>
      <c r="G98">
        <v>0</v>
      </c>
      <c r="H98" t="e">
        <f>(F98+E98)/C98</f>
        <v>#DIV/0!</v>
      </c>
    </row>
    <row r="99" spans="1:8" customFormat="1" hidden="1" x14ac:dyDescent="0.2">
      <c r="A99" t="s">
        <v>1130</v>
      </c>
      <c r="C99">
        <v>0</v>
      </c>
      <c r="D99" t="s">
        <v>1122</v>
      </c>
      <c r="E99">
        <v>18</v>
      </c>
      <c r="F99">
        <v>12</v>
      </c>
      <c r="G99">
        <v>0</v>
      </c>
      <c r="H99" t="e">
        <f>(F99+E99)/C99</f>
        <v>#DIV/0!</v>
      </c>
    </row>
    <row r="100" spans="1:8" customFormat="1" hidden="1" x14ac:dyDescent="0.2">
      <c r="A100" t="s">
        <v>1131</v>
      </c>
      <c r="C100">
        <v>0</v>
      </c>
      <c r="D100" t="s">
        <v>1122</v>
      </c>
      <c r="E100">
        <v>4</v>
      </c>
      <c r="F100">
        <v>0</v>
      </c>
      <c r="G100">
        <v>0</v>
      </c>
      <c r="H100" t="e">
        <f>(F100+E100)/C100</f>
        <v>#DIV/0!</v>
      </c>
    </row>
    <row r="101" spans="1:8" customFormat="1" hidden="1" x14ac:dyDescent="0.2">
      <c r="A101" t="s">
        <v>1132</v>
      </c>
      <c r="C101">
        <v>0</v>
      </c>
      <c r="D101" t="s">
        <v>1122</v>
      </c>
      <c r="E101">
        <v>58</v>
      </c>
      <c r="F101">
        <v>0</v>
      </c>
      <c r="G101">
        <v>0</v>
      </c>
      <c r="H101" t="e">
        <f>(F101+E101)/C101</f>
        <v>#DIV/0!</v>
      </c>
    </row>
    <row r="102" spans="1:8" customFormat="1" hidden="1" x14ac:dyDescent="0.2">
      <c r="A102" t="s">
        <v>1133</v>
      </c>
      <c r="C102">
        <v>0</v>
      </c>
      <c r="D102" t="s">
        <v>1122</v>
      </c>
      <c r="E102">
        <v>69</v>
      </c>
      <c r="F102">
        <v>0</v>
      </c>
      <c r="G102">
        <v>0</v>
      </c>
      <c r="H102" t="e">
        <f>(F102+E102)/C102</f>
        <v>#DIV/0!</v>
      </c>
    </row>
    <row r="103" spans="1:8" customFormat="1" hidden="1" x14ac:dyDescent="0.2">
      <c r="A103" t="s">
        <v>1134</v>
      </c>
      <c r="C103">
        <v>0</v>
      </c>
      <c r="D103" t="s">
        <v>1122</v>
      </c>
      <c r="E103">
        <v>27</v>
      </c>
      <c r="F103">
        <v>0</v>
      </c>
      <c r="G103">
        <v>0</v>
      </c>
      <c r="H103" t="e">
        <f>(F103+E103)/C103</f>
        <v>#DIV/0!</v>
      </c>
    </row>
    <row r="104" spans="1:8" customFormat="1" hidden="1" x14ac:dyDescent="0.2">
      <c r="A104" t="s">
        <v>1135</v>
      </c>
      <c r="C104">
        <v>0</v>
      </c>
      <c r="D104" t="s">
        <v>1122</v>
      </c>
      <c r="E104">
        <v>12</v>
      </c>
      <c r="F104">
        <v>0</v>
      </c>
      <c r="G104">
        <v>0</v>
      </c>
      <c r="H104" t="e">
        <f>(F104+E104)/C104</f>
        <v>#DIV/0!</v>
      </c>
    </row>
    <row r="105" spans="1:8" customFormat="1" hidden="1" x14ac:dyDescent="0.2">
      <c r="A105" t="s">
        <v>1136</v>
      </c>
      <c r="C105">
        <v>0</v>
      </c>
      <c r="D105" t="s">
        <v>1122</v>
      </c>
      <c r="E105">
        <v>10</v>
      </c>
      <c r="F105">
        <v>9</v>
      </c>
      <c r="G105">
        <v>0</v>
      </c>
      <c r="H105" t="e">
        <f>(F105+E105)/C105</f>
        <v>#DIV/0!</v>
      </c>
    </row>
    <row r="106" spans="1:8" customFormat="1" hidden="1" x14ac:dyDescent="0.2">
      <c r="A106">
        <v>509963</v>
      </c>
      <c r="C106">
        <v>0</v>
      </c>
      <c r="D106" t="s">
        <v>1122</v>
      </c>
      <c r="E106">
        <v>0</v>
      </c>
      <c r="F106">
        <v>2</v>
      </c>
      <c r="G106">
        <v>0</v>
      </c>
      <c r="H106" t="e">
        <f>(F106+E106)/C106</f>
        <v>#DIV/0!</v>
      </c>
    </row>
    <row r="107" spans="1:8" customFormat="1" hidden="1" x14ac:dyDescent="0.2">
      <c r="A107">
        <v>515701</v>
      </c>
      <c r="C107">
        <v>0</v>
      </c>
      <c r="D107" t="s">
        <v>1122</v>
      </c>
      <c r="E107">
        <v>0</v>
      </c>
      <c r="F107">
        <v>5</v>
      </c>
      <c r="G107">
        <v>0</v>
      </c>
      <c r="H107" t="e">
        <f>(F107+E107)/C107</f>
        <v>#DIV/0!</v>
      </c>
    </row>
    <row r="108" spans="1:8" customFormat="1" hidden="1" x14ac:dyDescent="0.2">
      <c r="A108">
        <v>525155</v>
      </c>
      <c r="C108">
        <v>0</v>
      </c>
      <c r="D108" t="s">
        <v>1122</v>
      </c>
      <c r="E108">
        <v>0</v>
      </c>
      <c r="F108">
        <v>9</v>
      </c>
      <c r="G108">
        <v>0</v>
      </c>
      <c r="H108" t="e">
        <f>(F108+E108)/C108</f>
        <v>#DIV/0!</v>
      </c>
    </row>
    <row r="109" spans="1:8" customFormat="1" hidden="1" x14ac:dyDescent="0.2">
      <c r="A109">
        <v>554347</v>
      </c>
      <c r="C109">
        <v>0</v>
      </c>
      <c r="D109" t="s">
        <v>1122</v>
      </c>
      <c r="E109">
        <v>0</v>
      </c>
      <c r="F109">
        <v>43</v>
      </c>
      <c r="G109">
        <v>0</v>
      </c>
      <c r="H109" t="e">
        <f>(F109+E109)/C109</f>
        <v>#DIV/0!</v>
      </c>
    </row>
    <row r="110" spans="1:8" customFormat="1" hidden="1" x14ac:dyDescent="0.2">
      <c r="A110">
        <v>579653</v>
      </c>
      <c r="C110">
        <v>0</v>
      </c>
      <c r="D110" t="s">
        <v>1122</v>
      </c>
      <c r="E110">
        <v>0</v>
      </c>
      <c r="F110">
        <v>1</v>
      </c>
      <c r="G110">
        <v>0</v>
      </c>
      <c r="H110" t="e">
        <f>(F110+E110)/C110</f>
        <v>#DIV/0!</v>
      </c>
    </row>
    <row r="111" spans="1:8" customFormat="1" hidden="1" x14ac:dyDescent="0.2">
      <c r="A111" t="s">
        <v>1137</v>
      </c>
      <c r="C111">
        <v>0</v>
      </c>
      <c r="D111" t="s">
        <v>1122</v>
      </c>
      <c r="E111">
        <v>0</v>
      </c>
      <c r="F111">
        <v>1</v>
      </c>
      <c r="G111">
        <v>0</v>
      </c>
      <c r="H111" t="e">
        <f>(F111+E111)/C111</f>
        <v>#DIV/0!</v>
      </c>
    </row>
    <row r="112" spans="1:8" customFormat="1" hidden="1" x14ac:dyDescent="0.2">
      <c r="A112" t="s">
        <v>1138</v>
      </c>
      <c r="C112">
        <v>0</v>
      </c>
      <c r="D112" t="s">
        <v>1122</v>
      </c>
      <c r="E112">
        <v>0</v>
      </c>
      <c r="F112">
        <v>65</v>
      </c>
      <c r="G112">
        <v>0</v>
      </c>
      <c r="H112" t="e">
        <f>(F112+E112)/C112</f>
        <v>#DIV/0!</v>
      </c>
    </row>
    <row r="113" spans="1:8" customFormat="1" hidden="1" x14ac:dyDescent="0.2">
      <c r="A113" t="s">
        <v>1139</v>
      </c>
      <c r="C113">
        <v>0</v>
      </c>
      <c r="D113" t="s">
        <v>1122</v>
      </c>
      <c r="E113">
        <v>0</v>
      </c>
      <c r="F113">
        <v>48</v>
      </c>
      <c r="G113">
        <v>0</v>
      </c>
      <c r="H113" t="e">
        <f>(F113+E113)/C113</f>
        <v>#DIV/0!</v>
      </c>
    </row>
    <row r="114" spans="1:8" customFormat="1" hidden="1" x14ac:dyDescent="0.2">
      <c r="A114" t="s">
        <v>1140</v>
      </c>
      <c r="C114">
        <v>0</v>
      </c>
      <c r="D114" t="s">
        <v>1122</v>
      </c>
      <c r="E114">
        <v>0</v>
      </c>
      <c r="F114">
        <v>13</v>
      </c>
      <c r="G114">
        <v>0</v>
      </c>
      <c r="H114" t="e">
        <f>(F114+E114)/C114</f>
        <v>#DIV/0!</v>
      </c>
    </row>
    <row r="115" spans="1:8" customFormat="1" hidden="1" x14ac:dyDescent="0.2">
      <c r="A115">
        <v>172686</v>
      </c>
      <c r="B115" t="s">
        <v>705</v>
      </c>
      <c r="C115">
        <v>1</v>
      </c>
      <c r="D115" t="s">
        <v>340</v>
      </c>
      <c r="E115">
        <v>243</v>
      </c>
      <c r="F115">
        <v>109</v>
      </c>
      <c r="G115">
        <v>243</v>
      </c>
      <c r="H115">
        <f>(F115+E115)/C115</f>
        <v>352</v>
      </c>
    </row>
    <row r="116" spans="1:8" customFormat="1" hidden="1" x14ac:dyDescent="0.2">
      <c r="A116">
        <v>108053</v>
      </c>
      <c r="B116" t="s">
        <v>428</v>
      </c>
      <c r="C116">
        <v>3</v>
      </c>
      <c r="D116" t="s">
        <v>340</v>
      </c>
      <c r="E116">
        <v>974</v>
      </c>
      <c r="F116">
        <v>3</v>
      </c>
      <c r="G116">
        <v>324.66666666666669</v>
      </c>
      <c r="H116">
        <f>(F116+E116)/C116</f>
        <v>325.66666666666669</v>
      </c>
    </row>
    <row r="117" spans="1:8" customFormat="1" hidden="1" x14ac:dyDescent="0.2">
      <c r="A117">
        <v>110958</v>
      </c>
      <c r="B117" t="s">
        <v>531</v>
      </c>
      <c r="C117">
        <v>5</v>
      </c>
      <c r="D117" t="s">
        <v>340</v>
      </c>
      <c r="E117">
        <v>1304</v>
      </c>
      <c r="F117">
        <v>123</v>
      </c>
      <c r="G117">
        <v>260.8</v>
      </c>
      <c r="H117">
        <f>(F117+E117)/C117</f>
        <v>285.39999999999998</v>
      </c>
    </row>
    <row r="118" spans="1:8" customFormat="1" hidden="1" x14ac:dyDescent="0.2">
      <c r="A118">
        <v>300074</v>
      </c>
      <c r="B118" t="s">
        <v>747</v>
      </c>
      <c r="C118">
        <v>1</v>
      </c>
      <c r="D118" t="s">
        <v>340</v>
      </c>
      <c r="E118">
        <v>249</v>
      </c>
      <c r="F118">
        <v>3</v>
      </c>
      <c r="G118">
        <v>249</v>
      </c>
      <c r="H118">
        <f>(F118+E118)/C118</f>
        <v>252</v>
      </c>
    </row>
    <row r="119" spans="1:8" customFormat="1" hidden="1" x14ac:dyDescent="0.2">
      <c r="A119">
        <v>106750</v>
      </c>
      <c r="B119" t="s">
        <v>383</v>
      </c>
      <c r="C119">
        <v>1</v>
      </c>
      <c r="D119" t="s">
        <v>340</v>
      </c>
      <c r="E119">
        <v>205</v>
      </c>
      <c r="F119">
        <v>12</v>
      </c>
      <c r="G119">
        <v>205</v>
      </c>
      <c r="H119">
        <f>(F119+E119)/C119</f>
        <v>217</v>
      </c>
    </row>
    <row r="120" spans="1:8" customFormat="1" hidden="1" x14ac:dyDescent="0.2">
      <c r="A120">
        <v>112966</v>
      </c>
      <c r="B120" t="s">
        <v>564</v>
      </c>
      <c r="C120">
        <v>2</v>
      </c>
      <c r="D120" t="s">
        <v>340</v>
      </c>
      <c r="E120">
        <v>397</v>
      </c>
      <c r="F120">
        <v>1</v>
      </c>
      <c r="G120">
        <v>198.5</v>
      </c>
      <c r="H120">
        <f>(F120+E120)/C120</f>
        <v>199</v>
      </c>
    </row>
    <row r="121" spans="1:8" customFormat="1" hidden="1" x14ac:dyDescent="0.2">
      <c r="A121">
        <v>302836</v>
      </c>
      <c r="B121" t="s">
        <v>750</v>
      </c>
      <c r="C121">
        <v>8</v>
      </c>
      <c r="D121" t="s">
        <v>340</v>
      </c>
      <c r="E121">
        <v>1482</v>
      </c>
      <c r="F121">
        <v>109</v>
      </c>
      <c r="G121">
        <v>185.25</v>
      </c>
      <c r="H121">
        <f>(F121+E121)/C121</f>
        <v>198.875</v>
      </c>
    </row>
    <row r="122" spans="1:8" customFormat="1" hidden="1" x14ac:dyDescent="0.2">
      <c r="A122" t="s">
        <v>912</v>
      </c>
      <c r="B122" t="s">
        <v>913</v>
      </c>
      <c r="C122">
        <v>1</v>
      </c>
      <c r="D122" t="s">
        <v>340</v>
      </c>
      <c r="E122">
        <v>155</v>
      </c>
      <c r="F122">
        <v>24</v>
      </c>
      <c r="G122">
        <v>155</v>
      </c>
      <c r="H122">
        <f>(F122+E122)/C122</f>
        <v>179</v>
      </c>
    </row>
    <row r="123" spans="1:8" customFormat="1" hidden="1" x14ac:dyDescent="0.2">
      <c r="A123">
        <v>465977</v>
      </c>
      <c r="B123" t="s">
        <v>831</v>
      </c>
      <c r="C123">
        <v>1</v>
      </c>
      <c r="D123" t="s">
        <v>340</v>
      </c>
      <c r="E123">
        <v>168</v>
      </c>
      <c r="F123">
        <v>0</v>
      </c>
      <c r="G123">
        <v>168</v>
      </c>
      <c r="H123">
        <f>(F123+E123)/C123</f>
        <v>168</v>
      </c>
    </row>
    <row r="124" spans="1:8" customFormat="1" hidden="1" x14ac:dyDescent="0.2">
      <c r="A124">
        <v>128775</v>
      </c>
      <c r="B124" t="s">
        <v>637</v>
      </c>
      <c r="C124">
        <v>12</v>
      </c>
      <c r="D124" t="s">
        <v>340</v>
      </c>
      <c r="E124">
        <v>1755</v>
      </c>
      <c r="F124">
        <v>175</v>
      </c>
      <c r="G124">
        <v>146.25</v>
      </c>
      <c r="H124">
        <f>(F124+E124)/C124</f>
        <v>160.83333333333334</v>
      </c>
    </row>
    <row r="125" spans="1:8" customFormat="1" hidden="1" x14ac:dyDescent="0.2">
      <c r="A125">
        <v>535762</v>
      </c>
      <c r="B125" t="s">
        <v>1111</v>
      </c>
      <c r="C125">
        <v>13</v>
      </c>
      <c r="D125" t="s">
        <v>923</v>
      </c>
      <c r="E125">
        <v>1691</v>
      </c>
      <c r="F125">
        <v>185</v>
      </c>
      <c r="G125">
        <v>130.07692307692309</v>
      </c>
      <c r="H125">
        <f>(F125+E125)/C125</f>
        <v>144.30769230769232</v>
      </c>
    </row>
    <row r="126" spans="1:8" customFormat="1" hidden="1" x14ac:dyDescent="0.2">
      <c r="A126">
        <v>110628</v>
      </c>
      <c r="B126" t="s">
        <v>523</v>
      </c>
      <c r="C126">
        <v>3</v>
      </c>
      <c r="D126" t="s">
        <v>340</v>
      </c>
      <c r="E126">
        <v>255</v>
      </c>
      <c r="F126">
        <v>164</v>
      </c>
      <c r="G126">
        <v>85</v>
      </c>
      <c r="H126">
        <f>(F126+E126)/C126</f>
        <v>139.66666666666666</v>
      </c>
    </row>
    <row r="127" spans="1:8" customFormat="1" hidden="1" x14ac:dyDescent="0.2">
      <c r="A127">
        <v>466491</v>
      </c>
      <c r="B127" t="s">
        <v>834</v>
      </c>
      <c r="C127">
        <v>3</v>
      </c>
      <c r="D127" t="s">
        <v>340</v>
      </c>
      <c r="E127">
        <v>384</v>
      </c>
      <c r="F127">
        <v>0</v>
      </c>
      <c r="G127">
        <v>128</v>
      </c>
      <c r="H127">
        <f>(F127+E127)/C127</f>
        <v>128</v>
      </c>
    </row>
    <row r="128" spans="1:8" customFormat="1" hidden="1" x14ac:dyDescent="0.2">
      <c r="A128">
        <v>106384</v>
      </c>
      <c r="B128" t="s">
        <v>59</v>
      </c>
      <c r="C128">
        <v>2</v>
      </c>
      <c r="D128" t="s">
        <v>48</v>
      </c>
      <c r="E128">
        <v>86</v>
      </c>
      <c r="F128">
        <v>149</v>
      </c>
      <c r="G128">
        <v>43</v>
      </c>
      <c r="H128">
        <f>(F128+E128)/C128</f>
        <v>117.5</v>
      </c>
    </row>
    <row r="129" spans="1:9" customFormat="1" hidden="1" x14ac:dyDescent="0.2">
      <c r="A129">
        <v>140070</v>
      </c>
      <c r="B129" t="s">
        <v>177</v>
      </c>
      <c r="C129">
        <v>2</v>
      </c>
      <c r="D129" t="s">
        <v>48</v>
      </c>
      <c r="E129">
        <v>230</v>
      </c>
      <c r="F129">
        <v>0</v>
      </c>
      <c r="G129">
        <v>115</v>
      </c>
      <c r="H129">
        <f>(F129+E129)/C129</f>
        <v>115</v>
      </c>
    </row>
    <row r="130" spans="1:9" customFormat="1" hidden="1" x14ac:dyDescent="0.2">
      <c r="A130">
        <v>119697</v>
      </c>
      <c r="B130" t="s">
        <v>615</v>
      </c>
      <c r="C130">
        <v>3</v>
      </c>
      <c r="D130" t="s">
        <v>340</v>
      </c>
      <c r="E130">
        <v>257</v>
      </c>
      <c r="F130">
        <v>47</v>
      </c>
      <c r="G130">
        <v>85.666666666666671</v>
      </c>
      <c r="H130">
        <f>(F130+E130)/C130</f>
        <v>101.33333333333333</v>
      </c>
    </row>
    <row r="131" spans="1:9" hidden="1" x14ac:dyDescent="0.2">
      <c r="A131">
        <v>140442</v>
      </c>
      <c r="B131" t="s">
        <v>178</v>
      </c>
      <c r="C131">
        <v>4</v>
      </c>
      <c r="D131" t="s">
        <v>48</v>
      </c>
      <c r="E131">
        <v>304</v>
      </c>
      <c r="F131">
        <v>94</v>
      </c>
      <c r="G131">
        <v>76</v>
      </c>
      <c r="H131">
        <f>(F131+E131)/C131</f>
        <v>99.5</v>
      </c>
      <c r="I131"/>
    </row>
    <row r="132" spans="1:9" customFormat="1" hidden="1" x14ac:dyDescent="0.2">
      <c r="A132">
        <v>468843</v>
      </c>
      <c r="B132" t="s">
        <v>288</v>
      </c>
      <c r="C132">
        <v>1</v>
      </c>
      <c r="D132" t="s">
        <v>48</v>
      </c>
      <c r="E132">
        <v>95</v>
      </c>
      <c r="F132">
        <v>0</v>
      </c>
      <c r="G132">
        <v>95</v>
      </c>
      <c r="H132">
        <f>(F132+E132)/C132</f>
        <v>95</v>
      </c>
    </row>
    <row r="133" spans="1:9" customFormat="1" hidden="1" x14ac:dyDescent="0.2">
      <c r="A133">
        <v>107969</v>
      </c>
      <c r="B133" t="s">
        <v>421</v>
      </c>
      <c r="C133">
        <v>7</v>
      </c>
      <c r="D133" t="s">
        <v>340</v>
      </c>
      <c r="E133">
        <v>608</v>
      </c>
      <c r="F133">
        <v>36</v>
      </c>
      <c r="G133">
        <v>86.857142857142861</v>
      </c>
      <c r="H133">
        <f>(F133+E133)/C133</f>
        <v>92</v>
      </c>
    </row>
    <row r="134" spans="1:9" customFormat="1" hidden="1" x14ac:dyDescent="0.2">
      <c r="A134">
        <v>448278</v>
      </c>
      <c r="B134" t="s">
        <v>811</v>
      </c>
      <c r="C134">
        <v>2</v>
      </c>
      <c r="D134" t="s">
        <v>340</v>
      </c>
      <c r="E134">
        <v>149</v>
      </c>
      <c r="F134">
        <v>18</v>
      </c>
      <c r="G134">
        <v>74.5</v>
      </c>
      <c r="H134">
        <f>(F134+E134)/C134</f>
        <v>83.5</v>
      </c>
    </row>
    <row r="135" spans="1:9" customFormat="1" hidden="1" x14ac:dyDescent="0.2">
      <c r="A135">
        <v>113358</v>
      </c>
      <c r="B135" t="s">
        <v>571</v>
      </c>
      <c r="C135">
        <v>6</v>
      </c>
      <c r="D135" t="s">
        <v>340</v>
      </c>
      <c r="E135">
        <v>365</v>
      </c>
      <c r="F135">
        <v>89</v>
      </c>
      <c r="G135">
        <v>60.833333333333343</v>
      </c>
      <c r="H135">
        <f>(F135+E135)/C135</f>
        <v>75.666666666666671</v>
      </c>
    </row>
    <row r="136" spans="1:9" customFormat="1" hidden="1" x14ac:dyDescent="0.2">
      <c r="A136">
        <v>110308</v>
      </c>
      <c r="B136" t="s">
        <v>970</v>
      </c>
      <c r="C136">
        <v>11</v>
      </c>
      <c r="D136" t="s">
        <v>923</v>
      </c>
      <c r="E136">
        <v>282</v>
      </c>
      <c r="F136">
        <v>479</v>
      </c>
      <c r="G136">
        <v>25.63636363636364</v>
      </c>
      <c r="H136">
        <f>(F136+E136)/C136</f>
        <v>69.181818181818187</v>
      </c>
    </row>
    <row r="137" spans="1:9" customFormat="1" hidden="1" x14ac:dyDescent="0.2">
      <c r="A137">
        <v>324163</v>
      </c>
      <c r="B137" t="s">
        <v>791</v>
      </c>
      <c r="C137">
        <v>2</v>
      </c>
      <c r="D137" t="s">
        <v>340</v>
      </c>
      <c r="E137">
        <v>117</v>
      </c>
      <c r="F137">
        <v>8</v>
      </c>
      <c r="G137">
        <v>58.5</v>
      </c>
      <c r="H137">
        <f>(F137+E137)/C137</f>
        <v>62.5</v>
      </c>
    </row>
    <row r="138" spans="1:9" customFormat="1" hidden="1" x14ac:dyDescent="0.2">
      <c r="A138">
        <v>130683</v>
      </c>
      <c r="B138" t="s">
        <v>30</v>
      </c>
      <c r="C138">
        <v>2</v>
      </c>
      <c r="D138" t="s">
        <v>8</v>
      </c>
      <c r="E138">
        <v>54</v>
      </c>
      <c r="F138">
        <v>55</v>
      </c>
      <c r="G138">
        <v>27</v>
      </c>
      <c r="H138">
        <f>(F138+E138)/C138</f>
        <v>54.5</v>
      </c>
    </row>
    <row r="139" spans="1:9" customFormat="1" hidden="1" x14ac:dyDescent="0.2">
      <c r="A139">
        <v>114264</v>
      </c>
      <c r="B139" t="s">
        <v>586</v>
      </c>
      <c r="C139">
        <v>3</v>
      </c>
      <c r="D139" t="s">
        <v>340</v>
      </c>
      <c r="E139">
        <v>149</v>
      </c>
      <c r="F139">
        <v>10</v>
      </c>
      <c r="G139">
        <v>49.666666666666657</v>
      </c>
      <c r="H139">
        <f>(F139+E139)/C139</f>
        <v>53</v>
      </c>
    </row>
    <row r="140" spans="1:9" customFormat="1" hidden="1" x14ac:dyDescent="0.2">
      <c r="A140">
        <v>112596</v>
      </c>
      <c r="B140" t="s">
        <v>557</v>
      </c>
      <c r="C140">
        <v>3</v>
      </c>
      <c r="D140" t="s">
        <v>340</v>
      </c>
      <c r="E140">
        <v>157</v>
      </c>
      <c r="F140">
        <v>0</v>
      </c>
      <c r="G140">
        <v>52.333333333333343</v>
      </c>
      <c r="H140">
        <f>(F140+E140)/C140</f>
        <v>52.333333333333336</v>
      </c>
    </row>
    <row r="141" spans="1:9" customFormat="1" hidden="1" x14ac:dyDescent="0.2">
      <c r="A141">
        <v>115880</v>
      </c>
      <c r="B141" t="s">
        <v>999</v>
      </c>
      <c r="C141">
        <v>1</v>
      </c>
      <c r="D141" t="s">
        <v>923</v>
      </c>
      <c r="E141">
        <v>51</v>
      </c>
      <c r="F141">
        <v>1</v>
      </c>
      <c r="G141">
        <v>51</v>
      </c>
      <c r="H141">
        <f>(F141+E141)/C141</f>
        <v>52</v>
      </c>
    </row>
    <row r="142" spans="1:9" customFormat="1" hidden="1" x14ac:dyDescent="0.2">
      <c r="A142">
        <v>157831</v>
      </c>
      <c r="B142" t="s">
        <v>686</v>
      </c>
      <c r="C142">
        <v>5</v>
      </c>
      <c r="D142" t="s">
        <v>340</v>
      </c>
      <c r="E142">
        <v>251</v>
      </c>
      <c r="F142">
        <v>0</v>
      </c>
      <c r="G142">
        <v>50.2</v>
      </c>
      <c r="H142">
        <f>(F142+E142)/C142</f>
        <v>50.2</v>
      </c>
    </row>
    <row r="143" spans="1:9" customFormat="1" hidden="1" x14ac:dyDescent="0.2">
      <c r="A143">
        <v>106616</v>
      </c>
      <c r="B143" t="s">
        <v>375</v>
      </c>
      <c r="C143">
        <v>4</v>
      </c>
      <c r="D143" t="s">
        <v>340</v>
      </c>
      <c r="E143">
        <v>73</v>
      </c>
      <c r="F143">
        <v>120</v>
      </c>
      <c r="G143">
        <v>18.25</v>
      </c>
      <c r="H143">
        <f>(F143+E143)/C143</f>
        <v>48.25</v>
      </c>
    </row>
    <row r="144" spans="1:9" customFormat="1" hidden="1" x14ac:dyDescent="0.2">
      <c r="A144">
        <v>110104</v>
      </c>
      <c r="B144" t="s">
        <v>504</v>
      </c>
      <c r="C144">
        <v>1</v>
      </c>
      <c r="D144" t="s">
        <v>340</v>
      </c>
      <c r="E144">
        <v>48</v>
      </c>
      <c r="F144">
        <v>0</v>
      </c>
      <c r="G144">
        <v>48</v>
      </c>
      <c r="H144">
        <f>(F144+E144)/C144</f>
        <v>48</v>
      </c>
    </row>
    <row r="145" spans="1:8" customFormat="1" hidden="1" x14ac:dyDescent="0.2">
      <c r="A145">
        <v>548262</v>
      </c>
      <c r="B145" t="s">
        <v>1112</v>
      </c>
      <c r="C145">
        <v>7</v>
      </c>
      <c r="D145" t="s">
        <v>923</v>
      </c>
      <c r="E145">
        <v>183</v>
      </c>
      <c r="F145">
        <v>149</v>
      </c>
      <c r="G145">
        <v>26.142857142857139</v>
      </c>
      <c r="H145">
        <f>(F145+E145)/C145</f>
        <v>47.428571428571431</v>
      </c>
    </row>
    <row r="146" spans="1:8" customFormat="1" hidden="1" x14ac:dyDescent="0.2">
      <c r="A146">
        <v>477606</v>
      </c>
      <c r="B146" t="s">
        <v>292</v>
      </c>
      <c r="C146">
        <v>3</v>
      </c>
      <c r="D146" t="s">
        <v>48</v>
      </c>
      <c r="E146">
        <v>114</v>
      </c>
      <c r="F146">
        <v>21</v>
      </c>
      <c r="G146">
        <v>38</v>
      </c>
      <c r="H146">
        <f>(F146+E146)/C146</f>
        <v>45</v>
      </c>
    </row>
    <row r="147" spans="1:8" customFormat="1" hidden="1" x14ac:dyDescent="0.2">
      <c r="A147" t="s">
        <v>1118</v>
      </c>
      <c r="B147" t="s">
        <v>1119</v>
      </c>
      <c r="C147">
        <v>12</v>
      </c>
      <c r="D147" t="s">
        <v>923</v>
      </c>
      <c r="E147">
        <v>518</v>
      </c>
      <c r="F147">
        <v>19</v>
      </c>
      <c r="G147">
        <v>43.166666666666657</v>
      </c>
      <c r="H147">
        <f>(F147+E147)/C147</f>
        <v>44.75</v>
      </c>
    </row>
    <row r="148" spans="1:8" customFormat="1" hidden="1" x14ac:dyDescent="0.2">
      <c r="A148">
        <v>207035</v>
      </c>
      <c r="B148" t="s">
        <v>230</v>
      </c>
      <c r="C148">
        <v>2</v>
      </c>
      <c r="D148" t="s">
        <v>48</v>
      </c>
      <c r="E148">
        <v>82</v>
      </c>
      <c r="F148">
        <v>0</v>
      </c>
      <c r="G148">
        <v>41</v>
      </c>
      <c r="H148">
        <f>(F148+E148)/C148</f>
        <v>41</v>
      </c>
    </row>
    <row r="149" spans="1:8" customFormat="1" hidden="1" x14ac:dyDescent="0.2">
      <c r="A149">
        <v>129179</v>
      </c>
      <c r="B149" t="s">
        <v>638</v>
      </c>
      <c r="C149">
        <v>12</v>
      </c>
      <c r="D149" t="s">
        <v>340</v>
      </c>
      <c r="E149">
        <v>446</v>
      </c>
      <c r="F149">
        <v>2</v>
      </c>
      <c r="G149">
        <v>37.166666666666657</v>
      </c>
      <c r="H149">
        <f>(F149+E149)/C149</f>
        <v>37.333333333333336</v>
      </c>
    </row>
    <row r="150" spans="1:8" customFormat="1" hidden="1" x14ac:dyDescent="0.2">
      <c r="A150">
        <v>465926</v>
      </c>
      <c r="B150" t="s">
        <v>1083</v>
      </c>
      <c r="C150">
        <v>3</v>
      </c>
      <c r="D150" t="s">
        <v>923</v>
      </c>
      <c r="E150">
        <v>31</v>
      </c>
      <c r="F150">
        <v>75</v>
      </c>
      <c r="G150">
        <v>10.33333333333333</v>
      </c>
      <c r="H150">
        <f>(F150+E150)/C150</f>
        <v>35.333333333333336</v>
      </c>
    </row>
    <row r="151" spans="1:8" customFormat="1" hidden="1" x14ac:dyDescent="0.2">
      <c r="A151">
        <v>325338</v>
      </c>
      <c r="B151" t="s">
        <v>793</v>
      </c>
      <c r="C151">
        <v>20</v>
      </c>
      <c r="D151" t="s">
        <v>340</v>
      </c>
      <c r="E151">
        <v>684</v>
      </c>
      <c r="F151">
        <v>19</v>
      </c>
      <c r="G151">
        <v>34.200000000000003</v>
      </c>
      <c r="H151">
        <f>(F151+E151)/C151</f>
        <v>35.15</v>
      </c>
    </row>
    <row r="152" spans="1:8" customFormat="1" hidden="1" x14ac:dyDescent="0.2">
      <c r="A152">
        <v>427790</v>
      </c>
      <c r="B152" t="s">
        <v>1075</v>
      </c>
      <c r="C152">
        <v>3</v>
      </c>
      <c r="D152" t="s">
        <v>923</v>
      </c>
      <c r="E152">
        <v>103</v>
      </c>
      <c r="F152">
        <v>1</v>
      </c>
      <c r="G152">
        <v>34.333333333333343</v>
      </c>
      <c r="H152">
        <f>(F152+E152)/C152</f>
        <v>34.666666666666664</v>
      </c>
    </row>
    <row r="153" spans="1:8" customFormat="1" hidden="1" x14ac:dyDescent="0.2">
      <c r="A153">
        <v>109220</v>
      </c>
      <c r="B153" t="s">
        <v>105</v>
      </c>
      <c r="C153">
        <v>8</v>
      </c>
      <c r="D153" t="s">
        <v>48</v>
      </c>
      <c r="E153">
        <v>265</v>
      </c>
      <c r="F153">
        <v>0</v>
      </c>
      <c r="G153">
        <v>33.125</v>
      </c>
      <c r="H153">
        <f>(F153+E153)/C153</f>
        <v>33.125</v>
      </c>
    </row>
    <row r="154" spans="1:8" customFormat="1" hidden="1" x14ac:dyDescent="0.2">
      <c r="A154">
        <v>110284</v>
      </c>
      <c r="B154" t="s">
        <v>510</v>
      </c>
      <c r="C154">
        <v>1</v>
      </c>
      <c r="D154" t="s">
        <v>340</v>
      </c>
      <c r="E154">
        <v>33</v>
      </c>
      <c r="F154">
        <v>0</v>
      </c>
      <c r="G154">
        <v>33</v>
      </c>
      <c r="H154">
        <f>(F154+E154)/C154</f>
        <v>33</v>
      </c>
    </row>
    <row r="155" spans="1:8" customFormat="1" hidden="1" x14ac:dyDescent="0.2">
      <c r="A155">
        <v>491132</v>
      </c>
      <c r="B155" t="s">
        <v>301</v>
      </c>
      <c r="C155">
        <v>2</v>
      </c>
      <c r="D155" t="s">
        <v>48</v>
      </c>
      <c r="E155">
        <v>64</v>
      </c>
      <c r="F155">
        <v>0</v>
      </c>
      <c r="G155">
        <v>32</v>
      </c>
      <c r="H155">
        <f>(F155+E155)/C155</f>
        <v>32</v>
      </c>
    </row>
    <row r="156" spans="1:8" customFormat="1" hidden="1" x14ac:dyDescent="0.2">
      <c r="A156">
        <v>119244</v>
      </c>
      <c r="B156" t="s">
        <v>614</v>
      </c>
      <c r="C156">
        <v>1</v>
      </c>
      <c r="D156" t="s">
        <v>340</v>
      </c>
      <c r="E156">
        <v>22</v>
      </c>
      <c r="F156">
        <v>10</v>
      </c>
      <c r="G156">
        <v>22</v>
      </c>
      <c r="H156">
        <f>(F156+E156)/C156</f>
        <v>32</v>
      </c>
    </row>
    <row r="157" spans="1:8" customFormat="1" hidden="1" x14ac:dyDescent="0.2">
      <c r="A157">
        <v>470907</v>
      </c>
      <c r="B157" t="s">
        <v>841</v>
      </c>
      <c r="C157">
        <v>2</v>
      </c>
      <c r="D157" t="s">
        <v>340</v>
      </c>
      <c r="E157">
        <v>16</v>
      </c>
      <c r="F157">
        <v>46</v>
      </c>
      <c r="G157">
        <v>8</v>
      </c>
      <c r="H157">
        <f>(F157+E157)/C157</f>
        <v>31</v>
      </c>
    </row>
    <row r="158" spans="1:8" customFormat="1" hidden="1" x14ac:dyDescent="0.2">
      <c r="A158">
        <v>108851</v>
      </c>
      <c r="B158" t="s">
        <v>93</v>
      </c>
      <c r="C158">
        <v>1</v>
      </c>
      <c r="D158" t="s">
        <v>48</v>
      </c>
      <c r="E158">
        <v>24</v>
      </c>
      <c r="F158">
        <v>6</v>
      </c>
      <c r="G158">
        <v>24</v>
      </c>
      <c r="H158">
        <f>(F158+E158)/C158</f>
        <v>30</v>
      </c>
    </row>
    <row r="159" spans="1:8" customFormat="1" hidden="1" x14ac:dyDescent="0.2">
      <c r="A159">
        <v>187999</v>
      </c>
      <c r="B159" t="s">
        <v>217</v>
      </c>
      <c r="C159">
        <v>30</v>
      </c>
      <c r="D159" t="s">
        <v>48</v>
      </c>
      <c r="E159">
        <v>653</v>
      </c>
      <c r="F159">
        <v>164</v>
      </c>
      <c r="G159">
        <v>21.766666666666669</v>
      </c>
      <c r="H159">
        <f>(F159+E159)/C159</f>
        <v>27.233333333333334</v>
      </c>
    </row>
    <row r="160" spans="1:8" customFormat="1" hidden="1" x14ac:dyDescent="0.2">
      <c r="A160">
        <v>120614</v>
      </c>
      <c r="B160" t="s">
        <v>162</v>
      </c>
      <c r="C160">
        <v>2</v>
      </c>
      <c r="D160" t="s">
        <v>48</v>
      </c>
      <c r="E160">
        <v>25</v>
      </c>
      <c r="F160">
        <v>28</v>
      </c>
      <c r="G160">
        <v>12.5</v>
      </c>
      <c r="H160">
        <f>(F160+E160)/C160</f>
        <v>26.5</v>
      </c>
    </row>
    <row r="161" spans="1:8" customFormat="1" hidden="1" x14ac:dyDescent="0.2">
      <c r="A161">
        <v>579148</v>
      </c>
      <c r="B161" t="s">
        <v>901</v>
      </c>
      <c r="C161">
        <v>6</v>
      </c>
      <c r="D161" t="s">
        <v>340</v>
      </c>
      <c r="E161">
        <v>74</v>
      </c>
      <c r="F161">
        <v>84</v>
      </c>
      <c r="G161">
        <v>12.33333333333333</v>
      </c>
      <c r="H161">
        <f>(F161+E161)/C161</f>
        <v>26.333333333333332</v>
      </c>
    </row>
    <row r="162" spans="1:8" customFormat="1" hidden="1" x14ac:dyDescent="0.2">
      <c r="A162">
        <v>108230</v>
      </c>
      <c r="B162" t="s">
        <v>81</v>
      </c>
      <c r="C162">
        <v>2</v>
      </c>
      <c r="D162" t="s">
        <v>48</v>
      </c>
      <c r="E162">
        <v>45</v>
      </c>
      <c r="F162">
        <v>5</v>
      </c>
      <c r="G162">
        <v>22.5</v>
      </c>
      <c r="H162">
        <f>(F162+E162)/C162</f>
        <v>25</v>
      </c>
    </row>
    <row r="163" spans="1:8" customFormat="1" hidden="1" x14ac:dyDescent="0.2">
      <c r="A163">
        <v>302493</v>
      </c>
      <c r="B163" t="s">
        <v>242</v>
      </c>
      <c r="C163">
        <v>20</v>
      </c>
      <c r="D163" t="s">
        <v>48</v>
      </c>
      <c r="E163">
        <v>474</v>
      </c>
      <c r="F163">
        <v>11</v>
      </c>
      <c r="G163">
        <v>23.7</v>
      </c>
      <c r="H163">
        <f>(F163+E163)/C163</f>
        <v>24.25</v>
      </c>
    </row>
    <row r="164" spans="1:8" customFormat="1" hidden="1" x14ac:dyDescent="0.2">
      <c r="A164">
        <v>313325</v>
      </c>
      <c r="B164" t="s">
        <v>769</v>
      </c>
      <c r="C164">
        <v>1</v>
      </c>
      <c r="D164" t="s">
        <v>340</v>
      </c>
      <c r="E164">
        <v>13</v>
      </c>
      <c r="F164">
        <v>10</v>
      </c>
      <c r="G164">
        <v>13</v>
      </c>
      <c r="H164">
        <f>(F164+E164)/C164</f>
        <v>23</v>
      </c>
    </row>
    <row r="165" spans="1:8" customFormat="1" hidden="1" x14ac:dyDescent="0.2">
      <c r="A165">
        <v>328079</v>
      </c>
      <c r="B165" t="s">
        <v>802</v>
      </c>
      <c r="C165">
        <v>96</v>
      </c>
      <c r="D165" t="s">
        <v>340</v>
      </c>
      <c r="E165">
        <v>2043</v>
      </c>
      <c r="F165">
        <v>92</v>
      </c>
      <c r="G165">
        <v>21.28125</v>
      </c>
      <c r="H165">
        <f>(F165+E165)/C165</f>
        <v>22.239583333333332</v>
      </c>
    </row>
    <row r="166" spans="1:8" customFormat="1" hidden="1" x14ac:dyDescent="0.2">
      <c r="A166">
        <v>107430</v>
      </c>
      <c r="B166" t="s">
        <v>408</v>
      </c>
      <c r="C166">
        <v>7</v>
      </c>
      <c r="D166" t="s">
        <v>340</v>
      </c>
      <c r="E166">
        <v>145</v>
      </c>
      <c r="F166">
        <v>3</v>
      </c>
      <c r="G166">
        <v>20.714285714285719</v>
      </c>
      <c r="H166">
        <f>(F166+E166)/C166</f>
        <v>21.142857142857142</v>
      </c>
    </row>
    <row r="167" spans="1:8" customFormat="1" hidden="1" x14ac:dyDescent="0.2">
      <c r="A167">
        <v>109160</v>
      </c>
      <c r="B167" t="s">
        <v>468</v>
      </c>
      <c r="C167">
        <v>120</v>
      </c>
      <c r="D167" t="s">
        <v>340</v>
      </c>
      <c r="E167">
        <v>1251</v>
      </c>
      <c r="F167">
        <v>1180</v>
      </c>
      <c r="G167">
        <v>10.425000000000001</v>
      </c>
      <c r="H167">
        <f>(F167+E167)/C167</f>
        <v>20.258333333333333</v>
      </c>
    </row>
    <row r="168" spans="1:8" customFormat="1" hidden="1" x14ac:dyDescent="0.2">
      <c r="A168">
        <v>458584</v>
      </c>
      <c r="B168" t="s">
        <v>819</v>
      </c>
      <c r="C168">
        <v>2</v>
      </c>
      <c r="D168" t="s">
        <v>340</v>
      </c>
      <c r="E168">
        <v>14</v>
      </c>
      <c r="F168">
        <v>26</v>
      </c>
      <c r="G168">
        <v>7</v>
      </c>
      <c r="H168">
        <f>(F168+E168)/C168</f>
        <v>20</v>
      </c>
    </row>
    <row r="169" spans="1:8" customFormat="1" hidden="1" x14ac:dyDescent="0.2">
      <c r="A169">
        <v>474623</v>
      </c>
      <c r="B169" t="s">
        <v>846</v>
      </c>
      <c r="C169">
        <v>16</v>
      </c>
      <c r="D169" t="s">
        <v>340</v>
      </c>
      <c r="E169">
        <v>260</v>
      </c>
      <c r="F169">
        <v>50</v>
      </c>
      <c r="G169">
        <v>16.25</v>
      </c>
      <c r="H169">
        <f>(F169+E169)/C169</f>
        <v>19.375</v>
      </c>
    </row>
    <row r="170" spans="1:8" customFormat="1" hidden="1" x14ac:dyDescent="0.2">
      <c r="A170">
        <v>454239</v>
      </c>
      <c r="B170" t="s">
        <v>816</v>
      </c>
      <c r="C170">
        <v>3</v>
      </c>
      <c r="D170" t="s">
        <v>340</v>
      </c>
      <c r="E170">
        <v>54</v>
      </c>
      <c r="F170">
        <v>4</v>
      </c>
      <c r="G170">
        <v>18</v>
      </c>
      <c r="H170">
        <f>(F170+E170)/C170</f>
        <v>19.333333333333332</v>
      </c>
    </row>
    <row r="171" spans="1:8" customFormat="1" hidden="1" x14ac:dyDescent="0.2">
      <c r="A171">
        <v>567756</v>
      </c>
      <c r="B171" t="s">
        <v>323</v>
      </c>
      <c r="C171">
        <v>34</v>
      </c>
      <c r="D171" t="s">
        <v>48</v>
      </c>
      <c r="E171">
        <v>376</v>
      </c>
      <c r="F171">
        <v>260</v>
      </c>
      <c r="G171">
        <v>11.058823529411759</v>
      </c>
      <c r="H171">
        <f>(F171+E171)/C171</f>
        <v>18.705882352941178</v>
      </c>
    </row>
    <row r="172" spans="1:8" customFormat="1" hidden="1" x14ac:dyDescent="0.2">
      <c r="A172">
        <v>107368</v>
      </c>
      <c r="B172" t="s">
        <v>405</v>
      </c>
      <c r="C172">
        <v>31</v>
      </c>
      <c r="D172" t="s">
        <v>340</v>
      </c>
      <c r="E172">
        <v>500</v>
      </c>
      <c r="F172">
        <v>79</v>
      </c>
      <c r="G172">
        <v>16.12903225806452</v>
      </c>
      <c r="H172">
        <f>(F172+E172)/C172</f>
        <v>18.677419354838708</v>
      </c>
    </row>
    <row r="173" spans="1:8" customFormat="1" hidden="1" x14ac:dyDescent="0.2">
      <c r="A173">
        <v>120625</v>
      </c>
      <c r="B173" t="s">
        <v>620</v>
      </c>
      <c r="C173">
        <v>10</v>
      </c>
      <c r="D173" t="s">
        <v>340</v>
      </c>
      <c r="E173">
        <v>37</v>
      </c>
      <c r="F173">
        <v>143</v>
      </c>
      <c r="G173">
        <v>3.7</v>
      </c>
      <c r="H173">
        <f>(F173+E173)/C173</f>
        <v>18</v>
      </c>
    </row>
    <row r="174" spans="1:8" customFormat="1" hidden="1" x14ac:dyDescent="0.2">
      <c r="A174">
        <v>108453</v>
      </c>
      <c r="B174" t="s">
        <v>949</v>
      </c>
      <c r="C174">
        <v>2</v>
      </c>
      <c r="D174" t="s">
        <v>923</v>
      </c>
      <c r="E174">
        <v>9</v>
      </c>
      <c r="F174">
        <v>27</v>
      </c>
      <c r="G174">
        <v>4.5</v>
      </c>
      <c r="H174">
        <f>(F174+E174)/C174</f>
        <v>18</v>
      </c>
    </row>
    <row r="175" spans="1:8" customFormat="1" hidden="1" x14ac:dyDescent="0.2">
      <c r="A175">
        <v>466041</v>
      </c>
      <c r="B175" t="s">
        <v>277</v>
      </c>
      <c r="C175">
        <v>3</v>
      </c>
      <c r="D175" t="s">
        <v>48</v>
      </c>
      <c r="E175">
        <v>52</v>
      </c>
      <c r="F175">
        <v>0</v>
      </c>
      <c r="G175">
        <v>17.333333333333329</v>
      </c>
      <c r="H175">
        <f>(F175+E175)/C175</f>
        <v>17.333333333333332</v>
      </c>
    </row>
    <row r="176" spans="1:8" customFormat="1" hidden="1" x14ac:dyDescent="0.2">
      <c r="A176">
        <v>514302</v>
      </c>
      <c r="B176" t="s">
        <v>312</v>
      </c>
      <c r="C176">
        <v>1</v>
      </c>
      <c r="D176" t="s">
        <v>48</v>
      </c>
      <c r="E176">
        <v>17</v>
      </c>
      <c r="F176">
        <v>0</v>
      </c>
      <c r="G176">
        <v>17</v>
      </c>
      <c r="H176">
        <f>(F176+E176)/C176</f>
        <v>17</v>
      </c>
    </row>
    <row r="177" spans="1:8" customFormat="1" hidden="1" x14ac:dyDescent="0.2">
      <c r="A177">
        <v>106169</v>
      </c>
      <c r="B177" t="s">
        <v>358</v>
      </c>
      <c r="C177">
        <v>1</v>
      </c>
      <c r="D177" t="s">
        <v>340</v>
      </c>
      <c r="E177">
        <v>16</v>
      </c>
      <c r="F177">
        <v>1</v>
      </c>
      <c r="G177">
        <v>16</v>
      </c>
      <c r="H177">
        <f>(F177+E177)/C177</f>
        <v>17</v>
      </c>
    </row>
    <row r="178" spans="1:8" customFormat="1" hidden="1" x14ac:dyDescent="0.2">
      <c r="A178">
        <v>456357</v>
      </c>
      <c r="B178" t="s">
        <v>818</v>
      </c>
      <c r="C178">
        <v>4</v>
      </c>
      <c r="D178" t="s">
        <v>340</v>
      </c>
      <c r="E178">
        <v>24</v>
      </c>
      <c r="F178">
        <v>44</v>
      </c>
      <c r="G178">
        <v>6</v>
      </c>
      <c r="H178">
        <f>(F178+E178)/C178</f>
        <v>17</v>
      </c>
    </row>
    <row r="179" spans="1:8" customFormat="1" hidden="1" x14ac:dyDescent="0.2">
      <c r="A179">
        <v>108956</v>
      </c>
      <c r="B179" t="s">
        <v>97</v>
      </c>
      <c r="C179">
        <v>4</v>
      </c>
      <c r="D179" t="s">
        <v>48</v>
      </c>
      <c r="E179">
        <v>46</v>
      </c>
      <c r="F179">
        <v>20</v>
      </c>
      <c r="G179">
        <v>11.5</v>
      </c>
      <c r="H179">
        <f>(F179+E179)/C179</f>
        <v>16.5</v>
      </c>
    </row>
    <row r="180" spans="1:8" customFormat="1" hidden="1" x14ac:dyDescent="0.2">
      <c r="A180">
        <v>241689</v>
      </c>
      <c r="B180" t="s">
        <v>742</v>
      </c>
      <c r="C180">
        <v>6</v>
      </c>
      <c r="D180" t="s">
        <v>340</v>
      </c>
      <c r="E180">
        <v>19</v>
      </c>
      <c r="F180">
        <v>80</v>
      </c>
      <c r="G180">
        <v>3.166666666666667</v>
      </c>
      <c r="H180">
        <f>(F180+E180)/C180</f>
        <v>16.5</v>
      </c>
    </row>
    <row r="181" spans="1:8" customFormat="1" hidden="1" x14ac:dyDescent="0.2">
      <c r="A181">
        <v>493451</v>
      </c>
      <c r="B181" t="s">
        <v>1098</v>
      </c>
      <c r="C181">
        <v>5</v>
      </c>
      <c r="D181" t="s">
        <v>923</v>
      </c>
      <c r="E181">
        <v>35</v>
      </c>
      <c r="F181">
        <v>44</v>
      </c>
      <c r="G181">
        <v>7</v>
      </c>
      <c r="H181">
        <f>(F181+E181)/C181</f>
        <v>15.8</v>
      </c>
    </row>
    <row r="182" spans="1:8" customFormat="1" hidden="1" x14ac:dyDescent="0.2">
      <c r="A182">
        <v>486799</v>
      </c>
      <c r="B182" t="s">
        <v>1094</v>
      </c>
      <c r="C182">
        <v>2</v>
      </c>
      <c r="D182" t="s">
        <v>923</v>
      </c>
      <c r="E182">
        <v>16</v>
      </c>
      <c r="F182">
        <v>15</v>
      </c>
      <c r="G182">
        <v>8</v>
      </c>
      <c r="H182">
        <f>(F182+E182)/C182</f>
        <v>15.5</v>
      </c>
    </row>
    <row r="183" spans="1:8" customFormat="1" hidden="1" x14ac:dyDescent="0.2">
      <c r="A183">
        <v>108462</v>
      </c>
      <c r="B183" t="s">
        <v>446</v>
      </c>
      <c r="C183">
        <v>25</v>
      </c>
      <c r="D183" t="s">
        <v>340</v>
      </c>
      <c r="E183">
        <v>304</v>
      </c>
      <c r="F183">
        <v>81</v>
      </c>
      <c r="G183">
        <v>12.16</v>
      </c>
      <c r="H183">
        <f>(F183+E183)/C183</f>
        <v>15.4</v>
      </c>
    </row>
    <row r="184" spans="1:8" customFormat="1" hidden="1" x14ac:dyDescent="0.2">
      <c r="A184">
        <v>106698</v>
      </c>
      <c r="B184" t="s">
        <v>378</v>
      </c>
      <c r="C184">
        <v>78</v>
      </c>
      <c r="D184" t="s">
        <v>340</v>
      </c>
      <c r="E184">
        <v>914</v>
      </c>
      <c r="F184">
        <v>268</v>
      </c>
      <c r="G184">
        <v>11.717948717948721</v>
      </c>
      <c r="H184">
        <f>(F184+E184)/C184</f>
        <v>15.153846153846153</v>
      </c>
    </row>
    <row r="185" spans="1:8" customFormat="1" hidden="1" x14ac:dyDescent="0.2">
      <c r="A185">
        <v>123242</v>
      </c>
      <c r="B185" t="s">
        <v>29</v>
      </c>
      <c r="C185">
        <v>117</v>
      </c>
      <c r="D185" t="s">
        <v>8</v>
      </c>
      <c r="E185">
        <v>1726</v>
      </c>
      <c r="F185">
        <v>30</v>
      </c>
      <c r="G185">
        <v>14.752136752136749</v>
      </c>
      <c r="H185">
        <f>(F185+E185)/C185</f>
        <v>15.008547008547009</v>
      </c>
    </row>
    <row r="186" spans="1:8" customFormat="1" hidden="1" x14ac:dyDescent="0.2">
      <c r="A186">
        <v>112212</v>
      </c>
      <c r="B186" t="s">
        <v>979</v>
      </c>
      <c r="C186">
        <v>2</v>
      </c>
      <c r="D186" t="s">
        <v>923</v>
      </c>
      <c r="E186">
        <v>25</v>
      </c>
      <c r="F186">
        <v>5</v>
      </c>
      <c r="G186">
        <v>12.5</v>
      </c>
      <c r="H186">
        <f>(F186+E186)/C186</f>
        <v>15</v>
      </c>
    </row>
    <row r="187" spans="1:8" customFormat="1" hidden="1" x14ac:dyDescent="0.2">
      <c r="A187">
        <v>152792</v>
      </c>
      <c r="B187" t="s">
        <v>196</v>
      </c>
      <c r="C187">
        <v>10</v>
      </c>
      <c r="D187" t="s">
        <v>48</v>
      </c>
      <c r="E187">
        <v>144</v>
      </c>
      <c r="F187">
        <v>0</v>
      </c>
      <c r="G187">
        <v>14.4</v>
      </c>
      <c r="H187">
        <f>(F187+E187)/C187</f>
        <v>14.4</v>
      </c>
    </row>
    <row r="188" spans="1:8" customFormat="1" hidden="1" x14ac:dyDescent="0.2">
      <c r="A188">
        <v>452290</v>
      </c>
      <c r="B188" t="s">
        <v>814</v>
      </c>
      <c r="C188">
        <v>5</v>
      </c>
      <c r="D188" t="s">
        <v>340</v>
      </c>
      <c r="E188">
        <v>59</v>
      </c>
      <c r="F188">
        <v>12</v>
      </c>
      <c r="G188">
        <v>11.8</v>
      </c>
      <c r="H188">
        <f>(F188+E188)/C188</f>
        <v>14.2</v>
      </c>
    </row>
    <row r="189" spans="1:8" customFormat="1" hidden="1" x14ac:dyDescent="0.2">
      <c r="A189">
        <v>113592</v>
      </c>
      <c r="B189" t="s">
        <v>582</v>
      </c>
      <c r="C189">
        <v>22</v>
      </c>
      <c r="D189" t="s">
        <v>340</v>
      </c>
      <c r="E189">
        <v>191</v>
      </c>
      <c r="F189">
        <v>113</v>
      </c>
      <c r="G189">
        <v>8.6818181818181817</v>
      </c>
      <c r="H189">
        <f>(F189+E189)/C189</f>
        <v>13.818181818181818</v>
      </c>
    </row>
    <row r="190" spans="1:8" customFormat="1" hidden="1" x14ac:dyDescent="0.2">
      <c r="A190">
        <v>301506</v>
      </c>
      <c r="B190" t="s">
        <v>749</v>
      </c>
      <c r="C190">
        <v>20</v>
      </c>
      <c r="D190" t="s">
        <v>340</v>
      </c>
      <c r="E190">
        <v>230</v>
      </c>
      <c r="F190">
        <v>40</v>
      </c>
      <c r="G190">
        <v>11.5</v>
      </c>
      <c r="H190">
        <f>(F190+E190)/C190</f>
        <v>13.5</v>
      </c>
    </row>
    <row r="191" spans="1:8" customFormat="1" hidden="1" x14ac:dyDescent="0.2">
      <c r="A191">
        <v>233436</v>
      </c>
      <c r="B191" t="s">
        <v>238</v>
      </c>
      <c r="C191">
        <v>3</v>
      </c>
      <c r="D191" t="s">
        <v>48</v>
      </c>
      <c r="E191">
        <v>19</v>
      </c>
      <c r="F191">
        <v>20</v>
      </c>
      <c r="G191">
        <v>6.333333333333333</v>
      </c>
      <c r="H191">
        <f>(F191+E191)/C191</f>
        <v>13</v>
      </c>
    </row>
    <row r="192" spans="1:8" customFormat="1" hidden="1" x14ac:dyDescent="0.2">
      <c r="A192">
        <v>154313</v>
      </c>
      <c r="B192" t="s">
        <v>673</v>
      </c>
      <c r="C192">
        <v>24</v>
      </c>
      <c r="D192" t="s">
        <v>340</v>
      </c>
      <c r="E192">
        <v>291</v>
      </c>
      <c r="F192">
        <v>21</v>
      </c>
      <c r="G192">
        <v>12.125</v>
      </c>
      <c r="H192">
        <f>(F192+E192)/C192</f>
        <v>13</v>
      </c>
    </row>
    <row r="193" spans="1:9" customFormat="1" hidden="1" x14ac:dyDescent="0.2">
      <c r="A193">
        <v>321467</v>
      </c>
      <c r="B193" t="s">
        <v>784</v>
      </c>
      <c r="C193">
        <v>9</v>
      </c>
      <c r="D193" t="s">
        <v>340</v>
      </c>
      <c r="E193">
        <v>43</v>
      </c>
      <c r="F193">
        <v>74</v>
      </c>
      <c r="G193">
        <v>4.7777777777777777</v>
      </c>
      <c r="H193">
        <f>(F193+E193)/C193</f>
        <v>13</v>
      </c>
    </row>
    <row r="194" spans="1:9" customFormat="1" hidden="1" x14ac:dyDescent="0.2">
      <c r="A194">
        <v>121102</v>
      </c>
      <c r="B194" t="s">
        <v>1005</v>
      </c>
      <c r="C194">
        <v>25</v>
      </c>
      <c r="D194" t="s">
        <v>923</v>
      </c>
      <c r="E194">
        <v>268</v>
      </c>
      <c r="F194">
        <v>50</v>
      </c>
      <c r="G194">
        <v>10.72</v>
      </c>
      <c r="H194">
        <f>(F194+E194)/C194</f>
        <v>12.72</v>
      </c>
    </row>
    <row r="195" spans="1:9" customFormat="1" hidden="1" x14ac:dyDescent="0.2">
      <c r="A195">
        <v>322638</v>
      </c>
      <c r="B195" t="s">
        <v>787</v>
      </c>
      <c r="C195">
        <v>10</v>
      </c>
      <c r="D195" t="s">
        <v>340</v>
      </c>
      <c r="E195">
        <v>125</v>
      </c>
      <c r="F195">
        <v>2</v>
      </c>
      <c r="G195">
        <v>12.5</v>
      </c>
      <c r="H195">
        <f>(F195+E195)/C195</f>
        <v>12.7</v>
      </c>
    </row>
    <row r="196" spans="1:9" customFormat="1" hidden="1" x14ac:dyDescent="0.2">
      <c r="A196">
        <v>108566</v>
      </c>
      <c r="B196" t="s">
        <v>452</v>
      </c>
      <c r="C196">
        <v>20</v>
      </c>
      <c r="D196" t="s">
        <v>340</v>
      </c>
      <c r="E196">
        <v>219</v>
      </c>
      <c r="F196">
        <v>30</v>
      </c>
      <c r="G196">
        <v>10.95</v>
      </c>
      <c r="H196">
        <f>(F196+E196)/C196</f>
        <v>12.45</v>
      </c>
    </row>
    <row r="197" spans="1:9" customFormat="1" hidden="1" x14ac:dyDescent="0.2">
      <c r="A197">
        <v>470696</v>
      </c>
      <c r="B197" t="s">
        <v>289</v>
      </c>
      <c r="C197">
        <v>1</v>
      </c>
      <c r="D197" t="s">
        <v>48</v>
      </c>
      <c r="E197">
        <v>0</v>
      </c>
      <c r="F197">
        <v>12</v>
      </c>
      <c r="G197">
        <v>0</v>
      </c>
      <c r="H197">
        <f>(F197+E197)/C197</f>
        <v>12</v>
      </c>
    </row>
    <row r="198" spans="1:9" customFormat="1" hidden="1" x14ac:dyDescent="0.2">
      <c r="A198">
        <v>515162</v>
      </c>
      <c r="B198" t="s">
        <v>882</v>
      </c>
      <c r="C198">
        <v>6</v>
      </c>
      <c r="D198" t="s">
        <v>340</v>
      </c>
      <c r="E198">
        <v>1</v>
      </c>
      <c r="F198">
        <v>71</v>
      </c>
      <c r="G198">
        <v>0.16666666666666671</v>
      </c>
      <c r="H198">
        <f>(F198+E198)/C198</f>
        <v>12</v>
      </c>
    </row>
    <row r="199" spans="1:9" customFormat="1" hidden="1" x14ac:dyDescent="0.2">
      <c r="A199">
        <v>466211</v>
      </c>
      <c r="B199" t="s">
        <v>278</v>
      </c>
      <c r="C199">
        <v>10</v>
      </c>
      <c r="D199" t="s">
        <v>48</v>
      </c>
      <c r="E199">
        <v>35</v>
      </c>
      <c r="F199">
        <v>84</v>
      </c>
      <c r="G199">
        <v>3.5</v>
      </c>
      <c r="H199">
        <f>(F199+E199)/C199</f>
        <v>11.9</v>
      </c>
    </row>
    <row r="200" spans="1:9" customFormat="1" hidden="1" x14ac:dyDescent="0.2">
      <c r="A200">
        <v>477587</v>
      </c>
      <c r="B200" t="s">
        <v>852</v>
      </c>
      <c r="C200">
        <v>10</v>
      </c>
      <c r="D200" t="s">
        <v>340</v>
      </c>
      <c r="E200">
        <v>104</v>
      </c>
      <c r="F200">
        <v>14</v>
      </c>
      <c r="G200">
        <v>10.4</v>
      </c>
      <c r="H200">
        <f>(F200+E200)/C200</f>
        <v>11.8</v>
      </c>
    </row>
    <row r="201" spans="1:9" customFormat="1" hidden="1" x14ac:dyDescent="0.2">
      <c r="A201">
        <v>124615</v>
      </c>
      <c r="B201" t="s">
        <v>625</v>
      </c>
      <c r="C201">
        <v>148</v>
      </c>
      <c r="D201" t="s">
        <v>340</v>
      </c>
      <c r="E201">
        <v>1728</v>
      </c>
      <c r="F201">
        <v>11</v>
      </c>
      <c r="G201">
        <v>11.675675675675681</v>
      </c>
      <c r="H201">
        <f>(F201+E201)/C201</f>
        <v>11.75</v>
      </c>
    </row>
    <row r="202" spans="1:9" customFormat="1" hidden="1" x14ac:dyDescent="0.2">
      <c r="A202">
        <v>187670</v>
      </c>
      <c r="B202" t="s">
        <v>716</v>
      </c>
      <c r="C202">
        <v>75</v>
      </c>
      <c r="D202" t="s">
        <v>340</v>
      </c>
      <c r="E202">
        <v>743</v>
      </c>
      <c r="F202">
        <v>132</v>
      </c>
      <c r="G202">
        <v>9.9066666666666663</v>
      </c>
      <c r="H202">
        <f>(F202+E202)/C202</f>
        <v>11.666666666666666</v>
      </c>
    </row>
    <row r="203" spans="1:9" customFormat="1" hidden="1" x14ac:dyDescent="0.2">
      <c r="A203">
        <v>109011</v>
      </c>
      <c r="B203" t="s">
        <v>462</v>
      </c>
      <c r="C203">
        <v>40</v>
      </c>
      <c r="D203" t="s">
        <v>340</v>
      </c>
      <c r="E203">
        <v>141</v>
      </c>
      <c r="F203">
        <v>322</v>
      </c>
      <c r="G203">
        <v>3.5249999999999999</v>
      </c>
      <c r="H203">
        <f>(F203+E203)/C203</f>
        <v>11.574999999999999</v>
      </c>
    </row>
    <row r="204" spans="1:9" hidden="1" x14ac:dyDescent="0.2">
      <c r="A204">
        <v>531347</v>
      </c>
      <c r="B204" t="s">
        <v>319</v>
      </c>
      <c r="C204">
        <v>2</v>
      </c>
      <c r="D204" t="s">
        <v>48</v>
      </c>
      <c r="E204">
        <v>7</v>
      </c>
      <c r="F204">
        <v>16</v>
      </c>
      <c r="G204">
        <v>3.5</v>
      </c>
      <c r="H204">
        <f>(F204+E204)/C204</f>
        <v>11.5</v>
      </c>
      <c r="I204"/>
    </row>
    <row r="205" spans="1:9" customFormat="1" hidden="1" x14ac:dyDescent="0.2">
      <c r="A205">
        <v>186872</v>
      </c>
      <c r="B205" t="s">
        <v>715</v>
      </c>
      <c r="C205">
        <v>98</v>
      </c>
      <c r="D205" t="s">
        <v>340</v>
      </c>
      <c r="E205">
        <v>718</v>
      </c>
      <c r="F205">
        <v>384</v>
      </c>
      <c r="G205">
        <v>7.3265306122448983</v>
      </c>
      <c r="H205">
        <f>(F205+E205)/C205</f>
        <v>11.244897959183673</v>
      </c>
    </row>
    <row r="206" spans="1:9" customFormat="1" hidden="1" x14ac:dyDescent="0.2">
      <c r="A206">
        <v>109723</v>
      </c>
      <c r="B206" t="s">
        <v>110</v>
      </c>
      <c r="C206">
        <v>2</v>
      </c>
      <c r="D206" t="s">
        <v>48</v>
      </c>
      <c r="E206">
        <v>5</v>
      </c>
      <c r="F206">
        <v>17</v>
      </c>
      <c r="G206">
        <v>2.5</v>
      </c>
      <c r="H206">
        <f>(F206+E206)/C206</f>
        <v>11</v>
      </c>
    </row>
    <row r="207" spans="1:9" customFormat="1" hidden="1" x14ac:dyDescent="0.2">
      <c r="A207">
        <v>462647</v>
      </c>
      <c r="B207" t="s">
        <v>825</v>
      </c>
      <c r="C207">
        <v>2</v>
      </c>
      <c r="D207" t="s">
        <v>340</v>
      </c>
      <c r="E207">
        <v>22</v>
      </c>
      <c r="F207">
        <v>0</v>
      </c>
      <c r="G207">
        <v>11</v>
      </c>
      <c r="H207">
        <f>(F207+E207)/C207</f>
        <v>11</v>
      </c>
    </row>
    <row r="208" spans="1:9" customFormat="1" hidden="1" x14ac:dyDescent="0.2">
      <c r="A208">
        <v>480908</v>
      </c>
      <c r="B208" t="s">
        <v>1092</v>
      </c>
      <c r="C208">
        <v>2</v>
      </c>
      <c r="D208" t="s">
        <v>923</v>
      </c>
      <c r="E208">
        <v>12</v>
      </c>
      <c r="F208">
        <v>10</v>
      </c>
      <c r="G208">
        <v>6</v>
      </c>
      <c r="H208">
        <f>(F208+E208)/C208</f>
        <v>11</v>
      </c>
    </row>
    <row r="209" spans="1:8" customFormat="1" hidden="1" x14ac:dyDescent="0.2">
      <c r="A209">
        <v>497582</v>
      </c>
      <c r="B209" t="s">
        <v>870</v>
      </c>
      <c r="C209">
        <v>6</v>
      </c>
      <c r="D209" t="s">
        <v>340</v>
      </c>
      <c r="E209">
        <v>19</v>
      </c>
      <c r="F209">
        <v>46</v>
      </c>
      <c r="G209">
        <v>3.166666666666667</v>
      </c>
      <c r="H209">
        <f>(F209+E209)/C209</f>
        <v>10.833333333333334</v>
      </c>
    </row>
    <row r="210" spans="1:8" customFormat="1" hidden="1" x14ac:dyDescent="0.2">
      <c r="A210">
        <v>113557</v>
      </c>
      <c r="B210" t="s">
        <v>581</v>
      </c>
      <c r="C210">
        <v>8</v>
      </c>
      <c r="D210" t="s">
        <v>340</v>
      </c>
      <c r="E210">
        <v>37</v>
      </c>
      <c r="F210">
        <v>49</v>
      </c>
      <c r="G210">
        <v>4.625</v>
      </c>
      <c r="H210">
        <f>(F210+E210)/C210</f>
        <v>10.75</v>
      </c>
    </row>
    <row r="211" spans="1:8" customFormat="1" hidden="1" x14ac:dyDescent="0.2">
      <c r="A211">
        <v>476910</v>
      </c>
      <c r="B211" t="s">
        <v>849</v>
      </c>
      <c r="C211">
        <v>4</v>
      </c>
      <c r="D211" t="s">
        <v>340</v>
      </c>
      <c r="E211">
        <v>16</v>
      </c>
      <c r="F211">
        <v>27</v>
      </c>
      <c r="G211">
        <v>4</v>
      </c>
      <c r="H211">
        <f>(F211+E211)/C211</f>
        <v>10.75</v>
      </c>
    </row>
    <row r="212" spans="1:8" customFormat="1" hidden="1" x14ac:dyDescent="0.2">
      <c r="A212">
        <v>452068</v>
      </c>
      <c r="B212" t="s">
        <v>1076</v>
      </c>
      <c r="C212">
        <v>5</v>
      </c>
      <c r="D212" t="s">
        <v>923</v>
      </c>
      <c r="E212">
        <v>21</v>
      </c>
      <c r="F212">
        <v>32</v>
      </c>
      <c r="G212">
        <v>4.2</v>
      </c>
      <c r="H212">
        <f>(F212+E212)/C212</f>
        <v>10.6</v>
      </c>
    </row>
    <row r="213" spans="1:8" customFormat="1" hidden="1" x14ac:dyDescent="0.2">
      <c r="A213">
        <v>112461</v>
      </c>
      <c r="B213" t="s">
        <v>550</v>
      </c>
      <c r="C213">
        <v>29</v>
      </c>
      <c r="D213" t="s">
        <v>340</v>
      </c>
      <c r="E213">
        <v>115</v>
      </c>
      <c r="F213">
        <v>192</v>
      </c>
      <c r="G213">
        <v>3.9655172413793101</v>
      </c>
      <c r="H213">
        <f>(F213+E213)/C213</f>
        <v>10.586206896551724</v>
      </c>
    </row>
    <row r="214" spans="1:8" customFormat="1" hidden="1" x14ac:dyDescent="0.2">
      <c r="A214">
        <v>155646</v>
      </c>
      <c r="B214" t="s">
        <v>677</v>
      </c>
      <c r="C214">
        <v>29</v>
      </c>
      <c r="D214" t="s">
        <v>340</v>
      </c>
      <c r="E214">
        <v>257</v>
      </c>
      <c r="F214">
        <v>44</v>
      </c>
      <c r="G214">
        <v>8.862068965517242</v>
      </c>
      <c r="H214">
        <f>(F214+E214)/C214</f>
        <v>10.379310344827585</v>
      </c>
    </row>
    <row r="215" spans="1:8" customFormat="1" hidden="1" x14ac:dyDescent="0.2">
      <c r="A215">
        <v>110526</v>
      </c>
      <c r="B215" t="s">
        <v>518</v>
      </c>
      <c r="C215">
        <v>119</v>
      </c>
      <c r="D215" t="s">
        <v>340</v>
      </c>
      <c r="E215">
        <v>397</v>
      </c>
      <c r="F215">
        <v>828</v>
      </c>
      <c r="G215">
        <v>3.3361344537815132</v>
      </c>
      <c r="H215">
        <f>(F215+E215)/C215</f>
        <v>10.294117647058824</v>
      </c>
    </row>
    <row r="216" spans="1:8" customFormat="1" hidden="1" x14ac:dyDescent="0.2">
      <c r="A216">
        <v>127119</v>
      </c>
      <c r="B216" t="s">
        <v>1011</v>
      </c>
      <c r="C216">
        <v>14</v>
      </c>
      <c r="D216" t="s">
        <v>923</v>
      </c>
      <c r="E216">
        <v>104</v>
      </c>
      <c r="F216">
        <v>38</v>
      </c>
      <c r="G216">
        <v>7.4285714285714288</v>
      </c>
      <c r="H216">
        <f>(F216+E216)/C216</f>
        <v>10.142857142857142</v>
      </c>
    </row>
    <row r="217" spans="1:8" customFormat="1" hidden="1" x14ac:dyDescent="0.2">
      <c r="A217">
        <v>502025</v>
      </c>
      <c r="B217" t="s">
        <v>874</v>
      </c>
      <c r="C217">
        <v>1</v>
      </c>
      <c r="D217" t="s">
        <v>340</v>
      </c>
      <c r="E217">
        <v>5</v>
      </c>
      <c r="F217">
        <v>5</v>
      </c>
      <c r="G217">
        <v>5</v>
      </c>
      <c r="H217">
        <f>(F217+E217)/C217</f>
        <v>10</v>
      </c>
    </row>
    <row r="218" spans="1:8" customFormat="1" hidden="1" x14ac:dyDescent="0.2">
      <c r="A218">
        <v>106436</v>
      </c>
      <c r="B218" t="s">
        <v>927</v>
      </c>
      <c r="C218">
        <v>1</v>
      </c>
      <c r="D218" t="s">
        <v>923</v>
      </c>
      <c r="E218">
        <v>10</v>
      </c>
      <c r="F218">
        <v>0</v>
      </c>
      <c r="G218">
        <v>10</v>
      </c>
      <c r="H218">
        <f>(F218+E218)/C218</f>
        <v>10</v>
      </c>
    </row>
    <row r="219" spans="1:8" customFormat="1" hidden="1" x14ac:dyDescent="0.2">
      <c r="A219">
        <v>111178</v>
      </c>
      <c r="B219" t="s">
        <v>537</v>
      </c>
      <c r="C219">
        <v>105</v>
      </c>
      <c r="D219" t="s">
        <v>340</v>
      </c>
      <c r="E219">
        <v>1030</v>
      </c>
      <c r="F219">
        <v>10</v>
      </c>
      <c r="G219">
        <v>9.8095238095238102</v>
      </c>
      <c r="H219">
        <f>(F219+E219)/C219</f>
        <v>9.9047619047619051</v>
      </c>
    </row>
    <row r="220" spans="1:8" customFormat="1" hidden="1" x14ac:dyDescent="0.2">
      <c r="A220">
        <v>293426</v>
      </c>
      <c r="B220" t="s">
        <v>746</v>
      </c>
      <c r="C220">
        <v>8</v>
      </c>
      <c r="D220" t="s">
        <v>340</v>
      </c>
      <c r="E220">
        <v>34</v>
      </c>
      <c r="F220">
        <v>44</v>
      </c>
      <c r="G220">
        <v>4.25</v>
      </c>
      <c r="H220">
        <f>(F220+E220)/C220</f>
        <v>9.75</v>
      </c>
    </row>
    <row r="221" spans="1:8" customFormat="1" hidden="1" x14ac:dyDescent="0.2">
      <c r="A221">
        <v>110931</v>
      </c>
      <c r="B221" t="s">
        <v>120</v>
      </c>
      <c r="C221">
        <v>10</v>
      </c>
      <c r="D221" t="s">
        <v>48</v>
      </c>
      <c r="E221">
        <v>57</v>
      </c>
      <c r="F221">
        <v>40</v>
      </c>
      <c r="G221">
        <v>5.7</v>
      </c>
      <c r="H221">
        <f>(F221+E221)/C221</f>
        <v>9.6999999999999993</v>
      </c>
    </row>
    <row r="222" spans="1:8" customFormat="1" hidden="1" x14ac:dyDescent="0.2">
      <c r="A222">
        <v>111029</v>
      </c>
      <c r="B222" t="s">
        <v>533</v>
      </c>
      <c r="C222">
        <v>10</v>
      </c>
      <c r="D222" t="s">
        <v>340</v>
      </c>
      <c r="E222">
        <v>51</v>
      </c>
      <c r="F222">
        <v>46</v>
      </c>
      <c r="G222">
        <v>5.0999999999999996</v>
      </c>
      <c r="H222">
        <f>(F222+E222)/C222</f>
        <v>9.6999999999999993</v>
      </c>
    </row>
    <row r="223" spans="1:8" customFormat="1" hidden="1" x14ac:dyDescent="0.2">
      <c r="A223">
        <v>112603</v>
      </c>
      <c r="B223" t="s">
        <v>132</v>
      </c>
      <c r="C223">
        <v>3</v>
      </c>
      <c r="D223" t="s">
        <v>48</v>
      </c>
      <c r="E223">
        <v>29</v>
      </c>
      <c r="F223">
        <v>0</v>
      </c>
      <c r="G223">
        <v>9.6666666666666661</v>
      </c>
      <c r="H223">
        <f>(F223+E223)/C223</f>
        <v>9.6666666666666661</v>
      </c>
    </row>
    <row r="224" spans="1:8" customFormat="1" hidden="1" x14ac:dyDescent="0.2">
      <c r="A224">
        <v>179811</v>
      </c>
      <c r="B224" t="s">
        <v>710</v>
      </c>
      <c r="C224">
        <v>48</v>
      </c>
      <c r="D224" t="s">
        <v>340</v>
      </c>
      <c r="E224">
        <v>444</v>
      </c>
      <c r="F224">
        <v>12</v>
      </c>
      <c r="G224">
        <v>9.25</v>
      </c>
      <c r="H224">
        <f>(F224+E224)/C224</f>
        <v>9.5</v>
      </c>
    </row>
    <row r="225" spans="1:8" customFormat="1" hidden="1" x14ac:dyDescent="0.2">
      <c r="A225">
        <v>106715</v>
      </c>
      <c r="B225" t="s">
        <v>380</v>
      </c>
      <c r="C225">
        <v>186</v>
      </c>
      <c r="D225" t="s">
        <v>340</v>
      </c>
      <c r="E225">
        <v>1284</v>
      </c>
      <c r="F225">
        <v>392</v>
      </c>
      <c r="G225">
        <v>6.903225806451613</v>
      </c>
      <c r="H225">
        <f>(F225+E225)/C225</f>
        <v>9.0107526881720439</v>
      </c>
    </row>
    <row r="226" spans="1:8" customFormat="1" hidden="1" x14ac:dyDescent="0.2">
      <c r="A226">
        <v>469988</v>
      </c>
      <c r="B226" t="s">
        <v>838</v>
      </c>
      <c r="C226">
        <v>10</v>
      </c>
      <c r="D226" t="s">
        <v>340</v>
      </c>
      <c r="E226">
        <v>81</v>
      </c>
      <c r="F226">
        <v>9</v>
      </c>
      <c r="G226">
        <v>8.1</v>
      </c>
      <c r="H226">
        <f>(F226+E226)/C226</f>
        <v>9</v>
      </c>
    </row>
    <row r="227" spans="1:8" customFormat="1" hidden="1" x14ac:dyDescent="0.2">
      <c r="A227">
        <v>109294</v>
      </c>
      <c r="B227" t="s">
        <v>481</v>
      </c>
      <c r="C227">
        <v>26</v>
      </c>
      <c r="D227" t="s">
        <v>340</v>
      </c>
      <c r="E227">
        <v>215</v>
      </c>
      <c r="F227">
        <v>17</v>
      </c>
      <c r="G227">
        <v>8.2692307692307701</v>
      </c>
      <c r="H227">
        <f>(F227+E227)/C227</f>
        <v>8.9230769230769234</v>
      </c>
    </row>
    <row r="228" spans="1:8" customFormat="1" hidden="1" x14ac:dyDescent="0.2">
      <c r="A228">
        <v>307831</v>
      </c>
      <c r="B228" t="s">
        <v>758</v>
      </c>
      <c r="C228">
        <v>28</v>
      </c>
      <c r="D228" t="s">
        <v>340</v>
      </c>
      <c r="E228">
        <v>94</v>
      </c>
      <c r="F228">
        <v>155</v>
      </c>
      <c r="G228">
        <v>3.3571428571428572</v>
      </c>
      <c r="H228">
        <f>(F228+E228)/C228</f>
        <v>8.8928571428571423</v>
      </c>
    </row>
    <row r="229" spans="1:8" customFormat="1" hidden="1" x14ac:dyDescent="0.2">
      <c r="A229">
        <v>116203</v>
      </c>
      <c r="B229" t="s">
        <v>606</v>
      </c>
      <c r="C229">
        <v>22</v>
      </c>
      <c r="D229" t="s">
        <v>340</v>
      </c>
      <c r="E229">
        <v>135</v>
      </c>
      <c r="F229">
        <v>59</v>
      </c>
      <c r="G229">
        <v>6.1363636363636367</v>
      </c>
      <c r="H229">
        <f>(F229+E229)/C229</f>
        <v>8.8181818181818183</v>
      </c>
    </row>
    <row r="230" spans="1:8" customFormat="1" hidden="1" x14ac:dyDescent="0.2">
      <c r="A230">
        <v>514566</v>
      </c>
      <c r="B230" t="s">
        <v>314</v>
      </c>
      <c r="C230">
        <v>70</v>
      </c>
      <c r="D230" t="s">
        <v>48</v>
      </c>
      <c r="E230">
        <v>386</v>
      </c>
      <c r="F230">
        <v>227</v>
      </c>
      <c r="G230">
        <v>5.5142857142857142</v>
      </c>
      <c r="H230">
        <f>(F230+E230)/C230</f>
        <v>8.757142857142858</v>
      </c>
    </row>
    <row r="231" spans="1:8" customFormat="1" hidden="1" x14ac:dyDescent="0.2">
      <c r="A231">
        <v>106876</v>
      </c>
      <c r="B231" t="s">
        <v>388</v>
      </c>
      <c r="C231">
        <v>3</v>
      </c>
      <c r="D231" t="s">
        <v>340</v>
      </c>
      <c r="E231">
        <v>26</v>
      </c>
      <c r="F231">
        <v>0</v>
      </c>
      <c r="G231">
        <v>8.6666666666666661</v>
      </c>
      <c r="H231">
        <f>(F231+E231)/C231</f>
        <v>8.6666666666666661</v>
      </c>
    </row>
    <row r="232" spans="1:8" customFormat="1" hidden="1" x14ac:dyDescent="0.2">
      <c r="A232">
        <v>109479</v>
      </c>
      <c r="B232" t="s">
        <v>484</v>
      </c>
      <c r="C232">
        <v>205</v>
      </c>
      <c r="D232" t="s">
        <v>340</v>
      </c>
      <c r="E232">
        <v>1422</v>
      </c>
      <c r="F232">
        <v>347</v>
      </c>
      <c r="G232">
        <v>6.9365853658536576</v>
      </c>
      <c r="H232">
        <f>(F232+E232)/C232</f>
        <v>8.6292682926829265</v>
      </c>
    </row>
    <row r="233" spans="1:8" customFormat="1" hidden="1" x14ac:dyDescent="0.2">
      <c r="A233">
        <v>110485</v>
      </c>
      <c r="B233" t="s">
        <v>517</v>
      </c>
      <c r="C233">
        <v>7</v>
      </c>
      <c r="D233" t="s">
        <v>340</v>
      </c>
      <c r="E233">
        <v>59</v>
      </c>
      <c r="F233">
        <v>0</v>
      </c>
      <c r="G233">
        <v>8.4285714285714288</v>
      </c>
      <c r="H233">
        <f>(F233+E233)/C233</f>
        <v>8.4285714285714288</v>
      </c>
    </row>
    <row r="234" spans="1:8" customFormat="1" hidden="1" x14ac:dyDescent="0.2">
      <c r="A234">
        <v>110173</v>
      </c>
      <c r="B234" t="s">
        <v>506</v>
      </c>
      <c r="C234">
        <v>43</v>
      </c>
      <c r="D234" t="s">
        <v>340</v>
      </c>
      <c r="E234">
        <v>264</v>
      </c>
      <c r="F234">
        <v>95</v>
      </c>
      <c r="G234">
        <v>6.1395348837209296</v>
      </c>
      <c r="H234">
        <f>(F234+E234)/C234</f>
        <v>8.3488372093023262</v>
      </c>
    </row>
    <row r="235" spans="1:8" customFormat="1" hidden="1" x14ac:dyDescent="0.2">
      <c r="A235">
        <v>517451</v>
      </c>
      <c r="B235" t="s">
        <v>315</v>
      </c>
      <c r="C235">
        <v>1</v>
      </c>
      <c r="D235" t="s">
        <v>48</v>
      </c>
      <c r="E235">
        <v>2</v>
      </c>
      <c r="F235">
        <v>6</v>
      </c>
      <c r="G235">
        <v>2</v>
      </c>
      <c r="H235">
        <f>(F235+E235)/C235</f>
        <v>8</v>
      </c>
    </row>
    <row r="236" spans="1:8" customFormat="1" hidden="1" x14ac:dyDescent="0.2">
      <c r="A236">
        <v>107937</v>
      </c>
      <c r="B236" t="s">
        <v>420</v>
      </c>
      <c r="C236">
        <v>5</v>
      </c>
      <c r="D236" t="s">
        <v>340</v>
      </c>
      <c r="E236">
        <v>32</v>
      </c>
      <c r="F236">
        <v>8</v>
      </c>
      <c r="G236">
        <v>6.4</v>
      </c>
      <c r="H236">
        <f>(F236+E236)/C236</f>
        <v>8</v>
      </c>
    </row>
    <row r="237" spans="1:8" customFormat="1" hidden="1" x14ac:dyDescent="0.2">
      <c r="A237">
        <v>471807</v>
      </c>
      <c r="B237" t="s">
        <v>844</v>
      </c>
      <c r="C237">
        <v>1</v>
      </c>
      <c r="D237" t="s">
        <v>340</v>
      </c>
      <c r="E237">
        <v>8</v>
      </c>
      <c r="F237">
        <v>0</v>
      </c>
      <c r="G237">
        <v>8</v>
      </c>
      <c r="H237">
        <f>(F237+E237)/C237</f>
        <v>8</v>
      </c>
    </row>
    <row r="238" spans="1:8" customFormat="1" hidden="1" x14ac:dyDescent="0.2">
      <c r="A238">
        <v>112545</v>
      </c>
      <c r="B238" t="s">
        <v>554</v>
      </c>
      <c r="C238">
        <v>25</v>
      </c>
      <c r="D238" t="s">
        <v>340</v>
      </c>
      <c r="E238">
        <v>183</v>
      </c>
      <c r="F238">
        <v>14</v>
      </c>
      <c r="G238">
        <v>7.32</v>
      </c>
      <c r="H238">
        <f>(F238+E238)/C238</f>
        <v>7.88</v>
      </c>
    </row>
    <row r="239" spans="1:8" customFormat="1" hidden="1" x14ac:dyDescent="0.2">
      <c r="A239">
        <v>113111</v>
      </c>
      <c r="B239" t="s">
        <v>567</v>
      </c>
      <c r="C239">
        <v>117</v>
      </c>
      <c r="D239" t="s">
        <v>340</v>
      </c>
      <c r="E239">
        <v>793</v>
      </c>
      <c r="F239">
        <v>124</v>
      </c>
      <c r="G239">
        <v>6.7777777777777777</v>
      </c>
      <c r="H239">
        <f>(F239+E239)/C239</f>
        <v>7.8376068376068373</v>
      </c>
    </row>
    <row r="240" spans="1:8" customFormat="1" hidden="1" x14ac:dyDescent="0.2">
      <c r="A240">
        <v>108601</v>
      </c>
      <c r="B240" t="s">
        <v>454</v>
      </c>
      <c r="C240">
        <v>58</v>
      </c>
      <c r="D240" t="s">
        <v>340</v>
      </c>
      <c r="E240">
        <v>433</v>
      </c>
      <c r="F240">
        <v>20</v>
      </c>
      <c r="G240">
        <v>7.4655172413793096</v>
      </c>
      <c r="H240">
        <f>(F240+E240)/C240</f>
        <v>7.8103448275862073</v>
      </c>
    </row>
    <row r="241" spans="1:8" customFormat="1" hidden="1" x14ac:dyDescent="0.2">
      <c r="A241">
        <v>151282</v>
      </c>
      <c r="B241" t="s">
        <v>194</v>
      </c>
      <c r="C241">
        <v>21</v>
      </c>
      <c r="D241" t="s">
        <v>48</v>
      </c>
      <c r="E241">
        <v>109</v>
      </c>
      <c r="F241">
        <v>55</v>
      </c>
      <c r="G241">
        <v>5.1904761904761907</v>
      </c>
      <c r="H241">
        <f>(F241+E241)/C241</f>
        <v>7.8095238095238093</v>
      </c>
    </row>
    <row r="242" spans="1:8" customFormat="1" hidden="1" x14ac:dyDescent="0.2">
      <c r="A242">
        <v>156634</v>
      </c>
      <c r="B242" t="s">
        <v>681</v>
      </c>
      <c r="C242">
        <v>8</v>
      </c>
      <c r="D242" t="s">
        <v>340</v>
      </c>
      <c r="E242">
        <v>61</v>
      </c>
      <c r="F242">
        <v>0</v>
      </c>
      <c r="G242">
        <v>7.625</v>
      </c>
      <c r="H242">
        <f>(F242+E242)/C242</f>
        <v>7.625</v>
      </c>
    </row>
    <row r="243" spans="1:8" customFormat="1" hidden="1" x14ac:dyDescent="0.2">
      <c r="A243">
        <v>205183</v>
      </c>
      <c r="B243" t="s">
        <v>727</v>
      </c>
      <c r="C243">
        <v>5</v>
      </c>
      <c r="D243" t="s">
        <v>340</v>
      </c>
      <c r="E243">
        <v>38</v>
      </c>
      <c r="F243">
        <v>0</v>
      </c>
      <c r="G243">
        <v>7.6</v>
      </c>
      <c r="H243">
        <f>(F243+E243)/C243</f>
        <v>7.6</v>
      </c>
    </row>
    <row r="244" spans="1:8" customFormat="1" hidden="1" x14ac:dyDescent="0.2">
      <c r="A244">
        <v>542060</v>
      </c>
      <c r="B244" t="s">
        <v>888</v>
      </c>
      <c r="C244">
        <v>2</v>
      </c>
      <c r="D244" t="s">
        <v>340</v>
      </c>
      <c r="E244">
        <v>15</v>
      </c>
      <c r="F244">
        <v>0</v>
      </c>
      <c r="G244">
        <v>7.5</v>
      </c>
      <c r="H244">
        <f>(F244+E244)/C244</f>
        <v>7.5</v>
      </c>
    </row>
    <row r="245" spans="1:8" customFormat="1" hidden="1" x14ac:dyDescent="0.2">
      <c r="A245">
        <v>318725</v>
      </c>
      <c r="B245" t="s">
        <v>1066</v>
      </c>
      <c r="C245">
        <v>235</v>
      </c>
      <c r="D245" t="s">
        <v>923</v>
      </c>
      <c r="E245">
        <v>1711</v>
      </c>
      <c r="F245">
        <v>37</v>
      </c>
      <c r="G245">
        <v>7.280851063829787</v>
      </c>
      <c r="H245">
        <f>(F245+E245)/C245</f>
        <v>7.4382978723404252</v>
      </c>
    </row>
    <row r="246" spans="1:8" customFormat="1" hidden="1" x14ac:dyDescent="0.2">
      <c r="A246">
        <v>155263</v>
      </c>
      <c r="B246" t="s">
        <v>676</v>
      </c>
      <c r="C246">
        <v>154</v>
      </c>
      <c r="D246" t="s">
        <v>340</v>
      </c>
      <c r="E246">
        <v>815</v>
      </c>
      <c r="F246">
        <v>315</v>
      </c>
      <c r="G246">
        <v>5.2922077922077921</v>
      </c>
      <c r="H246">
        <f>(F246+E246)/C246</f>
        <v>7.337662337662338</v>
      </c>
    </row>
    <row r="247" spans="1:8" customFormat="1" hidden="1" x14ac:dyDescent="0.2">
      <c r="A247">
        <v>108283</v>
      </c>
      <c r="B247" t="s">
        <v>438</v>
      </c>
      <c r="C247">
        <v>12</v>
      </c>
      <c r="D247" t="s">
        <v>340</v>
      </c>
      <c r="E247">
        <v>70</v>
      </c>
      <c r="F247">
        <v>18</v>
      </c>
      <c r="G247">
        <v>5.833333333333333</v>
      </c>
      <c r="H247">
        <f>(F247+E247)/C247</f>
        <v>7.333333333333333</v>
      </c>
    </row>
    <row r="248" spans="1:8" customFormat="1" hidden="1" x14ac:dyDescent="0.2">
      <c r="A248">
        <v>510378</v>
      </c>
      <c r="B248" t="s">
        <v>877</v>
      </c>
      <c r="C248">
        <v>3</v>
      </c>
      <c r="D248" t="s">
        <v>340</v>
      </c>
      <c r="E248">
        <v>13</v>
      </c>
      <c r="F248">
        <v>9</v>
      </c>
      <c r="G248">
        <v>4.333333333333333</v>
      </c>
      <c r="H248">
        <f>(F248+E248)/C248</f>
        <v>7.333333333333333</v>
      </c>
    </row>
    <row r="249" spans="1:8" customFormat="1" hidden="1" x14ac:dyDescent="0.2">
      <c r="A249">
        <v>108237</v>
      </c>
      <c r="B249" t="s">
        <v>434</v>
      </c>
      <c r="C249">
        <v>131</v>
      </c>
      <c r="D249" t="s">
        <v>340</v>
      </c>
      <c r="E249">
        <v>543</v>
      </c>
      <c r="F249">
        <v>409</v>
      </c>
      <c r="G249">
        <v>4.1450381679389317</v>
      </c>
      <c r="H249">
        <f>(F249+E249)/C249</f>
        <v>7.2671755725190836</v>
      </c>
    </row>
    <row r="250" spans="1:8" customFormat="1" hidden="1" x14ac:dyDescent="0.2">
      <c r="A250">
        <v>158405</v>
      </c>
      <c r="B250" t="s">
        <v>689</v>
      </c>
      <c r="C250">
        <v>15</v>
      </c>
      <c r="D250" t="s">
        <v>340</v>
      </c>
      <c r="E250">
        <v>103</v>
      </c>
      <c r="F250">
        <v>6</v>
      </c>
      <c r="G250">
        <v>6.8666666666666663</v>
      </c>
      <c r="H250">
        <f>(F250+E250)/C250</f>
        <v>7.2666666666666666</v>
      </c>
    </row>
    <row r="251" spans="1:8" customFormat="1" hidden="1" x14ac:dyDescent="0.2">
      <c r="A251">
        <v>305997</v>
      </c>
      <c r="B251" t="s">
        <v>756</v>
      </c>
      <c r="C251">
        <v>32</v>
      </c>
      <c r="D251" t="s">
        <v>340</v>
      </c>
      <c r="E251">
        <v>193</v>
      </c>
      <c r="F251">
        <v>39</v>
      </c>
      <c r="G251">
        <v>6.03125</v>
      </c>
      <c r="H251">
        <f>(F251+E251)/C251</f>
        <v>7.25</v>
      </c>
    </row>
    <row r="252" spans="1:8" customFormat="1" hidden="1" x14ac:dyDescent="0.2">
      <c r="A252">
        <v>315428</v>
      </c>
      <c r="B252" t="s">
        <v>773</v>
      </c>
      <c r="C252">
        <v>28</v>
      </c>
      <c r="D252" t="s">
        <v>340</v>
      </c>
      <c r="E252">
        <v>183</v>
      </c>
      <c r="F252">
        <v>15</v>
      </c>
      <c r="G252">
        <v>6.5357142857142856</v>
      </c>
      <c r="H252">
        <f>(F252+E252)/C252</f>
        <v>7.0714285714285712</v>
      </c>
    </row>
    <row r="253" spans="1:8" customFormat="1" hidden="1" x14ac:dyDescent="0.2">
      <c r="A253">
        <v>119976</v>
      </c>
      <c r="B253" t="s">
        <v>1004</v>
      </c>
      <c r="C253">
        <v>3</v>
      </c>
      <c r="D253" t="s">
        <v>923</v>
      </c>
      <c r="E253">
        <v>7</v>
      </c>
      <c r="F253">
        <v>14</v>
      </c>
      <c r="G253">
        <v>2.333333333333333</v>
      </c>
      <c r="H253">
        <f>(F253+E253)/C253</f>
        <v>7</v>
      </c>
    </row>
    <row r="254" spans="1:8" customFormat="1" hidden="1" x14ac:dyDescent="0.2">
      <c r="A254">
        <v>163254</v>
      </c>
      <c r="B254" t="s">
        <v>1031</v>
      </c>
      <c r="C254">
        <v>1</v>
      </c>
      <c r="D254" t="s">
        <v>923</v>
      </c>
      <c r="E254">
        <v>7</v>
      </c>
      <c r="F254">
        <v>0</v>
      </c>
      <c r="G254">
        <v>7</v>
      </c>
      <c r="H254">
        <f>(F254+E254)/C254</f>
        <v>7</v>
      </c>
    </row>
    <row r="255" spans="1:8" customFormat="1" hidden="1" x14ac:dyDescent="0.2">
      <c r="A255">
        <v>198541</v>
      </c>
      <c r="B255" t="s">
        <v>1044</v>
      </c>
      <c r="C255">
        <v>10</v>
      </c>
      <c r="D255" t="s">
        <v>923</v>
      </c>
      <c r="E255">
        <v>51</v>
      </c>
      <c r="F255">
        <v>19</v>
      </c>
      <c r="G255">
        <v>5.0999999999999996</v>
      </c>
      <c r="H255">
        <f>(F255+E255)/C255</f>
        <v>7</v>
      </c>
    </row>
    <row r="256" spans="1:8" customFormat="1" hidden="1" x14ac:dyDescent="0.2">
      <c r="A256">
        <v>556455</v>
      </c>
      <c r="B256" t="s">
        <v>1114</v>
      </c>
      <c r="C256">
        <v>25</v>
      </c>
      <c r="D256" t="s">
        <v>923</v>
      </c>
      <c r="E256">
        <v>154</v>
      </c>
      <c r="F256">
        <v>15</v>
      </c>
      <c r="G256">
        <v>6.16</v>
      </c>
      <c r="H256">
        <f>(F256+E256)/C256</f>
        <v>6.76</v>
      </c>
    </row>
    <row r="257" spans="1:8" customFormat="1" hidden="1" x14ac:dyDescent="0.2">
      <c r="A257">
        <v>149335</v>
      </c>
      <c r="B257" t="s">
        <v>668</v>
      </c>
      <c r="C257">
        <v>47</v>
      </c>
      <c r="D257" t="s">
        <v>340</v>
      </c>
      <c r="E257">
        <v>307</v>
      </c>
      <c r="F257">
        <v>9</v>
      </c>
      <c r="G257">
        <v>6.5319148936170217</v>
      </c>
      <c r="H257">
        <f>(F257+E257)/C257</f>
        <v>6.7234042553191493</v>
      </c>
    </row>
    <row r="258" spans="1:8" customFormat="1" hidden="1" x14ac:dyDescent="0.2">
      <c r="A258">
        <v>178090</v>
      </c>
      <c r="B258" t="s">
        <v>215</v>
      </c>
      <c r="C258">
        <v>23</v>
      </c>
      <c r="D258" t="s">
        <v>48</v>
      </c>
      <c r="E258">
        <v>154</v>
      </c>
      <c r="F258">
        <v>0</v>
      </c>
      <c r="G258">
        <v>6.6956521739130439</v>
      </c>
      <c r="H258">
        <f>(F258+E258)/C258</f>
        <v>6.6956521739130439</v>
      </c>
    </row>
    <row r="259" spans="1:8" customFormat="1" hidden="1" x14ac:dyDescent="0.2">
      <c r="A259">
        <v>570653</v>
      </c>
      <c r="B259" t="s">
        <v>324</v>
      </c>
      <c r="C259">
        <v>3</v>
      </c>
      <c r="D259" t="s">
        <v>48</v>
      </c>
      <c r="E259">
        <v>20</v>
      </c>
      <c r="F259">
        <v>0</v>
      </c>
      <c r="G259">
        <v>6.666666666666667</v>
      </c>
      <c r="H259">
        <f>(F259+E259)/C259</f>
        <v>6.666666666666667</v>
      </c>
    </row>
    <row r="260" spans="1:8" customFormat="1" hidden="1" x14ac:dyDescent="0.2">
      <c r="A260">
        <v>108635</v>
      </c>
      <c r="B260" t="s">
        <v>455</v>
      </c>
      <c r="C260">
        <v>41</v>
      </c>
      <c r="D260" t="s">
        <v>340</v>
      </c>
      <c r="E260">
        <v>210</v>
      </c>
      <c r="F260">
        <v>62</v>
      </c>
      <c r="G260">
        <v>5.1219512195121952</v>
      </c>
      <c r="H260">
        <f>(F260+E260)/C260</f>
        <v>6.6341463414634143</v>
      </c>
    </row>
    <row r="261" spans="1:8" customFormat="1" hidden="1" x14ac:dyDescent="0.2">
      <c r="A261">
        <v>302416</v>
      </c>
      <c r="B261" t="s">
        <v>34</v>
      </c>
      <c r="C261">
        <v>5</v>
      </c>
      <c r="D261" t="s">
        <v>8</v>
      </c>
      <c r="E261">
        <v>0</v>
      </c>
      <c r="F261">
        <v>33</v>
      </c>
      <c r="G261">
        <v>0</v>
      </c>
      <c r="H261">
        <f>(F261+E261)/C261</f>
        <v>6.6</v>
      </c>
    </row>
    <row r="262" spans="1:8" customFormat="1" hidden="1" x14ac:dyDescent="0.2">
      <c r="A262">
        <v>145461</v>
      </c>
      <c r="B262" t="s">
        <v>663</v>
      </c>
      <c r="C262">
        <v>54</v>
      </c>
      <c r="D262" t="s">
        <v>340</v>
      </c>
      <c r="E262">
        <v>196</v>
      </c>
      <c r="F262">
        <v>159</v>
      </c>
      <c r="G262">
        <v>3.6296296296296302</v>
      </c>
      <c r="H262">
        <f>(F262+E262)/C262</f>
        <v>6.5740740740740744</v>
      </c>
    </row>
    <row r="263" spans="1:8" customFormat="1" hidden="1" x14ac:dyDescent="0.2">
      <c r="A263">
        <v>106273</v>
      </c>
      <c r="B263" t="s">
        <v>359</v>
      </c>
      <c r="C263">
        <v>30</v>
      </c>
      <c r="D263" t="s">
        <v>340</v>
      </c>
      <c r="E263">
        <v>195</v>
      </c>
      <c r="F263">
        <v>2</v>
      </c>
      <c r="G263">
        <v>6.5</v>
      </c>
      <c r="H263">
        <f>(F263+E263)/C263</f>
        <v>6.5666666666666664</v>
      </c>
    </row>
    <row r="264" spans="1:8" customFormat="1" hidden="1" x14ac:dyDescent="0.2">
      <c r="A264">
        <v>112630</v>
      </c>
      <c r="B264" t="s">
        <v>560</v>
      </c>
      <c r="C264">
        <v>20</v>
      </c>
      <c r="D264" t="s">
        <v>340</v>
      </c>
      <c r="E264">
        <v>131</v>
      </c>
      <c r="F264">
        <v>0</v>
      </c>
      <c r="G264">
        <v>6.55</v>
      </c>
      <c r="H264">
        <f>(F264+E264)/C264</f>
        <v>6.55</v>
      </c>
    </row>
    <row r="265" spans="1:8" customFormat="1" hidden="1" x14ac:dyDescent="0.2">
      <c r="A265">
        <v>147636</v>
      </c>
      <c r="B265" t="s">
        <v>665</v>
      </c>
      <c r="C265">
        <v>91</v>
      </c>
      <c r="D265" t="s">
        <v>340</v>
      </c>
      <c r="E265">
        <v>374</v>
      </c>
      <c r="F265">
        <v>197</v>
      </c>
      <c r="G265">
        <v>4.1098901098901086</v>
      </c>
      <c r="H265">
        <f>(F265+E265)/C265</f>
        <v>6.2747252747252746</v>
      </c>
    </row>
    <row r="266" spans="1:8" customFormat="1" hidden="1" x14ac:dyDescent="0.2">
      <c r="A266">
        <v>320631</v>
      </c>
      <c r="B266" t="s">
        <v>781</v>
      </c>
      <c r="C266">
        <v>63</v>
      </c>
      <c r="D266" t="s">
        <v>340</v>
      </c>
      <c r="E266">
        <v>222</v>
      </c>
      <c r="F266">
        <v>173</v>
      </c>
      <c r="G266">
        <v>3.5238095238095242</v>
      </c>
      <c r="H266">
        <f>(F266+E266)/C266</f>
        <v>6.2698412698412698</v>
      </c>
    </row>
    <row r="267" spans="1:8" customFormat="1" hidden="1" x14ac:dyDescent="0.2">
      <c r="A267">
        <v>183946</v>
      </c>
      <c r="B267" t="s">
        <v>1040</v>
      </c>
      <c r="C267">
        <v>82</v>
      </c>
      <c r="D267" t="s">
        <v>923</v>
      </c>
      <c r="E267">
        <v>489</v>
      </c>
      <c r="F267">
        <v>16</v>
      </c>
      <c r="G267">
        <v>5.9634146341463419</v>
      </c>
      <c r="H267">
        <f>(F267+E267)/C267</f>
        <v>6.1585365853658534</v>
      </c>
    </row>
    <row r="268" spans="1:8" customFormat="1" hidden="1" x14ac:dyDescent="0.2">
      <c r="A268">
        <v>108354</v>
      </c>
      <c r="B268" t="s">
        <v>439</v>
      </c>
      <c r="C268">
        <v>35</v>
      </c>
      <c r="D268" t="s">
        <v>340</v>
      </c>
      <c r="E268">
        <v>181</v>
      </c>
      <c r="F268">
        <v>34</v>
      </c>
      <c r="G268">
        <v>5.1714285714285717</v>
      </c>
      <c r="H268">
        <f>(F268+E268)/C268</f>
        <v>6.1428571428571432</v>
      </c>
    </row>
    <row r="269" spans="1:8" customFormat="1" hidden="1" x14ac:dyDescent="0.2">
      <c r="A269">
        <v>109267</v>
      </c>
      <c r="B269" t="s">
        <v>106</v>
      </c>
      <c r="C269">
        <v>55</v>
      </c>
      <c r="D269" t="s">
        <v>48</v>
      </c>
      <c r="E269">
        <v>301</v>
      </c>
      <c r="F269">
        <v>35</v>
      </c>
      <c r="G269">
        <v>5.4727272727272727</v>
      </c>
      <c r="H269">
        <f>(F269+E269)/C269</f>
        <v>6.1090909090909093</v>
      </c>
    </row>
    <row r="270" spans="1:8" customFormat="1" hidden="1" x14ac:dyDescent="0.2">
      <c r="A270">
        <v>324380</v>
      </c>
      <c r="B270" t="s">
        <v>792</v>
      </c>
      <c r="C270">
        <v>43</v>
      </c>
      <c r="D270" t="s">
        <v>340</v>
      </c>
      <c r="E270">
        <v>45</v>
      </c>
      <c r="F270">
        <v>217</v>
      </c>
      <c r="G270">
        <v>1.046511627906977</v>
      </c>
      <c r="H270">
        <f>(F270+E270)/C270</f>
        <v>6.0930232558139537</v>
      </c>
    </row>
    <row r="271" spans="1:8" customFormat="1" hidden="1" x14ac:dyDescent="0.2">
      <c r="A271">
        <v>108060</v>
      </c>
      <c r="B271" t="s">
        <v>429</v>
      </c>
      <c r="C271">
        <v>31</v>
      </c>
      <c r="D271" t="s">
        <v>340</v>
      </c>
      <c r="E271">
        <v>52</v>
      </c>
      <c r="F271">
        <v>135</v>
      </c>
      <c r="G271">
        <v>1.67741935483871</v>
      </c>
      <c r="H271">
        <f>(F271+E271)/C271</f>
        <v>6.032258064516129</v>
      </c>
    </row>
    <row r="272" spans="1:8" customFormat="1" hidden="1" x14ac:dyDescent="0.2">
      <c r="A272">
        <v>108467</v>
      </c>
      <c r="B272" t="s">
        <v>447</v>
      </c>
      <c r="C272">
        <v>230</v>
      </c>
      <c r="D272" t="s">
        <v>340</v>
      </c>
      <c r="E272">
        <v>1148</v>
      </c>
      <c r="F272">
        <v>235</v>
      </c>
      <c r="G272">
        <v>4.9913043478260866</v>
      </c>
      <c r="H272">
        <f>(F272+E272)/C272</f>
        <v>6.0130434782608697</v>
      </c>
    </row>
    <row r="273" spans="1:9" customFormat="1" hidden="1" x14ac:dyDescent="0.2">
      <c r="A273" t="s">
        <v>904</v>
      </c>
      <c r="B273" t="s">
        <v>905</v>
      </c>
      <c r="C273">
        <v>5</v>
      </c>
      <c r="D273" t="s">
        <v>340</v>
      </c>
      <c r="E273">
        <v>3</v>
      </c>
      <c r="F273">
        <v>27</v>
      </c>
      <c r="G273">
        <v>0.6</v>
      </c>
      <c r="H273">
        <f>(F273+E273)/C273</f>
        <v>6</v>
      </c>
    </row>
    <row r="274" spans="1:9" customFormat="1" ht="16" hidden="1" x14ac:dyDescent="0.2">
      <c r="A274" s="8">
        <v>114601</v>
      </c>
      <c r="B274" s="10" t="s">
        <v>588</v>
      </c>
      <c r="C274" s="8">
        <v>2194</v>
      </c>
      <c r="D274" s="8" t="s">
        <v>340</v>
      </c>
      <c r="E274" s="8">
        <v>5254</v>
      </c>
      <c r="F274" s="10">
        <v>7810</v>
      </c>
      <c r="G274" s="10">
        <v>2.3947128532360979</v>
      </c>
      <c r="H274">
        <f>(F274+E274)/C274</f>
        <v>5.9544211485870555</v>
      </c>
      <c r="I274" s="8"/>
    </row>
    <row r="275" spans="1:9" customFormat="1" hidden="1" x14ac:dyDescent="0.2">
      <c r="A275">
        <v>111065</v>
      </c>
      <c r="B275" t="s">
        <v>977</v>
      </c>
      <c r="C275">
        <v>160</v>
      </c>
      <c r="D275" t="s">
        <v>923</v>
      </c>
      <c r="E275">
        <v>314</v>
      </c>
      <c r="F275">
        <v>628</v>
      </c>
      <c r="G275">
        <v>1.9624999999999999</v>
      </c>
      <c r="H275">
        <f>(F275+E275)/C275</f>
        <v>5.8875000000000002</v>
      </c>
    </row>
    <row r="276" spans="1:9" customFormat="1" hidden="1" x14ac:dyDescent="0.2">
      <c r="A276">
        <v>197700</v>
      </c>
      <c r="B276" t="s">
        <v>722</v>
      </c>
      <c r="C276">
        <v>170</v>
      </c>
      <c r="D276" t="s">
        <v>340</v>
      </c>
      <c r="E276">
        <v>920</v>
      </c>
      <c r="F276">
        <v>80</v>
      </c>
      <c r="G276">
        <v>5.4117647058823533</v>
      </c>
      <c r="H276">
        <f>(F276+E276)/C276</f>
        <v>5.882352941176471</v>
      </c>
    </row>
    <row r="277" spans="1:9" customFormat="1" ht="16" hidden="1" x14ac:dyDescent="0.2">
      <c r="A277" s="8">
        <v>116660</v>
      </c>
      <c r="B277" s="10" t="s">
        <v>608</v>
      </c>
      <c r="C277" s="8">
        <v>1335</v>
      </c>
      <c r="D277" s="8" t="s">
        <v>340</v>
      </c>
      <c r="E277" s="8">
        <v>3109</v>
      </c>
      <c r="F277" s="10">
        <v>4606</v>
      </c>
      <c r="G277" s="10">
        <v>2.3288389513108609</v>
      </c>
      <c r="H277">
        <f>(F277+E277)/C277</f>
        <v>5.7790262172284645</v>
      </c>
      <c r="I277" s="8"/>
    </row>
    <row r="278" spans="1:9" customFormat="1" hidden="1" x14ac:dyDescent="0.2">
      <c r="A278">
        <v>108500</v>
      </c>
      <c r="B278" t="s">
        <v>450</v>
      </c>
      <c r="C278">
        <v>59</v>
      </c>
      <c r="D278" t="s">
        <v>340</v>
      </c>
      <c r="E278">
        <v>237</v>
      </c>
      <c r="F278">
        <v>99</v>
      </c>
      <c r="G278">
        <v>4.0169491525423728</v>
      </c>
      <c r="H278">
        <f>(F278+E278)/C278</f>
        <v>5.6949152542372881</v>
      </c>
    </row>
    <row r="279" spans="1:9" customFormat="1" hidden="1" x14ac:dyDescent="0.2">
      <c r="A279">
        <v>219125</v>
      </c>
      <c r="B279" t="s">
        <v>1050</v>
      </c>
      <c r="C279">
        <v>9</v>
      </c>
      <c r="D279" t="s">
        <v>923</v>
      </c>
      <c r="E279">
        <v>40</v>
      </c>
      <c r="F279">
        <v>11</v>
      </c>
      <c r="G279">
        <v>4.4444444444444446</v>
      </c>
      <c r="H279">
        <f>(F279+E279)/C279</f>
        <v>5.666666666666667</v>
      </c>
    </row>
    <row r="280" spans="1:9" customFormat="1" hidden="1" x14ac:dyDescent="0.2">
      <c r="A280">
        <v>106281</v>
      </c>
      <c r="B280" t="s">
        <v>360</v>
      </c>
      <c r="C280">
        <v>58</v>
      </c>
      <c r="D280" t="s">
        <v>340</v>
      </c>
      <c r="E280">
        <v>302</v>
      </c>
      <c r="F280">
        <v>25</v>
      </c>
      <c r="G280">
        <v>5.2068965517241379</v>
      </c>
      <c r="H280">
        <f>(F280+E280)/C280</f>
        <v>5.6379310344827589</v>
      </c>
    </row>
    <row r="281" spans="1:9" customFormat="1" hidden="1" x14ac:dyDescent="0.2">
      <c r="A281">
        <v>107124</v>
      </c>
      <c r="B281" t="s">
        <v>69</v>
      </c>
      <c r="C281">
        <v>327</v>
      </c>
      <c r="D281" t="s">
        <v>48</v>
      </c>
      <c r="E281">
        <v>985</v>
      </c>
      <c r="F281">
        <v>818</v>
      </c>
      <c r="G281">
        <v>3.0122324159021412</v>
      </c>
      <c r="H281">
        <f>(F281+E281)/C281</f>
        <v>5.5137614678899078</v>
      </c>
    </row>
    <row r="282" spans="1:9" customFormat="1" hidden="1" x14ac:dyDescent="0.2">
      <c r="A282">
        <v>112275</v>
      </c>
      <c r="B282" t="s">
        <v>981</v>
      </c>
      <c r="C282">
        <v>2</v>
      </c>
      <c r="D282" t="s">
        <v>923</v>
      </c>
      <c r="E282">
        <v>0</v>
      </c>
      <c r="F282">
        <v>11</v>
      </c>
      <c r="G282">
        <v>0</v>
      </c>
      <c r="H282">
        <f>(F282+E282)/C282</f>
        <v>5.5</v>
      </c>
    </row>
    <row r="283" spans="1:9" customFormat="1" hidden="1" x14ac:dyDescent="0.2">
      <c r="A283">
        <v>466044</v>
      </c>
      <c r="B283" t="s">
        <v>832</v>
      </c>
      <c r="C283">
        <v>70</v>
      </c>
      <c r="D283" t="s">
        <v>340</v>
      </c>
      <c r="E283">
        <v>291</v>
      </c>
      <c r="F283">
        <v>75</v>
      </c>
      <c r="G283">
        <v>4.1571428571428566</v>
      </c>
      <c r="H283">
        <f>(F283+E283)/C283</f>
        <v>5.2285714285714286</v>
      </c>
    </row>
    <row r="284" spans="1:9" customFormat="1" hidden="1" x14ac:dyDescent="0.2">
      <c r="A284">
        <v>554048</v>
      </c>
      <c r="B284" t="s">
        <v>895</v>
      </c>
      <c r="C284">
        <v>19</v>
      </c>
      <c r="D284" t="s">
        <v>340</v>
      </c>
      <c r="E284">
        <v>99</v>
      </c>
      <c r="F284">
        <v>0</v>
      </c>
      <c r="G284">
        <v>5.2105263157894726</v>
      </c>
      <c r="H284">
        <f>(F284+E284)/C284</f>
        <v>5.2105263157894735</v>
      </c>
    </row>
    <row r="285" spans="1:9" customFormat="1" hidden="1" x14ac:dyDescent="0.2">
      <c r="A285">
        <v>111124</v>
      </c>
      <c r="B285" t="s">
        <v>535</v>
      </c>
      <c r="C285">
        <v>88</v>
      </c>
      <c r="D285" t="s">
        <v>340</v>
      </c>
      <c r="E285">
        <v>444</v>
      </c>
      <c r="F285">
        <v>10</v>
      </c>
      <c r="G285">
        <v>5.0454545454545459</v>
      </c>
      <c r="H285">
        <f>(F285+E285)/C285</f>
        <v>5.1590909090909092</v>
      </c>
    </row>
    <row r="286" spans="1:9" customFormat="1" hidden="1" x14ac:dyDescent="0.2">
      <c r="A286">
        <v>107272</v>
      </c>
      <c r="B286" t="s">
        <v>404</v>
      </c>
      <c r="C286">
        <v>130</v>
      </c>
      <c r="D286" t="s">
        <v>340</v>
      </c>
      <c r="E286">
        <v>660</v>
      </c>
      <c r="F286">
        <v>7</v>
      </c>
      <c r="G286">
        <v>5.0769230769230766</v>
      </c>
      <c r="H286">
        <f>(F286+E286)/C286</f>
        <v>5.1307692307692312</v>
      </c>
    </row>
    <row r="287" spans="1:9" customFormat="1" hidden="1" x14ac:dyDescent="0.2">
      <c r="A287">
        <v>108766</v>
      </c>
      <c r="B287" t="s">
        <v>955</v>
      </c>
      <c r="C287">
        <v>24</v>
      </c>
      <c r="D287" t="s">
        <v>923</v>
      </c>
      <c r="E287">
        <v>51</v>
      </c>
      <c r="F287">
        <v>70</v>
      </c>
      <c r="G287">
        <v>2.125</v>
      </c>
      <c r="H287">
        <f>(F287+E287)/C287</f>
        <v>5.041666666666667</v>
      </c>
    </row>
    <row r="288" spans="1:9" customFormat="1" hidden="1" x14ac:dyDescent="0.2">
      <c r="A288">
        <v>114833</v>
      </c>
      <c r="B288" t="s">
        <v>591</v>
      </c>
      <c r="C288">
        <v>50</v>
      </c>
      <c r="D288" t="s">
        <v>340</v>
      </c>
      <c r="E288">
        <v>215</v>
      </c>
      <c r="F288">
        <v>37</v>
      </c>
      <c r="G288">
        <v>4.3</v>
      </c>
      <c r="H288">
        <f>(F288+E288)/C288</f>
        <v>5.04</v>
      </c>
    </row>
    <row r="289" spans="1:9" customFormat="1" hidden="1" x14ac:dyDescent="0.2">
      <c r="A289">
        <v>119937</v>
      </c>
      <c r="B289" t="s">
        <v>617</v>
      </c>
      <c r="C289">
        <v>377</v>
      </c>
      <c r="D289" t="s">
        <v>340</v>
      </c>
      <c r="E289">
        <v>852</v>
      </c>
      <c r="F289">
        <v>1038</v>
      </c>
      <c r="G289">
        <v>2.2599469496021221</v>
      </c>
      <c r="H289">
        <f>(F289+E289)/C289</f>
        <v>5.0132625994694964</v>
      </c>
    </row>
    <row r="290" spans="1:9" customFormat="1" hidden="1" x14ac:dyDescent="0.2">
      <c r="A290">
        <v>500453</v>
      </c>
      <c r="B290" t="s">
        <v>1100</v>
      </c>
      <c r="C290">
        <v>4</v>
      </c>
      <c r="D290" t="s">
        <v>923</v>
      </c>
      <c r="E290">
        <v>7</v>
      </c>
      <c r="F290">
        <v>13</v>
      </c>
      <c r="G290">
        <v>1.75</v>
      </c>
      <c r="H290">
        <f>(F290+E290)/C290</f>
        <v>5</v>
      </c>
    </row>
    <row r="291" spans="1:9" customFormat="1" hidden="1" x14ac:dyDescent="0.2">
      <c r="A291">
        <v>513112</v>
      </c>
      <c r="B291" t="s">
        <v>1103</v>
      </c>
      <c r="C291">
        <v>4</v>
      </c>
      <c r="D291" t="s">
        <v>923</v>
      </c>
      <c r="E291">
        <v>5</v>
      </c>
      <c r="F291">
        <v>15</v>
      </c>
      <c r="G291">
        <v>1.25</v>
      </c>
      <c r="H291">
        <f>(F291+E291)/C291</f>
        <v>5</v>
      </c>
    </row>
    <row r="292" spans="1:9" customFormat="1" hidden="1" x14ac:dyDescent="0.2">
      <c r="A292">
        <v>117408</v>
      </c>
      <c r="B292" t="s">
        <v>610</v>
      </c>
      <c r="C292">
        <v>25</v>
      </c>
      <c r="D292" t="s">
        <v>340</v>
      </c>
      <c r="E292">
        <v>112</v>
      </c>
      <c r="F292">
        <v>10</v>
      </c>
      <c r="G292">
        <v>4.4800000000000004</v>
      </c>
      <c r="H292">
        <f>(F292+E292)/C292</f>
        <v>4.88</v>
      </c>
    </row>
    <row r="293" spans="1:9" customFormat="1" hidden="1" x14ac:dyDescent="0.2">
      <c r="A293">
        <v>110825</v>
      </c>
      <c r="B293" t="s">
        <v>530</v>
      </c>
      <c r="C293">
        <v>8</v>
      </c>
      <c r="D293" t="s">
        <v>340</v>
      </c>
      <c r="E293">
        <v>28</v>
      </c>
      <c r="F293">
        <v>11</v>
      </c>
      <c r="G293">
        <v>3.5</v>
      </c>
      <c r="H293">
        <f>(F293+E293)/C293</f>
        <v>4.875</v>
      </c>
    </row>
    <row r="294" spans="1:9" customFormat="1" hidden="1" x14ac:dyDescent="0.2">
      <c r="A294">
        <v>479509</v>
      </c>
      <c r="B294" t="s">
        <v>1090</v>
      </c>
      <c r="C294">
        <v>8</v>
      </c>
      <c r="D294" t="s">
        <v>923</v>
      </c>
      <c r="E294">
        <v>38</v>
      </c>
      <c r="F294">
        <v>1</v>
      </c>
      <c r="G294">
        <v>4.75</v>
      </c>
      <c r="H294">
        <f>(F294+E294)/C294</f>
        <v>4.875</v>
      </c>
    </row>
    <row r="295" spans="1:9" customFormat="1" hidden="1" x14ac:dyDescent="0.2">
      <c r="A295">
        <v>303223</v>
      </c>
      <c r="B295" t="s">
        <v>752</v>
      </c>
      <c r="C295">
        <v>247</v>
      </c>
      <c r="D295" t="s">
        <v>340</v>
      </c>
      <c r="E295">
        <v>1051</v>
      </c>
      <c r="F295">
        <v>149</v>
      </c>
      <c r="G295">
        <v>4.2550607287449393</v>
      </c>
      <c r="H295">
        <f>(F295+E295)/C295</f>
        <v>4.8582995951417001</v>
      </c>
    </row>
    <row r="296" spans="1:9" customFormat="1" hidden="1" x14ac:dyDescent="0.2">
      <c r="A296">
        <v>185176</v>
      </c>
      <c r="B296" t="s">
        <v>713</v>
      </c>
      <c r="C296">
        <v>49</v>
      </c>
      <c r="D296" t="s">
        <v>340</v>
      </c>
      <c r="E296">
        <v>210</v>
      </c>
      <c r="F296">
        <v>25</v>
      </c>
      <c r="G296">
        <v>4.2857142857142856</v>
      </c>
      <c r="H296">
        <f>(F296+E296)/C296</f>
        <v>4.795918367346939</v>
      </c>
    </row>
    <row r="297" spans="1:9" customFormat="1" hidden="1" x14ac:dyDescent="0.2">
      <c r="A297">
        <v>108979</v>
      </c>
      <c r="B297" t="s">
        <v>98</v>
      </c>
      <c r="C297">
        <v>134</v>
      </c>
      <c r="D297" t="s">
        <v>48</v>
      </c>
      <c r="E297">
        <v>436</v>
      </c>
      <c r="F297">
        <v>201</v>
      </c>
      <c r="G297">
        <v>3.2537313432835822</v>
      </c>
      <c r="H297">
        <f>(F297+E297)/C297</f>
        <v>4.7537313432835822</v>
      </c>
    </row>
    <row r="298" spans="1:9" customFormat="1" hidden="1" x14ac:dyDescent="0.2">
      <c r="A298">
        <v>120234</v>
      </c>
      <c r="B298" t="s">
        <v>619</v>
      </c>
      <c r="C298">
        <v>22</v>
      </c>
      <c r="D298" t="s">
        <v>340</v>
      </c>
      <c r="E298">
        <v>50</v>
      </c>
      <c r="F298">
        <v>54</v>
      </c>
      <c r="G298">
        <v>2.2727272727272729</v>
      </c>
      <c r="H298">
        <f>(F298+E298)/C298</f>
        <v>4.7272727272727275</v>
      </c>
    </row>
    <row r="299" spans="1:9" customFormat="1" ht="16" x14ac:dyDescent="0.2">
      <c r="A299" s="11">
        <v>105469</v>
      </c>
      <c r="B299" s="12" t="s">
        <v>343</v>
      </c>
      <c r="C299" s="8">
        <v>950</v>
      </c>
      <c r="D299" s="8" t="s">
        <v>340</v>
      </c>
      <c r="E299" s="8">
        <v>4462</v>
      </c>
      <c r="F299" s="8">
        <v>18</v>
      </c>
      <c r="G299" s="10">
        <v>4.6968421052631566</v>
      </c>
      <c r="H299">
        <f>(F299+E299)/C299</f>
        <v>4.7157894736842101</v>
      </c>
      <c r="I299" s="8"/>
    </row>
    <row r="300" spans="1:9" customFormat="1" hidden="1" x14ac:dyDescent="0.2">
      <c r="A300">
        <v>112992</v>
      </c>
      <c r="B300" t="s">
        <v>566</v>
      </c>
      <c r="C300">
        <v>14</v>
      </c>
      <c r="D300" t="s">
        <v>340</v>
      </c>
      <c r="E300">
        <v>66</v>
      </c>
      <c r="F300">
        <v>0</v>
      </c>
      <c r="G300">
        <v>4.7142857142857144</v>
      </c>
      <c r="H300">
        <f>(F300+E300)/C300</f>
        <v>4.7142857142857144</v>
      </c>
    </row>
    <row r="301" spans="1:9" customFormat="1" hidden="1" x14ac:dyDescent="0.2">
      <c r="A301">
        <v>310911</v>
      </c>
      <c r="B301" t="s">
        <v>767</v>
      </c>
      <c r="C301">
        <v>58</v>
      </c>
      <c r="D301" t="s">
        <v>340</v>
      </c>
      <c r="E301">
        <v>265</v>
      </c>
      <c r="F301">
        <v>8</v>
      </c>
      <c r="G301">
        <v>4.568965517241379</v>
      </c>
      <c r="H301">
        <f>(F301+E301)/C301</f>
        <v>4.7068965517241379</v>
      </c>
    </row>
    <row r="302" spans="1:9" customFormat="1" hidden="1" x14ac:dyDescent="0.2">
      <c r="A302">
        <v>511036</v>
      </c>
      <c r="B302" t="s">
        <v>879</v>
      </c>
      <c r="C302">
        <v>231</v>
      </c>
      <c r="D302" t="s">
        <v>340</v>
      </c>
      <c r="E302">
        <v>1056</v>
      </c>
      <c r="F302">
        <v>19</v>
      </c>
      <c r="G302">
        <v>4.5714285714285712</v>
      </c>
      <c r="H302">
        <f>(F302+E302)/C302</f>
        <v>4.6536796536796539</v>
      </c>
    </row>
    <row r="303" spans="1:9" customFormat="1" hidden="1" x14ac:dyDescent="0.2">
      <c r="A303">
        <v>574758</v>
      </c>
      <c r="B303" t="s">
        <v>900</v>
      </c>
      <c r="C303">
        <v>8</v>
      </c>
      <c r="D303" t="s">
        <v>340</v>
      </c>
      <c r="E303">
        <v>10</v>
      </c>
      <c r="F303">
        <v>27</v>
      </c>
      <c r="G303">
        <v>1.25</v>
      </c>
      <c r="H303">
        <f>(F303+E303)/C303</f>
        <v>4.625</v>
      </c>
    </row>
    <row r="304" spans="1:9" customFormat="1" hidden="1" x14ac:dyDescent="0.2">
      <c r="A304">
        <v>106669</v>
      </c>
      <c r="B304" t="s">
        <v>377</v>
      </c>
      <c r="C304">
        <v>200</v>
      </c>
      <c r="D304" t="s">
        <v>340</v>
      </c>
      <c r="E304">
        <v>922</v>
      </c>
      <c r="F304">
        <v>1</v>
      </c>
      <c r="G304">
        <v>4.6100000000000003</v>
      </c>
      <c r="H304">
        <f>(F304+E304)/C304</f>
        <v>4.6150000000000002</v>
      </c>
    </row>
    <row r="305" spans="1:9" customFormat="1" hidden="1" x14ac:dyDescent="0.2">
      <c r="A305">
        <v>117733</v>
      </c>
      <c r="B305" t="s">
        <v>1003</v>
      </c>
      <c r="C305">
        <v>90</v>
      </c>
      <c r="D305" t="s">
        <v>923</v>
      </c>
      <c r="E305">
        <v>410</v>
      </c>
      <c r="F305">
        <v>1</v>
      </c>
      <c r="G305">
        <v>4.5555555555555554</v>
      </c>
      <c r="H305">
        <f>(F305+E305)/C305</f>
        <v>4.5666666666666664</v>
      </c>
    </row>
    <row r="306" spans="1:9" customFormat="1" hidden="1" x14ac:dyDescent="0.2">
      <c r="A306">
        <v>493856</v>
      </c>
      <c r="B306" t="s">
        <v>303</v>
      </c>
      <c r="C306">
        <v>25</v>
      </c>
      <c r="D306" t="s">
        <v>48</v>
      </c>
      <c r="E306">
        <v>68</v>
      </c>
      <c r="F306">
        <v>46</v>
      </c>
      <c r="G306">
        <v>2.72</v>
      </c>
      <c r="H306">
        <f>(F306+E306)/C306</f>
        <v>4.5599999999999996</v>
      </c>
    </row>
    <row r="307" spans="1:9" customFormat="1" hidden="1" x14ac:dyDescent="0.2">
      <c r="A307">
        <v>306038</v>
      </c>
      <c r="B307" t="s">
        <v>757</v>
      </c>
      <c r="C307">
        <v>105</v>
      </c>
      <c r="D307" t="s">
        <v>340</v>
      </c>
      <c r="E307">
        <v>448</v>
      </c>
      <c r="F307">
        <v>30</v>
      </c>
      <c r="G307">
        <v>4.2666666666666666</v>
      </c>
      <c r="H307">
        <f>(F307+E307)/C307</f>
        <v>4.5523809523809522</v>
      </c>
    </row>
    <row r="308" spans="1:9" customFormat="1" hidden="1" x14ac:dyDescent="0.2">
      <c r="A308">
        <v>164977</v>
      </c>
      <c r="B308" t="s">
        <v>695</v>
      </c>
      <c r="C308">
        <v>22</v>
      </c>
      <c r="D308" t="s">
        <v>340</v>
      </c>
      <c r="E308">
        <v>71</v>
      </c>
      <c r="F308">
        <v>29</v>
      </c>
      <c r="G308">
        <v>3.2272727272727271</v>
      </c>
      <c r="H308">
        <f>(F308+E308)/C308</f>
        <v>4.5454545454545459</v>
      </c>
    </row>
    <row r="309" spans="1:9" customFormat="1" hidden="1" x14ac:dyDescent="0.2">
      <c r="A309">
        <v>109269</v>
      </c>
      <c r="B309" t="s">
        <v>480</v>
      </c>
      <c r="C309">
        <v>140</v>
      </c>
      <c r="D309" t="s">
        <v>340</v>
      </c>
      <c r="E309">
        <v>608</v>
      </c>
      <c r="F309">
        <v>24</v>
      </c>
      <c r="G309">
        <v>4.3428571428571434</v>
      </c>
      <c r="H309">
        <f>(F309+E309)/C309</f>
        <v>4.5142857142857142</v>
      </c>
    </row>
    <row r="310" spans="1:9" customFormat="1" hidden="1" x14ac:dyDescent="0.2">
      <c r="A310">
        <v>113164</v>
      </c>
      <c r="B310" t="s">
        <v>136</v>
      </c>
      <c r="C310">
        <v>40</v>
      </c>
      <c r="D310" t="s">
        <v>48</v>
      </c>
      <c r="E310">
        <v>171</v>
      </c>
      <c r="F310">
        <v>9</v>
      </c>
      <c r="G310">
        <v>4.2750000000000004</v>
      </c>
      <c r="H310">
        <f>(F310+E310)/C310</f>
        <v>4.5</v>
      </c>
    </row>
    <row r="311" spans="1:9" customFormat="1" hidden="1" x14ac:dyDescent="0.2">
      <c r="A311">
        <v>113335</v>
      </c>
      <c r="B311" t="s">
        <v>570</v>
      </c>
      <c r="C311">
        <v>84</v>
      </c>
      <c r="D311" t="s">
        <v>340</v>
      </c>
      <c r="E311">
        <v>354</v>
      </c>
      <c r="F311">
        <v>22</v>
      </c>
      <c r="G311">
        <v>4.2142857142857144</v>
      </c>
      <c r="H311">
        <f>(F311+E311)/C311</f>
        <v>4.4761904761904763</v>
      </c>
    </row>
    <row r="312" spans="1:9" customFormat="1" hidden="1" x14ac:dyDescent="0.2">
      <c r="A312">
        <v>107448</v>
      </c>
      <c r="B312" t="s">
        <v>409</v>
      </c>
      <c r="C312">
        <v>32</v>
      </c>
      <c r="D312" t="s">
        <v>340</v>
      </c>
      <c r="E312">
        <v>41</v>
      </c>
      <c r="F312">
        <v>101</v>
      </c>
      <c r="G312">
        <v>1.28125</v>
      </c>
      <c r="H312">
        <f>(F312+E312)/C312</f>
        <v>4.4375</v>
      </c>
    </row>
    <row r="313" spans="1:9" customFormat="1" hidden="1" x14ac:dyDescent="0.2">
      <c r="A313">
        <v>320923</v>
      </c>
      <c r="B313" t="s">
        <v>782</v>
      </c>
      <c r="C313">
        <v>67</v>
      </c>
      <c r="D313" t="s">
        <v>340</v>
      </c>
      <c r="E313">
        <v>295</v>
      </c>
      <c r="F313">
        <v>0</v>
      </c>
      <c r="G313">
        <v>4.4029850746268657</v>
      </c>
      <c r="H313">
        <f>(F313+E313)/C313</f>
        <v>4.4029850746268657</v>
      </c>
    </row>
    <row r="314" spans="1:9" customFormat="1" hidden="1" x14ac:dyDescent="0.2">
      <c r="A314">
        <v>108792</v>
      </c>
      <c r="B314" t="s">
        <v>459</v>
      </c>
      <c r="C314">
        <v>100</v>
      </c>
      <c r="D314" t="s">
        <v>340</v>
      </c>
      <c r="E314">
        <v>431</v>
      </c>
      <c r="F314">
        <v>7</v>
      </c>
      <c r="G314">
        <v>4.3099999999999996</v>
      </c>
      <c r="H314">
        <f>(F314+E314)/C314</f>
        <v>4.38</v>
      </c>
    </row>
    <row r="315" spans="1:9" customFormat="1" hidden="1" x14ac:dyDescent="0.2">
      <c r="A315">
        <v>110146</v>
      </c>
      <c r="B315" t="s">
        <v>115</v>
      </c>
      <c r="C315">
        <v>77</v>
      </c>
      <c r="D315" t="s">
        <v>48</v>
      </c>
      <c r="E315">
        <v>254</v>
      </c>
      <c r="F315">
        <v>83</v>
      </c>
      <c r="G315">
        <v>3.2987012987012991</v>
      </c>
      <c r="H315">
        <f>(F315+E315)/C315</f>
        <v>4.3766233766233764</v>
      </c>
    </row>
    <row r="316" spans="1:9" customFormat="1" hidden="1" x14ac:dyDescent="0.2">
      <c r="A316">
        <v>470764</v>
      </c>
      <c r="B316" t="s">
        <v>840</v>
      </c>
      <c r="C316">
        <v>8</v>
      </c>
      <c r="D316" t="s">
        <v>340</v>
      </c>
      <c r="E316">
        <v>25</v>
      </c>
      <c r="F316">
        <v>10</v>
      </c>
      <c r="G316">
        <v>3.125</v>
      </c>
      <c r="H316">
        <f>(F316+E316)/C316</f>
        <v>4.375</v>
      </c>
    </row>
    <row r="317" spans="1:9" customFormat="1" ht="16" hidden="1" x14ac:dyDescent="0.2">
      <c r="A317" s="8">
        <v>106372</v>
      </c>
      <c r="B317" s="10" t="s">
        <v>925</v>
      </c>
      <c r="C317" s="8">
        <v>650</v>
      </c>
      <c r="D317" s="8" t="s">
        <v>923</v>
      </c>
      <c r="E317" s="8">
        <v>2765</v>
      </c>
      <c r="F317" s="10">
        <v>61</v>
      </c>
      <c r="G317" s="10">
        <v>4.2538461538461538</v>
      </c>
      <c r="H317">
        <f>(F317+E317)/C317</f>
        <v>4.3476923076923075</v>
      </c>
      <c r="I317" s="8"/>
    </row>
    <row r="318" spans="1:9" customFormat="1" hidden="1" x14ac:dyDescent="0.2">
      <c r="A318">
        <v>471191</v>
      </c>
      <c r="B318" t="s">
        <v>843</v>
      </c>
      <c r="C318">
        <v>239</v>
      </c>
      <c r="D318" t="s">
        <v>340</v>
      </c>
      <c r="E318">
        <v>826</v>
      </c>
      <c r="F318">
        <v>206</v>
      </c>
      <c r="G318">
        <v>3.456066945606695</v>
      </c>
      <c r="H318">
        <f>(F318+E318)/C318</f>
        <v>4.3179916317991633</v>
      </c>
    </row>
    <row r="319" spans="1:9" customFormat="1" hidden="1" x14ac:dyDescent="0.2">
      <c r="A319">
        <v>114046</v>
      </c>
      <c r="B319" t="s">
        <v>144</v>
      </c>
      <c r="C319">
        <v>19</v>
      </c>
      <c r="D319" t="s">
        <v>48</v>
      </c>
      <c r="E319">
        <v>62</v>
      </c>
      <c r="F319">
        <v>20</v>
      </c>
      <c r="G319">
        <v>3.263157894736842</v>
      </c>
      <c r="H319">
        <f>(F319+E319)/C319</f>
        <v>4.3157894736842106</v>
      </c>
    </row>
    <row r="320" spans="1:9" customFormat="1" hidden="1" x14ac:dyDescent="0.2">
      <c r="A320">
        <v>452684</v>
      </c>
      <c r="B320" t="s">
        <v>815</v>
      </c>
      <c r="C320">
        <v>20</v>
      </c>
      <c r="D320" t="s">
        <v>340</v>
      </c>
      <c r="E320">
        <v>34</v>
      </c>
      <c r="F320">
        <v>52</v>
      </c>
      <c r="G320">
        <v>1.7</v>
      </c>
      <c r="H320">
        <f>(F320+E320)/C320</f>
        <v>4.3</v>
      </c>
    </row>
    <row r="321" spans="1:9" customFormat="1" hidden="1" x14ac:dyDescent="0.2">
      <c r="A321">
        <v>157071</v>
      </c>
      <c r="B321" t="s">
        <v>683</v>
      </c>
      <c r="C321">
        <v>151</v>
      </c>
      <c r="D321" t="s">
        <v>340</v>
      </c>
      <c r="E321">
        <v>633</v>
      </c>
      <c r="F321">
        <v>16</v>
      </c>
      <c r="G321">
        <v>4.1920529801324502</v>
      </c>
      <c r="H321">
        <f>(F321+E321)/C321</f>
        <v>4.298013245033113</v>
      </c>
    </row>
    <row r="322" spans="1:9" customFormat="1" hidden="1" x14ac:dyDescent="0.2">
      <c r="A322">
        <v>106516</v>
      </c>
      <c r="B322" t="s">
        <v>368</v>
      </c>
      <c r="C322">
        <v>101</v>
      </c>
      <c r="D322" t="s">
        <v>340</v>
      </c>
      <c r="E322">
        <v>261</v>
      </c>
      <c r="F322">
        <v>172</v>
      </c>
      <c r="G322">
        <v>2.5841584158415838</v>
      </c>
      <c r="H322">
        <f>(F322+E322)/C322</f>
        <v>4.2871287128712874</v>
      </c>
    </row>
    <row r="323" spans="1:9" customFormat="1" hidden="1" x14ac:dyDescent="0.2">
      <c r="A323">
        <v>106135</v>
      </c>
      <c r="B323" t="s">
        <v>356</v>
      </c>
      <c r="C323">
        <v>92</v>
      </c>
      <c r="D323" t="s">
        <v>340</v>
      </c>
      <c r="E323">
        <v>388</v>
      </c>
      <c r="F323">
        <v>4</v>
      </c>
      <c r="G323">
        <v>4.2173913043478262</v>
      </c>
      <c r="H323">
        <f>(F323+E323)/C323</f>
        <v>4.2608695652173916</v>
      </c>
    </row>
    <row r="324" spans="1:9" customFormat="1" hidden="1" x14ac:dyDescent="0.2">
      <c r="A324">
        <v>111020</v>
      </c>
      <c r="B324" t="s">
        <v>532</v>
      </c>
      <c r="C324">
        <v>67</v>
      </c>
      <c r="D324" t="s">
        <v>340</v>
      </c>
      <c r="E324">
        <v>235</v>
      </c>
      <c r="F324">
        <v>47</v>
      </c>
      <c r="G324">
        <v>3.5074626865671639</v>
      </c>
      <c r="H324">
        <f>(F324+E324)/C324</f>
        <v>4.2089552238805972</v>
      </c>
    </row>
    <row r="325" spans="1:9" customFormat="1" hidden="1" x14ac:dyDescent="0.2">
      <c r="A325">
        <v>108263</v>
      </c>
      <c r="B325" t="s">
        <v>436</v>
      </c>
      <c r="C325">
        <v>16</v>
      </c>
      <c r="D325" t="s">
        <v>340</v>
      </c>
      <c r="E325">
        <v>49</v>
      </c>
      <c r="F325">
        <v>18</v>
      </c>
      <c r="G325">
        <v>3.0625</v>
      </c>
      <c r="H325">
        <f>(F325+E325)/C325</f>
        <v>4.1875</v>
      </c>
    </row>
    <row r="326" spans="1:9" customFormat="1" hidden="1" x14ac:dyDescent="0.2">
      <c r="A326">
        <v>106587</v>
      </c>
      <c r="B326" t="s">
        <v>372</v>
      </c>
      <c r="C326">
        <v>114</v>
      </c>
      <c r="D326" t="s">
        <v>340</v>
      </c>
      <c r="E326">
        <v>449</v>
      </c>
      <c r="F326">
        <v>25</v>
      </c>
      <c r="G326">
        <v>3.9385964912280702</v>
      </c>
      <c r="H326">
        <f>(F326+E326)/C326</f>
        <v>4.1578947368421053</v>
      </c>
    </row>
    <row r="327" spans="1:9" hidden="1" x14ac:dyDescent="0.2">
      <c r="A327">
        <v>484505</v>
      </c>
      <c r="B327" t="s">
        <v>298</v>
      </c>
      <c r="C327">
        <v>33</v>
      </c>
      <c r="D327" t="s">
        <v>48</v>
      </c>
      <c r="E327">
        <v>73</v>
      </c>
      <c r="F327">
        <v>63</v>
      </c>
      <c r="G327">
        <v>2.2121212121212119</v>
      </c>
      <c r="H327">
        <f>(F327+E327)/C327</f>
        <v>4.1212121212121211</v>
      </c>
      <c r="I327"/>
    </row>
    <row r="328" spans="1:9" customFormat="1" hidden="1" x14ac:dyDescent="0.2">
      <c r="A328">
        <v>114759</v>
      </c>
      <c r="B328" t="s">
        <v>589</v>
      </c>
      <c r="C328">
        <v>67</v>
      </c>
      <c r="D328" t="s">
        <v>340</v>
      </c>
      <c r="E328">
        <v>275</v>
      </c>
      <c r="F328">
        <v>0</v>
      </c>
      <c r="G328">
        <v>4.1044776119402986</v>
      </c>
      <c r="H328">
        <f>(F328+E328)/C328</f>
        <v>4.1044776119402986</v>
      </c>
    </row>
    <row r="329" spans="1:9" customFormat="1" hidden="1" x14ac:dyDescent="0.2">
      <c r="A329">
        <v>109738</v>
      </c>
      <c r="B329" t="s">
        <v>964</v>
      </c>
      <c r="C329">
        <v>138</v>
      </c>
      <c r="D329" t="s">
        <v>923</v>
      </c>
      <c r="E329">
        <v>451</v>
      </c>
      <c r="F329">
        <v>110</v>
      </c>
      <c r="G329">
        <v>3.2681159420289849</v>
      </c>
      <c r="H329">
        <f>(F329+E329)/C329</f>
        <v>4.0652173913043477</v>
      </c>
    </row>
    <row r="330" spans="1:9" customFormat="1" hidden="1" x14ac:dyDescent="0.2">
      <c r="A330">
        <v>116208</v>
      </c>
      <c r="B330" t="s">
        <v>607</v>
      </c>
      <c r="C330">
        <v>30</v>
      </c>
      <c r="D330" t="s">
        <v>340</v>
      </c>
      <c r="E330">
        <v>95</v>
      </c>
      <c r="F330">
        <v>26</v>
      </c>
      <c r="G330">
        <v>3.166666666666667</v>
      </c>
      <c r="H330">
        <f>(F330+E330)/C330</f>
        <v>4.0333333333333332</v>
      </c>
    </row>
    <row r="331" spans="1:9" customFormat="1" hidden="1" x14ac:dyDescent="0.2">
      <c r="A331">
        <v>109291</v>
      </c>
      <c r="B331" t="s">
        <v>43</v>
      </c>
      <c r="C331">
        <v>210</v>
      </c>
      <c r="D331" t="s">
        <v>42</v>
      </c>
      <c r="E331">
        <v>844</v>
      </c>
      <c r="F331">
        <v>1</v>
      </c>
      <c r="G331">
        <v>4.019047619047619</v>
      </c>
      <c r="H331">
        <f>(F331+E331)/C331</f>
        <v>4.0238095238095237</v>
      </c>
    </row>
    <row r="332" spans="1:9" customFormat="1" hidden="1" x14ac:dyDescent="0.2">
      <c r="A332">
        <v>112636</v>
      </c>
      <c r="B332" t="s">
        <v>561</v>
      </c>
      <c r="C332">
        <v>85</v>
      </c>
      <c r="D332" t="s">
        <v>340</v>
      </c>
      <c r="E332">
        <v>334</v>
      </c>
      <c r="F332">
        <v>7</v>
      </c>
      <c r="G332">
        <v>3.9294117647058822</v>
      </c>
      <c r="H332">
        <f>(F332+E332)/C332</f>
        <v>4.0117647058823529</v>
      </c>
    </row>
    <row r="333" spans="1:9" customFormat="1" hidden="1" x14ac:dyDescent="0.2">
      <c r="A333">
        <v>313258</v>
      </c>
      <c r="B333" t="s">
        <v>252</v>
      </c>
      <c r="C333">
        <v>1</v>
      </c>
      <c r="D333" t="s">
        <v>48</v>
      </c>
      <c r="E333">
        <v>4</v>
      </c>
      <c r="F333">
        <v>0</v>
      </c>
      <c r="G333">
        <v>4</v>
      </c>
      <c r="H333">
        <f>(F333+E333)/C333</f>
        <v>4</v>
      </c>
    </row>
    <row r="334" spans="1:9" customFormat="1" hidden="1" x14ac:dyDescent="0.2">
      <c r="A334">
        <v>483729</v>
      </c>
      <c r="B334" t="s">
        <v>296</v>
      </c>
      <c r="C334">
        <v>1</v>
      </c>
      <c r="D334" t="s">
        <v>48</v>
      </c>
      <c r="E334">
        <v>4</v>
      </c>
      <c r="F334">
        <v>0</v>
      </c>
      <c r="G334">
        <v>4</v>
      </c>
      <c r="H334">
        <f>(F334+E334)/C334</f>
        <v>4</v>
      </c>
    </row>
    <row r="335" spans="1:9" customFormat="1" hidden="1" x14ac:dyDescent="0.2">
      <c r="A335">
        <v>113444</v>
      </c>
      <c r="B335" t="s">
        <v>577</v>
      </c>
      <c r="C335">
        <v>2</v>
      </c>
      <c r="D335" t="s">
        <v>340</v>
      </c>
      <c r="E335">
        <v>8</v>
      </c>
      <c r="F335">
        <v>0</v>
      </c>
      <c r="G335">
        <v>4</v>
      </c>
      <c r="H335">
        <f>(F335+E335)/C335</f>
        <v>4</v>
      </c>
    </row>
    <row r="336" spans="1:9" customFormat="1" hidden="1" x14ac:dyDescent="0.2">
      <c r="A336">
        <v>108106</v>
      </c>
      <c r="B336" t="s">
        <v>431</v>
      </c>
      <c r="C336">
        <v>51</v>
      </c>
      <c r="D336" t="s">
        <v>340</v>
      </c>
      <c r="E336">
        <v>83</v>
      </c>
      <c r="F336">
        <v>120</v>
      </c>
      <c r="G336">
        <v>1.6274509803921571</v>
      </c>
      <c r="H336">
        <f>(F336+E336)/C336</f>
        <v>3.9803921568627452</v>
      </c>
    </row>
    <row r="337" spans="1:9" hidden="1" x14ac:dyDescent="0.2">
      <c r="A337">
        <v>467119</v>
      </c>
      <c r="B337" t="s">
        <v>835</v>
      </c>
      <c r="C337">
        <v>164</v>
      </c>
      <c r="D337" t="s">
        <v>340</v>
      </c>
      <c r="E337">
        <v>185</v>
      </c>
      <c r="F337">
        <v>462</v>
      </c>
      <c r="G337">
        <v>1.128048780487805</v>
      </c>
      <c r="H337">
        <f>(F337+E337)/C337</f>
        <v>3.9451219512195124</v>
      </c>
      <c r="I337"/>
    </row>
    <row r="338" spans="1:9" customFormat="1" hidden="1" x14ac:dyDescent="0.2">
      <c r="A338">
        <v>311450</v>
      </c>
      <c r="B338" t="s">
        <v>768</v>
      </c>
      <c r="C338">
        <v>17</v>
      </c>
      <c r="D338" t="s">
        <v>340</v>
      </c>
      <c r="E338">
        <v>67</v>
      </c>
      <c r="F338">
        <v>0</v>
      </c>
      <c r="G338">
        <v>3.9411764705882359</v>
      </c>
      <c r="H338">
        <f>(F338+E338)/C338</f>
        <v>3.9411764705882355</v>
      </c>
    </row>
    <row r="339" spans="1:9" customFormat="1" hidden="1" x14ac:dyDescent="0.2">
      <c r="A339">
        <v>135343</v>
      </c>
      <c r="B339" t="s">
        <v>651</v>
      </c>
      <c r="C339">
        <v>109</v>
      </c>
      <c r="D339" t="s">
        <v>340</v>
      </c>
      <c r="E339">
        <v>324</v>
      </c>
      <c r="F339">
        <v>103</v>
      </c>
      <c r="G339">
        <v>2.972477064220183</v>
      </c>
      <c r="H339">
        <f>(F339+E339)/C339</f>
        <v>3.9174311926605503</v>
      </c>
    </row>
    <row r="340" spans="1:9" customFormat="1" hidden="1" x14ac:dyDescent="0.2">
      <c r="A340">
        <v>107277</v>
      </c>
      <c r="B340" t="s">
        <v>73</v>
      </c>
      <c r="C340">
        <v>46</v>
      </c>
      <c r="D340" t="s">
        <v>48</v>
      </c>
      <c r="E340">
        <v>179</v>
      </c>
      <c r="F340">
        <v>0</v>
      </c>
      <c r="G340">
        <v>3.8913043478260869</v>
      </c>
      <c r="H340">
        <f>(F340+E340)/C340</f>
        <v>3.8913043478260869</v>
      </c>
    </row>
    <row r="341" spans="1:9" customFormat="1" hidden="1" x14ac:dyDescent="0.2">
      <c r="A341">
        <v>313412</v>
      </c>
      <c r="B341" t="s">
        <v>770</v>
      </c>
      <c r="C341">
        <v>5</v>
      </c>
      <c r="D341" t="s">
        <v>340</v>
      </c>
      <c r="E341">
        <v>17</v>
      </c>
      <c r="F341">
        <v>2</v>
      </c>
      <c r="G341">
        <v>3.4</v>
      </c>
      <c r="H341">
        <f>(F341+E341)/C341</f>
        <v>3.8</v>
      </c>
    </row>
    <row r="342" spans="1:9" customFormat="1" hidden="1" x14ac:dyDescent="0.2">
      <c r="A342">
        <v>484843</v>
      </c>
      <c r="B342" t="s">
        <v>861</v>
      </c>
      <c r="C342">
        <v>111</v>
      </c>
      <c r="D342" t="s">
        <v>340</v>
      </c>
      <c r="E342">
        <v>405</v>
      </c>
      <c r="F342">
        <v>12</v>
      </c>
      <c r="G342">
        <v>3.6486486486486491</v>
      </c>
      <c r="H342">
        <f>(F342+E342)/C342</f>
        <v>3.7567567567567566</v>
      </c>
    </row>
    <row r="343" spans="1:9" customFormat="1" hidden="1" x14ac:dyDescent="0.2">
      <c r="A343">
        <v>536862</v>
      </c>
      <c r="B343" t="s">
        <v>886</v>
      </c>
      <c r="C343">
        <v>4</v>
      </c>
      <c r="D343" t="s">
        <v>340</v>
      </c>
      <c r="E343">
        <v>10</v>
      </c>
      <c r="F343">
        <v>5</v>
      </c>
      <c r="G343">
        <v>2.5</v>
      </c>
      <c r="H343">
        <f>(F343+E343)/C343</f>
        <v>3.75</v>
      </c>
    </row>
    <row r="344" spans="1:9" customFormat="1" hidden="1" x14ac:dyDescent="0.2">
      <c r="A344">
        <v>313790</v>
      </c>
      <c r="B344" t="s">
        <v>771</v>
      </c>
      <c r="C344">
        <v>295</v>
      </c>
      <c r="D344" t="s">
        <v>340</v>
      </c>
      <c r="E344">
        <v>1105</v>
      </c>
      <c r="F344">
        <v>1</v>
      </c>
      <c r="G344">
        <v>3.745762711864407</v>
      </c>
      <c r="H344">
        <f>(F344+E344)/C344</f>
        <v>3.7491525423728813</v>
      </c>
    </row>
    <row r="345" spans="1:9" customFormat="1" hidden="1" x14ac:dyDescent="0.2">
      <c r="A345">
        <v>114763</v>
      </c>
      <c r="B345" t="s">
        <v>590</v>
      </c>
      <c r="C345">
        <v>54</v>
      </c>
      <c r="D345" t="s">
        <v>340</v>
      </c>
      <c r="E345">
        <v>165</v>
      </c>
      <c r="F345">
        <v>37</v>
      </c>
      <c r="G345">
        <v>3.0555555555555549</v>
      </c>
      <c r="H345">
        <f>(F345+E345)/C345</f>
        <v>3.7407407407407409</v>
      </c>
    </row>
    <row r="346" spans="1:9" customFormat="1" ht="16" x14ac:dyDescent="0.2">
      <c r="A346" s="11">
        <v>113410</v>
      </c>
      <c r="B346" s="12" t="s">
        <v>139</v>
      </c>
      <c r="C346" s="8">
        <v>552</v>
      </c>
      <c r="D346" s="8" t="s">
        <v>48</v>
      </c>
      <c r="E346" s="8">
        <v>2059</v>
      </c>
      <c r="F346" s="8">
        <v>2</v>
      </c>
      <c r="G346" s="10">
        <v>3.7300724637681162</v>
      </c>
      <c r="H346">
        <f>(F346+E346)/C346</f>
        <v>3.7336956521739131</v>
      </c>
      <c r="I346" s="8"/>
    </row>
    <row r="347" spans="1:9" customFormat="1" hidden="1" x14ac:dyDescent="0.2">
      <c r="A347">
        <v>482999</v>
      </c>
      <c r="B347" t="s">
        <v>860</v>
      </c>
      <c r="C347">
        <v>18</v>
      </c>
      <c r="D347" t="s">
        <v>340</v>
      </c>
      <c r="E347">
        <v>34</v>
      </c>
      <c r="F347">
        <v>33</v>
      </c>
      <c r="G347">
        <v>1.8888888888888891</v>
      </c>
      <c r="H347">
        <f>(F347+E347)/C347</f>
        <v>3.7222222222222223</v>
      </c>
    </row>
    <row r="348" spans="1:9" customFormat="1" hidden="1" x14ac:dyDescent="0.2">
      <c r="A348">
        <v>165138</v>
      </c>
      <c r="B348" t="s">
        <v>211</v>
      </c>
      <c r="C348">
        <v>7</v>
      </c>
      <c r="D348" t="s">
        <v>48</v>
      </c>
      <c r="E348">
        <v>26</v>
      </c>
      <c r="F348">
        <v>0</v>
      </c>
      <c r="G348">
        <v>3.714285714285714</v>
      </c>
      <c r="H348">
        <f>(F348+E348)/C348</f>
        <v>3.7142857142857144</v>
      </c>
    </row>
    <row r="349" spans="1:9" customFormat="1" hidden="1" x14ac:dyDescent="0.2">
      <c r="A349">
        <v>458721</v>
      </c>
      <c r="B349" t="s">
        <v>820</v>
      </c>
      <c r="C349">
        <v>23</v>
      </c>
      <c r="D349" t="s">
        <v>340</v>
      </c>
      <c r="E349">
        <v>33</v>
      </c>
      <c r="F349">
        <v>51</v>
      </c>
      <c r="G349">
        <v>1.4347826086956521</v>
      </c>
      <c r="H349">
        <f>(F349+E349)/C349</f>
        <v>3.652173913043478</v>
      </c>
    </row>
    <row r="350" spans="1:9" customFormat="1" hidden="1" x14ac:dyDescent="0.2">
      <c r="A350">
        <v>106569</v>
      </c>
      <c r="B350" t="s">
        <v>61</v>
      </c>
      <c r="C350">
        <v>407</v>
      </c>
      <c r="D350" t="s">
        <v>48</v>
      </c>
      <c r="E350">
        <v>1115</v>
      </c>
      <c r="F350">
        <v>369</v>
      </c>
      <c r="G350">
        <v>2.73955773955774</v>
      </c>
      <c r="H350">
        <f>(F350+E350)/C350</f>
        <v>3.6461916461916464</v>
      </c>
    </row>
    <row r="351" spans="1:9" customFormat="1" hidden="1" x14ac:dyDescent="0.2">
      <c r="A351">
        <v>305996</v>
      </c>
      <c r="B351" t="s">
        <v>755</v>
      </c>
      <c r="C351">
        <v>16</v>
      </c>
      <c r="D351" t="s">
        <v>340</v>
      </c>
      <c r="E351">
        <v>38</v>
      </c>
      <c r="F351">
        <v>20</v>
      </c>
      <c r="G351">
        <v>2.375</v>
      </c>
      <c r="H351">
        <f>(F351+E351)/C351</f>
        <v>3.625</v>
      </c>
    </row>
    <row r="352" spans="1:9" customFormat="1" hidden="1" x14ac:dyDescent="0.2">
      <c r="A352">
        <v>113552</v>
      </c>
      <c r="B352" t="s">
        <v>580</v>
      </c>
      <c r="C352">
        <v>50</v>
      </c>
      <c r="D352" t="s">
        <v>340</v>
      </c>
      <c r="E352">
        <v>130</v>
      </c>
      <c r="F352">
        <v>51</v>
      </c>
      <c r="G352">
        <v>2.6</v>
      </c>
      <c r="H352">
        <f>(F352+E352)/C352</f>
        <v>3.62</v>
      </c>
    </row>
    <row r="353" spans="1:9" hidden="1" x14ac:dyDescent="0.2">
      <c r="A353">
        <v>204311</v>
      </c>
      <c r="B353" t="s">
        <v>726</v>
      </c>
      <c r="C353">
        <v>26</v>
      </c>
      <c r="D353" t="s">
        <v>340</v>
      </c>
      <c r="E353">
        <v>81</v>
      </c>
      <c r="F353">
        <v>13</v>
      </c>
      <c r="G353">
        <v>3.115384615384615</v>
      </c>
      <c r="H353">
        <f>(F353+E353)/C353</f>
        <v>3.6153846153846154</v>
      </c>
      <c r="I353"/>
    </row>
    <row r="354" spans="1:9" customFormat="1" hidden="1" x14ac:dyDescent="0.2">
      <c r="A354">
        <v>108276</v>
      </c>
      <c r="B354" t="s">
        <v>437</v>
      </c>
      <c r="C354">
        <v>38</v>
      </c>
      <c r="D354" t="s">
        <v>340</v>
      </c>
      <c r="E354">
        <v>137</v>
      </c>
      <c r="F354">
        <v>0</v>
      </c>
      <c r="G354">
        <v>3.6052631578947372</v>
      </c>
      <c r="H354">
        <f>(F354+E354)/C354</f>
        <v>3.6052631578947367</v>
      </c>
    </row>
    <row r="355" spans="1:9" customFormat="1" hidden="1" x14ac:dyDescent="0.2">
      <c r="A355">
        <v>195409</v>
      </c>
      <c r="B355" t="s">
        <v>721</v>
      </c>
      <c r="C355">
        <v>39</v>
      </c>
      <c r="D355" t="s">
        <v>340</v>
      </c>
      <c r="E355">
        <v>111</v>
      </c>
      <c r="F355">
        <v>29</v>
      </c>
      <c r="G355">
        <v>2.8461538461538458</v>
      </c>
      <c r="H355">
        <f>(F355+E355)/C355</f>
        <v>3.5897435897435899</v>
      </c>
    </row>
    <row r="356" spans="1:9" customFormat="1" hidden="1" x14ac:dyDescent="0.2">
      <c r="A356">
        <v>129364</v>
      </c>
      <c r="B356" t="s">
        <v>1015</v>
      </c>
      <c r="C356">
        <v>209</v>
      </c>
      <c r="D356" t="s">
        <v>923</v>
      </c>
      <c r="E356">
        <v>670</v>
      </c>
      <c r="F356">
        <v>72</v>
      </c>
      <c r="G356">
        <v>3.205741626794258</v>
      </c>
      <c r="H356">
        <f>(F356+E356)/C356</f>
        <v>3.5502392344497609</v>
      </c>
    </row>
    <row r="357" spans="1:9" customFormat="1" hidden="1" x14ac:dyDescent="0.2">
      <c r="A357">
        <v>108014</v>
      </c>
      <c r="B357" t="s">
        <v>79</v>
      </c>
      <c r="C357">
        <v>157</v>
      </c>
      <c r="D357" t="s">
        <v>48</v>
      </c>
      <c r="E357">
        <v>69</v>
      </c>
      <c r="F357">
        <v>486</v>
      </c>
      <c r="G357">
        <v>0.43949044585987262</v>
      </c>
      <c r="H357">
        <f>(F357+E357)/C357</f>
        <v>3.5350318471337578</v>
      </c>
    </row>
    <row r="358" spans="1:9" customFormat="1" hidden="1" x14ac:dyDescent="0.2">
      <c r="A358">
        <v>185357</v>
      </c>
      <c r="B358" t="s">
        <v>714</v>
      </c>
      <c r="C358">
        <v>100</v>
      </c>
      <c r="D358" t="s">
        <v>340</v>
      </c>
      <c r="E358">
        <v>331</v>
      </c>
      <c r="F358">
        <v>22</v>
      </c>
      <c r="G358">
        <v>3.31</v>
      </c>
      <c r="H358">
        <f>(F358+E358)/C358</f>
        <v>3.53</v>
      </c>
    </row>
    <row r="359" spans="1:9" customFormat="1" hidden="1" x14ac:dyDescent="0.2">
      <c r="A359">
        <v>466037</v>
      </c>
      <c r="B359" t="s">
        <v>276</v>
      </c>
      <c r="C359">
        <v>120</v>
      </c>
      <c r="D359" t="s">
        <v>48</v>
      </c>
      <c r="E359">
        <v>422</v>
      </c>
      <c r="F359">
        <v>0</v>
      </c>
      <c r="G359">
        <v>3.5166666666666671</v>
      </c>
      <c r="H359">
        <f>(F359+E359)/C359</f>
        <v>3.5166666666666666</v>
      </c>
    </row>
    <row r="360" spans="1:9" customFormat="1" hidden="1" x14ac:dyDescent="0.2">
      <c r="A360">
        <v>198611</v>
      </c>
      <c r="B360" t="s">
        <v>724</v>
      </c>
      <c r="C360">
        <v>105</v>
      </c>
      <c r="D360" t="s">
        <v>340</v>
      </c>
      <c r="E360">
        <v>369</v>
      </c>
      <c r="F360">
        <v>0</v>
      </c>
      <c r="G360">
        <v>3.5142857142857138</v>
      </c>
      <c r="H360">
        <f>(F360+E360)/C360</f>
        <v>3.5142857142857142</v>
      </c>
    </row>
    <row r="361" spans="1:9" customFormat="1" hidden="1" x14ac:dyDescent="0.2">
      <c r="A361">
        <v>459269</v>
      </c>
      <c r="B361" t="s">
        <v>1078</v>
      </c>
      <c r="C361">
        <v>104</v>
      </c>
      <c r="D361" t="s">
        <v>923</v>
      </c>
      <c r="E361">
        <v>336</v>
      </c>
      <c r="F361">
        <v>29</v>
      </c>
      <c r="G361">
        <v>3.2307692307692308</v>
      </c>
      <c r="H361">
        <f>(F361+E361)/C361</f>
        <v>3.5096153846153846</v>
      </c>
    </row>
    <row r="362" spans="1:9" customFormat="1" ht="16" hidden="1" x14ac:dyDescent="0.2">
      <c r="A362" s="8">
        <v>124496</v>
      </c>
      <c r="B362" s="10" t="s">
        <v>623</v>
      </c>
      <c r="C362" s="8">
        <v>992</v>
      </c>
      <c r="D362" s="8" t="s">
        <v>340</v>
      </c>
      <c r="E362" s="8">
        <v>2222</v>
      </c>
      <c r="F362" s="10">
        <v>1255</v>
      </c>
      <c r="G362" s="10">
        <v>2.23991935483871</v>
      </c>
      <c r="H362">
        <f>(F362+E362)/C362</f>
        <v>3.505040322580645</v>
      </c>
      <c r="I362" s="8"/>
    </row>
    <row r="363" spans="1:9" customFormat="1" hidden="1" x14ac:dyDescent="0.2">
      <c r="A363">
        <v>145395</v>
      </c>
      <c r="B363" t="s">
        <v>186</v>
      </c>
      <c r="C363">
        <v>2</v>
      </c>
      <c r="D363" t="s">
        <v>48</v>
      </c>
      <c r="E363">
        <v>7</v>
      </c>
      <c r="F363">
        <v>0</v>
      </c>
      <c r="G363">
        <v>3.5</v>
      </c>
      <c r="H363">
        <f>(F363+E363)/C363</f>
        <v>3.5</v>
      </c>
    </row>
    <row r="364" spans="1:9" customFormat="1" hidden="1" x14ac:dyDescent="0.2">
      <c r="A364">
        <v>185617</v>
      </c>
      <c r="B364" t="s">
        <v>216</v>
      </c>
      <c r="C364">
        <v>4</v>
      </c>
      <c r="D364" t="s">
        <v>48</v>
      </c>
      <c r="E364">
        <v>7</v>
      </c>
      <c r="F364">
        <v>7</v>
      </c>
      <c r="G364">
        <v>1.75</v>
      </c>
      <c r="H364">
        <f>(F364+E364)/C364</f>
        <v>3.5</v>
      </c>
    </row>
    <row r="365" spans="1:9" customFormat="1" hidden="1" x14ac:dyDescent="0.2">
      <c r="A365">
        <v>222038</v>
      </c>
      <c r="B365" t="s">
        <v>737</v>
      </c>
      <c r="C365">
        <v>10</v>
      </c>
      <c r="D365" t="s">
        <v>340</v>
      </c>
      <c r="E365">
        <v>25</v>
      </c>
      <c r="F365">
        <v>10</v>
      </c>
      <c r="G365">
        <v>2.5</v>
      </c>
      <c r="H365">
        <f>(F365+E365)/C365</f>
        <v>3.5</v>
      </c>
    </row>
    <row r="366" spans="1:9" customFormat="1" x14ac:dyDescent="0.2">
      <c r="A366" s="13">
        <v>106936</v>
      </c>
      <c r="B366" s="13" t="s">
        <v>66</v>
      </c>
      <c r="C366">
        <v>2010</v>
      </c>
      <c r="D366" t="s">
        <v>48</v>
      </c>
      <c r="E366">
        <v>1850</v>
      </c>
      <c r="F366">
        <v>5158</v>
      </c>
      <c r="G366">
        <v>0.92039800995024879</v>
      </c>
      <c r="H366">
        <f>(F366+E366)/C366</f>
        <v>3.4865671641791045</v>
      </c>
    </row>
    <row r="367" spans="1:9" customFormat="1" ht="16" x14ac:dyDescent="0.2">
      <c r="A367" s="11">
        <v>113599</v>
      </c>
      <c r="B367" s="12" t="s">
        <v>583</v>
      </c>
      <c r="C367" s="8">
        <v>655</v>
      </c>
      <c r="D367" s="8" t="s">
        <v>340</v>
      </c>
      <c r="E367" s="8">
        <v>2266</v>
      </c>
      <c r="F367" s="8">
        <v>7</v>
      </c>
      <c r="G367" s="10">
        <v>3.4595419847328239</v>
      </c>
      <c r="H367">
        <f>(F367+E367)/C367</f>
        <v>3.4702290076335878</v>
      </c>
      <c r="I367" s="8"/>
    </row>
    <row r="368" spans="1:9" customFormat="1" hidden="1" x14ac:dyDescent="0.2">
      <c r="A368">
        <v>109610</v>
      </c>
      <c r="B368" t="s">
        <v>486</v>
      </c>
      <c r="C368">
        <v>38</v>
      </c>
      <c r="D368" t="s">
        <v>340</v>
      </c>
      <c r="E368">
        <v>61</v>
      </c>
      <c r="F368">
        <v>70</v>
      </c>
      <c r="G368">
        <v>1.6052631578947369</v>
      </c>
      <c r="H368">
        <f>(F368+E368)/C368</f>
        <v>3.4473684210526314</v>
      </c>
    </row>
    <row r="369" spans="1:9" customFormat="1" hidden="1" x14ac:dyDescent="0.2">
      <c r="A369">
        <v>124863</v>
      </c>
      <c r="B369" t="s">
        <v>626</v>
      </c>
      <c r="C369">
        <v>114</v>
      </c>
      <c r="D369" t="s">
        <v>340</v>
      </c>
      <c r="E369">
        <v>233</v>
      </c>
      <c r="F369">
        <v>160</v>
      </c>
      <c r="G369">
        <v>2.0438596491228069</v>
      </c>
      <c r="H369">
        <f>(F369+E369)/C369</f>
        <v>3.4473684210526314</v>
      </c>
    </row>
    <row r="370" spans="1:9" customFormat="1" hidden="1" x14ac:dyDescent="0.2">
      <c r="A370">
        <v>105506</v>
      </c>
      <c r="B370" t="s">
        <v>344</v>
      </c>
      <c r="C370">
        <v>394</v>
      </c>
      <c r="D370" t="s">
        <v>340</v>
      </c>
      <c r="E370">
        <v>1336</v>
      </c>
      <c r="F370">
        <v>6</v>
      </c>
      <c r="G370">
        <v>3.3908629441624361</v>
      </c>
      <c r="H370">
        <f>(F370+E370)/C370</f>
        <v>3.4060913705583755</v>
      </c>
    </row>
    <row r="371" spans="1:9" customFormat="1" ht="16" hidden="1" x14ac:dyDescent="0.2">
      <c r="A371" s="8">
        <v>107750</v>
      </c>
      <c r="B371" s="10" t="s">
        <v>413</v>
      </c>
      <c r="C371" s="8">
        <v>745</v>
      </c>
      <c r="D371" s="8" t="s">
        <v>340</v>
      </c>
      <c r="E371" s="8">
        <v>2252</v>
      </c>
      <c r="F371" s="10">
        <v>266</v>
      </c>
      <c r="G371" s="10">
        <v>3.022818791946309</v>
      </c>
      <c r="H371">
        <f>(F371+E371)/C371</f>
        <v>3.3798657718120806</v>
      </c>
      <c r="I371" s="8"/>
    </row>
    <row r="372" spans="1:9" customFormat="1" hidden="1" x14ac:dyDescent="0.2">
      <c r="A372">
        <v>543347</v>
      </c>
      <c r="B372" t="s">
        <v>889</v>
      </c>
      <c r="C372">
        <v>28</v>
      </c>
      <c r="D372" t="s">
        <v>340</v>
      </c>
      <c r="E372">
        <v>78</v>
      </c>
      <c r="F372">
        <v>16</v>
      </c>
      <c r="G372">
        <v>2.785714285714286</v>
      </c>
      <c r="H372">
        <f>(F372+E372)/C372</f>
        <v>3.3571428571428572</v>
      </c>
    </row>
    <row r="373" spans="1:9" customFormat="1" hidden="1" x14ac:dyDescent="0.2">
      <c r="A373" t="s">
        <v>914</v>
      </c>
      <c r="B373" t="s">
        <v>915</v>
      </c>
      <c r="C373">
        <v>42</v>
      </c>
      <c r="D373" t="s">
        <v>340</v>
      </c>
      <c r="E373">
        <v>141</v>
      </c>
      <c r="F373">
        <v>0</v>
      </c>
      <c r="G373">
        <v>3.3571428571428572</v>
      </c>
      <c r="H373">
        <f>(F373+E373)/C373</f>
        <v>3.3571428571428572</v>
      </c>
    </row>
    <row r="374" spans="1:9" customFormat="1" hidden="1" x14ac:dyDescent="0.2">
      <c r="A374">
        <v>321833</v>
      </c>
      <c r="B374" t="s">
        <v>786</v>
      </c>
      <c r="C374">
        <v>206</v>
      </c>
      <c r="D374" t="s">
        <v>340</v>
      </c>
      <c r="E374">
        <v>681</v>
      </c>
      <c r="F374">
        <v>1</v>
      </c>
      <c r="G374">
        <v>3.3058252427184471</v>
      </c>
      <c r="H374">
        <f>(F374+E374)/C374</f>
        <v>3.3106796116504853</v>
      </c>
    </row>
    <row r="375" spans="1:9" customFormat="1" hidden="1" x14ac:dyDescent="0.2">
      <c r="A375">
        <v>152049</v>
      </c>
      <c r="B375" t="s">
        <v>195</v>
      </c>
      <c r="C375">
        <v>77</v>
      </c>
      <c r="D375" t="s">
        <v>48</v>
      </c>
      <c r="E375">
        <v>156</v>
      </c>
      <c r="F375">
        <v>95</v>
      </c>
      <c r="G375">
        <v>2.0259740259740262</v>
      </c>
      <c r="H375">
        <f>(F375+E375)/C375</f>
        <v>3.2597402597402598</v>
      </c>
    </row>
    <row r="376" spans="1:9" customFormat="1" hidden="1" x14ac:dyDescent="0.2">
      <c r="A376">
        <v>305896</v>
      </c>
      <c r="B376" t="s">
        <v>754</v>
      </c>
      <c r="C376">
        <v>152</v>
      </c>
      <c r="D376" t="s">
        <v>340</v>
      </c>
      <c r="E376">
        <v>416</v>
      </c>
      <c r="F376">
        <v>76</v>
      </c>
      <c r="G376">
        <v>2.736842105263158</v>
      </c>
      <c r="H376">
        <f>(F376+E376)/C376</f>
        <v>3.236842105263158</v>
      </c>
    </row>
    <row r="377" spans="1:9" customFormat="1" hidden="1" x14ac:dyDescent="0.2">
      <c r="A377">
        <v>322803</v>
      </c>
      <c r="B377" t="s">
        <v>788</v>
      </c>
      <c r="C377">
        <v>31</v>
      </c>
      <c r="D377" t="s">
        <v>340</v>
      </c>
      <c r="E377">
        <v>89</v>
      </c>
      <c r="F377">
        <v>11</v>
      </c>
      <c r="G377">
        <v>2.870967741935484</v>
      </c>
      <c r="H377">
        <f>(F377+E377)/C377</f>
        <v>3.225806451612903</v>
      </c>
    </row>
    <row r="378" spans="1:9" customFormat="1" hidden="1" x14ac:dyDescent="0.2">
      <c r="A378">
        <v>465304</v>
      </c>
      <c r="B378" t="s">
        <v>827</v>
      </c>
      <c r="C378">
        <v>18</v>
      </c>
      <c r="D378" t="s">
        <v>340</v>
      </c>
      <c r="E378">
        <v>54</v>
      </c>
      <c r="F378">
        <v>4</v>
      </c>
      <c r="G378">
        <v>3</v>
      </c>
      <c r="H378">
        <f>(F378+E378)/C378</f>
        <v>3.2222222222222223</v>
      </c>
    </row>
    <row r="379" spans="1:9" hidden="1" x14ac:dyDescent="0.2">
      <c r="A379">
        <v>107880</v>
      </c>
      <c r="B379" t="s">
        <v>941</v>
      </c>
      <c r="C379">
        <v>14</v>
      </c>
      <c r="D379" t="s">
        <v>923</v>
      </c>
      <c r="E379">
        <v>23</v>
      </c>
      <c r="F379">
        <v>22</v>
      </c>
      <c r="G379">
        <v>1.642857142857143</v>
      </c>
      <c r="H379">
        <f>(F379+E379)/C379</f>
        <v>3.2142857142857144</v>
      </c>
      <c r="I379"/>
    </row>
    <row r="380" spans="1:9" customFormat="1" ht="16" hidden="1" x14ac:dyDescent="0.2">
      <c r="A380" s="8">
        <v>110637</v>
      </c>
      <c r="B380" s="10" t="s">
        <v>524</v>
      </c>
      <c r="C380" s="8">
        <v>505</v>
      </c>
      <c r="D380" s="8" t="s">
        <v>340</v>
      </c>
      <c r="E380" s="8">
        <v>1489</v>
      </c>
      <c r="F380" s="10">
        <v>120</v>
      </c>
      <c r="G380" s="10">
        <v>2.948514851485148</v>
      </c>
      <c r="H380">
        <f>(F380+E380)/C380</f>
        <v>3.1861386138613863</v>
      </c>
      <c r="I380" s="8"/>
    </row>
    <row r="381" spans="1:9" customFormat="1" hidden="1" x14ac:dyDescent="0.2">
      <c r="A381">
        <v>509692</v>
      </c>
      <c r="B381" t="s">
        <v>876</v>
      </c>
      <c r="C381">
        <v>11</v>
      </c>
      <c r="D381" t="s">
        <v>340</v>
      </c>
      <c r="E381">
        <v>13</v>
      </c>
      <c r="F381">
        <v>22</v>
      </c>
      <c r="G381">
        <v>1.1818181818181821</v>
      </c>
      <c r="H381">
        <f>(F381+E381)/C381</f>
        <v>3.1818181818181817</v>
      </c>
    </row>
    <row r="382" spans="1:9" customFormat="1" hidden="1" x14ac:dyDescent="0.2">
      <c r="A382">
        <v>477887</v>
      </c>
      <c r="B382" t="s">
        <v>293</v>
      </c>
      <c r="C382">
        <v>106</v>
      </c>
      <c r="D382" t="s">
        <v>48</v>
      </c>
      <c r="E382">
        <v>320</v>
      </c>
      <c r="F382">
        <v>16</v>
      </c>
      <c r="G382">
        <v>3.0188679245283021</v>
      </c>
      <c r="H382">
        <f>(F382+E382)/C382</f>
        <v>3.1698113207547172</v>
      </c>
    </row>
    <row r="383" spans="1:9" customFormat="1" hidden="1" x14ac:dyDescent="0.2">
      <c r="A383">
        <v>119904</v>
      </c>
      <c r="B383" t="s">
        <v>161</v>
      </c>
      <c r="C383">
        <v>95</v>
      </c>
      <c r="D383" t="s">
        <v>48</v>
      </c>
      <c r="E383">
        <v>300</v>
      </c>
      <c r="F383">
        <v>0</v>
      </c>
      <c r="G383">
        <v>3.1578947368421049</v>
      </c>
      <c r="H383">
        <f>(F383+E383)/C383</f>
        <v>3.1578947368421053</v>
      </c>
    </row>
    <row r="384" spans="1:9" customFormat="1" hidden="1" x14ac:dyDescent="0.2">
      <c r="A384">
        <v>107989</v>
      </c>
      <c r="B384" t="s">
        <v>422</v>
      </c>
      <c r="C384">
        <v>236</v>
      </c>
      <c r="D384" t="s">
        <v>340</v>
      </c>
      <c r="E384">
        <v>732</v>
      </c>
      <c r="F384">
        <v>8</v>
      </c>
      <c r="G384">
        <v>3.101694915254237</v>
      </c>
      <c r="H384">
        <f>(F384+E384)/C384</f>
        <v>3.1355932203389831</v>
      </c>
    </row>
    <row r="385" spans="1:9" customFormat="1" hidden="1" x14ac:dyDescent="0.2">
      <c r="A385">
        <v>141269</v>
      </c>
      <c r="B385" t="s">
        <v>180</v>
      </c>
      <c r="C385">
        <v>314</v>
      </c>
      <c r="D385" t="s">
        <v>48</v>
      </c>
      <c r="E385">
        <v>969</v>
      </c>
      <c r="F385">
        <v>3</v>
      </c>
      <c r="G385">
        <v>3.0859872611464971</v>
      </c>
      <c r="H385">
        <f>(F385+E385)/C385</f>
        <v>3.0955414012738856</v>
      </c>
    </row>
    <row r="386" spans="1:9" customFormat="1" hidden="1" x14ac:dyDescent="0.2">
      <c r="A386" t="s">
        <v>908</v>
      </c>
      <c r="B386" t="s">
        <v>909</v>
      </c>
      <c r="C386">
        <v>322</v>
      </c>
      <c r="D386" t="s">
        <v>340</v>
      </c>
      <c r="E386">
        <v>770</v>
      </c>
      <c r="F386">
        <v>222</v>
      </c>
      <c r="G386">
        <v>2.3913043478260869</v>
      </c>
      <c r="H386">
        <f>(F386+E386)/C386</f>
        <v>3.0807453416149069</v>
      </c>
    </row>
    <row r="387" spans="1:9" customFormat="1" hidden="1" x14ac:dyDescent="0.2">
      <c r="A387">
        <v>110600</v>
      </c>
      <c r="B387" t="s">
        <v>521</v>
      </c>
      <c r="C387">
        <v>255</v>
      </c>
      <c r="D387" t="s">
        <v>340</v>
      </c>
      <c r="E387">
        <v>640</v>
      </c>
      <c r="F387">
        <v>140</v>
      </c>
      <c r="G387">
        <v>2.509803921568627</v>
      </c>
      <c r="H387">
        <f>(F387+E387)/C387</f>
        <v>3.0588235294117645</v>
      </c>
    </row>
    <row r="388" spans="1:9" customFormat="1" hidden="1" x14ac:dyDescent="0.2">
      <c r="A388">
        <v>132962</v>
      </c>
      <c r="B388" t="s">
        <v>645</v>
      </c>
      <c r="C388">
        <v>123</v>
      </c>
      <c r="D388" t="s">
        <v>340</v>
      </c>
      <c r="E388">
        <v>251</v>
      </c>
      <c r="F388">
        <v>123</v>
      </c>
      <c r="G388">
        <v>2.0406504065040649</v>
      </c>
      <c r="H388">
        <f>(F388+E388)/C388</f>
        <v>3.0406504065040649</v>
      </c>
    </row>
    <row r="389" spans="1:9" customFormat="1" hidden="1" x14ac:dyDescent="0.2">
      <c r="A389">
        <v>472922</v>
      </c>
      <c r="B389" t="s">
        <v>38</v>
      </c>
      <c r="C389">
        <v>9</v>
      </c>
      <c r="D389" t="s">
        <v>8</v>
      </c>
      <c r="E389">
        <v>27</v>
      </c>
      <c r="F389">
        <v>0</v>
      </c>
      <c r="G389">
        <v>3</v>
      </c>
      <c r="H389">
        <f>(F389+E389)/C389</f>
        <v>3</v>
      </c>
    </row>
    <row r="390" spans="1:9" customFormat="1" hidden="1" x14ac:dyDescent="0.2">
      <c r="A390">
        <v>494655</v>
      </c>
      <c r="B390" t="s">
        <v>304</v>
      </c>
      <c r="C390">
        <v>17</v>
      </c>
      <c r="D390" t="s">
        <v>48</v>
      </c>
      <c r="E390">
        <v>46</v>
      </c>
      <c r="F390">
        <v>5</v>
      </c>
      <c r="G390">
        <v>2.7058823529411771</v>
      </c>
      <c r="H390">
        <f>(F390+E390)/C390</f>
        <v>3</v>
      </c>
    </row>
    <row r="391" spans="1:9" customFormat="1" hidden="1" x14ac:dyDescent="0.2">
      <c r="A391">
        <v>148303</v>
      </c>
      <c r="B391" t="s">
        <v>666</v>
      </c>
      <c r="C391">
        <v>15</v>
      </c>
      <c r="D391" t="s">
        <v>340</v>
      </c>
      <c r="E391">
        <v>25</v>
      </c>
      <c r="F391">
        <v>20</v>
      </c>
      <c r="G391">
        <v>1.666666666666667</v>
      </c>
      <c r="H391">
        <f>(F391+E391)/C391</f>
        <v>3</v>
      </c>
    </row>
    <row r="392" spans="1:9" customFormat="1" hidden="1" x14ac:dyDescent="0.2">
      <c r="A392">
        <v>490142</v>
      </c>
      <c r="B392" t="s">
        <v>866</v>
      </c>
      <c r="C392">
        <v>10</v>
      </c>
      <c r="D392" t="s">
        <v>340</v>
      </c>
      <c r="E392">
        <v>5</v>
      </c>
      <c r="F392">
        <v>25</v>
      </c>
      <c r="G392">
        <v>0.5</v>
      </c>
      <c r="H392">
        <f>(F392+E392)/C392</f>
        <v>3</v>
      </c>
    </row>
    <row r="393" spans="1:9" customFormat="1" hidden="1" x14ac:dyDescent="0.2">
      <c r="A393">
        <v>493704</v>
      </c>
      <c r="B393" t="s">
        <v>869</v>
      </c>
      <c r="C393">
        <v>1</v>
      </c>
      <c r="D393" t="s">
        <v>340</v>
      </c>
      <c r="E393">
        <v>3</v>
      </c>
      <c r="F393">
        <v>0</v>
      </c>
      <c r="G393">
        <v>3</v>
      </c>
      <c r="H393">
        <f>(F393+E393)/C393</f>
        <v>3</v>
      </c>
    </row>
    <row r="394" spans="1:9" customFormat="1" hidden="1" x14ac:dyDescent="0.2">
      <c r="A394">
        <v>570556</v>
      </c>
      <c r="B394" t="s">
        <v>899</v>
      </c>
      <c r="C394">
        <v>35</v>
      </c>
      <c r="D394" t="s">
        <v>340</v>
      </c>
      <c r="E394">
        <v>104</v>
      </c>
      <c r="F394">
        <v>1</v>
      </c>
      <c r="G394">
        <v>2.971428571428572</v>
      </c>
      <c r="H394">
        <f>(F394+E394)/C394</f>
        <v>3</v>
      </c>
    </row>
    <row r="395" spans="1:9" customFormat="1" hidden="1" x14ac:dyDescent="0.2">
      <c r="A395">
        <v>584056</v>
      </c>
      <c r="B395" t="s">
        <v>902</v>
      </c>
      <c r="C395">
        <v>2</v>
      </c>
      <c r="D395" t="s">
        <v>340</v>
      </c>
      <c r="E395">
        <v>6</v>
      </c>
      <c r="F395">
        <v>0</v>
      </c>
      <c r="G395">
        <v>3</v>
      </c>
      <c r="H395">
        <f>(F395+E395)/C395</f>
        <v>3</v>
      </c>
    </row>
    <row r="396" spans="1:9" customFormat="1" hidden="1" x14ac:dyDescent="0.2">
      <c r="A396">
        <v>106418</v>
      </c>
      <c r="B396" t="s">
        <v>926</v>
      </c>
      <c r="C396">
        <v>1</v>
      </c>
      <c r="D396" t="s">
        <v>923</v>
      </c>
      <c r="E396">
        <v>3</v>
      </c>
      <c r="F396">
        <v>0</v>
      </c>
      <c r="G396">
        <v>3</v>
      </c>
      <c r="H396">
        <f>(F396+E396)/C396</f>
        <v>3</v>
      </c>
    </row>
    <row r="397" spans="1:9" hidden="1" x14ac:dyDescent="0.2">
      <c r="A397">
        <v>512912</v>
      </c>
      <c r="B397" t="s">
        <v>880</v>
      </c>
      <c r="C397">
        <v>41</v>
      </c>
      <c r="D397" t="s">
        <v>340</v>
      </c>
      <c r="E397">
        <v>60</v>
      </c>
      <c r="F397">
        <v>62</v>
      </c>
      <c r="G397">
        <v>1.463414634146341</v>
      </c>
      <c r="H397">
        <f>(F397+E397)/C397</f>
        <v>2.975609756097561</v>
      </c>
      <c r="I397"/>
    </row>
    <row r="398" spans="1:9" customFormat="1" hidden="1" x14ac:dyDescent="0.2">
      <c r="A398">
        <v>106711</v>
      </c>
      <c r="B398" t="s">
        <v>379</v>
      </c>
      <c r="C398">
        <v>171</v>
      </c>
      <c r="D398" t="s">
        <v>340</v>
      </c>
      <c r="E398">
        <v>503</v>
      </c>
      <c r="F398">
        <v>4</v>
      </c>
      <c r="G398">
        <v>2.941520467836257</v>
      </c>
      <c r="H398">
        <f>(F398+E398)/C398</f>
        <v>2.9649122807017543</v>
      </c>
    </row>
    <row r="399" spans="1:9" customFormat="1" hidden="1" x14ac:dyDescent="0.2">
      <c r="A399">
        <v>150938</v>
      </c>
      <c r="B399" t="s">
        <v>669</v>
      </c>
      <c r="C399">
        <v>185</v>
      </c>
      <c r="D399" t="s">
        <v>340</v>
      </c>
      <c r="E399">
        <v>327</v>
      </c>
      <c r="F399">
        <v>221</v>
      </c>
      <c r="G399">
        <v>1.7675675675675671</v>
      </c>
      <c r="H399">
        <f>(F399+E399)/C399</f>
        <v>2.9621621621621621</v>
      </c>
    </row>
    <row r="400" spans="1:9" customFormat="1" hidden="1" x14ac:dyDescent="0.2">
      <c r="A400">
        <v>110619</v>
      </c>
      <c r="B400" t="s">
        <v>522</v>
      </c>
      <c r="C400">
        <v>375</v>
      </c>
      <c r="D400" t="s">
        <v>340</v>
      </c>
      <c r="E400">
        <v>890</v>
      </c>
      <c r="F400">
        <v>216</v>
      </c>
      <c r="G400">
        <v>2.373333333333334</v>
      </c>
      <c r="H400">
        <f>(F400+E400)/C400</f>
        <v>2.9493333333333331</v>
      </c>
    </row>
    <row r="401" spans="1:9" customFormat="1" hidden="1" x14ac:dyDescent="0.2">
      <c r="A401">
        <v>107851</v>
      </c>
      <c r="B401" t="s">
        <v>77</v>
      </c>
      <c r="C401">
        <v>18</v>
      </c>
      <c r="D401" t="s">
        <v>48</v>
      </c>
      <c r="E401">
        <v>53</v>
      </c>
      <c r="F401">
        <v>0</v>
      </c>
      <c r="G401">
        <v>2.9444444444444451</v>
      </c>
      <c r="H401">
        <f>(F401+E401)/C401</f>
        <v>2.9444444444444446</v>
      </c>
    </row>
    <row r="402" spans="1:9" customFormat="1" hidden="1" x14ac:dyDescent="0.2">
      <c r="A402">
        <v>107794</v>
      </c>
      <c r="B402" t="s">
        <v>415</v>
      </c>
      <c r="C402">
        <v>250</v>
      </c>
      <c r="D402" t="s">
        <v>340</v>
      </c>
      <c r="E402">
        <v>723</v>
      </c>
      <c r="F402">
        <v>0</v>
      </c>
      <c r="G402">
        <v>2.8919999999999999</v>
      </c>
      <c r="H402">
        <f>(F402+E402)/C402</f>
        <v>2.8919999999999999</v>
      </c>
    </row>
    <row r="403" spans="1:9" customFormat="1" ht="16" x14ac:dyDescent="0.2">
      <c r="A403" s="11">
        <v>109182</v>
      </c>
      <c r="B403" s="11" t="s">
        <v>103</v>
      </c>
      <c r="C403" s="8">
        <v>1156</v>
      </c>
      <c r="D403" s="8" t="s">
        <v>48</v>
      </c>
      <c r="E403" s="8">
        <v>1664</v>
      </c>
      <c r="F403" s="10">
        <v>1673</v>
      </c>
      <c r="G403" s="8">
        <v>1.439446366782007</v>
      </c>
      <c r="H403">
        <f>(F403+E403)/C403</f>
        <v>2.8866782006920415</v>
      </c>
      <c r="I403" s="8"/>
    </row>
    <row r="404" spans="1:9" customFormat="1" hidden="1" x14ac:dyDescent="0.2">
      <c r="A404">
        <v>119065</v>
      </c>
      <c r="B404" t="s">
        <v>160</v>
      </c>
      <c r="C404">
        <v>130</v>
      </c>
      <c r="D404" t="s">
        <v>48</v>
      </c>
      <c r="E404">
        <v>214</v>
      </c>
      <c r="F404">
        <v>160</v>
      </c>
      <c r="G404">
        <v>1.6461538461538461</v>
      </c>
      <c r="H404">
        <f>(F404+E404)/C404</f>
        <v>2.8769230769230769</v>
      </c>
    </row>
    <row r="405" spans="1:9" customFormat="1" hidden="1" x14ac:dyDescent="0.2">
      <c r="A405">
        <v>112209</v>
      </c>
      <c r="B405" t="s">
        <v>544</v>
      </c>
      <c r="C405">
        <v>123</v>
      </c>
      <c r="D405" t="s">
        <v>340</v>
      </c>
      <c r="E405">
        <v>301</v>
      </c>
      <c r="F405">
        <v>51</v>
      </c>
      <c r="G405">
        <v>2.447154471544716</v>
      </c>
      <c r="H405">
        <f>(F405+E405)/C405</f>
        <v>2.8617886178861789</v>
      </c>
    </row>
    <row r="406" spans="1:9" customFormat="1" hidden="1" x14ac:dyDescent="0.2">
      <c r="A406">
        <v>107214</v>
      </c>
      <c r="B406" t="s">
        <v>403</v>
      </c>
      <c r="C406">
        <v>7</v>
      </c>
      <c r="D406" t="s">
        <v>340</v>
      </c>
      <c r="E406">
        <v>19</v>
      </c>
      <c r="F406">
        <v>1</v>
      </c>
      <c r="G406">
        <v>2.714285714285714</v>
      </c>
      <c r="H406">
        <f>(F406+E406)/C406</f>
        <v>2.8571428571428572</v>
      </c>
    </row>
    <row r="407" spans="1:9" customFormat="1" hidden="1" x14ac:dyDescent="0.2">
      <c r="A407">
        <v>144320</v>
      </c>
      <c r="B407" t="s">
        <v>662</v>
      </c>
      <c r="C407">
        <v>148</v>
      </c>
      <c r="D407" t="s">
        <v>340</v>
      </c>
      <c r="E407">
        <v>394</v>
      </c>
      <c r="F407">
        <v>27</v>
      </c>
      <c r="G407">
        <v>2.6621621621621618</v>
      </c>
      <c r="H407">
        <f>(F407+E407)/C407</f>
        <v>2.8445945945945947</v>
      </c>
    </row>
    <row r="408" spans="1:9" customFormat="1" hidden="1" x14ac:dyDescent="0.2">
      <c r="A408">
        <v>119803</v>
      </c>
      <c r="B408" t="s">
        <v>616</v>
      </c>
      <c r="C408">
        <v>24</v>
      </c>
      <c r="D408" t="s">
        <v>340</v>
      </c>
      <c r="E408">
        <v>30</v>
      </c>
      <c r="F408">
        <v>38</v>
      </c>
      <c r="G408">
        <v>1.25</v>
      </c>
      <c r="H408">
        <f>(F408+E408)/C408</f>
        <v>2.8333333333333335</v>
      </c>
    </row>
    <row r="409" spans="1:9" customFormat="1" hidden="1" x14ac:dyDescent="0.2">
      <c r="A409">
        <v>478812</v>
      </c>
      <c r="B409" t="s">
        <v>854</v>
      </c>
      <c r="C409">
        <v>164</v>
      </c>
      <c r="D409" t="s">
        <v>340</v>
      </c>
      <c r="E409">
        <v>205</v>
      </c>
      <c r="F409">
        <v>258</v>
      </c>
      <c r="G409">
        <v>1.25</v>
      </c>
      <c r="H409">
        <f>(F409+E409)/C409</f>
        <v>2.8231707317073171</v>
      </c>
    </row>
    <row r="410" spans="1:9" customFormat="1" hidden="1" x14ac:dyDescent="0.2">
      <c r="A410">
        <v>109245</v>
      </c>
      <c r="B410" t="s">
        <v>477</v>
      </c>
      <c r="C410">
        <v>426</v>
      </c>
      <c r="D410" t="s">
        <v>340</v>
      </c>
      <c r="E410">
        <v>1127</v>
      </c>
      <c r="F410">
        <v>70</v>
      </c>
      <c r="G410">
        <v>2.645539906103286</v>
      </c>
      <c r="H410">
        <f>(F410+E410)/C410</f>
        <v>2.8098591549295775</v>
      </c>
    </row>
    <row r="411" spans="1:9" hidden="1" x14ac:dyDescent="0.2">
      <c r="A411">
        <v>470672</v>
      </c>
      <c r="B411" t="s">
        <v>839</v>
      </c>
      <c r="C411">
        <v>73</v>
      </c>
      <c r="D411" t="s">
        <v>340</v>
      </c>
      <c r="E411">
        <v>197</v>
      </c>
      <c r="F411">
        <v>8</v>
      </c>
      <c r="G411">
        <v>2.6986301369863011</v>
      </c>
      <c r="H411">
        <f>(F411+E411)/C411</f>
        <v>2.8082191780821919</v>
      </c>
      <c r="I411"/>
    </row>
    <row r="412" spans="1:9" customFormat="1" hidden="1" x14ac:dyDescent="0.2">
      <c r="A412">
        <v>108623</v>
      </c>
      <c r="B412" t="s">
        <v>87</v>
      </c>
      <c r="C412">
        <v>269</v>
      </c>
      <c r="D412" t="s">
        <v>48</v>
      </c>
      <c r="E412">
        <v>244</v>
      </c>
      <c r="F412">
        <v>508</v>
      </c>
      <c r="G412">
        <v>0.90706319702602234</v>
      </c>
      <c r="H412">
        <f>(F412+E412)/C412</f>
        <v>2.7955390334572492</v>
      </c>
    </row>
    <row r="413" spans="1:9" customFormat="1" hidden="1" x14ac:dyDescent="0.2">
      <c r="A413">
        <v>156030</v>
      </c>
      <c r="B413" t="s">
        <v>678</v>
      </c>
      <c r="C413">
        <v>38</v>
      </c>
      <c r="D413" t="s">
        <v>340</v>
      </c>
      <c r="E413">
        <v>65</v>
      </c>
      <c r="F413">
        <v>41</v>
      </c>
      <c r="G413">
        <v>1.7105263157894739</v>
      </c>
      <c r="H413">
        <f>(F413+E413)/C413</f>
        <v>2.7894736842105261</v>
      </c>
    </row>
    <row r="414" spans="1:9" customFormat="1" hidden="1" x14ac:dyDescent="0.2">
      <c r="A414">
        <v>461758</v>
      </c>
      <c r="B414" t="s">
        <v>823</v>
      </c>
      <c r="C414">
        <v>9</v>
      </c>
      <c r="D414" t="s">
        <v>340</v>
      </c>
      <c r="E414">
        <v>7</v>
      </c>
      <c r="F414">
        <v>18</v>
      </c>
      <c r="G414">
        <v>0.77777777777777779</v>
      </c>
      <c r="H414">
        <f>(F414+E414)/C414</f>
        <v>2.7777777777777777</v>
      </c>
    </row>
    <row r="415" spans="1:9" customFormat="1" hidden="1" x14ac:dyDescent="0.2">
      <c r="A415">
        <v>511752</v>
      </c>
      <c r="B415" t="s">
        <v>307</v>
      </c>
      <c r="C415">
        <v>4</v>
      </c>
      <c r="D415" t="s">
        <v>48</v>
      </c>
      <c r="E415">
        <v>11</v>
      </c>
      <c r="F415">
        <v>0</v>
      </c>
      <c r="G415">
        <v>2.75</v>
      </c>
      <c r="H415">
        <f>(F415+E415)/C415</f>
        <v>2.75</v>
      </c>
    </row>
    <row r="416" spans="1:9" customFormat="1" hidden="1" x14ac:dyDescent="0.2">
      <c r="A416">
        <v>112177</v>
      </c>
      <c r="B416" t="s">
        <v>543</v>
      </c>
      <c r="C416">
        <v>78</v>
      </c>
      <c r="D416" t="s">
        <v>340</v>
      </c>
      <c r="E416">
        <v>214</v>
      </c>
      <c r="F416">
        <v>0</v>
      </c>
      <c r="G416">
        <v>2.7435897435897441</v>
      </c>
      <c r="H416">
        <f>(F416+E416)/C416</f>
        <v>2.7435897435897436</v>
      </c>
    </row>
    <row r="417" spans="1:9" customFormat="1" hidden="1" x14ac:dyDescent="0.2">
      <c r="A417">
        <v>189472</v>
      </c>
      <c r="B417" t="s">
        <v>1042</v>
      </c>
      <c r="C417">
        <v>15</v>
      </c>
      <c r="D417" t="s">
        <v>923</v>
      </c>
      <c r="E417">
        <v>39</v>
      </c>
      <c r="F417">
        <v>2</v>
      </c>
      <c r="G417">
        <v>2.6</v>
      </c>
      <c r="H417">
        <f>(F417+E417)/C417</f>
        <v>2.7333333333333334</v>
      </c>
    </row>
    <row r="418" spans="1:9" customFormat="1" hidden="1" x14ac:dyDescent="0.2">
      <c r="A418">
        <v>106677</v>
      </c>
      <c r="B418" t="s">
        <v>934</v>
      </c>
      <c r="C418">
        <v>455</v>
      </c>
      <c r="D418" t="s">
        <v>923</v>
      </c>
      <c r="E418">
        <v>1044</v>
      </c>
      <c r="F418">
        <v>195</v>
      </c>
      <c r="G418">
        <v>2.2945054945054939</v>
      </c>
      <c r="H418">
        <f>(F418+E418)/C418</f>
        <v>2.7230769230769232</v>
      </c>
    </row>
    <row r="419" spans="1:9" customFormat="1" ht="16" x14ac:dyDescent="0.2">
      <c r="A419" s="11">
        <v>112474</v>
      </c>
      <c r="B419" s="11" t="s">
        <v>551</v>
      </c>
      <c r="C419" s="8">
        <v>950</v>
      </c>
      <c r="D419" s="8" t="s">
        <v>340</v>
      </c>
      <c r="E419" s="8">
        <v>1373</v>
      </c>
      <c r="F419" s="10">
        <v>1201</v>
      </c>
      <c r="G419" s="8">
        <v>1.445263157894737</v>
      </c>
      <c r="H419">
        <f>(F419+E419)/C419</f>
        <v>2.7094736842105265</v>
      </c>
      <c r="I419" s="8"/>
    </row>
    <row r="420" spans="1:9" customFormat="1" hidden="1" x14ac:dyDescent="0.2">
      <c r="A420">
        <v>170623</v>
      </c>
      <c r="B420" t="s">
        <v>702</v>
      </c>
      <c r="C420">
        <v>17</v>
      </c>
      <c r="D420" t="s">
        <v>340</v>
      </c>
      <c r="E420">
        <v>13</v>
      </c>
      <c r="F420">
        <v>33</v>
      </c>
      <c r="G420">
        <v>0.76470588235294112</v>
      </c>
      <c r="H420">
        <f>(F420+E420)/C420</f>
        <v>2.7058823529411766</v>
      </c>
    </row>
    <row r="421" spans="1:9" customFormat="1" hidden="1" x14ac:dyDescent="0.2">
      <c r="A421">
        <v>156843</v>
      </c>
      <c r="B421" t="s">
        <v>682</v>
      </c>
      <c r="C421">
        <v>43</v>
      </c>
      <c r="D421" t="s">
        <v>340</v>
      </c>
      <c r="E421">
        <v>85</v>
      </c>
      <c r="F421">
        <v>31</v>
      </c>
      <c r="G421">
        <v>1.976744186046512</v>
      </c>
      <c r="H421">
        <f>(F421+E421)/C421</f>
        <v>2.6976744186046511</v>
      </c>
    </row>
    <row r="422" spans="1:9" customFormat="1" hidden="1" x14ac:dyDescent="0.2">
      <c r="A422">
        <v>107619</v>
      </c>
      <c r="B422" t="s">
        <v>411</v>
      </c>
      <c r="C422">
        <v>255</v>
      </c>
      <c r="D422" t="s">
        <v>340</v>
      </c>
      <c r="E422">
        <v>656</v>
      </c>
      <c r="F422">
        <v>28</v>
      </c>
      <c r="G422">
        <v>2.5725490196078429</v>
      </c>
      <c r="H422">
        <f>(F422+E422)/C422</f>
        <v>2.6823529411764704</v>
      </c>
    </row>
    <row r="423" spans="1:9" customFormat="1" hidden="1" x14ac:dyDescent="0.2">
      <c r="A423">
        <v>106990</v>
      </c>
      <c r="B423" t="s">
        <v>393</v>
      </c>
      <c r="C423">
        <v>88</v>
      </c>
      <c r="D423" t="s">
        <v>340</v>
      </c>
      <c r="E423">
        <v>76</v>
      </c>
      <c r="F423">
        <v>160</v>
      </c>
      <c r="G423">
        <v>0.86363636363636365</v>
      </c>
      <c r="H423">
        <f>(F423+E423)/C423</f>
        <v>2.6818181818181817</v>
      </c>
    </row>
    <row r="424" spans="1:9" customFormat="1" hidden="1" x14ac:dyDescent="0.2">
      <c r="A424">
        <v>451087</v>
      </c>
      <c r="B424" t="s">
        <v>812</v>
      </c>
      <c r="C424">
        <v>191</v>
      </c>
      <c r="D424" t="s">
        <v>340</v>
      </c>
      <c r="E424">
        <v>505</v>
      </c>
      <c r="F424">
        <v>2</v>
      </c>
      <c r="G424">
        <v>2.6439790575916229</v>
      </c>
      <c r="H424">
        <f>(F424+E424)/C424</f>
        <v>2.6544502617801049</v>
      </c>
    </row>
    <row r="425" spans="1:9" customFormat="1" hidden="1" x14ac:dyDescent="0.2">
      <c r="A425">
        <v>128220</v>
      </c>
      <c r="B425" t="s">
        <v>635</v>
      </c>
      <c r="C425">
        <v>14</v>
      </c>
      <c r="D425" t="s">
        <v>340</v>
      </c>
      <c r="E425">
        <v>36</v>
      </c>
      <c r="F425">
        <v>1</v>
      </c>
      <c r="G425">
        <v>2.5714285714285721</v>
      </c>
      <c r="H425">
        <f>(F425+E425)/C425</f>
        <v>2.6428571428571428</v>
      </c>
    </row>
    <row r="426" spans="1:9" customFormat="1" hidden="1" x14ac:dyDescent="0.2">
      <c r="A426">
        <v>110394</v>
      </c>
      <c r="B426" t="s">
        <v>116</v>
      </c>
      <c r="C426">
        <v>100</v>
      </c>
      <c r="D426" t="s">
        <v>48</v>
      </c>
      <c r="E426">
        <v>238</v>
      </c>
      <c r="F426">
        <v>24</v>
      </c>
      <c r="G426">
        <v>2.38</v>
      </c>
      <c r="H426">
        <f>(F426+E426)/C426</f>
        <v>2.62</v>
      </c>
    </row>
    <row r="427" spans="1:9" customFormat="1" ht="16" x14ac:dyDescent="0.2">
      <c r="A427" s="11">
        <v>107092</v>
      </c>
      <c r="B427" s="12" t="s">
        <v>395</v>
      </c>
      <c r="C427" s="8">
        <v>570</v>
      </c>
      <c r="D427" s="8" t="s">
        <v>340</v>
      </c>
      <c r="E427" s="8">
        <v>1469</v>
      </c>
      <c r="F427" s="8">
        <v>16</v>
      </c>
      <c r="G427" s="10">
        <v>2.5771929824561401</v>
      </c>
      <c r="H427">
        <f>(F427+E427)/C427</f>
        <v>2.6052631578947367</v>
      </c>
      <c r="I427" s="8"/>
    </row>
    <row r="428" spans="1:9" customFormat="1" hidden="1" x14ac:dyDescent="0.2">
      <c r="A428">
        <v>107993</v>
      </c>
      <c r="B428" t="s">
        <v>423</v>
      </c>
      <c r="C428">
        <v>157</v>
      </c>
      <c r="D428" t="s">
        <v>340</v>
      </c>
      <c r="E428">
        <v>402</v>
      </c>
      <c r="F428">
        <v>7</v>
      </c>
      <c r="G428">
        <v>2.5605095541401268</v>
      </c>
      <c r="H428">
        <f>(F428+E428)/C428</f>
        <v>2.605095541401274</v>
      </c>
    </row>
    <row r="429" spans="1:9" customFormat="1" hidden="1" x14ac:dyDescent="0.2">
      <c r="A429">
        <v>112627</v>
      </c>
      <c r="B429" t="s">
        <v>559</v>
      </c>
      <c r="C429">
        <v>35</v>
      </c>
      <c r="D429" t="s">
        <v>340</v>
      </c>
      <c r="E429">
        <v>90</v>
      </c>
      <c r="F429">
        <v>1</v>
      </c>
      <c r="G429">
        <v>2.5714285714285721</v>
      </c>
      <c r="H429">
        <f>(F429+E429)/C429</f>
        <v>2.6</v>
      </c>
    </row>
    <row r="430" spans="1:9" customFormat="1" hidden="1" x14ac:dyDescent="0.2">
      <c r="A430">
        <v>167300</v>
      </c>
      <c r="B430" t="s">
        <v>213</v>
      </c>
      <c r="C430">
        <v>12</v>
      </c>
      <c r="D430" t="s">
        <v>48</v>
      </c>
      <c r="E430">
        <v>31</v>
      </c>
      <c r="F430">
        <v>0</v>
      </c>
      <c r="G430">
        <v>2.583333333333333</v>
      </c>
      <c r="H430">
        <f>(F430+E430)/C430</f>
        <v>2.5833333333333335</v>
      </c>
    </row>
    <row r="431" spans="1:9" customFormat="1" hidden="1" x14ac:dyDescent="0.2">
      <c r="A431">
        <v>164112</v>
      </c>
      <c r="B431" t="s">
        <v>693</v>
      </c>
      <c r="C431">
        <v>27</v>
      </c>
      <c r="D431" t="s">
        <v>340</v>
      </c>
      <c r="E431">
        <v>69</v>
      </c>
      <c r="F431">
        <v>0</v>
      </c>
      <c r="G431">
        <v>2.5555555555555549</v>
      </c>
      <c r="H431">
        <f>(F431+E431)/C431</f>
        <v>2.5555555555555554</v>
      </c>
    </row>
    <row r="432" spans="1:9" customFormat="1" hidden="1" x14ac:dyDescent="0.2">
      <c r="A432">
        <v>112696</v>
      </c>
      <c r="B432" t="s">
        <v>985</v>
      </c>
      <c r="C432">
        <v>21</v>
      </c>
      <c r="D432" t="s">
        <v>923</v>
      </c>
      <c r="E432">
        <v>40</v>
      </c>
      <c r="F432">
        <v>13</v>
      </c>
      <c r="G432">
        <v>1.9047619047619051</v>
      </c>
      <c r="H432">
        <f>(F432+E432)/C432</f>
        <v>2.5238095238095237</v>
      </c>
    </row>
    <row r="433" spans="1:9" customFormat="1" hidden="1" x14ac:dyDescent="0.2">
      <c r="A433">
        <v>307983</v>
      </c>
      <c r="B433" t="s">
        <v>249</v>
      </c>
      <c r="C433">
        <v>82</v>
      </c>
      <c r="D433" t="s">
        <v>48</v>
      </c>
      <c r="E433">
        <v>204</v>
      </c>
      <c r="F433">
        <v>2</v>
      </c>
      <c r="G433">
        <v>2.48780487804878</v>
      </c>
      <c r="H433">
        <f>(F433+E433)/C433</f>
        <v>2.5121951219512195</v>
      </c>
    </row>
    <row r="434" spans="1:9" customFormat="1" hidden="1" x14ac:dyDescent="0.2">
      <c r="A434">
        <v>459344</v>
      </c>
      <c r="B434" t="s">
        <v>1079</v>
      </c>
      <c r="C434">
        <v>61</v>
      </c>
      <c r="D434" t="s">
        <v>923</v>
      </c>
      <c r="E434">
        <v>151</v>
      </c>
      <c r="F434">
        <v>2</v>
      </c>
      <c r="G434">
        <v>2.4754098360655741</v>
      </c>
      <c r="H434">
        <f>(F434+E434)/C434</f>
        <v>2.5081967213114753</v>
      </c>
    </row>
    <row r="435" spans="1:9" hidden="1" x14ac:dyDescent="0.2">
      <c r="A435">
        <v>110342</v>
      </c>
      <c r="B435" t="s">
        <v>971</v>
      </c>
      <c r="C435">
        <v>12</v>
      </c>
      <c r="D435" t="s">
        <v>923</v>
      </c>
      <c r="E435">
        <v>21</v>
      </c>
      <c r="F435">
        <v>9</v>
      </c>
      <c r="G435">
        <v>1.75</v>
      </c>
      <c r="H435">
        <f>(F435+E435)/C435</f>
        <v>2.5</v>
      </c>
      <c r="I435"/>
    </row>
    <row r="436" spans="1:9" customFormat="1" ht="16" hidden="1" x14ac:dyDescent="0.2">
      <c r="A436" s="8">
        <v>106522</v>
      </c>
      <c r="B436" s="10" t="s">
        <v>369</v>
      </c>
      <c r="C436" s="8">
        <v>690</v>
      </c>
      <c r="D436" s="8" t="s">
        <v>340</v>
      </c>
      <c r="E436" s="8">
        <v>1680</v>
      </c>
      <c r="F436" s="10">
        <v>44</v>
      </c>
      <c r="G436" s="10">
        <v>2.4347826086956519</v>
      </c>
      <c r="H436">
        <f>(F436+E436)/C436</f>
        <v>2.4985507246376812</v>
      </c>
      <c r="I436" s="8"/>
    </row>
    <row r="437" spans="1:9" customFormat="1" hidden="1" x14ac:dyDescent="0.2">
      <c r="A437">
        <v>127501</v>
      </c>
      <c r="B437" t="s">
        <v>634</v>
      </c>
      <c r="C437">
        <v>33</v>
      </c>
      <c r="D437" t="s">
        <v>340</v>
      </c>
      <c r="E437">
        <v>82</v>
      </c>
      <c r="F437">
        <v>0</v>
      </c>
      <c r="G437">
        <v>2.4848484848484849</v>
      </c>
      <c r="H437">
        <f>(F437+E437)/C437</f>
        <v>2.4848484848484849</v>
      </c>
    </row>
    <row r="438" spans="1:9" customFormat="1" hidden="1" x14ac:dyDescent="0.2">
      <c r="A438">
        <v>135594</v>
      </c>
      <c r="B438" t="s">
        <v>176</v>
      </c>
      <c r="C438">
        <v>20</v>
      </c>
      <c r="D438" t="s">
        <v>48</v>
      </c>
      <c r="E438">
        <v>39</v>
      </c>
      <c r="F438">
        <v>10</v>
      </c>
      <c r="G438">
        <v>1.95</v>
      </c>
      <c r="H438">
        <f>(F438+E438)/C438</f>
        <v>2.4500000000000002</v>
      </c>
    </row>
    <row r="439" spans="1:9" customFormat="1" hidden="1" x14ac:dyDescent="0.2">
      <c r="A439">
        <v>442328</v>
      </c>
      <c r="B439" t="s">
        <v>808</v>
      </c>
      <c r="C439">
        <v>18</v>
      </c>
      <c r="D439" t="s">
        <v>340</v>
      </c>
      <c r="E439">
        <v>42</v>
      </c>
      <c r="F439">
        <v>2</v>
      </c>
      <c r="G439">
        <v>2.333333333333333</v>
      </c>
      <c r="H439">
        <f>(F439+E439)/C439</f>
        <v>2.4444444444444446</v>
      </c>
    </row>
    <row r="440" spans="1:9" hidden="1" x14ac:dyDescent="0.2">
      <c r="A440">
        <v>317638</v>
      </c>
      <c r="B440" t="s">
        <v>776</v>
      </c>
      <c r="C440">
        <v>23</v>
      </c>
      <c r="D440" t="s">
        <v>340</v>
      </c>
      <c r="E440">
        <v>24</v>
      </c>
      <c r="F440">
        <v>32</v>
      </c>
      <c r="G440">
        <v>1.043478260869565</v>
      </c>
      <c r="H440">
        <f>(F440+E440)/C440</f>
        <v>2.4347826086956523</v>
      </c>
      <c r="I440"/>
    </row>
    <row r="441" spans="1:9" customFormat="1" hidden="1" x14ac:dyDescent="0.2">
      <c r="A441">
        <v>216455</v>
      </c>
      <c r="B441" t="s">
        <v>734</v>
      </c>
      <c r="C441">
        <v>7</v>
      </c>
      <c r="D441" t="s">
        <v>340</v>
      </c>
      <c r="E441">
        <v>2</v>
      </c>
      <c r="F441">
        <v>15</v>
      </c>
      <c r="G441">
        <v>0.2857142857142857</v>
      </c>
      <c r="H441">
        <f>(F441+E441)/C441</f>
        <v>2.4285714285714284</v>
      </c>
    </row>
    <row r="442" spans="1:9" ht="16" x14ac:dyDescent="0.2">
      <c r="A442" s="11">
        <v>113118</v>
      </c>
      <c r="B442" s="12" t="s">
        <v>568</v>
      </c>
      <c r="C442" s="8">
        <v>1458</v>
      </c>
      <c r="D442" s="8" t="s">
        <v>340</v>
      </c>
      <c r="E442" s="8">
        <v>3529</v>
      </c>
      <c r="F442" s="8">
        <v>0</v>
      </c>
      <c r="G442" s="10">
        <v>2.4204389574759939</v>
      </c>
      <c r="H442">
        <f>(F442+E442)/C442</f>
        <v>2.4204389574759944</v>
      </c>
    </row>
    <row r="443" spans="1:9" customFormat="1" hidden="1" x14ac:dyDescent="0.2">
      <c r="A443">
        <v>109093</v>
      </c>
      <c r="B443" t="s">
        <v>466</v>
      </c>
      <c r="C443">
        <v>58</v>
      </c>
      <c r="D443" t="s">
        <v>340</v>
      </c>
      <c r="E443">
        <v>129</v>
      </c>
      <c r="F443">
        <v>11</v>
      </c>
      <c r="G443">
        <v>2.2241379310344831</v>
      </c>
      <c r="H443">
        <f>(F443+E443)/C443</f>
        <v>2.4137931034482758</v>
      </c>
    </row>
    <row r="444" spans="1:9" customFormat="1" ht="16" x14ac:dyDescent="0.2">
      <c r="A444" s="11">
        <v>145058</v>
      </c>
      <c r="B444" s="11" t="s">
        <v>1022</v>
      </c>
      <c r="C444" s="8">
        <v>621</v>
      </c>
      <c r="D444" s="8" t="s">
        <v>923</v>
      </c>
      <c r="E444" s="8">
        <v>634</v>
      </c>
      <c r="F444" s="10">
        <v>859</v>
      </c>
      <c r="G444" s="8">
        <v>1.0209339774557169</v>
      </c>
      <c r="H444">
        <f>(F444+E444)/C444</f>
        <v>2.4041867954911433</v>
      </c>
      <c r="I444" s="8"/>
    </row>
    <row r="445" spans="1:9" customFormat="1" hidden="1" x14ac:dyDescent="0.2">
      <c r="A445">
        <v>475512</v>
      </c>
      <c r="B445" t="s">
        <v>848</v>
      </c>
      <c r="C445">
        <v>5</v>
      </c>
      <c r="D445" t="s">
        <v>340</v>
      </c>
      <c r="E445">
        <v>12</v>
      </c>
      <c r="F445">
        <v>0</v>
      </c>
      <c r="G445">
        <v>2.4</v>
      </c>
      <c r="H445">
        <f>(F445+E445)/C445</f>
        <v>2.4</v>
      </c>
    </row>
    <row r="446" spans="1:9" customFormat="1" hidden="1" x14ac:dyDescent="0.2">
      <c r="A446">
        <v>464691</v>
      </c>
      <c r="B446" t="s">
        <v>1082</v>
      </c>
      <c r="C446">
        <v>66</v>
      </c>
      <c r="D446" t="s">
        <v>923</v>
      </c>
      <c r="E446">
        <v>17</v>
      </c>
      <c r="F446">
        <v>139</v>
      </c>
      <c r="G446">
        <v>0.25757575757575762</v>
      </c>
      <c r="H446">
        <f>(F446+E446)/C446</f>
        <v>2.3636363636363638</v>
      </c>
    </row>
    <row r="447" spans="1:9" customFormat="1" hidden="1" x14ac:dyDescent="0.2">
      <c r="A447">
        <v>165109</v>
      </c>
      <c r="B447" t="s">
        <v>210</v>
      </c>
      <c r="C447">
        <v>95</v>
      </c>
      <c r="D447" t="s">
        <v>48</v>
      </c>
      <c r="E447">
        <v>209</v>
      </c>
      <c r="F447">
        <v>15</v>
      </c>
      <c r="G447">
        <v>2.2000000000000002</v>
      </c>
      <c r="H447">
        <f>(F447+E447)/C447</f>
        <v>2.357894736842105</v>
      </c>
    </row>
    <row r="448" spans="1:9" customFormat="1" hidden="1" x14ac:dyDescent="0.2">
      <c r="A448">
        <v>252871</v>
      </c>
      <c r="B448" t="s">
        <v>743</v>
      </c>
      <c r="C448">
        <v>3</v>
      </c>
      <c r="D448" t="s">
        <v>340</v>
      </c>
      <c r="E448">
        <v>4</v>
      </c>
      <c r="F448">
        <v>3</v>
      </c>
      <c r="G448">
        <v>1.333333333333333</v>
      </c>
      <c r="H448">
        <f>(F448+E448)/C448</f>
        <v>2.3333333333333335</v>
      </c>
    </row>
    <row r="449" spans="1:8" customFormat="1" hidden="1" x14ac:dyDescent="0.2">
      <c r="A449">
        <v>116147</v>
      </c>
      <c r="B449" t="s">
        <v>604</v>
      </c>
      <c r="C449">
        <v>128</v>
      </c>
      <c r="D449" t="s">
        <v>340</v>
      </c>
      <c r="E449">
        <v>250</v>
      </c>
      <c r="F449">
        <v>48</v>
      </c>
      <c r="G449">
        <v>1.953125</v>
      </c>
      <c r="H449">
        <f>(F449+E449)/C449</f>
        <v>2.328125</v>
      </c>
    </row>
    <row r="450" spans="1:8" customFormat="1" hidden="1" x14ac:dyDescent="0.2">
      <c r="A450">
        <v>106528</v>
      </c>
      <c r="B450" t="s">
        <v>370</v>
      </c>
      <c r="C450">
        <v>120</v>
      </c>
      <c r="D450" t="s">
        <v>340</v>
      </c>
      <c r="E450">
        <v>98</v>
      </c>
      <c r="F450">
        <v>179</v>
      </c>
      <c r="G450">
        <v>0.81666666666666665</v>
      </c>
      <c r="H450">
        <f>(F450+E450)/C450</f>
        <v>2.3083333333333331</v>
      </c>
    </row>
    <row r="451" spans="1:8" customFormat="1" hidden="1" x14ac:dyDescent="0.2">
      <c r="A451">
        <v>109084</v>
      </c>
      <c r="B451" t="s">
        <v>465</v>
      </c>
      <c r="C451">
        <v>10</v>
      </c>
      <c r="D451" t="s">
        <v>340</v>
      </c>
      <c r="E451">
        <v>14</v>
      </c>
      <c r="F451">
        <v>9</v>
      </c>
      <c r="G451">
        <v>1.4</v>
      </c>
      <c r="H451">
        <f>(F451+E451)/C451</f>
        <v>2.2999999999999998</v>
      </c>
    </row>
    <row r="452" spans="1:8" customFormat="1" hidden="1" x14ac:dyDescent="0.2">
      <c r="A452">
        <v>190848</v>
      </c>
      <c r="B452" t="s">
        <v>220</v>
      </c>
      <c r="C452">
        <v>115</v>
      </c>
      <c r="D452" t="s">
        <v>48</v>
      </c>
      <c r="E452">
        <v>124</v>
      </c>
      <c r="F452">
        <v>140</v>
      </c>
      <c r="G452">
        <v>1.0782608695652169</v>
      </c>
      <c r="H452">
        <f>(F452+E452)/C452</f>
        <v>2.2956521739130435</v>
      </c>
    </row>
    <row r="453" spans="1:8" customFormat="1" hidden="1" x14ac:dyDescent="0.2">
      <c r="A453">
        <v>105780</v>
      </c>
      <c r="B453" t="s">
        <v>352</v>
      </c>
      <c r="C453">
        <v>120</v>
      </c>
      <c r="D453" t="s">
        <v>340</v>
      </c>
      <c r="E453">
        <v>262</v>
      </c>
      <c r="F453">
        <v>7</v>
      </c>
      <c r="G453">
        <v>2.1833333333333331</v>
      </c>
      <c r="H453">
        <f>(F453+E453)/C453</f>
        <v>2.2416666666666667</v>
      </c>
    </row>
    <row r="454" spans="1:8" customFormat="1" hidden="1" x14ac:dyDescent="0.2">
      <c r="A454">
        <v>127392</v>
      </c>
      <c r="B454" t="s">
        <v>632</v>
      </c>
      <c r="C454">
        <v>80</v>
      </c>
      <c r="D454" t="s">
        <v>340</v>
      </c>
      <c r="E454">
        <v>116</v>
      </c>
      <c r="F454">
        <v>63</v>
      </c>
      <c r="G454">
        <v>1.45</v>
      </c>
      <c r="H454">
        <f>(F454+E454)/C454</f>
        <v>2.2374999999999998</v>
      </c>
    </row>
    <row r="455" spans="1:8" customFormat="1" hidden="1" x14ac:dyDescent="0.2">
      <c r="A455">
        <v>110642</v>
      </c>
      <c r="B455" t="s">
        <v>975</v>
      </c>
      <c r="C455">
        <v>487</v>
      </c>
      <c r="D455" t="s">
        <v>923</v>
      </c>
      <c r="E455">
        <v>1058</v>
      </c>
      <c r="F455">
        <v>31</v>
      </c>
      <c r="G455">
        <v>2.1724845995893221</v>
      </c>
      <c r="H455">
        <f>(F455+E455)/C455</f>
        <v>2.2361396303901437</v>
      </c>
    </row>
    <row r="456" spans="1:8" customFormat="1" hidden="1" x14ac:dyDescent="0.2">
      <c r="A456">
        <v>445108</v>
      </c>
      <c r="B456" t="s">
        <v>264</v>
      </c>
      <c r="C456">
        <v>298</v>
      </c>
      <c r="D456" t="s">
        <v>48</v>
      </c>
      <c r="E456">
        <v>664</v>
      </c>
      <c r="F456">
        <v>0</v>
      </c>
      <c r="G456">
        <v>2.2281879194630871</v>
      </c>
      <c r="H456">
        <f>(F456+E456)/C456</f>
        <v>2.2281879194630871</v>
      </c>
    </row>
    <row r="457" spans="1:8" customFormat="1" hidden="1" x14ac:dyDescent="0.2">
      <c r="A457">
        <v>106297</v>
      </c>
      <c r="B457" t="s">
        <v>361</v>
      </c>
      <c r="C457">
        <v>296</v>
      </c>
      <c r="D457" t="s">
        <v>340</v>
      </c>
      <c r="E457">
        <v>521</v>
      </c>
      <c r="F457">
        <v>138</v>
      </c>
      <c r="G457">
        <v>1.7601351351351351</v>
      </c>
      <c r="H457">
        <f>(F457+E457)/C457</f>
        <v>2.2263513513513513</v>
      </c>
    </row>
    <row r="458" spans="1:8" customFormat="1" hidden="1" x14ac:dyDescent="0.2">
      <c r="A458">
        <v>126256</v>
      </c>
      <c r="B458" t="s">
        <v>628</v>
      </c>
      <c r="C458">
        <v>211</v>
      </c>
      <c r="D458" t="s">
        <v>340</v>
      </c>
      <c r="E458">
        <v>376</v>
      </c>
      <c r="F458">
        <v>90</v>
      </c>
      <c r="G458">
        <v>1.781990521327014</v>
      </c>
      <c r="H458">
        <f>(F458+E458)/C458</f>
        <v>2.2085308056872037</v>
      </c>
    </row>
    <row r="459" spans="1:8" customFormat="1" hidden="1" x14ac:dyDescent="0.2">
      <c r="A459">
        <v>440255</v>
      </c>
      <c r="B459" t="s">
        <v>806</v>
      </c>
      <c r="C459">
        <v>20</v>
      </c>
      <c r="D459" t="s">
        <v>340</v>
      </c>
      <c r="E459">
        <v>32</v>
      </c>
      <c r="F459">
        <v>12</v>
      </c>
      <c r="G459">
        <v>1.6</v>
      </c>
      <c r="H459">
        <f>(F459+E459)/C459</f>
        <v>2.2000000000000002</v>
      </c>
    </row>
    <row r="460" spans="1:8" customFormat="1" hidden="1" x14ac:dyDescent="0.2">
      <c r="A460">
        <v>458741</v>
      </c>
      <c r="B460" t="s">
        <v>1077</v>
      </c>
      <c r="C460">
        <v>5</v>
      </c>
      <c r="D460" t="s">
        <v>923</v>
      </c>
      <c r="E460">
        <v>6</v>
      </c>
      <c r="F460">
        <v>5</v>
      </c>
      <c r="G460">
        <v>1.2</v>
      </c>
      <c r="H460">
        <f>(F460+E460)/C460</f>
        <v>2.2000000000000002</v>
      </c>
    </row>
    <row r="461" spans="1:8" customFormat="1" hidden="1" x14ac:dyDescent="0.2">
      <c r="A461">
        <v>125630</v>
      </c>
      <c r="B461" t="s">
        <v>167</v>
      </c>
      <c r="C461">
        <v>80</v>
      </c>
      <c r="D461" t="s">
        <v>48</v>
      </c>
      <c r="E461">
        <v>68</v>
      </c>
      <c r="F461">
        <v>107</v>
      </c>
      <c r="G461">
        <v>0.85</v>
      </c>
      <c r="H461">
        <f>(F461+E461)/C461</f>
        <v>2.1875</v>
      </c>
    </row>
    <row r="462" spans="1:8" customFormat="1" hidden="1" x14ac:dyDescent="0.2">
      <c r="A462">
        <v>491705</v>
      </c>
      <c r="B462" t="s">
        <v>1097</v>
      </c>
      <c r="C462">
        <v>226</v>
      </c>
      <c r="D462" t="s">
        <v>923</v>
      </c>
      <c r="E462">
        <v>119</v>
      </c>
      <c r="F462">
        <v>373</v>
      </c>
      <c r="G462">
        <v>0.52654867256637172</v>
      </c>
      <c r="H462">
        <f>(F462+E462)/C462</f>
        <v>2.1769911504424777</v>
      </c>
    </row>
    <row r="463" spans="1:8" customFormat="1" hidden="1" x14ac:dyDescent="0.2">
      <c r="A463">
        <v>108570</v>
      </c>
      <c r="B463" t="s">
        <v>453</v>
      </c>
      <c r="C463">
        <v>115</v>
      </c>
      <c r="D463" t="s">
        <v>340</v>
      </c>
      <c r="E463">
        <v>217</v>
      </c>
      <c r="F463">
        <v>33</v>
      </c>
      <c r="G463">
        <v>1.88695652173913</v>
      </c>
      <c r="H463">
        <f>(F463+E463)/C463</f>
        <v>2.1739130434782608</v>
      </c>
    </row>
    <row r="464" spans="1:8" customFormat="1" hidden="1" x14ac:dyDescent="0.2">
      <c r="A464">
        <v>113149</v>
      </c>
      <c r="B464" t="s">
        <v>569</v>
      </c>
      <c r="C464">
        <v>6</v>
      </c>
      <c r="D464" t="s">
        <v>340</v>
      </c>
      <c r="E464">
        <v>13</v>
      </c>
      <c r="F464">
        <v>0</v>
      </c>
      <c r="G464">
        <v>2.166666666666667</v>
      </c>
      <c r="H464">
        <f>(F464+E464)/C464</f>
        <v>2.1666666666666665</v>
      </c>
    </row>
    <row r="465" spans="1:9" customFormat="1" hidden="1" x14ac:dyDescent="0.2">
      <c r="A465">
        <v>552247</v>
      </c>
      <c r="B465" t="s">
        <v>894</v>
      </c>
      <c r="C465">
        <v>30</v>
      </c>
      <c r="D465" t="s">
        <v>340</v>
      </c>
      <c r="E465">
        <v>56</v>
      </c>
      <c r="F465">
        <v>9</v>
      </c>
      <c r="G465">
        <v>1.8666666666666669</v>
      </c>
      <c r="H465">
        <f>(F465+E465)/C465</f>
        <v>2.1666666666666665</v>
      </c>
    </row>
    <row r="466" spans="1:9" customFormat="1" hidden="1" x14ac:dyDescent="0.2">
      <c r="A466">
        <v>107215</v>
      </c>
      <c r="B466" t="s">
        <v>71</v>
      </c>
      <c r="C466">
        <v>13</v>
      </c>
      <c r="D466" t="s">
        <v>48</v>
      </c>
      <c r="E466">
        <v>13</v>
      </c>
      <c r="F466">
        <v>15</v>
      </c>
      <c r="G466">
        <v>1</v>
      </c>
      <c r="H466">
        <f>(F466+E466)/C466</f>
        <v>2.1538461538461537</v>
      </c>
    </row>
    <row r="467" spans="1:9" customFormat="1" hidden="1" x14ac:dyDescent="0.2">
      <c r="A467">
        <v>105772</v>
      </c>
      <c r="B467" t="s">
        <v>53</v>
      </c>
      <c r="C467">
        <v>109</v>
      </c>
      <c r="D467" t="s">
        <v>48</v>
      </c>
      <c r="E467">
        <v>101</v>
      </c>
      <c r="F467">
        <v>133</v>
      </c>
      <c r="G467">
        <v>0.92660550458715596</v>
      </c>
      <c r="H467">
        <f>(F467+E467)/C467</f>
        <v>2.1467889908256881</v>
      </c>
    </row>
    <row r="468" spans="1:9" customFormat="1" hidden="1" x14ac:dyDescent="0.2">
      <c r="A468">
        <v>167139</v>
      </c>
      <c r="B468" t="s">
        <v>698</v>
      </c>
      <c r="C468">
        <v>160</v>
      </c>
      <c r="D468" t="s">
        <v>340</v>
      </c>
      <c r="E468">
        <v>337</v>
      </c>
      <c r="F468">
        <v>6</v>
      </c>
      <c r="G468">
        <v>2.1062500000000002</v>
      </c>
      <c r="H468">
        <f>(F468+E468)/C468</f>
        <v>2.1437499999999998</v>
      </c>
    </row>
    <row r="469" spans="1:9" customFormat="1" hidden="1" x14ac:dyDescent="0.2">
      <c r="A469">
        <v>141355</v>
      </c>
      <c r="B469" t="s">
        <v>182</v>
      </c>
      <c r="C469">
        <v>7</v>
      </c>
      <c r="D469" t="s">
        <v>48</v>
      </c>
      <c r="E469">
        <v>15</v>
      </c>
      <c r="F469">
        <v>0</v>
      </c>
      <c r="G469">
        <v>2.1428571428571428</v>
      </c>
      <c r="H469">
        <f>(F469+E469)/C469</f>
        <v>2.1428571428571428</v>
      </c>
    </row>
    <row r="470" spans="1:9" customFormat="1" hidden="1" x14ac:dyDescent="0.2">
      <c r="A470">
        <v>109947</v>
      </c>
      <c r="B470" t="s">
        <v>502</v>
      </c>
      <c r="C470">
        <v>15</v>
      </c>
      <c r="D470" t="s">
        <v>340</v>
      </c>
      <c r="E470">
        <v>29</v>
      </c>
      <c r="F470">
        <v>3</v>
      </c>
      <c r="G470">
        <v>1.9333333333333329</v>
      </c>
      <c r="H470">
        <f>(F470+E470)/C470</f>
        <v>2.1333333333333333</v>
      </c>
    </row>
    <row r="471" spans="1:9" customFormat="1" hidden="1" x14ac:dyDescent="0.2">
      <c r="A471">
        <v>304016</v>
      </c>
      <c r="B471" t="s">
        <v>753</v>
      </c>
      <c r="C471">
        <v>15</v>
      </c>
      <c r="D471" t="s">
        <v>340</v>
      </c>
      <c r="E471">
        <v>30</v>
      </c>
      <c r="F471">
        <v>2</v>
      </c>
      <c r="G471">
        <v>2</v>
      </c>
      <c r="H471">
        <f>(F471+E471)/C471</f>
        <v>2.1333333333333333</v>
      </c>
    </row>
    <row r="472" spans="1:9" customFormat="1" hidden="1" x14ac:dyDescent="0.2">
      <c r="A472">
        <v>109178</v>
      </c>
      <c r="B472" t="s">
        <v>469</v>
      </c>
      <c r="C472">
        <v>165</v>
      </c>
      <c r="D472" t="s">
        <v>340</v>
      </c>
      <c r="E472">
        <v>350</v>
      </c>
      <c r="F472">
        <v>0</v>
      </c>
      <c r="G472">
        <v>2.1212121212121211</v>
      </c>
      <c r="H472">
        <f>(F472+E472)/C472</f>
        <v>2.1212121212121211</v>
      </c>
    </row>
    <row r="473" spans="1:9" customFormat="1" hidden="1" x14ac:dyDescent="0.2">
      <c r="A473">
        <v>109892</v>
      </c>
      <c r="B473" t="s">
        <v>501</v>
      </c>
      <c r="C473">
        <v>51</v>
      </c>
      <c r="D473" t="s">
        <v>340</v>
      </c>
      <c r="E473">
        <v>108</v>
      </c>
      <c r="F473">
        <v>0</v>
      </c>
      <c r="G473">
        <v>2.117647058823529</v>
      </c>
      <c r="H473">
        <f>(F473+E473)/C473</f>
        <v>2.1176470588235294</v>
      </c>
    </row>
    <row r="474" spans="1:9" customFormat="1" hidden="1" x14ac:dyDescent="0.2">
      <c r="A474">
        <v>110404</v>
      </c>
      <c r="B474" t="s">
        <v>972</v>
      </c>
      <c r="C474">
        <v>248</v>
      </c>
      <c r="D474" t="s">
        <v>923</v>
      </c>
      <c r="E474">
        <v>520</v>
      </c>
      <c r="F474">
        <v>5</v>
      </c>
      <c r="G474">
        <v>2.096774193548387</v>
      </c>
      <c r="H474">
        <f>(F474+E474)/C474</f>
        <v>2.1169354838709675</v>
      </c>
    </row>
    <row r="475" spans="1:9" customFormat="1" hidden="1" x14ac:dyDescent="0.2">
      <c r="A475">
        <v>107831</v>
      </c>
      <c r="B475" t="s">
        <v>416</v>
      </c>
      <c r="C475">
        <v>402</v>
      </c>
      <c r="D475" t="s">
        <v>340</v>
      </c>
      <c r="E475">
        <v>817</v>
      </c>
      <c r="F475">
        <v>31</v>
      </c>
      <c r="G475">
        <v>2.032338308457712</v>
      </c>
      <c r="H475">
        <f>(F475+E475)/C475</f>
        <v>2.1094527363184081</v>
      </c>
    </row>
    <row r="476" spans="1:9" customFormat="1" hidden="1" x14ac:dyDescent="0.2">
      <c r="A476">
        <v>154340</v>
      </c>
      <c r="B476" t="s">
        <v>674</v>
      </c>
      <c r="C476">
        <v>180</v>
      </c>
      <c r="D476" t="s">
        <v>340</v>
      </c>
      <c r="E476">
        <v>333</v>
      </c>
      <c r="F476">
        <v>46</v>
      </c>
      <c r="G476">
        <v>1.85</v>
      </c>
      <c r="H476">
        <f>(F476+E476)/C476</f>
        <v>2.1055555555555556</v>
      </c>
    </row>
    <row r="477" spans="1:9" customFormat="1" hidden="1" x14ac:dyDescent="0.2">
      <c r="A477">
        <v>493599</v>
      </c>
      <c r="B477" t="s">
        <v>868</v>
      </c>
      <c r="C477">
        <v>20</v>
      </c>
      <c r="D477" t="s">
        <v>340</v>
      </c>
      <c r="E477">
        <v>37</v>
      </c>
      <c r="F477">
        <v>5</v>
      </c>
      <c r="G477">
        <v>1.85</v>
      </c>
      <c r="H477">
        <f>(F477+E477)/C477</f>
        <v>2.1</v>
      </c>
    </row>
    <row r="478" spans="1:9" customFormat="1" ht="16" x14ac:dyDescent="0.2">
      <c r="A478" s="11">
        <v>108541</v>
      </c>
      <c r="B478" s="11" t="s">
        <v>451</v>
      </c>
      <c r="C478" s="8">
        <v>2325</v>
      </c>
      <c r="D478" s="8" t="s">
        <v>340</v>
      </c>
      <c r="E478" s="8">
        <v>2917</v>
      </c>
      <c r="F478" s="10">
        <v>1947</v>
      </c>
      <c r="G478" s="8">
        <v>1.254623655913979</v>
      </c>
      <c r="H478">
        <f>(F478+E478)/C478</f>
        <v>2.0920430107526884</v>
      </c>
      <c r="I478" s="8"/>
    </row>
    <row r="479" spans="1:9" customFormat="1" hidden="1" x14ac:dyDescent="0.2">
      <c r="A479">
        <v>109765</v>
      </c>
      <c r="B479" t="s">
        <v>497</v>
      </c>
      <c r="C479">
        <v>67</v>
      </c>
      <c r="D479" t="s">
        <v>340</v>
      </c>
      <c r="E479">
        <v>77</v>
      </c>
      <c r="F479">
        <v>62</v>
      </c>
      <c r="G479">
        <v>1.149253731343284</v>
      </c>
      <c r="H479">
        <f>(F479+E479)/C479</f>
        <v>2.0746268656716418</v>
      </c>
    </row>
    <row r="480" spans="1:9" customFormat="1" hidden="1" x14ac:dyDescent="0.2">
      <c r="A480">
        <v>160259</v>
      </c>
      <c r="B480" t="s">
        <v>205</v>
      </c>
      <c r="C480">
        <v>84</v>
      </c>
      <c r="D480" t="s">
        <v>48</v>
      </c>
      <c r="E480">
        <v>153</v>
      </c>
      <c r="F480">
        <v>21</v>
      </c>
      <c r="G480">
        <v>1.821428571428571</v>
      </c>
      <c r="H480">
        <f>(F480+E480)/C480</f>
        <v>2.0714285714285716</v>
      </c>
    </row>
    <row r="481" spans="1:9" customFormat="1" hidden="1" x14ac:dyDescent="0.2">
      <c r="A481">
        <v>107787</v>
      </c>
      <c r="B481" t="s">
        <v>414</v>
      </c>
      <c r="C481">
        <v>119</v>
      </c>
      <c r="D481" t="s">
        <v>340</v>
      </c>
      <c r="E481">
        <v>244</v>
      </c>
      <c r="F481">
        <v>0</v>
      </c>
      <c r="G481">
        <v>2.0504201680672272</v>
      </c>
      <c r="H481">
        <f>(F481+E481)/C481</f>
        <v>2.0504201680672267</v>
      </c>
    </row>
    <row r="482" spans="1:9" customFormat="1" x14ac:dyDescent="0.2">
      <c r="A482" s="13">
        <v>110010</v>
      </c>
      <c r="B482" s="13" t="s">
        <v>113</v>
      </c>
      <c r="C482">
        <v>2000</v>
      </c>
      <c r="D482" t="s">
        <v>48</v>
      </c>
      <c r="E482">
        <v>1921</v>
      </c>
      <c r="F482">
        <v>2155</v>
      </c>
      <c r="G482">
        <v>0.96050000000000002</v>
      </c>
      <c r="H482">
        <f>(F482+E482)/C482</f>
        <v>2.0379999999999998</v>
      </c>
    </row>
    <row r="483" spans="1:9" customFormat="1" hidden="1" x14ac:dyDescent="0.2">
      <c r="A483">
        <v>551353</v>
      </c>
      <c r="B483" t="s">
        <v>893</v>
      </c>
      <c r="C483">
        <v>85</v>
      </c>
      <c r="D483" t="s">
        <v>340</v>
      </c>
      <c r="E483">
        <v>146</v>
      </c>
      <c r="F483">
        <v>26</v>
      </c>
      <c r="G483">
        <v>1.7176470588235291</v>
      </c>
      <c r="H483">
        <f>(F483+E483)/C483</f>
        <v>2.0235294117647058</v>
      </c>
    </row>
    <row r="484" spans="1:9" hidden="1" x14ac:dyDescent="0.2">
      <c r="A484">
        <v>113073</v>
      </c>
      <c r="B484" t="s">
        <v>135</v>
      </c>
      <c r="C484">
        <v>48</v>
      </c>
      <c r="D484" t="s">
        <v>48</v>
      </c>
      <c r="E484">
        <v>13</v>
      </c>
      <c r="F484">
        <v>83</v>
      </c>
      <c r="G484">
        <v>0.27083333333333331</v>
      </c>
      <c r="H484">
        <f>(F484+E484)/C484</f>
        <v>2</v>
      </c>
      <c r="I484"/>
    </row>
    <row r="485" spans="1:9" customFormat="1" hidden="1" x14ac:dyDescent="0.2">
      <c r="A485">
        <v>138774</v>
      </c>
      <c r="B485" t="s">
        <v>655</v>
      </c>
      <c r="C485">
        <v>3</v>
      </c>
      <c r="D485" t="s">
        <v>340</v>
      </c>
      <c r="E485">
        <v>5</v>
      </c>
      <c r="F485">
        <v>1</v>
      </c>
      <c r="G485">
        <v>1.666666666666667</v>
      </c>
      <c r="H485">
        <f>(F485+E485)/C485</f>
        <v>2</v>
      </c>
    </row>
    <row r="486" spans="1:9" customFormat="1" hidden="1" x14ac:dyDescent="0.2">
      <c r="A486">
        <v>158519</v>
      </c>
      <c r="B486" t="s">
        <v>690</v>
      </c>
      <c r="C486">
        <v>14</v>
      </c>
      <c r="D486" t="s">
        <v>340</v>
      </c>
      <c r="E486">
        <v>19</v>
      </c>
      <c r="F486">
        <v>9</v>
      </c>
      <c r="G486">
        <v>1.357142857142857</v>
      </c>
      <c r="H486">
        <f>(F486+E486)/C486</f>
        <v>2</v>
      </c>
    </row>
    <row r="487" spans="1:9" customFormat="1" hidden="1" x14ac:dyDescent="0.2">
      <c r="A487">
        <v>477467</v>
      </c>
      <c r="B487" t="s">
        <v>851</v>
      </c>
      <c r="C487">
        <v>6</v>
      </c>
      <c r="D487" t="s">
        <v>340</v>
      </c>
      <c r="E487">
        <v>12</v>
      </c>
      <c r="F487">
        <v>0</v>
      </c>
      <c r="G487">
        <v>2</v>
      </c>
      <c r="H487">
        <f>(F487+E487)/C487</f>
        <v>2</v>
      </c>
    </row>
    <row r="488" spans="1:9" customFormat="1" hidden="1" x14ac:dyDescent="0.2">
      <c r="A488">
        <v>500661</v>
      </c>
      <c r="B488" t="s">
        <v>873</v>
      </c>
      <c r="C488">
        <v>2</v>
      </c>
      <c r="D488" t="s">
        <v>340</v>
      </c>
      <c r="E488">
        <v>4</v>
      </c>
      <c r="F488">
        <v>0</v>
      </c>
      <c r="G488">
        <v>2</v>
      </c>
      <c r="H488">
        <f>(F488+E488)/C488</f>
        <v>2</v>
      </c>
    </row>
    <row r="489" spans="1:9" customFormat="1" hidden="1" x14ac:dyDescent="0.2">
      <c r="A489">
        <v>556953</v>
      </c>
      <c r="B489" t="s">
        <v>896</v>
      </c>
      <c r="C489">
        <v>6</v>
      </c>
      <c r="D489" t="s">
        <v>340</v>
      </c>
      <c r="E489">
        <v>12</v>
      </c>
      <c r="F489">
        <v>0</v>
      </c>
      <c r="G489">
        <v>2</v>
      </c>
      <c r="H489">
        <f>(F489+E489)/C489</f>
        <v>2</v>
      </c>
    </row>
    <row r="490" spans="1:9" customFormat="1" hidden="1" x14ac:dyDescent="0.2">
      <c r="A490">
        <v>309995</v>
      </c>
      <c r="B490" t="s">
        <v>764</v>
      </c>
      <c r="C490">
        <v>458</v>
      </c>
      <c r="D490" t="s">
        <v>340</v>
      </c>
      <c r="E490">
        <v>864</v>
      </c>
      <c r="F490">
        <v>47</v>
      </c>
      <c r="G490">
        <v>1.88646288209607</v>
      </c>
      <c r="H490">
        <f>(F490+E490)/C490</f>
        <v>1.9890829694323144</v>
      </c>
    </row>
    <row r="491" spans="1:9" customFormat="1" hidden="1" x14ac:dyDescent="0.2">
      <c r="A491">
        <v>105678</v>
      </c>
      <c r="B491" t="s">
        <v>346</v>
      </c>
      <c r="C491">
        <v>90</v>
      </c>
      <c r="D491" t="s">
        <v>340</v>
      </c>
      <c r="E491">
        <v>64</v>
      </c>
      <c r="F491">
        <v>115</v>
      </c>
      <c r="G491">
        <v>0.71111111111111114</v>
      </c>
      <c r="H491">
        <f>(F491+E491)/C491</f>
        <v>1.9888888888888889</v>
      </c>
    </row>
    <row r="492" spans="1:9" customFormat="1" hidden="1" x14ac:dyDescent="0.2">
      <c r="A492">
        <v>132998</v>
      </c>
      <c r="B492" t="s">
        <v>646</v>
      </c>
      <c r="C492">
        <v>82</v>
      </c>
      <c r="D492" t="s">
        <v>340</v>
      </c>
      <c r="E492">
        <v>66</v>
      </c>
      <c r="F492">
        <v>97</v>
      </c>
      <c r="G492">
        <v>0.80487804878048785</v>
      </c>
      <c r="H492">
        <f>(F492+E492)/C492</f>
        <v>1.9878048780487805</v>
      </c>
    </row>
    <row r="493" spans="1:9" customFormat="1" hidden="1" x14ac:dyDescent="0.2">
      <c r="A493">
        <v>112610</v>
      </c>
      <c r="B493" t="s">
        <v>558</v>
      </c>
      <c r="C493">
        <v>144</v>
      </c>
      <c r="D493" t="s">
        <v>340</v>
      </c>
      <c r="E493">
        <v>279</v>
      </c>
      <c r="F493">
        <v>6</v>
      </c>
      <c r="G493">
        <v>1.9375</v>
      </c>
      <c r="H493">
        <f>(F493+E493)/C493</f>
        <v>1.9791666666666667</v>
      </c>
    </row>
    <row r="494" spans="1:9" customFormat="1" ht="16" hidden="1" x14ac:dyDescent="0.2">
      <c r="A494" s="8">
        <v>108050</v>
      </c>
      <c r="B494" s="10" t="s">
        <v>427</v>
      </c>
      <c r="C494" s="8">
        <v>1400</v>
      </c>
      <c r="D494" s="8" t="s">
        <v>340</v>
      </c>
      <c r="E494" s="8">
        <v>2621</v>
      </c>
      <c r="F494" s="10">
        <v>147</v>
      </c>
      <c r="G494" s="10">
        <v>1.8721428571428571</v>
      </c>
      <c r="H494">
        <f>(F494+E494)/C494</f>
        <v>1.9771428571428571</v>
      </c>
      <c r="I494" s="8"/>
    </row>
    <row r="495" spans="1:9" customFormat="1" hidden="1" x14ac:dyDescent="0.2">
      <c r="A495">
        <v>109785</v>
      </c>
      <c r="B495" t="s">
        <v>498</v>
      </c>
      <c r="C495">
        <v>141</v>
      </c>
      <c r="D495" t="s">
        <v>340</v>
      </c>
      <c r="E495">
        <v>219</v>
      </c>
      <c r="F495">
        <v>59</v>
      </c>
      <c r="G495">
        <v>1.553191489361702</v>
      </c>
      <c r="H495">
        <f>(F495+E495)/C495</f>
        <v>1.9716312056737588</v>
      </c>
    </row>
    <row r="496" spans="1:9" customFormat="1" hidden="1" x14ac:dyDescent="0.2">
      <c r="A496">
        <v>465969</v>
      </c>
      <c r="B496" t="s">
        <v>830</v>
      </c>
      <c r="C496">
        <v>65</v>
      </c>
      <c r="D496" t="s">
        <v>340</v>
      </c>
      <c r="E496">
        <v>54</v>
      </c>
      <c r="F496">
        <v>74</v>
      </c>
      <c r="G496">
        <v>0.83076923076923082</v>
      </c>
      <c r="H496">
        <f>(F496+E496)/C496</f>
        <v>1.9692307692307693</v>
      </c>
    </row>
    <row r="497" spans="1:9" customFormat="1" hidden="1" x14ac:dyDescent="0.2">
      <c r="A497">
        <v>117072</v>
      </c>
      <c r="B497" t="s">
        <v>158</v>
      </c>
      <c r="C497">
        <v>237</v>
      </c>
      <c r="D497" t="s">
        <v>48</v>
      </c>
      <c r="E497">
        <v>233</v>
      </c>
      <c r="F497">
        <v>228</v>
      </c>
      <c r="G497">
        <v>0.9831223628691983</v>
      </c>
      <c r="H497">
        <f>(F497+E497)/C497</f>
        <v>1.9451476793248945</v>
      </c>
    </row>
    <row r="498" spans="1:9" customFormat="1" hidden="1" x14ac:dyDescent="0.2">
      <c r="A498">
        <v>180045</v>
      </c>
      <c r="B498" t="s">
        <v>1039</v>
      </c>
      <c r="C498">
        <v>18</v>
      </c>
      <c r="D498" t="s">
        <v>923</v>
      </c>
      <c r="E498">
        <v>21</v>
      </c>
      <c r="F498">
        <v>14</v>
      </c>
      <c r="G498">
        <v>1.166666666666667</v>
      </c>
      <c r="H498">
        <f>(F498+E498)/C498</f>
        <v>1.9444444444444444</v>
      </c>
    </row>
    <row r="499" spans="1:9" customFormat="1" hidden="1" x14ac:dyDescent="0.2">
      <c r="A499">
        <v>488116</v>
      </c>
      <c r="B499" t="s">
        <v>1096</v>
      </c>
      <c r="C499">
        <v>8</v>
      </c>
      <c r="D499" t="s">
        <v>923</v>
      </c>
      <c r="E499">
        <v>13</v>
      </c>
      <c r="F499">
        <v>2</v>
      </c>
      <c r="G499">
        <v>1.625</v>
      </c>
      <c r="H499">
        <f>(F499+E499)/C499</f>
        <v>1.875</v>
      </c>
    </row>
    <row r="500" spans="1:9" customFormat="1" hidden="1" x14ac:dyDescent="0.2">
      <c r="A500" t="s">
        <v>337</v>
      </c>
      <c r="B500" t="s">
        <v>338</v>
      </c>
      <c r="C500">
        <v>284</v>
      </c>
      <c r="D500" t="s">
        <v>48</v>
      </c>
      <c r="E500">
        <v>389</v>
      </c>
      <c r="F500">
        <v>139</v>
      </c>
      <c r="G500">
        <v>1.369718309859155</v>
      </c>
      <c r="H500">
        <f>(F500+E500)/C500</f>
        <v>1.8591549295774648</v>
      </c>
    </row>
    <row r="501" spans="1:9" customFormat="1" hidden="1" x14ac:dyDescent="0.2">
      <c r="A501">
        <v>114947</v>
      </c>
      <c r="B501" t="s">
        <v>593</v>
      </c>
      <c r="C501">
        <v>7</v>
      </c>
      <c r="D501" t="s">
        <v>340</v>
      </c>
      <c r="E501">
        <v>12</v>
      </c>
      <c r="F501">
        <v>1</v>
      </c>
      <c r="G501">
        <v>1.714285714285714</v>
      </c>
      <c r="H501">
        <f>(F501+E501)/C501</f>
        <v>1.8571428571428572</v>
      </c>
    </row>
    <row r="502" spans="1:9" customFormat="1" hidden="1" x14ac:dyDescent="0.2">
      <c r="A502">
        <v>130140</v>
      </c>
      <c r="B502" t="s">
        <v>641</v>
      </c>
      <c r="C502">
        <v>7</v>
      </c>
      <c r="D502" t="s">
        <v>340</v>
      </c>
      <c r="E502">
        <v>10</v>
      </c>
      <c r="F502">
        <v>3</v>
      </c>
      <c r="G502">
        <v>1.428571428571429</v>
      </c>
      <c r="H502">
        <f>(F502+E502)/C502</f>
        <v>1.8571428571428572</v>
      </c>
    </row>
    <row r="503" spans="1:9" customFormat="1" hidden="1" x14ac:dyDescent="0.2">
      <c r="A503">
        <v>115901</v>
      </c>
      <c r="B503" t="s">
        <v>601</v>
      </c>
      <c r="C503">
        <v>48</v>
      </c>
      <c r="D503" t="s">
        <v>340</v>
      </c>
      <c r="E503">
        <v>84</v>
      </c>
      <c r="F503">
        <v>5</v>
      </c>
      <c r="G503">
        <v>1.75</v>
      </c>
      <c r="H503">
        <f>(F503+E503)/C503</f>
        <v>1.8541666666666667</v>
      </c>
    </row>
    <row r="504" spans="1:9" customFormat="1" hidden="1" x14ac:dyDescent="0.2">
      <c r="A504">
        <v>106590</v>
      </c>
      <c r="B504" t="s">
        <v>374</v>
      </c>
      <c r="C504">
        <v>150</v>
      </c>
      <c r="D504" t="s">
        <v>340</v>
      </c>
      <c r="E504">
        <v>223</v>
      </c>
      <c r="F504">
        <v>55</v>
      </c>
      <c r="G504">
        <v>1.486666666666667</v>
      </c>
      <c r="H504">
        <f>(F504+E504)/C504</f>
        <v>1.8533333333333333</v>
      </c>
    </row>
    <row r="505" spans="1:9" customFormat="1" hidden="1" x14ac:dyDescent="0.2">
      <c r="A505">
        <v>156561</v>
      </c>
      <c r="B505" t="s">
        <v>680</v>
      </c>
      <c r="C505">
        <v>49</v>
      </c>
      <c r="D505" t="s">
        <v>340</v>
      </c>
      <c r="E505">
        <v>86</v>
      </c>
      <c r="F505">
        <v>4</v>
      </c>
      <c r="G505">
        <v>1.755102040816326</v>
      </c>
      <c r="H505">
        <f>(F505+E505)/C505</f>
        <v>1.8367346938775511</v>
      </c>
    </row>
    <row r="506" spans="1:9" customFormat="1" hidden="1" x14ac:dyDescent="0.2">
      <c r="A506">
        <v>108627</v>
      </c>
      <c r="B506" t="s">
        <v>952</v>
      </c>
      <c r="C506">
        <v>36</v>
      </c>
      <c r="D506" t="s">
        <v>923</v>
      </c>
      <c r="E506">
        <v>26</v>
      </c>
      <c r="F506">
        <v>40</v>
      </c>
      <c r="G506">
        <v>0.72222222222222221</v>
      </c>
      <c r="H506">
        <f>(F506+E506)/C506</f>
        <v>1.8333333333333333</v>
      </c>
    </row>
    <row r="507" spans="1:9" customFormat="1" hidden="1" x14ac:dyDescent="0.2">
      <c r="A507">
        <v>107020</v>
      </c>
      <c r="B507" t="s">
        <v>394</v>
      </c>
      <c r="C507">
        <v>123</v>
      </c>
      <c r="D507" t="s">
        <v>340</v>
      </c>
      <c r="E507">
        <v>105</v>
      </c>
      <c r="F507">
        <v>120</v>
      </c>
      <c r="G507">
        <v>0.85365853658536583</v>
      </c>
      <c r="H507">
        <f>(F507+E507)/C507</f>
        <v>1.8292682926829269</v>
      </c>
    </row>
    <row r="508" spans="1:9" hidden="1" x14ac:dyDescent="0.2">
      <c r="A508">
        <v>173528</v>
      </c>
      <c r="B508" t="s">
        <v>706</v>
      </c>
      <c r="C508">
        <v>75</v>
      </c>
      <c r="D508" t="s">
        <v>340</v>
      </c>
      <c r="E508">
        <v>119</v>
      </c>
      <c r="F508">
        <v>17</v>
      </c>
      <c r="G508">
        <v>1.5866666666666669</v>
      </c>
      <c r="H508">
        <f>(F508+E508)/C508</f>
        <v>1.8133333333333332</v>
      </c>
      <c r="I508"/>
    </row>
    <row r="509" spans="1:9" customFormat="1" hidden="1" x14ac:dyDescent="0.2">
      <c r="A509">
        <v>106841</v>
      </c>
      <c r="B509" t="s">
        <v>386</v>
      </c>
      <c r="C509">
        <v>20</v>
      </c>
      <c r="D509" t="s">
        <v>340</v>
      </c>
      <c r="E509">
        <v>35</v>
      </c>
      <c r="F509">
        <v>1</v>
      </c>
      <c r="G509">
        <v>1.75</v>
      </c>
      <c r="H509">
        <f>(F509+E509)/C509</f>
        <v>1.8</v>
      </c>
    </row>
    <row r="510" spans="1:9" customFormat="1" hidden="1" x14ac:dyDescent="0.2">
      <c r="A510">
        <v>521948</v>
      </c>
      <c r="B510" t="s">
        <v>884</v>
      </c>
      <c r="C510">
        <v>25</v>
      </c>
      <c r="D510" t="s">
        <v>340</v>
      </c>
      <c r="E510">
        <v>43</v>
      </c>
      <c r="F510">
        <v>2</v>
      </c>
      <c r="G510">
        <v>1.72</v>
      </c>
      <c r="H510">
        <f>(F510+E510)/C510</f>
        <v>1.8</v>
      </c>
    </row>
    <row r="511" spans="1:9" customFormat="1" hidden="1" x14ac:dyDescent="0.2">
      <c r="A511">
        <v>109675</v>
      </c>
      <c r="B511" t="s">
        <v>487</v>
      </c>
      <c r="C511">
        <v>176</v>
      </c>
      <c r="D511" t="s">
        <v>340</v>
      </c>
      <c r="E511">
        <v>316</v>
      </c>
      <c r="F511">
        <v>0</v>
      </c>
      <c r="G511">
        <v>1.795454545454545</v>
      </c>
      <c r="H511">
        <f>(F511+E511)/C511</f>
        <v>1.7954545454545454</v>
      </c>
    </row>
    <row r="512" spans="1:9" customFormat="1" hidden="1" x14ac:dyDescent="0.2">
      <c r="A512">
        <v>117857</v>
      </c>
      <c r="B512" t="s">
        <v>611</v>
      </c>
      <c r="C512">
        <v>38</v>
      </c>
      <c r="D512" t="s">
        <v>340</v>
      </c>
      <c r="E512">
        <v>56</v>
      </c>
      <c r="F512">
        <v>12</v>
      </c>
      <c r="G512">
        <v>1.4736842105263159</v>
      </c>
      <c r="H512">
        <f>(F512+E512)/C512</f>
        <v>1.7894736842105263</v>
      </c>
    </row>
    <row r="513" spans="1:9" customFormat="1" hidden="1" x14ac:dyDescent="0.2">
      <c r="A513">
        <v>461977</v>
      </c>
      <c r="B513" t="s">
        <v>824</v>
      </c>
      <c r="C513">
        <v>18</v>
      </c>
      <c r="D513" t="s">
        <v>340</v>
      </c>
      <c r="E513">
        <v>32</v>
      </c>
      <c r="F513">
        <v>0</v>
      </c>
      <c r="G513">
        <v>1.7777777777777779</v>
      </c>
      <c r="H513">
        <f>(F513+E513)/C513</f>
        <v>1.7777777777777777</v>
      </c>
    </row>
    <row r="514" spans="1:9" customFormat="1" hidden="1" x14ac:dyDescent="0.2">
      <c r="A514">
        <v>109079</v>
      </c>
      <c r="B514" t="s">
        <v>464</v>
      </c>
      <c r="C514">
        <v>280</v>
      </c>
      <c r="D514" t="s">
        <v>340</v>
      </c>
      <c r="E514">
        <v>495</v>
      </c>
      <c r="F514">
        <v>2</v>
      </c>
      <c r="G514">
        <v>1.767857142857143</v>
      </c>
      <c r="H514">
        <f>(F514+E514)/C514</f>
        <v>1.7749999999999999</v>
      </c>
    </row>
    <row r="515" spans="1:9" customFormat="1" hidden="1" x14ac:dyDescent="0.2">
      <c r="A515">
        <v>125938</v>
      </c>
      <c r="B515" t="s">
        <v>627</v>
      </c>
      <c r="C515">
        <v>40</v>
      </c>
      <c r="D515" t="s">
        <v>340</v>
      </c>
      <c r="E515">
        <v>71</v>
      </c>
      <c r="F515">
        <v>0</v>
      </c>
      <c r="G515">
        <v>1.7749999999999999</v>
      </c>
      <c r="H515">
        <f>(F515+E515)/C515</f>
        <v>1.7749999999999999</v>
      </c>
    </row>
    <row r="516" spans="1:9" customFormat="1" hidden="1" x14ac:dyDescent="0.2">
      <c r="A516">
        <v>166224</v>
      </c>
      <c r="B516" t="s">
        <v>696</v>
      </c>
      <c r="C516">
        <v>22</v>
      </c>
      <c r="D516" t="s">
        <v>340</v>
      </c>
      <c r="E516">
        <v>16</v>
      </c>
      <c r="F516">
        <v>23</v>
      </c>
      <c r="G516">
        <v>0.72727272727272729</v>
      </c>
      <c r="H516">
        <f>(F516+E516)/C516</f>
        <v>1.7727272727272727</v>
      </c>
    </row>
    <row r="517" spans="1:9" customFormat="1" hidden="1" x14ac:dyDescent="0.2">
      <c r="A517">
        <v>106658</v>
      </c>
      <c r="B517" t="s">
        <v>376</v>
      </c>
      <c r="C517">
        <v>449</v>
      </c>
      <c r="D517" t="s">
        <v>340</v>
      </c>
      <c r="E517">
        <v>548</v>
      </c>
      <c r="F517">
        <v>247</v>
      </c>
      <c r="G517">
        <v>1.2204899777282849</v>
      </c>
      <c r="H517">
        <f>(F517+E517)/C517</f>
        <v>1.7706013363028954</v>
      </c>
    </row>
    <row r="518" spans="1:9" customFormat="1" hidden="1" x14ac:dyDescent="0.2">
      <c r="A518">
        <v>459199</v>
      </c>
      <c r="B518" t="s">
        <v>267</v>
      </c>
      <c r="C518">
        <v>225</v>
      </c>
      <c r="D518" t="s">
        <v>48</v>
      </c>
      <c r="E518">
        <v>134</v>
      </c>
      <c r="F518">
        <v>255</v>
      </c>
      <c r="G518">
        <v>0.5955555555555555</v>
      </c>
      <c r="H518">
        <f>(F518+E518)/C518</f>
        <v>1.7288888888888889</v>
      </c>
    </row>
    <row r="519" spans="1:9" customFormat="1" hidden="1" x14ac:dyDescent="0.2">
      <c r="A519">
        <v>112546</v>
      </c>
      <c r="B519" t="s">
        <v>555</v>
      </c>
      <c r="C519">
        <v>82</v>
      </c>
      <c r="D519" t="s">
        <v>340</v>
      </c>
      <c r="E519">
        <v>30</v>
      </c>
      <c r="F519">
        <v>111</v>
      </c>
      <c r="G519">
        <v>0.36585365853658541</v>
      </c>
      <c r="H519">
        <f>(F519+E519)/C519</f>
        <v>1.7195121951219512</v>
      </c>
    </row>
    <row r="520" spans="1:9" customFormat="1" hidden="1" x14ac:dyDescent="0.2">
      <c r="A520">
        <v>143871</v>
      </c>
      <c r="B520" t="s">
        <v>1021</v>
      </c>
      <c r="C520">
        <v>7</v>
      </c>
      <c r="D520" t="s">
        <v>923</v>
      </c>
      <c r="E520">
        <v>2</v>
      </c>
      <c r="F520">
        <v>10</v>
      </c>
      <c r="G520">
        <v>0.2857142857142857</v>
      </c>
      <c r="H520">
        <f>(F520+E520)/C520</f>
        <v>1.7142857142857142</v>
      </c>
    </row>
    <row r="521" spans="1:9" customFormat="1" ht="16" hidden="1" x14ac:dyDescent="0.2">
      <c r="A521" s="8">
        <v>323664</v>
      </c>
      <c r="B521" s="8" t="s">
        <v>790</v>
      </c>
      <c r="C521" s="8">
        <v>1240</v>
      </c>
      <c r="D521" s="8" t="s">
        <v>340</v>
      </c>
      <c r="E521" s="8">
        <v>1497</v>
      </c>
      <c r="F521" s="10">
        <v>627</v>
      </c>
      <c r="G521" s="8">
        <v>1.207258064516129</v>
      </c>
      <c r="H521">
        <f>(F521+E521)/C521</f>
        <v>1.7129032258064516</v>
      </c>
      <c r="I521" s="8"/>
    </row>
    <row r="522" spans="1:9" customFormat="1" hidden="1" x14ac:dyDescent="0.2">
      <c r="A522">
        <v>105526</v>
      </c>
      <c r="B522" t="s">
        <v>50</v>
      </c>
      <c r="C522">
        <v>2836</v>
      </c>
      <c r="D522" t="s">
        <v>48</v>
      </c>
      <c r="E522">
        <v>1373</v>
      </c>
      <c r="F522">
        <v>3459</v>
      </c>
      <c r="G522">
        <v>0.48413258110014112</v>
      </c>
      <c r="H522">
        <f>(F522+E522)/C522</f>
        <v>1.7038081805359662</v>
      </c>
    </row>
    <row r="523" spans="1:9" customFormat="1" hidden="1" x14ac:dyDescent="0.2">
      <c r="A523">
        <v>307838</v>
      </c>
      <c r="B523" t="s">
        <v>759</v>
      </c>
      <c r="C523">
        <v>10</v>
      </c>
      <c r="D523" t="s">
        <v>340</v>
      </c>
      <c r="E523">
        <v>16</v>
      </c>
      <c r="F523">
        <v>1</v>
      </c>
      <c r="G523">
        <v>1.6</v>
      </c>
      <c r="H523">
        <f>(F523+E523)/C523</f>
        <v>1.7</v>
      </c>
    </row>
    <row r="524" spans="1:9" customFormat="1" hidden="1" x14ac:dyDescent="0.2">
      <c r="A524">
        <v>108877</v>
      </c>
      <c r="B524" t="s">
        <v>461</v>
      </c>
      <c r="C524">
        <v>63</v>
      </c>
      <c r="D524" t="s">
        <v>340</v>
      </c>
      <c r="E524">
        <v>93</v>
      </c>
      <c r="F524">
        <v>14</v>
      </c>
      <c r="G524">
        <v>1.4761904761904761</v>
      </c>
      <c r="H524">
        <f>(F524+E524)/C524</f>
        <v>1.6984126984126984</v>
      </c>
    </row>
    <row r="525" spans="1:9" hidden="1" x14ac:dyDescent="0.2">
      <c r="A525">
        <v>549754</v>
      </c>
      <c r="B525" t="s">
        <v>891</v>
      </c>
      <c r="C525">
        <v>16</v>
      </c>
      <c r="D525" t="s">
        <v>340</v>
      </c>
      <c r="E525">
        <v>22</v>
      </c>
      <c r="F525">
        <v>5</v>
      </c>
      <c r="G525">
        <v>1.375</v>
      </c>
      <c r="H525">
        <f>(F525+E525)/C525</f>
        <v>1.6875</v>
      </c>
      <c r="I525"/>
    </row>
    <row r="526" spans="1:9" customFormat="1" hidden="1" x14ac:dyDescent="0.2">
      <c r="A526">
        <v>107980</v>
      </c>
      <c r="B526" t="s">
        <v>78</v>
      </c>
      <c r="C526">
        <v>40</v>
      </c>
      <c r="D526" t="s">
        <v>48</v>
      </c>
      <c r="E526">
        <v>67</v>
      </c>
      <c r="F526">
        <v>0</v>
      </c>
      <c r="G526">
        <v>1.675</v>
      </c>
      <c r="H526">
        <f>(F526+E526)/C526</f>
        <v>1.675</v>
      </c>
    </row>
    <row r="527" spans="1:9" customFormat="1" hidden="1" x14ac:dyDescent="0.2">
      <c r="A527">
        <v>108936</v>
      </c>
      <c r="B527" t="s">
        <v>96</v>
      </c>
      <c r="C527">
        <v>3</v>
      </c>
      <c r="D527" t="s">
        <v>48</v>
      </c>
      <c r="E527">
        <v>5</v>
      </c>
      <c r="F527">
        <v>0</v>
      </c>
      <c r="G527">
        <v>1.666666666666667</v>
      </c>
      <c r="H527">
        <f>(F527+E527)/C527</f>
        <v>1.6666666666666667</v>
      </c>
    </row>
    <row r="528" spans="1:9" customFormat="1" hidden="1" x14ac:dyDescent="0.2">
      <c r="A528">
        <v>310328</v>
      </c>
      <c r="B528" t="s">
        <v>765</v>
      </c>
      <c r="C528">
        <v>6</v>
      </c>
      <c r="D528" t="s">
        <v>340</v>
      </c>
      <c r="E528">
        <v>1</v>
      </c>
      <c r="F528">
        <v>9</v>
      </c>
      <c r="G528">
        <v>0.16666666666666671</v>
      </c>
      <c r="H528">
        <f>(F528+E528)/C528</f>
        <v>1.6666666666666667</v>
      </c>
    </row>
    <row r="529" spans="1:9" customFormat="1" hidden="1" x14ac:dyDescent="0.2">
      <c r="A529">
        <v>105904</v>
      </c>
      <c r="B529" t="s">
        <v>354</v>
      </c>
      <c r="C529">
        <v>45</v>
      </c>
      <c r="D529" t="s">
        <v>340</v>
      </c>
      <c r="E529">
        <v>35</v>
      </c>
      <c r="F529">
        <v>39</v>
      </c>
      <c r="G529">
        <v>0.77777777777777779</v>
      </c>
      <c r="H529">
        <f>(F529+E529)/C529</f>
        <v>1.6444444444444444</v>
      </c>
    </row>
    <row r="530" spans="1:9" customFormat="1" hidden="1" x14ac:dyDescent="0.2">
      <c r="A530">
        <v>106589</v>
      </c>
      <c r="B530" t="s">
        <v>373</v>
      </c>
      <c r="C530">
        <v>14</v>
      </c>
      <c r="D530" t="s">
        <v>340</v>
      </c>
      <c r="E530">
        <v>10</v>
      </c>
      <c r="F530">
        <v>13</v>
      </c>
      <c r="G530">
        <v>0.7142857142857143</v>
      </c>
      <c r="H530">
        <f>(F530+E530)/C530</f>
        <v>1.6428571428571428</v>
      </c>
    </row>
    <row r="531" spans="1:9" customFormat="1" hidden="1" x14ac:dyDescent="0.2">
      <c r="A531">
        <v>302987</v>
      </c>
      <c r="B531" t="s">
        <v>751</v>
      </c>
      <c r="C531">
        <v>16</v>
      </c>
      <c r="D531" t="s">
        <v>340</v>
      </c>
      <c r="E531">
        <v>8</v>
      </c>
      <c r="F531">
        <v>18</v>
      </c>
      <c r="G531">
        <v>0.5</v>
      </c>
      <c r="H531">
        <f>(F531+E531)/C531</f>
        <v>1.625</v>
      </c>
    </row>
    <row r="532" spans="1:9" customFormat="1" hidden="1" x14ac:dyDescent="0.2">
      <c r="A532">
        <v>118223</v>
      </c>
      <c r="B532" t="s">
        <v>612</v>
      </c>
      <c r="C532">
        <v>183</v>
      </c>
      <c r="D532" t="s">
        <v>340</v>
      </c>
      <c r="E532">
        <v>295</v>
      </c>
      <c r="F532">
        <v>0</v>
      </c>
      <c r="G532">
        <v>1.6120218579234971</v>
      </c>
      <c r="H532">
        <f>(F532+E532)/C532</f>
        <v>1.6120218579234973</v>
      </c>
    </row>
    <row r="533" spans="1:9" customFormat="1" hidden="1" x14ac:dyDescent="0.2">
      <c r="A533">
        <v>108326</v>
      </c>
      <c r="B533" t="s">
        <v>82</v>
      </c>
      <c r="C533">
        <v>35</v>
      </c>
      <c r="D533" t="s">
        <v>48</v>
      </c>
      <c r="E533">
        <v>37</v>
      </c>
      <c r="F533">
        <v>19</v>
      </c>
      <c r="G533">
        <v>1.0571428571428569</v>
      </c>
      <c r="H533">
        <f>(F533+E533)/C533</f>
        <v>1.6</v>
      </c>
    </row>
    <row r="534" spans="1:9" customFormat="1" hidden="1" x14ac:dyDescent="0.2">
      <c r="A534">
        <v>147909</v>
      </c>
      <c r="B534" t="s">
        <v>188</v>
      </c>
      <c r="C534">
        <v>5</v>
      </c>
      <c r="D534" t="s">
        <v>48</v>
      </c>
      <c r="E534">
        <v>8</v>
      </c>
      <c r="F534">
        <v>0</v>
      </c>
      <c r="G534">
        <v>1.6</v>
      </c>
      <c r="H534">
        <f>(F534+E534)/C534</f>
        <v>1.6</v>
      </c>
    </row>
    <row r="535" spans="1:9" hidden="1" x14ac:dyDescent="0.2">
      <c r="A535">
        <v>459447</v>
      </c>
      <c r="B535" t="s">
        <v>269</v>
      </c>
      <c r="C535">
        <v>5</v>
      </c>
      <c r="D535" t="s">
        <v>48</v>
      </c>
      <c r="E535">
        <v>8</v>
      </c>
      <c r="F535">
        <v>0</v>
      </c>
      <c r="G535">
        <v>1.6</v>
      </c>
      <c r="H535">
        <f>(F535+E535)/C535</f>
        <v>1.6</v>
      </c>
      <c r="I535"/>
    </row>
    <row r="536" spans="1:9" customFormat="1" hidden="1" x14ac:dyDescent="0.2">
      <c r="A536">
        <v>112490</v>
      </c>
      <c r="B536" t="s">
        <v>552</v>
      </c>
      <c r="C536">
        <v>5</v>
      </c>
      <c r="D536" t="s">
        <v>340</v>
      </c>
      <c r="E536">
        <v>7</v>
      </c>
      <c r="F536">
        <v>1</v>
      </c>
      <c r="G536">
        <v>1.4</v>
      </c>
      <c r="H536">
        <f>(F536+E536)/C536</f>
        <v>1.6</v>
      </c>
    </row>
    <row r="537" spans="1:9" customFormat="1" hidden="1" x14ac:dyDescent="0.2">
      <c r="A537">
        <v>202651</v>
      </c>
      <c r="B537" t="s">
        <v>225</v>
      </c>
      <c r="C537">
        <v>71</v>
      </c>
      <c r="D537" t="s">
        <v>48</v>
      </c>
      <c r="E537">
        <v>63</v>
      </c>
      <c r="F537">
        <v>49</v>
      </c>
      <c r="G537">
        <v>0.88732394366197187</v>
      </c>
      <c r="H537">
        <f>(F537+E537)/C537</f>
        <v>1.5774647887323943</v>
      </c>
    </row>
    <row r="538" spans="1:9" customFormat="1" hidden="1" x14ac:dyDescent="0.2">
      <c r="A538">
        <v>109740</v>
      </c>
      <c r="B538" t="s">
        <v>965</v>
      </c>
      <c r="C538">
        <v>40</v>
      </c>
      <c r="D538" t="s">
        <v>923</v>
      </c>
      <c r="E538">
        <v>33</v>
      </c>
      <c r="F538">
        <v>30</v>
      </c>
      <c r="G538">
        <v>0.82499999999999996</v>
      </c>
      <c r="H538">
        <f>(F538+E538)/C538</f>
        <v>1.575</v>
      </c>
    </row>
    <row r="539" spans="1:9" customFormat="1" hidden="1" x14ac:dyDescent="0.2">
      <c r="A539">
        <v>482889</v>
      </c>
      <c r="B539" t="s">
        <v>859</v>
      </c>
      <c r="C539">
        <v>7</v>
      </c>
      <c r="D539" t="s">
        <v>340</v>
      </c>
      <c r="E539">
        <v>11</v>
      </c>
      <c r="F539">
        <v>0</v>
      </c>
      <c r="G539">
        <v>1.571428571428571</v>
      </c>
      <c r="H539">
        <f>(F539+E539)/C539</f>
        <v>1.5714285714285714</v>
      </c>
    </row>
    <row r="540" spans="1:9" customFormat="1" hidden="1" x14ac:dyDescent="0.2">
      <c r="A540">
        <v>108703</v>
      </c>
      <c r="B540" t="s">
        <v>88</v>
      </c>
      <c r="C540">
        <v>84</v>
      </c>
      <c r="D540" t="s">
        <v>48</v>
      </c>
      <c r="E540">
        <v>129</v>
      </c>
      <c r="F540">
        <v>1</v>
      </c>
      <c r="G540">
        <v>1.535714285714286</v>
      </c>
      <c r="H540">
        <f>(F540+E540)/C540</f>
        <v>1.5476190476190477</v>
      </c>
    </row>
    <row r="541" spans="1:9" customFormat="1" hidden="1" x14ac:dyDescent="0.2">
      <c r="A541">
        <v>204157</v>
      </c>
      <c r="B541" t="s">
        <v>226</v>
      </c>
      <c r="C541">
        <v>11</v>
      </c>
      <c r="D541" t="s">
        <v>48</v>
      </c>
      <c r="E541">
        <v>4</v>
      </c>
      <c r="F541">
        <v>13</v>
      </c>
      <c r="G541">
        <v>0.36363636363636359</v>
      </c>
      <c r="H541">
        <f>(F541+E541)/C541</f>
        <v>1.5454545454545454</v>
      </c>
    </row>
    <row r="542" spans="1:9" customFormat="1" hidden="1" x14ac:dyDescent="0.2">
      <c r="A542">
        <v>109207</v>
      </c>
      <c r="B542" t="s">
        <v>472</v>
      </c>
      <c r="C542">
        <v>162</v>
      </c>
      <c r="D542" t="s">
        <v>340</v>
      </c>
      <c r="E542">
        <v>169</v>
      </c>
      <c r="F542">
        <v>81</v>
      </c>
      <c r="G542">
        <v>1.0432098765432101</v>
      </c>
      <c r="H542">
        <f>(F542+E542)/C542</f>
        <v>1.5432098765432098</v>
      </c>
    </row>
    <row r="543" spans="1:9" customFormat="1" hidden="1" x14ac:dyDescent="0.2">
      <c r="A543">
        <v>110479</v>
      </c>
      <c r="B543" t="s">
        <v>515</v>
      </c>
      <c r="C543">
        <v>103</v>
      </c>
      <c r="D543" t="s">
        <v>340</v>
      </c>
      <c r="E543">
        <v>13</v>
      </c>
      <c r="F543">
        <v>145</v>
      </c>
      <c r="G543">
        <v>0.12621359223300971</v>
      </c>
      <c r="H543">
        <f>(F543+E543)/C543</f>
        <v>1.5339805825242718</v>
      </c>
    </row>
    <row r="544" spans="1:9" customFormat="1" hidden="1" x14ac:dyDescent="0.2">
      <c r="A544">
        <v>113442</v>
      </c>
      <c r="B544" t="s">
        <v>576</v>
      </c>
      <c r="C544">
        <v>60</v>
      </c>
      <c r="D544" t="s">
        <v>340</v>
      </c>
      <c r="E544">
        <v>31</v>
      </c>
      <c r="F544">
        <v>60</v>
      </c>
      <c r="G544">
        <v>0.51666666666666672</v>
      </c>
      <c r="H544">
        <f>(F544+E544)/C544</f>
        <v>1.5166666666666666</v>
      </c>
    </row>
    <row r="545" spans="1:9" customFormat="1" hidden="1" x14ac:dyDescent="0.2">
      <c r="A545">
        <v>113071</v>
      </c>
      <c r="B545" t="s">
        <v>134</v>
      </c>
      <c r="C545">
        <v>28</v>
      </c>
      <c r="D545" t="s">
        <v>48</v>
      </c>
      <c r="E545">
        <v>24</v>
      </c>
      <c r="F545">
        <v>18</v>
      </c>
      <c r="G545">
        <v>0.8571428571428571</v>
      </c>
      <c r="H545">
        <f>(F545+E545)/C545</f>
        <v>1.5</v>
      </c>
    </row>
    <row r="546" spans="1:9" customFormat="1" hidden="1" x14ac:dyDescent="0.2">
      <c r="A546">
        <v>205391</v>
      </c>
      <c r="B546" t="s">
        <v>228</v>
      </c>
      <c r="C546">
        <v>6</v>
      </c>
      <c r="D546" t="s">
        <v>48</v>
      </c>
      <c r="E546">
        <v>3</v>
      </c>
      <c r="F546">
        <v>6</v>
      </c>
      <c r="G546">
        <v>0.5</v>
      </c>
      <c r="H546">
        <f>(F546+E546)/C546</f>
        <v>1.5</v>
      </c>
    </row>
    <row r="547" spans="1:9" customFormat="1" hidden="1" x14ac:dyDescent="0.2">
      <c r="A547">
        <v>135100</v>
      </c>
      <c r="B547" t="s">
        <v>649</v>
      </c>
      <c r="C547">
        <v>4</v>
      </c>
      <c r="D547" t="s">
        <v>340</v>
      </c>
      <c r="E547">
        <v>6</v>
      </c>
      <c r="F547">
        <v>0</v>
      </c>
      <c r="G547">
        <v>1.5</v>
      </c>
      <c r="H547">
        <f>(F547+E547)/C547</f>
        <v>1.5</v>
      </c>
    </row>
    <row r="548" spans="1:9" customFormat="1" hidden="1" x14ac:dyDescent="0.2">
      <c r="A548">
        <v>422611</v>
      </c>
      <c r="B548" t="s">
        <v>805</v>
      </c>
      <c r="C548">
        <v>62</v>
      </c>
      <c r="D548" t="s">
        <v>340</v>
      </c>
      <c r="E548">
        <v>50</v>
      </c>
      <c r="F548">
        <v>43</v>
      </c>
      <c r="G548">
        <v>0.80645161290322576</v>
      </c>
      <c r="H548">
        <f>(F548+E548)/C548</f>
        <v>1.5</v>
      </c>
    </row>
    <row r="549" spans="1:9" customFormat="1" hidden="1" x14ac:dyDescent="0.2">
      <c r="A549">
        <v>472299</v>
      </c>
      <c r="B549" t="s">
        <v>845</v>
      </c>
      <c r="C549">
        <v>20</v>
      </c>
      <c r="D549" t="s">
        <v>340</v>
      </c>
      <c r="E549">
        <v>5</v>
      </c>
      <c r="F549">
        <v>25</v>
      </c>
      <c r="G549">
        <v>0.25</v>
      </c>
      <c r="H549">
        <f>(F549+E549)/C549</f>
        <v>1.5</v>
      </c>
    </row>
    <row r="550" spans="1:9" customFormat="1" hidden="1" x14ac:dyDescent="0.2">
      <c r="A550">
        <v>480485</v>
      </c>
      <c r="B550" t="s">
        <v>856</v>
      </c>
      <c r="C550">
        <v>4</v>
      </c>
      <c r="D550" t="s">
        <v>340</v>
      </c>
      <c r="E550">
        <v>4</v>
      </c>
      <c r="F550">
        <v>2</v>
      </c>
      <c r="G550">
        <v>1</v>
      </c>
      <c r="H550">
        <f>(F550+E550)/C550</f>
        <v>1.5</v>
      </c>
    </row>
    <row r="551" spans="1:9" customFormat="1" hidden="1" x14ac:dyDescent="0.2">
      <c r="A551">
        <v>551150</v>
      </c>
      <c r="B551" t="s">
        <v>892</v>
      </c>
      <c r="C551">
        <v>18</v>
      </c>
      <c r="D551" t="s">
        <v>340</v>
      </c>
      <c r="E551">
        <v>27</v>
      </c>
      <c r="F551">
        <v>0</v>
      </c>
      <c r="G551">
        <v>1.5</v>
      </c>
      <c r="H551">
        <f>(F551+E551)/C551</f>
        <v>1.5</v>
      </c>
    </row>
    <row r="552" spans="1:9" hidden="1" x14ac:dyDescent="0.2">
      <c r="A552">
        <v>113390</v>
      </c>
      <c r="B552" t="s">
        <v>573</v>
      </c>
      <c r="C552">
        <v>120</v>
      </c>
      <c r="D552" t="s">
        <v>340</v>
      </c>
      <c r="E552">
        <v>179</v>
      </c>
      <c r="F552">
        <v>0</v>
      </c>
      <c r="G552">
        <v>1.4916666666666669</v>
      </c>
      <c r="H552">
        <f>(F552+E552)/C552</f>
        <v>1.4916666666666667</v>
      </c>
      <c r="I552"/>
    </row>
    <row r="553" spans="1:9" customFormat="1" hidden="1" x14ac:dyDescent="0.2">
      <c r="A553">
        <v>316716</v>
      </c>
      <c r="B553" t="s">
        <v>775</v>
      </c>
      <c r="C553">
        <v>724</v>
      </c>
      <c r="D553" t="s">
        <v>340</v>
      </c>
      <c r="E553">
        <v>226</v>
      </c>
      <c r="F553">
        <v>846</v>
      </c>
      <c r="G553">
        <v>0.31215469613259672</v>
      </c>
      <c r="H553">
        <f>(F553+E553)/C553</f>
        <v>1.4806629834254144</v>
      </c>
    </row>
    <row r="554" spans="1:9" customFormat="1" hidden="1" x14ac:dyDescent="0.2">
      <c r="A554">
        <v>108398</v>
      </c>
      <c r="B554" t="s">
        <v>443</v>
      </c>
      <c r="C554">
        <v>38</v>
      </c>
      <c r="D554" t="s">
        <v>340</v>
      </c>
      <c r="E554">
        <v>56</v>
      </c>
      <c r="F554">
        <v>0</v>
      </c>
      <c r="G554">
        <v>1.4736842105263159</v>
      </c>
      <c r="H554">
        <f>(F554+E554)/C554</f>
        <v>1.4736842105263157</v>
      </c>
    </row>
    <row r="555" spans="1:9" customFormat="1" hidden="1" x14ac:dyDescent="0.2">
      <c r="A555">
        <v>212348</v>
      </c>
      <c r="B555" t="s">
        <v>732</v>
      </c>
      <c r="C555">
        <v>32</v>
      </c>
      <c r="D555" t="s">
        <v>340</v>
      </c>
      <c r="E555">
        <v>20</v>
      </c>
      <c r="F555">
        <v>27</v>
      </c>
      <c r="G555">
        <v>0.625</v>
      </c>
      <c r="H555">
        <f>(F555+E555)/C555</f>
        <v>1.46875</v>
      </c>
    </row>
    <row r="556" spans="1:9" customFormat="1" hidden="1" x14ac:dyDescent="0.2">
      <c r="A556">
        <v>108714</v>
      </c>
      <c r="B556" t="s">
        <v>89</v>
      </c>
      <c r="C556">
        <v>15</v>
      </c>
      <c r="D556" t="s">
        <v>48</v>
      </c>
      <c r="E556">
        <v>20</v>
      </c>
      <c r="F556">
        <v>2</v>
      </c>
      <c r="G556">
        <v>1.333333333333333</v>
      </c>
      <c r="H556">
        <f>(F556+E556)/C556</f>
        <v>1.4666666666666666</v>
      </c>
    </row>
    <row r="557" spans="1:9" customFormat="1" hidden="1" x14ac:dyDescent="0.2">
      <c r="A557">
        <v>315001</v>
      </c>
      <c r="B557" t="s">
        <v>254</v>
      </c>
      <c r="C557">
        <v>57</v>
      </c>
      <c r="D557" t="s">
        <v>48</v>
      </c>
      <c r="E557">
        <v>83</v>
      </c>
      <c r="F557">
        <v>0</v>
      </c>
      <c r="G557">
        <v>1.4561403508771931</v>
      </c>
      <c r="H557">
        <f>(F557+E557)/C557</f>
        <v>1.4561403508771931</v>
      </c>
    </row>
    <row r="558" spans="1:9" customFormat="1" hidden="1" x14ac:dyDescent="0.2">
      <c r="A558">
        <v>301497</v>
      </c>
      <c r="B558" t="s">
        <v>1059</v>
      </c>
      <c r="C558">
        <v>11</v>
      </c>
      <c r="D558" t="s">
        <v>923</v>
      </c>
      <c r="E558">
        <v>16</v>
      </c>
      <c r="F558">
        <v>0</v>
      </c>
      <c r="G558">
        <v>1.454545454545455</v>
      </c>
      <c r="H558">
        <f>(F558+E558)/C558</f>
        <v>1.4545454545454546</v>
      </c>
    </row>
    <row r="559" spans="1:9" customFormat="1" ht="16" hidden="1" x14ac:dyDescent="0.2">
      <c r="A559" s="8">
        <v>114073</v>
      </c>
      <c r="B559" s="8" t="s">
        <v>584</v>
      </c>
      <c r="C559" s="8">
        <v>1328</v>
      </c>
      <c r="D559" s="8" t="s">
        <v>340</v>
      </c>
      <c r="E559" s="8">
        <v>1557</v>
      </c>
      <c r="F559" s="10">
        <v>371</v>
      </c>
      <c r="G559" s="8">
        <v>1.1724397590361451</v>
      </c>
      <c r="H559">
        <f>(F559+E559)/C559</f>
        <v>1.4518072289156627</v>
      </c>
      <c r="I559" s="8"/>
    </row>
    <row r="560" spans="1:9" customFormat="1" hidden="1" x14ac:dyDescent="0.2">
      <c r="A560">
        <v>105751</v>
      </c>
      <c r="B560" t="s">
        <v>7</v>
      </c>
      <c r="C560">
        <v>248</v>
      </c>
      <c r="D560" t="s">
        <v>8</v>
      </c>
      <c r="E560">
        <v>339</v>
      </c>
      <c r="F560">
        <v>20</v>
      </c>
      <c r="G560">
        <v>1.366935483870968</v>
      </c>
      <c r="H560">
        <f>(F560+E560)/C560</f>
        <v>1.4475806451612903</v>
      </c>
    </row>
    <row r="561" spans="1:9" customFormat="1" hidden="1" x14ac:dyDescent="0.2">
      <c r="A561">
        <v>143651</v>
      </c>
      <c r="B561" t="s">
        <v>659</v>
      </c>
      <c r="C561">
        <v>40</v>
      </c>
      <c r="D561" t="s">
        <v>340</v>
      </c>
      <c r="E561">
        <v>48</v>
      </c>
      <c r="F561">
        <v>9</v>
      </c>
      <c r="G561">
        <v>1.2</v>
      </c>
      <c r="H561">
        <f>(F561+E561)/C561</f>
        <v>1.425</v>
      </c>
    </row>
    <row r="562" spans="1:9" customFormat="1" hidden="1" x14ac:dyDescent="0.2">
      <c r="A562">
        <v>115779</v>
      </c>
      <c r="B562" t="s">
        <v>599</v>
      </c>
      <c r="C562">
        <v>201</v>
      </c>
      <c r="D562" t="s">
        <v>340</v>
      </c>
      <c r="E562">
        <v>286</v>
      </c>
      <c r="F562">
        <v>0</v>
      </c>
      <c r="G562">
        <v>1.422885572139303</v>
      </c>
      <c r="H562">
        <f>(F562+E562)/C562</f>
        <v>1.4228855721393034</v>
      </c>
    </row>
    <row r="563" spans="1:9" customFormat="1" ht="16" hidden="1" x14ac:dyDescent="0.2">
      <c r="A563" s="8">
        <v>109867</v>
      </c>
      <c r="B563" s="8" t="s">
        <v>500</v>
      </c>
      <c r="C563" s="8">
        <v>558</v>
      </c>
      <c r="D563" s="8" t="s">
        <v>340</v>
      </c>
      <c r="E563" s="8">
        <v>719</v>
      </c>
      <c r="F563" s="10">
        <v>74</v>
      </c>
      <c r="G563" s="8">
        <v>1.2885304659498209</v>
      </c>
      <c r="H563">
        <f>(F563+E563)/C563</f>
        <v>1.4211469534050178</v>
      </c>
      <c r="I563" s="8"/>
    </row>
    <row r="564" spans="1:9" customFormat="1" hidden="1" x14ac:dyDescent="0.2">
      <c r="A564">
        <v>106976</v>
      </c>
      <c r="B564" t="s">
        <v>392</v>
      </c>
      <c r="C564">
        <v>350</v>
      </c>
      <c r="D564" t="s">
        <v>340</v>
      </c>
      <c r="E564">
        <v>283</v>
      </c>
      <c r="F564">
        <v>214</v>
      </c>
      <c r="G564">
        <v>0.80857142857142861</v>
      </c>
      <c r="H564">
        <f>(F564+E564)/C564</f>
        <v>1.42</v>
      </c>
    </row>
    <row r="565" spans="1:9" customFormat="1" ht="16" hidden="1" x14ac:dyDescent="0.2">
      <c r="A565" s="8">
        <v>127250</v>
      </c>
      <c r="B565" s="8" t="s">
        <v>45</v>
      </c>
      <c r="C565" s="8">
        <v>625</v>
      </c>
      <c r="D565" s="8" t="s">
        <v>42</v>
      </c>
      <c r="E565" s="8">
        <v>732</v>
      </c>
      <c r="F565" s="10">
        <v>143</v>
      </c>
      <c r="G565" s="8">
        <v>1.1712</v>
      </c>
      <c r="H565">
        <f>(F565+E565)/C565</f>
        <v>1.4</v>
      </c>
      <c r="I565" s="8"/>
    </row>
    <row r="566" spans="1:9" customFormat="1" hidden="1" x14ac:dyDescent="0.2">
      <c r="A566">
        <v>319148</v>
      </c>
      <c r="B566" t="s">
        <v>779</v>
      </c>
      <c r="C566">
        <v>20</v>
      </c>
      <c r="D566" t="s">
        <v>340</v>
      </c>
      <c r="E566">
        <v>23</v>
      </c>
      <c r="F566">
        <v>5</v>
      </c>
      <c r="G566">
        <v>1.1499999999999999</v>
      </c>
      <c r="H566">
        <f>(F566+E566)/C566</f>
        <v>1.4</v>
      </c>
    </row>
    <row r="567" spans="1:9" hidden="1" x14ac:dyDescent="0.2">
      <c r="A567">
        <v>108767</v>
      </c>
      <c r="B567" t="s">
        <v>457</v>
      </c>
      <c r="C567">
        <v>90</v>
      </c>
      <c r="D567" t="s">
        <v>340</v>
      </c>
      <c r="E567">
        <v>46</v>
      </c>
      <c r="F567">
        <v>79</v>
      </c>
      <c r="G567">
        <v>0.51111111111111107</v>
      </c>
      <c r="H567">
        <f>(F567+E567)/C567</f>
        <v>1.3888888888888888</v>
      </c>
      <c r="I567"/>
    </row>
    <row r="568" spans="1:9" ht="16" hidden="1" x14ac:dyDescent="0.2">
      <c r="A568" s="8">
        <v>108658</v>
      </c>
      <c r="B568" s="8" t="s">
        <v>456</v>
      </c>
      <c r="C568" s="8">
        <v>1532</v>
      </c>
      <c r="D568" s="8" t="s">
        <v>340</v>
      </c>
      <c r="E568" s="8">
        <v>2030</v>
      </c>
      <c r="F568" s="10">
        <v>90</v>
      </c>
      <c r="G568" s="8">
        <v>1.3250652741514359</v>
      </c>
      <c r="H568">
        <f>(F568+E568)/C568</f>
        <v>1.3838120104438643</v>
      </c>
    </row>
    <row r="569" spans="1:9" customFormat="1" hidden="1" x14ac:dyDescent="0.2">
      <c r="A569">
        <v>115929</v>
      </c>
      <c r="B569" t="s">
        <v>26</v>
      </c>
      <c r="C569">
        <v>187</v>
      </c>
      <c r="D569" t="s">
        <v>8</v>
      </c>
      <c r="E569">
        <v>256</v>
      </c>
      <c r="F569">
        <v>2</v>
      </c>
      <c r="G569">
        <v>1.368983957219251</v>
      </c>
      <c r="H569">
        <f>(F569+E569)/C569</f>
        <v>1.3796791443850267</v>
      </c>
    </row>
    <row r="570" spans="1:9" customFormat="1" hidden="1" x14ac:dyDescent="0.2">
      <c r="A570">
        <v>468524</v>
      </c>
      <c r="B570" t="s">
        <v>837</v>
      </c>
      <c r="C570">
        <v>8</v>
      </c>
      <c r="D570" t="s">
        <v>340</v>
      </c>
      <c r="E570">
        <v>11</v>
      </c>
      <c r="F570">
        <v>0</v>
      </c>
      <c r="G570">
        <v>1.375</v>
      </c>
      <c r="H570">
        <f>(F570+E570)/C570</f>
        <v>1.375</v>
      </c>
    </row>
    <row r="571" spans="1:9" customFormat="1" hidden="1" x14ac:dyDescent="0.2">
      <c r="A571">
        <v>157396</v>
      </c>
      <c r="B571" t="s">
        <v>1029</v>
      </c>
      <c r="C571">
        <v>8</v>
      </c>
      <c r="D571" t="s">
        <v>923</v>
      </c>
      <c r="E571">
        <v>11</v>
      </c>
      <c r="F571">
        <v>0</v>
      </c>
      <c r="G571">
        <v>1.375</v>
      </c>
      <c r="H571">
        <f>(F571+E571)/C571</f>
        <v>1.375</v>
      </c>
    </row>
    <row r="572" spans="1:9" hidden="1" x14ac:dyDescent="0.2">
      <c r="A572">
        <v>110659</v>
      </c>
      <c r="B572" t="s">
        <v>118</v>
      </c>
      <c r="C572">
        <v>99</v>
      </c>
      <c r="D572" t="s">
        <v>48</v>
      </c>
      <c r="E572">
        <v>134</v>
      </c>
      <c r="F572">
        <v>2</v>
      </c>
      <c r="G572">
        <v>1.353535353535354</v>
      </c>
      <c r="H572">
        <f>(F572+E572)/C572</f>
        <v>1.3737373737373737</v>
      </c>
      <c r="I572"/>
    </row>
    <row r="573" spans="1:9" customFormat="1" hidden="1" x14ac:dyDescent="0.2">
      <c r="A573">
        <v>147917</v>
      </c>
      <c r="B573" t="s">
        <v>189</v>
      </c>
      <c r="C573">
        <v>260</v>
      </c>
      <c r="D573" t="s">
        <v>48</v>
      </c>
      <c r="E573">
        <v>213</v>
      </c>
      <c r="F573">
        <v>144</v>
      </c>
      <c r="G573">
        <v>0.81923076923076921</v>
      </c>
      <c r="H573">
        <f>(F573+E573)/C573</f>
        <v>1.3730769230769231</v>
      </c>
    </row>
    <row r="574" spans="1:9" customFormat="1" ht="16" hidden="1" x14ac:dyDescent="0.2">
      <c r="A574" s="8">
        <v>108086</v>
      </c>
      <c r="B574" s="8" t="s">
        <v>945</v>
      </c>
      <c r="C574" s="8">
        <v>1365</v>
      </c>
      <c r="D574" s="8" t="s">
        <v>923</v>
      </c>
      <c r="E574" s="8">
        <v>1367</v>
      </c>
      <c r="F574" s="10">
        <v>461</v>
      </c>
      <c r="G574" s="8">
        <v>1.001465201465201</v>
      </c>
      <c r="H574">
        <f>(F574+E574)/C574</f>
        <v>1.3391941391941391</v>
      </c>
      <c r="I574" s="8"/>
    </row>
    <row r="575" spans="1:9" customFormat="1" hidden="1" x14ac:dyDescent="0.2">
      <c r="A575">
        <v>109631</v>
      </c>
      <c r="B575" t="s">
        <v>17</v>
      </c>
      <c r="C575">
        <v>6</v>
      </c>
      <c r="D575" t="s">
        <v>8</v>
      </c>
      <c r="E575">
        <v>8</v>
      </c>
      <c r="F575">
        <v>0</v>
      </c>
      <c r="G575">
        <v>1.333333333333333</v>
      </c>
      <c r="H575">
        <f>(F575+E575)/C575</f>
        <v>1.3333333333333333</v>
      </c>
    </row>
    <row r="576" spans="1:9" customFormat="1" hidden="1" x14ac:dyDescent="0.2">
      <c r="A576">
        <v>309888</v>
      </c>
      <c r="B576" t="s">
        <v>251</v>
      </c>
      <c r="C576">
        <v>45</v>
      </c>
      <c r="D576" t="s">
        <v>48</v>
      </c>
      <c r="E576">
        <v>30</v>
      </c>
      <c r="F576">
        <v>30</v>
      </c>
      <c r="G576">
        <v>0.66666666666666663</v>
      </c>
      <c r="H576">
        <f>(F576+E576)/C576</f>
        <v>1.3333333333333333</v>
      </c>
    </row>
    <row r="577" spans="1:9" customFormat="1" hidden="1" x14ac:dyDescent="0.2">
      <c r="A577">
        <v>100239</v>
      </c>
      <c r="B577" t="s">
        <v>341</v>
      </c>
      <c r="C577">
        <v>100</v>
      </c>
      <c r="D577" t="s">
        <v>340</v>
      </c>
      <c r="E577">
        <v>133</v>
      </c>
      <c r="F577">
        <v>0</v>
      </c>
      <c r="G577">
        <v>1.33</v>
      </c>
      <c r="H577">
        <f>(F577+E577)/C577</f>
        <v>1.33</v>
      </c>
    </row>
    <row r="578" spans="1:9" customFormat="1" hidden="1" x14ac:dyDescent="0.2">
      <c r="A578">
        <v>138516</v>
      </c>
      <c r="B578" t="s">
        <v>654</v>
      </c>
      <c r="C578">
        <v>140</v>
      </c>
      <c r="D578" t="s">
        <v>340</v>
      </c>
      <c r="E578">
        <v>156</v>
      </c>
      <c r="F578">
        <v>30</v>
      </c>
      <c r="G578">
        <v>1.1142857142857141</v>
      </c>
      <c r="H578">
        <f>(F578+E578)/C578</f>
        <v>1.3285714285714285</v>
      </c>
    </row>
    <row r="579" spans="1:9" customFormat="1" hidden="1" x14ac:dyDescent="0.2">
      <c r="A579">
        <v>301446</v>
      </c>
      <c r="B579" t="s">
        <v>1058</v>
      </c>
      <c r="C579">
        <v>55</v>
      </c>
      <c r="D579" t="s">
        <v>923</v>
      </c>
      <c r="E579">
        <v>54</v>
      </c>
      <c r="F579">
        <v>19</v>
      </c>
      <c r="G579">
        <v>0.98181818181818181</v>
      </c>
      <c r="H579">
        <f>(F579+E579)/C579</f>
        <v>1.3272727272727274</v>
      </c>
    </row>
    <row r="580" spans="1:9" customFormat="1" hidden="1" x14ac:dyDescent="0.2">
      <c r="A580">
        <v>105706</v>
      </c>
      <c r="B580" t="s">
        <v>52</v>
      </c>
      <c r="C580">
        <v>760</v>
      </c>
      <c r="D580" t="s">
        <v>48</v>
      </c>
      <c r="E580">
        <v>52</v>
      </c>
      <c r="F580">
        <v>941</v>
      </c>
      <c r="G580">
        <v>6.8421052631578952E-2</v>
      </c>
      <c r="H580">
        <f>(F580+E580)/C580</f>
        <v>1.3065789473684211</v>
      </c>
    </row>
    <row r="581" spans="1:9" customFormat="1" hidden="1" x14ac:dyDescent="0.2">
      <c r="A581">
        <v>141887</v>
      </c>
      <c r="B581" t="s">
        <v>657</v>
      </c>
      <c r="C581">
        <v>276</v>
      </c>
      <c r="D581" t="s">
        <v>340</v>
      </c>
      <c r="E581">
        <v>132</v>
      </c>
      <c r="F581">
        <v>228</v>
      </c>
      <c r="G581">
        <v>0.47826086956521741</v>
      </c>
      <c r="H581">
        <f>(F581+E581)/C581</f>
        <v>1.3043478260869565</v>
      </c>
    </row>
    <row r="582" spans="1:9" customFormat="1" hidden="1" x14ac:dyDescent="0.2">
      <c r="A582">
        <v>109762</v>
      </c>
      <c r="B582" t="s">
        <v>496</v>
      </c>
      <c r="C582">
        <v>10</v>
      </c>
      <c r="D582" t="s">
        <v>340</v>
      </c>
      <c r="E582">
        <v>13</v>
      </c>
      <c r="F582">
        <v>0</v>
      </c>
      <c r="G582">
        <v>1.3</v>
      </c>
      <c r="H582">
        <f>(F582+E582)/C582</f>
        <v>1.3</v>
      </c>
    </row>
    <row r="583" spans="1:9" customFormat="1" hidden="1" x14ac:dyDescent="0.2">
      <c r="A583">
        <v>487525</v>
      </c>
      <c r="B583" t="s">
        <v>864</v>
      </c>
      <c r="C583">
        <v>10</v>
      </c>
      <c r="D583" t="s">
        <v>340</v>
      </c>
      <c r="E583">
        <v>13</v>
      </c>
      <c r="F583">
        <v>0</v>
      </c>
      <c r="G583">
        <v>1.3</v>
      </c>
      <c r="H583">
        <f>(F583+E583)/C583</f>
        <v>1.3</v>
      </c>
    </row>
    <row r="584" spans="1:9" customFormat="1" hidden="1" x14ac:dyDescent="0.2">
      <c r="A584">
        <v>115325</v>
      </c>
      <c r="B584" t="s">
        <v>24</v>
      </c>
      <c r="C584">
        <v>61</v>
      </c>
      <c r="D584" t="s">
        <v>8</v>
      </c>
      <c r="E584">
        <v>79</v>
      </c>
      <c r="F584">
        <v>0</v>
      </c>
      <c r="G584">
        <v>1.2950819672131151</v>
      </c>
      <c r="H584">
        <f>(F584+E584)/C584</f>
        <v>1.2950819672131149</v>
      </c>
    </row>
    <row r="585" spans="1:9" customFormat="1" hidden="1" x14ac:dyDescent="0.2">
      <c r="A585">
        <v>157734</v>
      </c>
      <c r="B585" t="s">
        <v>685</v>
      </c>
      <c r="C585">
        <v>68</v>
      </c>
      <c r="D585" t="s">
        <v>340</v>
      </c>
      <c r="E585">
        <v>82</v>
      </c>
      <c r="F585">
        <v>6</v>
      </c>
      <c r="G585">
        <v>1.205882352941176</v>
      </c>
      <c r="H585">
        <f>(F585+E585)/C585</f>
        <v>1.2941176470588236</v>
      </c>
    </row>
    <row r="586" spans="1:9" customFormat="1" hidden="1" x14ac:dyDescent="0.2">
      <c r="A586">
        <v>313954</v>
      </c>
      <c r="B586" t="s">
        <v>253</v>
      </c>
      <c r="C586">
        <v>7</v>
      </c>
      <c r="D586" t="s">
        <v>48</v>
      </c>
      <c r="E586">
        <v>6</v>
      </c>
      <c r="F586">
        <v>3</v>
      </c>
      <c r="G586">
        <v>0.8571428571428571</v>
      </c>
      <c r="H586">
        <f>(F586+E586)/C586</f>
        <v>1.2857142857142858</v>
      </c>
    </row>
    <row r="587" spans="1:9" customFormat="1" hidden="1" x14ac:dyDescent="0.2">
      <c r="A587">
        <v>129200</v>
      </c>
      <c r="B587" t="s">
        <v>639</v>
      </c>
      <c r="C587">
        <v>216</v>
      </c>
      <c r="D587" t="s">
        <v>340</v>
      </c>
      <c r="E587">
        <v>207</v>
      </c>
      <c r="F587">
        <v>70</v>
      </c>
      <c r="G587">
        <v>0.95833333333333337</v>
      </c>
      <c r="H587">
        <f>(F587+E587)/C587</f>
        <v>1.2824074074074074</v>
      </c>
    </row>
    <row r="588" spans="1:9" customFormat="1" hidden="1" x14ac:dyDescent="0.2">
      <c r="A588">
        <v>131884</v>
      </c>
      <c r="B588" t="s">
        <v>642</v>
      </c>
      <c r="C588">
        <v>82</v>
      </c>
      <c r="D588" t="s">
        <v>340</v>
      </c>
      <c r="E588">
        <v>89</v>
      </c>
      <c r="F588">
        <v>16</v>
      </c>
      <c r="G588">
        <v>1.0853658536585371</v>
      </c>
      <c r="H588">
        <f>(F588+E588)/C588</f>
        <v>1.2804878048780488</v>
      </c>
    </row>
    <row r="589" spans="1:9" customFormat="1" hidden="1" x14ac:dyDescent="0.2">
      <c r="A589">
        <v>485670</v>
      </c>
      <c r="B589" t="s">
        <v>862</v>
      </c>
      <c r="C589">
        <v>18</v>
      </c>
      <c r="D589" t="s">
        <v>340</v>
      </c>
      <c r="E589">
        <v>23</v>
      </c>
      <c r="F589">
        <v>0</v>
      </c>
      <c r="G589">
        <v>1.2777777777777779</v>
      </c>
      <c r="H589">
        <f>(F589+E589)/C589</f>
        <v>1.2777777777777777</v>
      </c>
    </row>
    <row r="590" spans="1:9" customFormat="1" hidden="1" x14ac:dyDescent="0.2">
      <c r="A590">
        <v>326240</v>
      </c>
      <c r="B590" t="s">
        <v>796</v>
      </c>
      <c r="C590">
        <v>56</v>
      </c>
      <c r="D590" t="s">
        <v>340</v>
      </c>
      <c r="E590">
        <v>44</v>
      </c>
      <c r="F590">
        <v>27</v>
      </c>
      <c r="G590">
        <v>0.7857142857142857</v>
      </c>
      <c r="H590">
        <f>(F590+E590)/C590</f>
        <v>1.2678571428571428</v>
      </c>
    </row>
    <row r="591" spans="1:9" customFormat="1" hidden="1" x14ac:dyDescent="0.2">
      <c r="A591">
        <v>230607</v>
      </c>
      <c r="B591" t="s">
        <v>739</v>
      </c>
      <c r="C591">
        <v>58</v>
      </c>
      <c r="D591" t="s">
        <v>340</v>
      </c>
      <c r="E591">
        <v>35</v>
      </c>
      <c r="F591">
        <v>38</v>
      </c>
      <c r="G591">
        <v>0.60344827586206895</v>
      </c>
      <c r="H591">
        <f>(F591+E591)/C591</f>
        <v>1.2586206896551724</v>
      </c>
    </row>
    <row r="592" spans="1:9" hidden="1" x14ac:dyDescent="0.2">
      <c r="A592">
        <v>111070</v>
      </c>
      <c r="B592" t="s">
        <v>122</v>
      </c>
      <c r="C592">
        <v>120</v>
      </c>
      <c r="D592" t="s">
        <v>48</v>
      </c>
      <c r="E592">
        <v>52</v>
      </c>
      <c r="F592">
        <v>99</v>
      </c>
      <c r="G592">
        <v>0.43333333333333329</v>
      </c>
      <c r="H592">
        <f>(F592+E592)/C592</f>
        <v>1.2583333333333333</v>
      </c>
      <c r="I592"/>
    </row>
    <row r="593" spans="1:9" customFormat="1" hidden="1" x14ac:dyDescent="0.2">
      <c r="A593">
        <v>115132</v>
      </c>
      <c r="B593" t="s">
        <v>594</v>
      </c>
      <c r="C593">
        <v>39</v>
      </c>
      <c r="D593" t="s">
        <v>340</v>
      </c>
      <c r="E593">
        <v>10</v>
      </c>
      <c r="F593">
        <v>39</v>
      </c>
      <c r="G593">
        <v>0.25641025641025639</v>
      </c>
      <c r="H593">
        <f>(F593+E593)/C593</f>
        <v>1.2564102564102564</v>
      </c>
    </row>
    <row r="594" spans="1:9" customFormat="1" hidden="1" x14ac:dyDescent="0.2">
      <c r="A594">
        <v>109734</v>
      </c>
      <c r="B594" t="s">
        <v>18</v>
      </c>
      <c r="C594">
        <v>4</v>
      </c>
      <c r="D594" t="s">
        <v>8</v>
      </c>
      <c r="E594">
        <v>5</v>
      </c>
      <c r="F594">
        <v>0</v>
      </c>
      <c r="G594">
        <v>1.25</v>
      </c>
      <c r="H594">
        <f>(F594+E594)/C594</f>
        <v>1.25</v>
      </c>
    </row>
    <row r="595" spans="1:9" customFormat="1" hidden="1" x14ac:dyDescent="0.2">
      <c r="A595">
        <v>451492</v>
      </c>
      <c r="B595" t="s">
        <v>813</v>
      </c>
      <c r="C595">
        <v>4</v>
      </c>
      <c r="D595" t="s">
        <v>340</v>
      </c>
      <c r="E595">
        <v>5</v>
      </c>
      <c r="F595">
        <v>0</v>
      </c>
      <c r="G595">
        <v>1.25</v>
      </c>
      <c r="H595">
        <f>(F595+E595)/C595</f>
        <v>1.25</v>
      </c>
    </row>
    <row r="596" spans="1:9" customFormat="1" hidden="1" x14ac:dyDescent="0.2">
      <c r="A596">
        <v>112831</v>
      </c>
      <c r="B596" t="s">
        <v>986</v>
      </c>
      <c r="C596">
        <v>104</v>
      </c>
      <c r="D596" t="s">
        <v>923</v>
      </c>
      <c r="E596">
        <v>104</v>
      </c>
      <c r="F596">
        <v>25</v>
      </c>
      <c r="G596">
        <v>1</v>
      </c>
      <c r="H596">
        <f>(F596+E596)/C596</f>
        <v>1.2403846153846154</v>
      </c>
    </row>
    <row r="597" spans="1:9" customFormat="1" hidden="1" x14ac:dyDescent="0.2">
      <c r="A597">
        <v>204302</v>
      </c>
      <c r="B597" t="s">
        <v>725</v>
      </c>
      <c r="C597">
        <v>55</v>
      </c>
      <c r="D597" t="s">
        <v>340</v>
      </c>
      <c r="E597">
        <v>59</v>
      </c>
      <c r="F597">
        <v>9</v>
      </c>
      <c r="G597">
        <v>1.072727272727273</v>
      </c>
      <c r="H597">
        <f>(F597+E597)/C597</f>
        <v>1.2363636363636363</v>
      </c>
    </row>
    <row r="598" spans="1:9" customFormat="1" hidden="1" x14ac:dyDescent="0.2">
      <c r="A598">
        <v>465602</v>
      </c>
      <c r="B598" t="s">
        <v>273</v>
      </c>
      <c r="C598">
        <v>13</v>
      </c>
      <c r="D598" t="s">
        <v>48</v>
      </c>
      <c r="E598">
        <v>16</v>
      </c>
      <c r="F598">
        <v>0</v>
      </c>
      <c r="G598">
        <v>1.2307692307692311</v>
      </c>
      <c r="H598">
        <f>(F598+E598)/C598</f>
        <v>1.2307692307692308</v>
      </c>
    </row>
    <row r="599" spans="1:9" customFormat="1" hidden="1" x14ac:dyDescent="0.2">
      <c r="A599">
        <v>107650</v>
      </c>
      <c r="B599" t="s">
        <v>75</v>
      </c>
      <c r="C599">
        <v>149</v>
      </c>
      <c r="D599" t="s">
        <v>48</v>
      </c>
      <c r="E599">
        <v>157</v>
      </c>
      <c r="F599">
        <v>26</v>
      </c>
      <c r="G599">
        <v>1.0536912751677849</v>
      </c>
      <c r="H599">
        <f>(F599+E599)/C599</f>
        <v>1.2281879194630871</v>
      </c>
    </row>
    <row r="600" spans="1:9" customFormat="1" hidden="1" x14ac:dyDescent="0.2">
      <c r="A600">
        <v>112305</v>
      </c>
      <c r="B600" t="s">
        <v>547</v>
      </c>
      <c r="C600">
        <v>888</v>
      </c>
      <c r="D600" t="s">
        <v>340</v>
      </c>
      <c r="E600">
        <v>689</v>
      </c>
      <c r="F600">
        <v>400</v>
      </c>
      <c r="G600">
        <v>0.77590090090090091</v>
      </c>
      <c r="H600">
        <f>(F600+E600)/C600</f>
        <v>1.2263513513513513</v>
      </c>
    </row>
    <row r="601" spans="1:9" customFormat="1" hidden="1" x14ac:dyDescent="0.2">
      <c r="A601">
        <v>158186</v>
      </c>
      <c r="B601" t="s">
        <v>203</v>
      </c>
      <c r="C601">
        <v>130</v>
      </c>
      <c r="D601" t="s">
        <v>48</v>
      </c>
      <c r="E601">
        <v>141</v>
      </c>
      <c r="F601">
        <v>17</v>
      </c>
      <c r="G601">
        <v>1.084615384615385</v>
      </c>
      <c r="H601">
        <f>(F601+E601)/C601</f>
        <v>1.2153846153846153</v>
      </c>
    </row>
    <row r="602" spans="1:9" customFormat="1" hidden="1" x14ac:dyDescent="0.2">
      <c r="A602">
        <v>108002</v>
      </c>
      <c r="B602" t="s">
        <v>424</v>
      </c>
      <c r="C602">
        <v>65</v>
      </c>
      <c r="D602" t="s">
        <v>340</v>
      </c>
      <c r="E602">
        <v>27</v>
      </c>
      <c r="F602">
        <v>52</v>
      </c>
      <c r="G602">
        <v>0.41538461538461541</v>
      </c>
      <c r="H602">
        <f>(F602+E602)/C602</f>
        <v>1.2153846153846153</v>
      </c>
    </row>
    <row r="603" spans="1:9" customFormat="1" hidden="1" x14ac:dyDescent="0.2">
      <c r="A603">
        <v>107758</v>
      </c>
      <c r="B603" t="s">
        <v>11</v>
      </c>
      <c r="C603">
        <v>14</v>
      </c>
      <c r="D603" t="s">
        <v>8</v>
      </c>
      <c r="E603">
        <v>6</v>
      </c>
      <c r="F603">
        <v>11</v>
      </c>
      <c r="G603">
        <v>0.42857142857142849</v>
      </c>
      <c r="H603">
        <f>(F603+E603)/C603</f>
        <v>1.2142857142857142</v>
      </c>
    </row>
    <row r="604" spans="1:9" customFormat="1" hidden="1" x14ac:dyDescent="0.2">
      <c r="A604">
        <v>144068</v>
      </c>
      <c r="B604" t="s">
        <v>183</v>
      </c>
      <c r="C604">
        <v>20</v>
      </c>
      <c r="D604" t="s">
        <v>48</v>
      </c>
      <c r="E604">
        <v>24</v>
      </c>
      <c r="F604">
        <v>0</v>
      </c>
      <c r="G604">
        <v>1.2</v>
      </c>
      <c r="H604">
        <f>(F604+E604)/C604</f>
        <v>1.2</v>
      </c>
    </row>
    <row r="605" spans="1:9" customFormat="1" hidden="1" x14ac:dyDescent="0.2">
      <c r="A605">
        <v>315722</v>
      </c>
      <c r="B605" t="s">
        <v>257</v>
      </c>
      <c r="C605">
        <v>210</v>
      </c>
      <c r="D605" t="s">
        <v>48</v>
      </c>
      <c r="E605">
        <v>190</v>
      </c>
      <c r="F605">
        <v>62</v>
      </c>
      <c r="G605">
        <v>0.90476190476190477</v>
      </c>
      <c r="H605">
        <f>(F605+E605)/C605</f>
        <v>1.2</v>
      </c>
    </row>
    <row r="606" spans="1:9" customFormat="1" hidden="1" x14ac:dyDescent="0.2">
      <c r="A606">
        <v>486478</v>
      </c>
      <c r="B606" t="s">
        <v>1093</v>
      </c>
      <c r="C606">
        <v>155</v>
      </c>
      <c r="D606" t="s">
        <v>923</v>
      </c>
      <c r="E606">
        <v>33</v>
      </c>
      <c r="F606">
        <v>153</v>
      </c>
      <c r="G606">
        <v>0.2129032258064516</v>
      </c>
      <c r="H606">
        <f>(F606+E606)/C606</f>
        <v>1.2</v>
      </c>
    </row>
    <row r="607" spans="1:9" hidden="1" x14ac:dyDescent="0.2">
      <c r="A607">
        <v>305755</v>
      </c>
      <c r="B607" t="s">
        <v>247</v>
      </c>
      <c r="C607">
        <v>459</v>
      </c>
      <c r="D607" t="s">
        <v>48</v>
      </c>
      <c r="E607">
        <v>197</v>
      </c>
      <c r="F607">
        <v>349</v>
      </c>
      <c r="G607">
        <v>0.42919389978213512</v>
      </c>
      <c r="H607">
        <f>(F607+E607)/C607</f>
        <v>1.1895424836601307</v>
      </c>
      <c r="I607"/>
    </row>
    <row r="608" spans="1:9" customFormat="1" hidden="1" x14ac:dyDescent="0.2">
      <c r="A608">
        <v>110360</v>
      </c>
      <c r="B608" t="s">
        <v>512</v>
      </c>
      <c r="C608">
        <v>85</v>
      </c>
      <c r="D608" t="s">
        <v>340</v>
      </c>
      <c r="E608">
        <v>49</v>
      </c>
      <c r="F608">
        <v>52</v>
      </c>
      <c r="G608">
        <v>0.57647058823529407</v>
      </c>
      <c r="H608">
        <f>(F608+E608)/C608</f>
        <v>1.1882352941176471</v>
      </c>
    </row>
    <row r="609" spans="1:9" customFormat="1" hidden="1" x14ac:dyDescent="0.2">
      <c r="A609">
        <v>328024</v>
      </c>
      <c r="B609" t="s">
        <v>800</v>
      </c>
      <c r="C609">
        <v>85</v>
      </c>
      <c r="D609" t="s">
        <v>340</v>
      </c>
      <c r="E609">
        <v>101</v>
      </c>
      <c r="F609">
        <v>0</v>
      </c>
      <c r="G609">
        <v>1.1882352941176471</v>
      </c>
      <c r="H609">
        <f>(F609+E609)/C609</f>
        <v>1.1882352941176471</v>
      </c>
    </row>
    <row r="610" spans="1:9" customFormat="1" hidden="1" x14ac:dyDescent="0.2">
      <c r="A610">
        <v>482009</v>
      </c>
      <c r="B610" t="s">
        <v>295</v>
      </c>
      <c r="C610">
        <v>11</v>
      </c>
      <c r="D610" t="s">
        <v>48</v>
      </c>
      <c r="E610">
        <v>12</v>
      </c>
      <c r="F610">
        <v>1</v>
      </c>
      <c r="G610">
        <v>1.0909090909090911</v>
      </c>
      <c r="H610">
        <f>(F610+E610)/C610</f>
        <v>1.1818181818181819</v>
      </c>
    </row>
    <row r="611" spans="1:9" customFormat="1" hidden="1" x14ac:dyDescent="0.2">
      <c r="A611">
        <v>112044</v>
      </c>
      <c r="B611" t="s">
        <v>538</v>
      </c>
      <c r="C611">
        <v>162</v>
      </c>
      <c r="D611" t="s">
        <v>340</v>
      </c>
      <c r="E611">
        <v>151</v>
      </c>
      <c r="F611">
        <v>39</v>
      </c>
      <c r="G611">
        <v>0.9320987654320988</v>
      </c>
      <c r="H611">
        <f>(F611+E611)/C611</f>
        <v>1.1728395061728396</v>
      </c>
    </row>
    <row r="612" spans="1:9" customFormat="1" hidden="1" x14ac:dyDescent="0.2">
      <c r="A612">
        <v>111138</v>
      </c>
      <c r="B612" t="s">
        <v>536</v>
      </c>
      <c r="C612">
        <v>24</v>
      </c>
      <c r="D612" t="s">
        <v>340</v>
      </c>
      <c r="E612">
        <v>26</v>
      </c>
      <c r="F612">
        <v>2</v>
      </c>
      <c r="G612">
        <v>1.083333333333333</v>
      </c>
      <c r="H612">
        <f>(F612+E612)/C612</f>
        <v>1.1666666666666667</v>
      </c>
    </row>
    <row r="613" spans="1:9" customFormat="1" hidden="1" x14ac:dyDescent="0.2">
      <c r="A613">
        <v>480740</v>
      </c>
      <c r="B613" t="s">
        <v>1091</v>
      </c>
      <c r="C613">
        <v>12</v>
      </c>
      <c r="D613" t="s">
        <v>923</v>
      </c>
      <c r="E613">
        <v>12</v>
      </c>
      <c r="F613">
        <v>2</v>
      </c>
      <c r="G613">
        <v>1</v>
      </c>
      <c r="H613">
        <f>(F613+E613)/C613</f>
        <v>1.1666666666666667</v>
      </c>
    </row>
    <row r="614" spans="1:9" customFormat="1" ht="16" hidden="1" x14ac:dyDescent="0.2">
      <c r="A614" s="8">
        <v>105785</v>
      </c>
      <c r="B614" s="8" t="s">
        <v>353</v>
      </c>
      <c r="C614" s="8">
        <v>1993</v>
      </c>
      <c r="D614" s="8" t="s">
        <v>340</v>
      </c>
      <c r="E614" s="8">
        <v>2213</v>
      </c>
      <c r="F614" s="10">
        <v>109</v>
      </c>
      <c r="G614" s="8">
        <v>1.110386352232815</v>
      </c>
      <c r="H614">
        <f>(F614+E614)/C614</f>
        <v>1.1650777722027095</v>
      </c>
      <c r="I614" s="8"/>
    </row>
    <row r="615" spans="1:9" hidden="1" x14ac:dyDescent="0.2">
      <c r="A615">
        <v>100003</v>
      </c>
      <c r="B615" t="s">
        <v>339</v>
      </c>
      <c r="C615">
        <v>70</v>
      </c>
      <c r="D615" t="s">
        <v>340</v>
      </c>
      <c r="E615">
        <v>81</v>
      </c>
      <c r="F615">
        <v>0</v>
      </c>
      <c r="G615">
        <v>1.157142857142857</v>
      </c>
      <c r="H615">
        <f>(F615+E615)/C615</f>
        <v>1.1571428571428573</v>
      </c>
      <c r="I615"/>
    </row>
    <row r="616" spans="1:9" customFormat="1" hidden="1" x14ac:dyDescent="0.2">
      <c r="A616">
        <v>110851</v>
      </c>
      <c r="B616" t="s">
        <v>21</v>
      </c>
      <c r="C616">
        <v>96</v>
      </c>
      <c r="D616" t="s">
        <v>8</v>
      </c>
      <c r="E616">
        <v>99</v>
      </c>
      <c r="F616">
        <v>12</v>
      </c>
      <c r="G616">
        <v>1.03125</v>
      </c>
      <c r="H616">
        <f>(F616+E616)/C616</f>
        <v>1.15625</v>
      </c>
    </row>
    <row r="617" spans="1:9" customFormat="1" ht="16" hidden="1" x14ac:dyDescent="0.2">
      <c r="A617" s="8">
        <v>112129</v>
      </c>
      <c r="B617" s="8" t="s">
        <v>541</v>
      </c>
      <c r="C617" s="8">
        <v>538</v>
      </c>
      <c r="D617" s="8" t="s">
        <v>340</v>
      </c>
      <c r="E617" s="8">
        <v>577</v>
      </c>
      <c r="F617" s="10">
        <v>44</v>
      </c>
      <c r="G617" s="8">
        <v>1.0724907063197029</v>
      </c>
      <c r="H617">
        <f>(F617+E617)/C617</f>
        <v>1.1542750929368031</v>
      </c>
      <c r="I617" s="8"/>
    </row>
    <row r="618" spans="1:9" customFormat="1" hidden="1" x14ac:dyDescent="0.2">
      <c r="A618">
        <v>107245</v>
      </c>
      <c r="B618" t="s">
        <v>72</v>
      </c>
      <c r="C618">
        <v>160</v>
      </c>
      <c r="D618" t="s">
        <v>48</v>
      </c>
      <c r="E618">
        <v>28</v>
      </c>
      <c r="F618">
        <v>156</v>
      </c>
      <c r="G618">
        <v>0.17499999999999999</v>
      </c>
      <c r="H618">
        <f>(F618+E618)/C618</f>
        <v>1.1499999999999999</v>
      </c>
    </row>
    <row r="619" spans="1:9" customFormat="1" hidden="1" x14ac:dyDescent="0.2">
      <c r="A619">
        <v>111064</v>
      </c>
      <c r="B619" t="s">
        <v>534</v>
      </c>
      <c r="C619">
        <v>327</v>
      </c>
      <c r="D619" t="s">
        <v>340</v>
      </c>
      <c r="E619">
        <v>375</v>
      </c>
      <c r="F619">
        <v>0</v>
      </c>
      <c r="G619">
        <v>1.1467889908256881</v>
      </c>
      <c r="H619">
        <f>(F619+E619)/C619</f>
        <v>1.1467889908256881</v>
      </c>
    </row>
    <row r="620" spans="1:9" customFormat="1" hidden="1" x14ac:dyDescent="0.2">
      <c r="A620">
        <v>316023</v>
      </c>
      <c r="B620" t="s">
        <v>774</v>
      </c>
      <c r="C620">
        <v>28</v>
      </c>
      <c r="D620" t="s">
        <v>340</v>
      </c>
      <c r="E620">
        <v>32</v>
      </c>
      <c r="F620">
        <v>0</v>
      </c>
      <c r="G620">
        <v>1.142857142857143</v>
      </c>
      <c r="H620">
        <f>(F620+E620)/C620</f>
        <v>1.1428571428571428</v>
      </c>
    </row>
    <row r="621" spans="1:9" customFormat="1" hidden="1" x14ac:dyDescent="0.2">
      <c r="A621">
        <v>148039</v>
      </c>
      <c r="B621" t="s">
        <v>1025</v>
      </c>
      <c r="C621">
        <v>7</v>
      </c>
      <c r="D621" t="s">
        <v>923</v>
      </c>
      <c r="E621">
        <v>8</v>
      </c>
      <c r="F621">
        <v>0</v>
      </c>
      <c r="G621">
        <v>1.142857142857143</v>
      </c>
      <c r="H621">
        <f>(F621+E621)/C621</f>
        <v>1.1428571428571428</v>
      </c>
    </row>
    <row r="622" spans="1:9" customFormat="1" ht="16" hidden="1" x14ac:dyDescent="0.2">
      <c r="A622" s="8">
        <v>108787</v>
      </c>
      <c r="B622" s="9" t="s">
        <v>458</v>
      </c>
      <c r="C622" s="8">
        <v>718</v>
      </c>
      <c r="D622" s="8" t="s">
        <v>340</v>
      </c>
      <c r="E622" s="8">
        <v>807</v>
      </c>
      <c r="F622" s="8">
        <v>13</v>
      </c>
      <c r="G622" s="8">
        <v>1.123955431754875</v>
      </c>
      <c r="H622">
        <f>(F622+E622)/C622</f>
        <v>1.1420612813370474</v>
      </c>
      <c r="I622" s="8"/>
    </row>
    <row r="623" spans="1:9" customFormat="1" hidden="1" x14ac:dyDescent="0.2">
      <c r="A623">
        <v>109719</v>
      </c>
      <c r="B623" t="s">
        <v>494</v>
      </c>
      <c r="C623">
        <v>85</v>
      </c>
      <c r="D623" t="s">
        <v>340</v>
      </c>
      <c r="E623">
        <v>88</v>
      </c>
      <c r="F623">
        <v>9</v>
      </c>
      <c r="G623">
        <v>1.0352941176470589</v>
      </c>
      <c r="H623">
        <f>(F623+E623)/C623</f>
        <v>1.1411764705882352</v>
      </c>
    </row>
    <row r="624" spans="1:9" customFormat="1" hidden="1" x14ac:dyDescent="0.2">
      <c r="A624">
        <v>174235</v>
      </c>
      <c r="B624" t="s">
        <v>707</v>
      </c>
      <c r="C624">
        <v>44</v>
      </c>
      <c r="D624" t="s">
        <v>340</v>
      </c>
      <c r="E624">
        <v>23</v>
      </c>
      <c r="F624">
        <v>27</v>
      </c>
      <c r="G624">
        <v>0.52272727272727271</v>
      </c>
      <c r="H624">
        <f>(F624+E624)/C624</f>
        <v>1.1363636363636365</v>
      </c>
    </row>
    <row r="625" spans="1:9" customFormat="1" hidden="1" x14ac:dyDescent="0.2">
      <c r="A625">
        <v>480877</v>
      </c>
      <c r="B625" t="s">
        <v>857</v>
      </c>
      <c r="C625">
        <v>15</v>
      </c>
      <c r="D625" t="s">
        <v>340</v>
      </c>
      <c r="E625">
        <v>17</v>
      </c>
      <c r="F625">
        <v>0</v>
      </c>
      <c r="G625">
        <v>1.1333333333333331</v>
      </c>
      <c r="H625">
        <f>(F625+E625)/C625</f>
        <v>1.1333333333333333</v>
      </c>
    </row>
    <row r="626" spans="1:9" customFormat="1" hidden="1" x14ac:dyDescent="0.2">
      <c r="A626">
        <v>459200</v>
      </c>
      <c r="B626" t="s">
        <v>268</v>
      </c>
      <c r="C626">
        <v>98</v>
      </c>
      <c r="D626" t="s">
        <v>48</v>
      </c>
      <c r="E626">
        <v>35</v>
      </c>
      <c r="F626">
        <v>76</v>
      </c>
      <c r="G626">
        <v>0.35714285714285721</v>
      </c>
      <c r="H626">
        <f>(F626+E626)/C626</f>
        <v>1.1326530612244898</v>
      </c>
    </row>
    <row r="627" spans="1:9" customFormat="1" hidden="1" x14ac:dyDescent="0.2">
      <c r="A627">
        <v>109353</v>
      </c>
      <c r="B627" t="s">
        <v>482</v>
      </c>
      <c r="C627">
        <v>40</v>
      </c>
      <c r="D627" t="s">
        <v>340</v>
      </c>
      <c r="E627">
        <v>31</v>
      </c>
      <c r="F627">
        <v>14</v>
      </c>
      <c r="G627">
        <v>0.77500000000000002</v>
      </c>
      <c r="H627">
        <f>(F627+E627)/C627</f>
        <v>1.125</v>
      </c>
    </row>
    <row r="628" spans="1:9" customFormat="1" ht="16" hidden="1" x14ac:dyDescent="0.2">
      <c r="A628" s="8">
        <v>126746</v>
      </c>
      <c r="B628" s="8" t="s">
        <v>631</v>
      </c>
      <c r="C628" s="8">
        <v>516</v>
      </c>
      <c r="D628" s="8" t="s">
        <v>340</v>
      </c>
      <c r="E628" s="8">
        <v>530</v>
      </c>
      <c r="F628" s="10">
        <v>49</v>
      </c>
      <c r="G628" s="8">
        <v>1.027131782945736</v>
      </c>
      <c r="H628">
        <f>(F628+E628)/C628</f>
        <v>1.1220930232558139</v>
      </c>
      <c r="I628" s="8"/>
    </row>
    <row r="629" spans="1:9" customFormat="1" hidden="1" x14ac:dyDescent="0.2">
      <c r="A629">
        <v>109470</v>
      </c>
      <c r="B629" t="s">
        <v>16</v>
      </c>
      <c r="C629">
        <v>33</v>
      </c>
      <c r="D629" t="s">
        <v>8</v>
      </c>
      <c r="E629">
        <v>32</v>
      </c>
      <c r="F629">
        <v>5</v>
      </c>
      <c r="G629">
        <v>0.96969696969696972</v>
      </c>
      <c r="H629">
        <f>(F629+E629)/C629</f>
        <v>1.1212121212121211</v>
      </c>
    </row>
    <row r="630" spans="1:9" customFormat="1" ht="16" hidden="1" x14ac:dyDescent="0.2">
      <c r="A630" s="8">
        <v>165629</v>
      </c>
      <c r="B630" s="8" t="s">
        <v>212</v>
      </c>
      <c r="C630" s="8">
        <v>535</v>
      </c>
      <c r="D630" s="8" t="s">
        <v>48</v>
      </c>
      <c r="E630" s="8">
        <v>555</v>
      </c>
      <c r="F630" s="10">
        <v>44</v>
      </c>
      <c r="G630" s="8">
        <v>1.037383177570093</v>
      </c>
      <c r="H630">
        <f>(F630+E630)/C630</f>
        <v>1.1196261682242992</v>
      </c>
      <c r="I630" s="8"/>
    </row>
    <row r="631" spans="1:9" customFormat="1" hidden="1" x14ac:dyDescent="0.2">
      <c r="A631" t="s">
        <v>333</v>
      </c>
      <c r="B631" t="s">
        <v>334</v>
      </c>
      <c r="C631">
        <v>57</v>
      </c>
      <c r="D631" t="s">
        <v>48</v>
      </c>
      <c r="E631">
        <v>58</v>
      </c>
      <c r="F631">
        <v>5</v>
      </c>
      <c r="G631">
        <v>1.0175438596491231</v>
      </c>
      <c r="H631">
        <f>(F631+E631)/C631</f>
        <v>1.1052631578947369</v>
      </c>
    </row>
    <row r="632" spans="1:9" customFormat="1" hidden="1" x14ac:dyDescent="0.2">
      <c r="A632">
        <v>225076</v>
      </c>
      <c r="B632" t="s">
        <v>236</v>
      </c>
      <c r="C632">
        <v>237</v>
      </c>
      <c r="D632" t="s">
        <v>48</v>
      </c>
      <c r="E632">
        <v>190</v>
      </c>
      <c r="F632">
        <v>69</v>
      </c>
      <c r="G632">
        <v>0.80168776371308015</v>
      </c>
      <c r="H632">
        <f>(F632+E632)/C632</f>
        <v>1.0928270042194093</v>
      </c>
    </row>
    <row r="633" spans="1:9" customFormat="1" hidden="1" x14ac:dyDescent="0.2">
      <c r="A633">
        <v>109712</v>
      </c>
      <c r="B633" t="s">
        <v>963</v>
      </c>
      <c r="C633">
        <v>304</v>
      </c>
      <c r="D633" t="s">
        <v>923</v>
      </c>
      <c r="E633">
        <v>127</v>
      </c>
      <c r="F633">
        <v>205</v>
      </c>
      <c r="G633">
        <v>0.41776315789473678</v>
      </c>
      <c r="H633">
        <f>(F633+E633)/C633</f>
        <v>1.0921052631578947</v>
      </c>
    </row>
    <row r="634" spans="1:9" customFormat="1" hidden="1" x14ac:dyDescent="0.2">
      <c r="A634">
        <v>115314</v>
      </c>
      <c r="B634" t="s">
        <v>595</v>
      </c>
      <c r="C634">
        <v>487</v>
      </c>
      <c r="D634" t="s">
        <v>340</v>
      </c>
      <c r="E634">
        <v>531</v>
      </c>
      <c r="F634">
        <v>0</v>
      </c>
      <c r="G634">
        <v>1.0903490759753589</v>
      </c>
      <c r="H634">
        <f>(F634+E634)/C634</f>
        <v>1.0903490759753593</v>
      </c>
    </row>
    <row r="635" spans="1:9" customFormat="1" hidden="1" x14ac:dyDescent="0.2">
      <c r="A635">
        <v>132066</v>
      </c>
      <c r="B635" t="s">
        <v>643</v>
      </c>
      <c r="C635">
        <v>133</v>
      </c>
      <c r="D635" t="s">
        <v>340</v>
      </c>
      <c r="E635">
        <v>145</v>
      </c>
      <c r="F635">
        <v>0</v>
      </c>
      <c r="G635">
        <v>1.090225563909774</v>
      </c>
      <c r="H635">
        <f>(F635+E635)/C635</f>
        <v>1.0902255639097744</v>
      </c>
    </row>
    <row r="636" spans="1:9" customFormat="1" hidden="1" x14ac:dyDescent="0.2">
      <c r="A636">
        <v>109232</v>
      </c>
      <c r="B636" t="s">
        <v>475</v>
      </c>
      <c r="C636">
        <v>60</v>
      </c>
      <c r="D636" t="s">
        <v>340</v>
      </c>
      <c r="E636">
        <v>30</v>
      </c>
      <c r="F636">
        <v>35</v>
      </c>
      <c r="G636">
        <v>0.5</v>
      </c>
      <c r="H636">
        <f>(F636+E636)/C636</f>
        <v>1.0833333333333333</v>
      </c>
    </row>
    <row r="637" spans="1:9" customFormat="1" hidden="1" x14ac:dyDescent="0.2">
      <c r="A637">
        <v>107189</v>
      </c>
      <c r="B637" t="s">
        <v>400</v>
      </c>
      <c r="C637">
        <v>25</v>
      </c>
      <c r="D637" t="s">
        <v>340</v>
      </c>
      <c r="E637">
        <v>27</v>
      </c>
      <c r="F637">
        <v>0</v>
      </c>
      <c r="G637">
        <v>1.08</v>
      </c>
      <c r="H637">
        <f>(F637+E637)/C637</f>
        <v>1.08</v>
      </c>
    </row>
    <row r="638" spans="1:9" customFormat="1" hidden="1" x14ac:dyDescent="0.2">
      <c r="A638">
        <v>112123</v>
      </c>
      <c r="B638" t="s">
        <v>540</v>
      </c>
      <c r="C638">
        <v>27</v>
      </c>
      <c r="D638" t="s">
        <v>340</v>
      </c>
      <c r="E638">
        <v>29</v>
      </c>
      <c r="F638">
        <v>0</v>
      </c>
      <c r="G638">
        <v>1.074074074074074</v>
      </c>
      <c r="H638">
        <f>(F638+E638)/C638</f>
        <v>1.0740740740740742</v>
      </c>
    </row>
    <row r="639" spans="1:9" customFormat="1" hidden="1" x14ac:dyDescent="0.2">
      <c r="A639">
        <v>513431</v>
      </c>
      <c r="B639" t="s">
        <v>1105</v>
      </c>
      <c r="C639">
        <v>208</v>
      </c>
      <c r="D639" t="s">
        <v>923</v>
      </c>
      <c r="E639">
        <v>212</v>
      </c>
      <c r="F639">
        <v>11</v>
      </c>
      <c r="G639">
        <v>1.0192307692307689</v>
      </c>
      <c r="H639">
        <f>(F639+E639)/C639</f>
        <v>1.0721153846153846</v>
      </c>
    </row>
    <row r="640" spans="1:9" customFormat="1" hidden="1" x14ac:dyDescent="0.2">
      <c r="A640">
        <v>127414</v>
      </c>
      <c r="B640" t="s">
        <v>633</v>
      </c>
      <c r="C640">
        <v>59</v>
      </c>
      <c r="D640" t="s">
        <v>340</v>
      </c>
      <c r="E640">
        <v>63</v>
      </c>
      <c r="F640">
        <v>0</v>
      </c>
      <c r="G640">
        <v>1.067796610169492</v>
      </c>
      <c r="H640">
        <f>(F640+E640)/C640</f>
        <v>1.0677966101694916</v>
      </c>
    </row>
    <row r="641" spans="1:8" customFormat="1" hidden="1" x14ac:dyDescent="0.2">
      <c r="A641">
        <v>105756</v>
      </c>
      <c r="B641" t="s">
        <v>350</v>
      </c>
      <c r="C641">
        <v>195</v>
      </c>
      <c r="D641" t="s">
        <v>340</v>
      </c>
      <c r="E641">
        <v>111</v>
      </c>
      <c r="F641">
        <v>97</v>
      </c>
      <c r="G641">
        <v>0.56923076923076921</v>
      </c>
      <c r="H641">
        <f>(F641+E641)/C641</f>
        <v>1.0666666666666667</v>
      </c>
    </row>
    <row r="642" spans="1:8" customFormat="1" hidden="1" x14ac:dyDescent="0.2">
      <c r="A642">
        <v>109685</v>
      </c>
      <c r="B642" t="s">
        <v>489</v>
      </c>
      <c r="C642">
        <v>219</v>
      </c>
      <c r="D642" t="s">
        <v>340</v>
      </c>
      <c r="E642">
        <v>233</v>
      </c>
      <c r="F642">
        <v>0</v>
      </c>
      <c r="G642">
        <v>1.06392694063927</v>
      </c>
      <c r="H642">
        <f>(F642+E642)/C642</f>
        <v>1.0639269406392695</v>
      </c>
    </row>
    <row r="643" spans="1:8" customFormat="1" hidden="1" x14ac:dyDescent="0.2">
      <c r="A643">
        <v>135122</v>
      </c>
      <c r="B643" t="s">
        <v>650</v>
      </c>
      <c r="C643">
        <v>862</v>
      </c>
      <c r="D643" t="s">
        <v>340</v>
      </c>
      <c r="E643">
        <v>177</v>
      </c>
      <c r="F643">
        <v>739</v>
      </c>
      <c r="G643">
        <v>0.2053364269141531</v>
      </c>
      <c r="H643">
        <f>(F643+E643)/C643</f>
        <v>1.0626450116009281</v>
      </c>
    </row>
    <row r="644" spans="1:8" customFormat="1" hidden="1" x14ac:dyDescent="0.2">
      <c r="A644">
        <v>169787</v>
      </c>
      <c r="B644" t="s">
        <v>699</v>
      </c>
      <c r="C644">
        <v>515</v>
      </c>
      <c r="D644" t="s">
        <v>340</v>
      </c>
      <c r="E644">
        <v>430</v>
      </c>
      <c r="F644">
        <v>117</v>
      </c>
      <c r="G644">
        <v>0.83495145631067957</v>
      </c>
      <c r="H644">
        <f>(F644+E644)/C644</f>
        <v>1.062135922330097</v>
      </c>
    </row>
    <row r="645" spans="1:8" customFormat="1" hidden="1" x14ac:dyDescent="0.2">
      <c r="A645">
        <v>318425</v>
      </c>
      <c r="B645" t="s">
        <v>777</v>
      </c>
      <c r="C645">
        <v>25</v>
      </c>
      <c r="D645" t="s">
        <v>340</v>
      </c>
      <c r="E645">
        <v>26</v>
      </c>
      <c r="F645">
        <v>0</v>
      </c>
      <c r="G645">
        <v>1.04</v>
      </c>
      <c r="H645">
        <f>(F645+E645)/C645</f>
        <v>1.04</v>
      </c>
    </row>
    <row r="646" spans="1:8" customFormat="1" hidden="1" x14ac:dyDescent="0.2">
      <c r="A646">
        <v>108436</v>
      </c>
      <c r="B646" t="s">
        <v>83</v>
      </c>
      <c r="C646">
        <v>53</v>
      </c>
      <c r="D646" t="s">
        <v>48</v>
      </c>
      <c r="E646">
        <v>43</v>
      </c>
      <c r="F646">
        <v>12</v>
      </c>
      <c r="G646">
        <v>0.81132075471698117</v>
      </c>
      <c r="H646">
        <f>(F646+E646)/C646</f>
        <v>1.0377358490566038</v>
      </c>
    </row>
    <row r="647" spans="1:8" customFormat="1" hidden="1" x14ac:dyDescent="0.2">
      <c r="A647">
        <v>109256</v>
      </c>
      <c r="B647" t="s">
        <v>478</v>
      </c>
      <c r="C647">
        <v>82</v>
      </c>
      <c r="D647" t="s">
        <v>340</v>
      </c>
      <c r="E647">
        <v>85</v>
      </c>
      <c r="F647">
        <v>0</v>
      </c>
      <c r="G647">
        <v>1.036585365853659</v>
      </c>
      <c r="H647">
        <f>(F647+E647)/C647</f>
        <v>1.0365853658536586</v>
      </c>
    </row>
    <row r="648" spans="1:8" customFormat="1" hidden="1" x14ac:dyDescent="0.2">
      <c r="A648">
        <v>238617</v>
      </c>
      <c r="B648" t="s">
        <v>239</v>
      </c>
      <c r="C648">
        <v>30</v>
      </c>
      <c r="D648" t="s">
        <v>48</v>
      </c>
      <c r="E648">
        <v>16</v>
      </c>
      <c r="F648">
        <v>15</v>
      </c>
      <c r="G648">
        <v>0.53333333333333333</v>
      </c>
      <c r="H648">
        <f>(F648+E648)/C648</f>
        <v>1.0333333333333334</v>
      </c>
    </row>
    <row r="649" spans="1:8" customFormat="1" hidden="1" x14ac:dyDescent="0.2">
      <c r="A649">
        <v>143994</v>
      </c>
      <c r="B649" t="s">
        <v>661</v>
      </c>
      <c r="C649">
        <v>31</v>
      </c>
      <c r="D649" t="s">
        <v>340</v>
      </c>
      <c r="E649">
        <v>13</v>
      </c>
      <c r="F649">
        <v>19</v>
      </c>
      <c r="G649">
        <v>0.41935483870967738</v>
      </c>
      <c r="H649">
        <f>(F649+E649)/C649</f>
        <v>1.032258064516129</v>
      </c>
    </row>
    <row r="650" spans="1:8" customFormat="1" hidden="1" x14ac:dyDescent="0.2">
      <c r="A650">
        <v>193540</v>
      </c>
      <c r="B650" t="s">
        <v>719</v>
      </c>
      <c r="C650">
        <v>80</v>
      </c>
      <c r="D650" t="s">
        <v>340</v>
      </c>
      <c r="E650">
        <v>82</v>
      </c>
      <c r="F650">
        <v>0</v>
      </c>
      <c r="G650">
        <v>1.0249999999999999</v>
      </c>
      <c r="H650">
        <f>(F650+E650)/C650</f>
        <v>1.0249999999999999</v>
      </c>
    </row>
    <row r="651" spans="1:8" customFormat="1" hidden="1" x14ac:dyDescent="0.2">
      <c r="A651">
        <v>208174</v>
      </c>
      <c r="B651" t="s">
        <v>730</v>
      </c>
      <c r="C651">
        <v>51</v>
      </c>
      <c r="D651" t="s">
        <v>340</v>
      </c>
      <c r="E651">
        <v>52</v>
      </c>
      <c r="F651">
        <v>0</v>
      </c>
      <c r="G651">
        <v>1.0196078431372551</v>
      </c>
      <c r="H651">
        <f>(F651+E651)/C651</f>
        <v>1.0196078431372548</v>
      </c>
    </row>
    <row r="652" spans="1:8" customFormat="1" hidden="1" x14ac:dyDescent="0.2">
      <c r="A652">
        <v>106627</v>
      </c>
      <c r="B652" t="s">
        <v>931</v>
      </c>
      <c r="C652">
        <v>80</v>
      </c>
      <c r="D652" t="s">
        <v>923</v>
      </c>
      <c r="E652">
        <v>45</v>
      </c>
      <c r="F652">
        <v>36</v>
      </c>
      <c r="G652">
        <v>0.5625</v>
      </c>
      <c r="H652">
        <f>(F652+E652)/C652</f>
        <v>1.0125</v>
      </c>
    </row>
    <row r="653" spans="1:8" customFormat="1" hidden="1" x14ac:dyDescent="0.2">
      <c r="A653">
        <v>216931</v>
      </c>
      <c r="B653" t="s">
        <v>735</v>
      </c>
      <c r="C653">
        <v>106</v>
      </c>
      <c r="D653" t="s">
        <v>340</v>
      </c>
      <c r="E653">
        <v>50</v>
      </c>
      <c r="F653">
        <v>57</v>
      </c>
      <c r="G653">
        <v>0.47169811320754718</v>
      </c>
      <c r="H653">
        <f>(F653+E653)/C653</f>
        <v>1.0094339622641511</v>
      </c>
    </row>
    <row r="654" spans="1:8" customFormat="1" hidden="1" x14ac:dyDescent="0.2">
      <c r="A654">
        <v>123145</v>
      </c>
      <c r="B654" t="s">
        <v>28</v>
      </c>
      <c r="C654">
        <v>14</v>
      </c>
      <c r="D654" t="s">
        <v>8</v>
      </c>
      <c r="E654">
        <v>14</v>
      </c>
      <c r="F654">
        <v>0</v>
      </c>
      <c r="G654">
        <v>1</v>
      </c>
      <c r="H654">
        <f>(F654+E654)/C654</f>
        <v>1</v>
      </c>
    </row>
    <row r="655" spans="1:8" customFormat="1" hidden="1" x14ac:dyDescent="0.2">
      <c r="A655">
        <v>327314</v>
      </c>
      <c r="B655" t="s">
        <v>36</v>
      </c>
      <c r="C655">
        <v>3</v>
      </c>
      <c r="D655" t="s">
        <v>8</v>
      </c>
      <c r="E655">
        <v>3</v>
      </c>
      <c r="F655">
        <v>0</v>
      </c>
      <c r="G655">
        <v>1</v>
      </c>
      <c r="H655">
        <f>(F655+E655)/C655</f>
        <v>1</v>
      </c>
    </row>
    <row r="656" spans="1:8" customFormat="1" hidden="1" x14ac:dyDescent="0.2">
      <c r="A656">
        <v>148395</v>
      </c>
      <c r="B656" t="s">
        <v>190</v>
      </c>
      <c r="C656">
        <v>10</v>
      </c>
      <c r="D656" t="s">
        <v>48</v>
      </c>
      <c r="E656">
        <v>10</v>
      </c>
      <c r="F656">
        <v>0</v>
      </c>
      <c r="G656">
        <v>1</v>
      </c>
      <c r="H656">
        <f>(F656+E656)/C656</f>
        <v>1</v>
      </c>
    </row>
    <row r="657" spans="1:8" customFormat="1" hidden="1" x14ac:dyDescent="0.2">
      <c r="A657">
        <v>303942</v>
      </c>
      <c r="B657" t="s">
        <v>244</v>
      </c>
      <c r="C657">
        <v>4</v>
      </c>
      <c r="D657" t="s">
        <v>48</v>
      </c>
      <c r="E657">
        <v>4</v>
      </c>
      <c r="F657">
        <v>0</v>
      </c>
      <c r="G657">
        <v>1</v>
      </c>
      <c r="H657">
        <f>(F657+E657)/C657</f>
        <v>1</v>
      </c>
    </row>
    <row r="658" spans="1:8" customFormat="1" hidden="1" x14ac:dyDescent="0.2">
      <c r="A658">
        <v>466446</v>
      </c>
      <c r="B658" t="s">
        <v>283</v>
      </c>
      <c r="C658">
        <v>2</v>
      </c>
      <c r="D658" t="s">
        <v>48</v>
      </c>
      <c r="E658">
        <v>2</v>
      </c>
      <c r="F658">
        <v>0</v>
      </c>
      <c r="G658">
        <v>1</v>
      </c>
      <c r="H658">
        <f>(F658+E658)/C658</f>
        <v>1</v>
      </c>
    </row>
    <row r="659" spans="1:8" customFormat="1" hidden="1" x14ac:dyDescent="0.2">
      <c r="A659">
        <v>106950</v>
      </c>
      <c r="B659" t="s">
        <v>391</v>
      </c>
      <c r="C659">
        <v>30</v>
      </c>
      <c r="D659" t="s">
        <v>340</v>
      </c>
      <c r="E659">
        <v>26</v>
      </c>
      <c r="F659">
        <v>4</v>
      </c>
      <c r="G659">
        <v>0.8666666666666667</v>
      </c>
      <c r="H659">
        <f>(F659+E659)/C659</f>
        <v>1</v>
      </c>
    </row>
    <row r="660" spans="1:8" customFormat="1" hidden="1" x14ac:dyDescent="0.2">
      <c r="A660">
        <v>108080</v>
      </c>
      <c r="B660" t="s">
        <v>430</v>
      </c>
      <c r="C660">
        <v>152</v>
      </c>
      <c r="D660" t="s">
        <v>340</v>
      </c>
      <c r="E660">
        <v>152</v>
      </c>
      <c r="F660">
        <v>0</v>
      </c>
      <c r="G660">
        <v>1</v>
      </c>
      <c r="H660">
        <f>(F660+E660)/C660</f>
        <v>1</v>
      </c>
    </row>
    <row r="661" spans="1:8" customFormat="1" hidden="1" x14ac:dyDescent="0.2">
      <c r="A661">
        <v>110385</v>
      </c>
      <c r="B661" t="s">
        <v>514</v>
      </c>
      <c r="C661">
        <v>9</v>
      </c>
      <c r="D661" t="s">
        <v>340</v>
      </c>
      <c r="E661">
        <v>9</v>
      </c>
      <c r="F661">
        <v>0</v>
      </c>
      <c r="G661">
        <v>1</v>
      </c>
      <c r="H661">
        <f>(F661+E661)/C661</f>
        <v>1</v>
      </c>
    </row>
    <row r="662" spans="1:8" customFormat="1" hidden="1" x14ac:dyDescent="0.2">
      <c r="A662">
        <v>193887</v>
      </c>
      <c r="B662" t="s">
        <v>720</v>
      </c>
      <c r="C662">
        <v>6</v>
      </c>
      <c r="D662" t="s">
        <v>340</v>
      </c>
      <c r="E662">
        <v>6</v>
      </c>
      <c r="F662">
        <v>0</v>
      </c>
      <c r="G662">
        <v>1</v>
      </c>
      <c r="H662">
        <f>(F662+E662)/C662</f>
        <v>1</v>
      </c>
    </row>
    <row r="663" spans="1:8" customFormat="1" hidden="1" x14ac:dyDescent="0.2">
      <c r="A663">
        <v>461447</v>
      </c>
      <c r="B663" t="s">
        <v>822</v>
      </c>
      <c r="C663">
        <v>1</v>
      </c>
      <c r="D663" t="s">
        <v>340</v>
      </c>
      <c r="E663">
        <v>1</v>
      </c>
      <c r="F663">
        <v>0</v>
      </c>
      <c r="G663">
        <v>1</v>
      </c>
      <c r="H663">
        <f>(F663+E663)/C663</f>
        <v>1</v>
      </c>
    </row>
    <row r="664" spans="1:8" customFormat="1" hidden="1" x14ac:dyDescent="0.2">
      <c r="A664">
        <v>477653</v>
      </c>
      <c r="B664" t="s">
        <v>853</v>
      </c>
      <c r="C664">
        <v>3</v>
      </c>
      <c r="D664" t="s">
        <v>340</v>
      </c>
      <c r="E664">
        <v>0</v>
      </c>
      <c r="F664">
        <v>3</v>
      </c>
      <c r="G664">
        <v>0</v>
      </c>
      <c r="H664">
        <f>(F664+E664)/C664</f>
        <v>1</v>
      </c>
    </row>
    <row r="665" spans="1:8" customFormat="1" hidden="1" x14ac:dyDescent="0.2">
      <c r="A665">
        <v>114492</v>
      </c>
      <c r="B665" t="s">
        <v>993</v>
      </c>
      <c r="C665">
        <v>10</v>
      </c>
      <c r="D665" t="s">
        <v>923</v>
      </c>
      <c r="E665">
        <v>10</v>
      </c>
      <c r="F665">
        <v>0</v>
      </c>
      <c r="G665">
        <v>1</v>
      </c>
      <c r="H665">
        <f>(F665+E665)/C665</f>
        <v>1</v>
      </c>
    </row>
    <row r="666" spans="1:8" customFormat="1" hidden="1" x14ac:dyDescent="0.2">
      <c r="A666">
        <v>499976</v>
      </c>
      <c r="B666" t="s">
        <v>872</v>
      </c>
      <c r="C666">
        <v>266</v>
      </c>
      <c r="D666" t="s">
        <v>340</v>
      </c>
      <c r="E666">
        <v>256</v>
      </c>
      <c r="F666">
        <v>6</v>
      </c>
      <c r="G666">
        <v>0.96240601503759393</v>
      </c>
      <c r="H666">
        <f>(F666+E666)/C666</f>
        <v>0.98496240601503759</v>
      </c>
    </row>
    <row r="667" spans="1:8" customFormat="1" hidden="1" x14ac:dyDescent="0.2">
      <c r="A667">
        <v>108490</v>
      </c>
      <c r="B667" t="s">
        <v>449</v>
      </c>
      <c r="C667">
        <v>2088</v>
      </c>
      <c r="D667" t="s">
        <v>340</v>
      </c>
      <c r="E667">
        <v>2047</v>
      </c>
      <c r="F667">
        <v>2</v>
      </c>
      <c r="G667">
        <v>0.9803639846743295</v>
      </c>
      <c r="H667">
        <f>(F667+E667)/C667</f>
        <v>0.98132183908045978</v>
      </c>
    </row>
    <row r="668" spans="1:8" customFormat="1" hidden="1" x14ac:dyDescent="0.2">
      <c r="A668">
        <v>491619</v>
      </c>
      <c r="B668" t="s">
        <v>302</v>
      </c>
      <c r="C668">
        <v>43</v>
      </c>
      <c r="D668" t="s">
        <v>48</v>
      </c>
      <c r="E668">
        <v>41</v>
      </c>
      <c r="F668">
        <v>1</v>
      </c>
      <c r="G668">
        <v>0.95348837209302328</v>
      </c>
      <c r="H668">
        <f>(F668+E668)/C668</f>
        <v>0.97674418604651159</v>
      </c>
    </row>
    <row r="669" spans="1:8" customFormat="1" hidden="1" x14ac:dyDescent="0.2">
      <c r="A669">
        <v>146835</v>
      </c>
      <c r="B669" t="s">
        <v>187</v>
      </c>
      <c r="C669">
        <v>198</v>
      </c>
      <c r="D669" t="s">
        <v>48</v>
      </c>
      <c r="E669">
        <v>192</v>
      </c>
      <c r="F669">
        <v>1</v>
      </c>
      <c r="G669">
        <v>0.96969696969696972</v>
      </c>
      <c r="H669">
        <f>(F669+E669)/C669</f>
        <v>0.9747474747474747</v>
      </c>
    </row>
    <row r="670" spans="1:8" customFormat="1" hidden="1" x14ac:dyDescent="0.2">
      <c r="A670">
        <v>112277</v>
      </c>
      <c r="B670" t="s">
        <v>546</v>
      </c>
      <c r="C670">
        <v>215</v>
      </c>
      <c r="D670" t="s">
        <v>340</v>
      </c>
      <c r="E670">
        <v>161</v>
      </c>
      <c r="F670">
        <v>48</v>
      </c>
      <c r="G670">
        <v>0.74883720930232556</v>
      </c>
      <c r="H670">
        <f>(F670+E670)/C670</f>
        <v>0.97209302325581393</v>
      </c>
    </row>
    <row r="671" spans="1:8" customFormat="1" hidden="1" x14ac:dyDescent="0.2">
      <c r="A671">
        <v>486792</v>
      </c>
      <c r="B671" t="s">
        <v>863</v>
      </c>
      <c r="C671">
        <v>34</v>
      </c>
      <c r="D671" t="s">
        <v>340</v>
      </c>
      <c r="E671">
        <v>26</v>
      </c>
      <c r="F671">
        <v>7</v>
      </c>
      <c r="G671">
        <v>0.76470588235294112</v>
      </c>
      <c r="H671">
        <f>(F671+E671)/C671</f>
        <v>0.97058823529411764</v>
      </c>
    </row>
    <row r="672" spans="1:8" customFormat="1" hidden="1" x14ac:dyDescent="0.2">
      <c r="A672" t="s">
        <v>906</v>
      </c>
      <c r="B672" t="s">
        <v>907</v>
      </c>
      <c r="C672">
        <v>2119</v>
      </c>
      <c r="D672" t="s">
        <v>340</v>
      </c>
      <c r="E672">
        <v>283</v>
      </c>
      <c r="F672">
        <v>1764</v>
      </c>
      <c r="G672">
        <v>0.1335535630014158</v>
      </c>
      <c r="H672">
        <f>(F672+E672)/C672</f>
        <v>0.96602170835299672</v>
      </c>
    </row>
    <row r="673" spans="1:8" customFormat="1" hidden="1" x14ac:dyDescent="0.2">
      <c r="A673">
        <v>135368</v>
      </c>
      <c r="B673" t="s">
        <v>652</v>
      </c>
      <c r="C673">
        <v>139</v>
      </c>
      <c r="D673" t="s">
        <v>340</v>
      </c>
      <c r="E673">
        <v>108</v>
      </c>
      <c r="F673">
        <v>26</v>
      </c>
      <c r="G673">
        <v>0.7769784172661871</v>
      </c>
      <c r="H673">
        <f>(F673+E673)/C673</f>
        <v>0.96402877697841727</v>
      </c>
    </row>
    <row r="674" spans="1:8" customFormat="1" hidden="1" x14ac:dyDescent="0.2">
      <c r="A674">
        <v>205360</v>
      </c>
      <c r="B674" t="s">
        <v>728</v>
      </c>
      <c r="C674">
        <v>356</v>
      </c>
      <c r="D674" t="s">
        <v>340</v>
      </c>
      <c r="E674">
        <v>335</v>
      </c>
      <c r="F674">
        <v>8</v>
      </c>
      <c r="G674">
        <v>0.9410112359550562</v>
      </c>
      <c r="H674">
        <f>(F674+E674)/C674</f>
        <v>0.9634831460674157</v>
      </c>
    </row>
    <row r="675" spans="1:8" customFormat="1" hidden="1" x14ac:dyDescent="0.2">
      <c r="A675" t="s">
        <v>329</v>
      </c>
      <c r="B675" t="s">
        <v>330</v>
      </c>
      <c r="C675">
        <v>328</v>
      </c>
      <c r="D675" t="s">
        <v>48</v>
      </c>
      <c r="E675">
        <v>193</v>
      </c>
      <c r="F675">
        <v>122</v>
      </c>
      <c r="G675">
        <v>0.58841463414634143</v>
      </c>
      <c r="H675">
        <f>(F675+E675)/C675</f>
        <v>0.96036585365853655</v>
      </c>
    </row>
    <row r="676" spans="1:8" customFormat="1" hidden="1" x14ac:dyDescent="0.2">
      <c r="A676">
        <v>189441</v>
      </c>
      <c r="B676" t="s">
        <v>717</v>
      </c>
      <c r="C676">
        <v>50</v>
      </c>
      <c r="D676" t="s">
        <v>340</v>
      </c>
      <c r="E676">
        <v>31</v>
      </c>
      <c r="F676">
        <v>17</v>
      </c>
      <c r="G676">
        <v>0.62</v>
      </c>
      <c r="H676">
        <f>(F676+E676)/C676</f>
        <v>0.96</v>
      </c>
    </row>
    <row r="677" spans="1:8" customFormat="1" hidden="1" x14ac:dyDescent="0.2">
      <c r="A677">
        <v>408831</v>
      </c>
      <c r="B677" t="s">
        <v>262</v>
      </c>
      <c r="C677">
        <v>1392</v>
      </c>
      <c r="D677" t="s">
        <v>48</v>
      </c>
      <c r="E677">
        <v>612</v>
      </c>
      <c r="F677">
        <v>724</v>
      </c>
      <c r="G677">
        <v>0.43965517241379309</v>
      </c>
      <c r="H677">
        <f>(F677+E677)/C677</f>
        <v>0.95977011494252873</v>
      </c>
    </row>
    <row r="678" spans="1:8" customFormat="1" hidden="1" x14ac:dyDescent="0.2">
      <c r="A678">
        <v>109197</v>
      </c>
      <c r="B678" t="s">
        <v>470</v>
      </c>
      <c r="C678">
        <v>347</v>
      </c>
      <c r="D678" t="s">
        <v>340</v>
      </c>
      <c r="E678">
        <v>108</v>
      </c>
      <c r="F678">
        <v>225</v>
      </c>
      <c r="G678">
        <v>0.31123919308357351</v>
      </c>
      <c r="H678">
        <f>(F678+E678)/C678</f>
        <v>0.95965417867435154</v>
      </c>
    </row>
    <row r="679" spans="1:8" customFormat="1" hidden="1" x14ac:dyDescent="0.2">
      <c r="A679">
        <v>106338</v>
      </c>
      <c r="B679" t="s">
        <v>363</v>
      </c>
      <c r="C679">
        <v>895</v>
      </c>
      <c r="D679" t="s">
        <v>340</v>
      </c>
      <c r="E679">
        <v>691</v>
      </c>
      <c r="F679">
        <v>154</v>
      </c>
      <c r="G679">
        <v>0.77206703910614527</v>
      </c>
      <c r="H679">
        <f>(F679+E679)/C679</f>
        <v>0.94413407821229045</v>
      </c>
    </row>
    <row r="680" spans="1:8" customFormat="1" hidden="1" x14ac:dyDescent="0.2">
      <c r="A680">
        <v>319013</v>
      </c>
      <c r="B680" t="s">
        <v>778</v>
      </c>
      <c r="C680">
        <v>17</v>
      </c>
      <c r="D680" t="s">
        <v>340</v>
      </c>
      <c r="E680">
        <v>16</v>
      </c>
      <c r="F680">
        <v>0</v>
      </c>
      <c r="G680">
        <v>0.94117647058823528</v>
      </c>
      <c r="H680">
        <f>(F680+E680)/C680</f>
        <v>0.94117647058823528</v>
      </c>
    </row>
    <row r="681" spans="1:8" customFormat="1" hidden="1" x14ac:dyDescent="0.2">
      <c r="A681">
        <v>109196</v>
      </c>
      <c r="B681" t="s">
        <v>104</v>
      </c>
      <c r="C681">
        <v>247</v>
      </c>
      <c r="D681" t="s">
        <v>48</v>
      </c>
      <c r="E681">
        <v>226</v>
      </c>
      <c r="F681">
        <v>6</v>
      </c>
      <c r="G681">
        <v>0.91497975708502022</v>
      </c>
      <c r="H681">
        <f>(F681+E681)/C681</f>
        <v>0.93927125506072873</v>
      </c>
    </row>
    <row r="682" spans="1:8" customFormat="1" hidden="1" x14ac:dyDescent="0.2">
      <c r="A682">
        <v>116180</v>
      </c>
      <c r="B682" t="s">
        <v>605</v>
      </c>
      <c r="C682">
        <v>213</v>
      </c>
      <c r="D682" t="s">
        <v>340</v>
      </c>
      <c r="E682">
        <v>198</v>
      </c>
      <c r="F682">
        <v>0</v>
      </c>
      <c r="G682">
        <v>0.92957746478873238</v>
      </c>
      <c r="H682">
        <f>(F682+E682)/C682</f>
        <v>0.92957746478873238</v>
      </c>
    </row>
    <row r="683" spans="1:8" customFormat="1" hidden="1" x14ac:dyDescent="0.2">
      <c r="A683">
        <v>112606</v>
      </c>
      <c r="B683" t="s">
        <v>133</v>
      </c>
      <c r="C683">
        <v>70</v>
      </c>
      <c r="D683" t="s">
        <v>48</v>
      </c>
      <c r="E683">
        <v>33</v>
      </c>
      <c r="F683">
        <v>32</v>
      </c>
      <c r="G683">
        <v>0.47142857142857142</v>
      </c>
      <c r="H683">
        <f>(F683+E683)/C683</f>
        <v>0.9285714285714286</v>
      </c>
    </row>
    <row r="684" spans="1:8" customFormat="1" hidden="1" x14ac:dyDescent="0.2">
      <c r="A684">
        <v>125348</v>
      </c>
      <c r="B684" t="s">
        <v>166</v>
      </c>
      <c r="C684">
        <v>14</v>
      </c>
      <c r="D684" t="s">
        <v>48</v>
      </c>
      <c r="E684">
        <v>13</v>
      </c>
      <c r="F684">
        <v>0</v>
      </c>
      <c r="G684">
        <v>0.9285714285714286</v>
      </c>
      <c r="H684">
        <f>(F684+E684)/C684</f>
        <v>0.9285714285714286</v>
      </c>
    </row>
    <row r="685" spans="1:8" customFormat="1" hidden="1" x14ac:dyDescent="0.2">
      <c r="A685">
        <v>118008</v>
      </c>
      <c r="B685" t="s">
        <v>27</v>
      </c>
      <c r="C685">
        <v>165</v>
      </c>
      <c r="D685" t="s">
        <v>8</v>
      </c>
      <c r="E685">
        <v>62</v>
      </c>
      <c r="F685">
        <v>90</v>
      </c>
      <c r="G685">
        <v>0.37575757575757568</v>
      </c>
      <c r="H685">
        <f>(F685+E685)/C685</f>
        <v>0.92121212121212126</v>
      </c>
    </row>
    <row r="686" spans="1:8" customFormat="1" hidden="1" x14ac:dyDescent="0.2">
      <c r="A686">
        <v>112422</v>
      </c>
      <c r="B686" t="s">
        <v>129</v>
      </c>
      <c r="C686">
        <v>113</v>
      </c>
      <c r="D686" t="s">
        <v>48</v>
      </c>
      <c r="E686">
        <v>77</v>
      </c>
      <c r="F686">
        <v>27</v>
      </c>
      <c r="G686">
        <v>0.68141592920353977</v>
      </c>
      <c r="H686">
        <f>(F686+E686)/C686</f>
        <v>0.92035398230088494</v>
      </c>
    </row>
    <row r="687" spans="1:8" customFormat="1" hidden="1" x14ac:dyDescent="0.2">
      <c r="A687">
        <v>130975</v>
      </c>
      <c r="B687" t="s">
        <v>172</v>
      </c>
      <c r="C687">
        <v>412</v>
      </c>
      <c r="D687" t="s">
        <v>48</v>
      </c>
      <c r="E687">
        <v>299</v>
      </c>
      <c r="F687">
        <v>79</v>
      </c>
      <c r="G687">
        <v>0.72572815533980584</v>
      </c>
      <c r="H687">
        <f>(F687+E687)/C687</f>
        <v>0.91747572815533984</v>
      </c>
    </row>
    <row r="688" spans="1:8" customFormat="1" hidden="1" x14ac:dyDescent="0.2">
      <c r="A688">
        <v>326239</v>
      </c>
      <c r="B688" t="s">
        <v>1069</v>
      </c>
      <c r="C688">
        <v>171</v>
      </c>
      <c r="D688" t="s">
        <v>923</v>
      </c>
      <c r="E688">
        <v>121</v>
      </c>
      <c r="F688">
        <v>33</v>
      </c>
      <c r="G688">
        <v>0.70760233918128657</v>
      </c>
      <c r="H688">
        <f>(F688+E688)/C688</f>
        <v>0.90058479532163738</v>
      </c>
    </row>
    <row r="689" spans="1:8" customFormat="1" hidden="1" x14ac:dyDescent="0.2">
      <c r="A689">
        <v>109998</v>
      </c>
      <c r="B689" t="s">
        <v>112</v>
      </c>
      <c r="C689">
        <v>20</v>
      </c>
      <c r="D689" t="s">
        <v>48</v>
      </c>
      <c r="E689">
        <v>18</v>
      </c>
      <c r="F689">
        <v>0</v>
      </c>
      <c r="G689">
        <v>0.9</v>
      </c>
      <c r="H689">
        <f>(F689+E689)/C689</f>
        <v>0.9</v>
      </c>
    </row>
    <row r="690" spans="1:8" customFormat="1" hidden="1" x14ac:dyDescent="0.2">
      <c r="A690">
        <v>107160</v>
      </c>
      <c r="B690" t="s">
        <v>398</v>
      </c>
      <c r="C690">
        <v>50</v>
      </c>
      <c r="D690" t="s">
        <v>340</v>
      </c>
      <c r="E690">
        <v>45</v>
      </c>
      <c r="F690">
        <v>0</v>
      </c>
      <c r="G690">
        <v>0.9</v>
      </c>
      <c r="H690">
        <f>(F690+E690)/C690</f>
        <v>0.9</v>
      </c>
    </row>
    <row r="691" spans="1:8" customFormat="1" hidden="1" x14ac:dyDescent="0.2">
      <c r="A691">
        <v>322144</v>
      </c>
      <c r="B691" t="s">
        <v>1067</v>
      </c>
      <c r="C691">
        <v>10</v>
      </c>
      <c r="D691" t="s">
        <v>923</v>
      </c>
      <c r="E691">
        <v>9</v>
      </c>
      <c r="F691">
        <v>0</v>
      </c>
      <c r="G691">
        <v>0.9</v>
      </c>
      <c r="H691">
        <f>(F691+E691)/C691</f>
        <v>0.9</v>
      </c>
    </row>
    <row r="692" spans="1:8" customFormat="1" hidden="1" x14ac:dyDescent="0.2">
      <c r="A692">
        <v>106758</v>
      </c>
      <c r="B692" t="s">
        <v>62</v>
      </c>
      <c r="C692">
        <v>217</v>
      </c>
      <c r="D692" t="s">
        <v>48</v>
      </c>
      <c r="E692">
        <v>154</v>
      </c>
      <c r="F692">
        <v>41</v>
      </c>
      <c r="G692">
        <v>0.70967741935483875</v>
      </c>
      <c r="H692">
        <f>(F692+E692)/C692</f>
        <v>0.89861751152073732</v>
      </c>
    </row>
    <row r="693" spans="1:8" customFormat="1" hidden="1" x14ac:dyDescent="0.2">
      <c r="A693">
        <v>107088</v>
      </c>
      <c r="B693" t="s">
        <v>936</v>
      </c>
      <c r="C693">
        <v>117</v>
      </c>
      <c r="D693" t="s">
        <v>923</v>
      </c>
      <c r="E693">
        <v>72</v>
      </c>
      <c r="F693">
        <v>33</v>
      </c>
      <c r="G693">
        <v>0.61538461538461542</v>
      </c>
      <c r="H693">
        <f>(F693+E693)/C693</f>
        <v>0.89743589743589747</v>
      </c>
    </row>
    <row r="694" spans="1:8" customFormat="1" hidden="1" x14ac:dyDescent="0.2">
      <c r="A694">
        <v>106476</v>
      </c>
      <c r="B694" t="s">
        <v>60</v>
      </c>
      <c r="C694">
        <v>385</v>
      </c>
      <c r="D694" t="s">
        <v>48</v>
      </c>
      <c r="E694">
        <v>136</v>
      </c>
      <c r="F694">
        <v>209</v>
      </c>
      <c r="G694">
        <v>0.35324675324675331</v>
      </c>
      <c r="H694">
        <f>(F694+E694)/C694</f>
        <v>0.89610389610389607</v>
      </c>
    </row>
    <row r="695" spans="1:8" customFormat="1" hidden="1" x14ac:dyDescent="0.2">
      <c r="A695">
        <v>107156</v>
      </c>
      <c r="B695" t="s">
        <v>397</v>
      </c>
      <c r="C695">
        <v>123</v>
      </c>
      <c r="D695" t="s">
        <v>340</v>
      </c>
      <c r="E695">
        <v>80</v>
      </c>
      <c r="F695">
        <v>30</v>
      </c>
      <c r="G695">
        <v>0.65040650406504064</v>
      </c>
      <c r="H695">
        <f>(F695+E695)/C695</f>
        <v>0.89430894308943087</v>
      </c>
    </row>
    <row r="696" spans="1:8" customFormat="1" hidden="1" x14ac:dyDescent="0.2">
      <c r="A696">
        <v>108412</v>
      </c>
      <c r="B696" t="s">
        <v>445</v>
      </c>
      <c r="C696">
        <v>93</v>
      </c>
      <c r="D696" t="s">
        <v>340</v>
      </c>
      <c r="E696">
        <v>44</v>
      </c>
      <c r="F696">
        <v>39</v>
      </c>
      <c r="G696">
        <v>0.4731182795698925</v>
      </c>
      <c r="H696">
        <f>(F696+E696)/C696</f>
        <v>0.89247311827956988</v>
      </c>
    </row>
    <row r="697" spans="1:8" customFormat="1" hidden="1" x14ac:dyDescent="0.2">
      <c r="A697">
        <v>336327</v>
      </c>
      <c r="B697" t="s">
        <v>804</v>
      </c>
      <c r="C697">
        <v>82</v>
      </c>
      <c r="D697" t="s">
        <v>340</v>
      </c>
      <c r="E697">
        <v>66</v>
      </c>
      <c r="F697">
        <v>6</v>
      </c>
      <c r="G697">
        <v>0.80487804878048785</v>
      </c>
      <c r="H697">
        <f>(F697+E697)/C697</f>
        <v>0.87804878048780488</v>
      </c>
    </row>
    <row r="698" spans="1:8" customFormat="1" hidden="1" x14ac:dyDescent="0.2">
      <c r="A698">
        <v>175721</v>
      </c>
      <c r="B698" t="s">
        <v>708</v>
      </c>
      <c r="C698">
        <v>2200</v>
      </c>
      <c r="D698" t="s">
        <v>340</v>
      </c>
      <c r="E698">
        <v>1819</v>
      </c>
      <c r="F698">
        <v>107</v>
      </c>
      <c r="G698">
        <v>0.82681818181818179</v>
      </c>
      <c r="H698">
        <f>(F698+E698)/C698</f>
        <v>0.87545454545454549</v>
      </c>
    </row>
    <row r="699" spans="1:8" customFormat="1" hidden="1" x14ac:dyDescent="0.2">
      <c r="A699">
        <v>167965</v>
      </c>
      <c r="B699" t="s">
        <v>214</v>
      </c>
      <c r="C699">
        <v>128</v>
      </c>
      <c r="D699" t="s">
        <v>48</v>
      </c>
      <c r="E699">
        <v>55</v>
      </c>
      <c r="F699">
        <v>57</v>
      </c>
      <c r="G699">
        <v>0.4296875</v>
      </c>
      <c r="H699">
        <f>(F699+E699)/C699</f>
        <v>0.875</v>
      </c>
    </row>
    <row r="700" spans="1:8" customFormat="1" hidden="1" x14ac:dyDescent="0.2">
      <c r="A700">
        <v>139260</v>
      </c>
      <c r="B700" t="s">
        <v>1018</v>
      </c>
      <c r="C700">
        <v>8</v>
      </c>
      <c r="D700" t="s">
        <v>923</v>
      </c>
      <c r="E700">
        <v>7</v>
      </c>
      <c r="F700">
        <v>0</v>
      </c>
      <c r="G700">
        <v>0.875</v>
      </c>
      <c r="H700">
        <f>(F700+E700)/C700</f>
        <v>0.875</v>
      </c>
    </row>
    <row r="701" spans="1:8" customFormat="1" hidden="1" x14ac:dyDescent="0.2">
      <c r="A701">
        <v>317462</v>
      </c>
      <c r="B701" t="s">
        <v>1065</v>
      </c>
      <c r="C701">
        <v>16</v>
      </c>
      <c r="D701" t="s">
        <v>923</v>
      </c>
      <c r="E701">
        <v>14</v>
      </c>
      <c r="F701">
        <v>0</v>
      </c>
      <c r="G701">
        <v>0.875</v>
      </c>
      <c r="H701">
        <f>(F701+E701)/C701</f>
        <v>0.875</v>
      </c>
    </row>
    <row r="702" spans="1:8" customFormat="1" hidden="1" x14ac:dyDescent="0.2">
      <c r="A702">
        <v>171614</v>
      </c>
      <c r="B702" t="s">
        <v>703</v>
      </c>
      <c r="C702">
        <v>15</v>
      </c>
      <c r="D702" t="s">
        <v>340</v>
      </c>
      <c r="E702">
        <v>13</v>
      </c>
      <c r="F702">
        <v>0</v>
      </c>
      <c r="G702">
        <v>0.8666666666666667</v>
      </c>
      <c r="H702">
        <f>(F702+E702)/C702</f>
        <v>0.8666666666666667</v>
      </c>
    </row>
    <row r="703" spans="1:8" customFormat="1" hidden="1" x14ac:dyDescent="0.2">
      <c r="A703">
        <v>114700</v>
      </c>
      <c r="B703" t="s">
        <v>146</v>
      </c>
      <c r="C703">
        <v>75</v>
      </c>
      <c r="D703" t="s">
        <v>48</v>
      </c>
      <c r="E703">
        <v>64</v>
      </c>
      <c r="F703">
        <v>0</v>
      </c>
      <c r="G703">
        <v>0.85333333333333339</v>
      </c>
      <c r="H703">
        <f>(F703+E703)/C703</f>
        <v>0.85333333333333339</v>
      </c>
    </row>
    <row r="704" spans="1:8" customFormat="1" hidden="1" x14ac:dyDescent="0.2">
      <c r="A704">
        <v>107319</v>
      </c>
      <c r="B704" t="s">
        <v>10</v>
      </c>
      <c r="C704">
        <v>135</v>
      </c>
      <c r="D704" t="s">
        <v>8</v>
      </c>
      <c r="E704">
        <v>115</v>
      </c>
      <c r="F704">
        <v>0</v>
      </c>
      <c r="G704">
        <v>0.85185185185185186</v>
      </c>
      <c r="H704">
        <f>(F704+E704)/C704</f>
        <v>0.85185185185185186</v>
      </c>
    </row>
    <row r="705" spans="1:8" customFormat="1" hidden="1" x14ac:dyDescent="0.2">
      <c r="A705">
        <v>300565</v>
      </c>
      <c r="B705" t="s">
        <v>240</v>
      </c>
      <c r="C705">
        <v>20</v>
      </c>
      <c r="D705" t="s">
        <v>48</v>
      </c>
      <c r="E705">
        <v>17</v>
      </c>
      <c r="F705">
        <v>0</v>
      </c>
      <c r="G705">
        <v>0.85</v>
      </c>
      <c r="H705">
        <f>(F705+E705)/C705</f>
        <v>0.85</v>
      </c>
    </row>
    <row r="706" spans="1:8" customFormat="1" hidden="1" x14ac:dyDescent="0.2">
      <c r="A706">
        <v>124198</v>
      </c>
      <c r="B706" t="s">
        <v>1007</v>
      </c>
      <c r="C706">
        <v>72</v>
      </c>
      <c r="D706" t="s">
        <v>923</v>
      </c>
      <c r="E706">
        <v>61</v>
      </c>
      <c r="F706">
        <v>0</v>
      </c>
      <c r="G706">
        <v>0.84722222222222221</v>
      </c>
      <c r="H706">
        <f>(F706+E706)/C706</f>
        <v>0.84722222222222221</v>
      </c>
    </row>
    <row r="707" spans="1:8" customFormat="1" hidden="1" x14ac:dyDescent="0.2">
      <c r="A707">
        <v>223835</v>
      </c>
      <c r="B707" t="s">
        <v>738</v>
      </c>
      <c r="C707">
        <v>147</v>
      </c>
      <c r="D707" t="s">
        <v>340</v>
      </c>
      <c r="E707">
        <v>70</v>
      </c>
      <c r="F707">
        <v>53</v>
      </c>
      <c r="G707">
        <v>0.47619047619047622</v>
      </c>
      <c r="H707">
        <f>(F707+E707)/C707</f>
        <v>0.83673469387755106</v>
      </c>
    </row>
    <row r="708" spans="1:8" customFormat="1" hidden="1" x14ac:dyDescent="0.2">
      <c r="A708">
        <v>110274</v>
      </c>
      <c r="B708" t="s">
        <v>509</v>
      </c>
      <c r="C708">
        <v>223</v>
      </c>
      <c r="D708" t="s">
        <v>340</v>
      </c>
      <c r="E708">
        <v>185</v>
      </c>
      <c r="F708">
        <v>1</v>
      </c>
      <c r="G708">
        <v>0.82959641255605376</v>
      </c>
      <c r="H708">
        <f>(F708+E708)/C708</f>
        <v>0.8340807174887892</v>
      </c>
    </row>
    <row r="709" spans="1:8" customFormat="1" hidden="1" x14ac:dyDescent="0.2">
      <c r="A709">
        <v>115223</v>
      </c>
      <c r="B709" t="s">
        <v>148</v>
      </c>
      <c r="C709">
        <v>6</v>
      </c>
      <c r="D709" t="s">
        <v>48</v>
      </c>
      <c r="E709">
        <v>5</v>
      </c>
      <c r="F709">
        <v>0</v>
      </c>
      <c r="G709">
        <v>0.83333333333333337</v>
      </c>
      <c r="H709">
        <f>(F709+E709)/C709</f>
        <v>0.83333333333333337</v>
      </c>
    </row>
    <row r="710" spans="1:8" customFormat="1" hidden="1" x14ac:dyDescent="0.2">
      <c r="A710">
        <v>321168</v>
      </c>
      <c r="B710" t="s">
        <v>783</v>
      </c>
      <c r="C710">
        <v>36</v>
      </c>
      <c r="D710" t="s">
        <v>340</v>
      </c>
      <c r="E710">
        <v>13</v>
      </c>
      <c r="F710">
        <v>17</v>
      </c>
      <c r="G710">
        <v>0.3611111111111111</v>
      </c>
      <c r="H710">
        <f>(F710+E710)/C710</f>
        <v>0.83333333333333337</v>
      </c>
    </row>
    <row r="711" spans="1:8" customFormat="1" hidden="1" x14ac:dyDescent="0.2">
      <c r="A711">
        <v>470994</v>
      </c>
      <c r="B711" t="s">
        <v>842</v>
      </c>
      <c r="C711">
        <v>18</v>
      </c>
      <c r="D711" t="s">
        <v>340</v>
      </c>
      <c r="E711">
        <v>15</v>
      </c>
      <c r="F711">
        <v>0</v>
      </c>
      <c r="G711">
        <v>0.83333333333333337</v>
      </c>
      <c r="H711">
        <f>(F711+E711)/C711</f>
        <v>0.83333333333333337</v>
      </c>
    </row>
    <row r="712" spans="1:8" customFormat="1" hidden="1" x14ac:dyDescent="0.2">
      <c r="A712">
        <v>532247</v>
      </c>
      <c r="B712" t="s">
        <v>885</v>
      </c>
      <c r="C712">
        <v>703</v>
      </c>
      <c r="D712" t="s">
        <v>340</v>
      </c>
      <c r="E712">
        <v>566</v>
      </c>
      <c r="F712">
        <v>19</v>
      </c>
      <c r="G712">
        <v>0.8051209103840683</v>
      </c>
      <c r="H712">
        <f>(F712+E712)/C712</f>
        <v>0.83214793741109527</v>
      </c>
    </row>
    <row r="713" spans="1:8" customFormat="1" hidden="1" x14ac:dyDescent="0.2">
      <c r="A713">
        <v>111009</v>
      </c>
      <c r="B713" t="s">
        <v>121</v>
      </c>
      <c r="C713">
        <v>115</v>
      </c>
      <c r="D713" t="s">
        <v>48</v>
      </c>
      <c r="E713">
        <v>76</v>
      </c>
      <c r="F713">
        <v>19</v>
      </c>
      <c r="G713">
        <v>0.66086956521739126</v>
      </c>
      <c r="H713">
        <f>(F713+E713)/C713</f>
        <v>0.82608695652173914</v>
      </c>
    </row>
    <row r="714" spans="1:8" customFormat="1" hidden="1" x14ac:dyDescent="0.2">
      <c r="A714">
        <v>109229</v>
      </c>
      <c r="B714" t="s">
        <v>474</v>
      </c>
      <c r="C714">
        <v>285</v>
      </c>
      <c r="D714" t="s">
        <v>340</v>
      </c>
      <c r="E714">
        <v>108</v>
      </c>
      <c r="F714">
        <v>122</v>
      </c>
      <c r="G714">
        <v>0.37894736842105259</v>
      </c>
      <c r="H714">
        <f>(F714+E714)/C714</f>
        <v>0.80701754385964908</v>
      </c>
    </row>
    <row r="715" spans="1:8" customFormat="1" hidden="1" x14ac:dyDescent="0.2">
      <c r="A715">
        <v>523755</v>
      </c>
      <c r="B715" t="s">
        <v>318</v>
      </c>
      <c r="C715">
        <v>5</v>
      </c>
      <c r="D715" t="s">
        <v>48</v>
      </c>
      <c r="E715">
        <v>1</v>
      </c>
      <c r="F715">
        <v>3</v>
      </c>
      <c r="G715">
        <v>0.2</v>
      </c>
      <c r="H715">
        <f>(F715+E715)/C715</f>
        <v>0.8</v>
      </c>
    </row>
    <row r="716" spans="1:8" customFormat="1" hidden="1" x14ac:dyDescent="0.2">
      <c r="A716">
        <v>110745</v>
      </c>
      <c r="B716" t="s">
        <v>528</v>
      </c>
      <c r="C716">
        <v>170</v>
      </c>
      <c r="D716" t="s">
        <v>340</v>
      </c>
      <c r="E716">
        <v>88</v>
      </c>
      <c r="F716">
        <v>48</v>
      </c>
      <c r="G716">
        <v>0.51764705882352946</v>
      </c>
      <c r="H716">
        <f>(F716+E716)/C716</f>
        <v>0.8</v>
      </c>
    </row>
    <row r="717" spans="1:8" customFormat="1" hidden="1" x14ac:dyDescent="0.2">
      <c r="A717">
        <v>153711</v>
      </c>
      <c r="B717" t="s">
        <v>672</v>
      </c>
      <c r="C717">
        <v>15</v>
      </c>
      <c r="D717" t="s">
        <v>340</v>
      </c>
      <c r="E717">
        <v>12</v>
      </c>
      <c r="F717">
        <v>0</v>
      </c>
      <c r="G717">
        <v>0.8</v>
      </c>
      <c r="H717">
        <f>(F717+E717)/C717</f>
        <v>0.8</v>
      </c>
    </row>
    <row r="718" spans="1:8" customFormat="1" hidden="1" x14ac:dyDescent="0.2">
      <c r="A718">
        <v>515108</v>
      </c>
      <c r="B718" t="s">
        <v>1108</v>
      </c>
      <c r="C718">
        <v>15</v>
      </c>
      <c r="D718" t="s">
        <v>923</v>
      </c>
      <c r="E718">
        <v>12</v>
      </c>
      <c r="F718">
        <v>0</v>
      </c>
      <c r="G718">
        <v>0.8</v>
      </c>
      <c r="H718">
        <f>(F718+E718)/C718</f>
        <v>0.8</v>
      </c>
    </row>
    <row r="719" spans="1:8" customFormat="1" hidden="1" x14ac:dyDescent="0.2">
      <c r="A719">
        <v>454367</v>
      </c>
      <c r="B719" t="s">
        <v>817</v>
      </c>
      <c r="C719">
        <v>403</v>
      </c>
      <c r="D719" t="s">
        <v>340</v>
      </c>
      <c r="E719">
        <v>319</v>
      </c>
      <c r="F719">
        <v>3</v>
      </c>
      <c r="G719">
        <v>0.79156327543424321</v>
      </c>
      <c r="H719">
        <f>(F719+E719)/C719</f>
        <v>0.79900744416873448</v>
      </c>
    </row>
    <row r="720" spans="1:8" customFormat="1" hidden="1" x14ac:dyDescent="0.2">
      <c r="A720">
        <v>107174</v>
      </c>
      <c r="B720" t="s">
        <v>399</v>
      </c>
      <c r="C720">
        <v>34</v>
      </c>
      <c r="D720" t="s">
        <v>340</v>
      </c>
      <c r="E720">
        <v>20</v>
      </c>
      <c r="F720">
        <v>7</v>
      </c>
      <c r="G720">
        <v>0.58823529411764708</v>
      </c>
      <c r="H720">
        <f>(F720+E720)/C720</f>
        <v>0.79411764705882348</v>
      </c>
    </row>
    <row r="721" spans="1:8" customFormat="1" hidden="1" x14ac:dyDescent="0.2">
      <c r="A721">
        <v>157184</v>
      </c>
      <c r="B721" t="s">
        <v>1028</v>
      </c>
      <c r="C721">
        <v>34</v>
      </c>
      <c r="D721" t="s">
        <v>923</v>
      </c>
      <c r="E721">
        <v>17</v>
      </c>
      <c r="F721">
        <v>10</v>
      </c>
      <c r="G721">
        <v>0.5</v>
      </c>
      <c r="H721">
        <f>(F721+E721)/C721</f>
        <v>0.79411764705882348</v>
      </c>
    </row>
    <row r="722" spans="1:8" customFormat="1" hidden="1" x14ac:dyDescent="0.2">
      <c r="A722">
        <v>325626</v>
      </c>
      <c r="B722" t="s">
        <v>261</v>
      </c>
      <c r="C722">
        <v>130</v>
      </c>
      <c r="D722" t="s">
        <v>48</v>
      </c>
      <c r="E722">
        <v>13</v>
      </c>
      <c r="F722">
        <v>90</v>
      </c>
      <c r="G722">
        <v>0.1</v>
      </c>
      <c r="H722">
        <f>(F722+E722)/C722</f>
        <v>0.79230769230769227</v>
      </c>
    </row>
    <row r="723" spans="1:8" customFormat="1" hidden="1" x14ac:dyDescent="0.2">
      <c r="A723">
        <v>141123</v>
      </c>
      <c r="B723" t="s">
        <v>179</v>
      </c>
      <c r="C723">
        <v>100</v>
      </c>
      <c r="D723" t="s">
        <v>48</v>
      </c>
      <c r="E723">
        <v>61</v>
      </c>
      <c r="F723">
        <v>18</v>
      </c>
      <c r="G723">
        <v>0.61</v>
      </c>
      <c r="H723">
        <f>(F723+E723)/C723</f>
        <v>0.79</v>
      </c>
    </row>
    <row r="724" spans="1:8" customFormat="1" hidden="1" x14ac:dyDescent="0.2">
      <c r="A724">
        <v>107673</v>
      </c>
      <c r="B724" t="s">
        <v>939</v>
      </c>
      <c r="C724">
        <v>47</v>
      </c>
      <c r="D724" t="s">
        <v>923</v>
      </c>
      <c r="E724">
        <v>27</v>
      </c>
      <c r="F724">
        <v>10</v>
      </c>
      <c r="G724">
        <v>0.57446808510638303</v>
      </c>
      <c r="H724">
        <f>(F724+E724)/C724</f>
        <v>0.78723404255319152</v>
      </c>
    </row>
    <row r="725" spans="1:8" customFormat="1" hidden="1" x14ac:dyDescent="0.2">
      <c r="A725">
        <v>108003</v>
      </c>
      <c r="B725" t="s">
        <v>425</v>
      </c>
      <c r="C725">
        <v>79</v>
      </c>
      <c r="D725" t="s">
        <v>340</v>
      </c>
      <c r="E725">
        <v>62</v>
      </c>
      <c r="F725">
        <v>0</v>
      </c>
      <c r="G725">
        <v>0.78481012658227844</v>
      </c>
      <c r="H725">
        <f>(F725+E725)/C725</f>
        <v>0.78481012658227844</v>
      </c>
    </row>
    <row r="726" spans="1:8" customFormat="1" hidden="1" x14ac:dyDescent="0.2">
      <c r="A726">
        <v>110540</v>
      </c>
      <c r="B726" t="s">
        <v>519</v>
      </c>
      <c r="C726">
        <v>100</v>
      </c>
      <c r="D726" t="s">
        <v>340</v>
      </c>
      <c r="E726">
        <v>38</v>
      </c>
      <c r="F726">
        <v>40</v>
      </c>
      <c r="G726">
        <v>0.38</v>
      </c>
      <c r="H726">
        <f>(F726+E726)/C726</f>
        <v>0.78</v>
      </c>
    </row>
    <row r="727" spans="1:8" customFormat="1" hidden="1" x14ac:dyDescent="0.2">
      <c r="A727">
        <v>112987</v>
      </c>
      <c r="B727" t="s">
        <v>565</v>
      </c>
      <c r="C727">
        <v>9</v>
      </c>
      <c r="D727" t="s">
        <v>340</v>
      </c>
      <c r="E727">
        <v>3</v>
      </c>
      <c r="F727">
        <v>4</v>
      </c>
      <c r="G727">
        <v>0.33333333333333331</v>
      </c>
      <c r="H727">
        <f>(F727+E727)/C727</f>
        <v>0.77777777777777779</v>
      </c>
    </row>
    <row r="728" spans="1:8" customFormat="1" hidden="1" x14ac:dyDescent="0.2">
      <c r="A728">
        <v>201477</v>
      </c>
      <c r="B728" t="s">
        <v>224</v>
      </c>
      <c r="C728">
        <v>52</v>
      </c>
      <c r="D728" t="s">
        <v>48</v>
      </c>
      <c r="E728">
        <v>11</v>
      </c>
      <c r="F728">
        <v>29</v>
      </c>
      <c r="G728">
        <v>0.21153846153846151</v>
      </c>
      <c r="H728">
        <f>(F728+E728)/C728</f>
        <v>0.76923076923076927</v>
      </c>
    </row>
    <row r="729" spans="1:8" customFormat="1" hidden="1" x14ac:dyDescent="0.2">
      <c r="A729">
        <v>109148</v>
      </c>
      <c r="B729" t="s">
        <v>467</v>
      </c>
      <c r="C729">
        <v>92</v>
      </c>
      <c r="D729" t="s">
        <v>340</v>
      </c>
      <c r="E729">
        <v>32</v>
      </c>
      <c r="F729">
        <v>38</v>
      </c>
      <c r="G729">
        <v>0.34782608695652167</v>
      </c>
      <c r="H729">
        <f>(F729+E729)/C729</f>
        <v>0.76086956521739135</v>
      </c>
    </row>
    <row r="730" spans="1:8" customFormat="1" hidden="1" x14ac:dyDescent="0.2">
      <c r="A730">
        <v>106654</v>
      </c>
      <c r="B730" t="s">
        <v>932</v>
      </c>
      <c r="C730">
        <v>33</v>
      </c>
      <c r="D730" t="s">
        <v>923</v>
      </c>
      <c r="E730">
        <v>25</v>
      </c>
      <c r="F730">
        <v>0</v>
      </c>
      <c r="G730">
        <v>0.75757575757575757</v>
      </c>
      <c r="H730">
        <f>(F730+E730)/C730</f>
        <v>0.75757575757575757</v>
      </c>
    </row>
    <row r="731" spans="1:8" customFormat="1" hidden="1" x14ac:dyDescent="0.2">
      <c r="A731">
        <v>112223</v>
      </c>
      <c r="B731" t="s">
        <v>980</v>
      </c>
      <c r="C731">
        <v>270</v>
      </c>
      <c r="D731" t="s">
        <v>923</v>
      </c>
      <c r="E731">
        <v>29</v>
      </c>
      <c r="F731">
        <v>175</v>
      </c>
      <c r="G731">
        <v>0.1074074074074074</v>
      </c>
      <c r="H731">
        <f>(F731+E731)/C731</f>
        <v>0.75555555555555554</v>
      </c>
    </row>
    <row r="732" spans="1:8" customFormat="1" hidden="1" x14ac:dyDescent="0.2">
      <c r="A732">
        <v>106442</v>
      </c>
      <c r="B732" t="s">
        <v>364</v>
      </c>
      <c r="C732">
        <v>64</v>
      </c>
      <c r="D732" t="s">
        <v>340</v>
      </c>
      <c r="E732">
        <v>48</v>
      </c>
      <c r="F732">
        <v>0</v>
      </c>
      <c r="G732">
        <v>0.75</v>
      </c>
      <c r="H732">
        <f>(F732+E732)/C732</f>
        <v>0.75</v>
      </c>
    </row>
    <row r="733" spans="1:8" customFormat="1" hidden="1" x14ac:dyDescent="0.2">
      <c r="A733">
        <v>106566</v>
      </c>
      <c r="B733" t="s">
        <v>371</v>
      </c>
      <c r="C733">
        <v>88</v>
      </c>
      <c r="D733" t="s">
        <v>340</v>
      </c>
      <c r="E733">
        <v>59</v>
      </c>
      <c r="F733">
        <v>7</v>
      </c>
      <c r="G733">
        <v>0.67045454545454541</v>
      </c>
      <c r="H733">
        <f>(F733+E733)/C733</f>
        <v>0.75</v>
      </c>
    </row>
    <row r="734" spans="1:8" customFormat="1" hidden="1" x14ac:dyDescent="0.2">
      <c r="A734">
        <v>310479</v>
      </c>
      <c r="B734" t="s">
        <v>766</v>
      </c>
      <c r="C734">
        <v>44</v>
      </c>
      <c r="D734" t="s">
        <v>340</v>
      </c>
      <c r="E734">
        <v>24</v>
      </c>
      <c r="F734">
        <v>9</v>
      </c>
      <c r="G734">
        <v>0.54545454545454541</v>
      </c>
      <c r="H734">
        <f>(F734+E734)/C734</f>
        <v>0.75</v>
      </c>
    </row>
    <row r="735" spans="1:8" customFormat="1" hidden="1" x14ac:dyDescent="0.2">
      <c r="A735">
        <v>321757</v>
      </c>
      <c r="B735" t="s">
        <v>785</v>
      </c>
      <c r="C735">
        <v>12</v>
      </c>
      <c r="D735" t="s">
        <v>340</v>
      </c>
      <c r="E735">
        <v>4</v>
      </c>
      <c r="F735">
        <v>5</v>
      </c>
      <c r="G735">
        <v>0.33333333333333331</v>
      </c>
      <c r="H735">
        <f>(F735+E735)/C735</f>
        <v>0.75</v>
      </c>
    </row>
    <row r="736" spans="1:8" customFormat="1" hidden="1" x14ac:dyDescent="0.2">
      <c r="A736">
        <v>491098</v>
      </c>
      <c r="B736" t="s">
        <v>867</v>
      </c>
      <c r="C736">
        <v>16</v>
      </c>
      <c r="D736" t="s">
        <v>340</v>
      </c>
      <c r="E736">
        <v>12</v>
      </c>
      <c r="F736">
        <v>0</v>
      </c>
      <c r="G736">
        <v>0.75</v>
      </c>
      <c r="H736">
        <f>(F736+E736)/C736</f>
        <v>0.75</v>
      </c>
    </row>
    <row r="737" spans="1:8" customFormat="1" hidden="1" x14ac:dyDescent="0.2">
      <c r="A737">
        <v>107066</v>
      </c>
      <c r="B737" t="s">
        <v>935</v>
      </c>
      <c r="C737">
        <v>70</v>
      </c>
      <c r="D737" t="s">
        <v>923</v>
      </c>
      <c r="E737">
        <v>37</v>
      </c>
      <c r="F737">
        <v>15</v>
      </c>
      <c r="G737">
        <v>0.52857142857142858</v>
      </c>
      <c r="H737">
        <f>(F737+E737)/C737</f>
        <v>0.74285714285714288</v>
      </c>
    </row>
    <row r="738" spans="1:8" customFormat="1" hidden="1" x14ac:dyDescent="0.2">
      <c r="A738">
        <v>100282</v>
      </c>
      <c r="B738" t="s">
        <v>47</v>
      </c>
      <c r="C738">
        <v>423</v>
      </c>
      <c r="D738" t="s">
        <v>48</v>
      </c>
      <c r="E738">
        <v>69</v>
      </c>
      <c r="F738">
        <v>245</v>
      </c>
      <c r="G738">
        <v>0.16312056737588651</v>
      </c>
      <c r="H738">
        <f>(F738+E738)/C738</f>
        <v>0.74231678486997632</v>
      </c>
    </row>
    <row r="739" spans="1:8" customFormat="1" hidden="1" x14ac:dyDescent="0.2">
      <c r="A739">
        <v>108043</v>
      </c>
      <c r="B739" t="s">
        <v>944</v>
      </c>
      <c r="C739">
        <v>85</v>
      </c>
      <c r="D739" t="s">
        <v>923</v>
      </c>
      <c r="E739">
        <v>46</v>
      </c>
      <c r="F739">
        <v>17</v>
      </c>
      <c r="G739">
        <v>0.54117647058823526</v>
      </c>
      <c r="H739">
        <f>(F739+E739)/C739</f>
        <v>0.74117647058823533</v>
      </c>
    </row>
    <row r="740" spans="1:8" customFormat="1" hidden="1" x14ac:dyDescent="0.2">
      <c r="A740">
        <v>478216</v>
      </c>
      <c r="B740" t="s">
        <v>294</v>
      </c>
      <c r="C740">
        <v>23</v>
      </c>
      <c r="D740" t="s">
        <v>48</v>
      </c>
      <c r="E740">
        <v>4</v>
      </c>
      <c r="F740">
        <v>13</v>
      </c>
      <c r="G740">
        <v>0.17391304347826089</v>
      </c>
      <c r="H740">
        <f>(F740+E740)/C740</f>
        <v>0.73913043478260865</v>
      </c>
    </row>
    <row r="741" spans="1:8" customFormat="1" hidden="1" x14ac:dyDescent="0.2">
      <c r="A741">
        <v>107372</v>
      </c>
      <c r="B741" t="s">
        <v>406</v>
      </c>
      <c r="C741">
        <v>65</v>
      </c>
      <c r="D741" t="s">
        <v>340</v>
      </c>
      <c r="E741">
        <v>43</v>
      </c>
      <c r="F741">
        <v>5</v>
      </c>
      <c r="G741">
        <v>0.66153846153846152</v>
      </c>
      <c r="H741">
        <f>(F741+E741)/C741</f>
        <v>0.7384615384615385</v>
      </c>
    </row>
    <row r="742" spans="1:8" customFormat="1" hidden="1" x14ac:dyDescent="0.2">
      <c r="A742">
        <v>155194</v>
      </c>
      <c r="B742" t="s">
        <v>1027</v>
      </c>
      <c r="C742">
        <v>38</v>
      </c>
      <c r="D742" t="s">
        <v>923</v>
      </c>
      <c r="E742">
        <v>12</v>
      </c>
      <c r="F742">
        <v>16</v>
      </c>
      <c r="G742">
        <v>0.31578947368421051</v>
      </c>
      <c r="H742">
        <f>(F742+E742)/C742</f>
        <v>0.73684210526315785</v>
      </c>
    </row>
    <row r="743" spans="1:8" customFormat="1" hidden="1" x14ac:dyDescent="0.2">
      <c r="A743">
        <v>514054</v>
      </c>
      <c r="B743" t="s">
        <v>1107</v>
      </c>
      <c r="C743">
        <v>15</v>
      </c>
      <c r="D743" t="s">
        <v>923</v>
      </c>
      <c r="E743">
        <v>9</v>
      </c>
      <c r="F743">
        <v>2</v>
      </c>
      <c r="G743">
        <v>0.6</v>
      </c>
      <c r="H743">
        <f>(F743+E743)/C743</f>
        <v>0.73333333333333328</v>
      </c>
    </row>
    <row r="744" spans="1:8" customFormat="1" hidden="1" x14ac:dyDescent="0.2">
      <c r="A744">
        <v>167086</v>
      </c>
      <c r="B744" t="s">
        <v>697</v>
      </c>
      <c r="C744">
        <v>26</v>
      </c>
      <c r="D744" t="s">
        <v>340</v>
      </c>
      <c r="E744">
        <v>18</v>
      </c>
      <c r="F744">
        <v>1</v>
      </c>
      <c r="G744">
        <v>0.69230769230769229</v>
      </c>
      <c r="H744">
        <f>(F744+E744)/C744</f>
        <v>0.73076923076923073</v>
      </c>
    </row>
    <row r="745" spans="1:8" customFormat="1" hidden="1" x14ac:dyDescent="0.2">
      <c r="A745">
        <v>109002</v>
      </c>
      <c r="B745" t="s">
        <v>957</v>
      </c>
      <c r="C745">
        <v>103</v>
      </c>
      <c r="D745" t="s">
        <v>923</v>
      </c>
      <c r="E745">
        <v>56</v>
      </c>
      <c r="F745">
        <v>19</v>
      </c>
      <c r="G745">
        <v>0.5436893203883495</v>
      </c>
      <c r="H745">
        <f>(F745+E745)/C745</f>
        <v>0.72815533980582525</v>
      </c>
    </row>
    <row r="746" spans="1:8" customFormat="1" hidden="1" x14ac:dyDescent="0.2">
      <c r="A746">
        <v>107920</v>
      </c>
      <c r="B746" t="s">
        <v>419</v>
      </c>
      <c r="C746">
        <v>150</v>
      </c>
      <c r="D746" t="s">
        <v>340</v>
      </c>
      <c r="E746">
        <v>109</v>
      </c>
      <c r="F746">
        <v>0</v>
      </c>
      <c r="G746">
        <v>0.72666666666666668</v>
      </c>
      <c r="H746">
        <f>(F746+E746)/C746</f>
        <v>0.72666666666666668</v>
      </c>
    </row>
    <row r="747" spans="1:8" customFormat="1" hidden="1" x14ac:dyDescent="0.2">
      <c r="A747">
        <v>547648</v>
      </c>
      <c r="B747" t="s">
        <v>890</v>
      </c>
      <c r="C747">
        <v>100</v>
      </c>
      <c r="D747" t="s">
        <v>340</v>
      </c>
      <c r="E747">
        <v>18</v>
      </c>
      <c r="F747">
        <v>54</v>
      </c>
      <c r="G747">
        <v>0.18</v>
      </c>
      <c r="H747">
        <f>(F747+E747)/C747</f>
        <v>0.72</v>
      </c>
    </row>
    <row r="748" spans="1:8" customFormat="1" hidden="1" x14ac:dyDescent="0.2">
      <c r="A748">
        <v>105702</v>
      </c>
      <c r="B748" t="s">
        <v>347</v>
      </c>
      <c r="C748">
        <v>928</v>
      </c>
      <c r="D748" t="s">
        <v>340</v>
      </c>
      <c r="E748">
        <v>508</v>
      </c>
      <c r="F748">
        <v>152</v>
      </c>
      <c r="G748">
        <v>0.54741379310344829</v>
      </c>
      <c r="H748">
        <f>(F748+E748)/C748</f>
        <v>0.71120689655172409</v>
      </c>
    </row>
    <row r="749" spans="1:8" customFormat="1" hidden="1" x14ac:dyDescent="0.2">
      <c r="A749">
        <v>109244</v>
      </c>
      <c r="B749" t="s">
        <v>476</v>
      </c>
      <c r="C749">
        <v>532</v>
      </c>
      <c r="D749" t="s">
        <v>340</v>
      </c>
      <c r="E749">
        <v>23</v>
      </c>
      <c r="F749">
        <v>353</v>
      </c>
      <c r="G749">
        <v>4.3233082706766908E-2</v>
      </c>
      <c r="H749">
        <f>(F749+E749)/C749</f>
        <v>0.70676691729323304</v>
      </c>
    </row>
    <row r="750" spans="1:8" customFormat="1" hidden="1" x14ac:dyDescent="0.2">
      <c r="A750">
        <v>151263</v>
      </c>
      <c r="B750" t="s">
        <v>193</v>
      </c>
      <c r="C750">
        <v>434</v>
      </c>
      <c r="D750" t="s">
        <v>48</v>
      </c>
      <c r="E750">
        <v>52</v>
      </c>
      <c r="F750">
        <v>252</v>
      </c>
      <c r="G750">
        <v>0.119815668202765</v>
      </c>
      <c r="H750">
        <f>(F750+E750)/C750</f>
        <v>0.70046082949308752</v>
      </c>
    </row>
    <row r="751" spans="1:8" customFormat="1" hidden="1" x14ac:dyDescent="0.2">
      <c r="A751">
        <v>327053</v>
      </c>
      <c r="B751" t="s">
        <v>798</v>
      </c>
      <c r="C751">
        <v>10</v>
      </c>
      <c r="D751" t="s">
        <v>340</v>
      </c>
      <c r="E751">
        <v>7</v>
      </c>
      <c r="F751">
        <v>0</v>
      </c>
      <c r="G751">
        <v>0.7</v>
      </c>
      <c r="H751">
        <f>(F751+E751)/C751</f>
        <v>0.7</v>
      </c>
    </row>
    <row r="752" spans="1:8" customFormat="1" hidden="1" x14ac:dyDescent="0.2">
      <c r="A752">
        <v>520250</v>
      </c>
      <c r="B752" t="s">
        <v>316</v>
      </c>
      <c r="C752">
        <v>360</v>
      </c>
      <c r="D752" t="s">
        <v>48</v>
      </c>
      <c r="E752">
        <v>251</v>
      </c>
      <c r="F752">
        <v>0</v>
      </c>
      <c r="G752">
        <v>0.69722222222222219</v>
      </c>
      <c r="H752">
        <f>(F752+E752)/C752</f>
        <v>0.69722222222222219</v>
      </c>
    </row>
    <row r="753" spans="1:8" customFormat="1" hidden="1" x14ac:dyDescent="0.2">
      <c r="A753">
        <v>216820</v>
      </c>
      <c r="B753" t="s">
        <v>33</v>
      </c>
      <c r="C753">
        <v>100</v>
      </c>
      <c r="D753" t="s">
        <v>8</v>
      </c>
      <c r="E753">
        <v>58</v>
      </c>
      <c r="F753">
        <v>10</v>
      </c>
      <c r="G753">
        <v>0.57999999999999996</v>
      </c>
      <c r="H753">
        <f>(F753+E753)/C753</f>
        <v>0.68</v>
      </c>
    </row>
    <row r="754" spans="1:8" customFormat="1" hidden="1" x14ac:dyDescent="0.2">
      <c r="A754">
        <v>446518</v>
      </c>
      <c r="B754" t="s">
        <v>810</v>
      </c>
      <c r="C754">
        <v>344</v>
      </c>
      <c r="D754" t="s">
        <v>340</v>
      </c>
      <c r="E754">
        <v>231</v>
      </c>
      <c r="F754">
        <v>0</v>
      </c>
      <c r="G754">
        <v>0.67151162790697672</v>
      </c>
      <c r="H754">
        <f>(F754+E754)/C754</f>
        <v>0.67151162790697672</v>
      </c>
    </row>
    <row r="755" spans="1:8" customFormat="1" hidden="1" x14ac:dyDescent="0.2">
      <c r="A755">
        <v>489703</v>
      </c>
      <c r="B755" t="s">
        <v>300</v>
      </c>
      <c r="C755">
        <v>3</v>
      </c>
      <c r="D755" t="s">
        <v>48</v>
      </c>
      <c r="E755">
        <v>1</v>
      </c>
      <c r="F755">
        <v>1</v>
      </c>
      <c r="G755">
        <v>0.33333333333333331</v>
      </c>
      <c r="H755">
        <f>(F755+E755)/C755</f>
        <v>0.66666666666666663</v>
      </c>
    </row>
    <row r="756" spans="1:8" customFormat="1" hidden="1" x14ac:dyDescent="0.2">
      <c r="A756">
        <v>120210</v>
      </c>
      <c r="B756" t="s">
        <v>618</v>
      </c>
      <c r="C756">
        <v>15</v>
      </c>
      <c r="D756" t="s">
        <v>340</v>
      </c>
      <c r="E756">
        <v>10</v>
      </c>
      <c r="F756">
        <v>0</v>
      </c>
      <c r="G756">
        <v>0.66666666666666663</v>
      </c>
      <c r="H756">
        <f>(F756+E756)/C756</f>
        <v>0.66666666666666663</v>
      </c>
    </row>
    <row r="757" spans="1:8" customFormat="1" hidden="1" x14ac:dyDescent="0.2">
      <c r="A757">
        <v>210852</v>
      </c>
      <c r="B757" t="s">
        <v>731</v>
      </c>
      <c r="C757">
        <v>21</v>
      </c>
      <c r="D757" t="s">
        <v>340</v>
      </c>
      <c r="E757">
        <v>14</v>
      </c>
      <c r="F757">
        <v>0</v>
      </c>
      <c r="G757">
        <v>0.66666666666666663</v>
      </c>
      <c r="H757">
        <f>(F757+E757)/C757</f>
        <v>0.66666666666666663</v>
      </c>
    </row>
    <row r="758" spans="1:8" customFormat="1" hidden="1" x14ac:dyDescent="0.2">
      <c r="A758">
        <v>156114</v>
      </c>
      <c r="B758" t="s">
        <v>679</v>
      </c>
      <c r="C758">
        <v>47</v>
      </c>
      <c r="D758" t="s">
        <v>340</v>
      </c>
      <c r="E758">
        <v>28</v>
      </c>
      <c r="F758">
        <v>3</v>
      </c>
      <c r="G758">
        <v>0.5957446808510638</v>
      </c>
      <c r="H758">
        <f>(F758+E758)/C758</f>
        <v>0.65957446808510634</v>
      </c>
    </row>
    <row r="759" spans="1:8" customFormat="1" hidden="1" x14ac:dyDescent="0.2">
      <c r="A759">
        <v>105226</v>
      </c>
      <c r="B759" t="s">
        <v>922</v>
      </c>
      <c r="C759">
        <v>120</v>
      </c>
      <c r="D759" t="s">
        <v>923</v>
      </c>
      <c r="E759">
        <v>79</v>
      </c>
      <c r="F759">
        <v>0</v>
      </c>
      <c r="G759">
        <v>0.65833333333333333</v>
      </c>
      <c r="H759">
        <f>(F759+E759)/C759</f>
        <v>0.65833333333333333</v>
      </c>
    </row>
    <row r="760" spans="1:8" customFormat="1" hidden="1" x14ac:dyDescent="0.2">
      <c r="A760">
        <v>177293</v>
      </c>
      <c r="B760" t="s">
        <v>709</v>
      </c>
      <c r="C760">
        <v>46</v>
      </c>
      <c r="D760" t="s">
        <v>340</v>
      </c>
      <c r="E760">
        <v>5</v>
      </c>
      <c r="F760">
        <v>25</v>
      </c>
      <c r="G760">
        <v>0.108695652173913</v>
      </c>
      <c r="H760">
        <f>(F760+E760)/C760</f>
        <v>0.65217391304347827</v>
      </c>
    </row>
    <row r="761" spans="1:8" customFormat="1" hidden="1" x14ac:dyDescent="0.2">
      <c r="A761">
        <v>106743</v>
      </c>
      <c r="B761" t="s">
        <v>382</v>
      </c>
      <c r="C761">
        <v>122</v>
      </c>
      <c r="D761" t="s">
        <v>340</v>
      </c>
      <c r="E761">
        <v>79</v>
      </c>
      <c r="F761">
        <v>0</v>
      </c>
      <c r="G761">
        <v>0.64754098360655743</v>
      </c>
      <c r="H761">
        <f>(F761+E761)/C761</f>
        <v>0.64754098360655743</v>
      </c>
    </row>
    <row r="762" spans="1:8" customFormat="1" hidden="1" x14ac:dyDescent="0.2">
      <c r="A762">
        <v>108880</v>
      </c>
      <c r="B762" t="s">
        <v>956</v>
      </c>
      <c r="C762">
        <v>115</v>
      </c>
      <c r="D762" t="s">
        <v>923</v>
      </c>
      <c r="E762">
        <v>72</v>
      </c>
      <c r="F762">
        <v>2</v>
      </c>
      <c r="G762">
        <v>0.62608695652173918</v>
      </c>
      <c r="H762">
        <f>(F762+E762)/C762</f>
        <v>0.64347826086956517</v>
      </c>
    </row>
    <row r="763" spans="1:8" customFormat="1" hidden="1" x14ac:dyDescent="0.2">
      <c r="A763">
        <v>190492</v>
      </c>
      <c r="B763" t="s">
        <v>219</v>
      </c>
      <c r="C763">
        <v>14</v>
      </c>
      <c r="D763" t="s">
        <v>48</v>
      </c>
      <c r="E763">
        <v>9</v>
      </c>
      <c r="F763">
        <v>0</v>
      </c>
      <c r="G763">
        <v>0.6428571428571429</v>
      </c>
      <c r="H763">
        <f>(F763+E763)/C763</f>
        <v>0.6428571428571429</v>
      </c>
    </row>
    <row r="764" spans="1:8" customFormat="1" hidden="1" x14ac:dyDescent="0.2">
      <c r="A764">
        <v>109702</v>
      </c>
      <c r="B764" t="s">
        <v>491</v>
      </c>
      <c r="C764">
        <v>14</v>
      </c>
      <c r="D764" t="s">
        <v>340</v>
      </c>
      <c r="E764">
        <v>3</v>
      </c>
      <c r="F764">
        <v>6</v>
      </c>
      <c r="G764">
        <v>0.2142857142857143</v>
      </c>
      <c r="H764">
        <f>(F764+E764)/C764</f>
        <v>0.6428571428571429</v>
      </c>
    </row>
    <row r="765" spans="1:8" customFormat="1" hidden="1" x14ac:dyDescent="0.2">
      <c r="A765">
        <v>162954</v>
      </c>
      <c r="B765" t="s">
        <v>206</v>
      </c>
      <c r="C765">
        <v>39</v>
      </c>
      <c r="D765" t="s">
        <v>48</v>
      </c>
      <c r="E765">
        <v>25</v>
      </c>
      <c r="F765">
        <v>0</v>
      </c>
      <c r="G765">
        <v>0.64102564102564108</v>
      </c>
      <c r="H765">
        <f>(F765+E765)/C765</f>
        <v>0.64102564102564108</v>
      </c>
    </row>
    <row r="766" spans="1:8" customFormat="1" hidden="1" x14ac:dyDescent="0.2">
      <c r="A766">
        <v>116046</v>
      </c>
      <c r="B766" t="s">
        <v>603</v>
      </c>
      <c r="C766">
        <v>242</v>
      </c>
      <c r="D766" t="s">
        <v>340</v>
      </c>
      <c r="E766">
        <v>153</v>
      </c>
      <c r="F766">
        <v>0</v>
      </c>
      <c r="G766">
        <v>0.63223140495867769</v>
      </c>
      <c r="H766">
        <f>(F766+E766)/C766</f>
        <v>0.63223140495867769</v>
      </c>
    </row>
    <row r="767" spans="1:8" customFormat="1" hidden="1" x14ac:dyDescent="0.2">
      <c r="A767" t="s">
        <v>916</v>
      </c>
      <c r="B767" t="s">
        <v>917</v>
      </c>
      <c r="C767">
        <v>92</v>
      </c>
      <c r="D767" t="s">
        <v>340</v>
      </c>
      <c r="E767">
        <v>22</v>
      </c>
      <c r="F767">
        <v>36</v>
      </c>
      <c r="G767">
        <v>0.2391304347826087</v>
      </c>
      <c r="H767">
        <f>(F767+E767)/C767</f>
        <v>0.63043478260869568</v>
      </c>
    </row>
    <row r="768" spans="1:8" customFormat="1" hidden="1" x14ac:dyDescent="0.2">
      <c r="A768">
        <v>237422</v>
      </c>
      <c r="B768" t="s">
        <v>741</v>
      </c>
      <c r="C768">
        <v>16</v>
      </c>
      <c r="D768" t="s">
        <v>340</v>
      </c>
      <c r="E768">
        <v>5</v>
      </c>
      <c r="F768">
        <v>5</v>
      </c>
      <c r="G768">
        <v>0.3125</v>
      </c>
      <c r="H768">
        <f>(F768+E768)/C768</f>
        <v>0.625</v>
      </c>
    </row>
    <row r="769" spans="1:9" customFormat="1" hidden="1" x14ac:dyDescent="0.2">
      <c r="A769">
        <v>325495</v>
      </c>
      <c r="B769" t="s">
        <v>794</v>
      </c>
      <c r="C769">
        <v>45</v>
      </c>
      <c r="D769" t="s">
        <v>340</v>
      </c>
      <c r="E769">
        <v>28</v>
      </c>
      <c r="F769">
        <v>0</v>
      </c>
      <c r="G769">
        <v>0.62222222222222223</v>
      </c>
      <c r="H769">
        <f>(F769+E769)/C769</f>
        <v>0.62222222222222223</v>
      </c>
    </row>
    <row r="770" spans="1:9" customFormat="1" hidden="1" x14ac:dyDescent="0.2">
      <c r="A770">
        <v>158258</v>
      </c>
      <c r="B770" t="s">
        <v>204</v>
      </c>
      <c r="C770">
        <v>250</v>
      </c>
      <c r="D770" t="s">
        <v>48</v>
      </c>
      <c r="E770">
        <v>60</v>
      </c>
      <c r="F770">
        <v>93</v>
      </c>
      <c r="G770">
        <v>0.24</v>
      </c>
      <c r="H770">
        <f>(F770+E770)/C770</f>
        <v>0.61199999999999999</v>
      </c>
    </row>
    <row r="771" spans="1:9" customFormat="1" hidden="1" x14ac:dyDescent="0.2">
      <c r="A771">
        <v>140284</v>
      </c>
      <c r="B771" t="s">
        <v>1020</v>
      </c>
      <c r="C771">
        <v>85</v>
      </c>
      <c r="D771" t="s">
        <v>923</v>
      </c>
      <c r="E771">
        <v>6</v>
      </c>
      <c r="F771">
        <v>46</v>
      </c>
      <c r="G771">
        <v>7.0588235294117646E-2</v>
      </c>
      <c r="H771">
        <f>(F771+E771)/C771</f>
        <v>0.61176470588235299</v>
      </c>
    </row>
    <row r="772" spans="1:9" customFormat="1" hidden="1" x14ac:dyDescent="0.2">
      <c r="A772">
        <v>108403</v>
      </c>
      <c r="B772" t="s">
        <v>444</v>
      </c>
      <c r="C772">
        <v>121</v>
      </c>
      <c r="D772" t="s">
        <v>340</v>
      </c>
      <c r="E772">
        <v>62</v>
      </c>
      <c r="F772">
        <v>12</v>
      </c>
      <c r="G772">
        <v>0.51239669421487599</v>
      </c>
      <c r="H772">
        <f>(F772+E772)/C772</f>
        <v>0.61157024793388426</v>
      </c>
    </row>
    <row r="773" spans="1:9" customFormat="1" hidden="1" x14ac:dyDescent="0.2">
      <c r="A773">
        <v>108260</v>
      </c>
      <c r="B773" t="s">
        <v>435</v>
      </c>
      <c r="C773">
        <v>59</v>
      </c>
      <c r="D773" t="s">
        <v>340</v>
      </c>
      <c r="E773">
        <v>27</v>
      </c>
      <c r="F773">
        <v>9</v>
      </c>
      <c r="G773">
        <v>0.4576271186440678</v>
      </c>
      <c r="H773">
        <f>(F773+E773)/C773</f>
        <v>0.61016949152542377</v>
      </c>
    </row>
    <row r="774" spans="1:9" hidden="1" x14ac:dyDescent="0.2">
      <c r="A774">
        <v>156776</v>
      </c>
      <c r="B774" t="s">
        <v>200</v>
      </c>
      <c r="C774">
        <v>192</v>
      </c>
      <c r="D774" t="s">
        <v>48</v>
      </c>
      <c r="E774">
        <v>115</v>
      </c>
      <c r="F774">
        <v>0</v>
      </c>
      <c r="G774">
        <v>0.59895833333333337</v>
      </c>
      <c r="H774">
        <f>(F774+E774)/C774</f>
        <v>0.59895833333333337</v>
      </c>
      <c r="I774"/>
    </row>
    <row r="775" spans="1:9" customFormat="1" hidden="1" x14ac:dyDescent="0.2">
      <c r="A775">
        <v>113515</v>
      </c>
      <c r="B775" t="s">
        <v>142</v>
      </c>
      <c r="C775">
        <v>184</v>
      </c>
      <c r="D775" t="s">
        <v>48</v>
      </c>
      <c r="E775">
        <v>78</v>
      </c>
      <c r="F775">
        <v>32</v>
      </c>
      <c r="G775">
        <v>0.42391304347826092</v>
      </c>
      <c r="H775">
        <f>(F775+E775)/C775</f>
        <v>0.59782608695652173</v>
      </c>
    </row>
    <row r="776" spans="1:9" customFormat="1" hidden="1" x14ac:dyDescent="0.2">
      <c r="A776">
        <v>112676</v>
      </c>
      <c r="B776" t="s">
        <v>984</v>
      </c>
      <c r="C776">
        <v>184</v>
      </c>
      <c r="D776" t="s">
        <v>923</v>
      </c>
      <c r="E776">
        <v>67</v>
      </c>
      <c r="F776">
        <v>43</v>
      </c>
      <c r="G776">
        <v>0.3641304347826087</v>
      </c>
      <c r="H776">
        <f>(F776+E776)/C776</f>
        <v>0.59782608695652173</v>
      </c>
    </row>
    <row r="777" spans="1:9" customFormat="1" hidden="1" x14ac:dyDescent="0.2">
      <c r="A777">
        <v>466357</v>
      </c>
      <c r="B777" t="s">
        <v>281</v>
      </c>
      <c r="C777">
        <v>59</v>
      </c>
      <c r="D777" t="s">
        <v>48</v>
      </c>
      <c r="E777">
        <v>13</v>
      </c>
      <c r="F777">
        <v>22</v>
      </c>
      <c r="G777">
        <v>0.22033898305084751</v>
      </c>
      <c r="H777">
        <f>(F777+E777)/C777</f>
        <v>0.59322033898305082</v>
      </c>
    </row>
    <row r="778" spans="1:9" customFormat="1" hidden="1" x14ac:dyDescent="0.2">
      <c r="A778">
        <v>112053</v>
      </c>
      <c r="B778" t="s">
        <v>539</v>
      </c>
      <c r="C778">
        <v>870</v>
      </c>
      <c r="D778" t="s">
        <v>340</v>
      </c>
      <c r="E778">
        <v>165</v>
      </c>
      <c r="F778">
        <v>349</v>
      </c>
      <c r="G778">
        <v>0.18965517241379309</v>
      </c>
      <c r="H778">
        <f>(F778+E778)/C778</f>
        <v>0.59080459770114946</v>
      </c>
    </row>
    <row r="779" spans="1:9" customFormat="1" hidden="1" x14ac:dyDescent="0.2">
      <c r="A779">
        <v>118166</v>
      </c>
      <c r="B779" t="s">
        <v>159</v>
      </c>
      <c r="C779">
        <v>100</v>
      </c>
      <c r="D779" t="s">
        <v>48</v>
      </c>
      <c r="E779">
        <v>52</v>
      </c>
      <c r="F779">
        <v>7</v>
      </c>
      <c r="G779">
        <v>0.52</v>
      </c>
      <c r="H779">
        <f>(F779+E779)/C779</f>
        <v>0.59</v>
      </c>
    </row>
    <row r="780" spans="1:9" customFormat="1" hidden="1" x14ac:dyDescent="0.2">
      <c r="A780">
        <v>126706</v>
      </c>
      <c r="B780" t="s">
        <v>630</v>
      </c>
      <c r="C780">
        <v>41</v>
      </c>
      <c r="D780" t="s">
        <v>340</v>
      </c>
      <c r="E780">
        <v>24</v>
      </c>
      <c r="F780">
        <v>0</v>
      </c>
      <c r="G780">
        <v>0.58536585365853655</v>
      </c>
      <c r="H780">
        <f>(F780+E780)/C780</f>
        <v>0.58536585365853655</v>
      </c>
    </row>
    <row r="781" spans="1:9" customFormat="1" hidden="1" x14ac:dyDescent="0.2">
      <c r="A781">
        <v>315055</v>
      </c>
      <c r="B781" t="s">
        <v>255</v>
      </c>
      <c r="C781">
        <v>200</v>
      </c>
      <c r="D781" t="s">
        <v>48</v>
      </c>
      <c r="E781">
        <v>0</v>
      </c>
      <c r="F781">
        <v>117</v>
      </c>
      <c r="G781">
        <v>0</v>
      </c>
      <c r="H781">
        <f>(F781+E781)/C781</f>
        <v>0.58499999999999996</v>
      </c>
    </row>
    <row r="782" spans="1:9" customFormat="1" hidden="1" x14ac:dyDescent="0.2">
      <c r="A782">
        <v>212546</v>
      </c>
      <c r="B782" t="s">
        <v>234</v>
      </c>
      <c r="C782">
        <v>12</v>
      </c>
      <c r="D782" t="s">
        <v>48</v>
      </c>
      <c r="E782">
        <v>7</v>
      </c>
      <c r="F782">
        <v>0</v>
      </c>
      <c r="G782">
        <v>0.58333333333333337</v>
      </c>
      <c r="H782">
        <f>(F782+E782)/C782</f>
        <v>0.58333333333333337</v>
      </c>
    </row>
    <row r="783" spans="1:9" customFormat="1" hidden="1" x14ac:dyDescent="0.2">
      <c r="A783">
        <v>124527</v>
      </c>
      <c r="B783" t="s">
        <v>624</v>
      </c>
      <c r="C783">
        <v>50</v>
      </c>
      <c r="D783" t="s">
        <v>340</v>
      </c>
      <c r="E783">
        <v>9</v>
      </c>
      <c r="F783">
        <v>20</v>
      </c>
      <c r="G783">
        <v>0.18</v>
      </c>
      <c r="H783">
        <f>(F783+E783)/C783</f>
        <v>0.57999999999999996</v>
      </c>
    </row>
    <row r="784" spans="1:9" customFormat="1" hidden="1" x14ac:dyDescent="0.2">
      <c r="A784">
        <v>110248</v>
      </c>
      <c r="B784" t="s">
        <v>507</v>
      </c>
      <c r="C784">
        <v>80</v>
      </c>
      <c r="D784" t="s">
        <v>340</v>
      </c>
      <c r="E784">
        <v>46</v>
      </c>
      <c r="F784">
        <v>0</v>
      </c>
      <c r="G784">
        <v>0.57499999999999996</v>
      </c>
      <c r="H784">
        <f>(F784+E784)/C784</f>
        <v>0.57499999999999996</v>
      </c>
    </row>
    <row r="785" spans="1:8" customFormat="1" hidden="1" x14ac:dyDescent="0.2">
      <c r="A785">
        <v>108655</v>
      </c>
      <c r="B785" t="s">
        <v>953</v>
      </c>
      <c r="C785">
        <v>141</v>
      </c>
      <c r="D785" t="s">
        <v>923</v>
      </c>
      <c r="E785">
        <v>26</v>
      </c>
      <c r="F785">
        <v>55</v>
      </c>
      <c r="G785">
        <v>0.18439716312056739</v>
      </c>
      <c r="H785">
        <f>(F785+E785)/C785</f>
        <v>0.57446808510638303</v>
      </c>
    </row>
    <row r="786" spans="1:8" customFormat="1" hidden="1" x14ac:dyDescent="0.2">
      <c r="A786">
        <v>230939</v>
      </c>
      <c r="B786" t="s">
        <v>740</v>
      </c>
      <c r="C786">
        <v>14</v>
      </c>
      <c r="D786" t="s">
        <v>340</v>
      </c>
      <c r="E786">
        <v>8</v>
      </c>
      <c r="F786">
        <v>0</v>
      </c>
      <c r="G786">
        <v>0.5714285714285714</v>
      </c>
      <c r="H786">
        <f>(F786+E786)/C786</f>
        <v>0.5714285714285714</v>
      </c>
    </row>
    <row r="787" spans="1:8" customFormat="1" hidden="1" x14ac:dyDescent="0.2">
      <c r="A787">
        <v>586347</v>
      </c>
      <c r="B787" t="s">
        <v>903</v>
      </c>
      <c r="C787">
        <v>7</v>
      </c>
      <c r="D787" t="s">
        <v>340</v>
      </c>
      <c r="E787">
        <v>1</v>
      </c>
      <c r="F787">
        <v>3</v>
      </c>
      <c r="G787">
        <v>0.14285714285714279</v>
      </c>
      <c r="H787">
        <f>(F787+E787)/C787</f>
        <v>0.5714285714285714</v>
      </c>
    </row>
    <row r="788" spans="1:8" customFormat="1" hidden="1" x14ac:dyDescent="0.2">
      <c r="A788">
        <v>316726</v>
      </c>
      <c r="B788" t="s">
        <v>258</v>
      </c>
      <c r="C788">
        <v>272</v>
      </c>
      <c r="D788" t="s">
        <v>48</v>
      </c>
      <c r="E788">
        <v>115</v>
      </c>
      <c r="F788">
        <v>39</v>
      </c>
      <c r="G788">
        <v>0.42279411764705882</v>
      </c>
      <c r="H788">
        <f>(F788+E788)/C788</f>
        <v>0.56617647058823528</v>
      </c>
    </row>
    <row r="789" spans="1:8" customFormat="1" hidden="1" x14ac:dyDescent="0.2">
      <c r="A789">
        <v>106478</v>
      </c>
      <c r="B789" t="s">
        <v>366</v>
      </c>
      <c r="C789">
        <v>1286</v>
      </c>
      <c r="D789" t="s">
        <v>340</v>
      </c>
      <c r="E789">
        <v>364</v>
      </c>
      <c r="F789">
        <v>363</v>
      </c>
      <c r="G789">
        <v>0.28304821150855358</v>
      </c>
      <c r="H789">
        <f>(F789+E789)/C789</f>
        <v>0.56531881804043549</v>
      </c>
    </row>
    <row r="790" spans="1:8" customFormat="1" hidden="1" x14ac:dyDescent="0.2">
      <c r="A790">
        <v>510427</v>
      </c>
      <c r="B790" t="s">
        <v>878</v>
      </c>
      <c r="C790">
        <v>78</v>
      </c>
      <c r="D790" t="s">
        <v>340</v>
      </c>
      <c r="E790">
        <v>39</v>
      </c>
      <c r="F790">
        <v>5</v>
      </c>
      <c r="G790">
        <v>0.5</v>
      </c>
      <c r="H790">
        <f>(F790+E790)/C790</f>
        <v>0.5641025641025641</v>
      </c>
    </row>
    <row r="791" spans="1:8" customFormat="1" hidden="1" x14ac:dyDescent="0.2">
      <c r="A791">
        <v>106752</v>
      </c>
      <c r="B791" t="s">
        <v>384</v>
      </c>
      <c r="C791">
        <v>55</v>
      </c>
      <c r="D791" t="s">
        <v>340</v>
      </c>
      <c r="E791">
        <v>24</v>
      </c>
      <c r="F791">
        <v>7</v>
      </c>
      <c r="G791">
        <v>0.43636363636363629</v>
      </c>
      <c r="H791">
        <f>(F791+E791)/C791</f>
        <v>0.5636363636363636</v>
      </c>
    </row>
    <row r="792" spans="1:8" customFormat="1" hidden="1" x14ac:dyDescent="0.2">
      <c r="A792">
        <v>124098</v>
      </c>
      <c r="B792" t="s">
        <v>1006</v>
      </c>
      <c r="C792">
        <v>25</v>
      </c>
      <c r="D792" t="s">
        <v>923</v>
      </c>
      <c r="E792">
        <v>9</v>
      </c>
      <c r="F792">
        <v>5</v>
      </c>
      <c r="G792">
        <v>0.36</v>
      </c>
      <c r="H792">
        <f>(F792+E792)/C792</f>
        <v>0.56000000000000005</v>
      </c>
    </row>
    <row r="793" spans="1:8" customFormat="1" hidden="1" x14ac:dyDescent="0.2">
      <c r="A793">
        <v>183987</v>
      </c>
      <c r="B793" t="s">
        <v>711</v>
      </c>
      <c r="C793">
        <v>65</v>
      </c>
      <c r="D793" t="s">
        <v>340</v>
      </c>
      <c r="E793">
        <v>21</v>
      </c>
      <c r="F793">
        <v>15</v>
      </c>
      <c r="G793">
        <v>0.32307692307692309</v>
      </c>
      <c r="H793">
        <f>(F793+E793)/C793</f>
        <v>0.55384615384615388</v>
      </c>
    </row>
    <row r="794" spans="1:8" customFormat="1" hidden="1" x14ac:dyDescent="0.2">
      <c r="A794">
        <v>122790</v>
      </c>
      <c r="B794" t="s">
        <v>163</v>
      </c>
      <c r="C794">
        <v>242</v>
      </c>
      <c r="D794" t="s">
        <v>48</v>
      </c>
      <c r="E794">
        <v>114</v>
      </c>
      <c r="F794">
        <v>20</v>
      </c>
      <c r="G794">
        <v>0.47107438016528919</v>
      </c>
      <c r="H794">
        <f>(F794+E794)/C794</f>
        <v>0.55371900826446285</v>
      </c>
    </row>
    <row r="795" spans="1:8" customFormat="1" hidden="1" x14ac:dyDescent="0.2">
      <c r="A795">
        <v>108893</v>
      </c>
      <c r="B795" t="s">
        <v>95</v>
      </c>
      <c r="C795">
        <v>190</v>
      </c>
      <c r="D795" t="s">
        <v>48</v>
      </c>
      <c r="E795">
        <v>105</v>
      </c>
      <c r="F795">
        <v>0</v>
      </c>
      <c r="G795">
        <v>0.55263157894736847</v>
      </c>
      <c r="H795">
        <f>(F795+E795)/C795</f>
        <v>0.55263157894736847</v>
      </c>
    </row>
    <row r="796" spans="1:8" customFormat="1" hidden="1" x14ac:dyDescent="0.2">
      <c r="A796">
        <v>112511</v>
      </c>
      <c r="B796" t="s">
        <v>553</v>
      </c>
      <c r="C796">
        <v>129</v>
      </c>
      <c r="D796" t="s">
        <v>340</v>
      </c>
      <c r="E796">
        <v>55</v>
      </c>
      <c r="F796">
        <v>15</v>
      </c>
      <c r="G796">
        <v>0.4263565891472868</v>
      </c>
      <c r="H796">
        <f>(F796+E796)/C796</f>
        <v>0.54263565891472865</v>
      </c>
    </row>
    <row r="797" spans="1:8" customFormat="1" hidden="1" x14ac:dyDescent="0.2">
      <c r="A797">
        <v>470006</v>
      </c>
      <c r="B797" t="s">
        <v>1084</v>
      </c>
      <c r="C797">
        <v>1106</v>
      </c>
      <c r="D797" t="s">
        <v>923</v>
      </c>
      <c r="E797">
        <v>533</v>
      </c>
      <c r="F797">
        <v>58</v>
      </c>
      <c r="G797">
        <v>0.48191681735985531</v>
      </c>
      <c r="H797">
        <f>(F797+E797)/C797</f>
        <v>0.53435804701627487</v>
      </c>
    </row>
    <row r="798" spans="1:8" customFormat="1" hidden="1" x14ac:dyDescent="0.2">
      <c r="A798">
        <v>107333</v>
      </c>
      <c r="B798" t="s">
        <v>74</v>
      </c>
      <c r="C798">
        <v>438</v>
      </c>
      <c r="D798" t="s">
        <v>48</v>
      </c>
      <c r="E798">
        <v>8</v>
      </c>
      <c r="F798">
        <v>225</v>
      </c>
      <c r="G798">
        <v>1.8264840182648401E-2</v>
      </c>
      <c r="H798">
        <f>(F798+E798)/C798</f>
        <v>0.53196347031963476</v>
      </c>
    </row>
    <row r="799" spans="1:8" customFormat="1" hidden="1" x14ac:dyDescent="0.2">
      <c r="A799">
        <v>108869</v>
      </c>
      <c r="B799" t="s">
        <v>460</v>
      </c>
      <c r="C799">
        <v>85</v>
      </c>
      <c r="D799" t="s">
        <v>340</v>
      </c>
      <c r="E799">
        <v>45</v>
      </c>
      <c r="F799">
        <v>0</v>
      </c>
      <c r="G799">
        <v>0.52941176470588236</v>
      </c>
      <c r="H799">
        <f>(F799+E799)/C799</f>
        <v>0.52941176470588236</v>
      </c>
    </row>
    <row r="800" spans="1:8" customFormat="1" hidden="1" x14ac:dyDescent="0.2">
      <c r="A800">
        <v>127820</v>
      </c>
      <c r="B800" t="s">
        <v>168</v>
      </c>
      <c r="C800">
        <v>40</v>
      </c>
      <c r="D800" t="s">
        <v>48</v>
      </c>
      <c r="E800">
        <v>3</v>
      </c>
      <c r="F800">
        <v>18</v>
      </c>
      <c r="G800">
        <v>7.4999999999999997E-2</v>
      </c>
      <c r="H800">
        <f>(F800+E800)/C800</f>
        <v>0.52500000000000002</v>
      </c>
    </row>
    <row r="801" spans="1:8" customFormat="1" hidden="1" x14ac:dyDescent="0.2">
      <c r="A801">
        <v>112348</v>
      </c>
      <c r="B801" t="s">
        <v>548</v>
      </c>
      <c r="C801">
        <v>40</v>
      </c>
      <c r="D801" t="s">
        <v>340</v>
      </c>
      <c r="E801">
        <v>19</v>
      </c>
      <c r="F801">
        <v>2</v>
      </c>
      <c r="G801">
        <v>0.47499999999999998</v>
      </c>
      <c r="H801">
        <f>(F801+E801)/C801</f>
        <v>0.52500000000000002</v>
      </c>
    </row>
    <row r="802" spans="1:8" customFormat="1" hidden="1" x14ac:dyDescent="0.2">
      <c r="A802">
        <v>110652</v>
      </c>
      <c r="B802" t="s">
        <v>117</v>
      </c>
      <c r="C802">
        <v>376</v>
      </c>
      <c r="D802" t="s">
        <v>48</v>
      </c>
      <c r="E802">
        <v>182</v>
      </c>
      <c r="F802">
        <v>14</v>
      </c>
      <c r="G802">
        <v>0.48404255319148942</v>
      </c>
      <c r="H802">
        <f>(F802+E802)/C802</f>
        <v>0.52127659574468088</v>
      </c>
    </row>
    <row r="803" spans="1:8" customFormat="1" hidden="1" x14ac:dyDescent="0.2">
      <c r="A803">
        <v>309704</v>
      </c>
      <c r="B803" t="s">
        <v>763</v>
      </c>
      <c r="C803">
        <v>198</v>
      </c>
      <c r="D803" t="s">
        <v>340</v>
      </c>
      <c r="E803">
        <v>80</v>
      </c>
      <c r="F803">
        <v>23</v>
      </c>
      <c r="G803">
        <v>0.40404040404040398</v>
      </c>
      <c r="H803">
        <f>(F803+E803)/C803</f>
        <v>0.52020202020202022</v>
      </c>
    </row>
    <row r="804" spans="1:8" customFormat="1" hidden="1" x14ac:dyDescent="0.2">
      <c r="A804">
        <v>145570</v>
      </c>
      <c r="B804" t="s">
        <v>664</v>
      </c>
      <c r="C804">
        <v>189</v>
      </c>
      <c r="D804" t="s">
        <v>340</v>
      </c>
      <c r="E804">
        <v>93</v>
      </c>
      <c r="F804">
        <v>3</v>
      </c>
      <c r="G804">
        <v>0.49206349206349198</v>
      </c>
      <c r="H804">
        <f>(F804+E804)/C804</f>
        <v>0.50793650793650791</v>
      </c>
    </row>
    <row r="805" spans="1:8" customFormat="1" hidden="1" x14ac:dyDescent="0.2">
      <c r="A805">
        <v>109678</v>
      </c>
      <c r="B805" t="s">
        <v>488</v>
      </c>
      <c r="C805">
        <v>157</v>
      </c>
      <c r="D805" t="s">
        <v>340</v>
      </c>
      <c r="E805">
        <v>52</v>
      </c>
      <c r="F805">
        <v>27</v>
      </c>
      <c r="G805">
        <v>0.33121019108280247</v>
      </c>
      <c r="H805">
        <f>(F805+E805)/C805</f>
        <v>0.50318471337579618</v>
      </c>
    </row>
    <row r="806" spans="1:8" customFormat="1" hidden="1" x14ac:dyDescent="0.2">
      <c r="A806">
        <v>327051</v>
      </c>
      <c r="B806" t="s">
        <v>35</v>
      </c>
      <c r="C806">
        <v>20</v>
      </c>
      <c r="D806" t="s">
        <v>8</v>
      </c>
      <c r="E806">
        <v>7</v>
      </c>
      <c r="F806">
        <v>3</v>
      </c>
      <c r="G806">
        <v>0.35</v>
      </c>
      <c r="H806">
        <f>(F806+E806)/C806</f>
        <v>0.5</v>
      </c>
    </row>
    <row r="807" spans="1:8" customFormat="1" hidden="1" x14ac:dyDescent="0.2">
      <c r="A807">
        <v>109105</v>
      </c>
      <c r="B807" t="s">
        <v>99</v>
      </c>
      <c r="C807">
        <v>24</v>
      </c>
      <c r="D807" t="s">
        <v>48</v>
      </c>
      <c r="E807">
        <v>0</v>
      </c>
      <c r="F807">
        <v>12</v>
      </c>
      <c r="G807">
        <v>0</v>
      </c>
      <c r="H807">
        <f>(F807+E807)/C807</f>
        <v>0.5</v>
      </c>
    </row>
    <row r="808" spans="1:8" customFormat="1" hidden="1" x14ac:dyDescent="0.2">
      <c r="A808">
        <v>112312</v>
      </c>
      <c r="B808" t="s">
        <v>127</v>
      </c>
      <c r="C808">
        <v>8</v>
      </c>
      <c r="D808" t="s">
        <v>48</v>
      </c>
      <c r="E808">
        <v>4</v>
      </c>
      <c r="F808">
        <v>0</v>
      </c>
      <c r="G808">
        <v>0.5</v>
      </c>
      <c r="H808">
        <f>(F808+E808)/C808</f>
        <v>0.5</v>
      </c>
    </row>
    <row r="809" spans="1:8" customFormat="1" hidden="1" x14ac:dyDescent="0.2">
      <c r="A809">
        <v>411438</v>
      </c>
      <c r="B809" t="s">
        <v>263</v>
      </c>
      <c r="C809">
        <v>6</v>
      </c>
      <c r="D809" t="s">
        <v>48</v>
      </c>
      <c r="E809">
        <v>0</v>
      </c>
      <c r="F809">
        <v>3</v>
      </c>
      <c r="G809">
        <v>0</v>
      </c>
      <c r="H809">
        <f>(F809+E809)/C809</f>
        <v>0.5</v>
      </c>
    </row>
    <row r="810" spans="1:8" customFormat="1" hidden="1" x14ac:dyDescent="0.2">
      <c r="A810">
        <v>163049</v>
      </c>
      <c r="B810" t="s">
        <v>692</v>
      </c>
      <c r="C810">
        <v>60</v>
      </c>
      <c r="D810" t="s">
        <v>340</v>
      </c>
      <c r="E810">
        <v>23</v>
      </c>
      <c r="F810">
        <v>7</v>
      </c>
      <c r="G810">
        <v>0.38333333333333341</v>
      </c>
      <c r="H810">
        <f>(F810+E810)/C810</f>
        <v>0.5</v>
      </c>
    </row>
    <row r="811" spans="1:8" customFormat="1" hidden="1" x14ac:dyDescent="0.2">
      <c r="A811">
        <v>172684</v>
      </c>
      <c r="B811" t="s">
        <v>704</v>
      </c>
      <c r="C811">
        <v>20</v>
      </c>
      <c r="D811" t="s">
        <v>340</v>
      </c>
      <c r="E811">
        <v>10</v>
      </c>
      <c r="F811">
        <v>0</v>
      </c>
      <c r="G811">
        <v>0.5</v>
      </c>
      <c r="H811">
        <f>(F811+E811)/C811</f>
        <v>0.5</v>
      </c>
    </row>
    <row r="812" spans="1:8" customFormat="1" hidden="1" x14ac:dyDescent="0.2">
      <c r="A812" t="s">
        <v>920</v>
      </c>
      <c r="B812" t="s">
        <v>921</v>
      </c>
      <c r="C812">
        <v>10</v>
      </c>
      <c r="D812" t="s">
        <v>340</v>
      </c>
      <c r="E812">
        <v>3</v>
      </c>
      <c r="F812">
        <v>2</v>
      </c>
      <c r="G812">
        <v>0.3</v>
      </c>
      <c r="H812">
        <f>(F812+E812)/C812</f>
        <v>0.5</v>
      </c>
    </row>
    <row r="813" spans="1:8" customFormat="1" hidden="1" x14ac:dyDescent="0.2">
      <c r="A813">
        <v>110305</v>
      </c>
      <c r="B813" t="s">
        <v>969</v>
      </c>
      <c r="C813">
        <v>18</v>
      </c>
      <c r="D813" t="s">
        <v>923</v>
      </c>
      <c r="E813">
        <v>9</v>
      </c>
      <c r="F813">
        <v>0</v>
      </c>
      <c r="G813">
        <v>0.5</v>
      </c>
      <c r="H813">
        <f>(F813+E813)/C813</f>
        <v>0.5</v>
      </c>
    </row>
    <row r="814" spans="1:8" customFormat="1" hidden="1" x14ac:dyDescent="0.2">
      <c r="A814">
        <v>114071</v>
      </c>
      <c r="B814" t="s">
        <v>991</v>
      </c>
      <c r="C814">
        <v>2</v>
      </c>
      <c r="D814" t="s">
        <v>923</v>
      </c>
      <c r="E814">
        <v>1</v>
      </c>
      <c r="F814">
        <v>0</v>
      </c>
      <c r="G814">
        <v>0.5</v>
      </c>
      <c r="H814">
        <f>(F814+E814)/C814</f>
        <v>0.5</v>
      </c>
    </row>
    <row r="815" spans="1:8" customFormat="1" hidden="1" x14ac:dyDescent="0.2">
      <c r="A815">
        <v>115736</v>
      </c>
      <c r="B815" t="s">
        <v>998</v>
      </c>
      <c r="C815">
        <v>2</v>
      </c>
      <c r="D815" t="s">
        <v>923</v>
      </c>
      <c r="E815">
        <v>1</v>
      </c>
      <c r="F815">
        <v>0</v>
      </c>
      <c r="G815">
        <v>0.5</v>
      </c>
      <c r="H815">
        <f>(F815+E815)/C815</f>
        <v>0.5</v>
      </c>
    </row>
    <row r="816" spans="1:8" customFormat="1" hidden="1" x14ac:dyDescent="0.2">
      <c r="A816">
        <v>470515</v>
      </c>
      <c r="B816" t="s">
        <v>1085</v>
      </c>
      <c r="C816">
        <v>16</v>
      </c>
      <c r="D816" t="s">
        <v>923</v>
      </c>
      <c r="E816">
        <v>8</v>
      </c>
      <c r="F816">
        <v>0</v>
      </c>
      <c r="G816">
        <v>0.5</v>
      </c>
      <c r="H816">
        <f>(F816+E816)/C816</f>
        <v>0.5</v>
      </c>
    </row>
    <row r="817" spans="1:8" customFormat="1" hidden="1" x14ac:dyDescent="0.2">
      <c r="A817">
        <v>129244</v>
      </c>
      <c r="B817" t="s">
        <v>640</v>
      </c>
      <c r="C817">
        <v>215</v>
      </c>
      <c r="D817" t="s">
        <v>340</v>
      </c>
      <c r="E817">
        <v>81</v>
      </c>
      <c r="F817">
        <v>26</v>
      </c>
      <c r="G817">
        <v>0.37674418604651161</v>
      </c>
      <c r="H817">
        <f>(F817+E817)/C817</f>
        <v>0.49767441860465117</v>
      </c>
    </row>
    <row r="818" spans="1:8" customFormat="1" hidden="1" x14ac:dyDescent="0.2">
      <c r="A818">
        <v>106346</v>
      </c>
      <c r="B818" t="s">
        <v>58</v>
      </c>
      <c r="C818">
        <v>1340</v>
      </c>
      <c r="D818" t="s">
        <v>48</v>
      </c>
      <c r="E818">
        <v>644</v>
      </c>
      <c r="F818">
        <v>17</v>
      </c>
      <c r="G818">
        <v>0.48059701492537321</v>
      </c>
      <c r="H818">
        <f>(F818+E818)/C818</f>
        <v>0.49328358208955225</v>
      </c>
    </row>
    <row r="819" spans="1:8" customFormat="1" hidden="1" x14ac:dyDescent="0.2">
      <c r="A819">
        <v>107455</v>
      </c>
      <c r="B819" t="s">
        <v>410</v>
      </c>
      <c r="C819">
        <v>111</v>
      </c>
      <c r="D819" t="s">
        <v>340</v>
      </c>
      <c r="E819">
        <v>54</v>
      </c>
      <c r="F819">
        <v>0</v>
      </c>
      <c r="G819">
        <v>0.48648648648648651</v>
      </c>
      <c r="H819">
        <f>(F819+E819)/C819</f>
        <v>0.48648648648648651</v>
      </c>
    </row>
    <row r="820" spans="1:8" customFormat="1" hidden="1" x14ac:dyDescent="0.2">
      <c r="A820">
        <v>301248</v>
      </c>
      <c r="B820" t="s">
        <v>1057</v>
      </c>
      <c r="C820">
        <v>74</v>
      </c>
      <c r="D820" t="s">
        <v>923</v>
      </c>
      <c r="E820">
        <v>21</v>
      </c>
      <c r="F820">
        <v>15</v>
      </c>
      <c r="G820">
        <v>0.28378378378378383</v>
      </c>
      <c r="H820">
        <f>(F820+E820)/C820</f>
        <v>0.48648648648648651</v>
      </c>
    </row>
    <row r="821" spans="1:8" customFormat="1" hidden="1" x14ac:dyDescent="0.2">
      <c r="A821">
        <v>465967</v>
      </c>
      <c r="B821" t="s">
        <v>829</v>
      </c>
      <c r="C821">
        <v>109</v>
      </c>
      <c r="D821" t="s">
        <v>340</v>
      </c>
      <c r="E821">
        <v>30</v>
      </c>
      <c r="F821">
        <v>23</v>
      </c>
      <c r="G821">
        <v>0.27522935779816521</v>
      </c>
      <c r="H821">
        <f>(F821+E821)/C821</f>
        <v>0.48623853211009177</v>
      </c>
    </row>
    <row r="822" spans="1:8" customFormat="1" hidden="1" x14ac:dyDescent="0.2">
      <c r="A822">
        <v>105721</v>
      </c>
      <c r="B822" t="s">
        <v>348</v>
      </c>
      <c r="C822">
        <v>142</v>
      </c>
      <c r="D822" t="s">
        <v>340</v>
      </c>
      <c r="E822">
        <v>15</v>
      </c>
      <c r="F822">
        <v>54</v>
      </c>
      <c r="G822">
        <v>0.10563380281690141</v>
      </c>
      <c r="H822">
        <f>(F822+E822)/C822</f>
        <v>0.4859154929577465</v>
      </c>
    </row>
    <row r="823" spans="1:8" customFormat="1" hidden="1" x14ac:dyDescent="0.2">
      <c r="A823">
        <v>500208</v>
      </c>
      <c r="B823" t="s">
        <v>306</v>
      </c>
      <c r="C823">
        <v>50</v>
      </c>
      <c r="D823" t="s">
        <v>48</v>
      </c>
      <c r="E823">
        <v>3</v>
      </c>
      <c r="F823">
        <v>21</v>
      </c>
      <c r="G823">
        <v>0.06</v>
      </c>
      <c r="H823">
        <f>(F823+E823)/C823</f>
        <v>0.48</v>
      </c>
    </row>
    <row r="824" spans="1:8" customFormat="1" hidden="1" x14ac:dyDescent="0.2">
      <c r="A824">
        <v>479807</v>
      </c>
      <c r="B824" t="s">
        <v>855</v>
      </c>
      <c r="C824">
        <v>63</v>
      </c>
      <c r="D824" t="s">
        <v>340</v>
      </c>
      <c r="E824">
        <v>30</v>
      </c>
      <c r="F824">
        <v>0</v>
      </c>
      <c r="G824">
        <v>0.47619047619047622</v>
      </c>
      <c r="H824">
        <f>(F824+E824)/C824</f>
        <v>0.47619047619047616</v>
      </c>
    </row>
    <row r="825" spans="1:8" customFormat="1" hidden="1" x14ac:dyDescent="0.2">
      <c r="A825">
        <v>198553</v>
      </c>
      <c r="B825" t="s">
        <v>723</v>
      </c>
      <c r="C825">
        <v>85</v>
      </c>
      <c r="D825" t="s">
        <v>340</v>
      </c>
      <c r="E825">
        <v>20</v>
      </c>
      <c r="F825">
        <v>20</v>
      </c>
      <c r="G825">
        <v>0.23529411764705879</v>
      </c>
      <c r="H825">
        <f>(F825+E825)/C825</f>
        <v>0.47058823529411764</v>
      </c>
    </row>
    <row r="826" spans="1:8" customFormat="1" hidden="1" x14ac:dyDescent="0.2">
      <c r="A826">
        <v>109521</v>
      </c>
      <c r="B826" t="s">
        <v>108</v>
      </c>
      <c r="C826">
        <v>130</v>
      </c>
      <c r="D826" t="s">
        <v>48</v>
      </c>
      <c r="E826">
        <v>60</v>
      </c>
      <c r="F826">
        <v>1</v>
      </c>
      <c r="G826">
        <v>0.46153846153846162</v>
      </c>
      <c r="H826">
        <f>(F826+E826)/C826</f>
        <v>0.46923076923076923</v>
      </c>
    </row>
    <row r="827" spans="1:8" customFormat="1" hidden="1" x14ac:dyDescent="0.2">
      <c r="A827">
        <v>115661</v>
      </c>
      <c r="B827" t="s">
        <v>598</v>
      </c>
      <c r="C827">
        <v>107</v>
      </c>
      <c r="D827" t="s">
        <v>340</v>
      </c>
      <c r="E827">
        <v>50</v>
      </c>
      <c r="F827">
        <v>0</v>
      </c>
      <c r="G827">
        <v>0.46728971962616822</v>
      </c>
      <c r="H827">
        <f>(F827+E827)/C827</f>
        <v>0.46728971962616822</v>
      </c>
    </row>
    <row r="828" spans="1:8" customFormat="1" hidden="1" x14ac:dyDescent="0.2">
      <c r="A828">
        <v>184616</v>
      </c>
      <c r="B828" t="s">
        <v>712</v>
      </c>
      <c r="C828">
        <v>15</v>
      </c>
      <c r="D828" t="s">
        <v>340</v>
      </c>
      <c r="E828">
        <v>6</v>
      </c>
      <c r="F828">
        <v>1</v>
      </c>
      <c r="G828">
        <v>0.4</v>
      </c>
      <c r="H828">
        <f>(F828+E828)/C828</f>
        <v>0.46666666666666667</v>
      </c>
    </row>
    <row r="829" spans="1:8" customFormat="1" hidden="1" x14ac:dyDescent="0.2">
      <c r="A829">
        <v>300173</v>
      </c>
      <c r="B829" t="s">
        <v>1055</v>
      </c>
      <c r="C829">
        <v>60</v>
      </c>
      <c r="D829" t="s">
        <v>923</v>
      </c>
      <c r="E829">
        <v>0</v>
      </c>
      <c r="F829">
        <v>28</v>
      </c>
      <c r="G829">
        <v>0</v>
      </c>
      <c r="H829">
        <f>(F829+E829)/C829</f>
        <v>0.46666666666666667</v>
      </c>
    </row>
    <row r="830" spans="1:8" customFormat="1" hidden="1" x14ac:dyDescent="0.2">
      <c r="A830">
        <v>189114</v>
      </c>
      <c r="B830" t="s">
        <v>218</v>
      </c>
      <c r="C830">
        <v>164</v>
      </c>
      <c r="D830" t="s">
        <v>48</v>
      </c>
      <c r="E830">
        <v>31</v>
      </c>
      <c r="F830">
        <v>45</v>
      </c>
      <c r="G830">
        <v>0.18902439024390241</v>
      </c>
      <c r="H830">
        <f>(F830+E830)/C830</f>
        <v>0.46341463414634149</v>
      </c>
    </row>
    <row r="831" spans="1:8" customFormat="1" hidden="1" x14ac:dyDescent="0.2">
      <c r="A831">
        <v>133567</v>
      </c>
      <c r="B831" t="s">
        <v>647</v>
      </c>
      <c r="C831">
        <v>463</v>
      </c>
      <c r="D831" t="s">
        <v>340</v>
      </c>
      <c r="E831">
        <v>75</v>
      </c>
      <c r="F831">
        <v>139</v>
      </c>
      <c r="G831">
        <v>0.1619870410367171</v>
      </c>
      <c r="H831">
        <f>(F831+E831)/C831</f>
        <v>0.46220302375809935</v>
      </c>
    </row>
    <row r="832" spans="1:8" customFormat="1" hidden="1" x14ac:dyDescent="0.2">
      <c r="A832">
        <v>148711</v>
      </c>
      <c r="B832" t="s">
        <v>191</v>
      </c>
      <c r="C832">
        <v>107</v>
      </c>
      <c r="D832" t="s">
        <v>48</v>
      </c>
      <c r="E832">
        <v>31</v>
      </c>
      <c r="F832">
        <v>18</v>
      </c>
      <c r="G832">
        <v>0.28971962616822428</v>
      </c>
      <c r="H832">
        <f>(F832+E832)/C832</f>
        <v>0.45794392523364486</v>
      </c>
    </row>
    <row r="833" spans="1:8" customFormat="1" hidden="1" x14ac:dyDescent="0.2">
      <c r="A833">
        <v>106985</v>
      </c>
      <c r="B833" t="s">
        <v>67</v>
      </c>
      <c r="C833">
        <v>11</v>
      </c>
      <c r="D833" t="s">
        <v>48</v>
      </c>
      <c r="E833">
        <v>5</v>
      </c>
      <c r="F833">
        <v>0</v>
      </c>
      <c r="G833">
        <v>0.45454545454545447</v>
      </c>
      <c r="H833">
        <f>(F833+E833)/C833</f>
        <v>0.45454545454545453</v>
      </c>
    </row>
    <row r="834" spans="1:8" customFormat="1" hidden="1" x14ac:dyDescent="0.2">
      <c r="A834">
        <v>110482</v>
      </c>
      <c r="B834" t="s">
        <v>516</v>
      </c>
      <c r="C834">
        <v>22</v>
      </c>
      <c r="D834" t="s">
        <v>340</v>
      </c>
      <c r="E834">
        <v>9</v>
      </c>
      <c r="F834">
        <v>1</v>
      </c>
      <c r="G834">
        <v>0.40909090909090912</v>
      </c>
      <c r="H834">
        <f>(F834+E834)/C834</f>
        <v>0.45454545454545453</v>
      </c>
    </row>
    <row r="835" spans="1:8" customFormat="1" hidden="1" x14ac:dyDescent="0.2">
      <c r="A835">
        <v>475505</v>
      </c>
      <c r="B835" t="s">
        <v>847</v>
      </c>
      <c r="C835">
        <v>31</v>
      </c>
      <c r="D835" t="s">
        <v>340</v>
      </c>
      <c r="E835">
        <v>0</v>
      </c>
      <c r="F835">
        <v>14</v>
      </c>
      <c r="G835">
        <v>0</v>
      </c>
      <c r="H835">
        <f>(F835+E835)/C835</f>
        <v>0.45161290322580644</v>
      </c>
    </row>
    <row r="836" spans="1:8" customFormat="1" hidden="1" x14ac:dyDescent="0.2">
      <c r="A836">
        <v>112375</v>
      </c>
      <c r="B836" t="s">
        <v>549</v>
      </c>
      <c r="C836">
        <v>189</v>
      </c>
      <c r="D836" t="s">
        <v>340</v>
      </c>
      <c r="E836">
        <v>85</v>
      </c>
      <c r="F836">
        <v>0</v>
      </c>
      <c r="G836">
        <v>0.44973544973544971</v>
      </c>
      <c r="H836">
        <f>(F836+E836)/C836</f>
        <v>0.44973544973544971</v>
      </c>
    </row>
    <row r="837" spans="1:8" customFormat="1" hidden="1" x14ac:dyDescent="0.2">
      <c r="A837">
        <v>109369</v>
      </c>
      <c r="B837" t="s">
        <v>483</v>
      </c>
      <c r="C837">
        <v>94</v>
      </c>
      <c r="D837" t="s">
        <v>340</v>
      </c>
      <c r="E837">
        <v>28</v>
      </c>
      <c r="F837">
        <v>14</v>
      </c>
      <c r="G837">
        <v>0.2978723404255319</v>
      </c>
      <c r="H837">
        <f>(F837+E837)/C837</f>
        <v>0.44680851063829785</v>
      </c>
    </row>
    <row r="838" spans="1:8" customFormat="1" hidden="1" x14ac:dyDescent="0.2">
      <c r="A838">
        <v>157728</v>
      </c>
      <c r="B838" t="s">
        <v>684</v>
      </c>
      <c r="C838">
        <v>45</v>
      </c>
      <c r="D838" t="s">
        <v>340</v>
      </c>
      <c r="E838">
        <v>20</v>
      </c>
      <c r="F838">
        <v>0</v>
      </c>
      <c r="G838">
        <v>0.44444444444444442</v>
      </c>
      <c r="H838">
        <f>(F838+E838)/C838</f>
        <v>0.44444444444444442</v>
      </c>
    </row>
    <row r="839" spans="1:8" customFormat="1" hidden="1" x14ac:dyDescent="0.2">
      <c r="A839">
        <v>170384</v>
      </c>
      <c r="B839" t="s">
        <v>701</v>
      </c>
      <c r="C839">
        <v>18</v>
      </c>
      <c r="D839" t="s">
        <v>340</v>
      </c>
      <c r="E839">
        <v>4</v>
      </c>
      <c r="F839">
        <v>4</v>
      </c>
      <c r="G839">
        <v>0.22222222222222221</v>
      </c>
      <c r="H839">
        <f>(F839+E839)/C839</f>
        <v>0.44444444444444442</v>
      </c>
    </row>
    <row r="840" spans="1:8" customFormat="1" hidden="1" x14ac:dyDescent="0.2">
      <c r="A840">
        <v>106916</v>
      </c>
      <c r="B840" t="s">
        <v>390</v>
      </c>
      <c r="C840">
        <v>533</v>
      </c>
      <c r="D840" t="s">
        <v>340</v>
      </c>
      <c r="E840">
        <v>142</v>
      </c>
      <c r="F840">
        <v>91</v>
      </c>
      <c r="G840">
        <v>0.26641651031894942</v>
      </c>
      <c r="H840">
        <f>(F840+E840)/C840</f>
        <v>0.43714821763602252</v>
      </c>
    </row>
    <row r="841" spans="1:8" customFormat="1" hidden="1" x14ac:dyDescent="0.2">
      <c r="A841">
        <v>107741</v>
      </c>
      <c r="B841" t="s">
        <v>412</v>
      </c>
      <c r="C841">
        <v>1466</v>
      </c>
      <c r="D841" t="s">
        <v>340</v>
      </c>
      <c r="E841">
        <v>515</v>
      </c>
      <c r="F841">
        <v>124</v>
      </c>
      <c r="G841">
        <v>0.35129604365620742</v>
      </c>
      <c r="H841">
        <f>(F841+E841)/C841</f>
        <v>0.43587994542974079</v>
      </c>
    </row>
    <row r="842" spans="1:8" customFormat="1" hidden="1" x14ac:dyDescent="0.2">
      <c r="A842">
        <v>223867</v>
      </c>
      <c r="B842" t="s">
        <v>235</v>
      </c>
      <c r="C842">
        <v>286</v>
      </c>
      <c r="D842" t="s">
        <v>48</v>
      </c>
      <c r="E842">
        <v>124</v>
      </c>
      <c r="F842">
        <v>0</v>
      </c>
      <c r="G842">
        <v>0.43356643356643348</v>
      </c>
      <c r="H842">
        <f>(F842+E842)/C842</f>
        <v>0.43356643356643354</v>
      </c>
    </row>
    <row r="843" spans="1:8" customFormat="1" hidden="1" x14ac:dyDescent="0.2">
      <c r="A843">
        <v>112780</v>
      </c>
      <c r="B843" t="s">
        <v>563</v>
      </c>
      <c r="C843">
        <v>37</v>
      </c>
      <c r="D843" t="s">
        <v>340</v>
      </c>
      <c r="E843">
        <v>8</v>
      </c>
      <c r="F843">
        <v>8</v>
      </c>
      <c r="G843">
        <v>0.2162162162162162</v>
      </c>
      <c r="H843">
        <f>(F843+E843)/C843</f>
        <v>0.43243243243243246</v>
      </c>
    </row>
    <row r="844" spans="1:8" customFormat="1" hidden="1" x14ac:dyDescent="0.2">
      <c r="A844">
        <v>452932</v>
      </c>
      <c r="B844" t="s">
        <v>266</v>
      </c>
      <c r="C844">
        <v>14</v>
      </c>
      <c r="D844" t="s">
        <v>48</v>
      </c>
      <c r="E844">
        <v>0</v>
      </c>
      <c r="F844">
        <v>6</v>
      </c>
      <c r="G844">
        <v>0</v>
      </c>
      <c r="H844">
        <f>(F844+E844)/C844</f>
        <v>0.42857142857142855</v>
      </c>
    </row>
    <row r="845" spans="1:8" customFormat="1" hidden="1" x14ac:dyDescent="0.2">
      <c r="A845">
        <v>467633</v>
      </c>
      <c r="B845" t="s">
        <v>287</v>
      </c>
      <c r="C845">
        <v>7</v>
      </c>
      <c r="D845" t="s">
        <v>48</v>
      </c>
      <c r="E845">
        <v>3</v>
      </c>
      <c r="F845">
        <v>0</v>
      </c>
      <c r="G845">
        <v>0.42857142857142849</v>
      </c>
      <c r="H845">
        <f>(F845+E845)/C845</f>
        <v>0.42857142857142855</v>
      </c>
    </row>
    <row r="846" spans="1:8" customFormat="1" hidden="1" x14ac:dyDescent="0.2">
      <c r="A846">
        <v>153918</v>
      </c>
      <c r="B846" t="s">
        <v>32</v>
      </c>
      <c r="C846">
        <v>236</v>
      </c>
      <c r="D846" t="s">
        <v>8</v>
      </c>
      <c r="E846">
        <v>15</v>
      </c>
      <c r="F846">
        <v>86</v>
      </c>
      <c r="G846">
        <v>6.3559322033898302E-2</v>
      </c>
      <c r="H846">
        <f>(F846+E846)/C846</f>
        <v>0.42796610169491528</v>
      </c>
    </row>
    <row r="847" spans="1:8" customFormat="1" hidden="1" x14ac:dyDescent="0.2">
      <c r="A847">
        <v>116837</v>
      </c>
      <c r="B847" t="s">
        <v>157</v>
      </c>
      <c r="C847">
        <v>166</v>
      </c>
      <c r="D847" t="s">
        <v>48</v>
      </c>
      <c r="E847">
        <v>55</v>
      </c>
      <c r="F847">
        <v>15</v>
      </c>
      <c r="G847">
        <v>0.33132530120481929</v>
      </c>
      <c r="H847">
        <f>(F847+E847)/C847</f>
        <v>0.42168674698795183</v>
      </c>
    </row>
    <row r="848" spans="1:8" customFormat="1" hidden="1" x14ac:dyDescent="0.2">
      <c r="A848">
        <v>513462</v>
      </c>
      <c r="B848" t="s">
        <v>309</v>
      </c>
      <c r="C848">
        <v>595</v>
      </c>
      <c r="D848" t="s">
        <v>48</v>
      </c>
      <c r="E848">
        <v>158</v>
      </c>
      <c r="F848">
        <v>92</v>
      </c>
      <c r="G848">
        <v>0.26554621848739501</v>
      </c>
      <c r="H848">
        <f>(F848+E848)/C848</f>
        <v>0.42016806722689076</v>
      </c>
    </row>
    <row r="849" spans="1:8" customFormat="1" hidden="1" x14ac:dyDescent="0.2">
      <c r="A849">
        <v>105516</v>
      </c>
      <c r="B849" t="s">
        <v>345</v>
      </c>
      <c r="C849">
        <v>1079</v>
      </c>
      <c r="D849" t="s">
        <v>340</v>
      </c>
      <c r="E849">
        <v>321</v>
      </c>
      <c r="F849">
        <v>130</v>
      </c>
      <c r="G849">
        <v>0.29749768303985169</v>
      </c>
      <c r="H849">
        <f>(F849+E849)/C849</f>
        <v>0.41797961075069506</v>
      </c>
    </row>
    <row r="850" spans="1:8" customFormat="1" hidden="1" x14ac:dyDescent="0.2">
      <c r="A850">
        <v>126094</v>
      </c>
      <c r="B850" t="s">
        <v>1010</v>
      </c>
      <c r="C850">
        <v>36</v>
      </c>
      <c r="D850" t="s">
        <v>923</v>
      </c>
      <c r="E850">
        <v>12</v>
      </c>
      <c r="F850">
        <v>3</v>
      </c>
      <c r="G850">
        <v>0.33333333333333331</v>
      </c>
      <c r="H850">
        <f>(F850+E850)/C850</f>
        <v>0.41666666666666669</v>
      </c>
    </row>
    <row r="851" spans="1:8" customFormat="1" hidden="1" x14ac:dyDescent="0.2">
      <c r="A851">
        <v>109205</v>
      </c>
      <c r="B851" t="s">
        <v>471</v>
      </c>
      <c r="C851">
        <v>249</v>
      </c>
      <c r="D851" t="s">
        <v>340</v>
      </c>
      <c r="E851">
        <v>19</v>
      </c>
      <c r="F851">
        <v>83</v>
      </c>
      <c r="G851">
        <v>7.6305220883534142E-2</v>
      </c>
      <c r="H851">
        <f>(F851+E851)/C851</f>
        <v>0.40963855421686746</v>
      </c>
    </row>
    <row r="852" spans="1:8" customFormat="1" hidden="1" x14ac:dyDescent="0.2">
      <c r="A852">
        <v>137813</v>
      </c>
      <c r="B852" t="s">
        <v>653</v>
      </c>
      <c r="C852">
        <v>274</v>
      </c>
      <c r="D852" t="s">
        <v>340</v>
      </c>
      <c r="E852">
        <v>46</v>
      </c>
      <c r="F852">
        <v>66</v>
      </c>
      <c r="G852">
        <v>0.16788321167883211</v>
      </c>
      <c r="H852">
        <f>(F852+E852)/C852</f>
        <v>0.40875912408759124</v>
      </c>
    </row>
    <row r="853" spans="1:8" customFormat="1" hidden="1" x14ac:dyDescent="0.2">
      <c r="A853">
        <v>451126</v>
      </c>
      <c r="B853" t="s">
        <v>265</v>
      </c>
      <c r="C853">
        <v>140</v>
      </c>
      <c r="D853" t="s">
        <v>48</v>
      </c>
      <c r="E853">
        <v>57</v>
      </c>
      <c r="F853">
        <v>0</v>
      </c>
      <c r="G853">
        <v>0.40714285714285708</v>
      </c>
      <c r="H853">
        <f>(F853+E853)/C853</f>
        <v>0.40714285714285714</v>
      </c>
    </row>
    <row r="854" spans="1:8" customFormat="1" hidden="1" x14ac:dyDescent="0.2">
      <c r="A854">
        <v>109969</v>
      </c>
      <c r="B854" t="s">
        <v>968</v>
      </c>
      <c r="C854">
        <v>32</v>
      </c>
      <c r="D854" t="s">
        <v>923</v>
      </c>
      <c r="E854">
        <v>5</v>
      </c>
      <c r="F854">
        <v>8</v>
      </c>
      <c r="G854">
        <v>0.15625</v>
      </c>
      <c r="H854">
        <f>(F854+E854)/C854</f>
        <v>0.40625</v>
      </c>
    </row>
    <row r="855" spans="1:8" customFormat="1" hidden="1" x14ac:dyDescent="0.2">
      <c r="A855">
        <v>108724</v>
      </c>
      <c r="B855" t="s">
        <v>90</v>
      </c>
      <c r="C855">
        <v>102</v>
      </c>
      <c r="D855" t="s">
        <v>48</v>
      </c>
      <c r="E855">
        <v>41</v>
      </c>
      <c r="F855">
        <v>0</v>
      </c>
      <c r="G855">
        <v>0.40196078431372551</v>
      </c>
      <c r="H855">
        <f>(F855+E855)/C855</f>
        <v>0.40196078431372551</v>
      </c>
    </row>
    <row r="856" spans="1:8" customFormat="1" hidden="1" x14ac:dyDescent="0.2">
      <c r="A856">
        <v>193368</v>
      </c>
      <c r="B856" t="s">
        <v>221</v>
      </c>
      <c r="C856">
        <v>30</v>
      </c>
      <c r="D856" t="s">
        <v>48</v>
      </c>
      <c r="E856">
        <v>11</v>
      </c>
      <c r="F856">
        <v>1</v>
      </c>
      <c r="G856">
        <v>0.36666666666666659</v>
      </c>
      <c r="H856">
        <f>(F856+E856)/C856</f>
        <v>0.4</v>
      </c>
    </row>
    <row r="857" spans="1:8" customFormat="1" hidden="1" x14ac:dyDescent="0.2">
      <c r="A857">
        <v>321253</v>
      </c>
      <c r="B857" t="s">
        <v>260</v>
      </c>
      <c r="C857">
        <v>45</v>
      </c>
      <c r="D857" t="s">
        <v>48</v>
      </c>
      <c r="E857">
        <v>4</v>
      </c>
      <c r="F857">
        <v>14</v>
      </c>
      <c r="G857">
        <v>8.8888888888888892E-2</v>
      </c>
      <c r="H857">
        <f>(F857+E857)/C857</f>
        <v>0.4</v>
      </c>
    </row>
    <row r="858" spans="1:8" customFormat="1" hidden="1" x14ac:dyDescent="0.2">
      <c r="A858">
        <v>484480</v>
      </c>
      <c r="B858" t="s">
        <v>297</v>
      </c>
      <c r="C858">
        <v>10</v>
      </c>
      <c r="D858" t="s">
        <v>48</v>
      </c>
      <c r="E858">
        <v>3</v>
      </c>
      <c r="F858">
        <v>1</v>
      </c>
      <c r="G858">
        <v>0.3</v>
      </c>
      <c r="H858">
        <f>(F858+E858)/C858</f>
        <v>0.4</v>
      </c>
    </row>
    <row r="859" spans="1:8" customFormat="1" hidden="1" x14ac:dyDescent="0.2">
      <c r="A859">
        <v>253844</v>
      </c>
      <c r="B859" t="s">
        <v>744</v>
      </c>
      <c r="C859">
        <v>5</v>
      </c>
      <c r="D859" t="s">
        <v>340</v>
      </c>
      <c r="E859">
        <v>0</v>
      </c>
      <c r="F859">
        <v>2</v>
      </c>
      <c r="G859">
        <v>0</v>
      </c>
      <c r="H859">
        <f>(F859+E859)/C859</f>
        <v>0.4</v>
      </c>
    </row>
    <row r="860" spans="1:8" customFormat="1" hidden="1" x14ac:dyDescent="0.2">
      <c r="A860">
        <v>162888</v>
      </c>
      <c r="B860" t="s">
        <v>1030</v>
      </c>
      <c r="C860">
        <v>5</v>
      </c>
      <c r="D860" t="s">
        <v>923</v>
      </c>
      <c r="E860">
        <v>2</v>
      </c>
      <c r="F860">
        <v>0</v>
      </c>
      <c r="G860">
        <v>0.4</v>
      </c>
      <c r="H860">
        <f>(F860+E860)/C860</f>
        <v>0.4</v>
      </c>
    </row>
    <row r="861" spans="1:8" customFormat="1" hidden="1" x14ac:dyDescent="0.2">
      <c r="A861">
        <v>107655</v>
      </c>
      <c r="B861" t="s">
        <v>76</v>
      </c>
      <c r="C861">
        <v>88</v>
      </c>
      <c r="D861" t="s">
        <v>48</v>
      </c>
      <c r="E861">
        <v>35</v>
      </c>
      <c r="F861">
        <v>0</v>
      </c>
      <c r="G861">
        <v>0.39772727272727271</v>
      </c>
      <c r="H861">
        <f>(F861+E861)/C861</f>
        <v>0.39772727272727271</v>
      </c>
    </row>
    <row r="862" spans="1:8" customFormat="1" hidden="1" x14ac:dyDescent="0.2">
      <c r="A862">
        <v>442850</v>
      </c>
      <c r="B862" t="s">
        <v>809</v>
      </c>
      <c r="C862">
        <v>36</v>
      </c>
      <c r="D862" t="s">
        <v>340</v>
      </c>
      <c r="E862">
        <v>14</v>
      </c>
      <c r="F862">
        <v>0</v>
      </c>
      <c r="G862">
        <v>0.3888888888888889</v>
      </c>
      <c r="H862">
        <f>(F862+E862)/C862</f>
        <v>0.3888888888888889</v>
      </c>
    </row>
    <row r="863" spans="1:8" customFormat="1" hidden="1" x14ac:dyDescent="0.2">
      <c r="A863">
        <v>532061</v>
      </c>
      <c r="B863" t="s">
        <v>320</v>
      </c>
      <c r="C863">
        <v>31</v>
      </c>
      <c r="D863" t="s">
        <v>48</v>
      </c>
      <c r="E863">
        <v>9</v>
      </c>
      <c r="F863">
        <v>3</v>
      </c>
      <c r="G863">
        <v>0.29032258064516131</v>
      </c>
      <c r="H863">
        <f>(F863+E863)/C863</f>
        <v>0.38709677419354838</v>
      </c>
    </row>
    <row r="864" spans="1:8" customFormat="1" hidden="1" x14ac:dyDescent="0.2">
      <c r="A864">
        <v>518257</v>
      </c>
      <c r="B864" t="s">
        <v>883</v>
      </c>
      <c r="C864">
        <v>44</v>
      </c>
      <c r="D864" t="s">
        <v>340</v>
      </c>
      <c r="E864">
        <v>7</v>
      </c>
      <c r="F864">
        <v>10</v>
      </c>
      <c r="G864">
        <v>0.15909090909090909</v>
      </c>
      <c r="H864">
        <f>(F864+E864)/C864</f>
        <v>0.38636363636363635</v>
      </c>
    </row>
    <row r="865" spans="1:8" customFormat="1" hidden="1" x14ac:dyDescent="0.2">
      <c r="A865">
        <v>106735</v>
      </c>
      <c r="B865" t="s">
        <v>381</v>
      </c>
      <c r="C865">
        <v>65</v>
      </c>
      <c r="D865" t="s">
        <v>340</v>
      </c>
      <c r="E865">
        <v>25</v>
      </c>
      <c r="F865">
        <v>0</v>
      </c>
      <c r="G865">
        <v>0.38461538461538458</v>
      </c>
      <c r="H865">
        <f>(F865+E865)/C865</f>
        <v>0.38461538461538464</v>
      </c>
    </row>
    <row r="866" spans="1:8" customFormat="1" hidden="1" x14ac:dyDescent="0.2">
      <c r="A866">
        <v>300687</v>
      </c>
      <c r="B866" t="s">
        <v>748</v>
      </c>
      <c r="C866">
        <v>120</v>
      </c>
      <c r="D866" t="s">
        <v>340</v>
      </c>
      <c r="E866">
        <v>30</v>
      </c>
      <c r="F866">
        <v>16</v>
      </c>
      <c r="G866">
        <v>0.25</v>
      </c>
      <c r="H866">
        <f>(F866+E866)/C866</f>
        <v>0.38333333333333336</v>
      </c>
    </row>
    <row r="867" spans="1:8" customFormat="1" hidden="1" x14ac:dyDescent="0.2">
      <c r="A867">
        <v>319336</v>
      </c>
      <c r="B867" t="s">
        <v>259</v>
      </c>
      <c r="C867">
        <v>68</v>
      </c>
      <c r="D867" t="s">
        <v>48</v>
      </c>
      <c r="E867">
        <v>10</v>
      </c>
      <c r="F867">
        <v>16</v>
      </c>
      <c r="G867">
        <v>0.1470588235294118</v>
      </c>
      <c r="H867">
        <f>(F867+E867)/C867</f>
        <v>0.38235294117647056</v>
      </c>
    </row>
    <row r="868" spans="1:8" customFormat="1" hidden="1" x14ac:dyDescent="0.2">
      <c r="A868">
        <v>217880</v>
      </c>
      <c r="B868" t="s">
        <v>736</v>
      </c>
      <c r="C868">
        <v>21</v>
      </c>
      <c r="D868" t="s">
        <v>340</v>
      </c>
      <c r="E868">
        <v>8</v>
      </c>
      <c r="F868">
        <v>0</v>
      </c>
      <c r="G868">
        <v>0.38095238095238088</v>
      </c>
      <c r="H868">
        <f>(F868+E868)/C868</f>
        <v>0.38095238095238093</v>
      </c>
    </row>
    <row r="869" spans="1:8" customFormat="1" hidden="1" x14ac:dyDescent="0.2">
      <c r="A869">
        <v>514322</v>
      </c>
      <c r="B869" t="s">
        <v>313</v>
      </c>
      <c r="C869">
        <v>310</v>
      </c>
      <c r="D869" t="s">
        <v>48</v>
      </c>
      <c r="E869">
        <v>48</v>
      </c>
      <c r="F869">
        <v>70</v>
      </c>
      <c r="G869">
        <v>0.15483870967741939</v>
      </c>
      <c r="H869">
        <f>(F869+E869)/C869</f>
        <v>0.38064516129032255</v>
      </c>
    </row>
    <row r="870" spans="1:8" customFormat="1" hidden="1" x14ac:dyDescent="0.2">
      <c r="A870">
        <v>109485</v>
      </c>
      <c r="B870" t="s">
        <v>962</v>
      </c>
      <c r="C870">
        <v>800</v>
      </c>
      <c r="D870" t="s">
        <v>923</v>
      </c>
      <c r="E870">
        <v>187</v>
      </c>
      <c r="F870">
        <v>116</v>
      </c>
      <c r="G870">
        <v>0.23375000000000001</v>
      </c>
      <c r="H870">
        <f>(F870+E870)/C870</f>
        <v>0.37874999999999998</v>
      </c>
    </row>
    <row r="871" spans="1:8" customFormat="1" hidden="1" x14ac:dyDescent="0.2">
      <c r="A871">
        <v>315703</v>
      </c>
      <c r="B871" t="s">
        <v>256</v>
      </c>
      <c r="C871">
        <v>80</v>
      </c>
      <c r="D871" t="s">
        <v>48</v>
      </c>
      <c r="E871">
        <v>30</v>
      </c>
      <c r="F871">
        <v>0</v>
      </c>
      <c r="G871">
        <v>0.375</v>
      </c>
      <c r="H871">
        <f>(F871+E871)/C871</f>
        <v>0.375</v>
      </c>
    </row>
    <row r="872" spans="1:8" customFormat="1" hidden="1" x14ac:dyDescent="0.2">
      <c r="A872">
        <v>126593</v>
      </c>
      <c r="B872" t="s">
        <v>629</v>
      </c>
      <c r="C872">
        <v>24</v>
      </c>
      <c r="D872" t="s">
        <v>340</v>
      </c>
      <c r="E872">
        <v>8</v>
      </c>
      <c r="F872">
        <v>1</v>
      </c>
      <c r="G872">
        <v>0.33333333333333331</v>
      </c>
      <c r="H872">
        <f>(F872+E872)/C872</f>
        <v>0.375</v>
      </c>
    </row>
    <row r="873" spans="1:8" customFormat="1" hidden="1" x14ac:dyDescent="0.2">
      <c r="A873">
        <v>114245</v>
      </c>
      <c r="B873" t="s">
        <v>992</v>
      </c>
      <c r="C873">
        <v>16</v>
      </c>
      <c r="D873" t="s">
        <v>923</v>
      </c>
      <c r="E873">
        <v>6</v>
      </c>
      <c r="F873">
        <v>0</v>
      </c>
      <c r="G873">
        <v>0.375</v>
      </c>
      <c r="H873">
        <f>(F873+E873)/C873</f>
        <v>0.375</v>
      </c>
    </row>
    <row r="874" spans="1:8" customFormat="1" hidden="1" x14ac:dyDescent="0.2">
      <c r="A874">
        <v>308599</v>
      </c>
      <c r="B874" t="s">
        <v>250</v>
      </c>
      <c r="C874">
        <v>83</v>
      </c>
      <c r="D874" t="s">
        <v>48</v>
      </c>
      <c r="E874">
        <v>29</v>
      </c>
      <c r="F874">
        <v>2</v>
      </c>
      <c r="G874">
        <v>0.3493975903614458</v>
      </c>
      <c r="H874">
        <f>(F874+E874)/C874</f>
        <v>0.37349397590361444</v>
      </c>
    </row>
    <row r="875" spans="1:8" customFormat="1" hidden="1" x14ac:dyDescent="0.2">
      <c r="A875">
        <v>109564</v>
      </c>
      <c r="B875" t="s">
        <v>485</v>
      </c>
      <c r="C875">
        <v>51</v>
      </c>
      <c r="D875" t="s">
        <v>340</v>
      </c>
      <c r="E875">
        <v>19</v>
      </c>
      <c r="F875">
        <v>0</v>
      </c>
      <c r="G875">
        <v>0.37254901960784309</v>
      </c>
      <c r="H875">
        <f>(F875+E875)/C875</f>
        <v>0.37254901960784315</v>
      </c>
    </row>
    <row r="876" spans="1:8" customFormat="1" hidden="1" x14ac:dyDescent="0.2">
      <c r="A876">
        <v>157471</v>
      </c>
      <c r="B876" t="s">
        <v>202</v>
      </c>
      <c r="C876">
        <v>27</v>
      </c>
      <c r="D876" t="s">
        <v>48</v>
      </c>
      <c r="E876">
        <v>10</v>
      </c>
      <c r="F876">
        <v>0</v>
      </c>
      <c r="G876">
        <v>0.37037037037037029</v>
      </c>
      <c r="H876">
        <f>(F876+E876)/C876</f>
        <v>0.37037037037037035</v>
      </c>
    </row>
    <row r="877" spans="1:8" customFormat="1" hidden="1" x14ac:dyDescent="0.2">
      <c r="A877">
        <v>111157</v>
      </c>
      <c r="B877" t="s">
        <v>123</v>
      </c>
      <c r="C877">
        <v>194</v>
      </c>
      <c r="D877" t="s">
        <v>48</v>
      </c>
      <c r="E877">
        <v>0</v>
      </c>
      <c r="F877">
        <v>70</v>
      </c>
      <c r="G877">
        <v>0</v>
      </c>
      <c r="H877">
        <f>(F877+E877)/C877</f>
        <v>0.36082474226804123</v>
      </c>
    </row>
    <row r="878" spans="1:8" customFormat="1" hidden="1" x14ac:dyDescent="0.2">
      <c r="A878">
        <v>108379</v>
      </c>
      <c r="B878" t="s">
        <v>442</v>
      </c>
      <c r="C878">
        <v>461</v>
      </c>
      <c r="D878" t="s">
        <v>340</v>
      </c>
      <c r="E878">
        <v>53</v>
      </c>
      <c r="F878">
        <v>113</v>
      </c>
      <c r="G878">
        <v>0.11496746203904561</v>
      </c>
      <c r="H878">
        <f>(F878+E878)/C878</f>
        <v>0.36008676789587851</v>
      </c>
    </row>
    <row r="879" spans="1:8" customFormat="1" hidden="1" x14ac:dyDescent="0.2">
      <c r="A879">
        <v>542050</v>
      </c>
      <c r="B879" t="s">
        <v>887</v>
      </c>
      <c r="C879">
        <v>101</v>
      </c>
      <c r="D879" t="s">
        <v>340</v>
      </c>
      <c r="E879">
        <v>11</v>
      </c>
      <c r="F879">
        <v>25</v>
      </c>
      <c r="G879">
        <v>0.1089108910891089</v>
      </c>
      <c r="H879">
        <f>(F879+E879)/C879</f>
        <v>0.35643564356435642</v>
      </c>
    </row>
    <row r="880" spans="1:8" customFormat="1" hidden="1" x14ac:dyDescent="0.2">
      <c r="A880">
        <v>462933</v>
      </c>
      <c r="B880" t="s">
        <v>826</v>
      </c>
      <c r="C880">
        <v>151</v>
      </c>
      <c r="D880" t="s">
        <v>340</v>
      </c>
      <c r="E880">
        <v>31</v>
      </c>
      <c r="F880">
        <v>22</v>
      </c>
      <c r="G880">
        <v>0.20529801324503311</v>
      </c>
      <c r="H880">
        <f>(F880+E880)/C880</f>
        <v>0.35099337748344372</v>
      </c>
    </row>
    <row r="881" spans="1:8" customFormat="1" hidden="1" x14ac:dyDescent="0.2">
      <c r="A881">
        <v>110715</v>
      </c>
      <c r="B881" t="s">
        <v>526</v>
      </c>
      <c r="C881">
        <v>117</v>
      </c>
      <c r="D881" t="s">
        <v>340</v>
      </c>
      <c r="E881">
        <v>41</v>
      </c>
      <c r="F881">
        <v>0</v>
      </c>
      <c r="G881">
        <v>0.3504273504273504</v>
      </c>
      <c r="H881">
        <f>(F881+E881)/C881</f>
        <v>0.3504273504273504</v>
      </c>
    </row>
    <row r="882" spans="1:8" customFormat="1" hidden="1" x14ac:dyDescent="0.2">
      <c r="A882">
        <v>107126</v>
      </c>
      <c r="B882" t="s">
        <v>70</v>
      </c>
      <c r="C882">
        <v>129</v>
      </c>
      <c r="D882" t="s">
        <v>48</v>
      </c>
      <c r="E882">
        <v>44</v>
      </c>
      <c r="F882">
        <v>1</v>
      </c>
      <c r="G882">
        <v>0.34108527131782951</v>
      </c>
      <c r="H882">
        <f>(F882+E882)/C882</f>
        <v>0.34883720930232559</v>
      </c>
    </row>
    <row r="883" spans="1:8" customFormat="1" hidden="1" x14ac:dyDescent="0.2">
      <c r="A883">
        <v>209923</v>
      </c>
      <c r="B883" t="s">
        <v>231</v>
      </c>
      <c r="C883">
        <v>52</v>
      </c>
      <c r="D883" t="s">
        <v>48</v>
      </c>
      <c r="E883">
        <v>18</v>
      </c>
      <c r="F883">
        <v>0</v>
      </c>
      <c r="G883">
        <v>0.34615384615384609</v>
      </c>
      <c r="H883">
        <f>(F883+E883)/C883</f>
        <v>0.34615384615384615</v>
      </c>
    </row>
    <row r="884" spans="1:8" customFormat="1" hidden="1" x14ac:dyDescent="0.2">
      <c r="A884">
        <v>151032</v>
      </c>
      <c r="B884" t="s">
        <v>192</v>
      </c>
      <c r="C884">
        <v>446</v>
      </c>
      <c r="D884" t="s">
        <v>48</v>
      </c>
      <c r="E884">
        <v>91</v>
      </c>
      <c r="F884">
        <v>63</v>
      </c>
      <c r="G884">
        <v>0.20403587443946189</v>
      </c>
      <c r="H884">
        <f>(F884+E884)/C884</f>
        <v>0.3452914798206278</v>
      </c>
    </row>
    <row r="885" spans="1:8" customFormat="1" hidden="1" x14ac:dyDescent="0.2">
      <c r="A885">
        <v>105779</v>
      </c>
      <c r="B885" t="s">
        <v>351</v>
      </c>
      <c r="C885">
        <v>446</v>
      </c>
      <c r="D885" t="s">
        <v>340</v>
      </c>
      <c r="E885">
        <v>153</v>
      </c>
      <c r="F885">
        <v>0</v>
      </c>
      <c r="G885">
        <v>0.34304932735426008</v>
      </c>
      <c r="H885">
        <f>(F885+E885)/C885</f>
        <v>0.34304932735426008</v>
      </c>
    </row>
    <row r="886" spans="1:8" customFormat="1" hidden="1" x14ac:dyDescent="0.2">
      <c r="A886">
        <v>113263</v>
      </c>
      <c r="B886" t="s">
        <v>137</v>
      </c>
      <c r="C886">
        <v>12</v>
      </c>
      <c r="D886" t="s">
        <v>48</v>
      </c>
      <c r="E886">
        <v>4</v>
      </c>
      <c r="F886">
        <v>0</v>
      </c>
      <c r="G886">
        <v>0.33333333333333331</v>
      </c>
      <c r="H886">
        <f>(F886+E886)/C886</f>
        <v>0.33333333333333331</v>
      </c>
    </row>
    <row r="887" spans="1:8" customFormat="1" hidden="1" x14ac:dyDescent="0.2">
      <c r="A887">
        <v>108180</v>
      </c>
      <c r="B887" t="s">
        <v>433</v>
      </c>
      <c r="C887">
        <v>9</v>
      </c>
      <c r="D887" t="s">
        <v>340</v>
      </c>
      <c r="E887">
        <v>1</v>
      </c>
      <c r="F887">
        <v>2</v>
      </c>
      <c r="G887">
        <v>0.1111111111111111</v>
      </c>
      <c r="H887">
        <f>(F887+E887)/C887</f>
        <v>0.33333333333333331</v>
      </c>
    </row>
    <row r="888" spans="1:8" customFormat="1" hidden="1" x14ac:dyDescent="0.2">
      <c r="A888">
        <v>110380</v>
      </c>
      <c r="B888" t="s">
        <v>513</v>
      </c>
      <c r="C888">
        <v>36</v>
      </c>
      <c r="D888" t="s">
        <v>340</v>
      </c>
      <c r="E888">
        <v>9</v>
      </c>
      <c r="F888">
        <v>3</v>
      </c>
      <c r="G888">
        <v>0.25</v>
      </c>
      <c r="H888">
        <f>(F888+E888)/C888</f>
        <v>0.33333333333333331</v>
      </c>
    </row>
    <row r="889" spans="1:8" customFormat="1" hidden="1" x14ac:dyDescent="0.2">
      <c r="A889" t="s">
        <v>910</v>
      </c>
      <c r="B889" t="s">
        <v>911</v>
      </c>
      <c r="C889">
        <v>139</v>
      </c>
      <c r="D889" t="s">
        <v>340</v>
      </c>
      <c r="E889">
        <v>41</v>
      </c>
      <c r="F889">
        <v>5</v>
      </c>
      <c r="G889">
        <v>0.29496402877697842</v>
      </c>
      <c r="H889">
        <f>(F889+E889)/C889</f>
        <v>0.33093525179856115</v>
      </c>
    </row>
    <row r="890" spans="1:8" customFormat="1" hidden="1" x14ac:dyDescent="0.2">
      <c r="A890">
        <v>112450</v>
      </c>
      <c r="B890" t="s">
        <v>130</v>
      </c>
      <c r="C890">
        <v>125</v>
      </c>
      <c r="D890" t="s">
        <v>48</v>
      </c>
      <c r="E890">
        <v>41</v>
      </c>
      <c r="F890">
        <v>0</v>
      </c>
      <c r="G890">
        <v>0.32800000000000001</v>
      </c>
      <c r="H890">
        <f>(F890+E890)/C890</f>
        <v>0.32800000000000001</v>
      </c>
    </row>
    <row r="891" spans="1:8" customFormat="1" hidden="1" x14ac:dyDescent="0.2">
      <c r="A891">
        <v>270032</v>
      </c>
      <c r="B891" t="s">
        <v>745</v>
      </c>
      <c r="C891">
        <v>28</v>
      </c>
      <c r="D891" t="s">
        <v>340</v>
      </c>
      <c r="E891">
        <v>6</v>
      </c>
      <c r="F891">
        <v>3</v>
      </c>
      <c r="G891">
        <v>0.2142857142857143</v>
      </c>
      <c r="H891">
        <f>(F891+E891)/C891</f>
        <v>0.32142857142857145</v>
      </c>
    </row>
    <row r="892" spans="1:8" customFormat="1" hidden="1" x14ac:dyDescent="0.2">
      <c r="A892">
        <v>109708</v>
      </c>
      <c r="B892" t="s">
        <v>492</v>
      </c>
      <c r="C892">
        <v>236</v>
      </c>
      <c r="D892" t="s">
        <v>340</v>
      </c>
      <c r="E892">
        <v>75</v>
      </c>
      <c r="F892">
        <v>0</v>
      </c>
      <c r="G892">
        <v>0.31779661016949151</v>
      </c>
      <c r="H892">
        <f>(F892+E892)/C892</f>
        <v>0.31779661016949151</v>
      </c>
    </row>
    <row r="893" spans="1:8" customFormat="1" hidden="1" x14ac:dyDescent="0.2">
      <c r="A893">
        <v>141788</v>
      </c>
      <c r="B893" t="s">
        <v>656</v>
      </c>
      <c r="C893">
        <v>35</v>
      </c>
      <c r="D893" t="s">
        <v>340</v>
      </c>
      <c r="E893">
        <v>4</v>
      </c>
      <c r="F893">
        <v>7</v>
      </c>
      <c r="G893">
        <v>0.1142857142857143</v>
      </c>
      <c r="H893">
        <f>(F893+E893)/C893</f>
        <v>0.31428571428571428</v>
      </c>
    </row>
    <row r="894" spans="1:8" customFormat="1" hidden="1" x14ac:dyDescent="0.2">
      <c r="A894">
        <v>108325</v>
      </c>
      <c r="B894" t="s">
        <v>13</v>
      </c>
      <c r="C894">
        <v>237</v>
      </c>
      <c r="D894" t="s">
        <v>8</v>
      </c>
      <c r="E894">
        <v>60</v>
      </c>
      <c r="F894">
        <v>14</v>
      </c>
      <c r="G894">
        <v>0.25316455696202528</v>
      </c>
      <c r="H894">
        <f>(F894+E894)/C894</f>
        <v>0.31223628691983124</v>
      </c>
    </row>
    <row r="895" spans="1:8" customFormat="1" hidden="1" x14ac:dyDescent="0.2">
      <c r="A895">
        <v>130973</v>
      </c>
      <c r="B895" t="s">
        <v>171</v>
      </c>
      <c r="C895">
        <v>256</v>
      </c>
      <c r="D895" t="s">
        <v>48</v>
      </c>
      <c r="E895">
        <v>74</v>
      </c>
      <c r="F895">
        <v>5</v>
      </c>
      <c r="G895">
        <v>0.2890625</v>
      </c>
      <c r="H895">
        <f>(F895+E895)/C895</f>
        <v>0.30859375</v>
      </c>
    </row>
    <row r="896" spans="1:8" customFormat="1" hidden="1" x14ac:dyDescent="0.2">
      <c r="A896">
        <v>467660</v>
      </c>
      <c r="B896" t="s">
        <v>836</v>
      </c>
      <c r="C896">
        <v>26</v>
      </c>
      <c r="D896" t="s">
        <v>340</v>
      </c>
      <c r="E896">
        <v>4</v>
      </c>
      <c r="F896">
        <v>4</v>
      </c>
      <c r="G896">
        <v>0.15384615384615391</v>
      </c>
      <c r="H896">
        <f>(F896+E896)/C896</f>
        <v>0.30769230769230771</v>
      </c>
    </row>
    <row r="897" spans="1:9" customFormat="1" hidden="1" x14ac:dyDescent="0.2">
      <c r="A897">
        <v>477215</v>
      </c>
      <c r="B897" t="s">
        <v>850</v>
      </c>
      <c r="C897">
        <v>13</v>
      </c>
      <c r="D897" t="s">
        <v>340</v>
      </c>
      <c r="E897">
        <v>4</v>
      </c>
      <c r="F897">
        <v>0</v>
      </c>
      <c r="G897">
        <v>0.30769230769230771</v>
      </c>
      <c r="H897">
        <f>(F897+E897)/C897</f>
        <v>0.30769230769230771</v>
      </c>
    </row>
    <row r="898" spans="1:9" customFormat="1" hidden="1" x14ac:dyDescent="0.2">
      <c r="A898">
        <v>327797</v>
      </c>
      <c r="B898" t="s">
        <v>799</v>
      </c>
      <c r="C898">
        <v>4184</v>
      </c>
      <c r="D898" t="s">
        <v>340</v>
      </c>
      <c r="E898">
        <v>752</v>
      </c>
      <c r="F898">
        <v>533</v>
      </c>
      <c r="G898">
        <v>0.1797323135755258</v>
      </c>
      <c r="H898">
        <f>(F898+E898)/C898</f>
        <v>0.30712237093690248</v>
      </c>
    </row>
    <row r="899" spans="1:9" hidden="1" x14ac:dyDescent="0.2">
      <c r="A899">
        <v>301164</v>
      </c>
      <c r="B899" t="s">
        <v>241</v>
      </c>
      <c r="C899">
        <v>20</v>
      </c>
      <c r="D899" t="s">
        <v>48</v>
      </c>
      <c r="E899">
        <v>6</v>
      </c>
      <c r="F899">
        <v>0</v>
      </c>
      <c r="G899">
        <v>0.3</v>
      </c>
      <c r="H899">
        <f>(F899+E899)/C899</f>
        <v>0.3</v>
      </c>
      <c r="I899"/>
    </row>
    <row r="900" spans="1:9" customFormat="1" hidden="1" x14ac:dyDescent="0.2">
      <c r="A900">
        <v>323651</v>
      </c>
      <c r="B900" t="s">
        <v>789</v>
      </c>
      <c r="C900">
        <v>20</v>
      </c>
      <c r="D900" t="s">
        <v>340</v>
      </c>
      <c r="E900">
        <v>6</v>
      </c>
      <c r="F900">
        <v>0</v>
      </c>
      <c r="G900">
        <v>0.3</v>
      </c>
      <c r="H900">
        <f>(F900+E900)/C900</f>
        <v>0.3</v>
      </c>
    </row>
    <row r="901" spans="1:9" customFormat="1" hidden="1" x14ac:dyDescent="0.2">
      <c r="A901">
        <v>466319</v>
      </c>
      <c r="B901" t="s">
        <v>833</v>
      </c>
      <c r="C901">
        <v>10</v>
      </c>
      <c r="D901" t="s">
        <v>340</v>
      </c>
      <c r="E901">
        <v>3</v>
      </c>
      <c r="F901">
        <v>0</v>
      </c>
      <c r="G901">
        <v>0.3</v>
      </c>
      <c r="H901">
        <f>(F901+E901)/C901</f>
        <v>0.3</v>
      </c>
    </row>
    <row r="902" spans="1:9" customFormat="1" hidden="1" x14ac:dyDescent="0.2">
      <c r="A902">
        <v>228826</v>
      </c>
      <c r="B902" t="s">
        <v>1051</v>
      </c>
      <c r="C902">
        <v>30</v>
      </c>
      <c r="D902" t="s">
        <v>923</v>
      </c>
      <c r="E902">
        <v>7</v>
      </c>
      <c r="F902">
        <v>2</v>
      </c>
      <c r="G902">
        <v>0.23333333333333331</v>
      </c>
      <c r="H902">
        <f>(F902+E902)/C902</f>
        <v>0.3</v>
      </c>
    </row>
    <row r="903" spans="1:9" customFormat="1" hidden="1" x14ac:dyDescent="0.2">
      <c r="A903">
        <v>441034</v>
      </c>
      <c r="B903" t="s">
        <v>807</v>
      </c>
      <c r="C903">
        <v>210</v>
      </c>
      <c r="D903" t="s">
        <v>340</v>
      </c>
      <c r="E903">
        <v>54</v>
      </c>
      <c r="F903">
        <v>8</v>
      </c>
      <c r="G903">
        <v>0.25714285714285712</v>
      </c>
      <c r="H903">
        <f>(F903+E903)/C903</f>
        <v>0.29523809523809524</v>
      </c>
    </row>
    <row r="904" spans="1:9" customFormat="1" hidden="1" x14ac:dyDescent="0.2">
      <c r="A904">
        <v>115514</v>
      </c>
      <c r="B904" t="s">
        <v>150</v>
      </c>
      <c r="C904">
        <v>175</v>
      </c>
      <c r="D904" t="s">
        <v>48</v>
      </c>
      <c r="E904">
        <v>50</v>
      </c>
      <c r="F904">
        <v>0</v>
      </c>
      <c r="G904">
        <v>0.2857142857142857</v>
      </c>
      <c r="H904">
        <f>(F904+E904)/C904</f>
        <v>0.2857142857142857</v>
      </c>
    </row>
    <row r="905" spans="1:9" customFormat="1" hidden="1" x14ac:dyDescent="0.2">
      <c r="A905">
        <v>112152</v>
      </c>
      <c r="B905" t="s">
        <v>542</v>
      </c>
      <c r="C905">
        <v>60</v>
      </c>
      <c r="D905" t="s">
        <v>340</v>
      </c>
      <c r="E905">
        <v>17</v>
      </c>
      <c r="F905">
        <v>0</v>
      </c>
      <c r="G905">
        <v>0.28333333333333333</v>
      </c>
      <c r="H905">
        <f>(F905+E905)/C905</f>
        <v>0.28333333333333333</v>
      </c>
    </row>
    <row r="906" spans="1:9" customFormat="1" hidden="1" x14ac:dyDescent="0.2">
      <c r="A906">
        <v>112577</v>
      </c>
      <c r="B906" t="s">
        <v>556</v>
      </c>
      <c r="C906">
        <v>202</v>
      </c>
      <c r="D906" t="s">
        <v>340</v>
      </c>
      <c r="E906">
        <v>57</v>
      </c>
      <c r="F906">
        <v>0</v>
      </c>
      <c r="G906">
        <v>0.28217821782178221</v>
      </c>
      <c r="H906">
        <f>(F906+E906)/C906</f>
        <v>0.28217821782178215</v>
      </c>
    </row>
    <row r="907" spans="1:9" customFormat="1" hidden="1" x14ac:dyDescent="0.2">
      <c r="A907">
        <v>128688</v>
      </c>
      <c r="B907" t="s">
        <v>636</v>
      </c>
      <c r="C907">
        <v>89</v>
      </c>
      <c r="D907" t="s">
        <v>340</v>
      </c>
      <c r="E907">
        <v>25</v>
      </c>
      <c r="F907">
        <v>0</v>
      </c>
      <c r="G907">
        <v>0.2808988764044944</v>
      </c>
      <c r="H907">
        <f>(F907+E907)/C907</f>
        <v>0.2808988764044944</v>
      </c>
    </row>
    <row r="908" spans="1:9" customFormat="1" hidden="1" x14ac:dyDescent="0.2">
      <c r="A908">
        <v>107197</v>
      </c>
      <c r="B908" t="s">
        <v>401</v>
      </c>
      <c r="C908">
        <v>1202</v>
      </c>
      <c r="D908" t="s">
        <v>340</v>
      </c>
      <c r="E908">
        <v>269</v>
      </c>
      <c r="F908">
        <v>68</v>
      </c>
      <c r="G908">
        <v>0.2237936772046589</v>
      </c>
      <c r="H908">
        <f>(F908+E908)/C908</f>
        <v>0.28036605657237934</v>
      </c>
    </row>
    <row r="909" spans="1:9" customFormat="1" hidden="1" x14ac:dyDescent="0.2">
      <c r="A909">
        <v>106223</v>
      </c>
      <c r="B909" t="s">
        <v>9</v>
      </c>
      <c r="C909">
        <v>79</v>
      </c>
      <c r="D909" t="s">
        <v>8</v>
      </c>
      <c r="E909">
        <v>1</v>
      </c>
      <c r="F909">
        <v>21</v>
      </c>
      <c r="G909">
        <v>1.2658227848101271E-2</v>
      </c>
      <c r="H909">
        <f>(F909+E909)/C909</f>
        <v>0.27848101265822783</v>
      </c>
    </row>
    <row r="910" spans="1:9" customFormat="1" hidden="1" x14ac:dyDescent="0.2">
      <c r="A910">
        <v>132851</v>
      </c>
      <c r="B910" t="s">
        <v>46</v>
      </c>
      <c r="C910">
        <v>1976</v>
      </c>
      <c r="D910" t="s">
        <v>42</v>
      </c>
      <c r="E910">
        <v>534</v>
      </c>
      <c r="F910">
        <v>10</v>
      </c>
      <c r="G910">
        <v>0.27024291497975711</v>
      </c>
      <c r="H910">
        <f>(F910+E910)/C910</f>
        <v>0.27530364372469635</v>
      </c>
    </row>
    <row r="911" spans="1:9" customFormat="1" hidden="1" x14ac:dyDescent="0.2">
      <c r="A911">
        <v>106774</v>
      </c>
      <c r="B911" t="s">
        <v>385</v>
      </c>
      <c r="C911">
        <v>1018</v>
      </c>
      <c r="D911" t="s">
        <v>340</v>
      </c>
      <c r="E911">
        <v>142</v>
      </c>
      <c r="F911">
        <v>136</v>
      </c>
      <c r="G911">
        <v>0.1394891944990177</v>
      </c>
      <c r="H911">
        <f>(F911+E911)/C911</f>
        <v>0.2730844793713163</v>
      </c>
    </row>
    <row r="912" spans="1:9" customFormat="1" hidden="1" x14ac:dyDescent="0.2">
      <c r="A912">
        <v>106880</v>
      </c>
      <c r="B912" t="s">
        <v>63</v>
      </c>
      <c r="C912">
        <v>1065</v>
      </c>
      <c r="D912" t="s">
        <v>48</v>
      </c>
      <c r="E912">
        <v>130</v>
      </c>
      <c r="F912">
        <v>157</v>
      </c>
      <c r="G912">
        <v>0.1220657276995305</v>
      </c>
      <c r="H912">
        <f>(F912+E912)/C912</f>
        <v>0.26948356807511736</v>
      </c>
    </row>
    <row r="913" spans="1:9" customFormat="1" hidden="1" x14ac:dyDescent="0.2">
      <c r="A913">
        <v>113421</v>
      </c>
      <c r="B913" t="s">
        <v>140</v>
      </c>
      <c r="C913">
        <v>165</v>
      </c>
      <c r="D913" t="s">
        <v>48</v>
      </c>
      <c r="E913">
        <v>44</v>
      </c>
      <c r="F913">
        <v>0</v>
      </c>
      <c r="G913">
        <v>0.26666666666666672</v>
      </c>
      <c r="H913">
        <f>(F913+E913)/C913</f>
        <v>0.26666666666666666</v>
      </c>
    </row>
    <row r="914" spans="1:9" customFormat="1" hidden="1" x14ac:dyDescent="0.2">
      <c r="A914">
        <v>115809</v>
      </c>
      <c r="B914" t="s">
        <v>600</v>
      </c>
      <c r="C914">
        <v>15</v>
      </c>
      <c r="D914" t="s">
        <v>340</v>
      </c>
      <c r="E914">
        <v>3</v>
      </c>
      <c r="F914">
        <v>1</v>
      </c>
      <c r="G914">
        <v>0.2</v>
      </c>
      <c r="H914">
        <f>(F914+E914)/C914</f>
        <v>0.26666666666666666</v>
      </c>
    </row>
    <row r="915" spans="1:9" customFormat="1" hidden="1" x14ac:dyDescent="0.2">
      <c r="A915">
        <v>556150</v>
      </c>
      <c r="B915" t="s">
        <v>1113</v>
      </c>
      <c r="C915">
        <v>15</v>
      </c>
      <c r="D915" t="s">
        <v>923</v>
      </c>
      <c r="E915">
        <v>4</v>
      </c>
      <c r="F915">
        <v>0</v>
      </c>
      <c r="G915">
        <v>0.26666666666666672</v>
      </c>
      <c r="H915">
        <f>(F915+E915)/C915</f>
        <v>0.26666666666666666</v>
      </c>
    </row>
    <row r="916" spans="1:9" customFormat="1" hidden="1" x14ac:dyDescent="0.2">
      <c r="A916">
        <v>326005</v>
      </c>
      <c r="B916" t="s">
        <v>795</v>
      </c>
      <c r="C916">
        <v>19</v>
      </c>
      <c r="D916" t="s">
        <v>340</v>
      </c>
      <c r="E916">
        <v>5</v>
      </c>
      <c r="F916">
        <v>0</v>
      </c>
      <c r="G916">
        <v>0.26315789473684209</v>
      </c>
      <c r="H916">
        <f>(F916+E916)/C916</f>
        <v>0.26315789473684209</v>
      </c>
    </row>
    <row r="917" spans="1:9" customFormat="1" hidden="1" x14ac:dyDescent="0.2">
      <c r="A917">
        <v>109013</v>
      </c>
      <c r="B917" t="s">
        <v>463</v>
      </c>
      <c r="C917">
        <v>80</v>
      </c>
      <c r="D917" t="s">
        <v>340</v>
      </c>
      <c r="E917">
        <v>21</v>
      </c>
      <c r="F917">
        <v>0</v>
      </c>
      <c r="G917">
        <v>0.26250000000000001</v>
      </c>
      <c r="H917">
        <f>(F917+E917)/C917</f>
        <v>0.26250000000000001</v>
      </c>
    </row>
    <row r="918" spans="1:9" customFormat="1" hidden="1" x14ac:dyDescent="0.2">
      <c r="A918">
        <v>474285</v>
      </c>
      <c r="B918" t="s">
        <v>290</v>
      </c>
      <c r="C918">
        <v>27</v>
      </c>
      <c r="D918" t="s">
        <v>48</v>
      </c>
      <c r="E918">
        <v>3</v>
      </c>
      <c r="F918">
        <v>4</v>
      </c>
      <c r="G918">
        <v>0.1111111111111111</v>
      </c>
      <c r="H918">
        <f>(F918+E918)/C918</f>
        <v>0.25925925925925924</v>
      </c>
    </row>
    <row r="919" spans="1:9" hidden="1" x14ac:dyDescent="0.2">
      <c r="A919">
        <v>152725</v>
      </c>
      <c r="B919" t="s">
        <v>671</v>
      </c>
      <c r="C919">
        <v>155</v>
      </c>
      <c r="D919" t="s">
        <v>340</v>
      </c>
      <c r="E919">
        <v>10</v>
      </c>
      <c r="F919">
        <v>30</v>
      </c>
      <c r="G919">
        <v>6.4516129032258063E-2</v>
      </c>
      <c r="H919">
        <f>(F919+E919)/C919</f>
        <v>0.25806451612903225</v>
      </c>
      <c r="I919"/>
    </row>
    <row r="920" spans="1:9" customFormat="1" hidden="1" x14ac:dyDescent="0.2">
      <c r="A920">
        <v>108474</v>
      </c>
      <c r="B920" t="s">
        <v>85</v>
      </c>
      <c r="C920">
        <v>190</v>
      </c>
      <c r="D920" t="s">
        <v>48</v>
      </c>
      <c r="E920">
        <v>38</v>
      </c>
      <c r="F920">
        <v>10</v>
      </c>
      <c r="G920">
        <v>0.2</v>
      </c>
      <c r="H920">
        <f>(F920+E920)/C920</f>
        <v>0.25263157894736843</v>
      </c>
    </row>
    <row r="921" spans="1:9" customFormat="1" hidden="1" x14ac:dyDescent="0.2">
      <c r="A921">
        <v>461763</v>
      </c>
      <c r="B921" t="s">
        <v>271</v>
      </c>
      <c r="C921">
        <v>95</v>
      </c>
      <c r="D921" t="s">
        <v>48</v>
      </c>
      <c r="E921">
        <v>0</v>
      </c>
      <c r="F921">
        <v>24</v>
      </c>
      <c r="G921">
        <v>0</v>
      </c>
      <c r="H921">
        <f>(F921+E921)/C921</f>
        <v>0.25263157894736843</v>
      </c>
    </row>
    <row r="922" spans="1:9" customFormat="1" hidden="1" x14ac:dyDescent="0.2">
      <c r="A922">
        <v>198056</v>
      </c>
      <c r="B922" t="s">
        <v>222</v>
      </c>
      <c r="C922">
        <v>20</v>
      </c>
      <c r="D922" t="s">
        <v>48</v>
      </c>
      <c r="E922">
        <v>5</v>
      </c>
      <c r="F922">
        <v>0</v>
      </c>
      <c r="G922">
        <v>0.25</v>
      </c>
      <c r="H922">
        <f>(F922+E922)/C922</f>
        <v>0.25</v>
      </c>
    </row>
    <row r="923" spans="1:9" customFormat="1" hidden="1" x14ac:dyDescent="0.2">
      <c r="A923">
        <v>115403</v>
      </c>
      <c r="B923" t="s">
        <v>596</v>
      </c>
      <c r="C923">
        <v>16</v>
      </c>
      <c r="D923" t="s">
        <v>340</v>
      </c>
      <c r="E923">
        <v>4</v>
      </c>
      <c r="F923">
        <v>0</v>
      </c>
      <c r="G923">
        <v>0.25</v>
      </c>
      <c r="H923">
        <f>(F923+E923)/C923</f>
        <v>0.25</v>
      </c>
    </row>
    <row r="924" spans="1:9" customFormat="1" hidden="1" x14ac:dyDescent="0.2">
      <c r="A924">
        <v>106000</v>
      </c>
      <c r="B924" t="s">
        <v>355</v>
      </c>
      <c r="C924">
        <v>1800</v>
      </c>
      <c r="D924" t="s">
        <v>340</v>
      </c>
      <c r="E924">
        <v>434</v>
      </c>
      <c r="F924">
        <v>15</v>
      </c>
      <c r="G924">
        <v>0.24111111111111111</v>
      </c>
      <c r="H924">
        <f>(F924+E924)/C924</f>
        <v>0.24944444444444444</v>
      </c>
    </row>
    <row r="925" spans="1:9" customFormat="1" hidden="1" x14ac:dyDescent="0.2">
      <c r="A925">
        <v>170047</v>
      </c>
      <c r="B925" t="s">
        <v>700</v>
      </c>
      <c r="C925">
        <v>25</v>
      </c>
      <c r="D925" t="s">
        <v>340</v>
      </c>
      <c r="E925">
        <v>6</v>
      </c>
      <c r="F925">
        <v>0</v>
      </c>
      <c r="G925">
        <v>0.24</v>
      </c>
      <c r="H925">
        <f>(F925+E925)/C925</f>
        <v>0.24</v>
      </c>
    </row>
    <row r="926" spans="1:9" customFormat="1" hidden="1" x14ac:dyDescent="0.2">
      <c r="A926">
        <v>148367</v>
      </c>
      <c r="B926" t="s">
        <v>667</v>
      </c>
      <c r="C926">
        <v>46</v>
      </c>
      <c r="D926" t="s">
        <v>340</v>
      </c>
      <c r="E926">
        <v>11</v>
      </c>
      <c r="F926">
        <v>0</v>
      </c>
      <c r="G926">
        <v>0.2391304347826087</v>
      </c>
      <c r="H926">
        <f>(F926+E926)/C926</f>
        <v>0.2391304347826087</v>
      </c>
    </row>
    <row r="927" spans="1:9" customFormat="1" hidden="1" x14ac:dyDescent="0.2">
      <c r="A927">
        <v>109222</v>
      </c>
      <c r="B927" t="s">
        <v>959</v>
      </c>
      <c r="C927">
        <v>122</v>
      </c>
      <c r="D927" t="s">
        <v>923</v>
      </c>
      <c r="E927">
        <v>13</v>
      </c>
      <c r="F927">
        <v>16</v>
      </c>
      <c r="G927">
        <v>0.10655737704918029</v>
      </c>
      <c r="H927">
        <f>(F927+E927)/C927</f>
        <v>0.23770491803278687</v>
      </c>
    </row>
    <row r="928" spans="1:9" customFormat="1" hidden="1" x14ac:dyDescent="0.2">
      <c r="A928">
        <v>106155</v>
      </c>
      <c r="B928" t="s">
        <v>357</v>
      </c>
      <c r="C928">
        <v>3183</v>
      </c>
      <c r="D928" t="s">
        <v>340</v>
      </c>
      <c r="E928">
        <v>745</v>
      </c>
      <c r="F928">
        <v>0</v>
      </c>
      <c r="G928">
        <v>0.23405592208608231</v>
      </c>
      <c r="H928">
        <f>(F928+E928)/C928</f>
        <v>0.23405592208608231</v>
      </c>
    </row>
    <row r="929" spans="1:8" customFormat="1" hidden="1" x14ac:dyDescent="0.2">
      <c r="A929">
        <v>459541</v>
      </c>
      <c r="B929" t="s">
        <v>270</v>
      </c>
      <c r="C929">
        <v>30</v>
      </c>
      <c r="D929" t="s">
        <v>48</v>
      </c>
      <c r="E929">
        <v>7</v>
      </c>
      <c r="F929">
        <v>0</v>
      </c>
      <c r="G929">
        <v>0.23333333333333331</v>
      </c>
      <c r="H929">
        <f>(F929+E929)/C929</f>
        <v>0.23333333333333334</v>
      </c>
    </row>
    <row r="930" spans="1:8" customFormat="1" hidden="1" x14ac:dyDescent="0.2">
      <c r="A930">
        <v>114564</v>
      </c>
      <c r="B930" t="s">
        <v>587</v>
      </c>
      <c r="C930">
        <v>30</v>
      </c>
      <c r="D930" t="s">
        <v>340</v>
      </c>
      <c r="E930">
        <v>6</v>
      </c>
      <c r="F930">
        <v>1</v>
      </c>
      <c r="G930">
        <v>0.2</v>
      </c>
      <c r="H930">
        <f>(F930+E930)/C930</f>
        <v>0.23333333333333334</v>
      </c>
    </row>
    <row r="931" spans="1:8" customFormat="1" hidden="1" x14ac:dyDescent="0.2">
      <c r="A931">
        <v>512963</v>
      </c>
      <c r="B931" t="s">
        <v>881</v>
      </c>
      <c r="C931">
        <v>30</v>
      </c>
      <c r="D931" t="s">
        <v>340</v>
      </c>
      <c r="E931">
        <v>5</v>
      </c>
      <c r="F931">
        <v>2</v>
      </c>
      <c r="G931">
        <v>0.16666666666666671</v>
      </c>
      <c r="H931">
        <f>(F931+E931)/C931</f>
        <v>0.23333333333333334</v>
      </c>
    </row>
    <row r="932" spans="1:8" customFormat="1" hidden="1" x14ac:dyDescent="0.2">
      <c r="A932">
        <v>141315</v>
      </c>
      <c r="B932" t="s">
        <v>181</v>
      </c>
      <c r="C932">
        <v>225</v>
      </c>
      <c r="D932" t="s">
        <v>48</v>
      </c>
      <c r="E932">
        <v>17</v>
      </c>
      <c r="F932">
        <v>35</v>
      </c>
      <c r="G932">
        <v>7.5555555555555556E-2</v>
      </c>
      <c r="H932">
        <f>(F932+E932)/C932</f>
        <v>0.2311111111111111</v>
      </c>
    </row>
    <row r="933" spans="1:8" customFormat="1" hidden="1" x14ac:dyDescent="0.2">
      <c r="A933">
        <v>213659</v>
      </c>
      <c r="B933" t="s">
        <v>733</v>
      </c>
      <c r="C933">
        <v>13</v>
      </c>
      <c r="D933" t="s">
        <v>340</v>
      </c>
      <c r="E933">
        <v>3</v>
      </c>
      <c r="F933">
        <v>0</v>
      </c>
      <c r="G933">
        <v>0.23076923076923081</v>
      </c>
      <c r="H933">
        <f>(F933+E933)/C933</f>
        <v>0.23076923076923078</v>
      </c>
    </row>
    <row r="934" spans="1:8" customFormat="1" hidden="1" x14ac:dyDescent="0.2">
      <c r="A934">
        <v>157911</v>
      </c>
      <c r="B934" t="s">
        <v>687</v>
      </c>
      <c r="C934">
        <v>415</v>
      </c>
      <c r="D934" t="s">
        <v>340</v>
      </c>
      <c r="E934">
        <v>62</v>
      </c>
      <c r="F934">
        <v>33</v>
      </c>
      <c r="G934">
        <v>0.14939759036144579</v>
      </c>
      <c r="H934">
        <f>(F934+E934)/C934</f>
        <v>0.2289156626506024</v>
      </c>
    </row>
    <row r="935" spans="1:8" customFormat="1" hidden="1" x14ac:dyDescent="0.2">
      <c r="A935">
        <v>154999</v>
      </c>
      <c r="B935" t="s">
        <v>675</v>
      </c>
      <c r="C935">
        <v>35</v>
      </c>
      <c r="D935" t="s">
        <v>340</v>
      </c>
      <c r="E935">
        <v>8</v>
      </c>
      <c r="F935">
        <v>0</v>
      </c>
      <c r="G935">
        <v>0.22857142857142859</v>
      </c>
      <c r="H935">
        <f>(F935+E935)/C935</f>
        <v>0.22857142857142856</v>
      </c>
    </row>
    <row r="936" spans="1:8" customFormat="1" hidden="1" x14ac:dyDescent="0.2">
      <c r="A936">
        <v>107137</v>
      </c>
      <c r="B936" t="s">
        <v>396</v>
      </c>
      <c r="C936">
        <v>255</v>
      </c>
      <c r="D936" t="s">
        <v>340</v>
      </c>
      <c r="E936">
        <v>58</v>
      </c>
      <c r="F936">
        <v>0</v>
      </c>
      <c r="G936">
        <v>0.22745098039215689</v>
      </c>
      <c r="H936">
        <f>(F936+E936)/C936</f>
        <v>0.22745098039215686</v>
      </c>
    </row>
    <row r="937" spans="1:8" customFormat="1" hidden="1" x14ac:dyDescent="0.2">
      <c r="A937">
        <v>106896</v>
      </c>
      <c r="B937" t="s">
        <v>389</v>
      </c>
      <c r="C937">
        <v>1515</v>
      </c>
      <c r="D937" t="s">
        <v>340</v>
      </c>
      <c r="E937">
        <v>220</v>
      </c>
      <c r="F937">
        <v>124</v>
      </c>
      <c r="G937">
        <v>0.1452145214521452</v>
      </c>
      <c r="H937">
        <f>(F937+E937)/C937</f>
        <v>0.22706270627062705</v>
      </c>
    </row>
    <row r="938" spans="1:8" customFormat="1" hidden="1" x14ac:dyDescent="0.2">
      <c r="A938">
        <v>210565</v>
      </c>
      <c r="B938" t="s">
        <v>232</v>
      </c>
      <c r="C938">
        <v>31</v>
      </c>
      <c r="D938" t="s">
        <v>48</v>
      </c>
      <c r="E938">
        <v>7</v>
      </c>
      <c r="F938">
        <v>0</v>
      </c>
      <c r="G938">
        <v>0.22580645161290319</v>
      </c>
      <c r="H938">
        <f>(F938+E938)/C938</f>
        <v>0.22580645161290322</v>
      </c>
    </row>
    <row r="939" spans="1:8" customFormat="1" hidden="1" x14ac:dyDescent="0.2">
      <c r="A939">
        <v>308856</v>
      </c>
      <c r="B939" t="s">
        <v>760</v>
      </c>
      <c r="C939">
        <v>275</v>
      </c>
      <c r="D939" t="s">
        <v>340</v>
      </c>
      <c r="E939">
        <v>37</v>
      </c>
      <c r="F939">
        <v>25</v>
      </c>
      <c r="G939">
        <v>0.13454545454545461</v>
      </c>
      <c r="H939">
        <f>(F939+E939)/C939</f>
        <v>0.22545454545454546</v>
      </c>
    </row>
    <row r="940" spans="1:8" customFormat="1" hidden="1" x14ac:dyDescent="0.2">
      <c r="A940">
        <v>110142</v>
      </c>
      <c r="B940" t="s">
        <v>505</v>
      </c>
      <c r="C940">
        <v>482</v>
      </c>
      <c r="D940" t="s">
        <v>340</v>
      </c>
      <c r="E940">
        <v>26</v>
      </c>
      <c r="F940">
        <v>80</v>
      </c>
      <c r="G940">
        <v>5.3941908713692949E-2</v>
      </c>
      <c r="H940">
        <f>(F940+E940)/C940</f>
        <v>0.21991701244813278</v>
      </c>
    </row>
    <row r="941" spans="1:8" customFormat="1" hidden="1" x14ac:dyDescent="0.2">
      <c r="A941">
        <v>114556</v>
      </c>
      <c r="B941" t="s">
        <v>145</v>
      </c>
      <c r="C941">
        <v>414</v>
      </c>
      <c r="D941" t="s">
        <v>48</v>
      </c>
      <c r="E941">
        <v>18</v>
      </c>
      <c r="F941">
        <v>73</v>
      </c>
      <c r="G941">
        <v>4.3478260869565223E-2</v>
      </c>
      <c r="H941">
        <f>(F941+E941)/C941</f>
        <v>0.21980676328502416</v>
      </c>
    </row>
    <row r="942" spans="1:8" customFormat="1" hidden="1" x14ac:dyDescent="0.2">
      <c r="A942">
        <v>110252</v>
      </c>
      <c r="B942" t="s">
        <v>508</v>
      </c>
      <c r="C942">
        <v>41</v>
      </c>
      <c r="D942" t="s">
        <v>340</v>
      </c>
      <c r="E942">
        <v>9</v>
      </c>
      <c r="F942">
        <v>0</v>
      </c>
      <c r="G942">
        <v>0.21951219512195119</v>
      </c>
      <c r="H942">
        <f>(F942+E942)/C942</f>
        <v>0.21951219512195122</v>
      </c>
    </row>
    <row r="943" spans="1:8" customFormat="1" hidden="1" x14ac:dyDescent="0.2">
      <c r="A943">
        <v>115425</v>
      </c>
      <c r="B943" t="s">
        <v>597</v>
      </c>
      <c r="C943">
        <v>138</v>
      </c>
      <c r="D943" t="s">
        <v>340</v>
      </c>
      <c r="E943">
        <v>7</v>
      </c>
      <c r="F943">
        <v>23</v>
      </c>
      <c r="G943">
        <v>5.0724637681159417E-2</v>
      </c>
      <c r="H943">
        <f>(F943+E943)/C943</f>
        <v>0.21739130434782608</v>
      </c>
    </row>
    <row r="944" spans="1:8" customFormat="1" hidden="1" x14ac:dyDescent="0.2">
      <c r="A944">
        <v>115921</v>
      </c>
      <c r="B944" t="s">
        <v>602</v>
      </c>
      <c r="C944">
        <v>60</v>
      </c>
      <c r="D944" t="s">
        <v>340</v>
      </c>
      <c r="E944">
        <v>13</v>
      </c>
      <c r="F944">
        <v>0</v>
      </c>
      <c r="G944">
        <v>0.2166666666666667</v>
      </c>
      <c r="H944">
        <f>(F944+E944)/C944</f>
        <v>0.21666666666666667</v>
      </c>
    </row>
    <row r="945" spans="1:8" customFormat="1" hidden="1" x14ac:dyDescent="0.2">
      <c r="A945">
        <v>112106</v>
      </c>
      <c r="B945" t="s">
        <v>978</v>
      </c>
      <c r="C945">
        <v>66</v>
      </c>
      <c r="D945" t="s">
        <v>923</v>
      </c>
      <c r="E945">
        <v>13</v>
      </c>
      <c r="F945">
        <v>1</v>
      </c>
      <c r="G945">
        <v>0.19696969696969699</v>
      </c>
      <c r="H945">
        <f>(F945+E945)/C945</f>
        <v>0.21212121212121213</v>
      </c>
    </row>
    <row r="946" spans="1:8" customFormat="1" hidden="1" x14ac:dyDescent="0.2">
      <c r="A946">
        <v>107887</v>
      </c>
      <c r="B946" t="s">
        <v>417</v>
      </c>
      <c r="C946">
        <v>2281</v>
      </c>
      <c r="D946" t="s">
        <v>340</v>
      </c>
      <c r="E946">
        <v>152</v>
      </c>
      <c r="F946">
        <v>328</v>
      </c>
      <c r="G946">
        <v>6.6637439719421307E-2</v>
      </c>
      <c r="H946">
        <f>(F946+E946)/C946</f>
        <v>0.2104340201665936</v>
      </c>
    </row>
    <row r="947" spans="1:8" customFormat="1" hidden="1" x14ac:dyDescent="0.2">
      <c r="A947">
        <v>110318</v>
      </c>
      <c r="B947" t="s">
        <v>511</v>
      </c>
      <c r="C947">
        <v>533</v>
      </c>
      <c r="D947" t="s">
        <v>340</v>
      </c>
      <c r="E947">
        <v>112</v>
      </c>
      <c r="F947">
        <v>0</v>
      </c>
      <c r="G947">
        <v>0.21013133208255161</v>
      </c>
      <c r="H947">
        <f>(F947+E947)/C947</f>
        <v>0.21013133208255161</v>
      </c>
    </row>
    <row r="948" spans="1:8" customFormat="1" hidden="1" x14ac:dyDescent="0.2">
      <c r="A948">
        <v>463089</v>
      </c>
      <c r="B948" t="s">
        <v>272</v>
      </c>
      <c r="C948">
        <v>120</v>
      </c>
      <c r="D948" t="s">
        <v>48</v>
      </c>
      <c r="E948">
        <v>8</v>
      </c>
      <c r="F948">
        <v>17</v>
      </c>
      <c r="G948">
        <v>6.6666666666666666E-2</v>
      </c>
      <c r="H948">
        <f>(F948+E948)/C948</f>
        <v>0.20833333333333334</v>
      </c>
    </row>
    <row r="949" spans="1:8" customFormat="1" hidden="1" x14ac:dyDescent="0.2">
      <c r="A949">
        <v>108015</v>
      </c>
      <c r="B949" t="s">
        <v>943</v>
      </c>
      <c r="C949">
        <v>775</v>
      </c>
      <c r="D949" t="s">
        <v>923</v>
      </c>
      <c r="E949">
        <v>3</v>
      </c>
      <c r="F949">
        <v>157</v>
      </c>
      <c r="G949">
        <v>3.8709677419354839E-3</v>
      </c>
      <c r="H949">
        <f>(F949+E949)/C949</f>
        <v>0.20645161290322581</v>
      </c>
    </row>
    <row r="950" spans="1:8" customFormat="1" hidden="1" x14ac:dyDescent="0.2">
      <c r="A950">
        <v>116292</v>
      </c>
      <c r="B950" t="s">
        <v>154</v>
      </c>
      <c r="C950">
        <v>462</v>
      </c>
      <c r="D950" t="s">
        <v>48</v>
      </c>
      <c r="E950">
        <v>94</v>
      </c>
      <c r="F950">
        <v>0</v>
      </c>
      <c r="G950">
        <v>0.20346320346320351</v>
      </c>
      <c r="H950">
        <f>(F950+E950)/C950</f>
        <v>0.20346320346320346</v>
      </c>
    </row>
    <row r="951" spans="1:8" customFormat="1" hidden="1" x14ac:dyDescent="0.2">
      <c r="A951">
        <v>110594</v>
      </c>
      <c r="B951" t="s">
        <v>20</v>
      </c>
      <c r="C951">
        <v>399</v>
      </c>
      <c r="D951" t="s">
        <v>8</v>
      </c>
      <c r="E951">
        <v>41</v>
      </c>
      <c r="F951">
        <v>39</v>
      </c>
      <c r="G951">
        <v>0.10275689223057639</v>
      </c>
      <c r="H951">
        <f>(F951+E951)/C951</f>
        <v>0.20050125313283207</v>
      </c>
    </row>
    <row r="952" spans="1:8" customFormat="1" hidden="1" x14ac:dyDescent="0.2">
      <c r="A952">
        <v>110087</v>
      </c>
      <c r="B952" t="s">
        <v>114</v>
      </c>
      <c r="C952">
        <v>75</v>
      </c>
      <c r="D952" t="s">
        <v>48</v>
      </c>
      <c r="E952">
        <v>15</v>
      </c>
      <c r="F952">
        <v>0</v>
      </c>
      <c r="G952">
        <v>0.2</v>
      </c>
      <c r="H952">
        <f>(F952+E952)/C952</f>
        <v>0.2</v>
      </c>
    </row>
    <row r="953" spans="1:8" customFormat="1" hidden="1" x14ac:dyDescent="0.2">
      <c r="A953">
        <v>533752</v>
      </c>
      <c r="B953" t="s">
        <v>321</v>
      </c>
      <c r="C953">
        <v>15</v>
      </c>
      <c r="D953" t="s">
        <v>48</v>
      </c>
      <c r="E953">
        <v>2</v>
      </c>
      <c r="F953">
        <v>1</v>
      </c>
      <c r="G953">
        <v>0.1333333333333333</v>
      </c>
      <c r="H953">
        <f>(F953+E953)/C953</f>
        <v>0.2</v>
      </c>
    </row>
    <row r="954" spans="1:8" customFormat="1" hidden="1" x14ac:dyDescent="0.2">
      <c r="A954">
        <v>193186</v>
      </c>
      <c r="B954" t="s">
        <v>718</v>
      </c>
      <c r="C954">
        <v>25</v>
      </c>
      <c r="D954" t="s">
        <v>340</v>
      </c>
      <c r="E954">
        <v>5</v>
      </c>
      <c r="F954">
        <v>0</v>
      </c>
      <c r="G954">
        <v>0.2</v>
      </c>
      <c r="H954">
        <f>(F954+E954)/C954</f>
        <v>0.2</v>
      </c>
    </row>
    <row r="955" spans="1:8" customFormat="1" hidden="1" x14ac:dyDescent="0.2">
      <c r="A955">
        <v>303426</v>
      </c>
      <c r="B955" t="s">
        <v>1060</v>
      </c>
      <c r="C955">
        <v>30</v>
      </c>
      <c r="D955" t="s">
        <v>923</v>
      </c>
      <c r="E955">
        <v>6</v>
      </c>
      <c r="F955">
        <v>0</v>
      </c>
      <c r="G955">
        <v>0.2</v>
      </c>
      <c r="H955">
        <f>(F955+E955)/C955</f>
        <v>0.2</v>
      </c>
    </row>
    <row r="956" spans="1:8" customFormat="1" hidden="1" x14ac:dyDescent="0.2">
      <c r="A956">
        <v>105389</v>
      </c>
      <c r="B956" t="s">
        <v>49</v>
      </c>
      <c r="C956">
        <v>111</v>
      </c>
      <c r="D956" t="s">
        <v>48</v>
      </c>
      <c r="E956">
        <v>17</v>
      </c>
      <c r="F956">
        <v>5</v>
      </c>
      <c r="G956">
        <v>0.15315315315315309</v>
      </c>
      <c r="H956">
        <f>(F956+E956)/C956</f>
        <v>0.1981981981981982</v>
      </c>
    </row>
    <row r="957" spans="1:8" customFormat="1" hidden="1" x14ac:dyDescent="0.2">
      <c r="A957">
        <v>129439</v>
      </c>
      <c r="B957" t="s">
        <v>170</v>
      </c>
      <c r="C957">
        <v>185</v>
      </c>
      <c r="D957" t="s">
        <v>48</v>
      </c>
      <c r="E957">
        <v>7</v>
      </c>
      <c r="F957">
        <v>29</v>
      </c>
      <c r="G957">
        <v>3.783783783783784E-2</v>
      </c>
      <c r="H957">
        <f>(F957+E957)/C957</f>
        <v>0.19459459459459461</v>
      </c>
    </row>
    <row r="958" spans="1:8" customFormat="1" hidden="1" x14ac:dyDescent="0.2">
      <c r="A958">
        <v>108109</v>
      </c>
      <c r="B958" t="s">
        <v>432</v>
      </c>
      <c r="C958">
        <v>499</v>
      </c>
      <c r="D958" t="s">
        <v>340</v>
      </c>
      <c r="E958">
        <v>97</v>
      </c>
      <c r="F958">
        <v>0</v>
      </c>
      <c r="G958">
        <v>0.19438877755511019</v>
      </c>
      <c r="H958">
        <f>(F958+E958)/C958</f>
        <v>0.19438877755511022</v>
      </c>
    </row>
    <row r="959" spans="1:8" customFormat="1" hidden="1" x14ac:dyDescent="0.2">
      <c r="A959">
        <v>466385</v>
      </c>
      <c r="B959" t="s">
        <v>282</v>
      </c>
      <c r="C959">
        <v>67</v>
      </c>
      <c r="D959" t="s">
        <v>48</v>
      </c>
      <c r="E959">
        <v>12</v>
      </c>
      <c r="F959">
        <v>1</v>
      </c>
      <c r="G959">
        <v>0.17910447761194029</v>
      </c>
      <c r="H959">
        <f>(F959+E959)/C959</f>
        <v>0.19402985074626866</v>
      </c>
    </row>
    <row r="960" spans="1:8" customFormat="1" hidden="1" x14ac:dyDescent="0.2">
      <c r="A960">
        <v>109414</v>
      </c>
      <c r="B960" t="s">
        <v>15</v>
      </c>
      <c r="C960">
        <v>248</v>
      </c>
      <c r="D960" t="s">
        <v>8</v>
      </c>
      <c r="E960">
        <v>23</v>
      </c>
      <c r="F960">
        <v>25</v>
      </c>
      <c r="G960">
        <v>9.2741935483870969E-2</v>
      </c>
      <c r="H960">
        <f>(F960+E960)/C960</f>
        <v>0.19354838709677419</v>
      </c>
    </row>
    <row r="961" spans="1:8" customFormat="1" hidden="1" x14ac:dyDescent="0.2">
      <c r="A961">
        <v>111999</v>
      </c>
      <c r="B961" t="s">
        <v>22</v>
      </c>
      <c r="C961">
        <v>21</v>
      </c>
      <c r="D961" t="s">
        <v>8</v>
      </c>
      <c r="E961">
        <v>4</v>
      </c>
      <c r="F961">
        <v>0</v>
      </c>
      <c r="G961">
        <v>0.19047619047619049</v>
      </c>
      <c r="H961">
        <f>(F961+E961)/C961</f>
        <v>0.19047619047619047</v>
      </c>
    </row>
    <row r="962" spans="1:8" customFormat="1" hidden="1" x14ac:dyDescent="0.2">
      <c r="A962">
        <v>508779</v>
      </c>
      <c r="B962" t="s">
        <v>875</v>
      </c>
      <c r="C962">
        <v>79</v>
      </c>
      <c r="D962" t="s">
        <v>340</v>
      </c>
      <c r="E962">
        <v>14</v>
      </c>
      <c r="F962">
        <v>1</v>
      </c>
      <c r="G962">
        <v>0.17721518987341769</v>
      </c>
      <c r="H962">
        <f>(F962+E962)/C962</f>
        <v>0.189873417721519</v>
      </c>
    </row>
    <row r="963" spans="1:8" customFormat="1" hidden="1" x14ac:dyDescent="0.2">
      <c r="A963">
        <v>106159</v>
      </c>
      <c r="B963" t="s">
        <v>55</v>
      </c>
      <c r="C963">
        <v>122</v>
      </c>
      <c r="D963" t="s">
        <v>48</v>
      </c>
      <c r="E963">
        <v>23</v>
      </c>
      <c r="F963">
        <v>0</v>
      </c>
      <c r="G963">
        <v>0.18852459016393441</v>
      </c>
      <c r="H963">
        <f>(F963+E963)/C963</f>
        <v>0.18852459016393441</v>
      </c>
    </row>
    <row r="964" spans="1:8" customFormat="1" hidden="1" x14ac:dyDescent="0.2">
      <c r="A964">
        <v>154192</v>
      </c>
      <c r="B964" t="s">
        <v>1026</v>
      </c>
      <c r="C964">
        <v>16</v>
      </c>
      <c r="D964" t="s">
        <v>923</v>
      </c>
      <c r="E964">
        <v>3</v>
      </c>
      <c r="F964">
        <v>0</v>
      </c>
      <c r="G964">
        <v>0.1875</v>
      </c>
      <c r="H964">
        <f>(F964+E964)/C964</f>
        <v>0.1875</v>
      </c>
    </row>
    <row r="965" spans="1:8" customFormat="1" hidden="1" x14ac:dyDescent="0.2">
      <c r="A965">
        <v>113399</v>
      </c>
      <c r="B965" t="s">
        <v>575</v>
      </c>
      <c r="C965">
        <v>125</v>
      </c>
      <c r="D965" t="s">
        <v>340</v>
      </c>
      <c r="E965">
        <v>20</v>
      </c>
      <c r="F965">
        <v>3</v>
      </c>
      <c r="G965">
        <v>0.16</v>
      </c>
      <c r="H965">
        <f>(F965+E965)/C965</f>
        <v>0.184</v>
      </c>
    </row>
    <row r="966" spans="1:8" customFormat="1" hidden="1" x14ac:dyDescent="0.2">
      <c r="A966">
        <v>115481</v>
      </c>
      <c r="B966" t="s">
        <v>997</v>
      </c>
      <c r="C966">
        <v>60</v>
      </c>
      <c r="D966" t="s">
        <v>923</v>
      </c>
      <c r="E966">
        <v>11</v>
      </c>
      <c r="F966">
        <v>0</v>
      </c>
      <c r="G966">
        <v>0.18333333333333329</v>
      </c>
      <c r="H966">
        <f>(F966+E966)/C966</f>
        <v>0.18333333333333332</v>
      </c>
    </row>
    <row r="967" spans="1:8" customFormat="1" hidden="1" x14ac:dyDescent="0.2">
      <c r="A967">
        <v>300623</v>
      </c>
      <c r="B967" t="s">
        <v>1056</v>
      </c>
      <c r="C967">
        <v>33</v>
      </c>
      <c r="D967" t="s">
        <v>923</v>
      </c>
      <c r="E967">
        <v>3</v>
      </c>
      <c r="F967">
        <v>3</v>
      </c>
      <c r="G967">
        <v>9.0909090909090912E-2</v>
      </c>
      <c r="H967">
        <f>(F967+E967)/C967</f>
        <v>0.18181818181818182</v>
      </c>
    </row>
    <row r="968" spans="1:8" customFormat="1" hidden="1" x14ac:dyDescent="0.2">
      <c r="A968">
        <v>124184</v>
      </c>
      <c r="B968" t="s">
        <v>164</v>
      </c>
      <c r="C968">
        <v>150</v>
      </c>
      <c r="D968" t="s">
        <v>48</v>
      </c>
      <c r="E968">
        <v>4</v>
      </c>
      <c r="F968">
        <v>23</v>
      </c>
      <c r="G968">
        <v>2.6666666666666668E-2</v>
      </c>
      <c r="H968">
        <f>(F968+E968)/C968</f>
        <v>0.18</v>
      </c>
    </row>
    <row r="969" spans="1:8" customFormat="1" hidden="1" x14ac:dyDescent="0.2">
      <c r="A969">
        <v>154594</v>
      </c>
      <c r="B969" t="s">
        <v>199</v>
      </c>
      <c r="C969">
        <v>50</v>
      </c>
      <c r="D969" t="s">
        <v>48</v>
      </c>
      <c r="E969">
        <v>9</v>
      </c>
      <c r="F969">
        <v>0</v>
      </c>
      <c r="G969">
        <v>0.18</v>
      </c>
      <c r="H969">
        <f>(F969+E969)/C969</f>
        <v>0.18</v>
      </c>
    </row>
    <row r="970" spans="1:8" customFormat="1" hidden="1" x14ac:dyDescent="0.2">
      <c r="A970">
        <v>327410</v>
      </c>
      <c r="B970" t="s">
        <v>1070</v>
      </c>
      <c r="C970">
        <v>17</v>
      </c>
      <c r="D970" t="s">
        <v>923</v>
      </c>
      <c r="E970">
        <v>3</v>
      </c>
      <c r="F970">
        <v>0</v>
      </c>
      <c r="G970">
        <v>0.1764705882352941</v>
      </c>
      <c r="H970">
        <f>(F970+E970)/C970</f>
        <v>0.17647058823529413</v>
      </c>
    </row>
    <row r="971" spans="1:8" customFormat="1" hidden="1" x14ac:dyDescent="0.2">
      <c r="A971">
        <v>459129</v>
      </c>
      <c r="B971" t="s">
        <v>821</v>
      </c>
      <c r="C971">
        <v>380</v>
      </c>
      <c r="D971" t="s">
        <v>340</v>
      </c>
      <c r="E971">
        <v>56</v>
      </c>
      <c r="F971">
        <v>11</v>
      </c>
      <c r="G971">
        <v>0.14736842105263159</v>
      </c>
      <c r="H971">
        <f>(F971+E971)/C971</f>
        <v>0.1763157894736842</v>
      </c>
    </row>
    <row r="972" spans="1:8" customFormat="1" hidden="1" x14ac:dyDescent="0.2">
      <c r="A972">
        <v>481940</v>
      </c>
      <c r="B972" t="s">
        <v>858</v>
      </c>
      <c r="C972">
        <v>23</v>
      </c>
      <c r="D972" t="s">
        <v>340</v>
      </c>
      <c r="E972">
        <v>4</v>
      </c>
      <c r="F972">
        <v>0</v>
      </c>
      <c r="G972">
        <v>0.17391304347826089</v>
      </c>
      <c r="H972">
        <f>(F972+E972)/C972</f>
        <v>0.17391304347826086</v>
      </c>
    </row>
    <row r="973" spans="1:8" customFormat="1" hidden="1" x14ac:dyDescent="0.2">
      <c r="A973">
        <v>109806</v>
      </c>
      <c r="B973" t="s">
        <v>499</v>
      </c>
      <c r="C973">
        <v>75</v>
      </c>
      <c r="D973" t="s">
        <v>340</v>
      </c>
      <c r="E973">
        <v>13</v>
      </c>
      <c r="F973">
        <v>0</v>
      </c>
      <c r="G973">
        <v>0.17333333333333331</v>
      </c>
      <c r="H973">
        <f>(F973+E973)/C973</f>
        <v>0.17333333333333334</v>
      </c>
    </row>
    <row r="974" spans="1:8" customFormat="1" hidden="1" x14ac:dyDescent="0.2">
      <c r="A974">
        <v>328078</v>
      </c>
      <c r="B974" t="s">
        <v>801</v>
      </c>
      <c r="C974">
        <v>410</v>
      </c>
      <c r="D974" t="s">
        <v>340</v>
      </c>
      <c r="E974">
        <v>12</v>
      </c>
      <c r="F974">
        <v>59</v>
      </c>
      <c r="G974">
        <v>2.9268292682926831E-2</v>
      </c>
      <c r="H974">
        <f>(F974+E974)/C974</f>
        <v>0.17317073170731706</v>
      </c>
    </row>
    <row r="975" spans="1:8" customFormat="1" hidden="1" x14ac:dyDescent="0.2">
      <c r="A975">
        <v>326941</v>
      </c>
      <c r="B975" t="s">
        <v>797</v>
      </c>
      <c r="C975">
        <v>1358</v>
      </c>
      <c r="D975" t="s">
        <v>340</v>
      </c>
      <c r="E975">
        <v>188</v>
      </c>
      <c r="F975">
        <v>46</v>
      </c>
      <c r="G975">
        <v>0.13843888070692201</v>
      </c>
      <c r="H975">
        <f>(F975+E975)/C975</f>
        <v>0.17231222385861561</v>
      </c>
    </row>
    <row r="976" spans="1:8" customFormat="1" hidden="1" x14ac:dyDescent="0.2">
      <c r="A976">
        <v>467555</v>
      </c>
      <c r="B976" t="s">
        <v>286</v>
      </c>
      <c r="C976">
        <v>112</v>
      </c>
      <c r="D976" t="s">
        <v>48</v>
      </c>
      <c r="E976">
        <v>9</v>
      </c>
      <c r="F976">
        <v>10</v>
      </c>
      <c r="G976">
        <v>8.0357142857142863E-2</v>
      </c>
      <c r="H976">
        <f>(F976+E976)/C976</f>
        <v>0.16964285714285715</v>
      </c>
    </row>
    <row r="977" spans="1:8" customFormat="1" hidden="1" x14ac:dyDescent="0.2">
      <c r="A977">
        <v>164536</v>
      </c>
      <c r="B977" t="s">
        <v>694</v>
      </c>
      <c r="C977">
        <v>196</v>
      </c>
      <c r="D977" t="s">
        <v>340</v>
      </c>
      <c r="E977">
        <v>30</v>
      </c>
      <c r="F977">
        <v>3</v>
      </c>
      <c r="G977">
        <v>0.15306122448979589</v>
      </c>
      <c r="H977">
        <f>(F977+E977)/C977</f>
        <v>0.1683673469387755</v>
      </c>
    </row>
    <row r="978" spans="1:8" customFormat="1" hidden="1" x14ac:dyDescent="0.2">
      <c r="A978">
        <v>109113</v>
      </c>
      <c r="B978" t="s">
        <v>101</v>
      </c>
      <c r="C978">
        <v>6</v>
      </c>
      <c r="D978" t="s">
        <v>48</v>
      </c>
      <c r="E978">
        <v>1</v>
      </c>
      <c r="F978">
        <v>0</v>
      </c>
      <c r="G978">
        <v>0.16666666666666671</v>
      </c>
      <c r="H978">
        <f>(F978+E978)/C978</f>
        <v>0.16666666666666666</v>
      </c>
    </row>
    <row r="979" spans="1:8" customFormat="1" hidden="1" x14ac:dyDescent="0.2">
      <c r="A979">
        <v>113455</v>
      </c>
      <c r="B979" t="s">
        <v>578</v>
      </c>
      <c r="C979">
        <v>42</v>
      </c>
      <c r="D979" t="s">
        <v>340</v>
      </c>
      <c r="E979">
        <v>7</v>
      </c>
      <c r="F979">
        <v>0</v>
      </c>
      <c r="G979">
        <v>0.16666666666666671</v>
      </c>
      <c r="H979">
        <f>(F979+E979)/C979</f>
        <v>0.16666666666666666</v>
      </c>
    </row>
    <row r="980" spans="1:8" customFormat="1" hidden="1" x14ac:dyDescent="0.2">
      <c r="A980">
        <v>134938</v>
      </c>
      <c r="B980" t="s">
        <v>648</v>
      </c>
      <c r="C980">
        <v>204</v>
      </c>
      <c r="D980" t="s">
        <v>340</v>
      </c>
      <c r="E980">
        <v>26</v>
      </c>
      <c r="F980">
        <v>8</v>
      </c>
      <c r="G980">
        <v>0.12745098039215691</v>
      </c>
      <c r="H980">
        <f>(F980+E980)/C980</f>
        <v>0.16666666666666666</v>
      </c>
    </row>
    <row r="981" spans="1:8" customFormat="1" hidden="1" x14ac:dyDescent="0.2">
      <c r="A981">
        <v>557455</v>
      </c>
      <c r="B981" t="s">
        <v>897</v>
      </c>
      <c r="C981">
        <v>18</v>
      </c>
      <c r="D981" t="s">
        <v>340</v>
      </c>
      <c r="E981">
        <v>3</v>
      </c>
      <c r="F981">
        <v>0</v>
      </c>
      <c r="G981">
        <v>0.16666666666666671</v>
      </c>
      <c r="H981">
        <f>(F981+E981)/C981</f>
        <v>0.16666666666666666</v>
      </c>
    </row>
    <row r="982" spans="1:8" customFormat="1" hidden="1" x14ac:dyDescent="0.2">
      <c r="A982">
        <v>510946</v>
      </c>
      <c r="B982" t="s">
        <v>1102</v>
      </c>
      <c r="C982">
        <v>6</v>
      </c>
      <c r="D982" t="s">
        <v>923</v>
      </c>
      <c r="E982">
        <v>1</v>
      </c>
      <c r="F982">
        <v>0</v>
      </c>
      <c r="G982">
        <v>0.16666666666666671</v>
      </c>
      <c r="H982">
        <f>(F982+E982)/C982</f>
        <v>0.16666666666666666</v>
      </c>
    </row>
    <row r="983" spans="1:8" customFormat="1" hidden="1" x14ac:dyDescent="0.2">
      <c r="A983">
        <v>112140</v>
      </c>
      <c r="B983" t="s">
        <v>125</v>
      </c>
      <c r="C983">
        <v>115</v>
      </c>
      <c r="D983" t="s">
        <v>48</v>
      </c>
      <c r="E983">
        <v>17</v>
      </c>
      <c r="F983">
        <v>2</v>
      </c>
      <c r="G983">
        <v>0.14782608695652169</v>
      </c>
      <c r="H983">
        <f>(F983+E983)/C983</f>
        <v>0.16521739130434782</v>
      </c>
    </row>
    <row r="984" spans="1:8" customFormat="1" hidden="1" x14ac:dyDescent="0.2">
      <c r="A984">
        <v>115007</v>
      </c>
      <c r="B984" t="s">
        <v>147</v>
      </c>
      <c r="C984">
        <v>1521</v>
      </c>
      <c r="D984" t="s">
        <v>48</v>
      </c>
      <c r="E984">
        <v>149</v>
      </c>
      <c r="F984">
        <v>99</v>
      </c>
      <c r="G984">
        <v>9.7961867192636429E-2</v>
      </c>
      <c r="H984">
        <f>(F984+E984)/C984</f>
        <v>0.16305062458908612</v>
      </c>
    </row>
    <row r="985" spans="1:8" customFormat="1" hidden="1" x14ac:dyDescent="0.2">
      <c r="A985">
        <v>105754</v>
      </c>
      <c r="B985" t="s">
        <v>349</v>
      </c>
      <c r="C985">
        <v>228</v>
      </c>
      <c r="D985" t="s">
        <v>340</v>
      </c>
      <c r="E985">
        <v>14</v>
      </c>
      <c r="F985">
        <v>23</v>
      </c>
      <c r="G985">
        <v>6.1403508771929821E-2</v>
      </c>
      <c r="H985">
        <f>(F985+E985)/C985</f>
        <v>0.16228070175438597</v>
      </c>
    </row>
    <row r="986" spans="1:8" customFormat="1" hidden="1" x14ac:dyDescent="0.2">
      <c r="A986">
        <v>106311</v>
      </c>
      <c r="B986" t="s">
        <v>57</v>
      </c>
      <c r="C986">
        <v>148</v>
      </c>
      <c r="D986" t="s">
        <v>48</v>
      </c>
      <c r="E986">
        <v>24</v>
      </c>
      <c r="F986">
        <v>0</v>
      </c>
      <c r="G986">
        <v>0.1621621621621622</v>
      </c>
      <c r="H986">
        <f>(F986+E986)/C986</f>
        <v>0.16216216216216217</v>
      </c>
    </row>
    <row r="987" spans="1:8" customFormat="1" hidden="1" x14ac:dyDescent="0.2">
      <c r="A987">
        <v>110599</v>
      </c>
      <c r="B987" t="s">
        <v>44</v>
      </c>
      <c r="C987">
        <v>200</v>
      </c>
      <c r="D987" t="s">
        <v>42</v>
      </c>
      <c r="E987">
        <v>30</v>
      </c>
      <c r="F987">
        <v>2</v>
      </c>
      <c r="G987">
        <v>0.15</v>
      </c>
      <c r="H987">
        <f>(F987+E987)/C987</f>
        <v>0.16</v>
      </c>
    </row>
    <row r="988" spans="1:8" customFormat="1" hidden="1" x14ac:dyDescent="0.2">
      <c r="A988">
        <v>125339</v>
      </c>
      <c r="B988" t="s">
        <v>1009</v>
      </c>
      <c r="C988">
        <v>25</v>
      </c>
      <c r="D988" t="s">
        <v>923</v>
      </c>
      <c r="E988">
        <v>4</v>
      </c>
      <c r="F988">
        <v>0</v>
      </c>
      <c r="G988">
        <v>0.16</v>
      </c>
      <c r="H988">
        <f>(F988+E988)/C988</f>
        <v>0.16</v>
      </c>
    </row>
    <row r="989" spans="1:8" customFormat="1" hidden="1" x14ac:dyDescent="0.2">
      <c r="A989">
        <v>315176</v>
      </c>
      <c r="B989" t="s">
        <v>772</v>
      </c>
      <c r="C989">
        <v>83</v>
      </c>
      <c r="D989" t="s">
        <v>340</v>
      </c>
      <c r="E989">
        <v>13</v>
      </c>
      <c r="F989">
        <v>0</v>
      </c>
      <c r="G989">
        <v>0.15662650602409639</v>
      </c>
      <c r="H989">
        <f>(F989+E989)/C989</f>
        <v>0.15662650602409639</v>
      </c>
    </row>
    <row r="990" spans="1:8" customFormat="1" hidden="1" x14ac:dyDescent="0.2">
      <c r="A990">
        <v>228700</v>
      </c>
      <c r="B990" t="s">
        <v>237</v>
      </c>
      <c r="C990">
        <v>608</v>
      </c>
      <c r="D990" t="s">
        <v>48</v>
      </c>
      <c r="E990">
        <v>53</v>
      </c>
      <c r="F990">
        <v>41</v>
      </c>
      <c r="G990">
        <v>8.7171052631578941E-2</v>
      </c>
      <c r="H990">
        <f>(F990+E990)/C990</f>
        <v>0.15460526315789475</v>
      </c>
    </row>
    <row r="991" spans="1:8" customFormat="1" hidden="1" x14ac:dyDescent="0.2">
      <c r="A991">
        <v>116184</v>
      </c>
      <c r="B991" t="s">
        <v>153</v>
      </c>
      <c r="C991">
        <v>13</v>
      </c>
      <c r="D991" t="s">
        <v>48</v>
      </c>
      <c r="E991">
        <v>2</v>
      </c>
      <c r="F991">
        <v>0</v>
      </c>
      <c r="G991">
        <v>0.15384615384615391</v>
      </c>
      <c r="H991">
        <f>(F991+E991)/C991</f>
        <v>0.15384615384615385</v>
      </c>
    </row>
    <row r="992" spans="1:8" customFormat="1" hidden="1" x14ac:dyDescent="0.2">
      <c r="A992">
        <v>113219</v>
      </c>
      <c r="B992" t="s">
        <v>988</v>
      </c>
      <c r="C992">
        <v>39</v>
      </c>
      <c r="D992" t="s">
        <v>923</v>
      </c>
      <c r="E992">
        <v>4</v>
      </c>
      <c r="F992">
        <v>2</v>
      </c>
      <c r="G992">
        <v>0.1025641025641026</v>
      </c>
      <c r="H992">
        <f>(F992+E992)/C992</f>
        <v>0.15384615384615385</v>
      </c>
    </row>
    <row r="993" spans="1:9" customFormat="1" hidden="1" x14ac:dyDescent="0.2">
      <c r="A993">
        <v>520949</v>
      </c>
      <c r="B993" t="s">
        <v>317</v>
      </c>
      <c r="C993">
        <v>66</v>
      </c>
      <c r="D993" t="s">
        <v>48</v>
      </c>
      <c r="E993">
        <v>0</v>
      </c>
      <c r="F993">
        <v>10</v>
      </c>
      <c r="G993">
        <v>0</v>
      </c>
      <c r="H993">
        <f>(F993+E993)/C993</f>
        <v>0.15151515151515152</v>
      </c>
    </row>
    <row r="994" spans="1:9" customFormat="1" hidden="1" x14ac:dyDescent="0.2">
      <c r="A994">
        <v>303663</v>
      </c>
      <c r="B994" t="s">
        <v>243</v>
      </c>
      <c r="C994">
        <v>193</v>
      </c>
      <c r="D994" t="s">
        <v>48</v>
      </c>
      <c r="E994">
        <v>29</v>
      </c>
      <c r="F994">
        <v>0</v>
      </c>
      <c r="G994">
        <v>0.15025906735751299</v>
      </c>
      <c r="H994">
        <f>(F994+E994)/C994</f>
        <v>0.15025906735751296</v>
      </c>
    </row>
    <row r="995" spans="1:9" customFormat="1" hidden="1" x14ac:dyDescent="0.2">
      <c r="A995">
        <v>112489</v>
      </c>
      <c r="B995" t="s">
        <v>131</v>
      </c>
      <c r="C995">
        <v>100</v>
      </c>
      <c r="D995" t="s">
        <v>48</v>
      </c>
      <c r="E995">
        <v>15</v>
      </c>
      <c r="F995">
        <v>0</v>
      </c>
      <c r="G995">
        <v>0.15</v>
      </c>
      <c r="H995">
        <f>(F995+E995)/C995</f>
        <v>0.15</v>
      </c>
    </row>
    <row r="996" spans="1:9" hidden="1" x14ac:dyDescent="0.2">
      <c r="A996">
        <v>476210</v>
      </c>
      <c r="B996" t="s">
        <v>39</v>
      </c>
      <c r="C996">
        <v>27</v>
      </c>
      <c r="D996" t="s">
        <v>8</v>
      </c>
      <c r="E996">
        <v>4</v>
      </c>
      <c r="F996">
        <v>0</v>
      </c>
      <c r="G996">
        <v>0.14814814814814811</v>
      </c>
      <c r="H996">
        <f>(F996+E996)/C996</f>
        <v>0.14814814814814814</v>
      </c>
      <c r="I996"/>
    </row>
    <row r="997" spans="1:9" customFormat="1" hidden="1" x14ac:dyDescent="0.2">
      <c r="A997">
        <v>465960</v>
      </c>
      <c r="B997" t="s">
        <v>275</v>
      </c>
      <c r="C997">
        <v>68</v>
      </c>
      <c r="D997" t="s">
        <v>48</v>
      </c>
      <c r="E997">
        <v>10</v>
      </c>
      <c r="F997">
        <v>0</v>
      </c>
      <c r="G997">
        <v>0.1470588235294118</v>
      </c>
      <c r="H997">
        <f>(F997+E997)/C997</f>
        <v>0.14705882352941177</v>
      </c>
    </row>
    <row r="998" spans="1:9" customFormat="1" hidden="1" x14ac:dyDescent="0.2">
      <c r="A998">
        <v>105331</v>
      </c>
      <c r="B998" t="s">
        <v>342</v>
      </c>
      <c r="C998">
        <v>480</v>
      </c>
      <c r="D998" t="s">
        <v>340</v>
      </c>
      <c r="E998">
        <v>6</v>
      </c>
      <c r="F998">
        <v>64</v>
      </c>
      <c r="G998">
        <v>1.2500000000000001E-2</v>
      </c>
      <c r="H998">
        <f>(F998+E998)/C998</f>
        <v>0.14583333333333334</v>
      </c>
    </row>
    <row r="999" spans="1:9" customFormat="1" hidden="1" x14ac:dyDescent="0.2">
      <c r="A999">
        <v>113370</v>
      </c>
      <c r="B999" t="s">
        <v>138</v>
      </c>
      <c r="C999">
        <v>796</v>
      </c>
      <c r="D999" t="s">
        <v>48</v>
      </c>
      <c r="E999">
        <v>79</v>
      </c>
      <c r="F999">
        <v>35</v>
      </c>
      <c r="G999">
        <v>9.9246231155778894E-2</v>
      </c>
      <c r="H999">
        <f>(F999+E999)/C999</f>
        <v>0.14321608040201006</v>
      </c>
    </row>
    <row r="1000" spans="1:9" customFormat="1" hidden="1" x14ac:dyDescent="0.2">
      <c r="A1000">
        <v>309455</v>
      </c>
      <c r="B1000" t="s">
        <v>762</v>
      </c>
      <c r="C1000">
        <v>7</v>
      </c>
      <c r="D1000" t="s">
        <v>340</v>
      </c>
      <c r="E1000">
        <v>0</v>
      </c>
      <c r="F1000">
        <v>1</v>
      </c>
      <c r="G1000">
        <v>0</v>
      </c>
      <c r="H1000">
        <f>(F1000+E1000)/C1000</f>
        <v>0.14285714285714285</v>
      </c>
    </row>
    <row r="1001" spans="1:9" customFormat="1" hidden="1" x14ac:dyDescent="0.2">
      <c r="A1001">
        <v>114232</v>
      </c>
      <c r="B1001" t="s">
        <v>585</v>
      </c>
      <c r="C1001">
        <v>57</v>
      </c>
      <c r="D1001" t="s">
        <v>340</v>
      </c>
      <c r="E1001">
        <v>8</v>
      </c>
      <c r="F1001">
        <v>0</v>
      </c>
      <c r="G1001">
        <v>0.14035087719298239</v>
      </c>
      <c r="H1001">
        <f>(F1001+E1001)/C1001</f>
        <v>0.14035087719298245</v>
      </c>
    </row>
    <row r="1002" spans="1:9" customFormat="1" hidden="1" x14ac:dyDescent="0.2">
      <c r="A1002">
        <v>163211</v>
      </c>
      <c r="B1002" t="s">
        <v>207</v>
      </c>
      <c r="C1002">
        <v>200</v>
      </c>
      <c r="D1002" t="s">
        <v>48</v>
      </c>
      <c r="E1002">
        <v>9</v>
      </c>
      <c r="F1002">
        <v>19</v>
      </c>
      <c r="G1002">
        <v>4.4999999999999998E-2</v>
      </c>
      <c r="H1002">
        <f>(F1002+E1002)/C1002</f>
        <v>0.14000000000000001</v>
      </c>
    </row>
    <row r="1003" spans="1:9" customFormat="1" hidden="1" x14ac:dyDescent="0.2">
      <c r="A1003">
        <v>513816</v>
      </c>
      <c r="B1003" t="s">
        <v>310</v>
      </c>
      <c r="C1003">
        <v>160</v>
      </c>
      <c r="D1003" t="s">
        <v>48</v>
      </c>
      <c r="E1003">
        <v>13</v>
      </c>
      <c r="F1003">
        <v>9</v>
      </c>
      <c r="G1003">
        <v>8.1250000000000003E-2</v>
      </c>
      <c r="H1003">
        <f>(F1003+E1003)/C1003</f>
        <v>0.13750000000000001</v>
      </c>
    </row>
    <row r="1004" spans="1:9" customFormat="1" hidden="1" x14ac:dyDescent="0.2">
      <c r="A1004">
        <v>110531</v>
      </c>
      <c r="B1004" t="s">
        <v>974</v>
      </c>
      <c r="C1004">
        <v>110</v>
      </c>
      <c r="D1004" t="s">
        <v>923</v>
      </c>
      <c r="E1004">
        <v>12</v>
      </c>
      <c r="F1004">
        <v>3</v>
      </c>
      <c r="G1004">
        <v>0.1090909090909091</v>
      </c>
      <c r="H1004">
        <f>(F1004+E1004)/C1004</f>
        <v>0.13636363636363635</v>
      </c>
    </row>
    <row r="1005" spans="1:9" customFormat="1" hidden="1" x14ac:dyDescent="0.2">
      <c r="A1005">
        <v>568450</v>
      </c>
      <c r="B1005" t="s">
        <v>898</v>
      </c>
      <c r="C1005">
        <v>250</v>
      </c>
      <c r="D1005" t="s">
        <v>340</v>
      </c>
      <c r="E1005">
        <v>31</v>
      </c>
      <c r="F1005">
        <v>3</v>
      </c>
      <c r="G1005">
        <v>0.124</v>
      </c>
      <c r="H1005">
        <f>(F1005+E1005)/C1005</f>
        <v>0.13600000000000001</v>
      </c>
    </row>
    <row r="1006" spans="1:9" customFormat="1" hidden="1" x14ac:dyDescent="0.2">
      <c r="A1006">
        <v>112226</v>
      </c>
      <c r="B1006" t="s">
        <v>545</v>
      </c>
      <c r="C1006">
        <v>45</v>
      </c>
      <c r="D1006" t="s">
        <v>340</v>
      </c>
      <c r="E1006">
        <v>5</v>
      </c>
      <c r="F1006">
        <v>1</v>
      </c>
      <c r="G1006">
        <v>0.1111111111111111</v>
      </c>
      <c r="H1006">
        <f>(F1006+E1006)/C1006</f>
        <v>0.13333333333333333</v>
      </c>
    </row>
    <row r="1007" spans="1:9" customFormat="1" hidden="1" x14ac:dyDescent="0.2">
      <c r="A1007">
        <v>107206</v>
      </c>
      <c r="B1007" t="s">
        <v>402</v>
      </c>
      <c r="C1007">
        <v>896</v>
      </c>
      <c r="D1007" t="s">
        <v>340</v>
      </c>
      <c r="E1007">
        <v>99</v>
      </c>
      <c r="F1007">
        <v>19</v>
      </c>
      <c r="G1007">
        <v>0.1104910714285714</v>
      </c>
      <c r="H1007">
        <f>(F1007+E1007)/C1007</f>
        <v>0.13169642857142858</v>
      </c>
    </row>
    <row r="1008" spans="1:9" customFormat="1" hidden="1" x14ac:dyDescent="0.2">
      <c r="A1008">
        <v>198540</v>
      </c>
      <c r="B1008" t="s">
        <v>223</v>
      </c>
      <c r="C1008">
        <v>23</v>
      </c>
      <c r="D1008" t="s">
        <v>48</v>
      </c>
      <c r="E1008">
        <v>3</v>
      </c>
      <c r="F1008">
        <v>0</v>
      </c>
      <c r="G1008">
        <v>0.13043478260869559</v>
      </c>
      <c r="H1008">
        <f>(F1008+E1008)/C1008</f>
        <v>0.13043478260869565</v>
      </c>
    </row>
    <row r="1009" spans="1:8" customFormat="1" hidden="1" x14ac:dyDescent="0.2">
      <c r="A1009">
        <v>212211</v>
      </c>
      <c r="B1009" t="s">
        <v>233</v>
      </c>
      <c r="C1009">
        <v>23</v>
      </c>
      <c r="D1009" t="s">
        <v>48</v>
      </c>
      <c r="E1009">
        <v>3</v>
      </c>
      <c r="F1009">
        <v>0</v>
      </c>
      <c r="G1009">
        <v>0.13043478260869559</v>
      </c>
      <c r="H1009">
        <f>(F1009+E1009)/C1009</f>
        <v>0.13043478260869565</v>
      </c>
    </row>
    <row r="1010" spans="1:8" customFormat="1" hidden="1" x14ac:dyDescent="0.2">
      <c r="A1010">
        <v>132097</v>
      </c>
      <c r="B1010" t="s">
        <v>644</v>
      </c>
      <c r="C1010">
        <v>377</v>
      </c>
      <c r="D1010" t="s">
        <v>340</v>
      </c>
      <c r="E1010">
        <v>49</v>
      </c>
      <c r="F1010">
        <v>0</v>
      </c>
      <c r="G1010">
        <v>0.129973474801061</v>
      </c>
      <c r="H1010">
        <f>(F1010+E1010)/C1010</f>
        <v>0.129973474801061</v>
      </c>
    </row>
    <row r="1011" spans="1:8" customFormat="1" hidden="1" x14ac:dyDescent="0.2">
      <c r="A1011">
        <v>108750</v>
      </c>
      <c r="B1011" t="s">
        <v>91</v>
      </c>
      <c r="C1011">
        <v>186</v>
      </c>
      <c r="D1011" t="s">
        <v>48</v>
      </c>
      <c r="E1011">
        <v>24</v>
      </c>
      <c r="F1011">
        <v>0</v>
      </c>
      <c r="G1011">
        <v>0.1290322580645161</v>
      </c>
      <c r="H1011">
        <f>(F1011+E1011)/C1011</f>
        <v>0.12903225806451613</v>
      </c>
    </row>
    <row r="1012" spans="1:8" customFormat="1" hidden="1" x14ac:dyDescent="0.2">
      <c r="A1012">
        <v>214319</v>
      </c>
      <c r="B1012" t="s">
        <v>1048</v>
      </c>
      <c r="C1012">
        <v>218</v>
      </c>
      <c r="D1012" t="s">
        <v>923</v>
      </c>
      <c r="E1012">
        <v>28</v>
      </c>
      <c r="F1012">
        <v>0</v>
      </c>
      <c r="G1012">
        <v>0.1284403669724771</v>
      </c>
      <c r="H1012">
        <f>(F1012+E1012)/C1012</f>
        <v>0.12844036697247707</v>
      </c>
    </row>
    <row r="1013" spans="1:8" customFormat="1" hidden="1" x14ac:dyDescent="0.2">
      <c r="A1013">
        <v>108360</v>
      </c>
      <c r="B1013" t="s">
        <v>440</v>
      </c>
      <c r="C1013">
        <v>782</v>
      </c>
      <c r="D1013" t="s">
        <v>340</v>
      </c>
      <c r="E1013">
        <v>28</v>
      </c>
      <c r="F1013">
        <v>72</v>
      </c>
      <c r="G1013">
        <v>3.5805626598465472E-2</v>
      </c>
      <c r="H1013">
        <f>(F1013+E1013)/C1013</f>
        <v>0.12787723785166241</v>
      </c>
    </row>
    <row r="1014" spans="1:8" customFormat="1" hidden="1" x14ac:dyDescent="0.2">
      <c r="A1014">
        <v>108848</v>
      </c>
      <c r="B1014" t="s">
        <v>92</v>
      </c>
      <c r="C1014">
        <v>263</v>
      </c>
      <c r="D1014" t="s">
        <v>48</v>
      </c>
      <c r="E1014">
        <v>33</v>
      </c>
      <c r="F1014">
        <v>0</v>
      </c>
      <c r="G1014">
        <v>0.12547528517110271</v>
      </c>
      <c r="H1014">
        <f>(F1014+E1014)/C1014</f>
        <v>0.12547528517110265</v>
      </c>
    </row>
    <row r="1015" spans="1:8" customFormat="1" hidden="1" x14ac:dyDescent="0.2">
      <c r="A1015">
        <v>121105</v>
      </c>
      <c r="B1015" t="s">
        <v>621</v>
      </c>
      <c r="C1015">
        <v>8</v>
      </c>
      <c r="D1015" t="s">
        <v>340</v>
      </c>
      <c r="E1015">
        <v>1</v>
      </c>
      <c r="F1015">
        <v>0</v>
      </c>
      <c r="G1015">
        <v>0.125</v>
      </c>
      <c r="H1015">
        <f>(F1015+E1015)/C1015</f>
        <v>0.125</v>
      </c>
    </row>
    <row r="1016" spans="1:8" customFormat="1" hidden="1" x14ac:dyDescent="0.2">
      <c r="A1016" t="s">
        <v>331</v>
      </c>
      <c r="B1016" t="s">
        <v>332</v>
      </c>
      <c r="C1016">
        <v>203</v>
      </c>
      <c r="D1016" t="s">
        <v>48</v>
      </c>
      <c r="E1016">
        <v>10</v>
      </c>
      <c r="F1016">
        <v>15</v>
      </c>
      <c r="G1016">
        <v>4.9261083743842367E-2</v>
      </c>
      <c r="H1016">
        <f>(F1016+E1016)/C1016</f>
        <v>0.12315270935960591</v>
      </c>
    </row>
    <row r="1017" spans="1:8" customFormat="1" hidden="1" x14ac:dyDescent="0.2">
      <c r="A1017">
        <v>305322</v>
      </c>
      <c r="B1017" t="s">
        <v>245</v>
      </c>
      <c r="C1017">
        <v>41</v>
      </c>
      <c r="D1017" t="s">
        <v>48</v>
      </c>
      <c r="E1017">
        <v>5</v>
      </c>
      <c r="F1017">
        <v>0</v>
      </c>
      <c r="G1017">
        <v>0.12195121951219511</v>
      </c>
      <c r="H1017">
        <f>(F1017+E1017)/C1017</f>
        <v>0.12195121951219512</v>
      </c>
    </row>
    <row r="1018" spans="1:8" customFormat="1" hidden="1" x14ac:dyDescent="0.2">
      <c r="A1018">
        <v>497705</v>
      </c>
      <c r="B1018" t="s">
        <v>871</v>
      </c>
      <c r="C1018">
        <v>5115</v>
      </c>
      <c r="D1018" t="s">
        <v>340</v>
      </c>
      <c r="E1018">
        <v>621</v>
      </c>
      <c r="F1018">
        <v>2</v>
      </c>
      <c r="G1018">
        <v>0.1214076246334311</v>
      </c>
      <c r="H1018">
        <f>(F1018+E1018)/C1018</f>
        <v>0.12179863147605083</v>
      </c>
    </row>
    <row r="1019" spans="1:8" customFormat="1" hidden="1" x14ac:dyDescent="0.2">
      <c r="A1019">
        <v>132229</v>
      </c>
      <c r="B1019" t="s">
        <v>174</v>
      </c>
      <c r="C1019">
        <v>746</v>
      </c>
      <c r="D1019" t="s">
        <v>48</v>
      </c>
      <c r="E1019">
        <v>75</v>
      </c>
      <c r="F1019">
        <v>15</v>
      </c>
      <c r="G1019">
        <v>0.1005361930294906</v>
      </c>
      <c r="H1019">
        <f>(F1019+E1019)/C1019</f>
        <v>0.12064343163538874</v>
      </c>
    </row>
    <row r="1020" spans="1:8" customFormat="1" hidden="1" x14ac:dyDescent="0.2">
      <c r="A1020">
        <v>115904</v>
      </c>
      <c r="B1020" t="s">
        <v>1000</v>
      </c>
      <c r="C1020">
        <v>25</v>
      </c>
      <c r="D1020" t="s">
        <v>923</v>
      </c>
      <c r="E1020">
        <v>3</v>
      </c>
      <c r="F1020">
        <v>0</v>
      </c>
      <c r="G1020">
        <v>0.12</v>
      </c>
      <c r="H1020">
        <f>(F1020+E1020)/C1020</f>
        <v>0.12</v>
      </c>
    </row>
    <row r="1021" spans="1:8" customFormat="1" hidden="1" x14ac:dyDescent="0.2">
      <c r="A1021">
        <v>476092</v>
      </c>
      <c r="B1021" t="s">
        <v>291</v>
      </c>
      <c r="C1021">
        <v>34</v>
      </c>
      <c r="D1021" t="s">
        <v>48</v>
      </c>
      <c r="E1021">
        <v>2</v>
      </c>
      <c r="F1021">
        <v>2</v>
      </c>
      <c r="G1021">
        <v>5.8823529411764712E-2</v>
      </c>
      <c r="H1021">
        <f>(F1021+E1021)/C1021</f>
        <v>0.11764705882352941</v>
      </c>
    </row>
    <row r="1022" spans="1:8" customFormat="1" hidden="1" x14ac:dyDescent="0.2">
      <c r="A1022">
        <v>109637</v>
      </c>
      <c r="B1022" t="s">
        <v>109</v>
      </c>
      <c r="C1022">
        <v>69</v>
      </c>
      <c r="D1022" t="s">
        <v>48</v>
      </c>
      <c r="E1022">
        <v>8</v>
      </c>
      <c r="F1022">
        <v>0</v>
      </c>
      <c r="G1022">
        <v>0.11594202898550721</v>
      </c>
      <c r="H1022">
        <f>(F1022+E1022)/C1022</f>
        <v>0.11594202898550725</v>
      </c>
    </row>
    <row r="1023" spans="1:8" customFormat="1" hidden="1" x14ac:dyDescent="0.2">
      <c r="A1023">
        <v>205859</v>
      </c>
      <c r="B1023" t="s">
        <v>729</v>
      </c>
      <c r="C1023">
        <v>35</v>
      </c>
      <c r="D1023" t="s">
        <v>340</v>
      </c>
      <c r="E1023">
        <v>4</v>
      </c>
      <c r="F1023">
        <v>0</v>
      </c>
      <c r="G1023">
        <v>0.1142857142857143</v>
      </c>
      <c r="H1023">
        <f>(F1023+E1023)/C1023</f>
        <v>0.11428571428571428</v>
      </c>
    </row>
    <row r="1024" spans="1:8" customFormat="1" hidden="1" x14ac:dyDescent="0.2">
      <c r="A1024">
        <v>328240</v>
      </c>
      <c r="B1024" t="s">
        <v>803</v>
      </c>
      <c r="C1024">
        <v>88</v>
      </c>
      <c r="D1024" t="s">
        <v>340</v>
      </c>
      <c r="E1024">
        <v>10</v>
      </c>
      <c r="F1024">
        <v>0</v>
      </c>
      <c r="G1024">
        <v>0.1136363636363636</v>
      </c>
      <c r="H1024">
        <f>(F1024+E1024)/C1024</f>
        <v>0.11363636363636363</v>
      </c>
    </row>
    <row r="1025" spans="1:8" customFormat="1" hidden="1" x14ac:dyDescent="0.2">
      <c r="A1025">
        <v>110771</v>
      </c>
      <c r="B1025" t="s">
        <v>529</v>
      </c>
      <c r="C1025">
        <v>406</v>
      </c>
      <c r="D1025" t="s">
        <v>340</v>
      </c>
      <c r="E1025">
        <v>0</v>
      </c>
      <c r="F1025">
        <v>46</v>
      </c>
      <c r="G1025">
        <v>0</v>
      </c>
      <c r="H1025">
        <f>(F1025+E1025)/C1025</f>
        <v>0.11330049261083744</v>
      </c>
    </row>
    <row r="1026" spans="1:8" customFormat="1" hidden="1" x14ac:dyDescent="0.2">
      <c r="A1026">
        <v>109928</v>
      </c>
      <c r="B1026" t="s">
        <v>111</v>
      </c>
      <c r="C1026">
        <v>478</v>
      </c>
      <c r="D1026" t="s">
        <v>48</v>
      </c>
      <c r="E1026">
        <v>40</v>
      </c>
      <c r="F1026">
        <v>14</v>
      </c>
      <c r="G1026">
        <v>8.3682008368200833E-2</v>
      </c>
      <c r="H1026">
        <f>(F1026+E1026)/C1026</f>
        <v>0.11297071129707113</v>
      </c>
    </row>
    <row r="1027" spans="1:8" customFormat="1" hidden="1" x14ac:dyDescent="0.2">
      <c r="A1027">
        <v>115327</v>
      </c>
      <c r="B1027" t="s">
        <v>149</v>
      </c>
      <c r="C1027">
        <v>344</v>
      </c>
      <c r="D1027" t="s">
        <v>48</v>
      </c>
      <c r="E1027">
        <v>38</v>
      </c>
      <c r="F1027">
        <v>0</v>
      </c>
      <c r="G1027">
        <v>0.1104651162790698</v>
      </c>
      <c r="H1027">
        <f>(F1027+E1027)/C1027</f>
        <v>0.11046511627906977</v>
      </c>
    </row>
    <row r="1028" spans="1:8" customFormat="1" hidden="1" x14ac:dyDescent="0.2">
      <c r="A1028">
        <v>107397</v>
      </c>
      <c r="B1028" t="s">
        <v>407</v>
      </c>
      <c r="C1028">
        <v>673</v>
      </c>
      <c r="D1028" t="s">
        <v>340</v>
      </c>
      <c r="E1028">
        <v>74</v>
      </c>
      <c r="F1028">
        <v>0</v>
      </c>
      <c r="G1028">
        <v>0.10995542347696879</v>
      </c>
      <c r="H1028">
        <f>(F1028+E1028)/C1028</f>
        <v>0.10995542347696879</v>
      </c>
    </row>
    <row r="1029" spans="1:8" customFormat="1" hidden="1" x14ac:dyDescent="0.2">
      <c r="A1029">
        <v>108493</v>
      </c>
      <c r="B1029" t="s">
        <v>86</v>
      </c>
      <c r="C1029">
        <v>285</v>
      </c>
      <c r="D1029" t="s">
        <v>48</v>
      </c>
      <c r="E1029">
        <v>30</v>
      </c>
      <c r="F1029">
        <v>0</v>
      </c>
      <c r="G1029">
        <v>0.10526315789473679</v>
      </c>
      <c r="H1029">
        <f>(F1029+E1029)/C1029</f>
        <v>0.10526315789473684</v>
      </c>
    </row>
    <row r="1030" spans="1:8" customFormat="1" hidden="1" x14ac:dyDescent="0.2">
      <c r="A1030">
        <v>164165</v>
      </c>
      <c r="B1030" t="s">
        <v>208</v>
      </c>
      <c r="C1030">
        <v>38</v>
      </c>
      <c r="D1030" t="s">
        <v>48</v>
      </c>
      <c r="E1030">
        <v>3</v>
      </c>
      <c r="F1030">
        <v>1</v>
      </c>
      <c r="G1030">
        <v>7.8947368421052627E-2</v>
      </c>
      <c r="H1030">
        <f>(F1030+E1030)/C1030</f>
        <v>0.10526315789473684</v>
      </c>
    </row>
    <row r="1031" spans="1:8" customFormat="1" hidden="1" x14ac:dyDescent="0.2">
      <c r="A1031">
        <v>216488</v>
      </c>
      <c r="B1031" t="s">
        <v>1049</v>
      </c>
      <c r="C1031">
        <v>19</v>
      </c>
      <c r="D1031" t="s">
        <v>923</v>
      </c>
      <c r="E1031">
        <v>2</v>
      </c>
      <c r="F1031">
        <v>0</v>
      </c>
      <c r="G1031">
        <v>0.10526315789473679</v>
      </c>
      <c r="H1031">
        <f>(F1031+E1031)/C1031</f>
        <v>0.10526315789473684</v>
      </c>
    </row>
    <row r="1032" spans="1:8" customFormat="1" hidden="1" x14ac:dyDescent="0.2">
      <c r="A1032">
        <v>512806</v>
      </c>
      <c r="B1032" t="s">
        <v>308</v>
      </c>
      <c r="C1032">
        <v>250</v>
      </c>
      <c r="D1032" t="s">
        <v>48</v>
      </c>
      <c r="E1032">
        <v>9</v>
      </c>
      <c r="F1032">
        <v>17</v>
      </c>
      <c r="G1032">
        <v>3.5999999999999997E-2</v>
      </c>
      <c r="H1032">
        <f>(F1032+E1032)/C1032</f>
        <v>0.104</v>
      </c>
    </row>
    <row r="1033" spans="1:8" customFormat="1" hidden="1" x14ac:dyDescent="0.2">
      <c r="A1033">
        <v>106911</v>
      </c>
      <c r="B1033" t="s">
        <v>64</v>
      </c>
      <c r="C1033">
        <v>107</v>
      </c>
      <c r="D1033" t="s">
        <v>48</v>
      </c>
      <c r="E1033">
        <v>11</v>
      </c>
      <c r="F1033">
        <v>0</v>
      </c>
      <c r="G1033">
        <v>0.10280373831775701</v>
      </c>
      <c r="H1033">
        <f>(F1033+E1033)/C1033</f>
        <v>0.10280373831775701</v>
      </c>
    </row>
    <row r="1034" spans="1:8" customFormat="1" hidden="1" x14ac:dyDescent="0.2">
      <c r="A1034">
        <v>466242</v>
      </c>
      <c r="B1034" t="s">
        <v>280</v>
      </c>
      <c r="C1034">
        <v>190</v>
      </c>
      <c r="D1034" t="s">
        <v>48</v>
      </c>
      <c r="E1034">
        <v>15</v>
      </c>
      <c r="F1034">
        <v>4</v>
      </c>
      <c r="G1034">
        <v>7.8947368421052627E-2</v>
      </c>
      <c r="H1034">
        <f>(F1034+E1034)/C1034</f>
        <v>0.1</v>
      </c>
    </row>
    <row r="1035" spans="1:8" customFormat="1" hidden="1" x14ac:dyDescent="0.2">
      <c r="A1035">
        <v>142059</v>
      </c>
      <c r="B1035" t="s">
        <v>658</v>
      </c>
      <c r="C1035">
        <v>10</v>
      </c>
      <c r="D1035" t="s">
        <v>340</v>
      </c>
      <c r="E1035">
        <v>1</v>
      </c>
      <c r="F1035">
        <v>0</v>
      </c>
      <c r="G1035">
        <v>0.1</v>
      </c>
      <c r="H1035">
        <f>(F1035+E1035)/C1035</f>
        <v>0.1</v>
      </c>
    </row>
    <row r="1036" spans="1:8" customFormat="1" hidden="1" x14ac:dyDescent="0.2">
      <c r="A1036">
        <v>488559</v>
      </c>
      <c r="B1036" t="s">
        <v>865</v>
      </c>
      <c r="C1036">
        <v>20</v>
      </c>
      <c r="D1036" t="s">
        <v>340</v>
      </c>
      <c r="E1036">
        <v>2</v>
      </c>
      <c r="F1036">
        <v>0</v>
      </c>
      <c r="G1036">
        <v>0.1</v>
      </c>
      <c r="H1036">
        <f>(F1036+E1036)/C1036</f>
        <v>0.1</v>
      </c>
    </row>
    <row r="1037" spans="1:8" customFormat="1" hidden="1" x14ac:dyDescent="0.2">
      <c r="A1037">
        <v>494926</v>
      </c>
      <c r="B1037" t="s">
        <v>305</v>
      </c>
      <c r="C1037">
        <v>31</v>
      </c>
      <c r="D1037" t="s">
        <v>48</v>
      </c>
      <c r="E1037">
        <v>3</v>
      </c>
      <c r="F1037">
        <v>0</v>
      </c>
      <c r="G1037">
        <v>9.6774193548387094E-2</v>
      </c>
      <c r="H1037">
        <f>(F1037+E1037)/C1037</f>
        <v>9.6774193548387094E-2</v>
      </c>
    </row>
    <row r="1038" spans="1:8" customFormat="1" hidden="1" x14ac:dyDescent="0.2">
      <c r="A1038">
        <v>109265</v>
      </c>
      <c r="B1038" t="s">
        <v>479</v>
      </c>
      <c r="C1038">
        <v>445</v>
      </c>
      <c r="D1038" t="s">
        <v>340</v>
      </c>
      <c r="E1038">
        <v>43</v>
      </c>
      <c r="F1038">
        <v>0</v>
      </c>
      <c r="G1038">
        <v>9.662921348314607E-2</v>
      </c>
      <c r="H1038">
        <f>(F1038+E1038)/C1038</f>
        <v>9.662921348314607E-2</v>
      </c>
    </row>
    <row r="1039" spans="1:8" customFormat="1" hidden="1" x14ac:dyDescent="0.2">
      <c r="A1039">
        <v>124720</v>
      </c>
      <c r="B1039" t="s">
        <v>165</v>
      </c>
      <c r="C1039">
        <v>84</v>
      </c>
      <c r="D1039" t="s">
        <v>48</v>
      </c>
      <c r="E1039">
        <v>5</v>
      </c>
      <c r="F1039">
        <v>3</v>
      </c>
      <c r="G1039">
        <v>5.9523809523809521E-2</v>
      </c>
      <c r="H1039">
        <f>(F1039+E1039)/C1039</f>
        <v>9.5238095238095233E-2</v>
      </c>
    </row>
    <row r="1040" spans="1:8" customFormat="1" hidden="1" x14ac:dyDescent="0.2">
      <c r="A1040">
        <v>108011</v>
      </c>
      <c r="B1040" t="s">
        <v>426</v>
      </c>
      <c r="C1040">
        <v>476</v>
      </c>
      <c r="D1040" t="s">
        <v>340</v>
      </c>
      <c r="E1040">
        <v>44</v>
      </c>
      <c r="F1040">
        <v>1</v>
      </c>
      <c r="G1040">
        <v>9.2436974789915971E-2</v>
      </c>
      <c r="H1040">
        <f>(F1040+E1040)/C1040</f>
        <v>9.4537815126050417E-2</v>
      </c>
    </row>
    <row r="1041" spans="1:8" customFormat="1" hidden="1" x14ac:dyDescent="0.2">
      <c r="A1041">
        <v>466214</v>
      </c>
      <c r="B1041" t="s">
        <v>279</v>
      </c>
      <c r="C1041">
        <v>64</v>
      </c>
      <c r="D1041" t="s">
        <v>48</v>
      </c>
      <c r="E1041">
        <v>6</v>
      </c>
      <c r="F1041">
        <v>0</v>
      </c>
      <c r="G1041">
        <v>9.375E-2</v>
      </c>
      <c r="H1041">
        <f>(F1041+E1041)/C1041</f>
        <v>9.375E-2</v>
      </c>
    </row>
    <row r="1042" spans="1:8" customFormat="1" hidden="1" x14ac:dyDescent="0.2">
      <c r="A1042">
        <v>108027</v>
      </c>
      <c r="B1042" t="s">
        <v>80</v>
      </c>
      <c r="C1042">
        <v>148</v>
      </c>
      <c r="D1042" t="s">
        <v>48</v>
      </c>
      <c r="E1042">
        <v>0</v>
      </c>
      <c r="F1042">
        <v>13</v>
      </c>
      <c r="G1042">
        <v>0</v>
      </c>
      <c r="H1042">
        <f>(F1042+E1042)/C1042</f>
        <v>8.7837837837837843E-2</v>
      </c>
    </row>
    <row r="1043" spans="1:8" customFormat="1" hidden="1" x14ac:dyDescent="0.2">
      <c r="A1043" t="s">
        <v>1116</v>
      </c>
      <c r="B1043" t="s">
        <v>1117</v>
      </c>
      <c r="C1043">
        <v>500</v>
      </c>
      <c r="D1043" t="s">
        <v>923</v>
      </c>
      <c r="E1043">
        <v>26</v>
      </c>
      <c r="F1043">
        <v>17</v>
      </c>
      <c r="G1043">
        <v>5.1999999999999998E-2</v>
      </c>
      <c r="H1043">
        <f>(F1043+E1043)/C1043</f>
        <v>8.5999999999999993E-2</v>
      </c>
    </row>
    <row r="1044" spans="1:8" customFormat="1" hidden="1" x14ac:dyDescent="0.2">
      <c r="A1044">
        <v>108457</v>
      </c>
      <c r="B1044" t="s">
        <v>950</v>
      </c>
      <c r="C1044">
        <v>200</v>
      </c>
      <c r="D1044" t="s">
        <v>923</v>
      </c>
      <c r="E1044">
        <v>17</v>
      </c>
      <c r="F1044">
        <v>0</v>
      </c>
      <c r="G1044">
        <v>8.5000000000000006E-2</v>
      </c>
      <c r="H1044">
        <f>(F1044+E1044)/C1044</f>
        <v>8.5000000000000006E-2</v>
      </c>
    </row>
    <row r="1045" spans="1:8" customFormat="1" hidden="1" x14ac:dyDescent="0.2">
      <c r="A1045">
        <v>305835</v>
      </c>
      <c r="B1045" t="s">
        <v>1061</v>
      </c>
      <c r="C1045">
        <v>36</v>
      </c>
      <c r="D1045" t="s">
        <v>923</v>
      </c>
      <c r="E1045">
        <v>3</v>
      </c>
      <c r="F1045">
        <v>0</v>
      </c>
      <c r="G1045">
        <v>8.3333333333333329E-2</v>
      </c>
      <c r="H1045">
        <f>(F1045+E1045)/C1045</f>
        <v>8.3333333333333329E-2</v>
      </c>
    </row>
    <row r="1046" spans="1:8" customFormat="1" hidden="1" x14ac:dyDescent="0.2">
      <c r="A1046">
        <v>115879</v>
      </c>
      <c r="B1046" t="s">
        <v>152</v>
      </c>
      <c r="C1046">
        <v>25</v>
      </c>
      <c r="D1046" t="s">
        <v>48</v>
      </c>
      <c r="E1046">
        <v>2</v>
      </c>
      <c r="F1046">
        <v>0</v>
      </c>
      <c r="G1046">
        <v>0.08</v>
      </c>
      <c r="H1046">
        <f>(F1046+E1046)/C1046</f>
        <v>0.08</v>
      </c>
    </row>
    <row r="1047" spans="1:8" customFormat="1" hidden="1" x14ac:dyDescent="0.2">
      <c r="A1047" t="s">
        <v>918</v>
      </c>
      <c r="B1047" t="s">
        <v>919</v>
      </c>
      <c r="C1047">
        <v>1800</v>
      </c>
      <c r="D1047" t="s">
        <v>340</v>
      </c>
      <c r="E1047">
        <v>115</v>
      </c>
      <c r="F1047">
        <v>26</v>
      </c>
      <c r="G1047">
        <v>6.3888888888888884E-2</v>
      </c>
      <c r="H1047">
        <f>(F1047+E1047)/C1047</f>
        <v>7.8333333333333338E-2</v>
      </c>
    </row>
    <row r="1048" spans="1:8" customFormat="1" hidden="1" x14ac:dyDescent="0.2">
      <c r="A1048">
        <v>108484</v>
      </c>
      <c r="B1048" t="s">
        <v>448</v>
      </c>
      <c r="C1048">
        <v>218</v>
      </c>
      <c r="D1048" t="s">
        <v>340</v>
      </c>
      <c r="E1048">
        <v>17</v>
      </c>
      <c r="F1048">
        <v>0</v>
      </c>
      <c r="G1048">
        <v>7.7981651376146793E-2</v>
      </c>
      <c r="H1048">
        <f>(F1048+E1048)/C1048</f>
        <v>7.7981651376146793E-2</v>
      </c>
    </row>
    <row r="1049" spans="1:8" customFormat="1" hidden="1" x14ac:dyDescent="0.2">
      <c r="A1049">
        <v>106304</v>
      </c>
      <c r="B1049" t="s">
        <v>362</v>
      </c>
      <c r="C1049">
        <v>6053</v>
      </c>
      <c r="D1049" t="s">
        <v>340</v>
      </c>
      <c r="E1049">
        <v>459</v>
      </c>
      <c r="F1049">
        <v>12</v>
      </c>
      <c r="G1049">
        <v>7.5830166859408563E-2</v>
      </c>
      <c r="H1049">
        <f>(F1049+E1049)/C1049</f>
        <v>7.7812654881876761E-2</v>
      </c>
    </row>
    <row r="1050" spans="1:8" customFormat="1" hidden="1" x14ac:dyDescent="0.2">
      <c r="A1050">
        <v>112742</v>
      </c>
      <c r="B1050" t="s">
        <v>562</v>
      </c>
      <c r="C1050">
        <v>90</v>
      </c>
      <c r="D1050" t="s">
        <v>340</v>
      </c>
      <c r="E1050">
        <v>6</v>
      </c>
      <c r="F1050">
        <v>1</v>
      </c>
      <c r="G1050">
        <v>6.6666666666666666E-2</v>
      </c>
      <c r="H1050">
        <f>(F1050+E1050)/C1050</f>
        <v>7.7777777777777779E-2</v>
      </c>
    </row>
    <row r="1051" spans="1:8" customFormat="1" hidden="1" x14ac:dyDescent="0.2">
      <c r="A1051">
        <v>109107</v>
      </c>
      <c r="B1051" t="s">
        <v>100</v>
      </c>
      <c r="C1051">
        <v>65</v>
      </c>
      <c r="D1051" t="s">
        <v>48</v>
      </c>
      <c r="E1051">
        <v>5</v>
      </c>
      <c r="F1051">
        <v>0</v>
      </c>
      <c r="G1051">
        <v>7.6923076923076927E-2</v>
      </c>
      <c r="H1051">
        <f>(F1051+E1051)/C1051</f>
        <v>7.6923076923076927E-2</v>
      </c>
    </row>
    <row r="1052" spans="1:8" customFormat="1" hidden="1" x14ac:dyDescent="0.2">
      <c r="A1052">
        <v>140885</v>
      </c>
      <c r="B1052" t="s">
        <v>31</v>
      </c>
      <c r="C1052">
        <v>107</v>
      </c>
      <c r="D1052" t="s">
        <v>8</v>
      </c>
      <c r="E1052">
        <v>8</v>
      </c>
      <c r="F1052">
        <v>0</v>
      </c>
      <c r="G1052">
        <v>7.476635514018691E-2</v>
      </c>
      <c r="H1052">
        <f>(F1052+E1052)/C1052</f>
        <v>7.476635514018691E-2</v>
      </c>
    </row>
    <row r="1053" spans="1:8" customFormat="1" hidden="1" x14ac:dyDescent="0.2">
      <c r="A1053">
        <v>538457</v>
      </c>
      <c r="B1053" t="s">
        <v>322</v>
      </c>
      <c r="C1053">
        <v>67</v>
      </c>
      <c r="D1053" t="s">
        <v>48</v>
      </c>
      <c r="E1053">
        <v>5</v>
      </c>
      <c r="F1053">
        <v>0</v>
      </c>
      <c r="G1053">
        <v>7.4626865671641784E-2</v>
      </c>
      <c r="H1053">
        <f>(F1053+E1053)/C1053</f>
        <v>7.4626865671641784E-2</v>
      </c>
    </row>
    <row r="1054" spans="1:8" customFormat="1" hidden="1" x14ac:dyDescent="0.2">
      <c r="A1054">
        <v>108362</v>
      </c>
      <c r="B1054" t="s">
        <v>441</v>
      </c>
      <c r="C1054">
        <v>215</v>
      </c>
      <c r="D1054" t="s">
        <v>340</v>
      </c>
      <c r="E1054">
        <v>6</v>
      </c>
      <c r="F1054">
        <v>10</v>
      </c>
      <c r="G1054">
        <v>2.790697674418605E-2</v>
      </c>
      <c r="H1054">
        <f>(F1054+E1054)/C1054</f>
        <v>7.441860465116279E-2</v>
      </c>
    </row>
    <row r="1055" spans="1:8" customFormat="1" hidden="1" x14ac:dyDescent="0.2">
      <c r="A1055">
        <v>128236</v>
      </c>
      <c r="B1055" t="s">
        <v>169</v>
      </c>
      <c r="C1055">
        <v>148</v>
      </c>
      <c r="D1055" t="s">
        <v>48</v>
      </c>
      <c r="E1055">
        <v>10</v>
      </c>
      <c r="F1055">
        <v>1</v>
      </c>
      <c r="G1055">
        <v>6.7567567567567571E-2</v>
      </c>
      <c r="H1055">
        <f>(F1055+E1055)/C1055</f>
        <v>7.4324324324324328E-2</v>
      </c>
    </row>
    <row r="1056" spans="1:8" customFormat="1" hidden="1" x14ac:dyDescent="0.2">
      <c r="A1056" t="s">
        <v>335</v>
      </c>
      <c r="B1056" t="s">
        <v>336</v>
      </c>
      <c r="C1056">
        <v>110</v>
      </c>
      <c r="D1056" t="s">
        <v>48</v>
      </c>
      <c r="E1056">
        <v>8</v>
      </c>
      <c r="F1056">
        <v>0</v>
      </c>
      <c r="G1056">
        <v>7.2727272727272724E-2</v>
      </c>
      <c r="H1056">
        <f>(F1056+E1056)/C1056</f>
        <v>7.2727272727272724E-2</v>
      </c>
    </row>
    <row r="1057" spans="1:8" customFormat="1" hidden="1" x14ac:dyDescent="0.2">
      <c r="A1057">
        <v>113383</v>
      </c>
      <c r="B1057" t="s">
        <v>990</v>
      </c>
      <c r="C1057">
        <v>44</v>
      </c>
      <c r="D1057" t="s">
        <v>923</v>
      </c>
      <c r="E1057">
        <v>3</v>
      </c>
      <c r="F1057">
        <v>0</v>
      </c>
      <c r="G1057">
        <v>6.8181818181818177E-2</v>
      </c>
      <c r="H1057">
        <f>(F1057+E1057)/C1057</f>
        <v>6.8181818181818177E-2</v>
      </c>
    </row>
    <row r="1058" spans="1:8" customFormat="1" hidden="1" x14ac:dyDescent="0.2">
      <c r="A1058">
        <v>108890</v>
      </c>
      <c r="B1058" t="s">
        <v>94</v>
      </c>
      <c r="C1058">
        <v>30</v>
      </c>
      <c r="D1058" t="s">
        <v>48</v>
      </c>
      <c r="E1058">
        <v>2</v>
      </c>
      <c r="F1058">
        <v>0</v>
      </c>
      <c r="G1058">
        <v>6.6666666666666666E-2</v>
      </c>
      <c r="H1058">
        <f>(F1058+E1058)/C1058</f>
        <v>6.6666666666666666E-2</v>
      </c>
    </row>
    <row r="1059" spans="1:8" customFormat="1" hidden="1" x14ac:dyDescent="0.2">
      <c r="A1059">
        <v>154527</v>
      </c>
      <c r="B1059" t="s">
        <v>198</v>
      </c>
      <c r="C1059">
        <v>105</v>
      </c>
      <c r="D1059" t="s">
        <v>48</v>
      </c>
      <c r="E1059">
        <v>4</v>
      </c>
      <c r="F1059">
        <v>3</v>
      </c>
      <c r="G1059">
        <v>3.8095238095238099E-2</v>
      </c>
      <c r="H1059">
        <f>(F1059+E1059)/C1059</f>
        <v>6.6666666666666666E-2</v>
      </c>
    </row>
    <row r="1060" spans="1:8" customFormat="1" hidden="1" x14ac:dyDescent="0.2">
      <c r="A1060">
        <v>152571</v>
      </c>
      <c r="B1060" t="s">
        <v>670</v>
      </c>
      <c r="C1060">
        <v>30</v>
      </c>
      <c r="D1060" t="s">
        <v>340</v>
      </c>
      <c r="E1060">
        <v>2</v>
      </c>
      <c r="F1060">
        <v>0</v>
      </c>
      <c r="G1060">
        <v>6.6666666666666666E-2</v>
      </c>
      <c r="H1060">
        <f>(F1060+E1060)/C1060</f>
        <v>6.6666666666666666E-2</v>
      </c>
    </row>
    <row r="1061" spans="1:8" customFormat="1" hidden="1" x14ac:dyDescent="0.2">
      <c r="A1061">
        <v>113519</v>
      </c>
      <c r="B1061" t="s">
        <v>143</v>
      </c>
      <c r="C1061">
        <v>364</v>
      </c>
      <c r="D1061" t="s">
        <v>48</v>
      </c>
      <c r="E1061">
        <v>23</v>
      </c>
      <c r="F1061">
        <v>0</v>
      </c>
      <c r="G1061">
        <v>6.3186813186813184E-2</v>
      </c>
      <c r="H1061">
        <f>(F1061+E1061)/C1061</f>
        <v>6.3186813186813184E-2</v>
      </c>
    </row>
    <row r="1062" spans="1:8" customFormat="1" hidden="1" x14ac:dyDescent="0.2">
      <c r="A1062">
        <v>110673</v>
      </c>
      <c r="B1062" t="s">
        <v>525</v>
      </c>
      <c r="C1062">
        <v>190</v>
      </c>
      <c r="D1062" t="s">
        <v>340</v>
      </c>
      <c r="E1062">
        <v>7</v>
      </c>
      <c r="F1062">
        <v>5</v>
      </c>
      <c r="G1062">
        <v>3.6842105263157891E-2</v>
      </c>
      <c r="H1062">
        <f>(F1062+E1062)/C1062</f>
        <v>6.3157894736842107E-2</v>
      </c>
    </row>
    <row r="1063" spans="1:8" customFormat="1" hidden="1" x14ac:dyDescent="0.2">
      <c r="A1063">
        <v>112407</v>
      </c>
      <c r="B1063" t="s">
        <v>128</v>
      </c>
      <c r="C1063">
        <v>16</v>
      </c>
      <c r="D1063" t="s">
        <v>48</v>
      </c>
      <c r="E1063">
        <v>1</v>
      </c>
      <c r="F1063">
        <v>0</v>
      </c>
      <c r="G1063">
        <v>6.25E-2</v>
      </c>
      <c r="H1063">
        <f>(F1063+E1063)/C1063</f>
        <v>6.25E-2</v>
      </c>
    </row>
    <row r="1064" spans="1:8" customFormat="1" hidden="1" x14ac:dyDescent="0.2">
      <c r="A1064">
        <v>309225</v>
      </c>
      <c r="B1064" t="s">
        <v>761</v>
      </c>
      <c r="C1064">
        <v>16</v>
      </c>
      <c r="D1064" t="s">
        <v>340</v>
      </c>
      <c r="E1064">
        <v>0</v>
      </c>
      <c r="F1064">
        <v>1</v>
      </c>
      <c r="G1064">
        <v>0</v>
      </c>
      <c r="H1064">
        <f>(F1064+E1064)/C1064</f>
        <v>6.25E-2</v>
      </c>
    </row>
    <row r="1065" spans="1:8" customFormat="1" hidden="1" x14ac:dyDescent="0.2">
      <c r="A1065">
        <v>459858</v>
      </c>
      <c r="B1065" t="s">
        <v>1080</v>
      </c>
      <c r="C1065">
        <v>113</v>
      </c>
      <c r="D1065" t="s">
        <v>923</v>
      </c>
      <c r="E1065">
        <v>7</v>
      </c>
      <c r="F1065">
        <v>0</v>
      </c>
      <c r="G1065">
        <v>6.1946902654867263E-2</v>
      </c>
      <c r="H1065">
        <f>(F1065+E1065)/C1065</f>
        <v>6.1946902654867256E-2</v>
      </c>
    </row>
    <row r="1066" spans="1:8" customFormat="1" hidden="1" x14ac:dyDescent="0.2">
      <c r="A1066">
        <v>133907</v>
      </c>
      <c r="B1066" t="s">
        <v>175</v>
      </c>
      <c r="C1066">
        <v>33</v>
      </c>
      <c r="D1066" t="s">
        <v>48</v>
      </c>
      <c r="E1066">
        <v>2</v>
      </c>
      <c r="F1066">
        <v>0</v>
      </c>
      <c r="G1066">
        <v>6.0606060606060608E-2</v>
      </c>
      <c r="H1066">
        <f>(F1066+E1066)/C1066</f>
        <v>6.0606060606060608E-2</v>
      </c>
    </row>
    <row r="1067" spans="1:8" customFormat="1" hidden="1" x14ac:dyDescent="0.2">
      <c r="A1067">
        <v>114873</v>
      </c>
      <c r="B1067" t="s">
        <v>592</v>
      </c>
      <c r="C1067">
        <v>216</v>
      </c>
      <c r="D1067" t="s">
        <v>340</v>
      </c>
      <c r="E1067">
        <v>13</v>
      </c>
      <c r="F1067">
        <v>0</v>
      </c>
      <c r="G1067">
        <v>6.0185185185185182E-2</v>
      </c>
      <c r="H1067">
        <f>(F1067+E1067)/C1067</f>
        <v>6.0185185185185182E-2</v>
      </c>
    </row>
    <row r="1068" spans="1:8" customFormat="1" hidden="1" x14ac:dyDescent="0.2">
      <c r="A1068">
        <v>144805</v>
      </c>
      <c r="B1068" t="s">
        <v>184</v>
      </c>
      <c r="C1068">
        <v>138</v>
      </c>
      <c r="D1068" t="s">
        <v>48</v>
      </c>
      <c r="E1068">
        <v>8</v>
      </c>
      <c r="F1068">
        <v>0</v>
      </c>
      <c r="G1068">
        <v>5.7971014492753617E-2</v>
      </c>
      <c r="H1068">
        <f>(F1068+E1068)/C1068</f>
        <v>5.7971014492753624E-2</v>
      </c>
    </row>
    <row r="1069" spans="1:8" customFormat="1" hidden="1" x14ac:dyDescent="0.2">
      <c r="A1069">
        <v>116457</v>
      </c>
      <c r="B1069" t="s">
        <v>155</v>
      </c>
      <c r="C1069">
        <v>251</v>
      </c>
      <c r="D1069" t="s">
        <v>48</v>
      </c>
      <c r="E1069">
        <v>14</v>
      </c>
      <c r="F1069">
        <v>0</v>
      </c>
      <c r="G1069">
        <v>5.5776892430278877E-2</v>
      </c>
      <c r="H1069">
        <f>(F1069+E1069)/C1069</f>
        <v>5.5776892430278883E-2</v>
      </c>
    </row>
    <row r="1070" spans="1:8" customFormat="1" hidden="1" x14ac:dyDescent="0.2">
      <c r="A1070">
        <v>206457</v>
      </c>
      <c r="B1070" t="s">
        <v>229</v>
      </c>
      <c r="C1070">
        <v>18</v>
      </c>
      <c r="D1070" t="s">
        <v>48</v>
      </c>
      <c r="E1070">
        <v>1</v>
      </c>
      <c r="F1070">
        <v>0</v>
      </c>
      <c r="G1070">
        <v>5.5555555555555552E-2</v>
      </c>
      <c r="H1070">
        <f>(F1070+E1070)/C1070</f>
        <v>5.5555555555555552E-2</v>
      </c>
    </row>
    <row r="1071" spans="1:8" customFormat="1" hidden="1" x14ac:dyDescent="0.2">
      <c r="A1071">
        <v>106603</v>
      </c>
      <c r="B1071" t="s">
        <v>930</v>
      </c>
      <c r="C1071">
        <v>378</v>
      </c>
      <c r="D1071" t="s">
        <v>923</v>
      </c>
      <c r="E1071">
        <v>6</v>
      </c>
      <c r="F1071">
        <v>15</v>
      </c>
      <c r="G1071">
        <v>1.5873015873015869E-2</v>
      </c>
      <c r="H1071">
        <f>(F1071+E1071)/C1071</f>
        <v>5.5555555555555552E-2</v>
      </c>
    </row>
    <row r="1072" spans="1:8" customFormat="1" hidden="1" x14ac:dyDescent="0.2">
      <c r="A1072">
        <v>106199</v>
      </c>
      <c r="B1072" t="s">
        <v>56</v>
      </c>
      <c r="C1072">
        <v>109</v>
      </c>
      <c r="D1072" t="s">
        <v>48</v>
      </c>
      <c r="E1072">
        <v>4</v>
      </c>
      <c r="F1072">
        <v>2</v>
      </c>
      <c r="G1072">
        <v>3.669724770642202E-2</v>
      </c>
      <c r="H1072">
        <f>(F1072+E1072)/C1072</f>
        <v>5.5045871559633031E-2</v>
      </c>
    </row>
    <row r="1073" spans="1:8" customFormat="1" hidden="1" x14ac:dyDescent="0.2">
      <c r="A1073">
        <v>513778</v>
      </c>
      <c r="B1073" t="s">
        <v>1106</v>
      </c>
      <c r="C1073">
        <v>200</v>
      </c>
      <c r="D1073" t="s">
        <v>923</v>
      </c>
      <c r="E1073">
        <v>3</v>
      </c>
      <c r="F1073">
        <v>8</v>
      </c>
      <c r="G1073">
        <v>1.4999999999999999E-2</v>
      </c>
      <c r="H1073">
        <f>(F1073+E1073)/C1073</f>
        <v>5.5E-2</v>
      </c>
    </row>
    <row r="1074" spans="1:8" customFormat="1" hidden="1" x14ac:dyDescent="0.2">
      <c r="A1074">
        <v>114454</v>
      </c>
      <c r="B1074" t="s">
        <v>23</v>
      </c>
      <c r="C1074">
        <v>55</v>
      </c>
      <c r="D1074" t="s">
        <v>8</v>
      </c>
      <c r="E1074">
        <v>3</v>
      </c>
      <c r="F1074">
        <v>0</v>
      </c>
      <c r="G1074">
        <v>5.4545454545454543E-2</v>
      </c>
      <c r="H1074">
        <f>(F1074+E1074)/C1074</f>
        <v>5.4545454545454543E-2</v>
      </c>
    </row>
    <row r="1075" spans="1:8" customFormat="1" hidden="1" x14ac:dyDescent="0.2">
      <c r="A1075">
        <v>110690</v>
      </c>
      <c r="B1075" t="s">
        <v>119</v>
      </c>
      <c r="C1075">
        <v>188</v>
      </c>
      <c r="D1075" t="s">
        <v>48</v>
      </c>
      <c r="E1075">
        <v>10</v>
      </c>
      <c r="F1075">
        <v>0</v>
      </c>
      <c r="G1075">
        <v>5.3191489361702128E-2</v>
      </c>
      <c r="H1075">
        <f>(F1075+E1075)/C1075</f>
        <v>5.3191489361702128E-2</v>
      </c>
    </row>
    <row r="1076" spans="1:8" customFormat="1" hidden="1" x14ac:dyDescent="0.2">
      <c r="A1076">
        <v>116150</v>
      </c>
      <c r="B1076" t="s">
        <v>1001</v>
      </c>
      <c r="C1076">
        <v>381</v>
      </c>
      <c r="D1076" t="s">
        <v>923</v>
      </c>
      <c r="E1076">
        <v>20</v>
      </c>
      <c r="F1076">
        <v>0</v>
      </c>
      <c r="G1076">
        <v>5.2493438320209973E-2</v>
      </c>
      <c r="H1076">
        <f>(F1076+E1076)/C1076</f>
        <v>5.2493438320209973E-2</v>
      </c>
    </row>
    <row r="1077" spans="1:8" customFormat="1" hidden="1" x14ac:dyDescent="0.2">
      <c r="A1077">
        <v>109365</v>
      </c>
      <c r="B1077" t="s">
        <v>14</v>
      </c>
      <c r="C1077">
        <v>58</v>
      </c>
      <c r="D1077" t="s">
        <v>8</v>
      </c>
      <c r="E1077">
        <v>3</v>
      </c>
      <c r="F1077">
        <v>0</v>
      </c>
      <c r="G1077">
        <v>5.1724137931034482E-2</v>
      </c>
      <c r="H1077">
        <f>(F1077+E1077)/C1077</f>
        <v>5.1724137931034482E-2</v>
      </c>
    </row>
    <row r="1078" spans="1:8" customFormat="1" hidden="1" x14ac:dyDescent="0.2">
      <c r="A1078">
        <v>465697</v>
      </c>
      <c r="B1078" t="s">
        <v>274</v>
      </c>
      <c r="C1078">
        <v>20</v>
      </c>
      <c r="D1078" t="s">
        <v>48</v>
      </c>
      <c r="E1078">
        <v>0</v>
      </c>
      <c r="F1078">
        <v>1</v>
      </c>
      <c r="G1078">
        <v>0</v>
      </c>
      <c r="H1078">
        <f>(F1078+E1078)/C1078</f>
        <v>0.05</v>
      </c>
    </row>
    <row r="1079" spans="1:8" customFormat="1" hidden="1" x14ac:dyDescent="0.2">
      <c r="A1079">
        <v>106197</v>
      </c>
      <c r="B1079" t="s">
        <v>924</v>
      </c>
      <c r="C1079">
        <v>100</v>
      </c>
      <c r="D1079" t="s">
        <v>923</v>
      </c>
      <c r="E1079">
        <v>5</v>
      </c>
      <c r="F1079">
        <v>0</v>
      </c>
      <c r="G1079">
        <v>0.05</v>
      </c>
      <c r="H1079">
        <f>(F1079+E1079)/C1079</f>
        <v>0.05</v>
      </c>
    </row>
    <row r="1080" spans="1:8" customFormat="1" hidden="1" x14ac:dyDescent="0.2">
      <c r="A1080">
        <v>462404</v>
      </c>
      <c r="B1080" t="s">
        <v>1081</v>
      </c>
      <c r="C1080">
        <v>120</v>
      </c>
      <c r="D1080" t="s">
        <v>923</v>
      </c>
      <c r="E1080">
        <v>6</v>
      </c>
      <c r="F1080">
        <v>0</v>
      </c>
      <c r="G1080">
        <v>0.05</v>
      </c>
      <c r="H1080">
        <f>(F1080+E1080)/C1080</f>
        <v>0.05</v>
      </c>
    </row>
    <row r="1081" spans="1:8" customFormat="1" hidden="1" x14ac:dyDescent="0.2">
      <c r="A1081">
        <v>110521</v>
      </c>
      <c r="B1081" t="s">
        <v>973</v>
      </c>
      <c r="C1081">
        <v>729</v>
      </c>
      <c r="D1081" t="s">
        <v>923</v>
      </c>
      <c r="E1081">
        <v>35</v>
      </c>
      <c r="F1081">
        <v>0</v>
      </c>
      <c r="G1081">
        <v>4.8010973936899862E-2</v>
      </c>
      <c r="H1081">
        <f>(F1081+E1081)/C1081</f>
        <v>4.8010973936899862E-2</v>
      </c>
    </row>
    <row r="1082" spans="1:8" customFormat="1" hidden="1" x14ac:dyDescent="0.2">
      <c r="A1082">
        <v>115749</v>
      </c>
      <c r="B1082" t="s">
        <v>151</v>
      </c>
      <c r="C1082">
        <v>21</v>
      </c>
      <c r="D1082" t="s">
        <v>48</v>
      </c>
      <c r="E1082">
        <v>1</v>
      </c>
      <c r="F1082">
        <v>0</v>
      </c>
      <c r="G1082">
        <v>4.7619047619047623E-2</v>
      </c>
      <c r="H1082">
        <f>(F1082+E1082)/C1082</f>
        <v>4.7619047619047616E-2</v>
      </c>
    </row>
    <row r="1083" spans="1:8" customFormat="1" hidden="1" x14ac:dyDescent="0.2">
      <c r="A1083">
        <v>109717</v>
      </c>
      <c r="B1083" t="s">
        <v>493</v>
      </c>
      <c r="C1083">
        <v>1150</v>
      </c>
      <c r="D1083" t="s">
        <v>340</v>
      </c>
      <c r="E1083">
        <v>37</v>
      </c>
      <c r="F1083">
        <v>17</v>
      </c>
      <c r="G1083">
        <v>3.2173913043478261E-2</v>
      </c>
      <c r="H1083">
        <f>(F1083+E1083)/C1083</f>
        <v>4.6956521739130432E-2</v>
      </c>
    </row>
    <row r="1084" spans="1:8" customFormat="1" hidden="1" x14ac:dyDescent="0.2">
      <c r="A1084">
        <v>124583</v>
      </c>
      <c r="B1084" t="s">
        <v>1008</v>
      </c>
      <c r="C1084">
        <v>1150</v>
      </c>
      <c r="D1084" t="s">
        <v>923</v>
      </c>
      <c r="E1084">
        <v>50</v>
      </c>
      <c r="F1084">
        <v>4</v>
      </c>
      <c r="G1084">
        <v>4.3478260869565223E-2</v>
      </c>
      <c r="H1084">
        <f>(F1084+E1084)/C1084</f>
        <v>4.6956521739130432E-2</v>
      </c>
    </row>
    <row r="1085" spans="1:8" customFormat="1" hidden="1" x14ac:dyDescent="0.2">
      <c r="A1085">
        <v>105614</v>
      </c>
      <c r="B1085" t="s">
        <v>51</v>
      </c>
      <c r="C1085">
        <v>384</v>
      </c>
      <c r="D1085" t="s">
        <v>48</v>
      </c>
      <c r="E1085">
        <v>18</v>
      </c>
      <c r="F1085">
        <v>0</v>
      </c>
      <c r="G1085">
        <v>4.6875E-2</v>
      </c>
      <c r="H1085">
        <f>(F1085+E1085)/C1085</f>
        <v>4.6875E-2</v>
      </c>
    </row>
    <row r="1086" spans="1:8" customFormat="1" hidden="1" x14ac:dyDescent="0.2">
      <c r="A1086">
        <v>485753</v>
      </c>
      <c r="B1086" t="s">
        <v>40</v>
      </c>
      <c r="C1086">
        <v>150</v>
      </c>
      <c r="D1086" t="s">
        <v>8</v>
      </c>
      <c r="E1086">
        <v>7</v>
      </c>
      <c r="F1086">
        <v>0</v>
      </c>
      <c r="G1086">
        <v>4.6666666666666669E-2</v>
      </c>
      <c r="H1086">
        <f>(F1086+E1086)/C1086</f>
        <v>4.6666666666666669E-2</v>
      </c>
    </row>
    <row r="1087" spans="1:8" customFormat="1" hidden="1" x14ac:dyDescent="0.2">
      <c r="A1087">
        <v>113387</v>
      </c>
      <c r="B1087" t="s">
        <v>572</v>
      </c>
      <c r="C1087">
        <v>267</v>
      </c>
      <c r="D1087" t="s">
        <v>340</v>
      </c>
      <c r="E1087">
        <v>12</v>
      </c>
      <c r="F1087">
        <v>0</v>
      </c>
      <c r="G1087">
        <v>4.49438202247191E-2</v>
      </c>
      <c r="H1087">
        <f>(F1087+E1087)/C1087</f>
        <v>4.49438202247191E-2</v>
      </c>
    </row>
    <row r="1088" spans="1:8" customFormat="1" hidden="1" x14ac:dyDescent="0.2">
      <c r="A1088">
        <v>466223</v>
      </c>
      <c r="B1088" t="s">
        <v>37</v>
      </c>
      <c r="C1088">
        <v>46</v>
      </c>
      <c r="D1088" t="s">
        <v>8</v>
      </c>
      <c r="E1088">
        <v>1</v>
      </c>
      <c r="F1088">
        <v>1</v>
      </c>
      <c r="G1088">
        <v>2.1739130434782612E-2</v>
      </c>
      <c r="H1088">
        <f>(F1088+E1088)/C1088</f>
        <v>4.3478260869565216E-2</v>
      </c>
    </row>
    <row r="1089" spans="1:8" customFormat="1" hidden="1" x14ac:dyDescent="0.2">
      <c r="A1089">
        <v>128219</v>
      </c>
      <c r="B1089" t="s">
        <v>1012</v>
      </c>
      <c r="C1089">
        <v>138</v>
      </c>
      <c r="D1089" t="s">
        <v>923</v>
      </c>
      <c r="E1089">
        <v>6</v>
      </c>
      <c r="F1089">
        <v>0</v>
      </c>
      <c r="G1089">
        <v>4.3478260869565223E-2</v>
      </c>
      <c r="H1089">
        <f>(F1089+E1089)/C1089</f>
        <v>4.3478260869565216E-2</v>
      </c>
    </row>
    <row r="1090" spans="1:8" customFormat="1" hidden="1" x14ac:dyDescent="0.2">
      <c r="A1090">
        <v>115539</v>
      </c>
      <c r="B1090" t="s">
        <v>25</v>
      </c>
      <c r="C1090">
        <v>93</v>
      </c>
      <c r="D1090" t="s">
        <v>8</v>
      </c>
      <c r="E1090">
        <v>3</v>
      </c>
      <c r="F1090">
        <v>1</v>
      </c>
      <c r="G1090">
        <v>3.2258064516129031E-2</v>
      </c>
      <c r="H1090">
        <f>(F1090+E1090)/C1090</f>
        <v>4.3010752688172046E-2</v>
      </c>
    </row>
    <row r="1091" spans="1:8" customFormat="1" hidden="1" x14ac:dyDescent="0.2">
      <c r="A1091">
        <v>113397</v>
      </c>
      <c r="B1091" t="s">
        <v>574</v>
      </c>
      <c r="C1091">
        <v>93</v>
      </c>
      <c r="D1091" t="s">
        <v>340</v>
      </c>
      <c r="E1091">
        <v>2</v>
      </c>
      <c r="F1091">
        <v>2</v>
      </c>
      <c r="G1091">
        <v>2.150537634408602E-2</v>
      </c>
      <c r="H1091">
        <f>(F1091+E1091)/C1091</f>
        <v>4.3010752688172046E-2</v>
      </c>
    </row>
    <row r="1092" spans="1:8" customFormat="1" hidden="1" x14ac:dyDescent="0.2">
      <c r="A1092">
        <v>108051</v>
      </c>
      <c r="B1092" t="s">
        <v>12</v>
      </c>
      <c r="C1092">
        <v>140</v>
      </c>
      <c r="D1092" t="s">
        <v>8</v>
      </c>
      <c r="E1092">
        <v>2</v>
      </c>
      <c r="F1092">
        <v>4</v>
      </c>
      <c r="G1092">
        <v>1.428571428571429E-2</v>
      </c>
      <c r="H1092">
        <f>(F1092+E1092)/C1092</f>
        <v>4.2857142857142858E-2</v>
      </c>
    </row>
    <row r="1093" spans="1:8" customFormat="1" hidden="1" x14ac:dyDescent="0.2">
      <c r="A1093">
        <v>113502</v>
      </c>
      <c r="B1093" t="s">
        <v>579</v>
      </c>
      <c r="C1093">
        <v>145</v>
      </c>
      <c r="D1093" t="s">
        <v>340</v>
      </c>
      <c r="E1093">
        <v>6</v>
      </c>
      <c r="F1093">
        <v>0</v>
      </c>
      <c r="G1093">
        <v>4.1379310344827593E-2</v>
      </c>
      <c r="H1093">
        <f>(F1093+E1093)/C1093</f>
        <v>4.1379310344827586E-2</v>
      </c>
    </row>
    <row r="1094" spans="1:8" customFormat="1" hidden="1" x14ac:dyDescent="0.2">
      <c r="A1094">
        <v>157469</v>
      </c>
      <c r="B1094" t="s">
        <v>201</v>
      </c>
      <c r="C1094">
        <v>172</v>
      </c>
      <c r="D1094" t="s">
        <v>48</v>
      </c>
      <c r="E1094">
        <v>7</v>
      </c>
      <c r="F1094">
        <v>0</v>
      </c>
      <c r="G1094">
        <v>4.0697674418604647E-2</v>
      </c>
      <c r="H1094">
        <f>(F1094+E1094)/C1094</f>
        <v>4.0697674418604654E-2</v>
      </c>
    </row>
    <row r="1095" spans="1:8" customFormat="1" hidden="1" x14ac:dyDescent="0.2">
      <c r="A1095">
        <v>122506</v>
      </c>
      <c r="B1095" t="s">
        <v>622</v>
      </c>
      <c r="C1095">
        <v>25</v>
      </c>
      <c r="D1095" t="s">
        <v>340</v>
      </c>
      <c r="E1095">
        <v>1</v>
      </c>
      <c r="F1095">
        <v>0</v>
      </c>
      <c r="G1095">
        <v>0.04</v>
      </c>
      <c r="H1095">
        <f>(F1095+E1095)/C1095</f>
        <v>0.04</v>
      </c>
    </row>
    <row r="1096" spans="1:8" customFormat="1" hidden="1" x14ac:dyDescent="0.2">
      <c r="A1096">
        <v>113326</v>
      </c>
      <c r="B1096" t="s">
        <v>989</v>
      </c>
      <c r="C1096">
        <v>25</v>
      </c>
      <c r="D1096" t="s">
        <v>923</v>
      </c>
      <c r="E1096">
        <v>0</v>
      </c>
      <c r="F1096">
        <v>1</v>
      </c>
      <c r="G1096">
        <v>0</v>
      </c>
      <c r="H1096">
        <f>(F1096+E1096)/C1096</f>
        <v>0.04</v>
      </c>
    </row>
    <row r="1097" spans="1:8" customFormat="1" hidden="1" x14ac:dyDescent="0.2">
      <c r="A1097">
        <v>486118</v>
      </c>
      <c r="B1097" t="s">
        <v>299</v>
      </c>
      <c r="C1097">
        <v>126</v>
      </c>
      <c r="D1097" t="s">
        <v>48</v>
      </c>
      <c r="E1097">
        <v>5</v>
      </c>
      <c r="F1097">
        <v>0</v>
      </c>
      <c r="G1097">
        <v>3.968253968253968E-2</v>
      </c>
      <c r="H1097">
        <f>(F1097+E1097)/C1097</f>
        <v>3.968253968253968E-2</v>
      </c>
    </row>
    <row r="1098" spans="1:8" customFormat="1" hidden="1" x14ac:dyDescent="0.2">
      <c r="A1098">
        <v>205136</v>
      </c>
      <c r="B1098" t="s">
        <v>227</v>
      </c>
      <c r="C1098">
        <v>160</v>
      </c>
      <c r="D1098" t="s">
        <v>48</v>
      </c>
      <c r="E1098">
        <v>6</v>
      </c>
      <c r="F1098">
        <v>0</v>
      </c>
      <c r="G1098">
        <v>3.7499999999999999E-2</v>
      </c>
      <c r="H1098">
        <f>(F1098+E1098)/C1098</f>
        <v>3.7499999999999999E-2</v>
      </c>
    </row>
    <row r="1099" spans="1:8" customFormat="1" hidden="1" x14ac:dyDescent="0.2">
      <c r="A1099">
        <v>107157</v>
      </c>
      <c r="B1099" t="s">
        <v>937</v>
      </c>
      <c r="C1099">
        <v>80</v>
      </c>
      <c r="D1099" t="s">
        <v>923</v>
      </c>
      <c r="E1099">
        <v>3</v>
      </c>
      <c r="F1099">
        <v>0</v>
      </c>
      <c r="G1099">
        <v>3.7499999999999999E-2</v>
      </c>
      <c r="H1099">
        <f>(F1099+E1099)/C1099</f>
        <v>3.7499999999999999E-2</v>
      </c>
    </row>
    <row r="1100" spans="1:8" customFormat="1" hidden="1" x14ac:dyDescent="0.2">
      <c r="A1100">
        <v>145124</v>
      </c>
      <c r="B1100" t="s">
        <v>185</v>
      </c>
      <c r="C1100">
        <v>108</v>
      </c>
      <c r="D1100" t="s">
        <v>48</v>
      </c>
      <c r="E1100">
        <v>4</v>
      </c>
      <c r="F1100">
        <v>0</v>
      </c>
      <c r="G1100">
        <v>3.7037037037037028E-2</v>
      </c>
      <c r="H1100">
        <f>(F1100+E1100)/C1100</f>
        <v>3.7037037037037035E-2</v>
      </c>
    </row>
    <row r="1101" spans="1:8" customFormat="1" hidden="1" x14ac:dyDescent="0.2">
      <c r="A1101">
        <v>109930</v>
      </c>
      <c r="B1101" t="s">
        <v>967</v>
      </c>
      <c r="C1101">
        <v>55</v>
      </c>
      <c r="D1101" t="s">
        <v>923</v>
      </c>
      <c r="E1101">
        <v>2</v>
      </c>
      <c r="F1101">
        <v>0</v>
      </c>
      <c r="G1101">
        <v>3.6363636363636362E-2</v>
      </c>
      <c r="H1101">
        <f>(F1101+E1101)/C1101</f>
        <v>3.6363636363636362E-2</v>
      </c>
    </row>
    <row r="1102" spans="1:8" customFormat="1" hidden="1" x14ac:dyDescent="0.2">
      <c r="A1102">
        <v>164915</v>
      </c>
      <c r="B1102" t="s">
        <v>209</v>
      </c>
      <c r="C1102">
        <v>172</v>
      </c>
      <c r="D1102" t="s">
        <v>48</v>
      </c>
      <c r="E1102">
        <v>6</v>
      </c>
      <c r="F1102">
        <v>0</v>
      </c>
      <c r="G1102">
        <v>3.4883720930232558E-2</v>
      </c>
      <c r="H1102">
        <f>(F1102+E1102)/C1102</f>
        <v>3.4883720930232558E-2</v>
      </c>
    </row>
    <row r="1103" spans="1:8" customFormat="1" hidden="1" x14ac:dyDescent="0.2">
      <c r="A1103">
        <v>132171</v>
      </c>
      <c r="B1103" t="s">
        <v>173</v>
      </c>
      <c r="C1103">
        <v>290</v>
      </c>
      <c r="D1103" t="s">
        <v>48</v>
      </c>
      <c r="E1103">
        <v>6</v>
      </c>
      <c r="F1103">
        <v>4</v>
      </c>
      <c r="G1103">
        <v>2.0689655172413789E-2</v>
      </c>
      <c r="H1103">
        <f>(F1103+E1103)/C1103</f>
        <v>3.4482758620689655E-2</v>
      </c>
    </row>
    <row r="1104" spans="1:8" customFormat="1" hidden="1" x14ac:dyDescent="0.2">
      <c r="A1104">
        <v>466669</v>
      </c>
      <c r="B1104" t="s">
        <v>285</v>
      </c>
      <c r="C1104">
        <v>235</v>
      </c>
      <c r="D1104" t="s">
        <v>48</v>
      </c>
      <c r="E1104">
        <v>0</v>
      </c>
      <c r="F1104">
        <v>8</v>
      </c>
      <c r="G1104">
        <v>0</v>
      </c>
      <c r="H1104">
        <f>(F1104+E1104)/C1104</f>
        <v>3.4042553191489362E-2</v>
      </c>
    </row>
    <row r="1105" spans="1:8" customFormat="1" hidden="1" x14ac:dyDescent="0.2">
      <c r="A1105">
        <v>118351</v>
      </c>
      <c r="B1105" t="s">
        <v>613</v>
      </c>
      <c r="C1105">
        <v>325</v>
      </c>
      <c r="D1105" t="s">
        <v>340</v>
      </c>
      <c r="E1105">
        <v>11</v>
      </c>
      <c r="F1105">
        <v>0</v>
      </c>
      <c r="G1105">
        <v>3.3846153846153852E-2</v>
      </c>
      <c r="H1105">
        <f>(F1105+E1105)/C1105</f>
        <v>3.3846153846153845E-2</v>
      </c>
    </row>
    <row r="1106" spans="1:8" customFormat="1" hidden="1" x14ac:dyDescent="0.2">
      <c r="A1106">
        <v>109997</v>
      </c>
      <c r="B1106" t="s">
        <v>503</v>
      </c>
      <c r="C1106">
        <v>119</v>
      </c>
      <c r="D1106" t="s">
        <v>340</v>
      </c>
      <c r="E1106">
        <v>4</v>
      </c>
      <c r="F1106">
        <v>0</v>
      </c>
      <c r="G1106">
        <v>3.3613445378151259E-2</v>
      </c>
      <c r="H1106">
        <f>(F1106+E1106)/C1106</f>
        <v>3.3613445378151259E-2</v>
      </c>
    </row>
    <row r="1107" spans="1:8" customFormat="1" hidden="1" x14ac:dyDescent="0.2">
      <c r="A1107">
        <v>114578</v>
      </c>
      <c r="B1107" t="s">
        <v>994</v>
      </c>
      <c r="C1107">
        <v>120</v>
      </c>
      <c r="D1107" t="s">
        <v>923</v>
      </c>
      <c r="E1107">
        <v>4</v>
      </c>
      <c r="F1107">
        <v>0</v>
      </c>
      <c r="G1107">
        <v>3.3333333333333333E-2</v>
      </c>
      <c r="H1107">
        <f>(F1107+E1107)/C1107</f>
        <v>3.3333333333333333E-2</v>
      </c>
    </row>
    <row r="1108" spans="1:8" customFormat="1" hidden="1" x14ac:dyDescent="0.2">
      <c r="A1108">
        <v>109744</v>
      </c>
      <c r="B1108" t="s">
        <v>495</v>
      </c>
      <c r="C1108">
        <v>1571</v>
      </c>
      <c r="D1108" t="s">
        <v>340</v>
      </c>
      <c r="E1108">
        <v>52</v>
      </c>
      <c r="F1108">
        <v>0</v>
      </c>
      <c r="G1108">
        <v>3.3099936346276247E-2</v>
      </c>
      <c r="H1108">
        <f>(F1108+E1108)/C1108</f>
        <v>3.3099936346276254E-2</v>
      </c>
    </row>
    <row r="1109" spans="1:8" customFormat="1" hidden="1" x14ac:dyDescent="0.2">
      <c r="A1109">
        <v>466490</v>
      </c>
      <c r="B1109" t="s">
        <v>284</v>
      </c>
      <c r="C1109">
        <v>152</v>
      </c>
      <c r="D1109" t="s">
        <v>48</v>
      </c>
      <c r="E1109">
        <v>0</v>
      </c>
      <c r="F1109">
        <v>5</v>
      </c>
      <c r="G1109">
        <v>0</v>
      </c>
      <c r="H1109">
        <f>(F1109+E1109)/C1109</f>
        <v>3.2894736842105261E-2</v>
      </c>
    </row>
    <row r="1110" spans="1:8" customFormat="1" hidden="1" x14ac:dyDescent="0.2">
      <c r="A1110">
        <v>189075</v>
      </c>
      <c r="B1110" t="s">
        <v>1041</v>
      </c>
      <c r="C1110">
        <v>183</v>
      </c>
      <c r="D1110" t="s">
        <v>923</v>
      </c>
      <c r="E1110">
        <v>3</v>
      </c>
      <c r="F1110">
        <v>3</v>
      </c>
      <c r="G1110">
        <v>1.6393442622950821E-2</v>
      </c>
      <c r="H1110">
        <f>(F1110+E1110)/C1110</f>
        <v>3.2786885245901641E-2</v>
      </c>
    </row>
    <row r="1111" spans="1:8" customFormat="1" hidden="1" x14ac:dyDescent="0.2">
      <c r="A1111">
        <v>105861</v>
      </c>
      <c r="B1111" t="s">
        <v>54</v>
      </c>
      <c r="C1111">
        <v>157</v>
      </c>
      <c r="D1111" t="s">
        <v>48</v>
      </c>
      <c r="E1111">
        <v>5</v>
      </c>
      <c r="F1111">
        <v>0</v>
      </c>
      <c r="G1111">
        <v>3.1847133757961783E-2</v>
      </c>
      <c r="H1111">
        <f>(F1111+E1111)/C1111</f>
        <v>3.1847133757961783E-2</v>
      </c>
    </row>
    <row r="1112" spans="1:8" customFormat="1" hidden="1" x14ac:dyDescent="0.2">
      <c r="A1112">
        <v>109319</v>
      </c>
      <c r="B1112" t="s">
        <v>107</v>
      </c>
      <c r="C1112">
        <v>65</v>
      </c>
      <c r="D1112" t="s">
        <v>48</v>
      </c>
      <c r="E1112">
        <v>1</v>
      </c>
      <c r="F1112">
        <v>1</v>
      </c>
      <c r="G1112">
        <v>1.5384615384615391E-2</v>
      </c>
      <c r="H1112">
        <f>(F1112+E1112)/C1112</f>
        <v>3.0769230769230771E-2</v>
      </c>
    </row>
    <row r="1113" spans="1:8" customFormat="1" hidden="1" x14ac:dyDescent="0.2">
      <c r="A1113">
        <v>110545</v>
      </c>
      <c r="B1113" t="s">
        <v>520</v>
      </c>
      <c r="C1113">
        <v>198</v>
      </c>
      <c r="D1113" t="s">
        <v>340</v>
      </c>
      <c r="E1113">
        <v>5</v>
      </c>
      <c r="F1113">
        <v>1</v>
      </c>
      <c r="G1113">
        <v>2.5252525252525249E-2</v>
      </c>
      <c r="H1113">
        <f>(F1113+E1113)/C1113</f>
        <v>3.0303030303030304E-2</v>
      </c>
    </row>
    <row r="1114" spans="1:8" customFormat="1" hidden="1" x14ac:dyDescent="0.2">
      <c r="A1114">
        <v>110737</v>
      </c>
      <c r="B1114" t="s">
        <v>527</v>
      </c>
      <c r="C1114">
        <v>138</v>
      </c>
      <c r="D1114" t="s">
        <v>340</v>
      </c>
      <c r="E1114">
        <v>0</v>
      </c>
      <c r="F1114">
        <v>4</v>
      </c>
      <c r="G1114">
        <v>0</v>
      </c>
      <c r="H1114">
        <f>(F1114+E1114)/C1114</f>
        <v>2.8985507246376812E-2</v>
      </c>
    </row>
    <row r="1115" spans="1:8" customFormat="1" hidden="1" x14ac:dyDescent="0.2">
      <c r="A1115">
        <v>109391</v>
      </c>
      <c r="B1115" t="s">
        <v>961</v>
      </c>
      <c r="C1115">
        <v>71</v>
      </c>
      <c r="D1115" t="s">
        <v>923</v>
      </c>
      <c r="E1115">
        <v>0</v>
      </c>
      <c r="F1115">
        <v>2</v>
      </c>
      <c r="G1115">
        <v>0</v>
      </c>
      <c r="H1115">
        <f>(F1115+E1115)/C1115</f>
        <v>2.8169014084507043E-2</v>
      </c>
    </row>
    <row r="1116" spans="1:8" customFormat="1" hidden="1" x14ac:dyDescent="0.2">
      <c r="A1116">
        <v>112180</v>
      </c>
      <c r="B1116" t="s">
        <v>126</v>
      </c>
      <c r="C1116">
        <v>190</v>
      </c>
      <c r="D1116" t="s">
        <v>48</v>
      </c>
      <c r="E1116">
        <v>5</v>
      </c>
      <c r="F1116">
        <v>0</v>
      </c>
      <c r="G1116">
        <v>2.6315789473684209E-2</v>
      </c>
      <c r="H1116">
        <f>(F1116+E1116)/C1116</f>
        <v>2.6315789473684209E-2</v>
      </c>
    </row>
    <row r="1117" spans="1:8" customFormat="1" hidden="1" x14ac:dyDescent="0.2">
      <c r="A1117">
        <v>513921</v>
      </c>
      <c r="B1117" t="s">
        <v>311</v>
      </c>
      <c r="C1117">
        <v>470</v>
      </c>
      <c r="D1117" t="s">
        <v>48</v>
      </c>
      <c r="E1117">
        <v>6</v>
      </c>
      <c r="F1117">
        <v>6</v>
      </c>
      <c r="G1117">
        <v>1.276595744680851E-2</v>
      </c>
      <c r="H1117">
        <f>(F1117+E1117)/C1117</f>
        <v>2.553191489361702E-2</v>
      </c>
    </row>
    <row r="1118" spans="1:8" customFormat="1" hidden="1" x14ac:dyDescent="0.2">
      <c r="A1118">
        <v>109686</v>
      </c>
      <c r="B1118" t="s">
        <v>490</v>
      </c>
      <c r="C1118">
        <v>165</v>
      </c>
      <c r="D1118" t="s">
        <v>340</v>
      </c>
      <c r="E1118">
        <v>4</v>
      </c>
      <c r="F1118">
        <v>0</v>
      </c>
      <c r="G1118">
        <v>2.4242424242424239E-2</v>
      </c>
      <c r="H1118">
        <f>(F1118+E1118)/C1118</f>
        <v>2.4242424242424242E-2</v>
      </c>
    </row>
    <row r="1119" spans="1:8" customFormat="1" hidden="1" x14ac:dyDescent="0.2">
      <c r="A1119">
        <v>107016</v>
      </c>
      <c r="B1119" t="s">
        <v>68</v>
      </c>
      <c r="C1119">
        <v>1201</v>
      </c>
      <c r="D1119" t="s">
        <v>48</v>
      </c>
      <c r="E1119">
        <v>22</v>
      </c>
      <c r="F1119">
        <v>7</v>
      </c>
      <c r="G1119">
        <v>1.8318068276436301E-2</v>
      </c>
      <c r="H1119">
        <f>(F1119+E1119)/C1119</f>
        <v>2.4146544546211492E-2</v>
      </c>
    </row>
    <row r="1120" spans="1:8" customFormat="1" hidden="1" x14ac:dyDescent="0.2">
      <c r="A1120">
        <v>116783</v>
      </c>
      <c r="B1120" t="s">
        <v>609</v>
      </c>
      <c r="C1120">
        <v>42</v>
      </c>
      <c r="D1120" t="s">
        <v>340</v>
      </c>
      <c r="E1120">
        <v>0</v>
      </c>
      <c r="F1120">
        <v>1</v>
      </c>
      <c r="G1120">
        <v>0</v>
      </c>
      <c r="H1120">
        <f>(F1120+E1120)/C1120</f>
        <v>2.3809523809523808E-2</v>
      </c>
    </row>
    <row r="1121" spans="1:8" customFormat="1" hidden="1" x14ac:dyDescent="0.2">
      <c r="A1121">
        <v>106262</v>
      </c>
      <c r="B1121" t="s">
        <v>41</v>
      </c>
      <c r="C1121">
        <v>96</v>
      </c>
      <c r="D1121" t="s">
        <v>42</v>
      </c>
      <c r="E1121">
        <v>1</v>
      </c>
      <c r="F1121">
        <v>1</v>
      </c>
      <c r="G1121">
        <v>1.041666666666667E-2</v>
      </c>
      <c r="H1121">
        <f>(F1121+E1121)/C1121</f>
        <v>2.0833333333333332E-2</v>
      </c>
    </row>
    <row r="1122" spans="1:8" customFormat="1" hidden="1" x14ac:dyDescent="0.2">
      <c r="A1122">
        <v>158758</v>
      </c>
      <c r="B1122" t="s">
        <v>691</v>
      </c>
      <c r="C1122">
        <v>53</v>
      </c>
      <c r="D1122" t="s">
        <v>340</v>
      </c>
      <c r="E1122">
        <v>1</v>
      </c>
      <c r="F1122">
        <v>0</v>
      </c>
      <c r="G1122">
        <v>1.886792452830189E-2</v>
      </c>
      <c r="H1122">
        <f>(F1122+E1122)/C1122</f>
        <v>1.8867924528301886E-2</v>
      </c>
    </row>
    <row r="1123" spans="1:8" customFormat="1" hidden="1" x14ac:dyDescent="0.2">
      <c r="A1123">
        <v>109007</v>
      </c>
      <c r="B1123" t="s">
        <v>958</v>
      </c>
      <c r="C1123">
        <v>54</v>
      </c>
      <c r="D1123" t="s">
        <v>923</v>
      </c>
      <c r="E1123">
        <v>1</v>
      </c>
      <c r="F1123">
        <v>0</v>
      </c>
      <c r="G1123">
        <v>1.8518518518518521E-2</v>
      </c>
      <c r="H1123">
        <f>(F1123+E1123)/C1123</f>
        <v>1.8518518518518517E-2</v>
      </c>
    </row>
    <row r="1124" spans="1:8" customFormat="1" hidden="1" x14ac:dyDescent="0.2">
      <c r="A1124">
        <v>109117</v>
      </c>
      <c r="B1124" t="s">
        <v>102</v>
      </c>
      <c r="C1124">
        <v>448</v>
      </c>
      <c r="D1124" t="s">
        <v>48</v>
      </c>
      <c r="E1124">
        <v>8</v>
      </c>
      <c r="F1124">
        <v>0</v>
      </c>
      <c r="G1124">
        <v>1.785714285714286E-2</v>
      </c>
      <c r="H1124">
        <f>(F1124+E1124)/C1124</f>
        <v>1.7857142857142856E-2</v>
      </c>
    </row>
    <row r="1125" spans="1:8" customFormat="1" hidden="1" x14ac:dyDescent="0.2">
      <c r="A1125">
        <v>108461</v>
      </c>
      <c r="B1125" t="s">
        <v>84</v>
      </c>
      <c r="C1125">
        <v>65</v>
      </c>
      <c r="D1125" t="s">
        <v>48</v>
      </c>
      <c r="E1125">
        <v>1</v>
      </c>
      <c r="F1125">
        <v>0</v>
      </c>
      <c r="G1125">
        <v>1.5384615384615391E-2</v>
      </c>
      <c r="H1125">
        <f>(F1125+E1125)/C1125</f>
        <v>1.5384615384615385E-2</v>
      </c>
    </row>
    <row r="1126" spans="1:8" customFormat="1" hidden="1" x14ac:dyDescent="0.2">
      <c r="A1126">
        <v>110572</v>
      </c>
      <c r="B1126" t="s">
        <v>19</v>
      </c>
      <c r="C1126">
        <v>132</v>
      </c>
      <c r="D1126" t="s">
        <v>8</v>
      </c>
      <c r="E1126">
        <v>0</v>
      </c>
      <c r="F1126">
        <v>2</v>
      </c>
      <c r="G1126">
        <v>0</v>
      </c>
      <c r="H1126">
        <f>(F1126+E1126)/C1126</f>
        <v>1.5151515151515152E-2</v>
      </c>
    </row>
    <row r="1127" spans="1:8" customFormat="1" hidden="1" x14ac:dyDescent="0.2">
      <c r="A1127">
        <v>305596</v>
      </c>
      <c r="B1127" t="s">
        <v>246</v>
      </c>
      <c r="C1127">
        <v>70</v>
      </c>
      <c r="D1127" t="s">
        <v>48</v>
      </c>
      <c r="E1127">
        <v>1</v>
      </c>
      <c r="F1127">
        <v>0</v>
      </c>
      <c r="G1127">
        <v>1.428571428571429E-2</v>
      </c>
      <c r="H1127">
        <f>(F1127+E1127)/C1127</f>
        <v>1.4285714285714285E-2</v>
      </c>
    </row>
    <row r="1128" spans="1:8" customFormat="1" hidden="1" x14ac:dyDescent="0.2">
      <c r="A1128">
        <v>109208</v>
      </c>
      <c r="B1128" t="s">
        <v>473</v>
      </c>
      <c r="C1128">
        <v>1200</v>
      </c>
      <c r="D1128" t="s">
        <v>340</v>
      </c>
      <c r="E1128">
        <v>4</v>
      </c>
      <c r="F1128">
        <v>13</v>
      </c>
      <c r="G1128">
        <v>3.333333333333334E-3</v>
      </c>
      <c r="H1128">
        <f>(F1128+E1128)/C1128</f>
        <v>1.4166666666666666E-2</v>
      </c>
    </row>
    <row r="1129" spans="1:8" customFormat="1" hidden="1" x14ac:dyDescent="0.2">
      <c r="A1129">
        <v>116549</v>
      </c>
      <c r="B1129" t="s">
        <v>156</v>
      </c>
      <c r="C1129">
        <v>144</v>
      </c>
      <c r="D1129" t="s">
        <v>48</v>
      </c>
      <c r="E1129">
        <v>0</v>
      </c>
      <c r="F1129">
        <v>2</v>
      </c>
      <c r="G1129">
        <v>0</v>
      </c>
      <c r="H1129">
        <f>(F1129+E1129)/C1129</f>
        <v>1.3888888888888888E-2</v>
      </c>
    </row>
    <row r="1130" spans="1:8" customFormat="1" hidden="1" x14ac:dyDescent="0.2">
      <c r="A1130">
        <v>106932</v>
      </c>
      <c r="B1130" t="s">
        <v>65</v>
      </c>
      <c r="C1130">
        <v>145</v>
      </c>
      <c r="D1130" t="s">
        <v>48</v>
      </c>
      <c r="E1130">
        <v>0</v>
      </c>
      <c r="F1130">
        <v>2</v>
      </c>
      <c r="G1130">
        <v>0</v>
      </c>
      <c r="H1130">
        <f>(F1130+E1130)/C1130</f>
        <v>1.3793103448275862E-2</v>
      </c>
    </row>
    <row r="1131" spans="1:8" customFormat="1" hidden="1" x14ac:dyDescent="0.2">
      <c r="A1131">
        <v>106477</v>
      </c>
      <c r="B1131" t="s">
        <v>365</v>
      </c>
      <c r="C1131">
        <v>158</v>
      </c>
      <c r="D1131" t="s">
        <v>340</v>
      </c>
      <c r="E1131">
        <v>2</v>
      </c>
      <c r="F1131">
        <v>0</v>
      </c>
      <c r="G1131">
        <v>1.2658227848101271E-2</v>
      </c>
      <c r="H1131">
        <f>(F1131+E1131)/C1131</f>
        <v>1.2658227848101266E-2</v>
      </c>
    </row>
    <row r="1132" spans="1:8" customFormat="1" hidden="1" x14ac:dyDescent="0.2">
      <c r="A1132">
        <v>107894</v>
      </c>
      <c r="B1132" t="s">
        <v>942</v>
      </c>
      <c r="C1132">
        <v>82</v>
      </c>
      <c r="D1132" t="s">
        <v>923</v>
      </c>
      <c r="E1132">
        <v>1</v>
      </c>
      <c r="F1132">
        <v>0</v>
      </c>
      <c r="G1132">
        <v>1.2195121951219509E-2</v>
      </c>
      <c r="H1132">
        <f>(F1132+E1132)/C1132</f>
        <v>1.2195121951219513E-2</v>
      </c>
    </row>
    <row r="1133" spans="1:8" customFormat="1" hidden="1" x14ac:dyDescent="0.2">
      <c r="A1133">
        <v>305888</v>
      </c>
      <c r="B1133" t="s">
        <v>248</v>
      </c>
      <c r="C1133">
        <v>252</v>
      </c>
      <c r="D1133" t="s">
        <v>48</v>
      </c>
      <c r="E1133">
        <v>1</v>
      </c>
      <c r="F1133">
        <v>2</v>
      </c>
      <c r="G1133">
        <v>3.968253968253968E-3</v>
      </c>
      <c r="H1133">
        <f>(F1133+E1133)/C1133</f>
        <v>1.1904761904761904E-2</v>
      </c>
    </row>
    <row r="1134" spans="1:8" customFormat="1" hidden="1" x14ac:dyDescent="0.2">
      <c r="A1134" t="s">
        <v>327</v>
      </c>
      <c r="B1134" t="s">
        <v>328</v>
      </c>
      <c r="C1134">
        <v>5316</v>
      </c>
      <c r="D1134" t="s">
        <v>48</v>
      </c>
      <c r="E1134">
        <v>41</v>
      </c>
      <c r="F1134">
        <v>20</v>
      </c>
      <c r="G1134">
        <v>7.7125658389766739E-3</v>
      </c>
      <c r="H1134">
        <f>(F1134+E1134)/C1134</f>
        <v>1.147479307750188E-2</v>
      </c>
    </row>
    <row r="1135" spans="1:8" customFormat="1" hidden="1" x14ac:dyDescent="0.2">
      <c r="A1135">
        <v>465572</v>
      </c>
      <c r="B1135" t="s">
        <v>828</v>
      </c>
      <c r="C1135">
        <v>99</v>
      </c>
      <c r="D1135" t="s">
        <v>340</v>
      </c>
      <c r="E1135">
        <v>1</v>
      </c>
      <c r="F1135">
        <v>0</v>
      </c>
      <c r="G1135">
        <v>1.01010101010101E-2</v>
      </c>
      <c r="H1135">
        <f>(F1135+E1135)/C1135</f>
        <v>1.0101010101010102E-2</v>
      </c>
    </row>
    <row r="1136" spans="1:8" customFormat="1" hidden="1" x14ac:dyDescent="0.2">
      <c r="A1136" t="s">
        <v>325</v>
      </c>
      <c r="B1136" t="s">
        <v>326</v>
      </c>
      <c r="C1136">
        <v>8800</v>
      </c>
      <c r="D1136" t="s">
        <v>48</v>
      </c>
      <c r="E1136">
        <v>62</v>
      </c>
      <c r="F1136">
        <v>23</v>
      </c>
      <c r="G1136">
        <v>7.0454545454545457E-3</v>
      </c>
      <c r="H1136">
        <f>(F1136+E1136)/C1136</f>
        <v>9.6590909090909088E-3</v>
      </c>
    </row>
    <row r="1137" spans="1:8" customFormat="1" hidden="1" x14ac:dyDescent="0.2">
      <c r="A1137">
        <v>108523</v>
      </c>
      <c r="B1137" t="s">
        <v>951</v>
      </c>
      <c r="C1137">
        <v>105</v>
      </c>
      <c r="D1137" t="s">
        <v>923</v>
      </c>
      <c r="E1137">
        <v>1</v>
      </c>
      <c r="F1137">
        <v>0</v>
      </c>
      <c r="G1137">
        <v>9.5238095238095247E-3</v>
      </c>
      <c r="H1137">
        <f>(F1137+E1137)/C1137</f>
        <v>9.5238095238095247E-3</v>
      </c>
    </row>
    <row r="1138" spans="1:8" customFormat="1" hidden="1" x14ac:dyDescent="0.2">
      <c r="A1138">
        <v>112056</v>
      </c>
      <c r="B1138" t="s">
        <v>124</v>
      </c>
      <c r="C1138">
        <v>314</v>
      </c>
      <c r="D1138" t="s">
        <v>48</v>
      </c>
      <c r="E1138">
        <v>2</v>
      </c>
      <c r="F1138">
        <v>0</v>
      </c>
      <c r="G1138">
        <v>6.369426751592357E-3</v>
      </c>
      <c r="H1138">
        <f>(F1138+E1138)/C1138</f>
        <v>6.369426751592357E-3</v>
      </c>
    </row>
    <row r="1139" spans="1:8" customFormat="1" hidden="1" x14ac:dyDescent="0.2">
      <c r="A1139">
        <v>113498</v>
      </c>
      <c r="B1139" t="s">
        <v>141</v>
      </c>
      <c r="C1139">
        <v>160</v>
      </c>
      <c r="D1139" t="s">
        <v>48</v>
      </c>
      <c r="E1139">
        <v>0</v>
      </c>
      <c r="F1139">
        <v>1</v>
      </c>
      <c r="G1139">
        <v>0</v>
      </c>
      <c r="H1139">
        <f>(F1139+E1139)/C1139</f>
        <v>6.2500000000000003E-3</v>
      </c>
    </row>
    <row r="1140" spans="1:8" customFormat="1" hidden="1" x14ac:dyDescent="0.2">
      <c r="A1140">
        <v>154321</v>
      </c>
      <c r="B1140" t="s">
        <v>197</v>
      </c>
      <c r="C1140">
        <v>400</v>
      </c>
      <c r="D1140" t="s">
        <v>48</v>
      </c>
      <c r="E1140">
        <v>0</v>
      </c>
      <c r="F1140">
        <v>2</v>
      </c>
      <c r="G1140">
        <v>0</v>
      </c>
      <c r="H1140">
        <f>(F1140+E1140)/C1140</f>
        <v>5.0000000000000001E-3</v>
      </c>
    </row>
    <row r="1141" spans="1:8" customFormat="1" hidden="1" x14ac:dyDescent="0.2">
      <c r="A1141">
        <v>158327</v>
      </c>
      <c r="B1141" t="s">
        <v>688</v>
      </c>
      <c r="C1141">
        <v>323</v>
      </c>
      <c r="D1141" t="s">
        <v>340</v>
      </c>
      <c r="E1141">
        <v>1</v>
      </c>
      <c r="F1141">
        <v>0</v>
      </c>
      <c r="G1141">
        <v>3.095975232198143E-3</v>
      </c>
      <c r="H1141">
        <f>(F1141+E1141)/C1141</f>
        <v>3.0959752321981426E-3</v>
      </c>
    </row>
    <row r="1142" spans="1:8" customFormat="1" hidden="1" x14ac:dyDescent="0.2">
      <c r="A1142">
        <v>143890</v>
      </c>
      <c r="B1142" t="s">
        <v>660</v>
      </c>
      <c r="C1142">
        <v>670</v>
      </c>
      <c r="D1142" t="s">
        <v>340</v>
      </c>
      <c r="E1142">
        <v>2</v>
      </c>
      <c r="F1142">
        <v>0</v>
      </c>
      <c r="G1142">
        <v>2.9850746268656721E-3</v>
      </c>
      <c r="H1142">
        <f>(F1142+E1142)/C1142</f>
        <v>2.9850746268656717E-3</v>
      </c>
    </row>
    <row r="1143" spans="1:8" customFormat="1" hidden="1" x14ac:dyDescent="0.2">
      <c r="A1143">
        <v>106509</v>
      </c>
      <c r="B1143" t="s">
        <v>367</v>
      </c>
      <c r="C1143">
        <v>341</v>
      </c>
      <c r="D1143" t="s">
        <v>340</v>
      </c>
      <c r="E1143">
        <v>1</v>
      </c>
      <c r="F1143">
        <v>0</v>
      </c>
      <c r="G1143">
        <v>2.9325513196480938E-3</v>
      </c>
      <c r="H1143">
        <f>(F1143+E1143)/C1143</f>
        <v>2.9325513196480938E-3</v>
      </c>
    </row>
    <row r="1144" spans="1:8" customFormat="1" hidden="1" x14ac:dyDescent="0.2">
      <c r="A1144">
        <v>319698</v>
      </c>
      <c r="B1144" t="s">
        <v>780</v>
      </c>
      <c r="C1144">
        <v>2037</v>
      </c>
      <c r="D1144" t="s">
        <v>340</v>
      </c>
      <c r="E1144">
        <v>5</v>
      </c>
      <c r="F1144">
        <v>0</v>
      </c>
      <c r="G1144">
        <v>2.4545900834560628E-3</v>
      </c>
      <c r="H1144">
        <f>(F1144+E1144)/C1144</f>
        <v>2.4545900834560628E-3</v>
      </c>
    </row>
    <row r="1145" spans="1:8" customFormat="1" hidden="1" x14ac:dyDescent="0.2">
      <c r="A1145">
        <v>106844</v>
      </c>
      <c r="B1145" t="s">
        <v>387</v>
      </c>
      <c r="C1145">
        <v>456</v>
      </c>
      <c r="D1145" t="s">
        <v>340</v>
      </c>
      <c r="E1145">
        <v>0</v>
      </c>
      <c r="F1145">
        <v>1</v>
      </c>
      <c r="G1145">
        <v>0</v>
      </c>
      <c r="H1145">
        <f>(F1145+E1145)/C1145</f>
        <v>2.1929824561403508E-3</v>
      </c>
    </row>
    <row r="1146" spans="1:8" customFormat="1" hidden="1" x14ac:dyDescent="0.2">
      <c r="A1146">
        <v>107911</v>
      </c>
      <c r="B1146" t="s">
        <v>418</v>
      </c>
      <c r="C1146">
        <v>1312</v>
      </c>
      <c r="D1146" t="s">
        <v>340</v>
      </c>
      <c r="E1146">
        <v>2</v>
      </c>
      <c r="F1146">
        <v>0</v>
      </c>
      <c r="G1146">
        <v>1.5243902439024391E-3</v>
      </c>
      <c r="H1146">
        <f>(F1146+E1146)/C1146</f>
        <v>1.5243902439024391E-3</v>
      </c>
    </row>
  </sheetData>
  <autoFilter ref="A1:I1146" xr:uid="{00000000-0001-0000-0000-000000000000}">
    <filterColumn colId="1">
      <colorFilter dxfId="0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6D2D0-9C54-2542-9FAD-3E39261539AE}">
  <dimension ref="A1:I32"/>
  <sheetViews>
    <sheetView workbookViewId="0">
      <selection activeCell="E36" sqref="E36"/>
    </sheetView>
  </sheetViews>
  <sheetFormatPr baseColWidth="10" defaultRowHeight="15" x14ac:dyDescent="0.2"/>
  <cols>
    <col min="2" max="2" width="37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1199</v>
      </c>
      <c r="I1" s="5" t="s">
        <v>1198</v>
      </c>
    </row>
    <row r="2" spans="1:9" ht="16" x14ac:dyDescent="0.2">
      <c r="A2">
        <v>112474</v>
      </c>
      <c r="B2" s="4" t="s">
        <v>551</v>
      </c>
      <c r="C2">
        <v>950</v>
      </c>
      <c r="D2" t="s">
        <v>340</v>
      </c>
      <c r="E2">
        <v>1373</v>
      </c>
      <c r="F2" s="2">
        <v>1201</v>
      </c>
      <c r="G2">
        <v>1.445263157894737</v>
      </c>
      <c r="H2">
        <v>52</v>
      </c>
      <c r="I2">
        <v>0</v>
      </c>
    </row>
    <row r="3" spans="1:9" ht="16" x14ac:dyDescent="0.2">
      <c r="A3">
        <v>109182</v>
      </c>
      <c r="B3" s="4" t="s">
        <v>103</v>
      </c>
      <c r="C3">
        <v>1156</v>
      </c>
      <c r="D3" t="s">
        <v>48</v>
      </c>
      <c r="E3">
        <v>1664</v>
      </c>
      <c r="F3" s="2">
        <v>1673</v>
      </c>
      <c r="G3">
        <v>1.439446366782007</v>
      </c>
      <c r="H3">
        <v>70</v>
      </c>
      <c r="I3">
        <v>0</v>
      </c>
    </row>
    <row r="4" spans="1:9" ht="16" x14ac:dyDescent="0.2">
      <c r="A4">
        <v>109867</v>
      </c>
      <c r="B4" s="4" t="s">
        <v>500</v>
      </c>
      <c r="C4">
        <v>558</v>
      </c>
      <c r="D4" t="s">
        <v>340</v>
      </c>
      <c r="E4">
        <v>719</v>
      </c>
      <c r="F4" s="2">
        <v>74</v>
      </c>
      <c r="G4">
        <v>1.2885304659498209</v>
      </c>
      <c r="H4">
        <v>118</v>
      </c>
      <c r="I4">
        <v>0</v>
      </c>
    </row>
    <row r="5" spans="1:9" ht="16" x14ac:dyDescent="0.2">
      <c r="A5">
        <v>127250</v>
      </c>
      <c r="B5" s="4" t="s">
        <v>45</v>
      </c>
      <c r="C5">
        <v>625</v>
      </c>
      <c r="D5" t="s">
        <v>42</v>
      </c>
      <c r="E5">
        <v>732</v>
      </c>
      <c r="F5" s="2">
        <v>143</v>
      </c>
      <c r="G5">
        <v>1.1712</v>
      </c>
      <c r="H5">
        <v>205.5</v>
      </c>
      <c r="I5">
        <v>0</v>
      </c>
    </row>
    <row r="6" spans="1:9" ht="16" x14ac:dyDescent="0.2">
      <c r="A6">
        <v>112129</v>
      </c>
      <c r="B6" s="4" t="s">
        <v>541</v>
      </c>
      <c r="C6">
        <v>538</v>
      </c>
      <c r="D6" t="s">
        <v>340</v>
      </c>
      <c r="E6">
        <v>577</v>
      </c>
      <c r="F6" s="2">
        <v>44</v>
      </c>
      <c r="G6">
        <v>1.0724907063197029</v>
      </c>
      <c r="H6">
        <v>230</v>
      </c>
      <c r="I6">
        <v>0</v>
      </c>
    </row>
    <row r="7" spans="1:9" ht="16" x14ac:dyDescent="0.2">
      <c r="A7">
        <v>126746</v>
      </c>
      <c r="B7" s="4" t="s">
        <v>631</v>
      </c>
      <c r="C7">
        <v>516</v>
      </c>
      <c r="D7" t="s">
        <v>340</v>
      </c>
      <c r="E7">
        <v>530</v>
      </c>
      <c r="F7" s="2">
        <v>49</v>
      </c>
      <c r="G7">
        <v>1.027131782945736</v>
      </c>
      <c r="H7">
        <v>244</v>
      </c>
      <c r="I7">
        <v>0</v>
      </c>
    </row>
    <row r="8" spans="1:9" ht="16" x14ac:dyDescent="0.2">
      <c r="A8">
        <v>165629</v>
      </c>
      <c r="B8" s="4" t="s">
        <v>212</v>
      </c>
      <c r="C8">
        <v>535</v>
      </c>
      <c r="D8" t="s">
        <v>48</v>
      </c>
      <c r="E8">
        <v>555</v>
      </c>
      <c r="F8" s="2">
        <v>44</v>
      </c>
      <c r="G8">
        <v>1.037383177570093</v>
      </c>
      <c r="H8">
        <v>247.5</v>
      </c>
      <c r="I8">
        <v>0</v>
      </c>
    </row>
    <row r="9" spans="1:9" ht="16" x14ac:dyDescent="0.2">
      <c r="A9">
        <v>108658</v>
      </c>
      <c r="B9" s="4" t="s">
        <v>456</v>
      </c>
      <c r="C9">
        <v>1532</v>
      </c>
      <c r="D9" t="s">
        <v>340</v>
      </c>
      <c r="E9">
        <v>2030</v>
      </c>
      <c r="F9" s="2">
        <v>90</v>
      </c>
      <c r="G9">
        <v>1.3250652741514359</v>
      </c>
      <c r="H9">
        <v>268</v>
      </c>
      <c r="I9">
        <v>0</v>
      </c>
    </row>
    <row r="10" spans="1:9" ht="16" x14ac:dyDescent="0.2">
      <c r="A10">
        <v>145058</v>
      </c>
      <c r="B10" s="4" t="s">
        <v>1022</v>
      </c>
      <c r="C10">
        <v>621</v>
      </c>
      <c r="D10" t="s">
        <v>923</v>
      </c>
      <c r="E10">
        <v>634</v>
      </c>
      <c r="F10" s="2">
        <v>859</v>
      </c>
      <c r="G10">
        <v>1.0209339774557169</v>
      </c>
      <c r="H10">
        <v>297.5</v>
      </c>
      <c r="I10">
        <v>0</v>
      </c>
    </row>
    <row r="11" spans="1:9" ht="16" x14ac:dyDescent="0.2">
      <c r="A11">
        <v>323664</v>
      </c>
      <c r="B11" s="4" t="s">
        <v>790</v>
      </c>
      <c r="C11">
        <v>1240</v>
      </c>
      <c r="D11" t="s">
        <v>340</v>
      </c>
      <c r="E11">
        <v>1497</v>
      </c>
      <c r="F11" s="2">
        <v>627</v>
      </c>
      <c r="G11">
        <v>1.207258064516129</v>
      </c>
      <c r="H11">
        <v>363</v>
      </c>
      <c r="I11">
        <v>0</v>
      </c>
    </row>
    <row r="12" spans="1:9" ht="16" x14ac:dyDescent="0.2">
      <c r="A12">
        <v>114073</v>
      </c>
      <c r="B12" s="4" t="s">
        <v>584</v>
      </c>
      <c r="C12">
        <v>1328</v>
      </c>
      <c r="D12" t="s">
        <v>340</v>
      </c>
      <c r="E12">
        <v>1557</v>
      </c>
      <c r="F12" s="2">
        <v>371</v>
      </c>
      <c r="G12">
        <v>1.1724397590361451</v>
      </c>
      <c r="H12">
        <v>435</v>
      </c>
      <c r="I12">
        <v>0</v>
      </c>
    </row>
    <row r="13" spans="1:9" ht="16" x14ac:dyDescent="0.2">
      <c r="A13">
        <v>108541</v>
      </c>
      <c r="B13" s="4" t="s">
        <v>451</v>
      </c>
      <c r="C13">
        <v>2325</v>
      </c>
      <c r="D13" t="s">
        <v>340</v>
      </c>
      <c r="E13">
        <v>2917</v>
      </c>
      <c r="F13" s="2">
        <v>1947</v>
      </c>
      <c r="G13">
        <v>1.254623655913979</v>
      </c>
      <c r="H13">
        <v>570.5</v>
      </c>
      <c r="I13">
        <v>0</v>
      </c>
    </row>
    <row r="14" spans="1:9" ht="16" x14ac:dyDescent="0.2">
      <c r="A14">
        <v>108086</v>
      </c>
      <c r="B14" s="4" t="s">
        <v>945</v>
      </c>
      <c r="C14">
        <v>1365</v>
      </c>
      <c r="D14" t="s">
        <v>923</v>
      </c>
      <c r="E14">
        <v>1367</v>
      </c>
      <c r="F14" s="2">
        <v>461</v>
      </c>
      <c r="G14">
        <v>1.001465201465201</v>
      </c>
      <c r="H14">
        <v>680.5</v>
      </c>
      <c r="I14">
        <v>0</v>
      </c>
    </row>
    <row r="15" spans="1:9" ht="16" x14ac:dyDescent="0.2">
      <c r="A15">
        <v>105785</v>
      </c>
      <c r="B15" s="4" t="s">
        <v>353</v>
      </c>
      <c r="C15">
        <v>1993</v>
      </c>
      <c r="D15" t="s">
        <v>340</v>
      </c>
      <c r="E15">
        <v>2213</v>
      </c>
      <c r="F15" s="2">
        <v>109</v>
      </c>
      <c r="G15">
        <v>1.110386352232815</v>
      </c>
      <c r="H15">
        <v>776.5</v>
      </c>
      <c r="I15">
        <v>0</v>
      </c>
    </row>
    <row r="16" spans="1:9" ht="16" x14ac:dyDescent="0.2">
      <c r="A16">
        <v>105469</v>
      </c>
      <c r="B16" s="3" t="s">
        <v>343</v>
      </c>
      <c r="C16">
        <v>950</v>
      </c>
      <c r="D16" t="s">
        <v>340</v>
      </c>
      <c r="E16">
        <v>4462</v>
      </c>
      <c r="F16">
        <v>18</v>
      </c>
      <c r="G16" s="2">
        <v>4.6968421052631566</v>
      </c>
      <c r="H16">
        <v>0</v>
      </c>
      <c r="I16">
        <v>18</v>
      </c>
    </row>
    <row r="17" spans="1:9" ht="16" x14ac:dyDescent="0.2">
      <c r="A17">
        <v>113118</v>
      </c>
      <c r="B17" s="3" t="s">
        <v>568</v>
      </c>
      <c r="C17">
        <v>1458</v>
      </c>
      <c r="D17" t="s">
        <v>340</v>
      </c>
      <c r="E17">
        <v>3529</v>
      </c>
      <c r="F17">
        <v>0</v>
      </c>
      <c r="G17" s="2">
        <v>2.4204389574759939</v>
      </c>
      <c r="H17">
        <v>0</v>
      </c>
      <c r="I17">
        <v>36</v>
      </c>
    </row>
    <row r="18" spans="1:9" ht="16" x14ac:dyDescent="0.2">
      <c r="A18">
        <v>113599</v>
      </c>
      <c r="B18" s="3" t="s">
        <v>583</v>
      </c>
      <c r="C18">
        <v>655</v>
      </c>
      <c r="D18" t="s">
        <v>340</v>
      </c>
      <c r="E18">
        <v>2266</v>
      </c>
      <c r="F18">
        <v>7</v>
      </c>
      <c r="G18" s="2">
        <v>3.4595419847328239</v>
      </c>
      <c r="H18">
        <v>0</v>
      </c>
      <c r="I18">
        <v>29</v>
      </c>
    </row>
    <row r="19" spans="1:9" ht="16" x14ac:dyDescent="0.2">
      <c r="A19">
        <v>113410</v>
      </c>
      <c r="B19" s="3" t="s">
        <v>139</v>
      </c>
      <c r="C19">
        <v>552</v>
      </c>
      <c r="D19" t="s">
        <v>48</v>
      </c>
      <c r="E19">
        <v>2059</v>
      </c>
      <c r="F19">
        <v>2</v>
      </c>
      <c r="G19" s="2">
        <v>3.7300724637681162</v>
      </c>
      <c r="H19">
        <v>0</v>
      </c>
      <c r="I19">
        <v>34</v>
      </c>
    </row>
    <row r="20" spans="1:9" ht="16" x14ac:dyDescent="0.2">
      <c r="A20">
        <v>107092</v>
      </c>
      <c r="B20" s="3" t="s">
        <v>395</v>
      </c>
      <c r="C20">
        <v>570</v>
      </c>
      <c r="D20" t="s">
        <v>340</v>
      </c>
      <c r="E20">
        <v>1469</v>
      </c>
      <c r="F20">
        <v>16</v>
      </c>
      <c r="G20" s="2">
        <v>2.5771929824561401</v>
      </c>
      <c r="H20">
        <v>0</v>
      </c>
      <c r="I20">
        <v>20</v>
      </c>
    </row>
    <row r="21" spans="1:9" ht="16" x14ac:dyDescent="0.2">
      <c r="A21">
        <v>108787</v>
      </c>
      <c r="B21" s="3" t="s">
        <v>458</v>
      </c>
      <c r="C21">
        <v>718</v>
      </c>
      <c r="D21" t="s">
        <v>340</v>
      </c>
      <c r="E21">
        <v>807</v>
      </c>
      <c r="F21">
        <v>13</v>
      </c>
      <c r="G21">
        <v>1.123955431754875</v>
      </c>
      <c r="H21">
        <v>270</v>
      </c>
      <c r="I21">
        <v>23</v>
      </c>
    </row>
    <row r="22" spans="1:9" ht="16" x14ac:dyDescent="0.2">
      <c r="A22">
        <v>114601</v>
      </c>
      <c r="B22" s="2" t="s">
        <v>588</v>
      </c>
      <c r="C22">
        <v>2194</v>
      </c>
      <c r="D22" t="s">
        <v>340</v>
      </c>
      <c r="E22">
        <v>5254</v>
      </c>
      <c r="F22" s="2">
        <v>7810</v>
      </c>
      <c r="G22" s="2">
        <v>2.3947128532360979</v>
      </c>
      <c r="H22">
        <v>0</v>
      </c>
      <c r="I22">
        <v>0</v>
      </c>
    </row>
    <row r="23" spans="1:9" ht="16" x14ac:dyDescent="0.2">
      <c r="A23">
        <v>106372</v>
      </c>
      <c r="B23" s="2" t="s">
        <v>925</v>
      </c>
      <c r="C23">
        <v>650</v>
      </c>
      <c r="D23" t="s">
        <v>923</v>
      </c>
      <c r="E23">
        <v>2765</v>
      </c>
      <c r="F23" s="2">
        <v>61</v>
      </c>
      <c r="G23" s="2">
        <v>4.2538461538461538</v>
      </c>
      <c r="H23">
        <v>0</v>
      </c>
      <c r="I23">
        <v>0</v>
      </c>
    </row>
    <row r="24" spans="1:9" ht="16" x14ac:dyDescent="0.2">
      <c r="A24">
        <v>107750</v>
      </c>
      <c r="B24" s="2" t="s">
        <v>413</v>
      </c>
      <c r="C24">
        <v>745</v>
      </c>
      <c r="D24" t="s">
        <v>340</v>
      </c>
      <c r="E24">
        <v>2252</v>
      </c>
      <c r="F24" s="2">
        <v>266</v>
      </c>
      <c r="G24" s="2">
        <v>3.022818791946309</v>
      </c>
      <c r="H24">
        <v>0</v>
      </c>
      <c r="I24">
        <v>0</v>
      </c>
    </row>
    <row r="25" spans="1:9" ht="16" x14ac:dyDescent="0.2">
      <c r="A25">
        <v>116660</v>
      </c>
      <c r="B25" s="2" t="s">
        <v>608</v>
      </c>
      <c r="C25">
        <v>1335</v>
      </c>
      <c r="D25" t="s">
        <v>340</v>
      </c>
      <c r="E25">
        <v>3109</v>
      </c>
      <c r="F25" s="2">
        <v>4606</v>
      </c>
      <c r="G25" s="2">
        <v>2.3288389513108609</v>
      </c>
      <c r="H25">
        <v>0</v>
      </c>
      <c r="I25">
        <v>0</v>
      </c>
    </row>
    <row r="26" spans="1:9" ht="16" x14ac:dyDescent="0.2">
      <c r="A26">
        <v>124496</v>
      </c>
      <c r="B26" s="2" t="s">
        <v>623</v>
      </c>
      <c r="C26">
        <v>992</v>
      </c>
      <c r="D26" t="s">
        <v>340</v>
      </c>
      <c r="E26">
        <v>2222</v>
      </c>
      <c r="F26" s="2">
        <v>1255</v>
      </c>
      <c r="G26" s="2">
        <v>2.23991935483871</v>
      </c>
      <c r="H26">
        <v>0</v>
      </c>
      <c r="I26">
        <v>0</v>
      </c>
    </row>
    <row r="27" spans="1:9" ht="16" x14ac:dyDescent="0.2">
      <c r="A27">
        <v>110637</v>
      </c>
      <c r="B27" s="2" t="s">
        <v>524</v>
      </c>
      <c r="C27">
        <v>505</v>
      </c>
      <c r="D27" t="s">
        <v>340</v>
      </c>
      <c r="E27">
        <v>1489</v>
      </c>
      <c r="F27" s="2">
        <v>120</v>
      </c>
      <c r="G27" s="2">
        <v>2.948514851485148</v>
      </c>
      <c r="H27">
        <v>0</v>
      </c>
      <c r="I27">
        <v>0</v>
      </c>
    </row>
    <row r="28" spans="1:9" ht="16" x14ac:dyDescent="0.2">
      <c r="A28">
        <v>106522</v>
      </c>
      <c r="B28" s="2" t="s">
        <v>369</v>
      </c>
      <c r="C28">
        <v>690</v>
      </c>
      <c r="D28" t="s">
        <v>340</v>
      </c>
      <c r="E28">
        <v>1680</v>
      </c>
      <c r="F28" s="2">
        <v>44</v>
      </c>
      <c r="G28" s="2">
        <v>2.4347826086956519</v>
      </c>
      <c r="H28">
        <v>0</v>
      </c>
      <c r="I28">
        <v>0</v>
      </c>
    </row>
    <row r="29" spans="1:9" ht="16" x14ac:dyDescent="0.2">
      <c r="A29">
        <v>108050</v>
      </c>
      <c r="B29" s="2" t="s">
        <v>427</v>
      </c>
      <c r="C29">
        <v>1400</v>
      </c>
      <c r="D29" t="s">
        <v>340</v>
      </c>
      <c r="E29">
        <v>2621</v>
      </c>
      <c r="F29" s="2">
        <v>147</v>
      </c>
      <c r="G29" s="2">
        <v>1.8721428571428571</v>
      </c>
      <c r="H29">
        <v>0</v>
      </c>
      <c r="I29">
        <v>0</v>
      </c>
    </row>
    <row r="31" spans="1:9" x14ac:dyDescent="0.2">
      <c r="C31">
        <f>SUM(C2:C29)</f>
        <v>28696</v>
      </c>
    </row>
    <row r="32" spans="1:9" x14ac:dyDescent="0.2">
      <c r="C32">
        <f>C31/189000</f>
        <v>0.15183068783068784</v>
      </c>
    </row>
  </sheetData>
  <autoFilter ref="A1:I29" xr:uid="{A776D2D0-9C54-2542-9FAD-3E39261539AE}">
    <sortState xmlns:xlrd2="http://schemas.microsoft.com/office/spreadsheetml/2017/richdata2" ref="A2:I29">
      <sortCondition sortBy="cellColor" ref="B1:B29" dxfId="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C8" sqref="C8"/>
    </sheetView>
  </sheetViews>
  <sheetFormatPr baseColWidth="10" defaultColWidth="8.83203125" defaultRowHeight="15" x14ac:dyDescent="0.2"/>
  <cols>
    <col min="1" max="1" width="24" bestFit="1" customWidth="1"/>
  </cols>
  <sheetData>
    <row r="1" spans="1:3" x14ac:dyDescent="0.2">
      <c r="A1" s="1" t="s">
        <v>1141</v>
      </c>
      <c r="B1" s="1" t="s">
        <v>1142</v>
      </c>
      <c r="C1" s="1" t="s">
        <v>1143</v>
      </c>
    </row>
    <row r="2" spans="1:3" x14ac:dyDescent="0.2">
      <c r="A2" t="s">
        <v>1144</v>
      </c>
      <c r="C2">
        <v>214209</v>
      </c>
    </row>
    <row r="3" spans="1:3" x14ac:dyDescent="0.2">
      <c r="A3" t="s">
        <v>1145</v>
      </c>
      <c r="B3">
        <v>1145</v>
      </c>
    </row>
    <row r="4" spans="1:3" x14ac:dyDescent="0.2">
      <c r="A4" t="s">
        <v>1146</v>
      </c>
      <c r="C4">
        <v>18798</v>
      </c>
    </row>
    <row r="5" spans="1:3" x14ac:dyDescent="0.2">
      <c r="A5" t="s">
        <v>1147</v>
      </c>
      <c r="B5">
        <v>118</v>
      </c>
    </row>
    <row r="6" spans="1:3" x14ac:dyDescent="0.2">
      <c r="A6" t="s">
        <v>1148</v>
      </c>
      <c r="C6">
        <v>34889</v>
      </c>
    </row>
    <row r="7" spans="1:3" x14ac:dyDescent="0.2">
      <c r="A7" t="s">
        <v>1149</v>
      </c>
      <c r="B7">
        <v>357</v>
      </c>
    </row>
    <row r="8" spans="1:3" x14ac:dyDescent="0.2">
      <c r="A8" t="s">
        <v>1150</v>
      </c>
      <c r="C8">
        <v>22405</v>
      </c>
    </row>
    <row r="9" spans="1:3" x14ac:dyDescent="0.2">
      <c r="A9" t="s">
        <v>1151</v>
      </c>
      <c r="B9">
        <v>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activeCell="C10" sqref="C10"/>
    </sheetView>
  </sheetViews>
  <sheetFormatPr baseColWidth="10" defaultColWidth="8.83203125" defaultRowHeight="15" x14ac:dyDescent="0.2"/>
  <cols>
    <col min="1" max="1" width="29.6640625" bestFit="1" customWidth="1"/>
  </cols>
  <sheetData>
    <row r="1" spans="1:3" x14ac:dyDescent="0.2">
      <c r="A1" s="1" t="s">
        <v>1141</v>
      </c>
      <c r="B1" s="1" t="s">
        <v>1142</v>
      </c>
      <c r="C1" s="1" t="s">
        <v>1143</v>
      </c>
    </row>
    <row r="2" spans="1:3" x14ac:dyDescent="0.2">
      <c r="A2" t="s">
        <v>1152</v>
      </c>
      <c r="C2">
        <v>124239</v>
      </c>
    </row>
    <row r="3" spans="1:3" x14ac:dyDescent="0.2">
      <c r="A3" t="s">
        <v>1153</v>
      </c>
      <c r="B3">
        <v>86</v>
      </c>
    </row>
    <row r="4" spans="1:3" x14ac:dyDescent="0.2">
      <c r="A4" t="s">
        <v>1154</v>
      </c>
      <c r="C4">
        <v>8511</v>
      </c>
    </row>
    <row r="5" spans="1:3" x14ac:dyDescent="0.2">
      <c r="A5" t="s">
        <v>1155</v>
      </c>
      <c r="B5">
        <v>8</v>
      </c>
    </row>
    <row r="6" spans="1:3" x14ac:dyDescent="0.2">
      <c r="A6" t="s">
        <v>1156</v>
      </c>
      <c r="C6">
        <v>12696</v>
      </c>
    </row>
    <row r="7" spans="1:3" x14ac:dyDescent="0.2">
      <c r="A7" t="s">
        <v>1157</v>
      </c>
      <c r="B7">
        <v>13</v>
      </c>
    </row>
    <row r="8" spans="1:3" x14ac:dyDescent="0.2">
      <c r="A8" t="s">
        <v>1158</v>
      </c>
      <c r="C8">
        <v>16000</v>
      </c>
    </row>
    <row r="9" spans="1:3" x14ac:dyDescent="0.2">
      <c r="A9" t="s">
        <v>1159</v>
      </c>
      <c r="B9">
        <v>15</v>
      </c>
    </row>
    <row r="10" spans="1:3" x14ac:dyDescent="0.2">
      <c r="A10" t="s">
        <v>1160</v>
      </c>
      <c r="C10">
        <v>12227</v>
      </c>
    </row>
    <row r="11" spans="1:3" x14ac:dyDescent="0.2">
      <c r="A11" t="s">
        <v>1161</v>
      </c>
      <c r="B11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1141</v>
      </c>
      <c r="B1" s="1" t="s">
        <v>1142</v>
      </c>
      <c r="C1" s="1" t="s">
        <v>1143</v>
      </c>
    </row>
    <row r="2" spans="1:3" x14ac:dyDescent="0.2">
      <c r="A2" t="s">
        <v>1162</v>
      </c>
      <c r="C2">
        <v>127673</v>
      </c>
    </row>
    <row r="3" spans="1:3" x14ac:dyDescent="0.2">
      <c r="A3" t="s">
        <v>1163</v>
      </c>
      <c r="B3">
        <v>573</v>
      </c>
    </row>
    <row r="4" spans="1:3" x14ac:dyDescent="0.2">
      <c r="A4" t="s">
        <v>1164</v>
      </c>
      <c r="C4">
        <v>15456</v>
      </c>
    </row>
    <row r="5" spans="1:3" x14ac:dyDescent="0.2">
      <c r="A5" t="s">
        <v>1165</v>
      </c>
      <c r="B5">
        <v>87</v>
      </c>
    </row>
    <row r="6" spans="1:3" x14ac:dyDescent="0.2">
      <c r="A6" t="s">
        <v>1166</v>
      </c>
      <c r="C6">
        <v>27644</v>
      </c>
    </row>
    <row r="7" spans="1:3" x14ac:dyDescent="0.2">
      <c r="A7" t="s">
        <v>1167</v>
      </c>
      <c r="B7">
        <v>244</v>
      </c>
    </row>
    <row r="8" spans="1:3" x14ac:dyDescent="0.2">
      <c r="A8" t="s">
        <v>1168</v>
      </c>
      <c r="C8">
        <v>16083</v>
      </c>
    </row>
    <row r="9" spans="1:3" x14ac:dyDescent="0.2">
      <c r="A9" t="s">
        <v>1169</v>
      </c>
      <c r="B9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1141</v>
      </c>
      <c r="B1" s="1" t="s">
        <v>1142</v>
      </c>
      <c r="C1" s="1" t="s">
        <v>1143</v>
      </c>
    </row>
    <row r="2" spans="1:3" x14ac:dyDescent="0.2">
      <c r="A2" t="s">
        <v>1170</v>
      </c>
      <c r="C2">
        <v>63245</v>
      </c>
    </row>
    <row r="3" spans="1:3" x14ac:dyDescent="0.2">
      <c r="A3" t="s">
        <v>1171</v>
      </c>
      <c r="B3">
        <v>284</v>
      </c>
    </row>
    <row r="4" spans="1:3" x14ac:dyDescent="0.2">
      <c r="A4" t="s">
        <v>1172</v>
      </c>
      <c r="C4">
        <v>1391</v>
      </c>
    </row>
    <row r="5" spans="1:3" x14ac:dyDescent="0.2">
      <c r="A5" t="s">
        <v>1173</v>
      </c>
      <c r="B5">
        <v>16</v>
      </c>
    </row>
    <row r="6" spans="1:3" x14ac:dyDescent="0.2">
      <c r="A6" t="s">
        <v>1174</v>
      </c>
      <c r="C6">
        <v>3725</v>
      </c>
    </row>
    <row r="7" spans="1:3" x14ac:dyDescent="0.2">
      <c r="A7" t="s">
        <v>1175</v>
      </c>
      <c r="B7">
        <v>67</v>
      </c>
    </row>
    <row r="8" spans="1:3" x14ac:dyDescent="0.2">
      <c r="A8" t="s">
        <v>1176</v>
      </c>
      <c r="C8">
        <v>2705</v>
      </c>
    </row>
    <row r="9" spans="1:3" x14ac:dyDescent="0.2">
      <c r="A9" t="s">
        <v>1177</v>
      </c>
      <c r="B9">
        <v>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1141</v>
      </c>
      <c r="B1" s="1" t="s">
        <v>1142</v>
      </c>
      <c r="C1" s="1" t="s">
        <v>1143</v>
      </c>
    </row>
    <row r="2" spans="1:3" x14ac:dyDescent="0.2">
      <c r="A2" t="s">
        <v>1178</v>
      </c>
      <c r="C2">
        <v>81213</v>
      </c>
    </row>
    <row r="3" spans="1:3" x14ac:dyDescent="0.2">
      <c r="A3" t="s">
        <v>1179</v>
      </c>
      <c r="B3">
        <v>58</v>
      </c>
    </row>
    <row r="4" spans="1:3" x14ac:dyDescent="0.2">
      <c r="A4" t="s">
        <v>1180</v>
      </c>
      <c r="C4">
        <v>7861</v>
      </c>
    </row>
    <row r="5" spans="1:3" x14ac:dyDescent="0.2">
      <c r="A5" t="s">
        <v>1181</v>
      </c>
      <c r="B5">
        <v>7</v>
      </c>
    </row>
    <row r="6" spans="1:3" x14ac:dyDescent="0.2">
      <c r="A6" t="s">
        <v>1182</v>
      </c>
      <c r="C6">
        <v>11494</v>
      </c>
    </row>
    <row r="7" spans="1:3" x14ac:dyDescent="0.2">
      <c r="A7" t="s">
        <v>1183</v>
      </c>
      <c r="B7">
        <v>11</v>
      </c>
    </row>
    <row r="8" spans="1:3" x14ac:dyDescent="0.2">
      <c r="A8" t="s">
        <v>1184</v>
      </c>
      <c r="C8">
        <v>11698</v>
      </c>
    </row>
    <row r="9" spans="1:3" x14ac:dyDescent="0.2">
      <c r="A9" t="s">
        <v>1185</v>
      </c>
      <c r="B9">
        <v>10</v>
      </c>
    </row>
    <row r="10" spans="1:3" x14ac:dyDescent="0.2">
      <c r="A10" t="s">
        <v>1186</v>
      </c>
      <c r="C10">
        <v>8217</v>
      </c>
    </row>
    <row r="11" spans="1:3" x14ac:dyDescent="0.2">
      <c r="A11" t="s">
        <v>1187</v>
      </c>
      <c r="B11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1141</v>
      </c>
      <c r="B1" s="1" t="s">
        <v>1142</v>
      </c>
      <c r="C1" s="1" t="s">
        <v>1143</v>
      </c>
    </row>
    <row r="2" spans="1:3" x14ac:dyDescent="0.2">
      <c r="A2" t="s">
        <v>1188</v>
      </c>
      <c r="C2">
        <v>33229</v>
      </c>
    </row>
    <row r="3" spans="1:3" x14ac:dyDescent="0.2">
      <c r="A3" t="s">
        <v>1189</v>
      </c>
      <c r="B3">
        <v>18</v>
      </c>
    </row>
    <row r="4" spans="1:3" x14ac:dyDescent="0.2">
      <c r="A4" t="s">
        <v>1190</v>
      </c>
      <c r="C4">
        <v>0</v>
      </c>
    </row>
    <row r="5" spans="1:3" x14ac:dyDescent="0.2">
      <c r="A5" t="s">
        <v>1191</v>
      </c>
      <c r="B5">
        <v>0</v>
      </c>
    </row>
    <row r="6" spans="1:3" x14ac:dyDescent="0.2">
      <c r="A6" t="s">
        <v>1192</v>
      </c>
      <c r="C6">
        <v>552</v>
      </c>
    </row>
    <row r="7" spans="1:3" x14ac:dyDescent="0.2">
      <c r="A7" t="s">
        <v>1193</v>
      </c>
      <c r="B7">
        <v>1</v>
      </c>
    </row>
    <row r="8" spans="1:3" x14ac:dyDescent="0.2">
      <c r="A8" t="s">
        <v>1194</v>
      </c>
      <c r="C8">
        <v>1691</v>
      </c>
    </row>
    <row r="9" spans="1:3" x14ac:dyDescent="0.2">
      <c r="A9" t="s">
        <v>1195</v>
      </c>
      <c r="B9">
        <v>2</v>
      </c>
    </row>
    <row r="10" spans="1:3" x14ac:dyDescent="0.2">
      <c r="A10" t="s">
        <v>1196</v>
      </c>
      <c r="C10">
        <v>4010</v>
      </c>
    </row>
    <row r="11" spans="1:3" x14ac:dyDescent="0.2">
      <c r="A11" t="s">
        <v>1197</v>
      </c>
      <c r="B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Detailed Data</vt:lpstr>
      <vt:lpstr>Sheet1</vt:lpstr>
      <vt:lpstr>Overview</vt:lpstr>
      <vt:lpstr>Majors Overview</vt:lpstr>
      <vt:lpstr>T10 Overview</vt:lpstr>
      <vt:lpstr>T7 Overview</vt:lpstr>
      <vt:lpstr>T10 Majors Overview</vt:lpstr>
      <vt:lpstr>T7 Majors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Kardish</cp:lastModifiedBy>
  <dcterms:created xsi:type="dcterms:W3CDTF">2025-10-01T15:47:53Z</dcterms:created>
  <dcterms:modified xsi:type="dcterms:W3CDTF">2025-10-07T01:19:42Z</dcterms:modified>
</cp:coreProperties>
</file>