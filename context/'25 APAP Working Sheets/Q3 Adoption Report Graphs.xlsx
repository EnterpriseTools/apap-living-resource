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kardish/Documents/"/>
    </mc:Choice>
  </mc:AlternateContent>
  <xr:revisionPtr revIDLastSave="0" documentId="13_ncr:1_{6DAF85AE-CEBE-C243-86A6-75CCBAF987AD}" xr6:coauthVersionLast="47" xr6:coauthVersionMax="47" xr10:uidLastSave="{00000000-0000-0000-0000-000000000000}"/>
  <bookViews>
    <workbookView xWindow="0" yWindow="600" windowWidth="26240" windowHeight="16360" xr2:uid="{B636B46F-1B91-7840-9E5E-863BFD2B1BD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8" i="1" l="1"/>
  <c r="D7" i="1"/>
  <c r="E7" i="1"/>
  <c r="F7" i="1"/>
  <c r="G7" i="1"/>
  <c r="H7" i="1"/>
  <c r="I7" i="1"/>
  <c r="J7" i="1"/>
  <c r="K7" i="1"/>
  <c r="O8" i="1"/>
  <c r="P7" i="1"/>
  <c r="B7" i="1"/>
  <c r="C7" i="1"/>
  <c r="O7" i="1"/>
  <c r="S2" i="1"/>
  <c r="N7" i="1"/>
  <c r="Q3" i="1"/>
  <c r="Q4" i="1"/>
  <c r="Q5" i="1"/>
  <c r="Q2" i="1"/>
  <c r="R3" i="1"/>
  <c r="R4" i="1"/>
  <c r="R5" i="1"/>
  <c r="R2" i="1"/>
  <c r="S5" i="1"/>
  <c r="S3" i="1"/>
  <c r="S4" i="1"/>
  <c r="K19" i="1"/>
  <c r="M26" i="1"/>
  <c r="B27" i="1" s="1"/>
  <c r="M25" i="1"/>
  <c r="L25" i="1"/>
  <c r="M7" i="1"/>
  <c r="L16" i="1" s="1"/>
  <c r="L17" i="1" s="1"/>
  <c r="L7" i="1"/>
  <c r="K16" i="1"/>
  <c r="K17" i="1" s="1"/>
  <c r="B26" i="1"/>
  <c r="L26" i="1"/>
  <c r="L19" i="1" s="1"/>
  <c r="F26" i="1"/>
  <c r="C25" i="1"/>
  <c r="D25" i="1"/>
  <c r="E25" i="1"/>
  <c r="F25" i="1"/>
  <c r="G25" i="1"/>
  <c r="H25" i="1"/>
  <c r="I25" i="1"/>
  <c r="J25" i="1"/>
  <c r="K25" i="1"/>
  <c r="B25" i="1"/>
  <c r="N8" i="1" l="1"/>
  <c r="M19" i="1"/>
  <c r="M28" i="1"/>
  <c r="M29" i="1"/>
  <c r="M8" i="1"/>
  <c r="N9" i="1"/>
  <c r="L8" i="1"/>
  <c r="M17" i="1"/>
</calcChain>
</file>

<file path=xl/sharedStrings.xml><?xml version="1.0" encoding="utf-8"?>
<sst xmlns="http://schemas.openxmlformats.org/spreadsheetml/2006/main" count="78" uniqueCount="52">
  <si>
    <t>Monthly Ends</t>
  </si>
  <si>
    <t>CET</t>
  </si>
  <si>
    <t>SIM</t>
  </si>
  <si>
    <t>vRBT LA</t>
  </si>
  <si>
    <t>TASER Arena</t>
  </si>
  <si>
    <t>Aug '24</t>
  </si>
  <si>
    <t>Sept '24</t>
  </si>
  <si>
    <t>Oct '24</t>
  </si>
  <si>
    <t>Nov '24</t>
  </si>
  <si>
    <t>Dec '24</t>
  </si>
  <si>
    <t>Jan '25</t>
  </si>
  <si>
    <t>Feb '25</t>
  </si>
  <si>
    <t>Mar '25</t>
  </si>
  <si>
    <t>Apr '25</t>
  </si>
  <si>
    <t>May '25</t>
  </si>
  <si>
    <t>Jun '25</t>
  </si>
  <si>
    <t>T10 Cartridges</t>
  </si>
  <si>
    <t>T7 Cartridges</t>
  </si>
  <si>
    <t>Total Cartridge Savings (MSRP)</t>
  </si>
  <si>
    <t>TASER Range Skills</t>
  </si>
  <si>
    <t>Handgun Range Skills</t>
  </si>
  <si>
    <t>TASER Validation Courses</t>
  </si>
  <si>
    <t>vRBT Playlists</t>
  </si>
  <si>
    <t>Full VR Agencies</t>
  </si>
  <si>
    <t>T10</t>
  </si>
  <si>
    <t>T7</t>
  </si>
  <si>
    <t>% of Agencies T10</t>
  </si>
  <si>
    <t>Jul '25</t>
  </si>
  <si>
    <t>Aug '25</t>
  </si>
  <si>
    <t>Au</t>
  </si>
  <si>
    <t>Sep '25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</si>
  <si>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</si>
  <si>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</si>
  <si>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</si>
  <si>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</si>
  <si>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</si>
  <si>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</si>
  <si>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</si>
  <si>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</si>
  <si>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Shadow Goal Points</t>
  </si>
  <si>
    <t>Shadow Goal Agencies</t>
  </si>
  <si>
    <t>Shadow Goal %</t>
  </si>
  <si>
    <t>1+ SIM Points</t>
  </si>
  <si>
    <t>1+ SIM Agencies</t>
  </si>
  <si>
    <t>1+ SIM  %</t>
  </si>
  <si>
    <t>APAP Points</t>
  </si>
  <si>
    <t>APAP Agencies</t>
  </si>
  <si>
    <t>APAP %</t>
  </si>
  <si>
    <t>High Confidence Goal</t>
  </si>
  <si>
    <t>Hard Climb Goal</t>
  </si>
  <si>
    <t>Oct '25</t>
  </si>
  <si>
    <t>Verbal Skills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</si>
</sst>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164" formatCode="0.0%"/>
  </numFmts>
  <fonts count="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u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Aptos Narrow"/>
      <family val="2"/>
      <scheme val="minor"/>
    </font>
    <font>
      <b/>
      <sz val="11"/>
      <color rgb="FF000000"/>
      <name val="Calibri"/>
      <family val="2"/>
    </font>
    <font>
      <sz val="12"/>
      <color rgb="FF000000"/>
      <name val="Aptos Narrow"/>
      <family val="2"/>
      <scheme val="minor"/>
    </font>
    <font>
      <b/>
      <sz val="12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rgb="FF000000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1">
    <xf numFmtId="0" fontId="0" fillId="0" borderId="0" xfId="0"/>
    <xf numFmtId="0" fontId="2" fillId="0" borderId="0" xfId="0" applyFont="1"/>
    <xf numFmtId="0" fontId="3" fillId="0" borderId="0" xfId="0" applyFont="1"/>
    <xf numFmtId="3" fontId="0" fillId="0" borderId="0" xfId="0" applyNumberFormat="1"/>
    <xf numFmtId="3" fontId="3" fillId="0" borderId="0" xfId="0" applyNumberFormat="1" applyFont="1"/>
    <xf numFmtId="49" fontId="2" fillId="0" borderId="0" xfId="0" applyNumberFormat="1" applyFont="1" applyAlignment="1">
      <alignment horizontal="center"/>
    </xf>
    <xf numFmtId="3" fontId="3" fillId="0" borderId="1" xfId="0" applyNumberFormat="1" applyFont="1" applyBorder="1"/>
    <xf numFmtId="6" fontId="5" fillId="2" borderId="0" xfId="0" applyNumberFormat="1" applyFont="1" applyFill="1"/>
    <xf numFmtId="0" fontId="5" fillId="0" borderId="0" xfId="0" applyFont="1"/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right" vertical="center" wrapText="1"/>
    </xf>
    <xf numFmtId="9" fontId="0" fillId="0" borderId="0" xfId="1" applyFont="1"/>
    <xf numFmtId="9" fontId="0" fillId="0" borderId="0" xfId="0" applyNumberFormat="1"/>
    <xf numFmtId="164" fontId="0" fillId="0" borderId="0" xfId="1" applyNumberFormat="1" applyFont="1"/>
    <xf numFmtId="3" fontId="6" fillId="0" borderId="0" xfId="0" applyNumberFormat="1" applyFont="1"/>
    <xf numFmtId="0" fontId="7" fillId="0" borderId="0" xfId="0" applyFont="1"/>
    <xf numFmtId="3" fontId="7" fillId="0" borderId="0" xfId="0" applyNumberFormat="1" applyFont="1"/>
    <xf numFmtId="10" fontId="0" fillId="0" borderId="0" xfId="0" applyNumberFormat="1"/>
    <xf numFmtId="10" fontId="7" fillId="0" borderId="0" xfId="0" applyNumberFormat="1" applyFont="1"/>
    <xf numFmtId="0" fontId="6" fillId="0" borderId="0" xfId="0" applyFont="1"/>
    <xf numFmtId="10" fontId="6" fillId="0" borderId="0" xfId="0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Adoption Rates by VR Products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Sheet1!$A$2</c:f>
              <c:strCache>
                <c:ptCount val="1"/>
                <c:pt idx="0">
                  <c:v>CET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Sheet1!$D$1:$P$1</c:f>
              <c:strCache>
                <c:ptCount val="13"/>
                <c:pt idx="0">
                  <c:v>Oct '24</c:v>
                </c:pt>
                <c:pt idx="1">
                  <c:v>Nov '24</c:v>
                </c:pt>
                <c:pt idx="2">
                  <c:v>Dec '24</c:v>
                </c:pt>
                <c:pt idx="3">
                  <c:v>Jan '25</c:v>
                </c:pt>
                <c:pt idx="4">
                  <c:v>Feb '25</c:v>
                </c:pt>
                <c:pt idx="5">
                  <c:v>Mar '25</c:v>
                </c:pt>
                <c:pt idx="6">
                  <c:v>Apr '25</c:v>
                </c:pt>
                <c:pt idx="7">
                  <c:v>May '25</c:v>
                </c:pt>
                <c:pt idx="8">
                  <c:v>Jun '25</c:v>
                </c:pt>
                <c:pt idx="9">
                  <c:v>Jul '25</c:v>
                </c:pt>
                <c:pt idx="10">
                  <c:v>Aug '25</c:v>
                </c:pt>
                <c:pt idx="11">
                  <c:v>Sep '25</c:v>
                </c:pt>
                <c:pt idx="12">
                  <c:v>Oct '25</c:v>
                </c:pt>
              </c:strCache>
            </c:strRef>
          </c:cat>
          <c:val>
            <c:numRef>
              <c:f>Sheet1!$D$2:$P$2</c:f>
              <c:numCache>
                <c:formatCode>#,##0</c:formatCode>
                <c:ptCount val="13"/>
                <c:pt idx="0">
                  <c:v>5317</c:v>
                </c:pt>
                <c:pt idx="1">
                  <c:v>5531</c:v>
                </c:pt>
                <c:pt idx="2">
                  <c:v>5677</c:v>
                </c:pt>
                <c:pt idx="3">
                  <c:v>3361</c:v>
                </c:pt>
                <c:pt idx="4">
                  <c:v>3240</c:v>
                </c:pt>
                <c:pt idx="5">
                  <c:v>2855</c:v>
                </c:pt>
                <c:pt idx="6">
                  <c:v>3763</c:v>
                </c:pt>
                <c:pt idx="7">
                  <c:v>3319</c:v>
                </c:pt>
                <c:pt idx="8">
                  <c:v>3184</c:v>
                </c:pt>
                <c:pt idx="9">
                  <c:v>3312</c:v>
                </c:pt>
                <c:pt idx="10">
                  <c:v>3561</c:v>
                </c:pt>
                <c:pt idx="11">
                  <c:v>2516</c:v>
                </c:pt>
                <c:pt idx="12">
                  <c:v>1880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60-B144-A054-153739F36D33}"/>
            </c:ext>
          </c:extLst>
        </c:ser>
        <c:ser>
          <c:idx val="1"/>
          <c:order val="1"/>
          <c:tx>
            <c:strRef>
              <c:f>Sheet1!$A$3</c:f>
              <c:strCache>
                <c:ptCount val="1"/>
                <c:pt idx="0">
                  <c:v>SIM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Sheet1!$D$1:$P$1</c:f>
              <c:strCache>
                <c:ptCount val="13"/>
                <c:pt idx="0">
                  <c:v>Oct '24</c:v>
                </c:pt>
                <c:pt idx="1">
                  <c:v>Nov '24</c:v>
                </c:pt>
                <c:pt idx="2">
                  <c:v>Dec '24</c:v>
                </c:pt>
                <c:pt idx="3">
                  <c:v>Jan '25</c:v>
                </c:pt>
                <c:pt idx="4">
                  <c:v>Feb '25</c:v>
                </c:pt>
                <c:pt idx="5">
                  <c:v>Mar '25</c:v>
                </c:pt>
                <c:pt idx="6">
                  <c:v>Apr '25</c:v>
                </c:pt>
                <c:pt idx="7">
                  <c:v>May '25</c:v>
                </c:pt>
                <c:pt idx="8">
                  <c:v>Jun '25</c:v>
                </c:pt>
                <c:pt idx="9">
                  <c:v>Jul '25</c:v>
                </c:pt>
                <c:pt idx="10">
                  <c:v>Aug '25</c:v>
                </c:pt>
                <c:pt idx="11">
                  <c:v>Sep '25</c:v>
                </c:pt>
                <c:pt idx="12">
                  <c:v>Oct '25</c:v>
                </c:pt>
              </c:strCache>
            </c:strRef>
          </c:cat>
          <c:val>
            <c:numRef>
              <c:f>Sheet1!$D$3:$P$3</c:f>
              <c:numCache>
                <c:formatCode>#,##0</c:formatCode>
                <c:ptCount val="13"/>
                <c:pt idx="0">
                  <c:v>8787</c:v>
                </c:pt>
                <c:pt idx="1">
                  <c:v>7633</c:v>
                </c:pt>
                <c:pt idx="2">
                  <c:v>6818</c:v>
                </c:pt>
                <c:pt idx="3">
                  <c:v>8744</c:v>
                </c:pt>
                <c:pt idx="4">
                  <c:v>12590</c:v>
                </c:pt>
                <c:pt idx="5">
                  <c:v>15373</c:v>
                </c:pt>
                <c:pt idx="6">
                  <c:v>17931</c:v>
                </c:pt>
                <c:pt idx="7">
                  <c:v>17165</c:v>
                </c:pt>
                <c:pt idx="8">
                  <c:v>17964</c:v>
                </c:pt>
                <c:pt idx="9">
                  <c:v>20302</c:v>
                </c:pt>
                <c:pt idx="10">
                  <c:v>18230</c:v>
                </c:pt>
                <c:pt idx="11">
                  <c:v>21556</c:v>
                </c:pt>
                <c:pt idx="12">
                  <c:v>23929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760-B144-A054-153739F36D33}"/>
            </c:ext>
          </c:extLst>
        </c:ser>
        <c:ser>
          <c:idx val="2"/>
          <c:order val="2"/>
          <c:tx>
            <c:strRef>
              <c:f>Sheet1!$A$4</c:f>
              <c:strCache>
                <c:ptCount val="1"/>
                <c:pt idx="0">
                  <c:v>vRBT LA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Sheet1!$D$1:$P$1</c:f>
              <c:strCache>
                <c:ptCount val="13"/>
                <c:pt idx="0">
                  <c:v>Oct '24</c:v>
                </c:pt>
                <c:pt idx="1">
                  <c:v>Nov '24</c:v>
                </c:pt>
                <c:pt idx="2">
                  <c:v>Dec '24</c:v>
                </c:pt>
                <c:pt idx="3">
                  <c:v>Jan '25</c:v>
                </c:pt>
                <c:pt idx="4">
                  <c:v>Feb '25</c:v>
                </c:pt>
                <c:pt idx="5">
                  <c:v>Mar '25</c:v>
                </c:pt>
                <c:pt idx="6">
                  <c:v>Apr '25</c:v>
                </c:pt>
                <c:pt idx="7">
                  <c:v>May '25</c:v>
                </c:pt>
                <c:pt idx="8">
                  <c:v>Jun '25</c:v>
                </c:pt>
                <c:pt idx="9">
                  <c:v>Jul '25</c:v>
                </c:pt>
                <c:pt idx="10">
                  <c:v>Aug '25</c:v>
                </c:pt>
                <c:pt idx="11">
                  <c:v>Sep '25</c:v>
                </c:pt>
                <c:pt idx="12">
                  <c:v>Oct '25</c:v>
                </c:pt>
              </c:strCache>
            </c:strRef>
          </c:cat>
          <c:val>
            <c:numRef>
              <c:f>Sheet1!$D$4:$P$4</c:f>
              <c:numCache>
                <c:formatCode>#,##0</c:formatCode>
                <c:ptCount val="13"/>
                <c:pt idx="0">
                  <c:v>6183</c:v>
                </c:pt>
                <c:pt idx="1">
                  <c:v>6105</c:v>
                </c:pt>
                <c:pt idx="2">
                  <c:v>4352</c:v>
                </c:pt>
                <c:pt idx="3">
                  <c:v>5588</c:v>
                </c:pt>
                <c:pt idx="4">
                  <c:v>8069</c:v>
                </c:pt>
                <c:pt idx="5">
                  <c:v>6916</c:v>
                </c:pt>
                <c:pt idx="6">
                  <c:v>7879</c:v>
                </c:pt>
                <c:pt idx="7">
                  <c:v>9011</c:v>
                </c:pt>
                <c:pt idx="8">
                  <c:v>8436</c:v>
                </c:pt>
                <c:pt idx="9">
                  <c:v>10038</c:v>
                </c:pt>
                <c:pt idx="10">
                  <c:v>7251</c:v>
                </c:pt>
                <c:pt idx="11">
                  <c:v>9833</c:v>
                </c:pt>
                <c:pt idx="12">
                  <c:v>7115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760-B144-A054-153739F36D33}"/>
            </c:ext>
          </c:extLst>
        </c:ser>
        <c:ser>
          <c:idx val="3"/>
          <c:order val="3"/>
          <c:tx>
            <c:strRef>
              <c:f>Sheet1!$A$5</c:f>
              <c:strCache>
                <c:ptCount val="1"/>
                <c:pt idx="0">
                  <c:v>TASER Arena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Sheet1!$D$1:$P$1</c:f>
              <c:strCache>
                <c:ptCount val="13"/>
                <c:pt idx="0">
                  <c:v>Oct '24</c:v>
                </c:pt>
                <c:pt idx="1">
                  <c:v>Nov '24</c:v>
                </c:pt>
                <c:pt idx="2">
                  <c:v>Dec '24</c:v>
                </c:pt>
                <c:pt idx="3">
                  <c:v>Jan '25</c:v>
                </c:pt>
                <c:pt idx="4">
                  <c:v>Feb '25</c:v>
                </c:pt>
                <c:pt idx="5">
                  <c:v>Mar '25</c:v>
                </c:pt>
                <c:pt idx="6">
                  <c:v>Apr '25</c:v>
                </c:pt>
                <c:pt idx="7">
                  <c:v>May '25</c:v>
                </c:pt>
                <c:pt idx="8">
                  <c:v>Jun '25</c:v>
                </c:pt>
                <c:pt idx="9">
                  <c:v>Jul '25</c:v>
                </c:pt>
                <c:pt idx="10">
                  <c:v>Aug '25</c:v>
                </c:pt>
                <c:pt idx="11">
                  <c:v>Sep '25</c:v>
                </c:pt>
                <c:pt idx="12">
                  <c:v>Oct '25</c:v>
                </c:pt>
              </c:strCache>
            </c:strRef>
          </c:cat>
          <c:val>
            <c:numRef>
              <c:f>Sheet1!$D$5:$P$5</c:f>
              <c:numCache>
                <c:formatCode>#,##0</c:formatCode>
                <c:ptCount val="13"/>
                <c:pt idx="0">
                  <c:v>2320</c:v>
                </c:pt>
                <c:pt idx="1">
                  <c:v>2516</c:v>
                </c:pt>
                <c:pt idx="2">
                  <c:v>1935</c:v>
                </c:pt>
                <c:pt idx="3">
                  <c:v>2493</c:v>
                </c:pt>
                <c:pt idx="4">
                  <c:v>3061</c:v>
                </c:pt>
                <c:pt idx="5">
                  <c:v>3273</c:v>
                </c:pt>
                <c:pt idx="6">
                  <c:v>3271</c:v>
                </c:pt>
                <c:pt idx="7">
                  <c:v>3593</c:v>
                </c:pt>
                <c:pt idx="8">
                  <c:v>3437</c:v>
                </c:pt>
                <c:pt idx="9">
                  <c:v>5354</c:v>
                </c:pt>
                <c:pt idx="10">
                  <c:v>4296</c:v>
                </c:pt>
                <c:pt idx="11">
                  <c:v>3496</c:v>
                </c:pt>
                <c:pt idx="12">
                  <c:v>4498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760-B144-A054-153739F36D33}"/>
            </c:ext>
          </c:extLst>
        </c:ser>
        <c:ser>
          <c:idx val="4"/>
          <c:order val="4"/>
          <c:tx>
            <c:strRef>
              <c:f>Sheet1!$A$6</c:f>
              <c:strCache>
                <c:ptCount val="1"/>
                <c:pt idx="0">
                  <c:v>Verbal Skills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Sheet1!$D$1:$P$1</c:f>
              <c:strCache>
                <c:ptCount val="13"/>
                <c:pt idx="0">
                  <c:v>Oct '24</c:v>
                </c:pt>
                <c:pt idx="1">
                  <c:v>Nov '24</c:v>
                </c:pt>
                <c:pt idx="2">
                  <c:v>Dec '24</c:v>
                </c:pt>
                <c:pt idx="3">
                  <c:v>Jan '25</c:v>
                </c:pt>
                <c:pt idx="4">
                  <c:v>Feb '25</c:v>
                </c:pt>
                <c:pt idx="5">
                  <c:v>Mar '25</c:v>
                </c:pt>
                <c:pt idx="6">
                  <c:v>Apr '25</c:v>
                </c:pt>
                <c:pt idx="7">
                  <c:v>May '25</c:v>
                </c:pt>
                <c:pt idx="8">
                  <c:v>Jun '25</c:v>
                </c:pt>
                <c:pt idx="9">
                  <c:v>Jul '25</c:v>
                </c:pt>
                <c:pt idx="10">
                  <c:v>Aug '25</c:v>
                </c:pt>
                <c:pt idx="11">
                  <c:v>Sep '25</c:v>
                </c:pt>
                <c:pt idx="12">
                  <c:v>Oct '25</c:v>
                </c:pt>
              </c:strCache>
            </c:strRef>
          </c:cat>
          <c:val>
            <c:numRef>
              <c:f>Sheet1!$D$6:$P$6</c:f>
              <c:numCache>
                <c:formatCode>#,##0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559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F1-744B-89A9-D87CC47B16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139677376"/>
        <c:axId val="2139623808"/>
      </c:barChart>
      <c:catAx>
        <c:axId val="21396773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9623808"/>
        <c:crosses val="autoZero"/>
        <c:auto val="1"/>
        <c:lblAlgn val="ctr"/>
        <c:lblOffset val="100"/>
        <c:noMultiLvlLbl val="0"/>
      </c:catAx>
      <c:valAx>
        <c:axId val="2139623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9677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Cartridge</a:t>
            </a:r>
            <a:r>
              <a:rPr lang="en-US" baseline="0"/>
              <a:t> Deployments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Sheet1!$A$11</c:f>
              <c:strCache>
                <c:ptCount val="1"/>
                <c:pt idx="0">
                  <c:v>T10 Cartridges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Sheet1!$B$10:$G$10</c:f>
              <c:strCache>
                <c:ptCount val="6"/>
                <c:pt idx="0">
                  <c:v>Jan '25</c:v>
                </c:pt>
                <c:pt idx="1">
                  <c:v>Feb '25</c:v>
                </c:pt>
                <c:pt idx="2">
                  <c:v>Mar '25</c:v>
                </c:pt>
                <c:pt idx="3">
                  <c:v>Apr '25</c:v>
                </c:pt>
                <c:pt idx="4">
                  <c:v>May '25</c:v>
                </c:pt>
                <c:pt idx="5">
                  <c:v>Jun '25</c:v>
                </c:pt>
              </c:strCache>
            </c:strRef>
          </c:cat>
          <c:val>
            <c:numRef>
              <c:f>Sheet1!$B$11:$G$11</c:f>
              <c:numCache>
                <c:formatCode>#,##0</c:formatCode>
                <c:ptCount val="6"/>
                <c:pt idx="0">
                  <c:v>253192</c:v>
                </c:pt>
                <c:pt idx="1">
                  <c:v>492414</c:v>
                </c:pt>
                <c:pt idx="2">
                  <c:v>633925</c:v>
                </c:pt>
                <c:pt idx="3">
                  <c:v>730774</c:v>
                </c:pt>
                <c:pt idx="4">
                  <c:v>701054</c:v>
                </c:pt>
                <c:pt idx="5">
                  <c:v>488369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8C-9F4F-94C7-38CAA68A4FFB}"/>
            </c:ext>
          </c:extLst>
        </c:ser>
        <c:ser>
          <c:idx val="1"/>
          <c:order val="1"/>
          <c:tx>
            <c:strRef>
              <c:f>Sheet1!$A$12</c:f>
              <c:strCache>
                <c:ptCount val="1"/>
                <c:pt idx="0">
                  <c:v>T7 Cartridges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Sheet1!$B$10:$G$10</c:f>
              <c:strCache>
                <c:ptCount val="6"/>
                <c:pt idx="0">
                  <c:v>Jan '25</c:v>
                </c:pt>
                <c:pt idx="1">
                  <c:v>Feb '25</c:v>
                </c:pt>
                <c:pt idx="2">
                  <c:v>Mar '25</c:v>
                </c:pt>
                <c:pt idx="3">
                  <c:v>Apr '25</c:v>
                </c:pt>
                <c:pt idx="4">
                  <c:v>May '25</c:v>
                </c:pt>
                <c:pt idx="5">
                  <c:v>Jun '25</c:v>
                </c:pt>
              </c:strCache>
            </c:strRef>
          </c:cat>
          <c:val>
            <c:numRef>
              <c:f>Sheet1!$B$12:$G$12</c:f>
              <c:numCache>
                <c:formatCode>#,##0</c:formatCode>
                <c:ptCount val="6"/>
                <c:pt idx="0">
                  <c:v>30596</c:v>
                </c:pt>
                <c:pt idx="1">
                  <c:v>40019</c:v>
                </c:pt>
                <c:pt idx="2">
                  <c:v>34860</c:v>
                </c:pt>
                <c:pt idx="3">
                  <c:v>46658</c:v>
                </c:pt>
                <c:pt idx="4">
                  <c:v>45461</c:v>
                </c:pt>
                <c:pt idx="5">
                  <c:v>36520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78C-9F4F-94C7-38CAA68A4F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5594384"/>
        <c:axId val="2122135344"/>
      </c:barChart>
      <c:lineChart>
        <c:grouping val="standard"/>
        <c:varyColors val="0"/>
        <c:ser>
          <c:idx val="2"/>
          <c:order val="2"/>
          <c:tx>
            <c:strRef>
              <c:f>Sheet1!$A$13</c:f>
              <c:strCache>
                <c:ptCount val="1"/>
                <c:pt idx="0">
                  <c:v>Total Cartridge Savings (MSRP)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Sheet1!$B$10:$G$10</c:f>
              <c:strCache>
                <c:ptCount val="6"/>
                <c:pt idx="0">
                  <c:v>Jan '25</c:v>
                </c:pt>
                <c:pt idx="1">
                  <c:v>Feb '25</c:v>
                </c:pt>
                <c:pt idx="2">
                  <c:v>Mar '25</c:v>
                </c:pt>
                <c:pt idx="3">
                  <c:v>Apr '25</c:v>
                </c:pt>
                <c:pt idx="4">
                  <c:v>May '25</c:v>
                </c:pt>
                <c:pt idx="5">
                  <c:v>Jun '25</c:v>
                </c:pt>
              </c:strCache>
            </c:strRef>
          </c:cat>
          <c:val>
            <c:numRef>
              <c:f>Sheet1!$B$13:$G$13</c:f>
              <c:numCache>
                <c:formatCode>"$"#,##0_);[Red]\("$"#,##0\)</c:formatCode>
                <c:ptCount val="6"/>
                <c:pt idx="0">
                  <c:v>6846832</c:v>
                </c:pt>
                <c:pt idx="1">
                  <c:v>12341644</c:v>
                </c:pt>
                <c:pt idx="2">
                  <c:v>15055425</c:v>
                </c:pt>
                <c:pt idx="3">
                  <c:v>17679154</c:v>
                </c:pt>
                <c:pt idx="4">
                  <c:v>16995184</c:v>
                </c:pt>
                <c:pt idx="5">
                  <c:v>12081749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78C-9F4F-94C7-38CAA68A4F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22105440"/>
        <c:axId val="2021898752"/>
      </c:lineChart>
      <c:catAx>
        <c:axId val="245594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2135344"/>
        <c:crosses val="autoZero"/>
        <c:auto val="1"/>
        <c:lblAlgn val="ctr"/>
        <c:lblOffset val="100"/>
        <c:noMultiLvlLbl val="0"/>
      </c:catAx>
      <c:valAx>
        <c:axId val="2122135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5594384"/>
        <c:crosses val="autoZero"/>
        <c:crossBetween val="between"/>
      </c:valAx>
      <c:valAx>
        <c:axId val="2021898752"/>
        <c:scaling>
          <c:orientation val="minMax"/>
        </c:scaling>
        <c:delete val="0"/>
        <c:axPos val="r"/>
        <c:numFmt formatCode="&quot;$&quot;#,##0_);[Red]\(&quot;$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2105440"/>
        <c:crosses val="max"/>
        <c:crossBetween val="between"/>
      </c:valAx>
      <c:catAx>
        <c:axId val="212210544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02189875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SIM Completions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Sheet1!$A$17</c:f>
              <c:strCache>
                <c:ptCount val="1"/>
                <c:pt idx="0">
                  <c:v>TASER Range Skills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Sheet1!$B$16:$G$16</c:f>
              <c:strCache>
                <c:ptCount val="6"/>
                <c:pt idx="0">
                  <c:v>Jan '25</c:v>
                </c:pt>
                <c:pt idx="1">
                  <c:v>Feb '25</c:v>
                </c:pt>
                <c:pt idx="2">
                  <c:v>Mar '25</c:v>
                </c:pt>
                <c:pt idx="3">
                  <c:v>Apr '25</c:v>
                </c:pt>
                <c:pt idx="4">
                  <c:v>May '25</c:v>
                </c:pt>
                <c:pt idx="5">
                  <c:v>Jun '25</c:v>
                </c:pt>
              </c:strCache>
            </c:strRef>
          </c:cat>
          <c:val>
            <c:numRef>
              <c:f>Sheet1!$B$17:$G$17</c:f>
              <c:numCache>
                <c:formatCode>General</c:formatCode>
                <c:ptCount val="6"/>
                <c:pt idx="0">
                  <c:v>10283</c:v>
                </c:pt>
                <c:pt idx="1">
                  <c:v>11268</c:v>
                </c:pt>
                <c:pt idx="2">
                  <c:v>13692</c:v>
                </c:pt>
                <c:pt idx="3">
                  <c:v>14502</c:v>
                </c:pt>
                <c:pt idx="4">
                  <c:v>12445</c:v>
                </c:pt>
                <c:pt idx="5">
                  <c:v>14188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A6-6D4A-9BF9-ABF3145353C9}"/>
            </c:ext>
          </c:extLst>
        </c:ser>
        <c:ser>
          <c:idx val="1"/>
          <c:order val="1"/>
          <c:tx>
            <c:strRef>
              <c:f>Sheet1!$A$18</c:f>
              <c:strCache>
                <c:ptCount val="1"/>
                <c:pt idx="0">
                  <c:v>Handgun Range Skills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Sheet1!$B$16:$G$16</c:f>
              <c:strCache>
                <c:ptCount val="6"/>
                <c:pt idx="0">
                  <c:v>Jan '25</c:v>
                </c:pt>
                <c:pt idx="1">
                  <c:v>Feb '25</c:v>
                </c:pt>
                <c:pt idx="2">
                  <c:v>Mar '25</c:v>
                </c:pt>
                <c:pt idx="3">
                  <c:v>Apr '25</c:v>
                </c:pt>
                <c:pt idx="4">
                  <c:v>May '25</c:v>
                </c:pt>
                <c:pt idx="5">
                  <c:v>Jun '25</c:v>
                </c:pt>
              </c:strCache>
            </c:strRef>
          </c:cat>
          <c:val>
            <c:numRef>
              <c:f>Sheet1!$B$18:$G$18</c:f>
              <c:numCache>
                <c:formatCode>General</c:formatCode>
                <c:ptCount val="6"/>
                <c:pt idx="0">
                  <c:v>1764</c:v>
                </c:pt>
                <c:pt idx="1">
                  <c:v>1914</c:v>
                </c:pt>
                <c:pt idx="2">
                  <c:v>1784</c:v>
                </c:pt>
                <c:pt idx="3">
                  <c:v>2325</c:v>
                </c:pt>
                <c:pt idx="4">
                  <c:v>2020</c:v>
                </c:pt>
                <c:pt idx="5">
                  <c:v>1829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CA6-6D4A-9BF9-ABF3145353C9}"/>
            </c:ext>
          </c:extLst>
        </c:ser>
        <c:ser>
          <c:idx val="2"/>
          <c:order val="2"/>
          <c:tx>
            <c:strRef>
              <c:f>Sheet1!$A$19</c:f>
              <c:strCache>
                <c:ptCount val="1"/>
                <c:pt idx="0">
                  <c:v>TASER Validation Courses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Sheet1!$B$16:$G$16</c:f>
              <c:strCache>
                <c:ptCount val="6"/>
                <c:pt idx="0">
                  <c:v>Jan '25</c:v>
                </c:pt>
                <c:pt idx="1">
                  <c:v>Feb '25</c:v>
                </c:pt>
                <c:pt idx="2">
                  <c:v>Mar '25</c:v>
                </c:pt>
                <c:pt idx="3">
                  <c:v>Apr '25</c:v>
                </c:pt>
                <c:pt idx="4">
                  <c:v>May '25</c:v>
                </c:pt>
                <c:pt idx="5">
                  <c:v>Jun '25</c:v>
                </c:pt>
              </c:strCache>
            </c:strRef>
          </c:cat>
          <c:val>
            <c:numRef>
              <c:f>Sheet1!$B$19:$G$19</c:f>
              <c:numCache>
                <c:formatCode>General</c:formatCode>
                <c:ptCount val="6"/>
                <c:pt idx="0">
                  <c:v>757</c:v>
                </c:pt>
                <c:pt idx="1">
                  <c:v>1511</c:v>
                </c:pt>
                <c:pt idx="2">
                  <c:v>1828</c:v>
                </c:pt>
                <c:pt idx="3">
                  <c:v>2460</c:v>
                </c:pt>
                <c:pt idx="4">
                  <c:v>2258</c:v>
                </c:pt>
                <c:pt idx="5">
                  <c:v>1295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CA6-6D4A-9BF9-ABF3145353C9}"/>
            </c:ext>
          </c:extLst>
        </c:ser>
        <c:ser>
          <c:idx val="3"/>
          <c:order val="3"/>
          <c:tx>
            <c:strRef>
              <c:f>Sheet1!$A$20</c:f>
              <c:strCache>
                <c:ptCount val="1"/>
                <c:pt idx="0">
                  <c:v>vRBT Playlists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Sheet1!$B$16:$G$16</c:f>
              <c:strCache>
                <c:ptCount val="6"/>
                <c:pt idx="0">
                  <c:v>Jan '25</c:v>
                </c:pt>
                <c:pt idx="1">
                  <c:v>Feb '25</c:v>
                </c:pt>
                <c:pt idx="2">
                  <c:v>Mar '25</c:v>
                </c:pt>
                <c:pt idx="3">
                  <c:v>Apr '25</c:v>
                </c:pt>
                <c:pt idx="4">
                  <c:v>May '25</c:v>
                </c:pt>
                <c:pt idx="5">
                  <c:v>Jun '25</c:v>
                </c:pt>
              </c:strCache>
            </c:strRef>
          </c:cat>
          <c:val>
            <c:numRef>
              <c:f>Sheet1!$B$20:$G$20</c:f>
              <c:numCache>
                <c:formatCode>General</c:formatCode>
                <c:ptCount val="6"/>
                <c:pt idx="0">
                  <c:v>182</c:v>
                </c:pt>
                <c:pt idx="1">
                  <c:v>331</c:v>
                </c:pt>
                <c:pt idx="2">
                  <c:v>463</c:v>
                </c:pt>
                <c:pt idx="3">
                  <c:v>741</c:v>
                </c:pt>
                <c:pt idx="4" formatCode="#,##0">
                  <c:v>1299</c:v>
                </c:pt>
                <c:pt idx="5" formatCode="#,##0">
                  <c:v>1286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CA6-6D4A-9BF9-ABF3145353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850101520"/>
        <c:axId val="1850103232"/>
      </c:barChart>
      <c:catAx>
        <c:axId val="1850101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0103232"/>
        <c:crosses val="autoZero"/>
        <c:auto val="1"/>
        <c:lblAlgn val="ctr"/>
        <c:lblOffset val="100"/>
        <c:noMultiLvlLbl val="0"/>
      </c:catAx>
      <c:valAx>
        <c:axId val="1850103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01015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Full</a:t>
            </a:r>
            <a:r>
              <a:rPr lang="en-US" baseline="0"/>
              <a:t> VR Agencies - T10 vs T7 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Sheet1!$A$23</c:f>
              <c:strCache>
                <c:ptCount val="1"/>
                <c:pt idx="0">
                  <c:v>T10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Sheet1!$B$22:$M$22</c:f>
              <c:strCache>
                <c:ptCount val="12"/>
                <c:pt idx="0">
                  <c:v>Aug '24</c:v>
                </c:pt>
                <c:pt idx="1">
                  <c:v>Sept '24</c:v>
                </c:pt>
                <c:pt idx="2">
                  <c:v>Oct '24</c:v>
                </c:pt>
                <c:pt idx="3">
                  <c:v>Nov '24</c:v>
                </c:pt>
                <c:pt idx="4">
                  <c:v>Dec '24</c:v>
                </c:pt>
                <c:pt idx="5">
                  <c:v>Jan '25</c:v>
                </c:pt>
                <c:pt idx="6">
                  <c:v>Feb '25</c:v>
                </c:pt>
                <c:pt idx="7">
                  <c:v>Mar '25</c:v>
                </c:pt>
                <c:pt idx="8">
                  <c:v>Apr '25</c:v>
                </c:pt>
                <c:pt idx="9">
                  <c:v>May '25</c:v>
                </c:pt>
                <c:pt idx="10">
                  <c:v>Jun '25</c:v>
                </c:pt>
                <c:pt idx="11">
                  <c:v>Jul '25</c:v>
                </c:pt>
              </c:strCache>
            </c:strRef>
          </c:cat>
          <c:val>
            <c:numRef>
              <c:f>Sheet1!$B$23:$M$23</c:f>
              <c:numCache>
                <c:formatCode>General</c:formatCode>
                <c:ptCount val="12"/>
                <c:pt idx="0">
                  <c:v>181</c:v>
                </c:pt>
                <c:pt idx="1">
                  <c:v>187</c:v>
                </c:pt>
                <c:pt idx="2">
                  <c:v>218</c:v>
                </c:pt>
                <c:pt idx="3">
                  <c:v>254</c:v>
                </c:pt>
                <c:pt idx="4">
                  <c:v>256</c:v>
                </c:pt>
                <c:pt idx="5">
                  <c:v>379</c:v>
                </c:pt>
                <c:pt idx="6">
                  <c:v>431</c:v>
                </c:pt>
                <c:pt idx="7">
                  <c:v>456</c:v>
                </c:pt>
                <c:pt idx="8">
                  <c:v>507</c:v>
                </c:pt>
                <c:pt idx="9">
                  <c:v>558</c:v>
                </c:pt>
                <c:pt idx="10">
                  <c:v>642</c:v>
                </c:pt>
                <c:pt idx="11" formatCode="#,##0">
                  <c:v>690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D6-E644-AB7C-E731A5A71682}"/>
            </c:ext>
          </c:extLst>
        </c:ser>
        <c:ser>
          <c:idx val="1"/>
          <c:order val="1"/>
          <c:tx>
            <c:strRef>
              <c:f>Sheet1!$A$24</c:f>
              <c:strCache>
                <c:ptCount val="1"/>
                <c:pt idx="0">
                  <c:v>T7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Sheet1!$B$22:$M$22</c:f>
              <c:strCache>
                <c:ptCount val="12"/>
                <c:pt idx="0">
                  <c:v>Aug '24</c:v>
                </c:pt>
                <c:pt idx="1">
                  <c:v>Sept '24</c:v>
                </c:pt>
                <c:pt idx="2">
                  <c:v>Oct '24</c:v>
                </c:pt>
                <c:pt idx="3">
                  <c:v>Nov '24</c:v>
                </c:pt>
                <c:pt idx="4">
                  <c:v>Dec '24</c:v>
                </c:pt>
                <c:pt idx="5">
                  <c:v>Jan '25</c:v>
                </c:pt>
                <c:pt idx="6">
                  <c:v>Feb '25</c:v>
                </c:pt>
                <c:pt idx="7">
                  <c:v>Mar '25</c:v>
                </c:pt>
                <c:pt idx="8">
                  <c:v>Apr '25</c:v>
                </c:pt>
                <c:pt idx="9">
                  <c:v>May '25</c:v>
                </c:pt>
                <c:pt idx="10">
                  <c:v>Jun '25</c:v>
                </c:pt>
                <c:pt idx="11">
                  <c:v>Jul '25</c:v>
                </c:pt>
              </c:strCache>
            </c:strRef>
          </c:cat>
          <c:val>
            <c:numRef>
              <c:f>Sheet1!$B$24:$M$24</c:f>
              <c:numCache>
                <c:formatCode>General</c:formatCode>
                <c:ptCount val="12"/>
                <c:pt idx="0">
                  <c:v>540</c:v>
                </c:pt>
                <c:pt idx="1">
                  <c:v>536</c:v>
                </c:pt>
                <c:pt idx="2">
                  <c:v>542</c:v>
                </c:pt>
                <c:pt idx="3">
                  <c:v>551</c:v>
                </c:pt>
                <c:pt idx="4">
                  <c:v>551</c:v>
                </c:pt>
                <c:pt idx="5">
                  <c:v>448</c:v>
                </c:pt>
                <c:pt idx="6">
                  <c:v>458</c:v>
                </c:pt>
                <c:pt idx="7">
                  <c:v>456</c:v>
                </c:pt>
                <c:pt idx="8">
                  <c:v>458</c:v>
                </c:pt>
                <c:pt idx="9">
                  <c:v>463</c:v>
                </c:pt>
                <c:pt idx="10">
                  <c:v>442</c:v>
                </c:pt>
                <c:pt idx="11" formatCode="#,##0">
                  <c:v>451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6D6-E644-AB7C-E731A5A716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-51"/>
        <c:axId val="1448514816"/>
        <c:axId val="1448837744"/>
      </c:barChart>
      <c:lineChart>
        <c:grouping val="standard"/>
        <c:varyColors val="0"/>
        <c:ser>
          <c:idx val="2"/>
          <c:order val="2"/>
          <c:tx>
            <c:strRef>
              <c:f>Sheet1!$A$25</c:f>
              <c:strCache>
                <c:ptCount val="1"/>
                <c:pt idx="0">
                  <c:v>% of Agencies T10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Sheet1!$B$22:$M$22</c:f>
              <c:strCache>
                <c:ptCount val="12"/>
                <c:pt idx="0">
                  <c:v>Aug '24</c:v>
                </c:pt>
                <c:pt idx="1">
                  <c:v>Sept '24</c:v>
                </c:pt>
                <c:pt idx="2">
                  <c:v>Oct '24</c:v>
                </c:pt>
                <c:pt idx="3">
                  <c:v>Nov '24</c:v>
                </c:pt>
                <c:pt idx="4">
                  <c:v>Dec '24</c:v>
                </c:pt>
                <c:pt idx="5">
                  <c:v>Jan '25</c:v>
                </c:pt>
                <c:pt idx="6">
                  <c:v>Feb '25</c:v>
                </c:pt>
                <c:pt idx="7">
                  <c:v>Mar '25</c:v>
                </c:pt>
                <c:pt idx="8">
                  <c:v>Apr '25</c:v>
                </c:pt>
                <c:pt idx="9">
                  <c:v>May '25</c:v>
                </c:pt>
                <c:pt idx="10">
                  <c:v>Jun '25</c:v>
                </c:pt>
                <c:pt idx="11">
                  <c:v>Jul '25</c:v>
                </c:pt>
              </c:strCache>
            </c:strRef>
          </c:cat>
          <c:val>
            <c:numRef>
              <c:f>Sheet1!$B$25:$M$25</c:f>
              <c:numCache>
                <c:formatCode>0%</c:formatCode>
                <c:ptCount val="12"/>
                <c:pt idx="0">
                  <c:v>0.25104022191400832</c:v>
                </c:pt>
                <c:pt idx="1">
                  <c:v>0.25864453665283543</c:v>
                </c:pt>
                <c:pt idx="2">
                  <c:v>0.2868421052631579</c:v>
                </c:pt>
                <c:pt idx="3">
                  <c:v>0.31552795031055902</c:v>
                </c:pt>
                <c:pt idx="4">
                  <c:v>0.31722428748451054</c:v>
                </c:pt>
                <c:pt idx="5">
                  <c:v>0.45828295042321643</c:v>
                </c:pt>
                <c:pt idx="6">
                  <c:v>0.48481439820022498</c:v>
                </c:pt>
                <c:pt idx="7">
                  <c:v>0.5</c:v>
                </c:pt>
                <c:pt idx="8">
                  <c:v>0.52538860103626939</c:v>
                </c:pt>
                <c:pt idx="9">
                  <c:v>0.54652301665034275</c:v>
                </c:pt>
                <c:pt idx="10">
                  <c:v>0.59225092250922506</c:v>
                </c:pt>
                <c:pt idx="11">
                  <c:v>0.6047326906222612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6D6-E644-AB7C-E731A5A716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17976560"/>
        <c:axId val="1417974448"/>
      </c:lineChart>
      <c:catAx>
        <c:axId val="1448514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8837744"/>
        <c:crosses val="autoZero"/>
        <c:auto val="1"/>
        <c:lblAlgn val="ctr"/>
        <c:lblOffset val="100"/>
        <c:noMultiLvlLbl val="0"/>
      </c:catAx>
      <c:valAx>
        <c:axId val="1448837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8514816"/>
        <c:crosses val="autoZero"/>
        <c:crossBetween val="between"/>
      </c:valAx>
      <c:valAx>
        <c:axId val="1417974448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7976560"/>
        <c:crosses val="max"/>
        <c:crossBetween val="between"/>
      </c:valAx>
      <c:catAx>
        <c:axId val="141797656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41797444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2025</a:t>
            </a:r>
            <a:r>
              <a:rPr lang="en-US" baseline="0"/>
              <a:t> APAP Trends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Sheet1!$AC$2</c:f>
              <c:strCache>
                <c:ptCount val="1"/>
                <c:pt idx="0">
                  <c:v>High Confidence Goal</c:v>
                </c:pt>
              </c:strCache>
            </c:strRef>
          </c:tx>
          <c:spPr>
            <a:ln w="34925" cap="rnd">
              <a:solidFill>
                <a:srgbClr val="FF0000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Sheet1!$AD$1:$AK$1</c:f>
              <c:strCache>
                <c:ptCount val="8"/>
                <c:pt idx="0">
                  <c:v>February</c:v>
                </c:pt>
                <c:pt idx="1">
                  <c:v>March</c:v>
                </c:pt>
                <c:pt idx="2">
                  <c:v>April</c:v>
                </c:pt>
                <c:pt idx="3">
                  <c:v>May</c:v>
                </c:pt>
                <c:pt idx="4">
                  <c:v>June</c:v>
                </c:pt>
                <c:pt idx="5">
                  <c:v>July</c:v>
                </c:pt>
                <c:pt idx="6">
                  <c:v>August</c:v>
                </c:pt>
                <c:pt idx="7">
                  <c:v>September</c:v>
                </c:pt>
              </c:strCache>
            </c:strRef>
          </c:cat>
          <c:val>
            <c:numRef>
              <c:f>Sheet1!$AD$2:$AK$2</c:f>
              <c:numCache>
                <c:formatCode>0.00%</c:formatCode>
                <c:ptCount val="8"/>
                <c:pt idx="0">
                  <c:v>0.317</c:v>
                </c:pt>
                <c:pt idx="1">
                  <c:v>0.317</c:v>
                </c:pt>
                <c:pt idx="2">
                  <c:v>0.317</c:v>
                </c:pt>
                <c:pt idx="3">
                  <c:v>0.317</c:v>
                </c:pt>
                <c:pt idx="4">
                  <c:v>0.317</c:v>
                </c:pt>
                <c:pt idx="5">
                  <c:v>0.317</c:v>
                </c:pt>
                <c:pt idx="6">
                  <c:v>0.317</c:v>
                </c:pt>
                <c:pt idx="7">
                  <c:v>0.317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26F-794D-8D0F-79586C70FF75}"/>
            </c:ext>
          </c:extLst>
        </c:ser>
        <c:ser>
          <c:idx val="1"/>
          <c:order val="1"/>
          <c:tx>
            <c:strRef>
              <c:f>Sheet1!$AC$3</c:f>
              <c:strCache>
                <c:ptCount val="1"/>
                <c:pt idx="0">
                  <c:v>Hard Climb Goal</c:v>
                </c:pt>
              </c:strCache>
            </c:strRef>
          </c:tx>
          <c:spPr>
            <a:ln w="34925" cap="rnd">
              <a:solidFill>
                <a:srgbClr val="FFFF00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Sheet1!$AD$1:$AK$1</c:f>
              <c:strCache>
                <c:ptCount val="8"/>
                <c:pt idx="0">
                  <c:v>February</c:v>
                </c:pt>
                <c:pt idx="1">
                  <c:v>March</c:v>
                </c:pt>
                <c:pt idx="2">
                  <c:v>April</c:v>
                </c:pt>
                <c:pt idx="3">
                  <c:v>May</c:v>
                </c:pt>
                <c:pt idx="4">
                  <c:v>June</c:v>
                </c:pt>
                <c:pt idx="5">
                  <c:v>July</c:v>
                </c:pt>
                <c:pt idx="6">
                  <c:v>August</c:v>
                </c:pt>
                <c:pt idx="7">
                  <c:v>September</c:v>
                </c:pt>
              </c:strCache>
            </c:strRef>
          </c:cat>
          <c:val>
            <c:numRef>
              <c:f>Sheet1!$AD$3:$AK$3</c:f>
              <c:numCache>
                <c:formatCode>0.00%</c:formatCode>
                <c:ptCount val="8"/>
                <c:pt idx="0">
                  <c:v>0.43099999999999999</c:v>
                </c:pt>
                <c:pt idx="1">
                  <c:v>0.43099999999999999</c:v>
                </c:pt>
                <c:pt idx="2">
                  <c:v>0.43099999999999999</c:v>
                </c:pt>
                <c:pt idx="3">
                  <c:v>0.43099999999999999</c:v>
                </c:pt>
                <c:pt idx="4">
                  <c:v>0.43099999999999999</c:v>
                </c:pt>
                <c:pt idx="5">
                  <c:v>0.43099999999999999</c:v>
                </c:pt>
                <c:pt idx="6">
                  <c:v>0.43099999999999999</c:v>
                </c:pt>
                <c:pt idx="7">
                  <c:v>0.43099999999999999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26F-794D-8D0F-79586C70FF75}"/>
            </c:ext>
          </c:extLst>
        </c:ser>
        <c:ser>
          <c:idx val="2"/>
          <c:order val="2"/>
          <c:tx>
            <c:strRef>
              <c:f>Sheet1!$AC$4</c:f>
              <c:strCache>
                <c:ptCount val="1"/>
                <c:pt idx="0">
                  <c:v>APAP %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Sheet1!$AD$1:$AK$1</c:f>
              <c:strCache>
                <c:ptCount val="8"/>
                <c:pt idx="0">
                  <c:v>February</c:v>
                </c:pt>
                <c:pt idx="1">
                  <c:v>March</c:v>
                </c:pt>
                <c:pt idx="2">
                  <c:v>April</c:v>
                </c:pt>
                <c:pt idx="3">
                  <c:v>May</c:v>
                </c:pt>
                <c:pt idx="4">
                  <c:v>June</c:v>
                </c:pt>
                <c:pt idx="5">
                  <c:v>July</c:v>
                </c:pt>
                <c:pt idx="6">
                  <c:v>August</c:v>
                </c:pt>
                <c:pt idx="7">
                  <c:v>September</c:v>
                </c:pt>
              </c:strCache>
            </c:strRef>
          </c:cat>
          <c:val>
            <c:numRef>
              <c:f>Sheet1!$AD$4:$AK$4</c:f>
              <c:numCache>
                <c:formatCode>0.00%</c:formatCode>
                <c:ptCount val="8"/>
                <c:pt idx="0">
                  <c:v>3.1E-2</c:v>
                </c:pt>
                <c:pt idx="1">
                  <c:v>3.5999999999999997E-2</c:v>
                </c:pt>
                <c:pt idx="2">
                  <c:v>0.04</c:v>
                </c:pt>
                <c:pt idx="3">
                  <c:v>4.2000000000000003E-2</c:v>
                </c:pt>
                <c:pt idx="4">
                  <c:v>4.2999999999999997E-2</c:v>
                </c:pt>
                <c:pt idx="5">
                  <c:v>8.3000000000000004E-2</c:v>
                </c:pt>
                <c:pt idx="6">
                  <c:v>0.10100000000000001</c:v>
                </c:pt>
                <c:pt idx="7">
                  <c:v>9.5000000000000001E-2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26F-794D-8D0F-79586C70FF75}"/>
            </c:ext>
          </c:extLst>
        </c:ser>
        <c:ser>
          <c:idx val="3"/>
          <c:order val="3"/>
          <c:tx>
            <c:strRef>
              <c:f>Sheet1!$AC$5</c:f>
              <c:strCache>
                <c:ptCount val="1"/>
                <c:pt idx="0">
                  <c:v>Shadow Goal %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Sheet1!$AD$1:$AK$1</c:f>
              <c:strCache>
                <c:ptCount val="8"/>
                <c:pt idx="0">
                  <c:v>February</c:v>
                </c:pt>
                <c:pt idx="1">
                  <c:v>March</c:v>
                </c:pt>
                <c:pt idx="2">
                  <c:v>April</c:v>
                </c:pt>
                <c:pt idx="3">
                  <c:v>May</c:v>
                </c:pt>
                <c:pt idx="4">
                  <c:v>June</c:v>
                </c:pt>
                <c:pt idx="5">
                  <c:v>July</c:v>
                </c:pt>
                <c:pt idx="6">
                  <c:v>August</c:v>
                </c:pt>
                <c:pt idx="7">
                  <c:v>September</c:v>
                </c:pt>
              </c:strCache>
            </c:strRef>
          </c:cat>
          <c:val>
            <c:numRef>
              <c:f>Sheet1!$AD$5:$AK$5</c:f>
              <c:numCache>
                <c:formatCode>0.00%</c:formatCode>
                <c:ptCount val="8"/>
                <c:pt idx="0">
                  <c:v>0.11</c:v>
                </c:pt>
                <c:pt idx="1">
                  <c:v>0.129</c:v>
                </c:pt>
                <c:pt idx="2">
                  <c:v>0.13200000000000001</c:v>
                </c:pt>
                <c:pt idx="3">
                  <c:v>0.14099999999999999</c:v>
                </c:pt>
                <c:pt idx="4">
                  <c:v>0.152</c:v>
                </c:pt>
                <c:pt idx="5">
                  <c:v>0.155</c:v>
                </c:pt>
                <c:pt idx="6">
                  <c:v>0.17599999999999999</c:v>
                </c:pt>
                <c:pt idx="7">
                  <c:v>0.184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26F-794D-8D0F-79586C70FF75}"/>
            </c:ext>
          </c:extLst>
        </c:ser>
        <c:ser>
          <c:idx val="4"/>
          <c:order val="4"/>
          <c:tx>
            <c:strRef>
              <c:f>Sheet1!$AC$7</c:f>
              <c:strCache>
                <c:ptCount val="1"/>
                <c:pt idx="0">
                  <c:v>1+ SIM  %</c:v>
                </c:pt>
              </c:strCache>
            </c:strRef>
          </c:tx>
          <c:spPr>
            <a:ln w="34925" cap="rnd">
              <a:solidFill>
                <a:schemeClr val="accent5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Sheet1!$AD$1:$AK$1</c:f>
              <c:strCache>
                <c:ptCount val="8"/>
                <c:pt idx="0">
                  <c:v>February</c:v>
                </c:pt>
                <c:pt idx="1">
                  <c:v>March</c:v>
                </c:pt>
                <c:pt idx="2">
                  <c:v>April</c:v>
                </c:pt>
                <c:pt idx="3">
                  <c:v>May</c:v>
                </c:pt>
                <c:pt idx="4">
                  <c:v>June</c:v>
                </c:pt>
                <c:pt idx="5">
                  <c:v>July</c:v>
                </c:pt>
                <c:pt idx="6">
                  <c:v>August</c:v>
                </c:pt>
                <c:pt idx="7">
                  <c:v>September</c:v>
                </c:pt>
              </c:strCache>
            </c:strRef>
          </c:cat>
          <c:val>
            <c:numRef>
              <c:f>Sheet1!$AD$7:$AK$7</c:f>
              <c:numCache>
                <c:formatCode>0.00%</c:formatCode>
                <c:ptCount val="8"/>
                <c:pt idx="0">
                  <c:v>0.14099999999999999</c:v>
                </c:pt>
                <c:pt idx="1">
                  <c:v>0.16500000000000001</c:v>
                </c:pt>
                <c:pt idx="2">
                  <c:v>0.189</c:v>
                </c:pt>
                <c:pt idx="3">
                  <c:v>0.2</c:v>
                </c:pt>
                <c:pt idx="4">
                  <c:v>0.22900000000000001</c:v>
                </c:pt>
                <c:pt idx="5">
                  <c:v>0.247</c:v>
                </c:pt>
                <c:pt idx="6">
                  <c:v>0.27400000000000002</c:v>
                </c:pt>
                <c:pt idx="7">
                  <c:v>0.30199999999999999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26F-794D-8D0F-79586C70FF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2222719"/>
        <c:axId val="462261727"/>
      </c:lineChart>
      <c:catAx>
        <c:axId val="4622227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2261727"/>
        <c:crosses val="autoZero"/>
        <c:auto val="1"/>
        <c:lblAlgn val="ctr"/>
        <c:lblOffset val="100"/>
        <c:noMultiLvlLbl val="0"/>
      </c:catAx>
      <c:valAx>
        <c:axId val="462261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22227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0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254000</xdr:colOff>
      <xdr:row>27</xdr:row>
      <xdr:rowOff>50800</xdr:rowOff>
    </xdr:from>
    <xdr:to>
      <xdr:col>10</xdr:col>
      <xdr:colOff>406400</xdr:colOff>
      <xdr:row>41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4D99612-E088-A31F-AE2B-244F831430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558800</xdr:colOff>
      <xdr:row>8</xdr:row>
      <xdr:rowOff>152400</xdr:rowOff>
    </xdr:from>
    <xdr:to>
      <xdr:col>25</xdr:col>
      <xdr:colOff>673100</xdr:colOff>
      <xdr:row>21</xdr:row>
      <xdr:rowOff>82550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545532E-0124-8681-41AB-7618209C34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292100</xdr:colOff>
      <xdr:row>31</xdr:row>
      <xdr:rowOff>177800</xdr:rowOff>
    </xdr:from>
    <xdr:to>
      <xdr:col>20</xdr:col>
      <xdr:colOff>304800</xdr:colOff>
      <xdr:row>44</xdr:row>
      <xdr:rowOff>101600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290431F-C649-7444-D2BF-A88D0EAB84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615950</xdr:colOff>
      <xdr:row>42</xdr:row>
      <xdr:rowOff>0</xdr:rowOff>
    </xdr:from>
    <xdr:to>
      <xdr:col>10</xdr:col>
      <xdr:colOff>44450</xdr:colOff>
      <xdr:row>55</xdr:row>
      <xdr:rowOff>101600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A69DD26-5CC8-D85B-1063-8BE6EAFC5A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28</xdr:col>
      <xdr:colOff>1035050</xdr:colOff>
      <xdr:row>15</xdr:row>
      <xdr:rowOff>165100</xdr:rowOff>
    </xdr:from>
    <xdr:to>
      <xdr:col>38</xdr:col>
      <xdr:colOff>241300</xdr:colOff>
      <xdr:row>37</xdr:row>
      <xdr:rowOff>165100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1508B97-3067-5A47-532E-E15695E12A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4FE35-EF0C-2C46-9575-D2AB39C5816B}">
  <dimension ref="A1:AK29"/>
  <sheetViews>
    <sheetView tabSelected="1" workbookViewId="0">
      <selection activeCell="P3" sqref="P3"/>
    </sheetView>
  </sheetViews>
  <sheetFormatPr baseColWidth="10" defaultRowHeight="16" x14ac:dyDescent="0.2"/>
  <cols>
    <col min="1" max="1" width="24.5" bestFit="1" customWidth="1"/>
    <col min="2" max="2" width="10.6640625" bestFit="1" customWidth="1"/>
    <col min="3" max="8" width="11.6640625" bestFit="1" customWidth="1"/>
    <col min="9" max="9" width="7.1640625" bestFit="1" customWidth="1"/>
    <col min="10" max="10" width="6.83203125" bestFit="1" customWidth="1"/>
    <col min="11" max="11" width="7.33203125" bestFit="1" customWidth="1"/>
    <col min="12" max="12" width="6.6640625" bestFit="1" customWidth="1"/>
    <col min="29" max="29" width="19.83203125" bestFit="1" customWidth="1"/>
  </cols>
  <sheetData>
    <row r="1" spans="1:37" x14ac:dyDescent="0.2">
      <c r="A1" s="1" t="s">
        <v>0</v>
      </c>
      <c r="B1" s="5" t="s">
        <v>5</v>
      </c>
      <c r="C1" s="5" t="s">
        <v>6</v>
      </c>
      <c r="D1" s="5" t="s">
        <v>7</v>
      </c>
      <c r="E1" s="5" t="s">
        <v>8</v>
      </c>
      <c r="F1" s="5" t="s">
        <v>9</v>
      </c>
      <c r="G1" s="5" t="s">
        <v>10</v>
      </c>
      <c r="H1" s="5" t="s">
        <v>11</v>
      </c>
      <c r="I1" s="5" t="s">
        <v>12</v>
      </c>
      <c r="J1" s="5" t="s">
        <v>13</v>
      </c>
      <c r="K1" s="5" t="s">
        <v>14</v>
      </c>
      <c r="L1" s="5" t="s">
        <v>15</v>
      </c>
      <c r="M1" s="5" t="s">
        <v>27</v>
      </c>
      <c r="N1" s="5" t="s">
        <v>28</v>
      </c>
      <c r="O1" s="5" t="s">
        <v>30</v>
      </c>
      <c r="P1" s="5" t="s">
        <v>50</v>
      </c>
      <c r="AD1" s="15" t="s">
        <v>31</v>
      </c>
      <c r="AE1" s="15" t="s">
        <v>32</v>
      </c>
      <c r="AF1" s="15" t="s">
        <v>33</v>
      </c>
      <c r="AG1" s="15" t="s">
        <v>34</v>
      </c>
      <c r="AH1" s="15" t="s">
        <v>35</v>
      </c>
      <c r="AI1" s="15" t="s">
        <v>36</v>
      </c>
      <c r="AJ1" s="15" t="s">
        <v>37</v>
      </c>
      <c r="AK1" s="15" t="s">
        <v>38</v>
      </c>
    </row>
    <row r="2" spans="1:37" x14ac:dyDescent="0.2">
      <c r="A2" s="2" t="s">
        <v>1</v>
      </c>
      <c r="B2" s="4">
        <v>2709</v>
      </c>
      <c r="C2" s="4">
        <v>2730</v>
      </c>
      <c r="D2" s="4">
        <v>5317</v>
      </c>
      <c r="E2" s="4">
        <v>5531</v>
      </c>
      <c r="F2" s="4">
        <v>5677</v>
      </c>
      <c r="G2" s="4">
        <v>3361</v>
      </c>
      <c r="H2" s="4">
        <v>3240</v>
      </c>
      <c r="I2" s="4">
        <v>2855</v>
      </c>
      <c r="J2" s="4">
        <v>3763</v>
      </c>
      <c r="K2" s="4">
        <v>3319</v>
      </c>
      <c r="L2" s="4">
        <v>3184</v>
      </c>
      <c r="M2" s="4">
        <v>3312</v>
      </c>
      <c r="N2" s="4">
        <v>3561</v>
      </c>
      <c r="O2" s="4">
        <v>2516</v>
      </c>
      <c r="P2" s="4">
        <v>1880</v>
      </c>
      <c r="Q2" s="13">
        <f>(N2-B2)/B2</f>
        <v>0.31450719822812845</v>
      </c>
      <c r="R2" s="11">
        <f>(AVERAGE(K2:M2)-B2)/B2</f>
        <v>0.20770271933062626</v>
      </c>
      <c r="S2" s="11">
        <f>(AVERAGE(L2:N2)-B2)/B2</f>
        <v>0.23748000492186544</v>
      </c>
      <c r="AC2" t="s">
        <v>48</v>
      </c>
      <c r="AD2" s="17">
        <v>0.317</v>
      </c>
      <c r="AE2" s="17">
        <v>0.317</v>
      </c>
      <c r="AF2" s="17">
        <v>0.317</v>
      </c>
      <c r="AG2" s="17">
        <v>0.317</v>
      </c>
      <c r="AH2" s="17">
        <v>0.317</v>
      </c>
      <c r="AI2" s="17">
        <v>0.317</v>
      </c>
      <c r="AJ2" s="17">
        <v>0.317</v>
      </c>
      <c r="AK2" s="17">
        <v>0.317</v>
      </c>
    </row>
    <row r="3" spans="1:37" x14ac:dyDescent="0.2">
      <c r="A3" s="2" t="s">
        <v>2</v>
      </c>
      <c r="B3" s="4">
        <v>9646</v>
      </c>
      <c r="C3" s="4">
        <v>6413</v>
      </c>
      <c r="D3" s="4">
        <v>8787</v>
      </c>
      <c r="E3" s="4">
        <v>7633</v>
      </c>
      <c r="F3" s="4">
        <v>6818</v>
      </c>
      <c r="G3" s="4">
        <v>8744</v>
      </c>
      <c r="H3" s="4">
        <v>12590</v>
      </c>
      <c r="I3" s="4">
        <v>15373</v>
      </c>
      <c r="J3" s="4">
        <v>17931</v>
      </c>
      <c r="K3" s="4">
        <v>17165</v>
      </c>
      <c r="L3" s="4">
        <v>17964</v>
      </c>
      <c r="M3" s="14">
        <v>20302</v>
      </c>
      <c r="N3" s="4">
        <v>18230</v>
      </c>
      <c r="O3" s="4">
        <v>21556</v>
      </c>
      <c r="P3" s="4">
        <v>23929</v>
      </c>
      <c r="Q3" s="13">
        <f>(N3-B3)/B3</f>
        <v>0.88990255027990872</v>
      </c>
      <c r="R3" s="11">
        <f>(AVERAGE(K3:M3)-B3)/B3</f>
        <v>0.9155090192826042</v>
      </c>
      <c r="S3" s="11">
        <f>(AVERAGE(L3:N3)-B3)/B3</f>
        <v>0.95231183910429196</v>
      </c>
      <c r="AC3" t="s">
        <v>49</v>
      </c>
      <c r="AD3" s="17">
        <v>0.43099999999999999</v>
      </c>
      <c r="AE3" s="17">
        <v>0.43099999999999999</v>
      </c>
      <c r="AF3" s="17">
        <v>0.43099999999999999</v>
      </c>
      <c r="AG3" s="17">
        <v>0.43099999999999999</v>
      </c>
      <c r="AH3" s="17">
        <v>0.43099999999999999</v>
      </c>
      <c r="AI3" s="17">
        <v>0.43099999999999999</v>
      </c>
      <c r="AJ3" s="17">
        <v>0.43099999999999999</v>
      </c>
      <c r="AK3" s="17">
        <v>0.43099999999999999</v>
      </c>
    </row>
    <row r="4" spans="1:37" x14ac:dyDescent="0.2">
      <c r="A4" s="2" t="s">
        <v>3</v>
      </c>
      <c r="B4" s="4">
        <v>5719</v>
      </c>
      <c r="C4" s="4">
        <v>5049</v>
      </c>
      <c r="D4" s="4">
        <v>6183</v>
      </c>
      <c r="E4" s="4">
        <v>6105</v>
      </c>
      <c r="F4" s="4">
        <v>4352</v>
      </c>
      <c r="G4" s="4">
        <v>5588</v>
      </c>
      <c r="H4" s="4">
        <v>8069</v>
      </c>
      <c r="I4" s="4">
        <v>6916</v>
      </c>
      <c r="J4" s="4">
        <v>7879</v>
      </c>
      <c r="K4" s="4">
        <v>9011</v>
      </c>
      <c r="L4" s="4">
        <v>8436</v>
      </c>
      <c r="M4" s="4">
        <v>10038</v>
      </c>
      <c r="N4" s="4">
        <v>7251</v>
      </c>
      <c r="O4" s="4">
        <v>9833</v>
      </c>
      <c r="P4" s="4">
        <v>7115</v>
      </c>
      <c r="Q4" s="13">
        <f>(N4-B4)/B4</f>
        <v>0.26787899982514424</v>
      </c>
      <c r="R4" s="11">
        <f>(AVERAGE(K4:M4)-B4)/B4</f>
        <v>0.60197004138252597</v>
      </c>
      <c r="S4" s="11">
        <f>(AVERAGE(L4:N4)-B4)/B4</f>
        <v>0.49938800489596086</v>
      </c>
      <c r="AC4" s="15" t="s">
        <v>47</v>
      </c>
      <c r="AD4" s="20">
        <v>3.1E-2</v>
      </c>
      <c r="AE4" s="20">
        <v>3.5999999999999997E-2</v>
      </c>
      <c r="AF4" s="20">
        <v>0.04</v>
      </c>
      <c r="AG4" s="20">
        <v>4.2000000000000003E-2</v>
      </c>
      <c r="AH4" s="20">
        <v>4.2999999999999997E-2</v>
      </c>
      <c r="AI4" s="20">
        <v>8.3000000000000004E-2</v>
      </c>
      <c r="AJ4" s="20">
        <v>0.10100000000000001</v>
      </c>
      <c r="AK4" s="20">
        <v>9.5000000000000001E-2</v>
      </c>
    </row>
    <row r="5" spans="1:37" x14ac:dyDescent="0.2">
      <c r="A5" s="2" t="s">
        <v>4</v>
      </c>
      <c r="B5" s="4">
        <v>1541</v>
      </c>
      <c r="C5" s="4">
        <v>1471</v>
      </c>
      <c r="D5" s="4">
        <v>2320</v>
      </c>
      <c r="E5" s="4">
        <v>2516</v>
      </c>
      <c r="F5" s="4">
        <v>1935</v>
      </c>
      <c r="G5" s="4">
        <v>2493</v>
      </c>
      <c r="H5" s="4">
        <v>3061</v>
      </c>
      <c r="I5" s="4">
        <v>3273</v>
      </c>
      <c r="J5" s="4">
        <v>3271</v>
      </c>
      <c r="K5" s="4">
        <v>3593</v>
      </c>
      <c r="L5" s="4">
        <v>3437</v>
      </c>
      <c r="M5" s="4">
        <v>5354</v>
      </c>
      <c r="N5" s="4">
        <v>4296</v>
      </c>
      <c r="O5" s="4">
        <v>3496</v>
      </c>
      <c r="P5" s="4">
        <v>4498</v>
      </c>
      <c r="Q5" s="13">
        <f>(N5-B5)/B5</f>
        <v>1.7878001297858532</v>
      </c>
      <c r="R5" s="11">
        <f>(AVERAGE(K5:M5)-B5)/B5</f>
        <v>1.6787800129785853</v>
      </c>
      <c r="S5" s="11">
        <f>(AVERAGE(L5:N5)-B5)/B5</f>
        <v>1.8308457711442785</v>
      </c>
      <c r="AC5" s="15" t="s">
        <v>41</v>
      </c>
      <c r="AD5" s="20">
        <v>0.11</v>
      </c>
      <c r="AE5" s="20">
        <v>0.129</v>
      </c>
      <c r="AF5" s="20">
        <v>0.13200000000000001</v>
      </c>
      <c r="AG5" s="20">
        <v>0.14099999999999999</v>
      </c>
      <c r="AH5" s="20">
        <v>0.152</v>
      </c>
      <c r="AI5" s="20">
        <v>0.155</v>
      </c>
      <c r="AJ5" s="20">
        <v>0.17599999999999999</v>
      </c>
      <c r="AK5" s="20">
        <v>0.184</v>
      </c>
    </row>
    <row r="6" spans="1:37" x14ac:dyDescent="0.2">
      <c r="A6" s="2" t="s">
        <v>51</v>
      </c>
      <c r="B6" s="4">
        <v>0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559</v>
      </c>
    </row>
    <row r="7" spans="1:37" x14ac:dyDescent="0.2">
      <c r="B7" s="3">
        <f>SUM(B2:B6)</f>
        <v>19615</v>
      </c>
      <c r="C7" s="3">
        <f>SUM(C2:C5)</f>
        <v>15663</v>
      </c>
      <c r="D7" s="3">
        <f t="shared" ref="D7:K7" si="0">SUM(D2:D5)</f>
        <v>22607</v>
      </c>
      <c r="E7" s="3">
        <f t="shared" si="0"/>
        <v>21785</v>
      </c>
      <c r="F7" s="3">
        <f t="shared" si="0"/>
        <v>18782</v>
      </c>
      <c r="G7" s="3">
        <f t="shared" si="0"/>
        <v>20186</v>
      </c>
      <c r="H7" s="3">
        <f t="shared" si="0"/>
        <v>26960</v>
      </c>
      <c r="I7" s="3">
        <f t="shared" si="0"/>
        <v>28417</v>
      </c>
      <c r="J7" s="3">
        <f t="shared" si="0"/>
        <v>32844</v>
      </c>
      <c r="K7" s="3">
        <f t="shared" si="0"/>
        <v>33088</v>
      </c>
      <c r="L7" s="3">
        <f>SUM(L2:L5)</f>
        <v>33021</v>
      </c>
      <c r="M7" s="3">
        <f>SUM(M2:M5)</f>
        <v>39006</v>
      </c>
      <c r="N7" s="3">
        <f>SUM(N2:N5)</f>
        <v>33338</v>
      </c>
      <c r="O7" s="3">
        <f>SUM(O2:O5)</f>
        <v>37401</v>
      </c>
      <c r="P7" s="3">
        <f>SUM(P2:P5)</f>
        <v>37422</v>
      </c>
      <c r="AC7" s="15" t="s">
        <v>44</v>
      </c>
      <c r="AD7" s="18">
        <v>0.14099999999999999</v>
      </c>
      <c r="AE7" s="18">
        <v>0.16500000000000001</v>
      </c>
      <c r="AF7" s="18">
        <v>0.189</v>
      </c>
      <c r="AG7" s="18">
        <v>0.2</v>
      </c>
      <c r="AH7" s="18">
        <v>0.22900000000000001</v>
      </c>
      <c r="AI7" s="18">
        <v>0.247</v>
      </c>
      <c r="AJ7" s="18">
        <v>0.27400000000000002</v>
      </c>
      <c r="AK7" s="18">
        <v>0.30199999999999999</v>
      </c>
    </row>
    <row r="8" spans="1:37" x14ac:dyDescent="0.2">
      <c r="L8" s="11">
        <f>(L7-B7)/B7</f>
        <v>0.68345653836349729</v>
      </c>
      <c r="M8" s="11">
        <f>(M7-B7)/B7</f>
        <v>0.98858016823859296</v>
      </c>
      <c r="N8" s="11">
        <f>(N7-B7)/B7</f>
        <v>0.69961763956155998</v>
      </c>
      <c r="O8" s="11">
        <f>(O7-C7)/C7</f>
        <v>1.3878567324267381</v>
      </c>
      <c r="P8" s="11">
        <f>(P7-D7)/D7</f>
        <v>0.65532799575352763</v>
      </c>
      <c r="AC8" s="15" t="s">
        <v>43</v>
      </c>
      <c r="AD8" s="15">
        <v>176</v>
      </c>
      <c r="AE8" s="15">
        <v>193</v>
      </c>
      <c r="AF8" s="15">
        <v>212</v>
      </c>
      <c r="AG8" s="15">
        <v>358</v>
      </c>
      <c r="AH8" s="15">
        <v>296</v>
      </c>
      <c r="AI8" s="15">
        <v>325</v>
      </c>
      <c r="AJ8" s="15">
        <v>424</v>
      </c>
      <c r="AK8" s="15">
        <v>465</v>
      </c>
    </row>
    <row r="9" spans="1:37" x14ac:dyDescent="0.2">
      <c r="N9" s="12">
        <f>AVERAGE(S2:S5)</f>
        <v>0.88000640501659921</v>
      </c>
      <c r="AC9" s="15" t="s">
        <v>46</v>
      </c>
      <c r="AD9" s="19">
        <v>21</v>
      </c>
      <c r="AE9" s="19">
        <v>26</v>
      </c>
      <c r="AF9" s="19">
        <v>34</v>
      </c>
      <c r="AG9" s="19">
        <v>42</v>
      </c>
      <c r="AH9" s="19">
        <v>49</v>
      </c>
      <c r="AI9" s="19">
        <v>69</v>
      </c>
      <c r="AJ9" s="19">
        <v>95</v>
      </c>
      <c r="AK9" s="19">
        <v>96</v>
      </c>
    </row>
    <row r="10" spans="1:37" x14ac:dyDescent="0.2">
      <c r="B10" s="5" t="s">
        <v>10</v>
      </c>
      <c r="C10" s="5" t="s">
        <v>11</v>
      </c>
      <c r="D10" s="5" t="s">
        <v>12</v>
      </c>
      <c r="E10" s="5" t="s">
        <v>13</v>
      </c>
      <c r="F10" s="5" t="s">
        <v>14</v>
      </c>
      <c r="G10" s="5" t="s">
        <v>15</v>
      </c>
      <c r="H10" s="5" t="s">
        <v>27</v>
      </c>
      <c r="AC10" s="15" t="s">
        <v>40</v>
      </c>
      <c r="AD10" s="19">
        <v>132</v>
      </c>
      <c r="AE10" s="19">
        <v>148</v>
      </c>
      <c r="AF10" s="19">
        <v>159</v>
      </c>
      <c r="AG10" s="19">
        <v>293</v>
      </c>
      <c r="AH10" s="19">
        <v>229</v>
      </c>
      <c r="AI10" s="19">
        <v>252</v>
      </c>
      <c r="AJ10" s="19">
        <v>330</v>
      </c>
      <c r="AK10" s="15">
        <v>357</v>
      </c>
    </row>
    <row r="11" spans="1:37" x14ac:dyDescent="0.2">
      <c r="A11" t="s">
        <v>16</v>
      </c>
      <c r="B11" s="4">
        <v>253192</v>
      </c>
      <c r="C11" s="4">
        <v>492414</v>
      </c>
      <c r="D11" s="4">
        <v>633925</v>
      </c>
      <c r="E11" s="4">
        <v>730774</v>
      </c>
      <c r="F11" s="4">
        <v>701054</v>
      </c>
      <c r="G11" s="4">
        <v>488369</v>
      </c>
      <c r="H11" s="4">
        <v>17636</v>
      </c>
      <c r="AC11" s="15" t="s">
        <v>45</v>
      </c>
      <c r="AD11" s="14">
        <v>4294</v>
      </c>
      <c r="AE11" s="14">
        <v>4914</v>
      </c>
      <c r="AF11" s="14">
        <v>5601</v>
      </c>
      <c r="AG11" s="14">
        <v>6265</v>
      </c>
      <c r="AH11" s="14">
        <v>6737</v>
      </c>
      <c r="AI11" s="14">
        <v>14798</v>
      </c>
      <c r="AJ11" s="14">
        <v>18516</v>
      </c>
      <c r="AK11" s="14">
        <v>18135</v>
      </c>
    </row>
    <row r="12" spans="1:37" x14ac:dyDescent="0.2">
      <c r="A12" t="s">
        <v>17</v>
      </c>
      <c r="B12" s="6">
        <v>30596</v>
      </c>
      <c r="C12" s="6">
        <v>40019</v>
      </c>
      <c r="D12" s="6">
        <v>34860</v>
      </c>
      <c r="E12" s="6">
        <v>46658</v>
      </c>
      <c r="F12" s="6">
        <v>45461</v>
      </c>
      <c r="G12" s="6">
        <v>36520</v>
      </c>
      <c r="H12" s="4">
        <v>35617</v>
      </c>
      <c r="AC12" s="15" t="s">
        <v>39</v>
      </c>
      <c r="AD12" s="14">
        <v>15051</v>
      </c>
      <c r="AE12" s="14">
        <v>17787</v>
      </c>
      <c r="AF12" s="14">
        <v>18635</v>
      </c>
      <c r="AG12" s="14">
        <v>20935</v>
      </c>
      <c r="AH12" s="14">
        <v>23806</v>
      </c>
      <c r="AI12" s="14">
        <v>27258</v>
      </c>
      <c r="AJ12" s="14">
        <v>32327</v>
      </c>
      <c r="AK12" s="16">
        <v>34889</v>
      </c>
    </row>
    <row r="13" spans="1:37" x14ac:dyDescent="0.2">
      <c r="A13" s="8" t="s">
        <v>18</v>
      </c>
      <c r="B13" s="7">
        <v>6846832</v>
      </c>
      <c r="C13" s="7">
        <v>12341644</v>
      </c>
      <c r="D13" s="7">
        <v>15055425</v>
      </c>
      <c r="E13" s="7">
        <v>17679154</v>
      </c>
      <c r="F13" s="7">
        <v>16995184</v>
      </c>
      <c r="G13" s="7">
        <v>12081749</v>
      </c>
      <c r="H13" s="7">
        <v>12081749</v>
      </c>
      <c r="AC13" s="15" t="s">
        <v>42</v>
      </c>
      <c r="AD13" s="16">
        <v>19190</v>
      </c>
      <c r="AE13" s="16">
        <v>22718</v>
      </c>
      <c r="AF13" s="16">
        <v>26591</v>
      </c>
      <c r="AG13" s="16">
        <v>29611</v>
      </c>
      <c r="AH13" s="16">
        <v>35918</v>
      </c>
      <c r="AI13" s="16">
        <v>43499</v>
      </c>
      <c r="AJ13" s="16">
        <v>50235</v>
      </c>
      <c r="AK13" s="16">
        <v>57294</v>
      </c>
    </row>
    <row r="14" spans="1:37" x14ac:dyDescent="0.2">
      <c r="H14" s="4"/>
    </row>
    <row r="16" spans="1:37" x14ac:dyDescent="0.2">
      <c r="B16" s="5" t="s">
        <v>10</v>
      </c>
      <c r="C16" s="5" t="s">
        <v>11</v>
      </c>
      <c r="D16" s="5" t="s">
        <v>12</v>
      </c>
      <c r="E16" s="5" t="s">
        <v>13</v>
      </c>
      <c r="F16" s="5" t="s">
        <v>14</v>
      </c>
      <c r="G16" s="5" t="s">
        <v>15</v>
      </c>
      <c r="H16" s="5" t="s">
        <v>27</v>
      </c>
      <c r="K16" s="3">
        <f>B7</f>
        <v>19615</v>
      </c>
      <c r="L16" s="3">
        <f>M7</f>
        <v>39006</v>
      </c>
    </row>
    <row r="17" spans="1:14" x14ac:dyDescent="0.2">
      <c r="A17" s="2" t="s">
        <v>19</v>
      </c>
      <c r="B17">
        <v>10283</v>
      </c>
      <c r="C17">
        <v>11268</v>
      </c>
      <c r="D17">
        <v>13692</v>
      </c>
      <c r="E17">
        <v>14502</v>
      </c>
      <c r="F17">
        <v>12445</v>
      </c>
      <c r="G17">
        <v>14188</v>
      </c>
      <c r="H17" s="4"/>
      <c r="K17">
        <f>K16/K18</f>
        <v>86.792035398230084</v>
      </c>
      <c r="L17">
        <f>L16/L18</f>
        <v>88.851936218678816</v>
      </c>
      <c r="M17">
        <f>(L17-K17)/K17</f>
        <v>2.3733754036268848E-2</v>
      </c>
    </row>
    <row r="18" spans="1:14" x14ac:dyDescent="0.2">
      <c r="A18" s="2" t="s">
        <v>20</v>
      </c>
      <c r="B18">
        <v>1764</v>
      </c>
      <c r="C18">
        <v>1914</v>
      </c>
      <c r="D18">
        <v>1784</v>
      </c>
      <c r="E18">
        <v>2325</v>
      </c>
      <c r="F18">
        <v>2020</v>
      </c>
      <c r="G18">
        <v>1829</v>
      </c>
      <c r="H18" s="4"/>
      <c r="K18">
        <v>226</v>
      </c>
      <c r="L18">
        <v>439</v>
      </c>
    </row>
    <row r="19" spans="1:14" x14ac:dyDescent="0.2">
      <c r="A19" s="2" t="s">
        <v>21</v>
      </c>
      <c r="B19">
        <v>757</v>
      </c>
      <c r="C19">
        <v>1511</v>
      </c>
      <c r="D19">
        <v>1828</v>
      </c>
      <c r="E19">
        <v>2460</v>
      </c>
      <c r="F19">
        <v>2258</v>
      </c>
      <c r="G19">
        <v>1295</v>
      </c>
      <c r="H19" s="4"/>
      <c r="K19">
        <f>K18/671</f>
        <v>0.33681073025335323</v>
      </c>
      <c r="L19">
        <f>L18/L26</f>
        <v>0.40498154981549817</v>
      </c>
      <c r="M19">
        <f>(L19-K19)/K19</f>
        <v>0.20240097312477542</v>
      </c>
    </row>
    <row r="20" spans="1:14" x14ac:dyDescent="0.2">
      <c r="A20" s="2" t="s">
        <v>22</v>
      </c>
      <c r="B20">
        <v>182</v>
      </c>
      <c r="C20">
        <v>331</v>
      </c>
      <c r="D20" s="2">
        <v>463</v>
      </c>
      <c r="E20" s="2">
        <v>741</v>
      </c>
      <c r="F20" s="4">
        <v>1299</v>
      </c>
      <c r="G20" s="4">
        <v>1286</v>
      </c>
      <c r="H20" s="4"/>
    </row>
    <row r="21" spans="1:14" ht="17" thickBot="1" x14ac:dyDescent="0.25"/>
    <row r="22" spans="1:14" ht="17" thickBot="1" x14ac:dyDescent="0.25">
      <c r="A22" s="9" t="s">
        <v>23</v>
      </c>
      <c r="B22" s="5" t="s">
        <v>5</v>
      </c>
      <c r="C22" s="5" t="s">
        <v>6</v>
      </c>
      <c r="D22" s="5" t="s">
        <v>7</v>
      </c>
      <c r="E22" s="5" t="s">
        <v>8</v>
      </c>
      <c r="F22" s="5" t="s">
        <v>9</v>
      </c>
      <c r="G22" s="5" t="s">
        <v>10</v>
      </c>
      <c r="H22" s="5" t="s">
        <v>11</v>
      </c>
      <c r="I22" s="5" t="s">
        <v>12</v>
      </c>
      <c r="J22" s="5" t="s">
        <v>13</v>
      </c>
      <c r="K22" s="5" t="s">
        <v>14</v>
      </c>
      <c r="L22" s="5" t="s">
        <v>15</v>
      </c>
      <c r="M22" s="5" t="s">
        <v>27</v>
      </c>
      <c r="N22" s="5" t="s">
        <v>29</v>
      </c>
    </row>
    <row r="23" spans="1:14" ht="17" thickBot="1" x14ac:dyDescent="0.25">
      <c r="A23" s="2" t="s">
        <v>24</v>
      </c>
      <c r="B23" s="2">
        <v>181</v>
      </c>
      <c r="C23" s="2">
        <v>187</v>
      </c>
      <c r="D23" s="2">
        <v>218</v>
      </c>
      <c r="E23" s="2">
        <v>254</v>
      </c>
      <c r="F23" s="2">
        <v>256</v>
      </c>
      <c r="G23" s="10">
        <v>379</v>
      </c>
      <c r="H23" s="10">
        <v>431</v>
      </c>
      <c r="I23" s="10">
        <v>456</v>
      </c>
      <c r="J23" s="10">
        <v>507</v>
      </c>
      <c r="K23" s="10">
        <v>558</v>
      </c>
      <c r="L23" s="10">
        <v>642</v>
      </c>
      <c r="M23" s="4">
        <v>690</v>
      </c>
    </row>
    <row r="24" spans="1:14" ht="17" thickBot="1" x14ac:dyDescent="0.25">
      <c r="A24" s="2" t="s">
        <v>25</v>
      </c>
      <c r="B24" s="2">
        <v>540</v>
      </c>
      <c r="C24" s="2">
        <v>536</v>
      </c>
      <c r="D24" s="2">
        <v>542</v>
      </c>
      <c r="E24" s="2">
        <v>551</v>
      </c>
      <c r="F24" s="2">
        <v>551</v>
      </c>
      <c r="G24" s="10">
        <v>448</v>
      </c>
      <c r="H24" s="10">
        <v>458</v>
      </c>
      <c r="I24" s="10">
        <v>456</v>
      </c>
      <c r="J24" s="10">
        <v>458</v>
      </c>
      <c r="K24" s="10">
        <v>463</v>
      </c>
      <c r="L24" s="10">
        <v>442</v>
      </c>
      <c r="M24" s="4">
        <v>451</v>
      </c>
    </row>
    <row r="25" spans="1:14" x14ac:dyDescent="0.2">
      <c r="A25" s="2" t="s">
        <v>26</v>
      </c>
      <c r="B25" s="11">
        <f>B23/(B23+B24)</f>
        <v>0.25104022191400832</v>
      </c>
      <c r="C25" s="11">
        <f t="shared" ref="C25:K25" si="1">C23/(C23+C24)</f>
        <v>0.25864453665283543</v>
      </c>
      <c r="D25" s="11">
        <f t="shared" si="1"/>
        <v>0.2868421052631579</v>
      </c>
      <c r="E25" s="11">
        <f t="shared" si="1"/>
        <v>0.31552795031055902</v>
      </c>
      <c r="F25" s="11">
        <f t="shared" si="1"/>
        <v>0.31722428748451054</v>
      </c>
      <c r="G25" s="11">
        <f t="shared" si="1"/>
        <v>0.45828295042321643</v>
      </c>
      <c r="H25" s="11">
        <f t="shared" si="1"/>
        <v>0.48481439820022498</v>
      </c>
      <c r="I25" s="11">
        <f t="shared" si="1"/>
        <v>0.5</v>
      </c>
      <c r="J25" s="11">
        <f t="shared" si="1"/>
        <v>0.52538860103626939</v>
      </c>
      <c r="K25" s="11">
        <f t="shared" si="1"/>
        <v>0.54652301665034275</v>
      </c>
      <c r="L25" s="11">
        <f>L23/(L23+L24)</f>
        <v>0.59225092250922506</v>
      </c>
      <c r="M25" s="11">
        <f>M23/(M23+M24)</f>
        <v>0.6047326906222612</v>
      </c>
    </row>
    <row r="26" spans="1:14" x14ac:dyDescent="0.2">
      <c r="B26">
        <f>SUM(B23:B24)</f>
        <v>721</v>
      </c>
      <c r="F26">
        <f>SUM(F23:F24)</f>
        <v>807</v>
      </c>
      <c r="L26">
        <f>SUM(L23:L24)</f>
        <v>1084</v>
      </c>
      <c r="M26">
        <f>SUM(M23:M24)</f>
        <v>1141</v>
      </c>
    </row>
    <row r="27" spans="1:14" x14ac:dyDescent="0.2">
      <c r="B27">
        <f>(M26-B26)/B26</f>
        <v>0.58252427184466016</v>
      </c>
    </row>
    <row r="28" spans="1:14" x14ac:dyDescent="0.2">
      <c r="M28">
        <f>752/M26</f>
        <v>0.65907099035933392</v>
      </c>
    </row>
    <row r="29" spans="1:14" x14ac:dyDescent="0.2">
      <c r="M29">
        <f>384/M26</f>
        <v>0.33654688869412797</v>
      </c>
    </row>
  </sheetData>
  <phoneticPr fontId="4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Kardish</dc:creator>
  <cp:lastModifiedBy>Christian Kardish</cp:lastModifiedBy>
  <dcterms:created xsi:type="dcterms:W3CDTF">2025-07-28T19:15:33Z</dcterms:created>
  <dcterms:modified xsi:type="dcterms:W3CDTF">2025-11-04T17:53:02Z</dcterms:modified>
</cp:coreProperties>
</file>