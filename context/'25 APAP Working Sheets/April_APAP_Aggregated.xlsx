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kardish/Documents/APAP Working Sheets/"/>
    </mc:Choice>
  </mc:AlternateContent>
  <xr:revisionPtr revIDLastSave="0" documentId="13_ncr:1_{206EAC29-6CAC-514E-86F1-BC3D9E004D3B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Overview" sheetId="2" r:id="rId1"/>
    <sheet name="Detailed Data" sheetId="1" r:id="rId2"/>
  </sheets>
  <definedNames>
    <definedName name="_xlnm._FilterDatabase" localSheetId="1" hidden="1">'Detailed Data'!$A$1:$F$801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J9" i="1"/>
  <c r="J6" i="1"/>
  <c r="J3" i="1"/>
  <c r="K12" i="1"/>
  <c r="K9" i="1"/>
  <c r="K6" i="1"/>
  <c r="K3" i="1"/>
  <c r="K2" i="1"/>
  <c r="E7" i="2"/>
  <c r="B10" i="2"/>
  <c r="E2" i="2"/>
</calcChain>
</file>

<file path=xl/sharedStrings.xml><?xml version="1.0" encoding="utf-8"?>
<sst xmlns="http://schemas.openxmlformats.org/spreadsheetml/2006/main" count="732" uniqueCount="732">
  <si>
    <t>AgencySlug</t>
  </si>
  <si>
    <t>AgencyName</t>
  </si>
  <si>
    <t>Agency Size</t>
  </si>
  <si>
    <t>SIM Completions</t>
  </si>
  <si>
    <t>Non-SIM Completions</t>
  </si>
  <si>
    <t>SIM Per Person</t>
  </si>
  <si>
    <t>CA0115412</t>
  </si>
  <si>
    <t>CA0115430</t>
  </si>
  <si>
    <t>CA0115432</t>
  </si>
  <si>
    <t>CA0115465</t>
  </si>
  <si>
    <t>CA0115498</t>
  </si>
  <si>
    <t>CA0115551</t>
  </si>
  <si>
    <t>CA0115604</t>
  </si>
  <si>
    <t>CA0115746</t>
  </si>
  <si>
    <t>CA0115747</t>
  </si>
  <si>
    <t>CA0115761</t>
  </si>
  <si>
    <t>CA0115781</t>
  </si>
  <si>
    <t>CA0115784</t>
  </si>
  <si>
    <t>CA0115789</t>
  </si>
  <si>
    <t>CA0115790</t>
  </si>
  <si>
    <t>CA0115791</t>
  </si>
  <si>
    <t>CA0115792</t>
  </si>
  <si>
    <t>CA0115793</t>
  </si>
  <si>
    <t>CA0115794</t>
  </si>
  <si>
    <t>CA0115795</t>
  </si>
  <si>
    <t>CA0115862</t>
  </si>
  <si>
    <t>CA0115878</t>
  </si>
  <si>
    <t>ES100047</t>
  </si>
  <si>
    <t>SE0115980</t>
  </si>
  <si>
    <t>SE0116151</t>
  </si>
  <si>
    <t>SE0116156</t>
  </si>
  <si>
    <t>SE0116199</t>
  </si>
  <si>
    <t>CA0115474</t>
  </si>
  <si>
    <t>CA0115657</t>
  </si>
  <si>
    <t>CA0115867</t>
  </si>
  <si>
    <t>CA0115903</t>
  </si>
  <si>
    <t>UK0115404</t>
  </si>
  <si>
    <t>Oregon Health &amp; Science University Police Dept.</t>
  </si>
  <si>
    <t>Culver City Police Department - CA</t>
  </si>
  <si>
    <t>Chesapeake Police Dept. - VA</t>
  </si>
  <si>
    <t>Los Angeles Police Dept. - CA</t>
  </si>
  <si>
    <t>Clackamas County Sheriff's Office - OR</t>
  </si>
  <si>
    <t>Bensalem Township Police Dept. - PA</t>
  </si>
  <si>
    <t>San Bernardino County Sheriff's Dept. - CA</t>
  </si>
  <si>
    <t>Chandler Police Dept. - AZ</t>
  </si>
  <si>
    <t>Mesa Police Department</t>
  </si>
  <si>
    <t>Baltimore City Police Dept - MD</t>
  </si>
  <si>
    <t>Torrance Police Dept. - CA</t>
  </si>
  <si>
    <t>East Point Police Dept. - GA</t>
  </si>
  <si>
    <t>Tampa Police Department - FL</t>
  </si>
  <si>
    <t>Aurora Police Dept. - CO</t>
  </si>
  <si>
    <t>San Mateo Police Dept. - CA</t>
  </si>
  <si>
    <t>Corona Police Dept. - CA</t>
  </si>
  <si>
    <t>Montgomery County Sheriff's Dept. - AL</t>
  </si>
  <si>
    <t>Amarillo Police Dept - TX</t>
  </si>
  <si>
    <t>Fort Worth Police Department - TX</t>
  </si>
  <si>
    <t>Atlanta Police Dept. - GA</t>
  </si>
  <si>
    <t>Phoenix Police Dept. - AZ</t>
  </si>
  <si>
    <t>Bristol Police Dept. - CT</t>
  </si>
  <si>
    <t>LOUISIANA STATE PENITENTIARY</t>
  </si>
  <si>
    <t>WAUSHARA CO SHERIFF'S DEPT</t>
  </si>
  <si>
    <t>Springfield Police Department - MO</t>
  </si>
  <si>
    <t>Los Angeles County Sheriff's Dept. - HQ</t>
  </si>
  <si>
    <t>Schaumburg Police Dept. - IL</t>
  </si>
  <si>
    <t>Seattle Police Dept. - WA</t>
  </si>
  <si>
    <t>Reno Police Dept. - NV</t>
  </si>
  <si>
    <t>City of Rock Hill Police Dept - SC</t>
  </si>
  <si>
    <t>Fresno Police Dept. - CA</t>
  </si>
  <si>
    <t>Ontario Police Dept. - CA</t>
  </si>
  <si>
    <t>Farmers Branch Police Dept. - TX</t>
  </si>
  <si>
    <t>Eagan Police Dept. - MN</t>
  </si>
  <si>
    <t>Washoe County Sheriff's Office - NV</t>
  </si>
  <si>
    <t>Appleton Police Department - WI</t>
  </si>
  <si>
    <t>Elk Grove Village Police Dept. - IL</t>
  </si>
  <si>
    <t>Mobile Police Department - AL</t>
  </si>
  <si>
    <t>Olmsted County Sheriff's Office - MN</t>
  </si>
  <si>
    <t>Scottsdale Police Dept. - AZ</t>
  </si>
  <si>
    <t>Kent Police Dept. - WA</t>
  </si>
  <si>
    <t>Terrebonne Parish Sheriff's Office - LA</t>
  </si>
  <si>
    <t>Iberville Parish Sheriff's Office - LA</t>
  </si>
  <si>
    <t>Westminster Police Dept. - CA</t>
  </si>
  <si>
    <t>Tucson Police Dept - AZ</t>
  </si>
  <si>
    <t>El Centro Police Dept. - CA</t>
  </si>
  <si>
    <t>Oak Brook Police Dept. - IL</t>
  </si>
  <si>
    <t>Pima County Sheriff's Office - AZ</t>
  </si>
  <si>
    <t>Pittsburg Police Dept - CA</t>
  </si>
  <si>
    <t>Henrico County Police Dept. - VA</t>
  </si>
  <si>
    <t>Charlotte - Mecklenburg Police Dept. - NC</t>
  </si>
  <si>
    <t>Hurricane Police Department - UT</t>
  </si>
  <si>
    <t>Rochester Police Department - MN</t>
  </si>
  <si>
    <t>Marysville Police Dept. - WA</t>
  </si>
  <si>
    <t>Alameda County Sheriff's Office - CA</t>
  </si>
  <si>
    <t>Wood County Sheriff's Office - OH</t>
  </si>
  <si>
    <t>Seminole County Sheriff's Office - FL</t>
  </si>
  <si>
    <t>Lincoln Police Department - NE</t>
  </si>
  <si>
    <t>Flagstaff Police Dept. - AZ</t>
  </si>
  <si>
    <t>Rosemont Department of Public Safety - IL</t>
  </si>
  <si>
    <t>Brunswick Police Department - GA</t>
  </si>
  <si>
    <t>Wilmer Police Dept. - TX</t>
  </si>
  <si>
    <t>Washington State Patrol - District 1- WA</t>
  </si>
  <si>
    <t>Clarkston Police Dept. - WA</t>
  </si>
  <si>
    <t>Fullerton Police Dept. - CA</t>
  </si>
  <si>
    <t>Lincoln County Sheriff's Office - NC</t>
  </si>
  <si>
    <t>Faribault Police Department - MN</t>
  </si>
  <si>
    <t>Grand Junction Police Dept. - CO</t>
  </si>
  <si>
    <t>Providence Police Dept. - RI</t>
  </si>
  <si>
    <t>Kearney Police Dept. - NE</t>
  </si>
  <si>
    <t>Pasco Sheriff's Office - FL</t>
  </si>
  <si>
    <t>Firestone Police Department - CO</t>
  </si>
  <si>
    <t>Brier Police Dept. - WA</t>
  </si>
  <si>
    <t>Coral Springs Police Dept. - FL</t>
  </si>
  <si>
    <t>Vancouver Police Dept. - WA</t>
  </si>
  <si>
    <t>Schenectady City Police Dept - NY</t>
  </si>
  <si>
    <t>Orange County Sheriff's Office - NY</t>
  </si>
  <si>
    <t>New Mexico Dept. of Public Safety - NM</t>
  </si>
  <si>
    <t>Spokane County Sheriff's Office - WA</t>
  </si>
  <si>
    <t>Houston Metro Transit Authority - TX</t>
  </si>
  <si>
    <t>Jefferson County Sheriff's Office - CO</t>
  </si>
  <si>
    <t>East Baton Rouge Parish Sheriff's Dept. - LA</t>
  </si>
  <si>
    <t>Blue Springs Police Dept. - MO</t>
  </si>
  <si>
    <t>Memphis Police Department - TN</t>
  </si>
  <si>
    <t>Louisville Metro Police Dept. - KY</t>
  </si>
  <si>
    <t>Winthrop Police Dept - MN</t>
  </si>
  <si>
    <t>Port Hueneme Police Dept. - CA</t>
  </si>
  <si>
    <t>Ada County Sheriff's Office - ID</t>
  </si>
  <si>
    <t>Meridian Police Dept. - ID</t>
  </si>
  <si>
    <t>East Bay Regional Park Police Dept. - CA</t>
  </si>
  <si>
    <t>Dothan Police Department - AL</t>
  </si>
  <si>
    <t>Lee's Summit Police Department - MO</t>
  </si>
  <si>
    <t>Tigard Police Dept. - OR</t>
  </si>
  <si>
    <t>Metro Nashville Police Department -TN</t>
  </si>
  <si>
    <t>Williamson County Sheriff's Office - TN</t>
  </si>
  <si>
    <t>Frederick Police Department - CO</t>
  </si>
  <si>
    <t>Waukesha Police Dept. - WI</t>
  </si>
  <si>
    <t>Montgomery County Police Department - MD</t>
  </si>
  <si>
    <t>Newport News Police Dept. - VA</t>
  </si>
  <si>
    <t>Arapahoe County Sheriff's Office - CO</t>
  </si>
  <si>
    <t>Pueblo County Sheriff's Office - CO</t>
  </si>
  <si>
    <t>Tell City Police Dept - IN</t>
  </si>
  <si>
    <t>Jefferson County Sheriff's Office - WA</t>
  </si>
  <si>
    <t>Medina Police Dept. - MN</t>
  </si>
  <si>
    <t>Las Cruces Police Dept. - NM</t>
  </si>
  <si>
    <t>Las Vegas Police Dept. - NM</t>
  </si>
  <si>
    <t>Niceville Police Dept. - FL</t>
  </si>
  <si>
    <t>Minnesota State Patrol - MN</t>
  </si>
  <si>
    <t>Ripon Police Dept. - CA</t>
  </si>
  <si>
    <t>Evans Police Department - CO</t>
  </si>
  <si>
    <t>Tuscaloosa County Sheriff's Office - AL</t>
  </si>
  <si>
    <t>Colerain Township Police Dept. - OH</t>
  </si>
  <si>
    <t>Englewood Police Department - OH</t>
  </si>
  <si>
    <t>Miami-Dade Police Dept. - FL</t>
  </si>
  <si>
    <t>Blount County Sheriffs Office - TN</t>
  </si>
  <si>
    <t>HILLSBOROUGH CO SHERIFF'S OFFICE - FL</t>
  </si>
  <si>
    <t>Peoria Police Dept. - AZ</t>
  </si>
  <si>
    <t>Sevier County Sheriff's Office - TN</t>
  </si>
  <si>
    <t>Maryland State Police - MD</t>
  </si>
  <si>
    <t>Collier County Sheriff's Office - FL</t>
  </si>
  <si>
    <t>San Leandro Police Dept. - CA</t>
  </si>
  <si>
    <t>Biloxi Police Dept. - MS</t>
  </si>
  <si>
    <t>Natrona County Sheriff's Office - WY</t>
  </si>
  <si>
    <t>Turlock Police Dept. - CA</t>
  </si>
  <si>
    <t>Tuttle Police Department - OK</t>
  </si>
  <si>
    <t>Temple Police Dept. - TX</t>
  </si>
  <si>
    <t>Sweetwater Police Dept. - TX</t>
  </si>
  <si>
    <t>Sullivan Police Department - MO</t>
  </si>
  <si>
    <t>Omaha Police Dept - NE</t>
  </si>
  <si>
    <t>Sarpy County Sheriff's - NE</t>
  </si>
  <si>
    <t>Metro Transit Police Dept - MN</t>
  </si>
  <si>
    <t>Savage Police Dept. - MN</t>
  </si>
  <si>
    <t>Eloy Police Dept. - AZ</t>
  </si>
  <si>
    <t>Littleton Police Department - CO</t>
  </si>
  <si>
    <t>Westfield Police Department - IN</t>
  </si>
  <si>
    <t>Polk County Sheriff's Office - OR</t>
  </si>
  <si>
    <t>East Ridge Police Dept - TN</t>
  </si>
  <si>
    <t>White County Sheriff's Dept. - TN</t>
  </si>
  <si>
    <t>West Allis Police Dept. - WI</t>
  </si>
  <si>
    <t>Monroe Police Dept. - MI</t>
  </si>
  <si>
    <t>Hendry County Sheriff's Office - FL</t>
  </si>
  <si>
    <t>Springfield Police Department - IL</t>
  </si>
  <si>
    <t>North Kansas City Police Dept. - MO</t>
  </si>
  <si>
    <t>Greenfield Police Dept. - CA</t>
  </si>
  <si>
    <t>Monterey Police Dept. - CA</t>
  </si>
  <si>
    <t>Clarksville Police Dept. - TN</t>
  </si>
  <si>
    <t>Madison Police Department - IL</t>
  </si>
  <si>
    <t>North Carolina State Highway Patrol - NC</t>
  </si>
  <si>
    <t>Martin County Sheriff's Office - FL</t>
  </si>
  <si>
    <t>Yavapai County Sheriff's Office - AZ</t>
  </si>
  <si>
    <t>Metropolitan Transportation Authority PD - NY</t>
  </si>
  <si>
    <t>Buncombe County Sheriff's Office - NC</t>
  </si>
  <si>
    <t>Kissimmee Police Dept. - FL</t>
  </si>
  <si>
    <t>Maryland Transportation Authority Police - MD</t>
  </si>
  <si>
    <t>Greenville Police Dept. - SC</t>
  </si>
  <si>
    <t>Seguin Police Dept. - TX</t>
  </si>
  <si>
    <t>Arlington Police Dept. - VA</t>
  </si>
  <si>
    <t>Sumter County Sheriff - FL</t>
  </si>
  <si>
    <t>North Miami Police Dept - FL</t>
  </si>
  <si>
    <t>Boulder Police Dept. - CO</t>
  </si>
  <si>
    <t>KANABEC CO SHERIFF'S OFFICE-MN</t>
  </si>
  <si>
    <t>Kennesaw State University Police Dept. - GA</t>
  </si>
  <si>
    <t>Kalamazoo County Sheriff's Office - MI</t>
  </si>
  <si>
    <t>Portsmouth Police Dept - NH</t>
  </si>
  <si>
    <t>Naperville Police Dept. - IL</t>
  </si>
  <si>
    <t>Dekalb County Police Dept.- GA</t>
  </si>
  <si>
    <t>Renton Police Dept. - WA</t>
  </si>
  <si>
    <t>Calcasieu Parish Sheriff's Office - LA</t>
  </si>
  <si>
    <t>Castle Rock Police Department - CO</t>
  </si>
  <si>
    <t>Duluth Police Dept. - MN</t>
  </si>
  <si>
    <t>Surprise Police Dept. - AZ</t>
  </si>
  <si>
    <t>Kalamazoo Department of Public Safety - MI</t>
  </si>
  <si>
    <t>University of Colorado - Boulder - CO</t>
  </si>
  <si>
    <t>Minooka Police Department - IL</t>
  </si>
  <si>
    <t>Macomb County Sheriff's Office - MI</t>
  </si>
  <si>
    <t>St. Mary's County Sheriff's Office - MD</t>
  </si>
  <si>
    <t>Frederick Police Dept. - MD</t>
  </si>
  <si>
    <t>Alliance Police Dept - OH</t>
  </si>
  <si>
    <t>Mauston Police Department - WI</t>
  </si>
  <si>
    <t>Downers Grove Police Dept. - IL</t>
  </si>
  <si>
    <t>Manatee County Sheriff's Office - FL</t>
  </si>
  <si>
    <t>Oswego City Police Dept. - NY</t>
  </si>
  <si>
    <t>Kern County Sheriff's Office - CA</t>
  </si>
  <si>
    <t>Bethalto Police Dept. - IL</t>
  </si>
  <si>
    <t>Southern Connecticut State University Police Dept</t>
  </si>
  <si>
    <t>Palm Beach County Sheriff's Office - FL</t>
  </si>
  <si>
    <t>Michigan State University Police Dept.</t>
  </si>
  <si>
    <t>Lake Hamilton Police Dept.- FL</t>
  </si>
  <si>
    <t>Greenwood Police Dept - IN</t>
  </si>
  <si>
    <t>Richmond Hill Police Dept. - GA</t>
  </si>
  <si>
    <t>Port Authority of Allegheny County Police - PA</t>
  </si>
  <si>
    <t>Maumee Police Division - OH</t>
  </si>
  <si>
    <t>Florence County Sheriff's Office - SC</t>
  </si>
  <si>
    <t>Volusia Sheriff's Office - FL</t>
  </si>
  <si>
    <t>Tracy Police Dept. - CA</t>
  </si>
  <si>
    <t>Downingtown Police Dept - PA</t>
  </si>
  <si>
    <t>Placer County Sheriff's Office - CA</t>
  </si>
  <si>
    <t>Boca Raton Police Dept - FL</t>
  </si>
  <si>
    <t>San Marcos Police Dept. - TX</t>
  </si>
  <si>
    <t>Sleepy Eye Police Dept - MN</t>
  </si>
  <si>
    <t>Greensboro Police Dept. - NC</t>
  </si>
  <si>
    <t>Apex Police Department - NC</t>
  </si>
  <si>
    <t>Daly City Police Department - CA</t>
  </si>
  <si>
    <t>Hammond Police Dept. - IN</t>
  </si>
  <si>
    <t>Cabarrus County Sheriff's Office - NC</t>
  </si>
  <si>
    <t>Flagler County Sheriff's Office - FL</t>
  </si>
  <si>
    <t>Joliet Police Dept. - IL</t>
  </si>
  <si>
    <t>Shreveport Police Dept - LA</t>
  </si>
  <si>
    <t>Toledo Police Dept. - OH</t>
  </si>
  <si>
    <t>Hagerstown Police Dept. - MD</t>
  </si>
  <si>
    <t>Farmington Hills Police Dept. - MI</t>
  </si>
  <si>
    <t>New Britain Police Department - CT</t>
  </si>
  <si>
    <t>University of California Police - Davis</t>
  </si>
  <si>
    <t>Durango Police Department - CO</t>
  </si>
  <si>
    <t>Lake County Sheriff's Office - FL</t>
  </si>
  <si>
    <t>Boynton Beach Police Dept. - FL</t>
  </si>
  <si>
    <t>Leander Police Dept. - TX</t>
  </si>
  <si>
    <t>Chaffee County Sheriff's Office - CO</t>
  </si>
  <si>
    <t>Federal Way Police Dept. - WA</t>
  </si>
  <si>
    <t>Temple Terrace Police Dept.-FL</t>
  </si>
  <si>
    <t>Shiloh Police Dept. - IL</t>
  </si>
  <si>
    <t>Leon County Sheriff's Dept. - FL</t>
  </si>
  <si>
    <t>Gilroy Police Department - CA</t>
  </si>
  <si>
    <t>Wilkes-Barre City Police Dept - PA</t>
  </si>
  <si>
    <t>New Rochelle Police Dept. - NY</t>
  </si>
  <si>
    <t>Killeen Police Dept. - TX</t>
  </si>
  <si>
    <t>Virginia Beach Police Dept. - VA</t>
  </si>
  <si>
    <t>Milton Police Dept. - DE</t>
  </si>
  <si>
    <t>Orleans County Sheriff's Dept. - NY</t>
  </si>
  <si>
    <t>DuPage County Sheriff's Office</t>
  </si>
  <si>
    <t>Cicero Police Dept. - IL</t>
  </si>
  <si>
    <t>West Bountiful Police Dept. - UT</t>
  </si>
  <si>
    <t>Dutchess County Sheriff's Office - NY</t>
  </si>
  <si>
    <t>Auburn Police Dept. - WA</t>
  </si>
  <si>
    <t>Pekin Police Dept.- IL</t>
  </si>
  <si>
    <t>Pinellas County Sheriff's Office - FL</t>
  </si>
  <si>
    <t>Fremont Police Dept. - CA</t>
  </si>
  <si>
    <t>University of Florida Police Dept - FL</t>
  </si>
  <si>
    <t>Coppell Police Dept - TX</t>
  </si>
  <si>
    <t>Eagle Point Police Dept. - OR</t>
  </si>
  <si>
    <t>Mooresville Police Dept. - NC</t>
  </si>
  <si>
    <t>Sparks Police Dept. - NV</t>
  </si>
  <si>
    <t>Statesville Police Department - NC</t>
  </si>
  <si>
    <t>City of Bend, Police Dept -OR</t>
  </si>
  <si>
    <t>Birmingham Police Dept. - MI</t>
  </si>
  <si>
    <t>Clay Twp. Police Dept. - MI</t>
  </si>
  <si>
    <t>Royal Oak Police Dept.- MI</t>
  </si>
  <si>
    <t>Tulsa County Sheriff's Office - OK</t>
  </si>
  <si>
    <t>Johnson City Police Dept. -TN</t>
  </si>
  <si>
    <t>Campbell Police Dept. - CA</t>
  </si>
  <si>
    <t>Alhambra Police Dept. - CA</t>
  </si>
  <si>
    <t>Buckley Police Dept. - WA</t>
  </si>
  <si>
    <t>Ponca City Police Department-OK</t>
  </si>
  <si>
    <t>Oklahoma City Police Dept. - OK</t>
  </si>
  <si>
    <t>Roseburg Police Dept. - OR</t>
  </si>
  <si>
    <t>Williamsburg Police Dept. - OH</t>
  </si>
  <si>
    <t>Jeffersonville Police Department - IN</t>
  </si>
  <si>
    <t>Apopka Police Dept.-FL</t>
  </si>
  <si>
    <t>Tulsa Police Dept. - OK</t>
  </si>
  <si>
    <t>Pinehurst Police Dept. - NC</t>
  </si>
  <si>
    <t>Modesto Police Dept. - CA</t>
  </si>
  <si>
    <t>Niagara Falls Police Dept - NY</t>
  </si>
  <si>
    <t>Cheektowaga Police Dept - NY</t>
  </si>
  <si>
    <t>Anaheim Police Dept. - CA</t>
  </si>
  <si>
    <t>Douglas County Sheriff's Office - GA</t>
  </si>
  <si>
    <t>Alachua Police Dept.- FL</t>
  </si>
  <si>
    <t>Atwater Police Dept. - CA</t>
  </si>
  <si>
    <t>Coconut Creek Police Dept - FL</t>
  </si>
  <si>
    <t>Allentown Police Department - PA</t>
  </si>
  <si>
    <t>SYRACUSE POLICE DEPT.  - NY</t>
  </si>
  <si>
    <t>Monroe County Sheriff's Dept. - NY</t>
  </si>
  <si>
    <t>City of Wichita Police Department</t>
  </si>
  <si>
    <t>Milan Police Dept. - MI</t>
  </si>
  <si>
    <t>Texas Department of Public Safety - TX</t>
  </si>
  <si>
    <t>Catoosa County Sheriff's Office - GA</t>
  </si>
  <si>
    <t>Knox County Sheriff's Office - TN</t>
  </si>
  <si>
    <t>Melissa Police Dept. - TX</t>
  </si>
  <si>
    <t>Baltimore County Police Dept. - MD</t>
  </si>
  <si>
    <t>Cheatham County Sheriff's Office - TN</t>
  </si>
  <si>
    <t>Williams County Sheriff's Office - ND</t>
  </si>
  <si>
    <t>Hayward Police Dept. - CA</t>
  </si>
  <si>
    <t>Columbus Police Dept - OH</t>
  </si>
  <si>
    <t>Paradise Valley Police Dept. - AZ</t>
  </si>
  <si>
    <t>Hays County Constable Pct. 1 - TX</t>
  </si>
  <si>
    <t>Jefferson County Sheriff's Office - AL</t>
  </si>
  <si>
    <t>Summit County Sheriff's Office - CO</t>
  </si>
  <si>
    <t>Clayton County Sheriff's Office - GA</t>
  </si>
  <si>
    <t>Waukesha County Sheriff-WI</t>
  </si>
  <si>
    <t>Virginia Capitol Police Dept. - VA</t>
  </si>
  <si>
    <t>Napa County Sheriff's Office - CA</t>
  </si>
  <si>
    <t>Upper Chichester Township Police Dept. - PA</t>
  </si>
  <si>
    <t>Bryan Police Dept. - TX</t>
  </si>
  <si>
    <t>Mount Horeb Police Department</t>
  </si>
  <si>
    <t>Mesquite Police Department - NV</t>
  </si>
  <si>
    <t>Auburn Hills Police Department - MI</t>
  </si>
  <si>
    <t>Sarasota Police Dept - FL</t>
  </si>
  <si>
    <t>Cary Police Department - NC</t>
  </si>
  <si>
    <t>Burlington Police Dept. - VT</t>
  </si>
  <si>
    <t>Morton Police Dept. - IL</t>
  </si>
  <si>
    <t>Savannah Police - GA</t>
  </si>
  <si>
    <t>Daytona Beach PD - FL</t>
  </si>
  <si>
    <t>Pasco County Board of County Commissioners (Corrections Depa</t>
  </si>
  <si>
    <t>Albuquerque Police Dept. - NM</t>
  </si>
  <si>
    <t>College Station Police Dept. - TX</t>
  </si>
  <si>
    <t>Lakeland Police Dept. - FL</t>
  </si>
  <si>
    <t>Addison Police Department - IL</t>
  </si>
  <si>
    <t>Lawrenceville Police Dept. - GA</t>
  </si>
  <si>
    <t>CADDO PARISH SHERIFF'S OFFICE - LA</t>
  </si>
  <si>
    <t>Fishers Police Dept. - IN</t>
  </si>
  <si>
    <t>Lynchburg Police Department - VA</t>
  </si>
  <si>
    <t>SLC Unified Police Dept. - UT</t>
  </si>
  <si>
    <t>Visalia Police Dept. - CA</t>
  </si>
  <si>
    <t>Pasadena Police Dept. - TX</t>
  </si>
  <si>
    <t>Alexandria Police Dept. - LA</t>
  </si>
  <si>
    <t>New Castle County Police Dept. - DE</t>
  </si>
  <si>
    <t>Surf City Police Department - NC</t>
  </si>
  <si>
    <t>Fruitland Park Police Dept.-FL</t>
  </si>
  <si>
    <t>Horry County Police Dept - SC</t>
  </si>
  <si>
    <t>Columbus Police Department - GA</t>
  </si>
  <si>
    <t>Pittsburgh Bureau of Police - PA</t>
  </si>
  <si>
    <t>Auburn Police Dept - AL</t>
  </si>
  <si>
    <t>Delaware Capitol Police Dept. - DE</t>
  </si>
  <si>
    <t>Old Town Police Dept. - ME</t>
  </si>
  <si>
    <t>Sedgwick County Sheriff's Office - KS</t>
  </si>
  <si>
    <t>Inyo County Sheriff's Office - CA</t>
  </si>
  <si>
    <t>Mississippi Highway Patrol - MS</t>
  </si>
  <si>
    <t>Castle Shannon Police Dept. - PA</t>
  </si>
  <si>
    <t>Champaign County Sheriff's Office - IL</t>
  </si>
  <si>
    <t>Tavares Police Department - FL</t>
  </si>
  <si>
    <t>Zephyrhills Police Dept. - FL</t>
  </si>
  <si>
    <t>Waterloo Police Dept. - IA</t>
  </si>
  <si>
    <t>Rockdale Police Dept. - IL</t>
  </si>
  <si>
    <t>Napa Police Dept. - CA</t>
  </si>
  <si>
    <t>Brevard County Sheriff's Office - FL</t>
  </si>
  <si>
    <t>Mamaroneck Village Police Dept. - NY</t>
  </si>
  <si>
    <t>Frederick County Sheriff's Office - MD</t>
  </si>
  <si>
    <t>TRIBAL-SEMINOLE PD-FL</t>
  </si>
  <si>
    <t>Onondaga County Sheriff's Office - NY</t>
  </si>
  <si>
    <t>Albany Police Dept. - NY</t>
  </si>
  <si>
    <t>Putnam County Sheriff's Office - NY</t>
  </si>
  <si>
    <t>North Richland Hills Police Dept. - TX</t>
  </si>
  <si>
    <t>Ventura County Sheriff's Office - CA</t>
  </si>
  <si>
    <t>Bexar County Sheriff's Office - TX</t>
  </si>
  <si>
    <t>Howard County Police Dept. - MD</t>
  </si>
  <si>
    <t>Austin Police Dept. - TX</t>
  </si>
  <si>
    <t>Bolingbrook Police Dept. - IL</t>
  </si>
  <si>
    <t>San Francisco County Sheriff's Dept. - CA</t>
  </si>
  <si>
    <t>Seminole County Sheriffs Office - GA</t>
  </si>
  <si>
    <t>Roy City Police Dept. - UT</t>
  </si>
  <si>
    <t>Anne Arundel County Police Dept. - MD</t>
  </si>
  <si>
    <t>Simi Valley Police Dept. - CA</t>
  </si>
  <si>
    <t>Seward Police Dept. - AK</t>
  </si>
  <si>
    <t>Bellevue Police Dept. - WA</t>
  </si>
  <si>
    <t>North Port Police Dept. - FL</t>
  </si>
  <si>
    <t>LeRoy Police Dept. - IL</t>
  </si>
  <si>
    <t>Hennepin County Medical Center Security</t>
  </si>
  <si>
    <t>Oxford Police Dept. - MS</t>
  </si>
  <si>
    <t>Elkhart County Sheriff's Office - IN</t>
  </si>
  <si>
    <t>Worcester County Sheriff's Office - MD</t>
  </si>
  <si>
    <t>Grand Rapids Police Dept. - MI</t>
  </si>
  <si>
    <t>Hamilton County Sheriff's Office - TN</t>
  </si>
  <si>
    <t>Lawrence County Sheriff's Office - IL</t>
  </si>
  <si>
    <t>St. Charles Parish Sheriff's Office - LA</t>
  </si>
  <si>
    <t>Medina Police Dept.- WA</t>
  </si>
  <si>
    <t>Norfolk Police Dept. - VA</t>
  </si>
  <si>
    <t>Ilion Village Police Dept. - NY</t>
  </si>
  <si>
    <t>Ontario County Sheriff's Office - NY</t>
  </si>
  <si>
    <t>Dover Police Dept. - DE</t>
  </si>
  <si>
    <t>North Catasauqua Police Dept - PA</t>
  </si>
  <si>
    <t>Mauldin Police Dept. - SC</t>
  </si>
  <si>
    <t>Clark County Sheriff's Office - WA</t>
  </si>
  <si>
    <t>Davie Police Dept - FL</t>
  </si>
  <si>
    <t>Winter Haven Police Dept. - FL</t>
  </si>
  <si>
    <t>Milford Police Dept - MA</t>
  </si>
  <si>
    <t>New Bedford Police Department - MA</t>
  </si>
  <si>
    <t>Blue Earth Police Dept. - MN</t>
  </si>
  <si>
    <t>Middletown Police Dept. - RI</t>
  </si>
  <si>
    <t>Silt Police Department - CO</t>
  </si>
  <si>
    <t>Fairfield Police Department - CT</t>
  </si>
  <si>
    <t>Decatur County Sheriff's Office - IN</t>
  </si>
  <si>
    <t>Langley Police Dept. - WA</t>
  </si>
  <si>
    <t>Suffolk Police Dept. - VA</t>
  </si>
  <si>
    <t>Columbia Police Department - SC</t>
  </si>
  <si>
    <t>Worcester Police Department - MA</t>
  </si>
  <si>
    <t>Centre County Correctional Facility - PA</t>
  </si>
  <si>
    <t>Franklin Parish Sheriff's Office - LA</t>
  </si>
  <si>
    <t>Justin Police Dept. - TX</t>
  </si>
  <si>
    <t>Grantham Police Department - NH</t>
  </si>
  <si>
    <t>Concord Police Department - NC</t>
  </si>
  <si>
    <t>Marion County Sheriff's Office - IL</t>
  </si>
  <si>
    <t>Bartow County Sheriff's Office - GA</t>
  </si>
  <si>
    <t>Burbank Police Dept. - CA</t>
  </si>
  <si>
    <t>Hampton Police Dept. - GA</t>
  </si>
  <si>
    <t>Northampton Township Police Dept - PA</t>
  </si>
  <si>
    <t>Aitkin Police Department-MN</t>
  </si>
  <si>
    <t>Utica City Police Dept. - NY</t>
  </si>
  <si>
    <t>Bloomington Police Dept. - MN</t>
  </si>
  <si>
    <t>Inman Police Dept. - SC</t>
  </si>
  <si>
    <t>Evanston Police Dept. - IL</t>
  </si>
  <si>
    <t>Burr Ridge Police Dept. - IL</t>
  </si>
  <si>
    <t>Hanford Police Dept. - CA</t>
  </si>
  <si>
    <t>Minnetonka Police Department - MN</t>
  </si>
  <si>
    <t>Palatine Police Department - IL</t>
  </si>
  <si>
    <t>Oneida County Sheriff's Office - NY</t>
  </si>
  <si>
    <t>Gainesville Police Dept. -FL</t>
  </si>
  <si>
    <t>University Of Kentucky Police Department - KY</t>
  </si>
  <si>
    <t>Westmont Police Dept. - IL</t>
  </si>
  <si>
    <t>Cortez Police Department - CO</t>
  </si>
  <si>
    <t>Washtenaw County Sheriff's Office - MI</t>
  </si>
  <si>
    <t>West Baton Rouge Parish Sheriff's Office - LA</t>
  </si>
  <si>
    <t>Oscoda Township Police Department - MI</t>
  </si>
  <si>
    <t>Erie Police Dept. - PA</t>
  </si>
  <si>
    <t>Ft Smith Police Dept / Fort Smith Police Dept. - AR</t>
  </si>
  <si>
    <t>Douglasville Police Dept. - GA</t>
  </si>
  <si>
    <t>Richmond Police Dept. - VA</t>
  </si>
  <si>
    <t>Moab City Police Dept. - UT</t>
  </si>
  <si>
    <t>Kanawha County Sheriff's Office - WV</t>
  </si>
  <si>
    <t>Cobb County Sheriff's Office - GA</t>
  </si>
  <si>
    <t>Virginia Peninsula Regional Jail - VA</t>
  </si>
  <si>
    <t>Elyria Police Department - OH</t>
  </si>
  <si>
    <t>Boston Police Dept. - MA</t>
  </si>
  <si>
    <t>Gilford Police Dept. - NH</t>
  </si>
  <si>
    <t>Cass County Sheriff - IL</t>
  </si>
  <si>
    <t>Walker Police Dept. - MI</t>
  </si>
  <si>
    <t>St. Cloud Police Dept. - FL</t>
  </si>
  <si>
    <t>Revere Police Dept. - MA</t>
  </si>
  <si>
    <t>Pasco Police Dept. - WA</t>
  </si>
  <si>
    <t>Pender County Sheriff's Office - NC</t>
  </si>
  <si>
    <t>Network Sanford Health Security Department - Fargo - ND</t>
  </si>
  <si>
    <t>Key West Police Dept. - FL</t>
  </si>
  <si>
    <t>Lawrence Police Dept. - KS</t>
  </si>
  <si>
    <t>Jasper County Sheriff's Office - SC</t>
  </si>
  <si>
    <t>Littleton Police Dept. - NH</t>
  </si>
  <si>
    <t>Northampton Dept. of Corrections - PA</t>
  </si>
  <si>
    <t>Kenner Police Dept. - LA</t>
  </si>
  <si>
    <t>Trousdale County Sheriff's Office - TN</t>
  </si>
  <si>
    <t>San Rafael Police Dept. - CA</t>
  </si>
  <si>
    <t>Black Mountain Police Dept. - NC</t>
  </si>
  <si>
    <t>Malden Police Department - MA</t>
  </si>
  <si>
    <t>Laconia Police Dept. - NH</t>
  </si>
  <si>
    <t>Leominster Police Dept - MA</t>
  </si>
  <si>
    <t>Gary Police Dept. - IN</t>
  </si>
  <si>
    <t>Stallings Police Department - NC</t>
  </si>
  <si>
    <t>Lancaster City Police Dept. - PA</t>
  </si>
  <si>
    <t>Monterey County Sheriffs Office - CA</t>
  </si>
  <si>
    <t>Anniston Police Dept. - AL</t>
  </si>
  <si>
    <t>Aberdeen Police Dept. - MD</t>
  </si>
  <si>
    <t>Baker Police Dept. - LA</t>
  </si>
  <si>
    <t>Liberty Hill Police Dept. - TX</t>
  </si>
  <si>
    <t>Mission Police Dept - KS</t>
  </si>
  <si>
    <t>Washoe County Dept of Alternative Sentencing - NV</t>
  </si>
  <si>
    <t>Carrollton Police Dept. - TX</t>
  </si>
  <si>
    <t>Grapevine Police Dept. - TX</t>
  </si>
  <si>
    <t>Grady County Sheriff - GA</t>
  </si>
  <si>
    <t>Breezy Point Police Dept. - MN</t>
  </si>
  <si>
    <t>Amherst Police Dept. - NY</t>
  </si>
  <si>
    <t>Florida Highway Patrol - FL</t>
  </si>
  <si>
    <t>DEPT. OF HOMELESS SERVICES POLICE DEPT. - NY</t>
  </si>
  <si>
    <t>State of Hawai'i, Dept. of Law Enforcement</t>
  </si>
  <si>
    <t>Hutchinson Regional Medical Center - KS</t>
  </si>
  <si>
    <t>TRIBAL-AK-CHIN PD-AZ</t>
  </si>
  <si>
    <t>TEXAS CHILDREN'S HOSPITAL Main Campus - TX</t>
  </si>
  <si>
    <t>Louisiana Probation &amp; Parole</t>
  </si>
  <si>
    <t>Muskogee County Sheriff's Office - OK</t>
  </si>
  <si>
    <t>Michigan Department of Natural Resources</t>
  </si>
  <si>
    <t>Ocean City Police Dept - MD</t>
  </si>
  <si>
    <t>Oswego County Probation - NY</t>
  </si>
  <si>
    <t>Pulaski County Sheriff's Dept. - IL</t>
  </si>
  <si>
    <t>Medford Township Police Dept - NJ</t>
  </si>
  <si>
    <t>Washington Metro Area Transit</t>
  </si>
  <si>
    <t>Portsmouth Police Department - VA</t>
  </si>
  <si>
    <t>Scranton Police Dept. - PA</t>
  </si>
  <si>
    <t>Redmond Police Dept. - WA</t>
  </si>
  <si>
    <t>Spink County Sheriff's Department - SD</t>
  </si>
  <si>
    <t>Village of Ossining Police Dept. - NY</t>
  </si>
  <si>
    <t>Parkview Health Department of Public Safety - IN</t>
  </si>
  <si>
    <t>Orleans Parish Sheriff's Dept. - LA</t>
  </si>
  <si>
    <t>Huntsville Police Department - AL</t>
  </si>
  <si>
    <t>Ferguson Police Dept. - MO</t>
  </si>
  <si>
    <t>Lockport Police Dept. - NY</t>
  </si>
  <si>
    <t>Ogden Police Dept. - NY</t>
  </si>
  <si>
    <t>Somersworth Police Dept. - NH</t>
  </si>
  <si>
    <t>Tuscaloosa Police Dept. - AL</t>
  </si>
  <si>
    <t>Foley Police Dept. - AL</t>
  </si>
  <si>
    <t>Bossier City Police Dept. - LA</t>
  </si>
  <si>
    <t>Melrose Park Police Dept.- IL</t>
  </si>
  <si>
    <t>Hardeeville Police Department - SC</t>
  </si>
  <si>
    <t>University of Maryland Baltimore - MD</t>
  </si>
  <si>
    <t>Maryland Transit Administration Police - MD</t>
  </si>
  <si>
    <t>BUFFALO CITY POLICE DEPT. - NY</t>
  </si>
  <si>
    <t>Erie County Sheriff‚Äôs Office - NY</t>
  </si>
  <si>
    <t>Esmeralda County Sheriff's Office - NV</t>
  </si>
  <si>
    <t>Youngsville Police Dept. - LA</t>
  </si>
  <si>
    <t>Athens-Clarke County Police Dept. - GA</t>
  </si>
  <si>
    <t>Crockett Police Dept. - TX</t>
  </si>
  <si>
    <t>Broome County Sheriff's Office - NY</t>
  </si>
  <si>
    <t>Amherst County Sheriff's Office - VA</t>
  </si>
  <si>
    <t>Peachtree City Police Dept - GA</t>
  </si>
  <si>
    <t>McCracken County Sheriff's Office - KY</t>
  </si>
  <si>
    <t>Fort Collins Police Services - CO</t>
  </si>
  <si>
    <t>South Dakota Highway Patrol - SD</t>
  </si>
  <si>
    <t>Sullivan's Island Police Dept - SC</t>
  </si>
  <si>
    <t>Early County Sheriff Office - GA</t>
  </si>
  <si>
    <t>Black Hawk County Sheriff Dept - IA</t>
  </si>
  <si>
    <t>Lee County Sheriff's Office - AL</t>
  </si>
  <si>
    <t>Ottawa Police Dept. - IL</t>
  </si>
  <si>
    <t>Annapolis Police Dept. - MD</t>
  </si>
  <si>
    <t>Warwick Police Department - RI</t>
  </si>
  <si>
    <t>Williamsport Police Dept - PA</t>
  </si>
  <si>
    <t>Yuma Police Department - CO</t>
  </si>
  <si>
    <t>Philadelphia Police Dept. - PA</t>
  </si>
  <si>
    <t>Newark Police Department - CA</t>
  </si>
  <si>
    <t>Canton Police Dept. - GA</t>
  </si>
  <si>
    <t>Detroit Police Dept. - MI</t>
  </si>
  <si>
    <t>Ocoee Police Dept. - FL</t>
  </si>
  <si>
    <t>Ohio Dept of Natural Resources - OH</t>
  </si>
  <si>
    <t>Santa Clara County Sheriff's Office - CA</t>
  </si>
  <si>
    <t>Arkansas Game and Fish Commission - AR</t>
  </si>
  <si>
    <t>Middlesex County (NJ) Prosecutor‚Äôs Office</t>
  </si>
  <si>
    <t>University of Illinois PD at Urbana-Champaign</t>
  </si>
  <si>
    <t>Maple Shade Police Dept - NJ</t>
  </si>
  <si>
    <t>Braselton Police Dept. - GA</t>
  </si>
  <si>
    <t>Crawford County Sheriff's Office - KS</t>
  </si>
  <si>
    <t>Alexandria Police Dept. - VA</t>
  </si>
  <si>
    <t>Spokane Police Dept. - WA</t>
  </si>
  <si>
    <t>Elwood Police Dept. - IL</t>
  </si>
  <si>
    <t>Richardson Police Department - TX</t>
  </si>
  <si>
    <t>Durham County Sheriff's Office - NC</t>
  </si>
  <si>
    <t>USDA-USFS-DC-NATIONAL HEADQUARTERS</t>
  </si>
  <si>
    <t>University of Alabama - Huntsville</t>
  </si>
  <si>
    <t>Charlottesville-Albemarle Airport Police - VA</t>
  </si>
  <si>
    <t>Forest Heights Police Dept. - MD</t>
  </si>
  <si>
    <t>Louisville Metro Department of Corrections - KY</t>
  </si>
  <si>
    <t>Chesapeake Bay Bridge-Tunnel Police Dept. - VA</t>
  </si>
  <si>
    <t>Dallas Area Rapid Transit Police Department - TX</t>
  </si>
  <si>
    <t>Allegheny County Police Dept. - PA</t>
  </si>
  <si>
    <t>Brookhaven Police Department - GA</t>
  </si>
  <si>
    <t>Hays County Constable Pct. 5 - TX</t>
  </si>
  <si>
    <t>Georgia Tech Police Department - GA</t>
  </si>
  <si>
    <t>James Madison University Police Dept. - VA</t>
  </si>
  <si>
    <t>West Lake Hills Police Dept. - TX</t>
  </si>
  <si>
    <t>University of Pittsburgh Police Dept. - HQ</t>
  </si>
  <si>
    <t>Montgomery County Sheriff's Office - PA</t>
  </si>
  <si>
    <t>York City School Police Dept - PA</t>
  </si>
  <si>
    <t>Duck Police Dept. - NC</t>
  </si>
  <si>
    <t>Lincoln University Police Dept. - PA</t>
  </si>
  <si>
    <t>Cobb County School Police Dept. - GA</t>
  </si>
  <si>
    <t>Braintree Police Dept. - MA</t>
  </si>
  <si>
    <t>North Andover Police Dept - MA</t>
  </si>
  <si>
    <t>Sumter Police Department - SC</t>
  </si>
  <si>
    <t>Nutley Police Dept. - NJ</t>
  </si>
  <si>
    <t>Westfield Police Dept. - NJ</t>
  </si>
  <si>
    <t>Rutgers University PD - New Brunswick - NJ</t>
  </si>
  <si>
    <t>Holmdel Police Dept. - NJ</t>
  </si>
  <si>
    <t>Chicopee Police Department - MA</t>
  </si>
  <si>
    <t>Brazoria County Sheriff's Office - TX</t>
  </si>
  <si>
    <t>Minneapolis-St Paul Airport Police Dept -MN</t>
  </si>
  <si>
    <t>Co-Op City Police - NY</t>
  </si>
  <si>
    <t>Hays County Constable Pct. 4 - TX</t>
  </si>
  <si>
    <t>Moody County Sheriff's Office - SD</t>
  </si>
  <si>
    <t>Mississippi Alcoholic Beverage Control - MS</t>
  </si>
  <si>
    <t>Georgia State Patrol</t>
  </si>
  <si>
    <t>Harris County Constable Pct. 8 - TX</t>
  </si>
  <si>
    <t>Bannockburn Police Dept. - IL</t>
  </si>
  <si>
    <t>Saint John Parish Sheriff's Office - LA</t>
  </si>
  <si>
    <t>Markle Police Dept. - IN</t>
  </si>
  <si>
    <t>Nevada Dept of Motor Vehicles</t>
  </si>
  <si>
    <t>Northern Lancaster County Regional Police Dept-PA</t>
  </si>
  <si>
    <t>Pamlico County Sheriff's Office - NC</t>
  </si>
  <si>
    <t>Winhall Police and Rescue - VT</t>
  </si>
  <si>
    <t>QuikTrip Corporation Security Department</t>
  </si>
  <si>
    <t>Pennsylvania Board Of Probation And Parole</t>
  </si>
  <si>
    <t>Orange Police Dept. - MA</t>
  </si>
  <si>
    <t>Union Pacific Railroad Police Dept. - NE</t>
  </si>
  <si>
    <t>Mashpee Wampanoag Police Dept. - MA</t>
  </si>
  <si>
    <t>Cotter Police Dept. - AR</t>
  </si>
  <si>
    <t>South Carolina State University - SC</t>
  </si>
  <si>
    <t>DuBois City Police Department - PA</t>
  </si>
  <si>
    <t>McCook County Sheriff's Office - SD</t>
  </si>
  <si>
    <t>Town of Mead Police Department - CO</t>
  </si>
  <si>
    <t>Central Valley Medical Center - UT</t>
  </si>
  <si>
    <t>Springdale Police Department - UT</t>
  </si>
  <si>
    <t>University of Rhode Island Police Dept.</t>
  </si>
  <si>
    <t>California Department of Parks and Recreation</t>
  </si>
  <si>
    <t>Monahans Police Dept. - TX</t>
  </si>
  <si>
    <t>University of Nebraska Police Department - NE</t>
  </si>
  <si>
    <t>Network Henry Ford Hospital- MI</t>
  </si>
  <si>
    <t>Newport Police Department- DE</t>
  </si>
  <si>
    <t>Atlanta Technical College Police Dept.- GA</t>
  </si>
  <si>
    <t>Shippingport Police Dept - PA</t>
  </si>
  <si>
    <t>Anna Police Dept. - TX</t>
  </si>
  <si>
    <t>DOJ-USMS-HQ-DC-TACOPS</t>
  </si>
  <si>
    <t>Fairfield Glade Police Dept. - TN</t>
  </si>
  <si>
    <t>West Lampeter Township Police Dept - PA</t>
  </si>
  <si>
    <t>Harris-Stowe State University Public Safety - MO</t>
  </si>
  <si>
    <t>Rawlins County Sheriff Office - KS</t>
  </si>
  <si>
    <t>City of South Fulton Police Department - GA</t>
  </si>
  <si>
    <t>Belt Railway Police Dept. - IL</t>
  </si>
  <si>
    <t>Queen Creek Police Department - AZ</t>
  </si>
  <si>
    <t>Lake Charles Memorial Hospital - LA</t>
  </si>
  <si>
    <t>Will County Sheriff Office Enforcement - IL</t>
  </si>
  <si>
    <t>Calhan Police Department - CO</t>
  </si>
  <si>
    <t>Florida Department of Financial Services</t>
  </si>
  <si>
    <t>Louisville Police Department - CO</t>
  </si>
  <si>
    <t>Lathrop Police Department - CA</t>
  </si>
  <si>
    <t>Virginia Beach Sheriff's Office - VA</t>
  </si>
  <si>
    <t>Network Legacy Health System</t>
  </si>
  <si>
    <t>Columbia County School District Police - GA</t>
  </si>
  <si>
    <t>Renown Health - NV</t>
  </si>
  <si>
    <t>Mountain Park Police Dept - OK</t>
  </si>
  <si>
    <t>Lehi Police Department - UT</t>
  </si>
  <si>
    <t>Network - Providence (North Division)</t>
  </si>
  <si>
    <t>Children's Healthcare of Atlanta</t>
  </si>
  <si>
    <t>Delaware State Fire Marshal's Office</t>
  </si>
  <si>
    <t>Children's Minnesota</t>
  </si>
  <si>
    <t>Villanova Department of Public Safety - PA</t>
  </si>
  <si>
    <t>National Commissioner of the Icelandic Police</t>
  </si>
  <si>
    <t>BR DF DPF Departamento de Policia Federal</t>
  </si>
  <si>
    <t>Bedford County Probation - PA</t>
  </si>
  <si>
    <t>CSX Railroad Police - FL</t>
  </si>
  <si>
    <t>Boston University Police Dept - MA</t>
  </si>
  <si>
    <t>CapMetro Transit Police Dept - TX</t>
  </si>
  <si>
    <t>Rhode Island Department of Corrections - RI</t>
  </si>
  <si>
    <t>Syracuse Regional Airport Authority Police Department ‚úàÔ∏è</t>
  </si>
  <si>
    <t>Okawville Police Dept. - IL</t>
  </si>
  <si>
    <t>Webb County Sheriff's Office - TX</t>
  </si>
  <si>
    <t>Amtek Company, Inc</t>
  </si>
  <si>
    <t>Providence - South Division</t>
  </si>
  <si>
    <t>Peru State College - NE</t>
  </si>
  <si>
    <t>Columbia County Prison - PA</t>
  </si>
  <si>
    <t>Special Protection Group (SPG)</t>
  </si>
  <si>
    <t>NTT DATA Americas, Inc - TX</t>
  </si>
  <si>
    <t>Toronto Police Service</t>
  </si>
  <si>
    <t>Alberta Sheriff's Branch</t>
  </si>
  <si>
    <t>Barrie Police Service</t>
  </si>
  <si>
    <t>Fredericton Police Force</t>
  </si>
  <si>
    <t>Guelph Police Service</t>
  </si>
  <si>
    <t>Manitoba First Nations Police Service</t>
  </si>
  <si>
    <t>Canadian Pacific / Kansas City Southern Railway Police (CPKC</t>
  </si>
  <si>
    <t>Belleville Police Service</t>
  </si>
  <si>
    <t>The City of Edmonton</t>
  </si>
  <si>
    <t>RCMP - D &amp; V Division Store -CAN</t>
  </si>
  <si>
    <t>RCMP - M-Division Store -CAN</t>
  </si>
  <si>
    <t>RCMP - K &amp; G Division Store -CAN</t>
  </si>
  <si>
    <t>RCMP - H &amp; L Division Store -CAN</t>
  </si>
  <si>
    <t>RCMP - J-Division Store -CAN</t>
  </si>
  <si>
    <t>RCMP - F-Division Store &amp; Training Academy -CAN</t>
  </si>
  <si>
    <t>RCMP - Depot Division Store &amp; Training Academy</t>
  </si>
  <si>
    <t>Victoria Police Department</t>
  </si>
  <si>
    <t>Royal Canadian Mounted Police HQ - CAN</t>
  </si>
  <si>
    <t>BARRAGUN Armament S.L.</t>
  </si>
  <si>
    <t>Polizeipraesidium Karlsruhe</t>
  </si>
  <si>
    <t>GuardWings s.r.l.</t>
  </si>
  <si>
    <t>ArmaTech AB</t>
  </si>
  <si>
    <t>UMO Sp. z o.o.</t>
  </si>
  <si>
    <t>Columbia Heights Police Department - MN</t>
  </si>
  <si>
    <t>Birmingham Police Dept. - AL</t>
  </si>
  <si>
    <t>Mountain View Police Dept. - CA</t>
  </si>
  <si>
    <t>Albany County Sheriff's Office - NY</t>
  </si>
  <si>
    <t>Framingham Police Department - MA</t>
  </si>
  <si>
    <t>Orofino Police Dept - ID</t>
  </si>
  <si>
    <t>Doral Police Dept. - FL</t>
  </si>
  <si>
    <t>WI State Fair PD - WI</t>
  </si>
  <si>
    <t>Metra Police Department - IL</t>
  </si>
  <si>
    <t>Vass Police Dept. - NC</t>
  </si>
  <si>
    <t>Moniteau County Sheriff's Dept. - MO</t>
  </si>
  <si>
    <t>Saratoga County Sheriff's Office - NY</t>
  </si>
  <si>
    <t>Powder Springs Police Dept. - GA</t>
  </si>
  <si>
    <t>Richmond County Sheriff's Office - GA</t>
  </si>
  <si>
    <t>Verona Police Dept. - NJ</t>
  </si>
  <si>
    <t>Union Township Police Dept. - NJ</t>
  </si>
  <si>
    <t>Lincoln University Police Department - MO</t>
  </si>
  <si>
    <t>Toledo Public Schools PD - OH</t>
  </si>
  <si>
    <t>Savannah Airport Commission Police - GA</t>
  </si>
  <si>
    <t>Harper College Police Dept. - IL</t>
  </si>
  <si>
    <t>Golden West College Criminal Justice - Training Center</t>
  </si>
  <si>
    <t>Laconia Huot Tech Center</t>
  </si>
  <si>
    <t>Jefferson County JVS</t>
  </si>
  <si>
    <t>Service Access &amp; Management, Inc</t>
  </si>
  <si>
    <t>Carbon-Monroe-Pike Mental Health &amp; Developmental Services</t>
  </si>
  <si>
    <t>New River Community College Police Dept. - VA</t>
  </si>
  <si>
    <t>Sheridan College</t>
  </si>
  <si>
    <t>Niagara College Canada</t>
  </si>
  <si>
    <t>College Boreal</t>
  </si>
  <si>
    <t>Metric</t>
  </si>
  <si>
    <t>SIM-Only APAP Sum</t>
  </si>
  <si>
    <t>Close to SIM-Only APAP Sum</t>
  </si>
  <si>
    <t>Needs SIM and/or CET</t>
  </si>
  <si>
    <t>Orange</t>
  </si>
  <si>
    <t>Meeting Threshold</t>
  </si>
  <si>
    <t>Green</t>
  </si>
  <si>
    <t>Yellow</t>
  </si>
  <si>
    <t>SUM</t>
  </si>
  <si>
    <t>Count</t>
  </si>
  <si>
    <t>Meeting SIM but not Non-SIM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</si>
</sst>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2" fontId="0" fillId="2" borderId="0" xfId="0" applyNumberFormat="1" applyFill="1"/>
    <xf numFmtId="0" fontId="0" fillId="3" borderId="0" xfId="0" applyFill="1"/>
    <xf numFmtId="1" fontId="0" fillId="3" borderId="0" xfId="0" applyNumberFormat="1" applyFill="1"/>
    <xf numFmtId="2" fontId="0" fillId="3" borderId="0" xfId="0" applyNumberFormat="1" applyFill="1"/>
    <xf numFmtId="0" fontId="0" fillId="4" borderId="0" xfId="0" applyFill="1"/>
    <xf numFmtId="1" fontId="0" fillId="4" borderId="0" xfId="0" applyNumberFormat="1" applyFill="1"/>
    <xf numFmtId="2" fontId="0" fillId="4" borderId="0" xfId="0" applyNumberFormat="1" applyFill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E8" sqref="E8"/>
    </sheetView>
  </sheetViews>
  <sheetFormatPr baseColWidth="10" defaultColWidth="8.83203125" defaultRowHeight="15" x14ac:dyDescent="0.2"/>
  <cols>
    <col min="1" max="1" width="24" bestFit="1" customWidth="1"/>
    <col min="2" max="2" width="6.1640625" bestFit="1" customWidth="1"/>
  </cols>
  <sheetData>
    <row r="1" spans="1:5" x14ac:dyDescent="0.2">
      <c r="A1" s="1" t="s">
        <v>721</v>
      </c>
      <c r="B1" s="1" t="s">
        <v>729</v>
      </c>
      <c r="C1" t="s">
        <v>730</v>
      </c>
    </row>
    <row r="2" spans="1:5" x14ac:dyDescent="0.2">
      <c r="A2" t="s">
        <v>722</v>
      </c>
      <c r="B2">
        <v>18375</v>
      </c>
      <c r="C2">
        <v>154</v>
      </c>
      <c r="E2">
        <f>B3-B2</f>
        <v>8190</v>
      </c>
    </row>
    <row r="3" spans="1:5" x14ac:dyDescent="0.2">
      <c r="A3" t="s">
        <v>723</v>
      </c>
      <c r="B3">
        <v>26565</v>
      </c>
      <c r="C3">
        <v>210</v>
      </c>
    </row>
    <row r="7" spans="1:5" x14ac:dyDescent="0.2">
      <c r="A7" t="s">
        <v>726</v>
      </c>
      <c r="B7">
        <v>9884</v>
      </c>
      <c r="C7">
        <v>49</v>
      </c>
      <c r="D7" t="s">
        <v>727</v>
      </c>
      <c r="E7">
        <f>B7+B8</f>
        <v>18635</v>
      </c>
    </row>
    <row r="8" spans="1:5" x14ac:dyDescent="0.2">
      <c r="A8" t="s">
        <v>731</v>
      </c>
      <c r="B8">
        <v>8751</v>
      </c>
      <c r="C8">
        <v>110</v>
      </c>
      <c r="D8" t="s">
        <v>728</v>
      </c>
    </row>
    <row r="9" spans="1:5" x14ac:dyDescent="0.2">
      <c r="A9" t="s">
        <v>724</v>
      </c>
      <c r="B9">
        <v>7956</v>
      </c>
      <c r="C9">
        <v>53</v>
      </c>
      <c r="D9" t="s">
        <v>725</v>
      </c>
    </row>
    <row r="10" spans="1:5" x14ac:dyDescent="0.2">
      <c r="B10">
        <f>SUM(B6:B9)</f>
        <v>26591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1"/>
  <sheetViews>
    <sheetView tabSelected="1" zoomScale="157" workbookViewId="0">
      <selection activeCell="K9" sqref="K9"/>
    </sheetView>
  </sheetViews>
  <sheetFormatPr baseColWidth="10" defaultColWidth="8.83203125" defaultRowHeight="15" x14ac:dyDescent="0.2"/>
  <cols>
    <col min="1" max="1" width="11.83203125" bestFit="1" customWidth="1"/>
    <col min="2" max="2" width="50.6640625" bestFit="1" customWidth="1"/>
    <col min="3" max="3" width="10.1640625" style="5" bestFit="1" customWidth="1"/>
    <col min="4" max="4" width="14.33203125" style="5" bestFit="1" customWidth="1"/>
    <col min="5" max="5" width="18.1640625" style="5" bestFit="1" customWidth="1"/>
    <col min="6" max="6" width="12.83203125" style="3" bestFit="1" customWidth="1"/>
  </cols>
  <sheetData>
    <row r="1" spans="1:11" x14ac:dyDescent="0.2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2" t="s">
        <v>5</v>
      </c>
    </row>
    <row r="2" spans="1:11" x14ac:dyDescent="0.2">
      <c r="A2" s="6">
        <v>108050</v>
      </c>
      <c r="B2" s="6" t="s">
        <v>130</v>
      </c>
      <c r="C2" s="7">
        <v>1508</v>
      </c>
      <c r="D2" s="7">
        <v>4459</v>
      </c>
      <c r="E2" s="7">
        <v>82</v>
      </c>
      <c r="F2" s="8">
        <v>2.9568965517241379</v>
      </c>
      <c r="J2">
        <v>7</v>
      </c>
      <c r="K2" s="5">
        <f>SUM(C2:C8)</f>
        <v>8207</v>
      </c>
    </row>
    <row r="3" spans="1:11" x14ac:dyDescent="0.2">
      <c r="A3" s="9">
        <v>113118</v>
      </c>
      <c r="B3" s="9" t="s">
        <v>290</v>
      </c>
      <c r="C3" s="10">
        <v>1141</v>
      </c>
      <c r="D3" s="10">
        <v>3070</v>
      </c>
      <c r="E3" s="10">
        <v>0</v>
      </c>
      <c r="F3" s="11">
        <v>2.6906222611744091</v>
      </c>
      <c r="J3" s="15">
        <f>J2/77</f>
        <v>9.0909090909090912E-2</v>
      </c>
      <c r="K3" s="15">
        <f>K2/140716</f>
        <v>5.832314733221524E-2</v>
      </c>
    </row>
    <row r="4" spans="1:11" x14ac:dyDescent="0.2">
      <c r="A4">
        <v>105526</v>
      </c>
      <c r="B4" t="s">
        <v>46</v>
      </c>
      <c r="C4" s="5">
        <v>2530</v>
      </c>
      <c r="D4" s="5">
        <v>1593</v>
      </c>
      <c r="E4" s="5">
        <v>7942</v>
      </c>
      <c r="F4" s="3">
        <v>0.62964426877470359</v>
      </c>
    </row>
    <row r="5" spans="1:11" x14ac:dyDescent="0.2">
      <c r="A5" s="6">
        <v>124496</v>
      </c>
      <c r="B5" s="6" t="s">
        <v>356</v>
      </c>
      <c r="C5" s="7">
        <v>965</v>
      </c>
      <c r="D5" s="7">
        <v>2027</v>
      </c>
      <c r="E5" s="7">
        <v>234</v>
      </c>
      <c r="F5" s="8">
        <v>2.1005181347150259</v>
      </c>
      <c r="J5">
        <v>17</v>
      </c>
      <c r="K5">
        <v>22930</v>
      </c>
    </row>
    <row r="6" spans="1:11" x14ac:dyDescent="0.2">
      <c r="A6" s="12">
        <v>108490</v>
      </c>
      <c r="B6" s="12" t="s">
        <v>152</v>
      </c>
      <c r="C6" s="13">
        <v>1238</v>
      </c>
      <c r="D6" s="13">
        <v>1839</v>
      </c>
      <c r="E6" s="13">
        <v>4</v>
      </c>
      <c r="F6" s="14">
        <v>1.48546042003231</v>
      </c>
      <c r="J6" s="15">
        <f>J5/77</f>
        <v>0.22077922077922077</v>
      </c>
      <c r="K6" s="15">
        <f>K5/140716</f>
        <v>0.16295232951476732</v>
      </c>
    </row>
    <row r="7" spans="1:11" x14ac:dyDescent="0.2">
      <c r="A7" s="6">
        <v>106569</v>
      </c>
      <c r="B7" s="6" t="s">
        <v>71</v>
      </c>
      <c r="C7" s="7">
        <v>440</v>
      </c>
      <c r="D7" s="7">
        <v>1809</v>
      </c>
      <c r="E7" s="7">
        <v>617</v>
      </c>
      <c r="F7" s="8">
        <v>4.1113636363636363</v>
      </c>
    </row>
    <row r="8" spans="1:11" x14ac:dyDescent="0.2">
      <c r="A8" s="9">
        <v>113410</v>
      </c>
      <c r="B8" s="9" t="s">
        <v>300</v>
      </c>
      <c r="C8" s="10">
        <v>385</v>
      </c>
      <c r="D8" s="10">
        <v>1780</v>
      </c>
      <c r="E8" s="10">
        <v>4</v>
      </c>
      <c r="F8" s="11">
        <v>4.6233766233766236</v>
      </c>
      <c r="J8">
        <v>13</v>
      </c>
      <c r="K8">
        <v>20488</v>
      </c>
    </row>
    <row r="9" spans="1:11" x14ac:dyDescent="0.2">
      <c r="A9">
        <v>328079</v>
      </c>
      <c r="B9" t="s">
        <v>550</v>
      </c>
      <c r="C9" s="5">
        <v>2527</v>
      </c>
      <c r="D9" s="5">
        <v>2035</v>
      </c>
      <c r="E9" s="5">
        <v>286</v>
      </c>
      <c r="F9" s="3">
        <v>0.80530273051048673</v>
      </c>
      <c r="J9" s="15">
        <f>J8/77</f>
        <v>0.16883116883116883</v>
      </c>
      <c r="K9" s="15">
        <f>K8/140716</f>
        <v>0.14559822621450297</v>
      </c>
    </row>
    <row r="10" spans="1:11" x14ac:dyDescent="0.2">
      <c r="A10" s="9">
        <v>113599</v>
      </c>
      <c r="B10" s="9" t="s">
        <v>308</v>
      </c>
      <c r="C10" s="10">
        <v>655</v>
      </c>
      <c r="D10" s="10">
        <v>1733</v>
      </c>
      <c r="E10" s="10">
        <v>19</v>
      </c>
      <c r="F10" s="11">
        <v>2.6458015267175572</v>
      </c>
    </row>
    <row r="11" spans="1:11" x14ac:dyDescent="0.2">
      <c r="A11">
        <v>105469</v>
      </c>
      <c r="B11" t="s">
        <v>43</v>
      </c>
      <c r="C11" s="5">
        <v>2385</v>
      </c>
      <c r="D11" s="5">
        <v>1777</v>
      </c>
      <c r="E11" s="5">
        <v>120</v>
      </c>
      <c r="F11" s="3">
        <v>0.74507337526205453</v>
      </c>
      <c r="J11">
        <v>32</v>
      </c>
      <c r="K11">
        <v>46715</v>
      </c>
    </row>
    <row r="12" spans="1:11" x14ac:dyDescent="0.2">
      <c r="A12">
        <v>470006</v>
      </c>
      <c r="B12" t="s">
        <v>598</v>
      </c>
      <c r="D12" s="5">
        <v>1540</v>
      </c>
      <c r="E12" s="5">
        <v>11</v>
      </c>
      <c r="J12" s="15">
        <f>J11/77</f>
        <v>0.41558441558441561</v>
      </c>
      <c r="K12" s="15">
        <f>K11/140716</f>
        <v>0.33198072713834959</v>
      </c>
    </row>
    <row r="13" spans="1:11" x14ac:dyDescent="0.2">
      <c r="A13" s="6">
        <v>110637</v>
      </c>
      <c r="B13" s="6" t="s">
        <v>244</v>
      </c>
      <c r="C13" s="7">
        <v>531</v>
      </c>
      <c r="D13" s="7">
        <v>1458</v>
      </c>
      <c r="E13" s="7">
        <v>118</v>
      </c>
      <c r="F13" s="8">
        <v>2.745762711864407</v>
      </c>
    </row>
    <row r="14" spans="1:11" x14ac:dyDescent="0.2">
      <c r="A14">
        <v>318725</v>
      </c>
      <c r="B14" t="s">
        <v>530</v>
      </c>
      <c r="D14" s="5">
        <v>1390</v>
      </c>
      <c r="E14" s="5">
        <v>9</v>
      </c>
    </row>
    <row r="15" spans="1:11" x14ac:dyDescent="0.2">
      <c r="A15" s="6">
        <v>109479</v>
      </c>
      <c r="B15" s="6" t="s">
        <v>201</v>
      </c>
      <c r="C15" s="7">
        <v>199</v>
      </c>
      <c r="D15" s="7">
        <v>1354</v>
      </c>
      <c r="E15" s="7">
        <v>45</v>
      </c>
      <c r="F15" s="8">
        <v>6.8040201005025116</v>
      </c>
    </row>
    <row r="16" spans="1:11" x14ac:dyDescent="0.2">
      <c r="A16" s="9">
        <v>105506</v>
      </c>
      <c r="B16" s="9" t="s">
        <v>44</v>
      </c>
      <c r="C16" s="10">
        <v>328</v>
      </c>
      <c r="D16" s="10">
        <v>1342</v>
      </c>
      <c r="E16" s="10">
        <v>25</v>
      </c>
      <c r="F16" s="11">
        <v>4.0914634146341466</v>
      </c>
    </row>
    <row r="17" spans="1:6" x14ac:dyDescent="0.2">
      <c r="A17">
        <v>108541</v>
      </c>
      <c r="B17" t="s">
        <v>155</v>
      </c>
      <c r="C17" s="5">
        <v>2325</v>
      </c>
      <c r="D17" s="5">
        <v>1247</v>
      </c>
      <c r="E17" s="5">
        <v>576</v>
      </c>
      <c r="F17" s="3">
        <v>0.53634408602150541</v>
      </c>
    </row>
    <row r="18" spans="1:6" x14ac:dyDescent="0.2">
      <c r="A18" s="6">
        <v>128775</v>
      </c>
      <c r="B18" s="6" t="s">
        <v>370</v>
      </c>
      <c r="C18" s="7">
        <v>586</v>
      </c>
      <c r="D18" s="7">
        <v>1221</v>
      </c>
      <c r="E18" s="7">
        <v>448</v>
      </c>
      <c r="F18" s="8">
        <v>2.0836177474402731</v>
      </c>
    </row>
    <row r="19" spans="1:6" x14ac:dyDescent="0.2">
      <c r="A19">
        <v>110642</v>
      </c>
      <c r="B19" t="s">
        <v>245</v>
      </c>
      <c r="D19" s="5">
        <v>1096</v>
      </c>
      <c r="E19" s="5">
        <v>6</v>
      </c>
    </row>
    <row r="20" spans="1:6" x14ac:dyDescent="0.2">
      <c r="A20" s="9">
        <v>313790</v>
      </c>
      <c r="B20" s="9" t="s">
        <v>519</v>
      </c>
      <c r="C20" s="10">
        <v>289</v>
      </c>
      <c r="D20" s="10">
        <v>1087</v>
      </c>
      <c r="E20" s="10">
        <v>15</v>
      </c>
      <c r="F20" s="11">
        <v>3.761245674740485</v>
      </c>
    </row>
    <row r="21" spans="1:6" x14ac:dyDescent="0.2">
      <c r="A21">
        <v>106524</v>
      </c>
      <c r="D21" s="5">
        <v>1087</v>
      </c>
      <c r="E21" s="5">
        <v>25</v>
      </c>
    </row>
    <row r="22" spans="1:6" x14ac:dyDescent="0.2">
      <c r="A22">
        <v>110010</v>
      </c>
      <c r="B22" t="s">
        <v>222</v>
      </c>
      <c r="C22" s="5">
        <v>2170</v>
      </c>
      <c r="D22" s="5">
        <v>775</v>
      </c>
      <c r="E22" s="5">
        <v>937</v>
      </c>
      <c r="F22" s="3">
        <v>0.35714285714285721</v>
      </c>
    </row>
    <row r="23" spans="1:6" x14ac:dyDescent="0.2">
      <c r="A23" s="12">
        <v>107750</v>
      </c>
      <c r="B23" s="12" t="s">
        <v>114</v>
      </c>
      <c r="C23" s="13">
        <v>682</v>
      </c>
      <c r="D23" s="13">
        <v>991</v>
      </c>
      <c r="E23" s="13">
        <v>209</v>
      </c>
      <c r="F23" s="14">
        <v>1.453079178885631</v>
      </c>
    </row>
    <row r="24" spans="1:6" x14ac:dyDescent="0.2">
      <c r="A24" s="9">
        <v>141269</v>
      </c>
      <c r="B24" s="9" t="s">
        <v>396</v>
      </c>
      <c r="C24" s="10">
        <v>305</v>
      </c>
      <c r="D24" s="10">
        <v>931</v>
      </c>
      <c r="E24" s="10">
        <v>2</v>
      </c>
      <c r="F24" s="11">
        <v>3.052459016393442</v>
      </c>
    </row>
    <row r="25" spans="1:6" x14ac:dyDescent="0.2">
      <c r="A25" s="9">
        <v>119937</v>
      </c>
      <c r="B25" s="9" t="s">
        <v>351</v>
      </c>
      <c r="C25" s="10">
        <v>367</v>
      </c>
      <c r="D25" s="10">
        <v>913</v>
      </c>
      <c r="E25" s="10">
        <v>0</v>
      </c>
      <c r="F25" s="11">
        <v>2.487738419618529</v>
      </c>
    </row>
    <row r="26" spans="1:6" x14ac:dyDescent="0.2">
      <c r="A26" s="6">
        <v>107124</v>
      </c>
      <c r="B26" s="6" t="s">
        <v>94</v>
      </c>
      <c r="C26" s="7">
        <v>341</v>
      </c>
      <c r="D26" s="7">
        <v>901</v>
      </c>
      <c r="E26" s="7">
        <v>510</v>
      </c>
      <c r="F26" s="8">
        <v>2.642228739002932</v>
      </c>
    </row>
    <row r="27" spans="1:6" x14ac:dyDescent="0.2">
      <c r="A27">
        <v>114601</v>
      </c>
      <c r="B27" t="s">
        <v>314</v>
      </c>
      <c r="C27" s="5">
        <v>1856</v>
      </c>
      <c r="D27" s="5">
        <v>201</v>
      </c>
      <c r="E27" s="5">
        <v>215</v>
      </c>
      <c r="F27" s="3">
        <v>0.10829741379310349</v>
      </c>
    </row>
    <row r="28" spans="1:6" x14ac:dyDescent="0.2">
      <c r="A28">
        <v>478409</v>
      </c>
      <c r="B28" t="s">
        <v>608</v>
      </c>
      <c r="D28" s="5">
        <v>855</v>
      </c>
      <c r="E28" s="5">
        <v>16</v>
      </c>
    </row>
    <row r="29" spans="1:6" x14ac:dyDescent="0.2">
      <c r="A29" s="6">
        <v>303223</v>
      </c>
      <c r="B29" s="6" t="s">
        <v>501</v>
      </c>
      <c r="C29" s="7">
        <v>222</v>
      </c>
      <c r="D29" s="7">
        <v>848</v>
      </c>
      <c r="E29" s="7">
        <v>119</v>
      </c>
      <c r="F29" s="8">
        <v>3.8198198198198199</v>
      </c>
    </row>
    <row r="30" spans="1:6" x14ac:dyDescent="0.2">
      <c r="A30" s="6">
        <v>154340</v>
      </c>
      <c r="B30" s="6" t="s">
        <v>427</v>
      </c>
      <c r="C30" s="7">
        <v>167</v>
      </c>
      <c r="D30" s="7">
        <v>814</v>
      </c>
      <c r="E30" s="7">
        <v>361</v>
      </c>
      <c r="F30" s="8">
        <v>4.8742514970059876</v>
      </c>
    </row>
    <row r="31" spans="1:6" x14ac:dyDescent="0.2">
      <c r="A31">
        <v>225076</v>
      </c>
      <c r="B31" t="s">
        <v>493</v>
      </c>
      <c r="C31" s="5">
        <v>1820</v>
      </c>
      <c r="D31" s="5">
        <v>184</v>
      </c>
      <c r="E31" s="5">
        <v>72</v>
      </c>
      <c r="F31" s="3">
        <v>0.1010989010989011</v>
      </c>
    </row>
    <row r="32" spans="1:6" x14ac:dyDescent="0.2">
      <c r="A32">
        <v>106936</v>
      </c>
      <c r="B32" t="s">
        <v>87</v>
      </c>
      <c r="C32" s="5">
        <v>1760</v>
      </c>
      <c r="D32" s="5">
        <v>993</v>
      </c>
      <c r="E32" s="5">
        <v>54</v>
      </c>
      <c r="F32" s="3">
        <v>0.56420454545454546</v>
      </c>
    </row>
    <row r="33" spans="1:6" x14ac:dyDescent="0.2">
      <c r="A33" s="6">
        <v>110619</v>
      </c>
      <c r="B33" s="6" t="s">
        <v>243</v>
      </c>
      <c r="C33" s="7">
        <v>286</v>
      </c>
      <c r="D33" s="7">
        <v>791</v>
      </c>
      <c r="E33" s="7">
        <v>287</v>
      </c>
      <c r="F33" s="8">
        <v>2.7657342657342658</v>
      </c>
    </row>
    <row r="34" spans="1:6" x14ac:dyDescent="0.2">
      <c r="A34">
        <v>132851</v>
      </c>
      <c r="B34" t="s">
        <v>381</v>
      </c>
      <c r="C34" s="5">
        <v>1743</v>
      </c>
      <c r="D34" s="5">
        <v>242</v>
      </c>
      <c r="E34" s="5">
        <v>0</v>
      </c>
      <c r="F34" s="3">
        <v>0.13884107860011469</v>
      </c>
    </row>
    <row r="35" spans="1:6" x14ac:dyDescent="0.2">
      <c r="A35" s="6">
        <v>106715</v>
      </c>
      <c r="B35" s="6" t="s">
        <v>78</v>
      </c>
      <c r="C35" s="7">
        <v>275</v>
      </c>
      <c r="D35" s="7">
        <v>770</v>
      </c>
      <c r="E35" s="7">
        <v>231</v>
      </c>
      <c r="F35" s="8">
        <v>2.8</v>
      </c>
    </row>
    <row r="36" spans="1:6" x14ac:dyDescent="0.2">
      <c r="A36" s="9">
        <v>471191</v>
      </c>
      <c r="B36" s="9" t="s">
        <v>601</v>
      </c>
      <c r="C36" s="10">
        <v>250</v>
      </c>
      <c r="D36" s="10">
        <v>767</v>
      </c>
      <c r="E36" s="10">
        <v>15</v>
      </c>
      <c r="F36" s="11">
        <v>3.0680000000000001</v>
      </c>
    </row>
    <row r="37" spans="1:6" x14ac:dyDescent="0.2">
      <c r="A37" s="9">
        <v>108053</v>
      </c>
      <c r="B37" s="9" t="s">
        <v>131</v>
      </c>
      <c r="C37" s="10">
        <v>199</v>
      </c>
      <c r="D37" s="10">
        <v>749</v>
      </c>
      <c r="E37" s="10">
        <v>0</v>
      </c>
      <c r="F37" s="11">
        <v>3.7638190954773871</v>
      </c>
    </row>
    <row r="38" spans="1:6" x14ac:dyDescent="0.2">
      <c r="A38" s="12">
        <v>109182</v>
      </c>
      <c r="B38" s="12" t="s">
        <v>187</v>
      </c>
      <c r="C38" s="13">
        <v>695</v>
      </c>
      <c r="D38" s="13">
        <v>747</v>
      </c>
      <c r="E38" s="13">
        <v>460</v>
      </c>
      <c r="F38" s="14">
        <v>1.0748201438848921</v>
      </c>
    </row>
    <row r="39" spans="1:6" x14ac:dyDescent="0.2">
      <c r="A39" s="6">
        <v>309995</v>
      </c>
      <c r="B39" s="6" t="s">
        <v>514</v>
      </c>
      <c r="C39" s="7">
        <v>444</v>
      </c>
      <c r="D39" s="7">
        <v>746</v>
      </c>
      <c r="E39" s="7">
        <v>54</v>
      </c>
      <c r="F39" s="8">
        <v>1.6801801801801799</v>
      </c>
    </row>
    <row r="40" spans="1:6" x14ac:dyDescent="0.2">
      <c r="A40" s="6" t="s">
        <v>9</v>
      </c>
      <c r="B40" s="6" t="s">
        <v>671</v>
      </c>
      <c r="C40" s="7">
        <v>240</v>
      </c>
      <c r="D40" s="7">
        <v>742</v>
      </c>
      <c r="E40" s="7">
        <v>57</v>
      </c>
      <c r="F40" s="8">
        <v>3.0916666666666668</v>
      </c>
    </row>
    <row r="41" spans="1:6" x14ac:dyDescent="0.2">
      <c r="A41" s="6">
        <v>124615</v>
      </c>
      <c r="B41" s="6" t="s">
        <v>357</v>
      </c>
      <c r="C41" s="7">
        <v>148</v>
      </c>
      <c r="D41" s="7">
        <v>731</v>
      </c>
      <c r="E41" s="7">
        <v>174</v>
      </c>
      <c r="F41" s="8">
        <v>4.9391891891891886</v>
      </c>
    </row>
    <row r="42" spans="1:6" x14ac:dyDescent="0.2">
      <c r="A42" s="9">
        <v>109269</v>
      </c>
      <c r="B42" s="9" t="s">
        <v>195</v>
      </c>
      <c r="C42" s="10">
        <v>116</v>
      </c>
      <c r="D42" s="10">
        <v>706</v>
      </c>
      <c r="E42" s="10">
        <v>15</v>
      </c>
      <c r="F42" s="11">
        <v>6.0862068965517242</v>
      </c>
    </row>
    <row r="43" spans="1:6" x14ac:dyDescent="0.2">
      <c r="A43" s="6">
        <v>108237</v>
      </c>
      <c r="B43" s="6" t="s">
        <v>137</v>
      </c>
      <c r="C43" s="7">
        <v>394</v>
      </c>
      <c r="D43" s="7">
        <v>685</v>
      </c>
      <c r="E43" s="7">
        <v>240</v>
      </c>
      <c r="F43" s="8">
        <v>1.7385786802030461</v>
      </c>
    </row>
    <row r="44" spans="1:6" x14ac:dyDescent="0.2">
      <c r="A44" s="9">
        <v>106669</v>
      </c>
      <c r="B44" s="9" t="s">
        <v>75</v>
      </c>
      <c r="C44" s="10">
        <v>168</v>
      </c>
      <c r="D44" s="10">
        <v>669</v>
      </c>
      <c r="E44" s="10">
        <v>6</v>
      </c>
      <c r="F44" s="11">
        <v>3.9821428571428572</v>
      </c>
    </row>
    <row r="45" spans="1:6" x14ac:dyDescent="0.2">
      <c r="A45">
        <v>105785</v>
      </c>
      <c r="B45" t="s">
        <v>55</v>
      </c>
      <c r="C45" s="5">
        <v>1717</v>
      </c>
      <c r="D45" s="5">
        <v>890</v>
      </c>
      <c r="E45" s="5">
        <v>392</v>
      </c>
      <c r="F45" s="3">
        <v>0.51834595224228308</v>
      </c>
    </row>
    <row r="46" spans="1:6" x14ac:dyDescent="0.2">
      <c r="A46">
        <v>106304</v>
      </c>
      <c r="B46" t="s">
        <v>62</v>
      </c>
      <c r="C46" s="5">
        <v>10617</v>
      </c>
      <c r="D46" s="5">
        <v>644</v>
      </c>
      <c r="E46" s="5">
        <v>3</v>
      </c>
      <c r="F46" s="3">
        <v>6.0657436187246873E-2</v>
      </c>
    </row>
    <row r="47" spans="1:6" x14ac:dyDescent="0.2">
      <c r="A47">
        <v>109160</v>
      </c>
      <c r="B47" t="s">
        <v>184</v>
      </c>
      <c r="C47" s="5">
        <v>1715</v>
      </c>
      <c r="D47" s="5">
        <v>206</v>
      </c>
      <c r="E47" s="5">
        <v>96</v>
      </c>
      <c r="F47" s="3">
        <v>0.12011661807580171</v>
      </c>
    </row>
    <row r="48" spans="1:6" x14ac:dyDescent="0.2">
      <c r="A48">
        <v>112474</v>
      </c>
      <c r="B48" t="s">
        <v>272</v>
      </c>
      <c r="C48" s="5">
        <v>1422</v>
      </c>
      <c r="D48" s="5">
        <v>806</v>
      </c>
      <c r="E48" s="5">
        <v>374</v>
      </c>
      <c r="F48" s="3">
        <v>0.56680731364275672</v>
      </c>
    </row>
    <row r="49" spans="1:6" x14ac:dyDescent="0.2">
      <c r="A49">
        <v>408831</v>
      </c>
      <c r="B49" t="s">
        <v>553</v>
      </c>
      <c r="C49" s="5">
        <v>1285</v>
      </c>
      <c r="D49" s="5">
        <v>575</v>
      </c>
      <c r="E49" s="5">
        <v>95</v>
      </c>
      <c r="F49" s="3">
        <v>0.44747081712062259</v>
      </c>
    </row>
    <row r="50" spans="1:6" x14ac:dyDescent="0.2">
      <c r="A50" s="12">
        <v>169787</v>
      </c>
      <c r="B50" s="12" t="s">
        <v>454</v>
      </c>
      <c r="C50" s="13">
        <v>527</v>
      </c>
      <c r="D50" s="13">
        <v>565</v>
      </c>
      <c r="E50" s="13">
        <v>72</v>
      </c>
      <c r="F50" s="14">
        <v>1.072106261859582</v>
      </c>
    </row>
    <row r="51" spans="1:6" x14ac:dyDescent="0.2">
      <c r="A51">
        <v>327797</v>
      </c>
      <c r="B51" t="s">
        <v>547</v>
      </c>
      <c r="C51" s="5">
        <v>6356</v>
      </c>
      <c r="D51" s="5">
        <v>558</v>
      </c>
      <c r="E51" s="5">
        <v>442</v>
      </c>
      <c r="F51" s="3">
        <v>8.7791063561988666E-2</v>
      </c>
    </row>
    <row r="52" spans="1:6" x14ac:dyDescent="0.2">
      <c r="A52" s="12">
        <v>112129</v>
      </c>
      <c r="B52" s="12" t="s">
        <v>258</v>
      </c>
      <c r="C52" s="13">
        <v>538</v>
      </c>
      <c r="D52" s="13">
        <v>556</v>
      </c>
      <c r="E52" s="13">
        <v>17</v>
      </c>
      <c r="F52" s="14">
        <v>1.033457249070632</v>
      </c>
    </row>
    <row r="53" spans="1:6" x14ac:dyDescent="0.2">
      <c r="A53" s="9">
        <v>511036</v>
      </c>
      <c r="B53" s="9" t="s">
        <v>637</v>
      </c>
      <c r="C53" s="10">
        <v>233</v>
      </c>
      <c r="D53" s="10">
        <v>549</v>
      </c>
      <c r="E53" s="10">
        <v>0</v>
      </c>
      <c r="F53" s="11">
        <v>2.3562231759656651</v>
      </c>
    </row>
    <row r="54" spans="1:6" x14ac:dyDescent="0.2">
      <c r="A54">
        <v>106677</v>
      </c>
      <c r="B54" t="s">
        <v>76</v>
      </c>
      <c r="D54" s="5">
        <v>532</v>
      </c>
      <c r="E54" s="5">
        <v>79</v>
      </c>
    </row>
    <row r="55" spans="1:6" x14ac:dyDescent="0.2">
      <c r="A55">
        <v>108086</v>
      </c>
      <c r="B55" t="s">
        <v>134</v>
      </c>
      <c r="C55" s="5">
        <v>1283</v>
      </c>
      <c r="D55" s="5">
        <v>810</v>
      </c>
      <c r="E55" s="5">
        <v>367</v>
      </c>
      <c r="F55" s="3">
        <v>0.63133281371784877</v>
      </c>
    </row>
    <row r="56" spans="1:6" x14ac:dyDescent="0.2">
      <c r="A56" s="6">
        <v>187999</v>
      </c>
      <c r="B56" s="6" t="s">
        <v>465</v>
      </c>
      <c r="C56" s="7">
        <v>26</v>
      </c>
      <c r="D56" s="7">
        <v>513</v>
      </c>
      <c r="E56" s="7">
        <v>52</v>
      </c>
      <c r="F56" s="8">
        <v>19.73076923076923</v>
      </c>
    </row>
    <row r="57" spans="1:6" x14ac:dyDescent="0.2">
      <c r="A57" s="6">
        <v>325338</v>
      </c>
      <c r="B57" s="6" t="s">
        <v>541</v>
      </c>
      <c r="C57" s="7">
        <v>146</v>
      </c>
      <c r="D57" s="7">
        <v>512</v>
      </c>
      <c r="E57" s="7">
        <v>196</v>
      </c>
      <c r="F57" s="8">
        <v>3.506849315068493</v>
      </c>
    </row>
    <row r="58" spans="1:6" x14ac:dyDescent="0.2">
      <c r="A58" s="12">
        <v>126256</v>
      </c>
      <c r="B58" s="12" t="s">
        <v>360</v>
      </c>
      <c r="C58" s="13">
        <v>351</v>
      </c>
      <c r="D58" s="13">
        <v>507</v>
      </c>
      <c r="E58" s="13">
        <v>24</v>
      </c>
      <c r="F58" s="14">
        <v>1.444444444444444</v>
      </c>
    </row>
    <row r="59" spans="1:6" x14ac:dyDescent="0.2">
      <c r="A59">
        <v>106346</v>
      </c>
      <c r="B59" t="s">
        <v>64</v>
      </c>
      <c r="C59" s="5">
        <v>1282</v>
      </c>
      <c r="D59" s="5">
        <v>656</v>
      </c>
      <c r="E59" s="5">
        <v>0</v>
      </c>
      <c r="F59" s="3">
        <v>0.51170046801872071</v>
      </c>
    </row>
    <row r="60" spans="1:6" x14ac:dyDescent="0.2">
      <c r="A60" s="12">
        <v>115314</v>
      </c>
      <c r="B60" s="12" t="s">
        <v>321</v>
      </c>
      <c r="C60" s="13">
        <v>475</v>
      </c>
      <c r="D60" s="13">
        <v>496</v>
      </c>
      <c r="E60" s="13">
        <v>0</v>
      </c>
      <c r="F60" s="14">
        <v>1.044210526315789</v>
      </c>
    </row>
    <row r="61" spans="1:6" x14ac:dyDescent="0.2">
      <c r="A61" s="6">
        <v>109079</v>
      </c>
      <c r="B61" s="6" t="s">
        <v>178</v>
      </c>
      <c r="C61" s="7">
        <v>253</v>
      </c>
      <c r="D61" s="7">
        <v>470</v>
      </c>
      <c r="E61" s="7">
        <v>45</v>
      </c>
      <c r="F61" s="8">
        <v>1.8577075098814231</v>
      </c>
    </row>
    <row r="62" spans="1:6" x14ac:dyDescent="0.2">
      <c r="A62" s="9">
        <v>445108</v>
      </c>
      <c r="B62" s="9" t="s">
        <v>560</v>
      </c>
      <c r="C62" s="10">
        <v>305</v>
      </c>
      <c r="D62" s="10">
        <v>469</v>
      </c>
      <c r="E62" s="10">
        <v>0</v>
      </c>
      <c r="F62" s="11">
        <v>1.5377049180327871</v>
      </c>
    </row>
    <row r="63" spans="1:6" x14ac:dyDescent="0.2">
      <c r="A63" s="9">
        <v>307983</v>
      </c>
      <c r="B63" s="9" t="s">
        <v>512</v>
      </c>
      <c r="C63" s="10">
        <v>40</v>
      </c>
      <c r="D63" s="10">
        <v>458</v>
      </c>
      <c r="E63" s="10">
        <v>12</v>
      </c>
      <c r="F63" s="11">
        <v>11.45</v>
      </c>
    </row>
    <row r="64" spans="1:6" x14ac:dyDescent="0.2">
      <c r="A64" s="6">
        <v>106698</v>
      </c>
      <c r="B64" s="6" t="s">
        <v>77</v>
      </c>
      <c r="C64" s="7">
        <v>155</v>
      </c>
      <c r="D64" s="7">
        <v>454</v>
      </c>
      <c r="E64" s="7">
        <v>100</v>
      </c>
      <c r="F64" s="8">
        <v>2.9290322580645158</v>
      </c>
    </row>
    <row r="65" spans="1:6" x14ac:dyDescent="0.2">
      <c r="A65" t="s">
        <v>27</v>
      </c>
      <c r="B65" t="s">
        <v>687</v>
      </c>
      <c r="D65" s="5">
        <v>453</v>
      </c>
      <c r="E65" s="5">
        <v>42</v>
      </c>
    </row>
    <row r="66" spans="1:6" x14ac:dyDescent="0.2">
      <c r="A66" s="12">
        <v>141887</v>
      </c>
      <c r="B66" s="12" t="s">
        <v>399</v>
      </c>
      <c r="C66" s="13">
        <v>408</v>
      </c>
      <c r="D66" s="13">
        <v>441</v>
      </c>
      <c r="E66" s="13">
        <v>116</v>
      </c>
      <c r="F66" s="14">
        <v>1.080882352941176</v>
      </c>
    </row>
    <row r="67" spans="1:6" x14ac:dyDescent="0.2">
      <c r="A67" s="6">
        <v>109374</v>
      </c>
      <c r="B67" s="6" t="s">
        <v>200</v>
      </c>
      <c r="C67" s="7">
        <v>66</v>
      </c>
      <c r="D67" s="7">
        <v>438</v>
      </c>
      <c r="E67" s="7">
        <v>52</v>
      </c>
      <c r="F67" s="8">
        <v>6.6363636363636367</v>
      </c>
    </row>
    <row r="68" spans="1:6" x14ac:dyDescent="0.2">
      <c r="A68">
        <v>107197</v>
      </c>
      <c r="B68" t="s">
        <v>99</v>
      </c>
      <c r="C68" s="5">
        <v>1278</v>
      </c>
      <c r="D68" s="5">
        <v>505</v>
      </c>
      <c r="E68" s="5">
        <v>100</v>
      </c>
      <c r="F68" s="3">
        <v>0.39514866979655711</v>
      </c>
    </row>
    <row r="69" spans="1:6" x14ac:dyDescent="0.2">
      <c r="A69">
        <v>106587</v>
      </c>
      <c r="D69" s="5">
        <v>426</v>
      </c>
      <c r="E69" s="5">
        <v>160</v>
      </c>
    </row>
    <row r="70" spans="1:6" x14ac:dyDescent="0.2">
      <c r="A70">
        <v>116660</v>
      </c>
      <c r="B70" t="s">
        <v>339</v>
      </c>
      <c r="C70" s="5">
        <v>997</v>
      </c>
      <c r="D70" s="5">
        <v>240</v>
      </c>
      <c r="E70" s="5">
        <v>298</v>
      </c>
      <c r="F70" s="3">
        <v>0.24072216649949851</v>
      </c>
    </row>
    <row r="71" spans="1:6" x14ac:dyDescent="0.2">
      <c r="A71" s="9">
        <v>129179</v>
      </c>
      <c r="B71" s="9" t="s">
        <v>371</v>
      </c>
      <c r="C71" s="10">
        <v>51</v>
      </c>
      <c r="D71" s="10">
        <v>411</v>
      </c>
      <c r="E71" s="10">
        <v>4</v>
      </c>
      <c r="F71" s="11">
        <v>8.0588235294117645</v>
      </c>
    </row>
    <row r="72" spans="1:6" x14ac:dyDescent="0.2">
      <c r="A72" s="9">
        <v>466037</v>
      </c>
      <c r="B72" s="9" t="s">
        <v>586</v>
      </c>
      <c r="C72" s="10">
        <v>113</v>
      </c>
      <c r="D72" s="10">
        <v>404</v>
      </c>
      <c r="E72" s="10">
        <v>5</v>
      </c>
      <c r="F72" s="11">
        <v>3.5752212389380529</v>
      </c>
    </row>
    <row r="73" spans="1:6" x14ac:dyDescent="0.2">
      <c r="A73" s="6">
        <v>187670</v>
      </c>
      <c r="B73" s="6" t="s">
        <v>464</v>
      </c>
      <c r="C73" s="7">
        <v>80</v>
      </c>
      <c r="D73" s="7">
        <v>404</v>
      </c>
      <c r="E73" s="7">
        <v>105</v>
      </c>
      <c r="F73" s="8">
        <v>5.05</v>
      </c>
    </row>
    <row r="74" spans="1:6" x14ac:dyDescent="0.2">
      <c r="A74" s="9">
        <v>144320</v>
      </c>
      <c r="B74" s="9" t="s">
        <v>403</v>
      </c>
      <c r="C74" s="10">
        <v>191</v>
      </c>
      <c r="D74" s="10">
        <v>397</v>
      </c>
      <c r="E74" s="10">
        <v>9</v>
      </c>
      <c r="F74" s="11">
        <v>2.078534031413612</v>
      </c>
    </row>
    <row r="75" spans="1:6" x14ac:dyDescent="0.2">
      <c r="A75">
        <v>107016</v>
      </c>
      <c r="B75" t="s">
        <v>91</v>
      </c>
      <c r="C75" s="5">
        <v>967</v>
      </c>
      <c r="D75" s="5">
        <v>117</v>
      </c>
      <c r="E75" s="5">
        <v>2</v>
      </c>
      <c r="F75" s="3">
        <v>0.12099276111685631</v>
      </c>
    </row>
    <row r="76" spans="1:6" x14ac:dyDescent="0.2">
      <c r="A76" s="6">
        <v>147636</v>
      </c>
      <c r="B76" s="6" t="s">
        <v>409</v>
      </c>
      <c r="C76" s="7">
        <v>94</v>
      </c>
      <c r="D76" s="7">
        <v>389</v>
      </c>
      <c r="E76" s="7">
        <v>144</v>
      </c>
      <c r="F76" s="8">
        <v>4.1382978723404253</v>
      </c>
    </row>
    <row r="77" spans="1:6" x14ac:dyDescent="0.2">
      <c r="A77" s="9">
        <v>179811</v>
      </c>
      <c r="B77" s="9" t="s">
        <v>460</v>
      </c>
      <c r="C77" s="10">
        <v>43</v>
      </c>
      <c r="D77" s="10">
        <v>389</v>
      </c>
      <c r="E77" s="10">
        <v>30</v>
      </c>
      <c r="F77" s="11">
        <v>9.0465116279069768</v>
      </c>
    </row>
    <row r="78" spans="1:6" x14ac:dyDescent="0.2">
      <c r="A78" s="6">
        <v>112676</v>
      </c>
      <c r="B78" s="6" t="s">
        <v>285</v>
      </c>
      <c r="C78" s="7">
        <v>184</v>
      </c>
      <c r="D78" s="7">
        <v>373</v>
      </c>
      <c r="E78" s="7">
        <v>72</v>
      </c>
      <c r="F78" s="8">
        <v>2.027173913043478</v>
      </c>
    </row>
    <row r="79" spans="1:6" x14ac:dyDescent="0.2">
      <c r="A79" s="9">
        <v>465977</v>
      </c>
      <c r="B79" s="9" t="s">
        <v>584</v>
      </c>
      <c r="C79" s="10">
        <v>85</v>
      </c>
      <c r="D79" s="10">
        <v>369</v>
      </c>
      <c r="E79" s="10">
        <v>1</v>
      </c>
      <c r="F79" s="11">
        <v>4.341176470588235</v>
      </c>
    </row>
    <row r="80" spans="1:6" x14ac:dyDescent="0.2">
      <c r="A80">
        <v>107969</v>
      </c>
      <c r="D80" s="5">
        <v>365</v>
      </c>
      <c r="E80" s="5">
        <v>76</v>
      </c>
    </row>
    <row r="81" spans="1:6" x14ac:dyDescent="0.2">
      <c r="A81" s="9">
        <v>108792</v>
      </c>
      <c r="B81" s="9" t="s">
        <v>166</v>
      </c>
      <c r="C81" s="10">
        <v>106</v>
      </c>
      <c r="D81" s="10">
        <v>362</v>
      </c>
      <c r="E81" s="10">
        <v>22</v>
      </c>
      <c r="F81" s="11">
        <v>3.415094339622641</v>
      </c>
    </row>
    <row r="82" spans="1:6" x14ac:dyDescent="0.2">
      <c r="A82" s="6">
        <v>109738</v>
      </c>
      <c r="B82" s="6" t="s">
        <v>213</v>
      </c>
      <c r="C82" s="7">
        <v>138</v>
      </c>
      <c r="D82" s="7">
        <v>357</v>
      </c>
      <c r="E82" s="7">
        <v>88</v>
      </c>
      <c r="F82" s="8">
        <v>2.5869565217391299</v>
      </c>
    </row>
    <row r="83" spans="1:6" x14ac:dyDescent="0.2">
      <c r="A83" s="6">
        <v>365837</v>
      </c>
      <c r="B83" s="6" t="s">
        <v>552</v>
      </c>
      <c r="C83" s="7">
        <v>121</v>
      </c>
      <c r="D83" s="7">
        <v>356</v>
      </c>
      <c r="E83" s="7">
        <v>38</v>
      </c>
      <c r="F83" s="8">
        <v>2.942148760330578</v>
      </c>
    </row>
    <row r="84" spans="1:6" x14ac:dyDescent="0.2">
      <c r="A84" s="6">
        <v>186872</v>
      </c>
      <c r="B84" s="6" t="s">
        <v>463</v>
      </c>
      <c r="C84" s="7">
        <v>112</v>
      </c>
      <c r="D84" s="7">
        <v>356</v>
      </c>
      <c r="E84" s="7">
        <v>106</v>
      </c>
      <c r="F84" s="8">
        <v>3.1785714285714279</v>
      </c>
    </row>
    <row r="85" spans="1:6" x14ac:dyDescent="0.2">
      <c r="A85" s="9">
        <v>109229</v>
      </c>
      <c r="B85" s="9" t="s">
        <v>191</v>
      </c>
      <c r="C85" s="10">
        <v>228</v>
      </c>
      <c r="D85" s="10">
        <v>342</v>
      </c>
      <c r="E85" s="10">
        <v>1</v>
      </c>
      <c r="F85" s="11">
        <v>1.5</v>
      </c>
    </row>
    <row r="86" spans="1:6" x14ac:dyDescent="0.2">
      <c r="A86" s="6">
        <v>113335</v>
      </c>
      <c r="B86" s="6" t="s">
        <v>293</v>
      </c>
      <c r="C86" s="7">
        <v>91</v>
      </c>
      <c r="D86" s="7">
        <v>342</v>
      </c>
      <c r="E86" s="7">
        <v>100</v>
      </c>
      <c r="F86" s="8">
        <v>3.7582417582417582</v>
      </c>
    </row>
    <row r="87" spans="1:6" x14ac:dyDescent="0.2">
      <c r="A87" s="9">
        <v>198611</v>
      </c>
      <c r="B87" s="9" t="s">
        <v>475</v>
      </c>
      <c r="C87" s="10">
        <v>146</v>
      </c>
      <c r="D87" s="10">
        <v>341</v>
      </c>
      <c r="E87" s="10">
        <v>9</v>
      </c>
      <c r="F87" s="11">
        <v>2.3356164383561642</v>
      </c>
    </row>
    <row r="88" spans="1:6" x14ac:dyDescent="0.2">
      <c r="A88">
        <v>106880</v>
      </c>
      <c r="B88" t="s">
        <v>84</v>
      </c>
      <c r="C88" s="5">
        <v>959</v>
      </c>
      <c r="D88" s="5">
        <v>590</v>
      </c>
      <c r="E88" s="5">
        <v>132</v>
      </c>
      <c r="F88" s="3">
        <v>0.61522419186652766</v>
      </c>
    </row>
    <row r="89" spans="1:6" x14ac:dyDescent="0.2">
      <c r="A89" s="12">
        <v>110394</v>
      </c>
      <c r="B89" s="12" t="s">
        <v>233</v>
      </c>
      <c r="C89" s="13">
        <v>240</v>
      </c>
      <c r="D89" s="13">
        <v>330</v>
      </c>
      <c r="E89" s="13">
        <v>5</v>
      </c>
      <c r="F89" s="14">
        <v>1.375</v>
      </c>
    </row>
    <row r="90" spans="1:6" x14ac:dyDescent="0.2">
      <c r="A90" s="6">
        <v>119904</v>
      </c>
      <c r="B90" s="6" t="s">
        <v>350</v>
      </c>
      <c r="C90" s="7">
        <v>120</v>
      </c>
      <c r="D90" s="7">
        <v>328</v>
      </c>
      <c r="E90" s="7">
        <v>222</v>
      </c>
      <c r="F90" s="8">
        <v>2.7333333333333329</v>
      </c>
    </row>
    <row r="91" spans="1:6" x14ac:dyDescent="0.2">
      <c r="A91">
        <v>302493</v>
      </c>
      <c r="D91" s="5">
        <v>325</v>
      </c>
      <c r="E91" s="5">
        <v>10</v>
      </c>
    </row>
    <row r="92" spans="1:6" x14ac:dyDescent="0.2">
      <c r="A92">
        <v>108787</v>
      </c>
      <c r="B92" t="s">
        <v>165</v>
      </c>
      <c r="C92" s="5">
        <v>869</v>
      </c>
      <c r="D92" s="5">
        <v>516</v>
      </c>
      <c r="E92" s="5">
        <v>54</v>
      </c>
      <c r="F92" s="3">
        <v>0.59378596087456847</v>
      </c>
    </row>
    <row r="93" spans="1:6" x14ac:dyDescent="0.2">
      <c r="A93">
        <v>135122</v>
      </c>
      <c r="B93" t="s">
        <v>386</v>
      </c>
      <c r="C93" s="5">
        <v>776</v>
      </c>
      <c r="D93" s="5">
        <v>292</v>
      </c>
      <c r="E93" s="5">
        <v>528</v>
      </c>
      <c r="F93" s="3">
        <v>0.37628865979381437</v>
      </c>
    </row>
    <row r="94" spans="1:6" x14ac:dyDescent="0.2">
      <c r="A94">
        <v>520250</v>
      </c>
      <c r="B94" t="s">
        <v>648</v>
      </c>
      <c r="D94" s="5">
        <v>298</v>
      </c>
      <c r="E94" s="5">
        <v>16</v>
      </c>
    </row>
    <row r="95" spans="1:6" x14ac:dyDescent="0.2">
      <c r="A95" s="6">
        <v>109675</v>
      </c>
      <c r="B95" s="6" t="s">
        <v>206</v>
      </c>
      <c r="C95" s="7">
        <v>157</v>
      </c>
      <c r="D95" s="7">
        <v>295</v>
      </c>
      <c r="E95" s="7">
        <v>36</v>
      </c>
      <c r="F95" s="8">
        <v>1.878980891719745</v>
      </c>
    </row>
    <row r="96" spans="1:6" x14ac:dyDescent="0.2">
      <c r="A96">
        <v>316716</v>
      </c>
      <c r="B96" t="s">
        <v>526</v>
      </c>
      <c r="C96" s="5">
        <v>766</v>
      </c>
      <c r="D96" s="5">
        <v>96</v>
      </c>
      <c r="E96" s="5">
        <v>68</v>
      </c>
      <c r="F96" s="3">
        <v>0.12532637075718009</v>
      </c>
    </row>
    <row r="97" spans="1:6" x14ac:dyDescent="0.2">
      <c r="A97" s="9">
        <v>107993</v>
      </c>
      <c r="B97" s="9" t="s">
        <v>125</v>
      </c>
      <c r="C97" s="10">
        <v>124</v>
      </c>
      <c r="D97" s="10">
        <v>288</v>
      </c>
      <c r="E97" s="10">
        <v>12</v>
      </c>
      <c r="F97" s="11">
        <v>2.32258064516129</v>
      </c>
    </row>
    <row r="98" spans="1:6" x14ac:dyDescent="0.2">
      <c r="A98">
        <v>112305</v>
      </c>
      <c r="B98" t="s">
        <v>263</v>
      </c>
      <c r="C98" s="5">
        <v>754</v>
      </c>
      <c r="D98" s="5">
        <v>631</v>
      </c>
      <c r="E98" s="5">
        <v>691</v>
      </c>
      <c r="F98" s="3">
        <v>0.83687002652519893</v>
      </c>
    </row>
    <row r="99" spans="1:6" x14ac:dyDescent="0.2">
      <c r="A99" s="9">
        <v>115779</v>
      </c>
      <c r="B99" s="9" t="s">
        <v>328</v>
      </c>
      <c r="C99" s="10">
        <v>151</v>
      </c>
      <c r="D99" s="10">
        <v>286</v>
      </c>
      <c r="E99" s="10">
        <v>0</v>
      </c>
      <c r="F99" s="11">
        <v>1.8940397350993381</v>
      </c>
    </row>
    <row r="100" spans="1:6" x14ac:dyDescent="0.2">
      <c r="A100">
        <v>107092</v>
      </c>
      <c r="B100" t="s">
        <v>93</v>
      </c>
      <c r="C100" s="5">
        <v>701</v>
      </c>
      <c r="D100" s="5">
        <v>333</v>
      </c>
      <c r="E100" s="5">
        <v>8</v>
      </c>
      <c r="F100" s="3">
        <v>0.47503566333808839</v>
      </c>
    </row>
    <row r="101" spans="1:6" x14ac:dyDescent="0.2">
      <c r="A101" s="12">
        <v>108500</v>
      </c>
      <c r="B101" s="12" t="s">
        <v>154</v>
      </c>
      <c r="C101" s="13">
        <v>199</v>
      </c>
      <c r="D101" s="13">
        <v>281</v>
      </c>
      <c r="E101" s="13">
        <v>105</v>
      </c>
      <c r="F101" s="14">
        <v>1.4120603015075379</v>
      </c>
    </row>
    <row r="102" spans="1:6" x14ac:dyDescent="0.2">
      <c r="A102">
        <v>165629</v>
      </c>
      <c r="B102" t="s">
        <v>451</v>
      </c>
      <c r="C102" s="5">
        <v>700</v>
      </c>
      <c r="D102" s="5">
        <v>157</v>
      </c>
      <c r="E102" s="5">
        <v>60</v>
      </c>
      <c r="F102" s="3">
        <v>0.22428571428571431</v>
      </c>
    </row>
    <row r="103" spans="1:6" x14ac:dyDescent="0.2">
      <c r="A103">
        <v>126746</v>
      </c>
      <c r="B103" t="s">
        <v>362</v>
      </c>
      <c r="C103" s="5">
        <v>675</v>
      </c>
      <c r="D103" s="5">
        <v>434</v>
      </c>
      <c r="E103" s="5">
        <v>95</v>
      </c>
      <c r="F103" s="3">
        <v>0.64296296296296296</v>
      </c>
    </row>
    <row r="104" spans="1:6" x14ac:dyDescent="0.2">
      <c r="A104" s="9">
        <v>113399</v>
      </c>
      <c r="B104" s="9" t="s">
        <v>299</v>
      </c>
      <c r="C104" s="10">
        <v>125</v>
      </c>
      <c r="D104" s="10">
        <v>279</v>
      </c>
      <c r="E104" s="10">
        <v>0</v>
      </c>
      <c r="F104" s="11">
        <v>2.2320000000000002</v>
      </c>
    </row>
    <row r="105" spans="1:6" x14ac:dyDescent="0.2">
      <c r="A105">
        <v>477887</v>
      </c>
      <c r="B105" t="s">
        <v>607</v>
      </c>
      <c r="D105" s="5">
        <v>279</v>
      </c>
      <c r="E105" s="5">
        <v>6</v>
      </c>
    </row>
    <row r="106" spans="1:6" x14ac:dyDescent="0.2">
      <c r="A106" s="6">
        <v>466491</v>
      </c>
      <c r="B106" s="6" t="s">
        <v>591</v>
      </c>
      <c r="C106" s="7">
        <v>128</v>
      </c>
      <c r="D106" s="7">
        <v>276</v>
      </c>
      <c r="E106" s="7">
        <v>64</v>
      </c>
      <c r="F106" s="8">
        <v>2.15625</v>
      </c>
    </row>
    <row r="107" spans="1:6" x14ac:dyDescent="0.2">
      <c r="A107" s="6">
        <v>467119</v>
      </c>
      <c r="B107" s="6" t="s">
        <v>593</v>
      </c>
      <c r="C107" s="7">
        <v>113</v>
      </c>
      <c r="D107" s="7">
        <v>274</v>
      </c>
      <c r="E107" s="7">
        <v>87</v>
      </c>
      <c r="F107" s="8">
        <v>2.4247787610619471</v>
      </c>
    </row>
    <row r="108" spans="1:6" x14ac:dyDescent="0.2">
      <c r="A108" s="9">
        <v>114759</v>
      </c>
      <c r="B108" s="9" t="s">
        <v>316</v>
      </c>
      <c r="C108" s="10">
        <v>41</v>
      </c>
      <c r="D108" s="10">
        <v>270</v>
      </c>
      <c r="E108" s="10">
        <v>19</v>
      </c>
      <c r="F108" s="11">
        <v>6.5853658536585362</v>
      </c>
    </row>
    <row r="109" spans="1:6" x14ac:dyDescent="0.2">
      <c r="A109" s="6">
        <v>140442</v>
      </c>
      <c r="B109" s="6" t="s">
        <v>394</v>
      </c>
      <c r="C109" s="7">
        <v>165</v>
      </c>
      <c r="D109" s="7">
        <v>268</v>
      </c>
      <c r="E109" s="7">
        <v>97</v>
      </c>
      <c r="F109" s="8">
        <v>1.624242424242424</v>
      </c>
    </row>
    <row r="110" spans="1:6" x14ac:dyDescent="0.2">
      <c r="A110">
        <v>105751</v>
      </c>
      <c r="D110" s="5">
        <v>267</v>
      </c>
      <c r="E110" s="5">
        <v>215</v>
      </c>
    </row>
    <row r="111" spans="1:6" x14ac:dyDescent="0.2">
      <c r="A111" s="9">
        <v>301506</v>
      </c>
      <c r="B111" s="9" t="s">
        <v>500</v>
      </c>
      <c r="C111" s="10">
        <v>80</v>
      </c>
      <c r="D111" s="10">
        <v>265</v>
      </c>
      <c r="E111" s="10">
        <v>11</v>
      </c>
      <c r="F111" s="11">
        <v>3.3125</v>
      </c>
    </row>
    <row r="112" spans="1:6" x14ac:dyDescent="0.2">
      <c r="A112" s="9">
        <v>115514</v>
      </c>
      <c r="B112" s="9" t="s">
        <v>324</v>
      </c>
      <c r="C112" s="10">
        <v>167</v>
      </c>
      <c r="D112" s="10">
        <v>264</v>
      </c>
      <c r="E112" s="10">
        <v>0</v>
      </c>
      <c r="F112" s="11">
        <v>1.580838323353293</v>
      </c>
    </row>
    <row r="113" spans="1:6" x14ac:dyDescent="0.2">
      <c r="A113" s="9">
        <v>110659</v>
      </c>
      <c r="B113" s="9" t="s">
        <v>246</v>
      </c>
      <c r="C113" s="10">
        <v>101</v>
      </c>
      <c r="D113" s="10">
        <v>258</v>
      </c>
      <c r="E113" s="10">
        <v>5</v>
      </c>
      <c r="F113" s="11">
        <v>2.5544554455445549</v>
      </c>
    </row>
    <row r="114" spans="1:6" x14ac:dyDescent="0.2">
      <c r="A114" s="6">
        <v>108979</v>
      </c>
      <c r="B114" s="6" t="s">
        <v>175</v>
      </c>
      <c r="C114" s="7">
        <v>126</v>
      </c>
      <c r="D114" s="7">
        <v>256</v>
      </c>
      <c r="E114" s="7">
        <v>104</v>
      </c>
      <c r="F114" s="8">
        <v>2.0317460317460321</v>
      </c>
    </row>
    <row r="115" spans="1:6" x14ac:dyDescent="0.2">
      <c r="A115" s="6">
        <v>474623</v>
      </c>
      <c r="B115" s="6" t="s">
        <v>603</v>
      </c>
      <c r="C115" s="7">
        <v>30</v>
      </c>
      <c r="D115" s="7">
        <v>251</v>
      </c>
      <c r="E115" s="7">
        <v>48</v>
      </c>
      <c r="F115" s="8">
        <v>8.3666666666666671</v>
      </c>
    </row>
    <row r="116" spans="1:6" x14ac:dyDescent="0.2">
      <c r="A116">
        <v>157831</v>
      </c>
      <c r="B116" t="s">
        <v>438</v>
      </c>
      <c r="D116" s="5">
        <v>251</v>
      </c>
      <c r="E116" s="5">
        <v>11</v>
      </c>
    </row>
    <row r="117" spans="1:6" x14ac:dyDescent="0.2">
      <c r="A117" s="9">
        <v>499976</v>
      </c>
      <c r="B117" s="9" t="s">
        <v>633</v>
      </c>
      <c r="C117" s="10">
        <v>131</v>
      </c>
      <c r="D117" s="10">
        <v>250</v>
      </c>
      <c r="E117" s="10">
        <v>8</v>
      </c>
      <c r="F117" s="11">
        <v>1.908396946564886</v>
      </c>
    </row>
    <row r="118" spans="1:6" x14ac:dyDescent="0.2">
      <c r="A118" s="9">
        <v>117733</v>
      </c>
      <c r="B118" s="9" t="s">
        <v>343</v>
      </c>
      <c r="C118" s="10">
        <v>90</v>
      </c>
      <c r="D118" s="10">
        <v>246</v>
      </c>
      <c r="E118" s="10">
        <v>7</v>
      </c>
      <c r="F118" s="11">
        <v>2.7333333333333329</v>
      </c>
    </row>
    <row r="119" spans="1:6" x14ac:dyDescent="0.2">
      <c r="A119" s="12">
        <v>107787</v>
      </c>
      <c r="B119" s="12" t="s">
        <v>115</v>
      </c>
      <c r="C119" s="13">
        <v>243</v>
      </c>
      <c r="D119" s="13">
        <v>244</v>
      </c>
      <c r="E119" s="13">
        <v>0</v>
      </c>
      <c r="F119" s="14">
        <v>1.0041152263374491</v>
      </c>
    </row>
    <row r="120" spans="1:6" x14ac:dyDescent="0.2">
      <c r="A120">
        <v>107824</v>
      </c>
      <c r="B120" t="s">
        <v>117</v>
      </c>
      <c r="C120" s="5">
        <v>667</v>
      </c>
      <c r="D120" s="5">
        <v>279</v>
      </c>
      <c r="E120" s="5">
        <v>32</v>
      </c>
      <c r="F120" s="3">
        <v>0.41829085457271359</v>
      </c>
    </row>
    <row r="121" spans="1:6" x14ac:dyDescent="0.2">
      <c r="A121">
        <v>106916</v>
      </c>
      <c r="B121" t="s">
        <v>86</v>
      </c>
      <c r="C121" s="5">
        <v>660</v>
      </c>
      <c r="D121" s="5">
        <v>100</v>
      </c>
      <c r="E121" s="5">
        <v>36</v>
      </c>
      <c r="F121" s="3">
        <v>0.15151515151515149</v>
      </c>
    </row>
    <row r="122" spans="1:6" x14ac:dyDescent="0.2">
      <c r="A122" s="9">
        <v>112610</v>
      </c>
      <c r="B122" s="9" t="s">
        <v>280</v>
      </c>
      <c r="C122" s="10">
        <v>116</v>
      </c>
      <c r="D122" s="10">
        <v>241</v>
      </c>
      <c r="E122" s="10">
        <v>4</v>
      </c>
      <c r="F122" s="11">
        <v>2.077586206896552</v>
      </c>
    </row>
    <row r="123" spans="1:6" x14ac:dyDescent="0.2">
      <c r="A123">
        <v>305755</v>
      </c>
      <c r="B123" t="s">
        <v>506</v>
      </c>
      <c r="C123" s="5">
        <v>607</v>
      </c>
      <c r="D123" s="5">
        <v>199</v>
      </c>
      <c r="E123" s="5">
        <v>294</v>
      </c>
      <c r="F123" s="3">
        <v>0.32784184514003301</v>
      </c>
    </row>
    <row r="124" spans="1:6" x14ac:dyDescent="0.2">
      <c r="A124" s="9">
        <v>320923</v>
      </c>
      <c r="B124" s="9" t="s">
        <v>534</v>
      </c>
      <c r="C124" s="10">
        <v>64</v>
      </c>
      <c r="D124" s="10">
        <v>240</v>
      </c>
      <c r="E124" s="10">
        <v>10</v>
      </c>
      <c r="F124" s="11">
        <v>3.75</v>
      </c>
    </row>
    <row r="125" spans="1:6" x14ac:dyDescent="0.2">
      <c r="A125">
        <v>116292</v>
      </c>
      <c r="B125" t="s">
        <v>336</v>
      </c>
      <c r="C125" s="5">
        <v>587</v>
      </c>
      <c r="D125" s="5">
        <v>88</v>
      </c>
      <c r="E125" s="5">
        <v>28</v>
      </c>
      <c r="F125" s="3">
        <v>0.14991482112436119</v>
      </c>
    </row>
    <row r="126" spans="1:6" x14ac:dyDescent="0.2">
      <c r="A126" s="6">
        <v>185357</v>
      </c>
      <c r="B126" s="6" t="s">
        <v>461</v>
      </c>
      <c r="C126" s="7">
        <v>84</v>
      </c>
      <c r="D126" s="7">
        <v>233</v>
      </c>
      <c r="E126" s="7">
        <v>65</v>
      </c>
      <c r="F126" s="8">
        <v>2.7738095238095242</v>
      </c>
    </row>
    <row r="127" spans="1:6" x14ac:dyDescent="0.2">
      <c r="A127" s="6">
        <v>106516</v>
      </c>
      <c r="B127" s="6" t="s">
        <v>69</v>
      </c>
      <c r="C127" s="7">
        <v>86</v>
      </c>
      <c r="D127" s="7">
        <v>229</v>
      </c>
      <c r="E127" s="7">
        <v>116</v>
      </c>
      <c r="F127" s="8">
        <v>2.662790697674418</v>
      </c>
    </row>
    <row r="128" spans="1:6" x14ac:dyDescent="0.2">
      <c r="A128">
        <v>108566</v>
      </c>
      <c r="B128" t="s">
        <v>156</v>
      </c>
      <c r="C128" s="5">
        <v>576</v>
      </c>
      <c r="D128" s="5">
        <v>107</v>
      </c>
      <c r="E128" s="5">
        <v>37</v>
      </c>
      <c r="F128" s="3">
        <v>0.1857638888888889</v>
      </c>
    </row>
    <row r="129" spans="1:6" x14ac:dyDescent="0.2">
      <c r="A129" s="12">
        <v>150938</v>
      </c>
      <c r="B129" s="12" t="s">
        <v>418</v>
      </c>
      <c r="C129" s="13">
        <v>186</v>
      </c>
      <c r="D129" s="13">
        <v>222</v>
      </c>
      <c r="E129" s="13">
        <v>118</v>
      </c>
      <c r="F129" s="14">
        <v>1.193548387096774</v>
      </c>
    </row>
    <row r="130" spans="1:6" x14ac:dyDescent="0.2">
      <c r="A130">
        <v>130973</v>
      </c>
      <c r="B130" t="s">
        <v>374</v>
      </c>
      <c r="C130" s="5">
        <v>499</v>
      </c>
      <c r="D130" s="5">
        <v>99</v>
      </c>
      <c r="E130" s="5">
        <v>5</v>
      </c>
      <c r="F130" s="3">
        <v>0.19839679358717441</v>
      </c>
    </row>
    <row r="131" spans="1:6" x14ac:dyDescent="0.2">
      <c r="A131">
        <v>484843</v>
      </c>
      <c r="B131" t="s">
        <v>620</v>
      </c>
      <c r="C131" s="5">
        <v>493</v>
      </c>
      <c r="D131" s="5">
        <v>319</v>
      </c>
      <c r="E131" s="5">
        <v>10</v>
      </c>
      <c r="F131" s="3">
        <v>0.6470588235294118</v>
      </c>
    </row>
    <row r="132" spans="1:6" x14ac:dyDescent="0.2">
      <c r="A132">
        <v>106658</v>
      </c>
      <c r="B132" t="s">
        <v>74</v>
      </c>
      <c r="C132" s="5">
        <v>491</v>
      </c>
      <c r="D132" s="5">
        <v>424</v>
      </c>
      <c r="E132" s="5">
        <v>5</v>
      </c>
      <c r="F132" s="3">
        <v>0.86354378818737276</v>
      </c>
    </row>
    <row r="133" spans="1:6" x14ac:dyDescent="0.2">
      <c r="A133">
        <v>111064</v>
      </c>
      <c r="B133" t="s">
        <v>251</v>
      </c>
      <c r="C133" s="5">
        <v>470</v>
      </c>
      <c r="D133" s="5">
        <v>395</v>
      </c>
      <c r="E133" s="5">
        <v>0</v>
      </c>
      <c r="F133" s="3">
        <v>0.84042553191489366</v>
      </c>
    </row>
    <row r="134" spans="1:6" x14ac:dyDescent="0.2">
      <c r="A134" s="9">
        <v>470672</v>
      </c>
      <c r="B134" s="9" t="s">
        <v>599</v>
      </c>
      <c r="C134" s="10">
        <v>69</v>
      </c>
      <c r="D134" s="10">
        <v>215</v>
      </c>
      <c r="E134" s="10">
        <v>8</v>
      </c>
      <c r="F134" s="11">
        <v>3.1159420289855069</v>
      </c>
    </row>
    <row r="135" spans="1:6" x14ac:dyDescent="0.2">
      <c r="A135" s="9">
        <v>112177</v>
      </c>
      <c r="B135" s="9" t="s">
        <v>260</v>
      </c>
      <c r="C135" s="10">
        <v>79</v>
      </c>
      <c r="D135" s="10">
        <v>210</v>
      </c>
      <c r="E135" s="10">
        <v>5</v>
      </c>
      <c r="F135" s="11">
        <v>2.6582278481012662</v>
      </c>
    </row>
    <row r="136" spans="1:6" x14ac:dyDescent="0.2">
      <c r="A136">
        <v>132232</v>
      </c>
      <c r="B136" t="s">
        <v>380</v>
      </c>
      <c r="C136" s="5">
        <v>465</v>
      </c>
      <c r="D136" s="5">
        <v>136</v>
      </c>
      <c r="E136" s="5">
        <v>54</v>
      </c>
      <c r="F136" s="3">
        <v>0.2924731182795699</v>
      </c>
    </row>
    <row r="137" spans="1:6" x14ac:dyDescent="0.2">
      <c r="A137" s="6">
        <v>320631</v>
      </c>
      <c r="B137" s="6" t="s">
        <v>533</v>
      </c>
      <c r="C137" s="7">
        <v>45</v>
      </c>
      <c r="D137" s="7">
        <v>204</v>
      </c>
      <c r="E137" s="7">
        <v>198</v>
      </c>
      <c r="F137" s="8">
        <v>4.5333333333333332</v>
      </c>
    </row>
    <row r="138" spans="1:6" x14ac:dyDescent="0.2">
      <c r="A138">
        <v>454367</v>
      </c>
      <c r="B138" t="s">
        <v>569</v>
      </c>
      <c r="C138" s="5">
        <v>450</v>
      </c>
      <c r="D138" s="5">
        <v>285</v>
      </c>
      <c r="E138" s="5">
        <v>22</v>
      </c>
      <c r="F138" s="3">
        <v>0.6333333333333333</v>
      </c>
    </row>
    <row r="139" spans="1:6" x14ac:dyDescent="0.2">
      <c r="A139">
        <v>108109</v>
      </c>
      <c r="B139" t="s">
        <v>135</v>
      </c>
      <c r="C139" s="5">
        <v>441</v>
      </c>
      <c r="D139" s="5">
        <v>51</v>
      </c>
      <c r="E139" s="5">
        <v>2</v>
      </c>
      <c r="F139" s="3">
        <v>0.11564625850340141</v>
      </c>
    </row>
    <row r="140" spans="1:6" x14ac:dyDescent="0.2">
      <c r="A140" s="9">
        <v>116180</v>
      </c>
      <c r="B140" s="9" t="s">
        <v>334</v>
      </c>
      <c r="C140" s="10">
        <v>105</v>
      </c>
      <c r="D140" s="10">
        <v>197</v>
      </c>
      <c r="E140" s="10">
        <v>11</v>
      </c>
      <c r="F140" s="11">
        <v>1.876190476190476</v>
      </c>
    </row>
    <row r="141" spans="1:6" x14ac:dyDescent="0.2">
      <c r="A141" s="12">
        <v>118223</v>
      </c>
      <c r="B141" s="12" t="s">
        <v>346</v>
      </c>
      <c r="C141" s="13">
        <v>175</v>
      </c>
      <c r="D141" s="13">
        <v>194</v>
      </c>
      <c r="E141" s="13">
        <v>1</v>
      </c>
      <c r="F141" s="14">
        <v>1.108571428571429</v>
      </c>
    </row>
    <row r="142" spans="1:6" x14ac:dyDescent="0.2">
      <c r="A142" s="6">
        <v>121102</v>
      </c>
      <c r="B142" s="6" t="s">
        <v>352</v>
      </c>
      <c r="C142" s="7">
        <v>25</v>
      </c>
      <c r="D142" s="7">
        <v>194</v>
      </c>
      <c r="E142" s="7">
        <v>76</v>
      </c>
      <c r="F142" s="8">
        <v>7.76</v>
      </c>
    </row>
    <row r="143" spans="1:6" x14ac:dyDescent="0.2">
      <c r="A143" s="6">
        <v>106590</v>
      </c>
      <c r="B143" s="6" t="s">
        <v>72</v>
      </c>
      <c r="C143" s="7">
        <v>114</v>
      </c>
      <c r="D143" s="7">
        <v>188</v>
      </c>
      <c r="E143" s="7">
        <v>81</v>
      </c>
      <c r="F143" s="8">
        <v>1.6491228070175441</v>
      </c>
    </row>
    <row r="144" spans="1:6" x14ac:dyDescent="0.2">
      <c r="A144">
        <v>513462</v>
      </c>
      <c r="B144" t="s">
        <v>642</v>
      </c>
      <c r="C144" s="5">
        <v>440</v>
      </c>
      <c r="D144" s="5">
        <v>61</v>
      </c>
      <c r="E144" s="5">
        <v>0</v>
      </c>
      <c r="F144" s="3">
        <v>0.13863636363636361</v>
      </c>
    </row>
    <row r="145" spans="1:6" x14ac:dyDescent="0.2">
      <c r="A145">
        <v>109220</v>
      </c>
      <c r="B145" t="s">
        <v>190</v>
      </c>
      <c r="C145" s="5">
        <v>421</v>
      </c>
      <c r="D145" s="5">
        <v>89</v>
      </c>
      <c r="E145" s="5">
        <v>6</v>
      </c>
      <c r="F145" s="3">
        <v>0.21140142517814731</v>
      </c>
    </row>
    <row r="146" spans="1:6" x14ac:dyDescent="0.2">
      <c r="A146" s="6">
        <v>132962</v>
      </c>
      <c r="B146" s="6" t="s">
        <v>382</v>
      </c>
      <c r="C146" s="7">
        <v>113</v>
      </c>
      <c r="D146" s="7">
        <v>183</v>
      </c>
      <c r="E146" s="7">
        <v>56</v>
      </c>
      <c r="F146" s="8">
        <v>1.6194690265486731</v>
      </c>
    </row>
    <row r="147" spans="1:6" x14ac:dyDescent="0.2">
      <c r="A147">
        <v>535762</v>
      </c>
      <c r="B147" t="s">
        <v>654</v>
      </c>
      <c r="D147" s="5">
        <v>181</v>
      </c>
      <c r="E147" s="5">
        <v>79</v>
      </c>
    </row>
    <row r="148" spans="1:6" x14ac:dyDescent="0.2">
      <c r="A148" t="s">
        <v>25</v>
      </c>
      <c r="B148" t="s">
        <v>685</v>
      </c>
      <c r="D148" s="5">
        <v>180</v>
      </c>
      <c r="E148" s="5">
        <v>92</v>
      </c>
    </row>
    <row r="149" spans="1:6" x14ac:dyDescent="0.2">
      <c r="A149" s="9">
        <v>107277</v>
      </c>
      <c r="B149" s="9" t="s">
        <v>103</v>
      </c>
      <c r="C149" s="10">
        <v>35</v>
      </c>
      <c r="D149" s="10">
        <v>179</v>
      </c>
      <c r="E149" s="10">
        <v>0</v>
      </c>
      <c r="F149" s="11">
        <v>5.1142857142857139</v>
      </c>
    </row>
    <row r="150" spans="1:6" x14ac:dyDescent="0.2">
      <c r="A150" s="9">
        <v>112545</v>
      </c>
      <c r="B150" s="9" t="s">
        <v>276</v>
      </c>
      <c r="C150" s="10">
        <v>11</v>
      </c>
      <c r="D150" s="10">
        <v>179</v>
      </c>
      <c r="E150" s="10">
        <v>24</v>
      </c>
      <c r="F150" s="11">
        <v>16.27272727272727</v>
      </c>
    </row>
    <row r="151" spans="1:6" x14ac:dyDescent="0.2">
      <c r="A151">
        <v>110318</v>
      </c>
      <c r="B151" t="s">
        <v>230</v>
      </c>
      <c r="C151" s="5">
        <v>404</v>
      </c>
      <c r="D151" s="5">
        <v>137</v>
      </c>
      <c r="E151" s="5">
        <v>0</v>
      </c>
      <c r="F151" s="3">
        <v>0.33910891089108908</v>
      </c>
    </row>
    <row r="152" spans="1:6" x14ac:dyDescent="0.2">
      <c r="A152">
        <v>112375</v>
      </c>
      <c r="B152" t="s">
        <v>266</v>
      </c>
      <c r="C152" s="5">
        <v>402</v>
      </c>
      <c r="D152" s="5">
        <v>68</v>
      </c>
      <c r="E152" s="5">
        <v>44</v>
      </c>
      <c r="F152" s="3">
        <v>0.1691542288557214</v>
      </c>
    </row>
    <row r="153" spans="1:6" x14ac:dyDescent="0.2">
      <c r="A153" s="6">
        <v>315428</v>
      </c>
      <c r="B153" s="6" t="s">
        <v>523</v>
      </c>
      <c r="C153" s="7">
        <v>22</v>
      </c>
      <c r="D153" s="7">
        <v>174</v>
      </c>
      <c r="E153" s="7">
        <v>40</v>
      </c>
      <c r="F153" s="8">
        <v>7.9090909090909092</v>
      </c>
    </row>
    <row r="154" spans="1:6" x14ac:dyDescent="0.2">
      <c r="A154" s="12">
        <v>107650</v>
      </c>
      <c r="B154" s="12" t="s">
        <v>112</v>
      </c>
      <c r="C154" s="13">
        <v>160</v>
      </c>
      <c r="D154" s="13">
        <v>173</v>
      </c>
      <c r="E154" s="13">
        <v>175</v>
      </c>
      <c r="F154" s="14">
        <v>1.08125</v>
      </c>
    </row>
    <row r="155" spans="1:6" x14ac:dyDescent="0.2">
      <c r="A155" s="12">
        <v>132066</v>
      </c>
      <c r="B155" s="12" t="s">
        <v>377</v>
      </c>
      <c r="C155" s="13">
        <v>116</v>
      </c>
      <c r="D155" s="13">
        <v>173</v>
      </c>
      <c r="E155" s="13">
        <v>3</v>
      </c>
      <c r="F155" s="14">
        <v>1.4913793103448281</v>
      </c>
    </row>
    <row r="156" spans="1:6" x14ac:dyDescent="0.2">
      <c r="A156" s="9">
        <v>109294</v>
      </c>
      <c r="B156" s="9" t="s">
        <v>197</v>
      </c>
      <c r="C156" s="10">
        <v>19</v>
      </c>
      <c r="D156" s="10">
        <v>173</v>
      </c>
      <c r="E156" s="10">
        <v>8</v>
      </c>
      <c r="F156" s="11">
        <v>9.1052631578947363</v>
      </c>
    </row>
    <row r="157" spans="1:6" x14ac:dyDescent="0.2">
      <c r="A157">
        <v>514566</v>
      </c>
      <c r="B157" t="s">
        <v>645</v>
      </c>
      <c r="D157" s="5">
        <v>171</v>
      </c>
      <c r="E157" s="5">
        <v>205</v>
      </c>
    </row>
    <row r="158" spans="1:6" x14ac:dyDescent="0.2">
      <c r="A158" s="12">
        <v>155263</v>
      </c>
      <c r="B158" s="12" t="s">
        <v>428</v>
      </c>
      <c r="C158" s="13">
        <v>148</v>
      </c>
      <c r="D158" s="13">
        <v>167</v>
      </c>
      <c r="E158" s="13">
        <v>256</v>
      </c>
      <c r="F158" s="14">
        <v>1.1283783783783781</v>
      </c>
    </row>
    <row r="159" spans="1:6" x14ac:dyDescent="0.2">
      <c r="A159" s="9">
        <v>112630</v>
      </c>
      <c r="B159" s="9" t="s">
        <v>282</v>
      </c>
      <c r="C159" s="10">
        <v>16</v>
      </c>
      <c r="D159" s="10">
        <v>167</v>
      </c>
      <c r="E159" s="10">
        <v>8</v>
      </c>
      <c r="F159" s="11">
        <v>10.4375</v>
      </c>
    </row>
    <row r="160" spans="1:6" x14ac:dyDescent="0.2">
      <c r="A160">
        <v>113592</v>
      </c>
      <c r="B160" t="s">
        <v>307</v>
      </c>
      <c r="C160" s="5">
        <v>401</v>
      </c>
      <c r="D160" s="5">
        <v>49</v>
      </c>
      <c r="E160" s="5">
        <v>14</v>
      </c>
      <c r="F160" s="3">
        <v>0.1221945137157107</v>
      </c>
    </row>
    <row r="161" spans="1:6" x14ac:dyDescent="0.2">
      <c r="A161" s="9">
        <v>165109</v>
      </c>
      <c r="B161" s="9" t="s">
        <v>450</v>
      </c>
      <c r="C161" s="10">
        <v>92</v>
      </c>
      <c r="D161" s="10">
        <v>165</v>
      </c>
      <c r="E161" s="10">
        <v>4</v>
      </c>
      <c r="F161" s="11">
        <v>1.793478260869565</v>
      </c>
    </row>
    <row r="162" spans="1:6" x14ac:dyDescent="0.2">
      <c r="A162" s="9">
        <v>108354</v>
      </c>
      <c r="B162" s="9" t="s">
        <v>143</v>
      </c>
      <c r="C162" s="10">
        <v>30</v>
      </c>
      <c r="D162" s="10">
        <v>163</v>
      </c>
      <c r="E162" s="10">
        <v>4</v>
      </c>
      <c r="F162" s="11">
        <v>5.4333333333333336</v>
      </c>
    </row>
    <row r="163" spans="1:6" x14ac:dyDescent="0.2">
      <c r="A163">
        <v>106273</v>
      </c>
      <c r="B163" t="s">
        <v>60</v>
      </c>
      <c r="D163" s="5">
        <v>163</v>
      </c>
      <c r="E163" s="5">
        <v>5</v>
      </c>
    </row>
    <row r="164" spans="1:6" x14ac:dyDescent="0.2">
      <c r="A164">
        <v>532247</v>
      </c>
      <c r="B164" t="s">
        <v>653</v>
      </c>
      <c r="C164" s="5">
        <v>400</v>
      </c>
      <c r="D164" s="5">
        <v>221</v>
      </c>
      <c r="E164" s="5">
        <v>17</v>
      </c>
      <c r="F164" s="3">
        <v>0.55249999999999999</v>
      </c>
    </row>
    <row r="165" spans="1:6" x14ac:dyDescent="0.2">
      <c r="A165">
        <v>451126</v>
      </c>
      <c r="B165" t="s">
        <v>564</v>
      </c>
      <c r="C165" s="5">
        <v>386</v>
      </c>
      <c r="D165" s="5">
        <v>46</v>
      </c>
      <c r="E165" s="5">
        <v>0</v>
      </c>
      <c r="F165" s="3">
        <v>0.1191709844559585</v>
      </c>
    </row>
    <row r="166" spans="1:6" x14ac:dyDescent="0.2">
      <c r="A166" s="6">
        <v>459541</v>
      </c>
      <c r="B166" s="6" t="s">
        <v>575</v>
      </c>
      <c r="C166" s="7">
        <v>71</v>
      </c>
      <c r="D166" s="7">
        <v>157</v>
      </c>
      <c r="E166" s="7">
        <v>69</v>
      </c>
      <c r="F166" s="8">
        <v>2.211267605633803</v>
      </c>
    </row>
    <row r="167" spans="1:6" x14ac:dyDescent="0.2">
      <c r="A167">
        <v>228700</v>
      </c>
      <c r="B167" t="s">
        <v>494</v>
      </c>
      <c r="C167" s="5">
        <v>380</v>
      </c>
      <c r="D167" s="5">
        <v>48</v>
      </c>
      <c r="E167" s="5">
        <v>104</v>
      </c>
      <c r="F167" s="3">
        <v>0.12631578947368419</v>
      </c>
    </row>
    <row r="168" spans="1:6" x14ac:dyDescent="0.2">
      <c r="A168">
        <v>113390</v>
      </c>
      <c r="D168" s="5">
        <v>155</v>
      </c>
      <c r="E168" s="5">
        <v>0</v>
      </c>
    </row>
    <row r="169" spans="1:6" x14ac:dyDescent="0.2">
      <c r="A169">
        <v>151263</v>
      </c>
      <c r="B169" t="s">
        <v>420</v>
      </c>
      <c r="C169" s="5">
        <v>371</v>
      </c>
      <c r="D169" s="5">
        <v>73</v>
      </c>
      <c r="E169" s="5">
        <v>193</v>
      </c>
      <c r="F169" s="3">
        <v>0.19676549865229109</v>
      </c>
    </row>
    <row r="170" spans="1:6" x14ac:dyDescent="0.2">
      <c r="A170" s="9">
        <v>178090</v>
      </c>
      <c r="B170" s="9" t="s">
        <v>458</v>
      </c>
      <c r="C170" s="10">
        <v>19</v>
      </c>
      <c r="D170" s="10">
        <v>154</v>
      </c>
      <c r="E170" s="10">
        <v>4</v>
      </c>
      <c r="F170" s="11">
        <v>8.1052631578947363</v>
      </c>
    </row>
    <row r="171" spans="1:6" x14ac:dyDescent="0.2">
      <c r="A171">
        <v>105779</v>
      </c>
      <c r="B171" t="s">
        <v>54</v>
      </c>
      <c r="C171" s="5">
        <v>354</v>
      </c>
      <c r="D171" s="5">
        <v>154</v>
      </c>
      <c r="E171" s="5">
        <v>12</v>
      </c>
      <c r="F171" s="3">
        <v>0.43502824858757061</v>
      </c>
    </row>
    <row r="172" spans="1:6" x14ac:dyDescent="0.2">
      <c r="A172" s="9">
        <v>149335</v>
      </c>
      <c r="B172" s="9" t="s">
        <v>416</v>
      </c>
      <c r="C172" s="10">
        <v>43</v>
      </c>
      <c r="D172" s="10">
        <v>152</v>
      </c>
      <c r="E172" s="10">
        <v>20</v>
      </c>
      <c r="F172" s="11">
        <v>3.5348837209302331</v>
      </c>
    </row>
    <row r="173" spans="1:6" x14ac:dyDescent="0.2">
      <c r="A173" s="9">
        <v>152792</v>
      </c>
      <c r="B173" s="9" t="s">
        <v>422</v>
      </c>
      <c r="C173" s="10">
        <v>97</v>
      </c>
      <c r="D173" s="10">
        <v>147</v>
      </c>
      <c r="E173" s="10">
        <v>11</v>
      </c>
      <c r="F173" s="11">
        <v>1.5154639175257729</v>
      </c>
    </row>
    <row r="174" spans="1:6" x14ac:dyDescent="0.2">
      <c r="A174">
        <v>112596</v>
      </c>
      <c r="B174" t="s">
        <v>279</v>
      </c>
      <c r="D174" s="5">
        <v>147</v>
      </c>
      <c r="E174" s="5">
        <v>6</v>
      </c>
    </row>
    <row r="175" spans="1:6" x14ac:dyDescent="0.2">
      <c r="A175">
        <v>175721</v>
      </c>
      <c r="B175" t="s">
        <v>457</v>
      </c>
      <c r="D175" s="5">
        <v>143</v>
      </c>
      <c r="E175" s="5">
        <v>36</v>
      </c>
    </row>
    <row r="176" spans="1:6" x14ac:dyDescent="0.2">
      <c r="A176">
        <v>109196</v>
      </c>
      <c r="B176" t="s">
        <v>188</v>
      </c>
      <c r="C176" s="5">
        <v>353</v>
      </c>
      <c r="D176" s="5">
        <v>47</v>
      </c>
      <c r="E176" s="5">
        <v>4</v>
      </c>
      <c r="F176" s="3">
        <v>0.13314447592067991</v>
      </c>
    </row>
    <row r="177" spans="1:6" x14ac:dyDescent="0.2">
      <c r="A177">
        <v>151032</v>
      </c>
      <c r="B177" t="s">
        <v>419</v>
      </c>
      <c r="C177" s="5">
        <v>350</v>
      </c>
      <c r="D177" s="5">
        <v>65</v>
      </c>
      <c r="E177" s="5">
        <v>56</v>
      </c>
      <c r="F177" s="3">
        <v>0.18571428571428569</v>
      </c>
    </row>
    <row r="178" spans="1:6" x14ac:dyDescent="0.2">
      <c r="A178" s="9">
        <v>326240</v>
      </c>
      <c r="B178" s="9" t="s">
        <v>545</v>
      </c>
      <c r="C178" s="10">
        <v>51</v>
      </c>
      <c r="D178" s="10">
        <v>138</v>
      </c>
      <c r="E178" s="10">
        <v>26</v>
      </c>
      <c r="F178" s="11">
        <v>2.7058823529411771</v>
      </c>
    </row>
    <row r="179" spans="1:6" x14ac:dyDescent="0.2">
      <c r="A179" s="6">
        <v>567756</v>
      </c>
      <c r="B179" s="6" t="s">
        <v>664</v>
      </c>
      <c r="C179" s="7">
        <v>34</v>
      </c>
      <c r="D179" s="7">
        <v>138</v>
      </c>
      <c r="E179" s="7">
        <v>104</v>
      </c>
      <c r="F179" s="8">
        <v>4.0588235294117636</v>
      </c>
    </row>
    <row r="180" spans="1:6" x14ac:dyDescent="0.2">
      <c r="A180">
        <v>106476</v>
      </c>
      <c r="B180" t="s">
        <v>65</v>
      </c>
      <c r="C180" s="5">
        <v>339</v>
      </c>
      <c r="D180" s="5">
        <v>142</v>
      </c>
      <c r="E180" s="5">
        <v>196</v>
      </c>
      <c r="F180" s="3">
        <v>0.41887905604719772</v>
      </c>
    </row>
    <row r="181" spans="1:6" x14ac:dyDescent="0.2">
      <c r="A181">
        <v>446518</v>
      </c>
      <c r="B181" t="s">
        <v>561</v>
      </c>
      <c r="C181" s="5">
        <v>338</v>
      </c>
      <c r="D181" s="5">
        <v>61</v>
      </c>
      <c r="E181" s="5">
        <v>20</v>
      </c>
      <c r="F181" s="3">
        <v>0.18047337278106509</v>
      </c>
    </row>
    <row r="182" spans="1:6" x14ac:dyDescent="0.2">
      <c r="A182" s="9">
        <v>448278</v>
      </c>
      <c r="B182" s="9" t="s">
        <v>562</v>
      </c>
      <c r="C182" s="10">
        <v>2</v>
      </c>
      <c r="D182" s="10">
        <v>136</v>
      </c>
      <c r="E182" s="10">
        <v>4</v>
      </c>
      <c r="F182" s="11">
        <v>68</v>
      </c>
    </row>
    <row r="183" spans="1:6" x14ac:dyDescent="0.2">
      <c r="A183">
        <v>106155</v>
      </c>
      <c r="B183" t="s">
        <v>57</v>
      </c>
      <c r="D183" s="5">
        <v>136</v>
      </c>
      <c r="E183" s="5">
        <v>0</v>
      </c>
    </row>
    <row r="184" spans="1:6" x14ac:dyDescent="0.2">
      <c r="A184" s="6">
        <v>110146</v>
      </c>
      <c r="B184" s="6" t="s">
        <v>225</v>
      </c>
      <c r="C184" s="7">
        <v>64</v>
      </c>
      <c r="D184" s="7">
        <v>134</v>
      </c>
      <c r="E184" s="7">
        <v>82</v>
      </c>
      <c r="F184" s="8">
        <v>2.09375</v>
      </c>
    </row>
    <row r="185" spans="1:6" x14ac:dyDescent="0.2">
      <c r="A185" s="9">
        <v>140070</v>
      </c>
      <c r="B185" s="9" t="s">
        <v>392</v>
      </c>
      <c r="C185" s="10">
        <v>49</v>
      </c>
      <c r="D185" s="10">
        <v>134</v>
      </c>
      <c r="E185" s="10">
        <v>0</v>
      </c>
      <c r="F185" s="11">
        <v>2.7346938775510199</v>
      </c>
    </row>
    <row r="186" spans="1:6" x14ac:dyDescent="0.2">
      <c r="A186" s="12">
        <v>158186</v>
      </c>
      <c r="B186" s="12" t="s">
        <v>439</v>
      </c>
      <c r="C186" s="13">
        <v>106</v>
      </c>
      <c r="D186" s="13">
        <v>132</v>
      </c>
      <c r="E186" s="13">
        <v>0</v>
      </c>
      <c r="F186" s="14">
        <v>1.245283018867924</v>
      </c>
    </row>
    <row r="187" spans="1:6" x14ac:dyDescent="0.2">
      <c r="A187" s="12">
        <v>100239</v>
      </c>
      <c r="B187" s="12" t="s">
        <v>38</v>
      </c>
      <c r="C187" s="13">
        <v>113</v>
      </c>
      <c r="D187" s="13">
        <v>130</v>
      </c>
      <c r="E187" s="13">
        <v>7</v>
      </c>
      <c r="F187" s="14">
        <v>1.150442477876106</v>
      </c>
    </row>
    <row r="188" spans="1:6" x14ac:dyDescent="0.2">
      <c r="A188" s="9">
        <v>108703</v>
      </c>
      <c r="B188" s="9" t="s">
        <v>160</v>
      </c>
      <c r="C188" s="10">
        <v>72</v>
      </c>
      <c r="D188" s="10">
        <v>129</v>
      </c>
      <c r="E188" s="10">
        <v>12</v>
      </c>
      <c r="F188" s="11">
        <v>1.791666666666667</v>
      </c>
    </row>
    <row r="189" spans="1:6" x14ac:dyDescent="0.2">
      <c r="A189" s="9">
        <v>108462</v>
      </c>
      <c r="B189" s="9" t="s">
        <v>149</v>
      </c>
      <c r="C189" s="10">
        <v>20</v>
      </c>
      <c r="D189" s="10">
        <v>129</v>
      </c>
      <c r="E189" s="10">
        <v>23</v>
      </c>
      <c r="F189" s="11">
        <v>6.45</v>
      </c>
    </row>
    <row r="190" spans="1:6" x14ac:dyDescent="0.2">
      <c r="A190" s="12">
        <v>138516</v>
      </c>
      <c r="B190" s="12" t="s">
        <v>390</v>
      </c>
      <c r="C190" s="13">
        <v>120</v>
      </c>
      <c r="D190" s="13">
        <v>128</v>
      </c>
      <c r="E190" s="13">
        <v>48</v>
      </c>
      <c r="F190" s="14">
        <v>1.0666666666666671</v>
      </c>
    </row>
    <row r="191" spans="1:6" x14ac:dyDescent="0.2">
      <c r="A191" s="6">
        <v>116203</v>
      </c>
      <c r="B191" s="6" t="s">
        <v>335</v>
      </c>
      <c r="C191" s="7">
        <v>22</v>
      </c>
      <c r="D191" s="7">
        <v>128</v>
      </c>
      <c r="E191" s="7">
        <v>63</v>
      </c>
      <c r="F191" s="8">
        <v>5.8181818181818183</v>
      </c>
    </row>
    <row r="192" spans="1:6" x14ac:dyDescent="0.2">
      <c r="A192" s="9">
        <v>109892</v>
      </c>
      <c r="B192" s="9" t="s">
        <v>218</v>
      </c>
      <c r="C192" s="10">
        <v>46</v>
      </c>
      <c r="D192" s="10">
        <v>125</v>
      </c>
      <c r="E192" s="10">
        <v>1</v>
      </c>
      <c r="F192" s="11">
        <v>2.7173913043478262</v>
      </c>
    </row>
    <row r="193" spans="1:6" x14ac:dyDescent="0.2">
      <c r="A193">
        <v>107989</v>
      </c>
      <c r="B193" t="s">
        <v>124</v>
      </c>
      <c r="C193" s="5">
        <v>336</v>
      </c>
      <c r="D193" s="5">
        <v>286</v>
      </c>
      <c r="E193" s="5">
        <v>10</v>
      </c>
      <c r="F193" s="3">
        <v>0.85119047619047616</v>
      </c>
    </row>
    <row r="194" spans="1:6" x14ac:dyDescent="0.2">
      <c r="A194" s="9">
        <v>100003</v>
      </c>
      <c r="B194" s="9" t="s">
        <v>37</v>
      </c>
      <c r="C194" s="10">
        <v>70</v>
      </c>
      <c r="D194" s="10">
        <v>124</v>
      </c>
      <c r="E194" s="10">
        <v>1</v>
      </c>
      <c r="F194" s="11">
        <v>1.7714285714285709</v>
      </c>
    </row>
    <row r="195" spans="1:6" x14ac:dyDescent="0.2">
      <c r="A195" s="6">
        <v>108635</v>
      </c>
      <c r="B195" s="6" t="s">
        <v>159</v>
      </c>
      <c r="C195" s="7">
        <v>48</v>
      </c>
      <c r="D195" s="7">
        <v>122</v>
      </c>
      <c r="E195" s="7">
        <v>103</v>
      </c>
      <c r="F195" s="8">
        <v>2.541666666666667</v>
      </c>
    </row>
    <row r="196" spans="1:6" x14ac:dyDescent="0.2">
      <c r="A196">
        <v>115007</v>
      </c>
      <c r="B196" t="s">
        <v>318</v>
      </c>
      <c r="C196" s="5">
        <v>1948</v>
      </c>
      <c r="D196" s="5">
        <v>121</v>
      </c>
      <c r="E196" s="5">
        <v>41</v>
      </c>
      <c r="F196" s="3">
        <v>6.2114989733059553E-2</v>
      </c>
    </row>
    <row r="197" spans="1:6" x14ac:dyDescent="0.2">
      <c r="A197">
        <v>130975</v>
      </c>
      <c r="B197" t="s">
        <v>375</v>
      </c>
      <c r="C197" s="5">
        <v>335</v>
      </c>
      <c r="D197" s="5">
        <v>279</v>
      </c>
      <c r="E197" s="5">
        <v>7</v>
      </c>
      <c r="F197" s="3">
        <v>0.83283582089552244</v>
      </c>
    </row>
    <row r="198" spans="1:6" x14ac:dyDescent="0.2">
      <c r="A198" s="12">
        <v>112636</v>
      </c>
      <c r="B198" s="12" t="s">
        <v>283</v>
      </c>
      <c r="C198" s="13">
        <v>79</v>
      </c>
      <c r="D198" s="13">
        <v>116</v>
      </c>
      <c r="E198" s="13">
        <v>0</v>
      </c>
      <c r="F198" s="14">
        <v>1.4683544303797471</v>
      </c>
    </row>
    <row r="199" spans="1:6" x14ac:dyDescent="0.2">
      <c r="A199" s="12">
        <v>114264</v>
      </c>
      <c r="B199" s="12" t="s">
        <v>311</v>
      </c>
      <c r="C199" s="13">
        <v>110</v>
      </c>
      <c r="D199" s="13">
        <v>115</v>
      </c>
      <c r="E199" s="13">
        <v>13</v>
      </c>
      <c r="F199" s="14">
        <v>1.045454545454545</v>
      </c>
    </row>
    <row r="200" spans="1:6" x14ac:dyDescent="0.2">
      <c r="A200">
        <v>112422</v>
      </c>
      <c r="B200" t="s">
        <v>269</v>
      </c>
      <c r="C200" s="5">
        <v>334</v>
      </c>
      <c r="D200" s="5">
        <v>48</v>
      </c>
      <c r="E200" s="5">
        <v>13</v>
      </c>
      <c r="F200" s="3">
        <v>0.1437125748502994</v>
      </c>
    </row>
    <row r="201" spans="1:6" x14ac:dyDescent="0.2">
      <c r="A201">
        <v>106297</v>
      </c>
      <c r="B201" t="s">
        <v>61</v>
      </c>
      <c r="C201" s="5">
        <v>325</v>
      </c>
      <c r="D201" s="5">
        <v>222</v>
      </c>
      <c r="E201" s="5">
        <v>37</v>
      </c>
      <c r="F201" s="3">
        <v>0.68307692307692303</v>
      </c>
    </row>
    <row r="202" spans="1:6" x14ac:dyDescent="0.2">
      <c r="A202">
        <v>110599</v>
      </c>
      <c r="B202" t="s">
        <v>241</v>
      </c>
      <c r="C202" s="5">
        <v>324</v>
      </c>
      <c r="D202" s="5">
        <v>30</v>
      </c>
      <c r="E202" s="5">
        <v>16</v>
      </c>
      <c r="F202" s="3">
        <v>9.2592592592592587E-2</v>
      </c>
    </row>
    <row r="203" spans="1:6" x14ac:dyDescent="0.2">
      <c r="A203" s="9">
        <v>145461</v>
      </c>
      <c r="B203" s="9" t="s">
        <v>406</v>
      </c>
      <c r="C203" s="10">
        <v>53</v>
      </c>
      <c r="D203" s="10">
        <v>110</v>
      </c>
      <c r="E203" s="10">
        <v>0</v>
      </c>
      <c r="F203" s="11">
        <v>2.075471698113208</v>
      </c>
    </row>
    <row r="204" spans="1:6" x14ac:dyDescent="0.2">
      <c r="A204">
        <v>105226</v>
      </c>
      <c r="B204" t="s">
        <v>41</v>
      </c>
      <c r="C204" s="5">
        <v>323</v>
      </c>
      <c r="D204" s="5">
        <v>70</v>
      </c>
      <c r="E204" s="5">
        <v>4</v>
      </c>
      <c r="F204" s="3">
        <v>0.21671826625387</v>
      </c>
    </row>
    <row r="205" spans="1:6" x14ac:dyDescent="0.2">
      <c r="A205" s="6">
        <v>108276</v>
      </c>
      <c r="B205" s="6" t="s">
        <v>139</v>
      </c>
      <c r="C205" s="7">
        <v>38</v>
      </c>
      <c r="D205" s="7">
        <v>106</v>
      </c>
      <c r="E205" s="7">
        <v>117</v>
      </c>
      <c r="F205" s="8">
        <v>2.7894736842105261</v>
      </c>
    </row>
    <row r="206" spans="1:6" x14ac:dyDescent="0.2">
      <c r="A206" s="9">
        <v>113164</v>
      </c>
      <c r="B206" s="9" t="s">
        <v>291</v>
      </c>
      <c r="C206" s="10">
        <v>34</v>
      </c>
      <c r="D206" s="10">
        <v>106</v>
      </c>
      <c r="E206" s="10">
        <v>10</v>
      </c>
      <c r="F206" s="11">
        <v>3.117647058823529</v>
      </c>
    </row>
    <row r="207" spans="1:6" x14ac:dyDescent="0.2">
      <c r="A207" t="s">
        <v>20</v>
      </c>
      <c r="B207" t="s">
        <v>682</v>
      </c>
      <c r="D207" s="5">
        <v>105</v>
      </c>
      <c r="E207" s="5">
        <v>0</v>
      </c>
    </row>
    <row r="208" spans="1:6" x14ac:dyDescent="0.2">
      <c r="A208" s="9">
        <v>157301</v>
      </c>
      <c r="B208" s="9" t="s">
        <v>434</v>
      </c>
      <c r="C208" s="10">
        <v>12</v>
      </c>
      <c r="D208" s="10">
        <v>103</v>
      </c>
      <c r="E208" s="10">
        <v>0</v>
      </c>
      <c r="F208" s="11">
        <v>8.5833333333333339</v>
      </c>
    </row>
    <row r="209" spans="1:6" x14ac:dyDescent="0.2">
      <c r="A209">
        <v>100282</v>
      </c>
      <c r="B209" t="s">
        <v>39</v>
      </c>
      <c r="C209" s="5">
        <v>310</v>
      </c>
      <c r="D209" s="5">
        <v>67</v>
      </c>
      <c r="E209" s="5">
        <v>331</v>
      </c>
      <c r="F209" s="3">
        <v>0.21612903225806451</v>
      </c>
    </row>
    <row r="210" spans="1:6" x14ac:dyDescent="0.2">
      <c r="A210" s="12">
        <v>315001</v>
      </c>
      <c r="B210" s="12" t="s">
        <v>520</v>
      </c>
      <c r="C210" s="13">
        <v>76</v>
      </c>
      <c r="D210" s="13">
        <v>101</v>
      </c>
      <c r="E210" s="13">
        <v>0</v>
      </c>
      <c r="F210" s="14">
        <v>1.3289473684210531</v>
      </c>
    </row>
    <row r="211" spans="1:6" x14ac:dyDescent="0.2">
      <c r="A211" s="9">
        <v>328024</v>
      </c>
      <c r="B211" s="9" t="s">
        <v>548</v>
      </c>
      <c r="C211" s="10">
        <v>59</v>
      </c>
      <c r="D211" s="10">
        <v>101</v>
      </c>
      <c r="E211" s="10">
        <v>6</v>
      </c>
      <c r="F211" s="11">
        <v>1.7118644067796609</v>
      </c>
    </row>
    <row r="212" spans="1:6" x14ac:dyDescent="0.2">
      <c r="A212">
        <v>205360</v>
      </c>
      <c r="B212" t="s">
        <v>481</v>
      </c>
      <c r="C212" s="5">
        <v>308</v>
      </c>
      <c r="D212" s="5">
        <v>299</v>
      </c>
      <c r="E212" s="5">
        <v>40</v>
      </c>
      <c r="F212" s="3">
        <v>0.97077922077922074</v>
      </c>
    </row>
    <row r="213" spans="1:6" x14ac:dyDescent="0.2">
      <c r="A213">
        <v>122790</v>
      </c>
      <c r="B213" t="s">
        <v>354</v>
      </c>
      <c r="C213" s="5">
        <v>300</v>
      </c>
      <c r="D213" s="5">
        <v>113</v>
      </c>
      <c r="E213" s="5">
        <v>40</v>
      </c>
      <c r="F213" s="3">
        <v>0.37666666666666659</v>
      </c>
    </row>
    <row r="214" spans="1:6" x14ac:dyDescent="0.2">
      <c r="A214" s="9">
        <v>111020</v>
      </c>
      <c r="B214" s="9" t="s">
        <v>250</v>
      </c>
      <c r="C214" s="10">
        <v>55</v>
      </c>
      <c r="D214" s="10">
        <v>100</v>
      </c>
      <c r="E214" s="10">
        <v>21</v>
      </c>
      <c r="F214" s="11">
        <v>1.8181818181818179</v>
      </c>
    </row>
    <row r="215" spans="1:6" x14ac:dyDescent="0.2">
      <c r="A215">
        <v>145570</v>
      </c>
      <c r="B215" t="s">
        <v>407</v>
      </c>
      <c r="C215" s="5">
        <v>300</v>
      </c>
      <c r="D215" s="5">
        <v>87</v>
      </c>
      <c r="E215" s="5">
        <v>3</v>
      </c>
      <c r="F215" s="3">
        <v>0.28999999999999998</v>
      </c>
    </row>
    <row r="216" spans="1:6" x14ac:dyDescent="0.2">
      <c r="A216">
        <v>466492</v>
      </c>
      <c r="B216" t="s">
        <v>592</v>
      </c>
      <c r="C216" s="5">
        <v>290</v>
      </c>
      <c r="D216" s="5">
        <v>82</v>
      </c>
      <c r="E216" s="5">
        <v>1</v>
      </c>
      <c r="F216" s="3">
        <v>0.28275862068965518</v>
      </c>
    </row>
    <row r="217" spans="1:6" x14ac:dyDescent="0.2">
      <c r="A217">
        <v>115327</v>
      </c>
      <c r="B217" t="s">
        <v>323</v>
      </c>
      <c r="C217" s="5">
        <v>269</v>
      </c>
      <c r="D217" s="5">
        <v>53</v>
      </c>
      <c r="E217" s="5">
        <v>12</v>
      </c>
      <c r="F217" s="3">
        <v>0.19702602230483271</v>
      </c>
    </row>
    <row r="218" spans="1:6" x14ac:dyDescent="0.2">
      <c r="A218" t="s">
        <v>13</v>
      </c>
      <c r="B218" t="s">
        <v>675</v>
      </c>
      <c r="D218" s="5">
        <v>98</v>
      </c>
      <c r="E218" s="5">
        <v>2</v>
      </c>
    </row>
    <row r="219" spans="1:6" x14ac:dyDescent="0.2">
      <c r="A219" s="9">
        <v>135100</v>
      </c>
      <c r="B219" s="9" t="s">
        <v>385</v>
      </c>
      <c r="C219" s="10">
        <v>39</v>
      </c>
      <c r="D219" s="10">
        <v>97</v>
      </c>
      <c r="E219" s="10">
        <v>7</v>
      </c>
      <c r="F219" s="11">
        <v>2.4871794871794868</v>
      </c>
    </row>
    <row r="220" spans="1:6" x14ac:dyDescent="0.2">
      <c r="A220">
        <v>109708</v>
      </c>
      <c r="B220" t="s">
        <v>208</v>
      </c>
      <c r="C220" s="5">
        <v>268</v>
      </c>
      <c r="D220" s="5">
        <v>30</v>
      </c>
      <c r="E220" s="5">
        <v>19</v>
      </c>
      <c r="F220" s="3">
        <v>0.1119402985074627</v>
      </c>
    </row>
    <row r="221" spans="1:6" x14ac:dyDescent="0.2">
      <c r="A221">
        <v>106000</v>
      </c>
      <c r="B221" t="s">
        <v>56</v>
      </c>
      <c r="C221" s="5">
        <v>1657</v>
      </c>
      <c r="D221" s="5">
        <v>95</v>
      </c>
      <c r="E221" s="5">
        <v>23</v>
      </c>
      <c r="F221" s="3">
        <v>5.7332528666264343E-2</v>
      </c>
    </row>
    <row r="222" spans="1:6" x14ac:dyDescent="0.2">
      <c r="A222">
        <v>147917</v>
      </c>
      <c r="B222" t="s">
        <v>411</v>
      </c>
      <c r="C222" s="5">
        <v>264</v>
      </c>
      <c r="D222" s="5">
        <v>236</v>
      </c>
      <c r="E222" s="5">
        <v>280</v>
      </c>
      <c r="F222" s="3">
        <v>0.89393939393939392</v>
      </c>
    </row>
    <row r="223" spans="1:6" x14ac:dyDescent="0.2">
      <c r="A223" s="9">
        <v>109998</v>
      </c>
      <c r="B223" s="9" t="s">
        <v>221</v>
      </c>
      <c r="C223" s="10">
        <v>27</v>
      </c>
      <c r="D223" s="10">
        <v>94</v>
      </c>
      <c r="E223" s="10">
        <v>0</v>
      </c>
      <c r="F223" s="11">
        <v>3.481481481481481</v>
      </c>
    </row>
    <row r="224" spans="1:6" x14ac:dyDescent="0.2">
      <c r="A224">
        <v>427790</v>
      </c>
      <c r="B224" t="s">
        <v>557</v>
      </c>
      <c r="D224" s="5">
        <v>94</v>
      </c>
      <c r="E224" s="5">
        <v>1</v>
      </c>
    </row>
    <row r="225" spans="1:6" x14ac:dyDescent="0.2">
      <c r="A225" s="12">
        <v>207035</v>
      </c>
      <c r="B225" s="12" t="s">
        <v>482</v>
      </c>
      <c r="C225" s="13">
        <v>89</v>
      </c>
      <c r="D225" s="13">
        <v>92</v>
      </c>
      <c r="E225" s="13">
        <v>6</v>
      </c>
      <c r="F225" s="14">
        <v>1.033707865168539</v>
      </c>
    </row>
    <row r="226" spans="1:6" x14ac:dyDescent="0.2">
      <c r="A226" s="12">
        <v>193540</v>
      </c>
      <c r="B226" s="12" t="s">
        <v>473</v>
      </c>
      <c r="C226" s="13">
        <v>66</v>
      </c>
      <c r="D226" s="13">
        <v>92</v>
      </c>
      <c r="E226" s="13">
        <v>0</v>
      </c>
      <c r="F226" s="14">
        <v>1.393939393939394</v>
      </c>
    </row>
    <row r="227" spans="1:6" x14ac:dyDescent="0.2">
      <c r="A227">
        <v>110652</v>
      </c>
      <c r="D227" s="5">
        <v>91</v>
      </c>
      <c r="E227" s="5">
        <v>20</v>
      </c>
    </row>
    <row r="228" spans="1:6" x14ac:dyDescent="0.2">
      <c r="A228">
        <v>114763</v>
      </c>
      <c r="D228" s="5">
        <v>91</v>
      </c>
      <c r="E228" s="5">
        <v>26</v>
      </c>
    </row>
    <row r="229" spans="1:6" x14ac:dyDescent="0.2">
      <c r="A229">
        <v>452548</v>
      </c>
      <c r="B229" t="s">
        <v>565</v>
      </c>
      <c r="D229" s="5">
        <v>90</v>
      </c>
      <c r="E229" s="5">
        <v>57</v>
      </c>
    </row>
    <row r="230" spans="1:6" x14ac:dyDescent="0.2">
      <c r="A230">
        <v>105772</v>
      </c>
      <c r="B230" t="s">
        <v>53</v>
      </c>
      <c r="C230" s="5">
        <v>262</v>
      </c>
      <c r="D230" s="5">
        <v>70</v>
      </c>
      <c r="E230" s="5">
        <v>139</v>
      </c>
      <c r="F230" s="3">
        <v>0.26717557251908403</v>
      </c>
    </row>
    <row r="231" spans="1:6" x14ac:dyDescent="0.2">
      <c r="A231">
        <v>107794</v>
      </c>
      <c r="B231" t="s">
        <v>116</v>
      </c>
      <c r="C231" s="5">
        <v>259</v>
      </c>
      <c r="D231" s="5">
        <v>216</v>
      </c>
      <c r="E231" s="5">
        <v>0</v>
      </c>
      <c r="F231" s="3">
        <v>0.83397683397683398</v>
      </c>
    </row>
    <row r="232" spans="1:6" x14ac:dyDescent="0.2">
      <c r="A232">
        <v>459129</v>
      </c>
      <c r="B232" t="s">
        <v>571</v>
      </c>
      <c r="C232" s="5">
        <v>256</v>
      </c>
      <c r="D232" s="5">
        <v>27</v>
      </c>
      <c r="E232" s="5">
        <v>7</v>
      </c>
      <c r="F232" s="3">
        <v>0.10546875</v>
      </c>
    </row>
    <row r="233" spans="1:6" x14ac:dyDescent="0.2">
      <c r="A233">
        <v>163211</v>
      </c>
      <c r="B233" t="s">
        <v>445</v>
      </c>
      <c r="C233" s="5">
        <v>253</v>
      </c>
      <c r="D233" s="5">
        <v>29</v>
      </c>
      <c r="E233" s="5">
        <v>15</v>
      </c>
      <c r="F233" s="3">
        <v>0.1146245059288538</v>
      </c>
    </row>
    <row r="234" spans="1:6" x14ac:dyDescent="0.2">
      <c r="A234">
        <v>109178</v>
      </c>
      <c r="B234" t="s">
        <v>186</v>
      </c>
      <c r="C234" s="5">
        <v>252</v>
      </c>
      <c r="D234" s="5">
        <v>218</v>
      </c>
      <c r="E234" s="5">
        <v>1</v>
      </c>
      <c r="F234" s="3">
        <v>0.86507936507936511</v>
      </c>
    </row>
    <row r="235" spans="1:6" x14ac:dyDescent="0.2">
      <c r="A235" s="9">
        <v>108263</v>
      </c>
      <c r="B235" s="9" t="s">
        <v>138</v>
      </c>
      <c r="C235" s="10">
        <v>15</v>
      </c>
      <c r="D235" s="10">
        <v>87</v>
      </c>
      <c r="E235" s="10">
        <v>12</v>
      </c>
      <c r="F235" s="11">
        <v>5.8</v>
      </c>
    </row>
    <row r="236" spans="1:6" x14ac:dyDescent="0.2">
      <c r="A236" s="6">
        <v>127119</v>
      </c>
      <c r="B236" s="6" t="s">
        <v>363</v>
      </c>
      <c r="C236" s="7">
        <v>14</v>
      </c>
      <c r="D236" s="7">
        <v>87</v>
      </c>
      <c r="E236" s="7">
        <v>67</v>
      </c>
      <c r="F236" s="8">
        <v>6.2142857142857144</v>
      </c>
    </row>
    <row r="237" spans="1:6" x14ac:dyDescent="0.2">
      <c r="A237">
        <v>459199</v>
      </c>
      <c r="B237" t="s">
        <v>572</v>
      </c>
      <c r="C237" s="5">
        <v>252</v>
      </c>
      <c r="D237" s="5">
        <v>53</v>
      </c>
      <c r="E237" s="5">
        <v>477</v>
      </c>
      <c r="F237" s="3">
        <v>0.21031746031746029</v>
      </c>
    </row>
    <row r="238" spans="1:6" x14ac:dyDescent="0.2">
      <c r="A238">
        <v>109267</v>
      </c>
      <c r="B238" t="s">
        <v>194</v>
      </c>
      <c r="C238" s="5">
        <v>250</v>
      </c>
      <c r="D238" s="5">
        <v>243</v>
      </c>
      <c r="E238" s="5">
        <v>94</v>
      </c>
      <c r="F238" s="3">
        <v>0.97199999999999998</v>
      </c>
    </row>
    <row r="239" spans="1:6" x14ac:dyDescent="0.2">
      <c r="A239" s="9">
        <v>109093</v>
      </c>
      <c r="B239" s="9" t="s">
        <v>179</v>
      </c>
      <c r="C239" s="10">
        <v>40</v>
      </c>
      <c r="D239" s="10">
        <v>85</v>
      </c>
      <c r="E239" s="10">
        <v>30</v>
      </c>
      <c r="F239" s="11">
        <v>2.125</v>
      </c>
    </row>
    <row r="240" spans="1:6" x14ac:dyDescent="0.2">
      <c r="A240" s="9">
        <v>468843</v>
      </c>
      <c r="B240" s="9" t="s">
        <v>597</v>
      </c>
      <c r="C240" s="10">
        <v>24</v>
      </c>
      <c r="D240" s="10">
        <v>84</v>
      </c>
      <c r="E240" s="10">
        <v>0</v>
      </c>
      <c r="F240" s="11">
        <v>3.5</v>
      </c>
    </row>
    <row r="241" spans="1:6" x14ac:dyDescent="0.2">
      <c r="A241">
        <v>305896</v>
      </c>
      <c r="B241" t="s">
        <v>508</v>
      </c>
      <c r="D241" s="5">
        <v>84</v>
      </c>
      <c r="E241" s="5">
        <v>5</v>
      </c>
    </row>
    <row r="242" spans="1:6" x14ac:dyDescent="0.2">
      <c r="A242">
        <v>110600</v>
      </c>
      <c r="B242" t="s">
        <v>242</v>
      </c>
      <c r="C242" s="5">
        <v>248</v>
      </c>
      <c r="D242" s="5">
        <v>94</v>
      </c>
      <c r="E242" s="5">
        <v>114</v>
      </c>
      <c r="F242" s="3">
        <v>0.37903225806451613</v>
      </c>
    </row>
    <row r="243" spans="1:6" x14ac:dyDescent="0.2">
      <c r="A243" s="12">
        <v>157734</v>
      </c>
      <c r="B243" s="12" t="s">
        <v>437</v>
      </c>
      <c r="C243" s="13">
        <v>59</v>
      </c>
      <c r="D243" s="13">
        <v>83</v>
      </c>
      <c r="E243" s="13">
        <v>8</v>
      </c>
      <c r="F243" s="14">
        <v>1.406779661016949</v>
      </c>
    </row>
    <row r="244" spans="1:6" x14ac:dyDescent="0.2">
      <c r="A244">
        <v>117072</v>
      </c>
      <c r="B244" t="s">
        <v>341</v>
      </c>
      <c r="C244" s="5">
        <v>241</v>
      </c>
      <c r="D244" s="5">
        <v>33</v>
      </c>
      <c r="E244" s="5">
        <v>17</v>
      </c>
      <c r="F244" s="3">
        <v>0.1369294605809129</v>
      </c>
    </row>
    <row r="245" spans="1:6" x14ac:dyDescent="0.2">
      <c r="A245" s="9">
        <v>108398</v>
      </c>
      <c r="B245" s="9" t="s">
        <v>146</v>
      </c>
      <c r="C245" s="10">
        <v>36</v>
      </c>
      <c r="D245" s="10">
        <v>81</v>
      </c>
      <c r="E245" s="10">
        <v>3</v>
      </c>
      <c r="F245" s="11">
        <v>2.25</v>
      </c>
    </row>
    <row r="246" spans="1:6" x14ac:dyDescent="0.2">
      <c r="A246" s="6">
        <v>141123</v>
      </c>
      <c r="B246" s="6" t="s">
        <v>395</v>
      </c>
      <c r="C246" s="7">
        <v>53</v>
      </c>
      <c r="D246" s="7">
        <v>80</v>
      </c>
      <c r="E246" s="7">
        <v>63</v>
      </c>
      <c r="F246" s="8">
        <v>1.5094339622641511</v>
      </c>
    </row>
    <row r="247" spans="1:6" x14ac:dyDescent="0.2">
      <c r="A247">
        <v>197700</v>
      </c>
      <c r="D247" s="5">
        <v>80</v>
      </c>
      <c r="E247" s="5">
        <v>33</v>
      </c>
    </row>
    <row r="248" spans="1:6" x14ac:dyDescent="0.2">
      <c r="A248" s="12">
        <v>115325</v>
      </c>
      <c r="B248" s="12" t="s">
        <v>322</v>
      </c>
      <c r="C248" s="13">
        <v>63</v>
      </c>
      <c r="D248" s="13">
        <v>79</v>
      </c>
      <c r="E248" s="13">
        <v>0</v>
      </c>
      <c r="F248" s="14">
        <v>1.253968253968254</v>
      </c>
    </row>
    <row r="249" spans="1:6" x14ac:dyDescent="0.2">
      <c r="A249">
        <v>107397</v>
      </c>
      <c r="B249" t="s">
        <v>107</v>
      </c>
      <c r="C249" s="5">
        <v>877</v>
      </c>
      <c r="D249" s="5">
        <v>78</v>
      </c>
      <c r="E249" s="5">
        <v>5</v>
      </c>
      <c r="F249" s="3">
        <v>8.8939566704675024E-2</v>
      </c>
    </row>
    <row r="250" spans="1:6" x14ac:dyDescent="0.2">
      <c r="A250" s="12">
        <v>109256</v>
      </c>
      <c r="B250" s="12" t="s">
        <v>192</v>
      </c>
      <c r="C250" s="13">
        <v>56</v>
      </c>
      <c r="D250" s="13">
        <v>78</v>
      </c>
      <c r="E250" s="13">
        <v>9</v>
      </c>
      <c r="F250" s="14">
        <v>1.392857142857143</v>
      </c>
    </row>
    <row r="251" spans="1:6" x14ac:dyDescent="0.2">
      <c r="A251" s="9">
        <v>204311</v>
      </c>
      <c r="B251" s="9" t="s">
        <v>479</v>
      </c>
      <c r="C251" s="10">
        <v>21</v>
      </c>
      <c r="D251" s="10">
        <v>78</v>
      </c>
      <c r="E251" s="10">
        <v>0</v>
      </c>
      <c r="F251" s="11">
        <v>3.714285714285714</v>
      </c>
    </row>
    <row r="252" spans="1:6" x14ac:dyDescent="0.2">
      <c r="A252">
        <v>315722</v>
      </c>
      <c r="B252" t="s">
        <v>525</v>
      </c>
      <c r="C252" s="5">
        <v>230</v>
      </c>
      <c r="D252" s="5">
        <v>175</v>
      </c>
      <c r="E252" s="5">
        <v>92</v>
      </c>
      <c r="F252" s="3">
        <v>0.76086956521739135</v>
      </c>
    </row>
    <row r="253" spans="1:6" x14ac:dyDescent="0.2">
      <c r="A253">
        <v>129244</v>
      </c>
      <c r="D253" s="5">
        <v>76</v>
      </c>
      <c r="E253" s="5">
        <v>181</v>
      </c>
    </row>
    <row r="254" spans="1:6" x14ac:dyDescent="0.2">
      <c r="A254">
        <v>133567</v>
      </c>
      <c r="B254" t="s">
        <v>383</v>
      </c>
      <c r="C254" s="5">
        <v>849</v>
      </c>
      <c r="D254" s="5">
        <v>75</v>
      </c>
      <c r="E254" s="5">
        <v>257</v>
      </c>
      <c r="F254" s="3">
        <v>8.8339222614840993E-2</v>
      </c>
    </row>
    <row r="255" spans="1:6" x14ac:dyDescent="0.2">
      <c r="A255">
        <v>478812</v>
      </c>
      <c r="B255" t="s">
        <v>610</v>
      </c>
      <c r="D255" s="5">
        <v>75</v>
      </c>
      <c r="E255" s="5">
        <v>138</v>
      </c>
    </row>
    <row r="256" spans="1:6" x14ac:dyDescent="0.2">
      <c r="A256" s="12">
        <v>109719</v>
      </c>
      <c r="B256" s="12" t="s">
        <v>209</v>
      </c>
      <c r="C256" s="13">
        <v>61</v>
      </c>
      <c r="D256" s="13">
        <v>74</v>
      </c>
      <c r="E256" s="13">
        <v>2</v>
      </c>
      <c r="F256" s="14">
        <v>1.2131147540983609</v>
      </c>
    </row>
    <row r="257" spans="1:6" x14ac:dyDescent="0.2">
      <c r="A257" s="9">
        <v>477587</v>
      </c>
      <c r="B257" s="9" t="s">
        <v>606</v>
      </c>
      <c r="C257" s="10">
        <v>6</v>
      </c>
      <c r="D257" s="10">
        <v>74</v>
      </c>
      <c r="E257" s="10">
        <v>24</v>
      </c>
      <c r="F257" s="11">
        <v>12.33333333333333</v>
      </c>
    </row>
    <row r="258" spans="1:6" x14ac:dyDescent="0.2">
      <c r="A258">
        <v>105702</v>
      </c>
      <c r="B258" t="s">
        <v>49</v>
      </c>
      <c r="C258" s="5">
        <v>924</v>
      </c>
      <c r="D258" s="5">
        <v>73</v>
      </c>
      <c r="E258" s="5">
        <v>73</v>
      </c>
      <c r="F258" s="3">
        <v>7.9004329004329008E-2</v>
      </c>
    </row>
    <row r="259" spans="1:6" x14ac:dyDescent="0.2">
      <c r="A259">
        <v>113421</v>
      </c>
      <c r="B259" t="s">
        <v>301</v>
      </c>
      <c r="C259" s="5">
        <v>225</v>
      </c>
      <c r="D259" s="5">
        <v>54</v>
      </c>
      <c r="E259" s="5">
        <v>0</v>
      </c>
      <c r="F259" s="3">
        <v>0.24</v>
      </c>
    </row>
    <row r="260" spans="1:6" x14ac:dyDescent="0.2">
      <c r="A260">
        <v>107619</v>
      </c>
      <c r="B260" t="s">
        <v>110</v>
      </c>
      <c r="C260" s="5">
        <v>223</v>
      </c>
      <c r="D260" s="5">
        <v>216</v>
      </c>
      <c r="E260" s="5">
        <v>14</v>
      </c>
      <c r="F260" s="3">
        <v>0.96860986547085204</v>
      </c>
    </row>
    <row r="261" spans="1:6" x14ac:dyDescent="0.2">
      <c r="A261">
        <v>106758</v>
      </c>
      <c r="D261" s="5">
        <v>73</v>
      </c>
      <c r="E261" s="5">
        <v>68</v>
      </c>
    </row>
    <row r="262" spans="1:6" x14ac:dyDescent="0.2">
      <c r="A262">
        <v>113515</v>
      </c>
      <c r="B262" t="s">
        <v>305</v>
      </c>
      <c r="C262" s="5">
        <v>222</v>
      </c>
      <c r="D262" s="5">
        <v>60</v>
      </c>
      <c r="E262" s="5">
        <v>0</v>
      </c>
      <c r="F262" s="3">
        <v>0.27027027027027029</v>
      </c>
    </row>
    <row r="263" spans="1:6" x14ac:dyDescent="0.2">
      <c r="A263" s="9">
        <v>322803</v>
      </c>
      <c r="B263" s="9" t="s">
        <v>538</v>
      </c>
      <c r="C263" s="10">
        <v>11</v>
      </c>
      <c r="D263" s="10">
        <v>72</v>
      </c>
      <c r="E263" s="10">
        <v>5</v>
      </c>
      <c r="F263" s="11">
        <v>6.5454545454545459</v>
      </c>
    </row>
    <row r="264" spans="1:6" x14ac:dyDescent="0.2">
      <c r="A264">
        <v>108893</v>
      </c>
      <c r="D264" s="5">
        <v>71</v>
      </c>
      <c r="E264" s="5">
        <v>0</v>
      </c>
    </row>
    <row r="265" spans="1:6" x14ac:dyDescent="0.2">
      <c r="A265">
        <v>108484</v>
      </c>
      <c r="B265" t="s">
        <v>151</v>
      </c>
      <c r="C265" s="5">
        <v>218</v>
      </c>
      <c r="D265" s="5">
        <v>60</v>
      </c>
      <c r="E265" s="5">
        <v>0</v>
      </c>
      <c r="F265" s="3">
        <v>0.27522935779816521</v>
      </c>
    </row>
    <row r="266" spans="1:6" x14ac:dyDescent="0.2">
      <c r="A266">
        <v>322638</v>
      </c>
      <c r="B266" t="s">
        <v>537</v>
      </c>
      <c r="C266" s="5">
        <v>215</v>
      </c>
      <c r="D266" s="5">
        <v>185</v>
      </c>
      <c r="E266" s="5">
        <v>18</v>
      </c>
      <c r="F266" s="3">
        <v>0.86046511627906974</v>
      </c>
    </row>
    <row r="267" spans="1:6" x14ac:dyDescent="0.2">
      <c r="A267">
        <v>108325</v>
      </c>
      <c r="B267" t="s">
        <v>141</v>
      </c>
      <c r="C267" s="5">
        <v>214</v>
      </c>
      <c r="D267" s="5">
        <v>102</v>
      </c>
      <c r="E267" s="5">
        <v>0</v>
      </c>
      <c r="F267" s="3">
        <v>0.47663551401869159</v>
      </c>
    </row>
    <row r="268" spans="1:6" x14ac:dyDescent="0.2">
      <c r="A268" t="s">
        <v>28</v>
      </c>
      <c r="B268" t="s">
        <v>688</v>
      </c>
      <c r="D268" s="5">
        <v>69</v>
      </c>
      <c r="E268" s="5">
        <v>0</v>
      </c>
    </row>
    <row r="269" spans="1:6" x14ac:dyDescent="0.2">
      <c r="A269">
        <v>321833</v>
      </c>
      <c r="B269" t="s">
        <v>536</v>
      </c>
      <c r="C269" s="5">
        <v>213</v>
      </c>
      <c r="D269" s="5">
        <v>57</v>
      </c>
      <c r="E269" s="5">
        <v>14</v>
      </c>
      <c r="F269" s="3">
        <v>0.26760563380281688</v>
      </c>
    </row>
    <row r="270" spans="1:6" x14ac:dyDescent="0.2">
      <c r="A270">
        <v>113387</v>
      </c>
      <c r="B270" t="s">
        <v>297</v>
      </c>
      <c r="C270" s="5">
        <v>210</v>
      </c>
      <c r="D270" s="5">
        <v>40</v>
      </c>
      <c r="E270" s="5">
        <v>0</v>
      </c>
      <c r="F270" s="3">
        <v>0.19047619047619049</v>
      </c>
    </row>
    <row r="271" spans="1:6" x14ac:dyDescent="0.2">
      <c r="A271">
        <v>112277</v>
      </c>
      <c r="B271" t="s">
        <v>262</v>
      </c>
      <c r="C271" s="5">
        <v>209</v>
      </c>
      <c r="D271" s="5">
        <v>153</v>
      </c>
      <c r="E271" s="5">
        <v>41</v>
      </c>
      <c r="F271" s="3">
        <v>0.73205741626794263</v>
      </c>
    </row>
    <row r="272" spans="1:6" x14ac:dyDescent="0.2">
      <c r="A272">
        <v>110404</v>
      </c>
      <c r="B272" t="s">
        <v>234</v>
      </c>
      <c r="C272" s="5">
        <v>208</v>
      </c>
      <c r="D272" s="5">
        <v>67</v>
      </c>
      <c r="E272" s="5">
        <v>24</v>
      </c>
      <c r="F272" s="3">
        <v>0.32211538461538458</v>
      </c>
    </row>
    <row r="273" spans="1:6" x14ac:dyDescent="0.2">
      <c r="A273" s="12">
        <v>108877</v>
      </c>
      <c r="B273" s="12" t="s">
        <v>171</v>
      </c>
      <c r="C273" s="13">
        <v>52</v>
      </c>
      <c r="D273" s="13">
        <v>67</v>
      </c>
      <c r="E273" s="13">
        <v>4</v>
      </c>
      <c r="F273" s="14">
        <v>1.288461538461539</v>
      </c>
    </row>
    <row r="274" spans="1:6" x14ac:dyDescent="0.2">
      <c r="A274">
        <v>110274</v>
      </c>
      <c r="B274" t="s">
        <v>229</v>
      </c>
      <c r="C274" s="5">
        <v>206</v>
      </c>
      <c r="D274" s="5">
        <v>165</v>
      </c>
      <c r="E274" s="5">
        <v>5</v>
      </c>
      <c r="F274" s="3">
        <v>0.80097087378640774</v>
      </c>
    </row>
    <row r="275" spans="1:6" x14ac:dyDescent="0.2">
      <c r="A275">
        <v>108493</v>
      </c>
      <c r="B275" t="s">
        <v>153</v>
      </c>
      <c r="C275" s="5">
        <v>203</v>
      </c>
      <c r="D275" s="5">
        <v>46</v>
      </c>
      <c r="E275" s="5">
        <v>0</v>
      </c>
      <c r="F275" s="3">
        <v>0.22660098522167491</v>
      </c>
    </row>
    <row r="276" spans="1:6" x14ac:dyDescent="0.2">
      <c r="A276">
        <v>554048</v>
      </c>
      <c r="D276" s="5">
        <v>66</v>
      </c>
      <c r="E276" s="5">
        <v>0</v>
      </c>
    </row>
    <row r="277" spans="1:6" x14ac:dyDescent="0.2">
      <c r="A277">
        <v>146835</v>
      </c>
      <c r="B277" t="s">
        <v>408</v>
      </c>
      <c r="C277" s="5">
        <v>199</v>
      </c>
      <c r="D277" s="5">
        <v>156</v>
      </c>
      <c r="E277" s="5">
        <v>72</v>
      </c>
      <c r="F277" s="3">
        <v>0.7839195979899497</v>
      </c>
    </row>
    <row r="278" spans="1:6" x14ac:dyDescent="0.2">
      <c r="A278">
        <v>105614</v>
      </c>
      <c r="B278" t="s">
        <v>47</v>
      </c>
      <c r="C278" s="5">
        <v>198</v>
      </c>
      <c r="D278" s="5">
        <v>24</v>
      </c>
      <c r="E278" s="5">
        <v>1</v>
      </c>
      <c r="F278" s="3">
        <v>0.1212121212121212</v>
      </c>
    </row>
    <row r="279" spans="1:6" x14ac:dyDescent="0.2">
      <c r="A279">
        <v>107272</v>
      </c>
      <c r="B279" t="s">
        <v>102</v>
      </c>
      <c r="C279" s="5">
        <v>196</v>
      </c>
      <c r="D279" s="5">
        <v>177</v>
      </c>
      <c r="E279" s="5">
        <v>5</v>
      </c>
      <c r="F279" s="3">
        <v>0.90306122448979587</v>
      </c>
    </row>
    <row r="280" spans="1:6" x14ac:dyDescent="0.2">
      <c r="A280">
        <v>579056</v>
      </c>
      <c r="B280" t="s">
        <v>668</v>
      </c>
      <c r="D280" s="5">
        <v>62</v>
      </c>
      <c r="E280" s="5">
        <v>0</v>
      </c>
    </row>
    <row r="281" spans="1:6" x14ac:dyDescent="0.2">
      <c r="A281">
        <v>129200</v>
      </c>
      <c r="B281" t="s">
        <v>372</v>
      </c>
      <c r="C281" s="5">
        <v>193</v>
      </c>
      <c r="D281" s="5">
        <v>159</v>
      </c>
      <c r="E281" s="5">
        <v>26</v>
      </c>
      <c r="F281" s="3">
        <v>0.82383419689119175</v>
      </c>
    </row>
    <row r="282" spans="1:6" x14ac:dyDescent="0.2">
      <c r="A282">
        <v>108014</v>
      </c>
      <c r="B282" t="s">
        <v>127</v>
      </c>
      <c r="C282" s="5">
        <v>193</v>
      </c>
      <c r="D282" s="5">
        <v>19</v>
      </c>
      <c r="E282" s="5">
        <v>1042</v>
      </c>
      <c r="F282" s="3">
        <v>9.8445595854922283E-2</v>
      </c>
    </row>
    <row r="283" spans="1:6" x14ac:dyDescent="0.2">
      <c r="A283">
        <v>116046</v>
      </c>
      <c r="B283" t="s">
        <v>333</v>
      </c>
      <c r="C283" s="5">
        <v>191</v>
      </c>
      <c r="D283" s="5">
        <v>124</v>
      </c>
      <c r="E283" s="5">
        <v>1</v>
      </c>
      <c r="F283" s="3">
        <v>0.64921465968586389</v>
      </c>
    </row>
    <row r="284" spans="1:6" x14ac:dyDescent="0.2">
      <c r="A284">
        <v>153918</v>
      </c>
      <c r="B284" t="s">
        <v>425</v>
      </c>
      <c r="C284" s="5">
        <v>186</v>
      </c>
      <c r="D284" s="5">
        <v>23</v>
      </c>
      <c r="E284" s="5">
        <v>1</v>
      </c>
      <c r="F284" s="3">
        <v>0.1236559139784946</v>
      </c>
    </row>
    <row r="285" spans="1:6" x14ac:dyDescent="0.2">
      <c r="A285" s="9">
        <v>112627</v>
      </c>
      <c r="B285" s="9" t="s">
        <v>281</v>
      </c>
      <c r="C285" s="10">
        <v>33</v>
      </c>
      <c r="D285" s="10">
        <v>61</v>
      </c>
      <c r="E285" s="10">
        <v>12</v>
      </c>
      <c r="F285" s="11">
        <v>1.848484848484848</v>
      </c>
    </row>
    <row r="286" spans="1:6" x14ac:dyDescent="0.2">
      <c r="A286">
        <v>543347</v>
      </c>
      <c r="B286" t="s">
        <v>656</v>
      </c>
      <c r="C286" s="5">
        <v>185</v>
      </c>
      <c r="D286" s="5">
        <v>87</v>
      </c>
      <c r="E286" s="5">
        <v>6</v>
      </c>
      <c r="F286" s="3">
        <v>0.4702702702702703</v>
      </c>
    </row>
    <row r="287" spans="1:6" x14ac:dyDescent="0.2">
      <c r="A287">
        <v>112831</v>
      </c>
      <c r="B287" t="s">
        <v>287</v>
      </c>
      <c r="C287" s="5">
        <v>184</v>
      </c>
      <c r="D287" s="5">
        <v>51</v>
      </c>
      <c r="E287" s="5">
        <v>60</v>
      </c>
      <c r="F287" s="3">
        <v>0.27717391304347833</v>
      </c>
    </row>
    <row r="288" spans="1:6" x14ac:dyDescent="0.2">
      <c r="A288" s="12" t="s">
        <v>12</v>
      </c>
      <c r="B288" s="12" t="s">
        <v>674</v>
      </c>
      <c r="C288" s="13">
        <v>49</v>
      </c>
      <c r="D288" s="13">
        <v>60</v>
      </c>
      <c r="E288" s="13">
        <v>24</v>
      </c>
      <c r="F288" s="14">
        <v>1.2244897959183669</v>
      </c>
    </row>
    <row r="289" spans="1:6" x14ac:dyDescent="0.2">
      <c r="A289" s="9">
        <v>319013</v>
      </c>
      <c r="B289" s="9" t="s">
        <v>531</v>
      </c>
      <c r="C289" s="10">
        <v>15</v>
      </c>
      <c r="D289" s="10">
        <v>60</v>
      </c>
      <c r="E289" s="10">
        <v>0</v>
      </c>
      <c r="F289" s="11">
        <v>4</v>
      </c>
    </row>
    <row r="290" spans="1:6" x14ac:dyDescent="0.2">
      <c r="A290">
        <v>108412</v>
      </c>
      <c r="B290" t="s">
        <v>147</v>
      </c>
      <c r="C290" s="5">
        <v>183</v>
      </c>
      <c r="D290" s="5">
        <v>39</v>
      </c>
      <c r="E290" s="5">
        <v>40</v>
      </c>
      <c r="F290" s="3">
        <v>0.21311475409836059</v>
      </c>
    </row>
    <row r="291" spans="1:6" x14ac:dyDescent="0.2">
      <c r="A291" s="12">
        <v>111124</v>
      </c>
      <c r="B291" s="12" t="s">
        <v>253</v>
      </c>
      <c r="C291" s="13">
        <v>54</v>
      </c>
      <c r="D291" s="13">
        <v>59</v>
      </c>
      <c r="E291" s="13">
        <v>34</v>
      </c>
      <c r="F291" s="14">
        <v>1.092592592592593</v>
      </c>
    </row>
    <row r="292" spans="1:6" x14ac:dyDescent="0.2">
      <c r="A292">
        <v>107430</v>
      </c>
      <c r="B292" t="s">
        <v>108</v>
      </c>
      <c r="D292" s="5">
        <v>59</v>
      </c>
      <c r="E292" s="5">
        <v>13</v>
      </c>
    </row>
    <row r="293" spans="1:6" x14ac:dyDescent="0.2">
      <c r="A293">
        <v>113370</v>
      </c>
      <c r="B293" t="s">
        <v>295</v>
      </c>
      <c r="C293" s="5">
        <v>796</v>
      </c>
      <c r="D293" s="5">
        <v>58</v>
      </c>
      <c r="E293" s="5">
        <v>2</v>
      </c>
      <c r="F293" s="3">
        <v>7.2864321608040197E-2</v>
      </c>
    </row>
    <row r="294" spans="1:6" x14ac:dyDescent="0.2">
      <c r="A294" s="9">
        <v>109947</v>
      </c>
      <c r="B294" s="9" t="s">
        <v>220</v>
      </c>
      <c r="C294" s="10">
        <v>13</v>
      </c>
      <c r="D294" s="10">
        <v>58</v>
      </c>
      <c r="E294" s="10">
        <v>4</v>
      </c>
      <c r="F294" s="11">
        <v>4.4615384615384617</v>
      </c>
    </row>
    <row r="295" spans="1:6" x14ac:dyDescent="0.2">
      <c r="A295" t="s">
        <v>6</v>
      </c>
      <c r="D295" s="5">
        <v>58</v>
      </c>
      <c r="E295" s="5">
        <v>0</v>
      </c>
    </row>
    <row r="296" spans="1:6" x14ac:dyDescent="0.2">
      <c r="A296">
        <v>137813</v>
      </c>
      <c r="B296" t="s">
        <v>389</v>
      </c>
      <c r="C296" s="5">
        <v>182</v>
      </c>
      <c r="D296" s="5">
        <v>59</v>
      </c>
      <c r="E296" s="5">
        <v>24</v>
      </c>
      <c r="F296" s="3">
        <v>0.32417582417582419</v>
      </c>
    </row>
    <row r="297" spans="1:6" x14ac:dyDescent="0.2">
      <c r="A297">
        <v>214319</v>
      </c>
      <c r="B297" t="s">
        <v>488</v>
      </c>
      <c r="C297" s="5">
        <v>180</v>
      </c>
      <c r="D297" s="5">
        <v>41</v>
      </c>
      <c r="E297" s="5">
        <v>0</v>
      </c>
      <c r="F297" s="3">
        <v>0.2277777777777778</v>
      </c>
    </row>
    <row r="298" spans="1:6" x14ac:dyDescent="0.2">
      <c r="A298" s="9">
        <v>108283</v>
      </c>
      <c r="B298" s="9" t="s">
        <v>140</v>
      </c>
      <c r="C298" s="10">
        <v>10</v>
      </c>
      <c r="D298" s="10">
        <v>57</v>
      </c>
      <c r="E298" s="10">
        <v>16</v>
      </c>
      <c r="F298" s="11">
        <v>5.7</v>
      </c>
    </row>
    <row r="299" spans="1:6" x14ac:dyDescent="0.2">
      <c r="A299">
        <v>126094</v>
      </c>
      <c r="B299" t="s">
        <v>359</v>
      </c>
      <c r="D299" s="5">
        <v>57</v>
      </c>
      <c r="E299" s="5">
        <v>1</v>
      </c>
    </row>
    <row r="300" spans="1:6" x14ac:dyDescent="0.2">
      <c r="A300" t="s">
        <v>31</v>
      </c>
      <c r="B300" t="s">
        <v>691</v>
      </c>
      <c r="D300" s="5">
        <v>57</v>
      </c>
      <c r="E300" s="5">
        <v>0</v>
      </c>
    </row>
    <row r="301" spans="1:6" x14ac:dyDescent="0.2">
      <c r="A301">
        <v>109369</v>
      </c>
      <c r="B301" t="s">
        <v>199</v>
      </c>
      <c r="C301" s="5">
        <v>179</v>
      </c>
      <c r="D301" s="5">
        <v>34</v>
      </c>
      <c r="E301" s="5">
        <v>0</v>
      </c>
      <c r="F301" s="3">
        <v>0.18994413407821231</v>
      </c>
    </row>
    <row r="302" spans="1:6" x14ac:dyDescent="0.2">
      <c r="A302">
        <v>115929</v>
      </c>
      <c r="B302" t="s">
        <v>332</v>
      </c>
      <c r="C302" s="5">
        <v>176</v>
      </c>
      <c r="D302" s="5">
        <v>43</v>
      </c>
      <c r="E302" s="5">
        <v>42</v>
      </c>
      <c r="F302" s="3">
        <v>0.2443181818181818</v>
      </c>
    </row>
    <row r="303" spans="1:6" x14ac:dyDescent="0.2">
      <c r="A303" s="12">
        <v>112461</v>
      </c>
      <c r="B303" s="12" t="s">
        <v>271</v>
      </c>
      <c r="C303" s="13">
        <v>52</v>
      </c>
      <c r="D303" s="13">
        <v>55</v>
      </c>
      <c r="E303" s="13">
        <v>155</v>
      </c>
      <c r="F303" s="14">
        <v>1.0576923076923079</v>
      </c>
    </row>
    <row r="304" spans="1:6" x14ac:dyDescent="0.2">
      <c r="A304" s="12">
        <v>491619</v>
      </c>
      <c r="B304" s="12" t="s">
        <v>627</v>
      </c>
      <c r="C304" s="13">
        <v>41</v>
      </c>
      <c r="D304" s="13">
        <v>55</v>
      </c>
      <c r="E304" s="13">
        <v>0</v>
      </c>
      <c r="F304" s="14">
        <v>1.341463414634146</v>
      </c>
    </row>
    <row r="305" spans="1:6" x14ac:dyDescent="0.2">
      <c r="A305">
        <v>112966</v>
      </c>
      <c r="D305" s="5">
        <v>55</v>
      </c>
      <c r="E305" s="5">
        <v>6</v>
      </c>
    </row>
    <row r="306" spans="1:6" x14ac:dyDescent="0.2">
      <c r="A306">
        <v>513816</v>
      </c>
      <c r="B306" t="s">
        <v>643</v>
      </c>
      <c r="D306" s="5">
        <v>55</v>
      </c>
      <c r="E306" s="5">
        <v>3</v>
      </c>
    </row>
    <row r="307" spans="1:6" x14ac:dyDescent="0.2">
      <c r="A307">
        <v>164536</v>
      </c>
      <c r="B307" t="s">
        <v>448</v>
      </c>
      <c r="C307" s="5">
        <v>173</v>
      </c>
      <c r="D307" s="5">
        <v>24</v>
      </c>
      <c r="E307" s="5">
        <v>43</v>
      </c>
      <c r="F307" s="3">
        <v>0.13872832369942201</v>
      </c>
    </row>
    <row r="308" spans="1:6" x14ac:dyDescent="0.2">
      <c r="A308">
        <v>326239</v>
      </c>
      <c r="B308" t="s">
        <v>544</v>
      </c>
      <c r="C308" s="5">
        <v>171</v>
      </c>
      <c r="D308" s="5">
        <v>66</v>
      </c>
      <c r="E308" s="5">
        <v>21</v>
      </c>
      <c r="F308" s="3">
        <v>0.38596491228070168</v>
      </c>
    </row>
    <row r="309" spans="1:6" x14ac:dyDescent="0.2">
      <c r="A309">
        <v>107911</v>
      </c>
      <c r="B309" t="s">
        <v>121</v>
      </c>
      <c r="C309" s="5">
        <v>1072</v>
      </c>
      <c r="D309" s="5">
        <v>53</v>
      </c>
      <c r="E309" s="5">
        <v>0</v>
      </c>
      <c r="F309" s="3">
        <v>4.9440298507462677E-2</v>
      </c>
    </row>
    <row r="310" spans="1:6" x14ac:dyDescent="0.2">
      <c r="A310">
        <v>112180</v>
      </c>
      <c r="B310" t="s">
        <v>261</v>
      </c>
      <c r="C310" s="5">
        <v>167</v>
      </c>
      <c r="D310" s="5">
        <v>22</v>
      </c>
      <c r="E310" s="5">
        <v>0</v>
      </c>
      <c r="F310" s="3">
        <v>0.1317365269461078</v>
      </c>
    </row>
    <row r="311" spans="1:6" x14ac:dyDescent="0.2">
      <c r="A311">
        <v>451087</v>
      </c>
      <c r="B311" t="s">
        <v>563</v>
      </c>
      <c r="C311" s="5">
        <v>163</v>
      </c>
      <c r="D311" s="5">
        <v>55</v>
      </c>
      <c r="E311" s="5">
        <v>17</v>
      </c>
      <c r="F311" s="3">
        <v>0.33742331288343558</v>
      </c>
    </row>
    <row r="312" spans="1:6" x14ac:dyDescent="0.2">
      <c r="A312" s="9">
        <v>110104</v>
      </c>
      <c r="B312" s="9" t="s">
        <v>224</v>
      </c>
      <c r="C312" s="10">
        <v>7</v>
      </c>
      <c r="D312" s="10">
        <v>53</v>
      </c>
      <c r="E312" s="10">
        <v>0</v>
      </c>
      <c r="F312" s="11">
        <v>7.5714285714285712</v>
      </c>
    </row>
    <row r="313" spans="1:6" x14ac:dyDescent="0.2">
      <c r="A313" t="s">
        <v>30</v>
      </c>
      <c r="B313" t="s">
        <v>690</v>
      </c>
      <c r="D313" s="5">
        <v>53</v>
      </c>
      <c r="E313" s="5">
        <v>12</v>
      </c>
    </row>
    <row r="314" spans="1:6" x14ac:dyDescent="0.2">
      <c r="A314">
        <v>156776</v>
      </c>
      <c r="B314" t="s">
        <v>432</v>
      </c>
      <c r="C314" s="5">
        <v>161</v>
      </c>
      <c r="D314" s="5">
        <v>111</v>
      </c>
      <c r="E314" s="5">
        <v>9</v>
      </c>
      <c r="F314" s="3">
        <v>0.68944099378881984</v>
      </c>
    </row>
    <row r="315" spans="1:6" x14ac:dyDescent="0.2">
      <c r="A315">
        <v>111065</v>
      </c>
      <c r="B315" t="s">
        <v>252</v>
      </c>
      <c r="C315" s="5">
        <v>160</v>
      </c>
      <c r="D315" s="5">
        <v>40</v>
      </c>
      <c r="E315" s="5">
        <v>0</v>
      </c>
      <c r="F315" s="3">
        <v>0.25</v>
      </c>
    </row>
    <row r="316" spans="1:6" x14ac:dyDescent="0.2">
      <c r="A316">
        <v>110521</v>
      </c>
      <c r="B316" t="s">
        <v>237</v>
      </c>
      <c r="D316" s="5">
        <v>52</v>
      </c>
      <c r="E316" s="5">
        <v>0</v>
      </c>
    </row>
    <row r="317" spans="1:6" x14ac:dyDescent="0.2">
      <c r="A317">
        <v>105754</v>
      </c>
      <c r="B317" t="s">
        <v>52</v>
      </c>
      <c r="C317" s="5">
        <v>159</v>
      </c>
      <c r="D317" s="5">
        <v>47</v>
      </c>
      <c r="E317" s="5">
        <v>28</v>
      </c>
      <c r="F317" s="3">
        <v>0.29559748427672949</v>
      </c>
    </row>
    <row r="318" spans="1:6" x14ac:dyDescent="0.2">
      <c r="A318">
        <v>116837</v>
      </c>
      <c r="B318" t="s">
        <v>340</v>
      </c>
      <c r="C318" s="5">
        <v>156</v>
      </c>
      <c r="D318" s="5">
        <v>69</v>
      </c>
      <c r="E318" s="5">
        <v>37</v>
      </c>
      <c r="F318" s="3">
        <v>0.44230769230769229</v>
      </c>
    </row>
    <row r="319" spans="1:6" x14ac:dyDescent="0.2">
      <c r="A319" s="9">
        <v>112123</v>
      </c>
      <c r="B319" s="9" t="s">
        <v>257</v>
      </c>
      <c r="C319" s="10">
        <v>18</v>
      </c>
      <c r="D319" s="10">
        <v>51</v>
      </c>
      <c r="E319" s="10">
        <v>6</v>
      </c>
      <c r="F319" s="11">
        <v>2.833333333333333</v>
      </c>
    </row>
    <row r="320" spans="1:6" x14ac:dyDescent="0.2">
      <c r="A320" s="9">
        <v>491132</v>
      </c>
      <c r="B320" s="9" t="s">
        <v>626</v>
      </c>
      <c r="C320" s="10">
        <v>1</v>
      </c>
      <c r="D320" s="10">
        <v>51</v>
      </c>
      <c r="E320" s="10">
        <v>0</v>
      </c>
      <c r="F320" s="11">
        <v>51</v>
      </c>
    </row>
    <row r="321" spans="1:6" x14ac:dyDescent="0.2">
      <c r="A321">
        <v>106896</v>
      </c>
      <c r="D321" s="5">
        <v>51</v>
      </c>
      <c r="E321" s="5">
        <v>87</v>
      </c>
    </row>
    <row r="322" spans="1:6" x14ac:dyDescent="0.2">
      <c r="A322">
        <v>108623</v>
      </c>
      <c r="D322" s="5">
        <v>51</v>
      </c>
      <c r="E322" s="5">
        <v>71</v>
      </c>
    </row>
    <row r="323" spans="1:6" x14ac:dyDescent="0.2">
      <c r="A323">
        <v>156030</v>
      </c>
      <c r="D323" s="5">
        <v>51</v>
      </c>
      <c r="E323" s="5">
        <v>43</v>
      </c>
    </row>
    <row r="324" spans="1:6" x14ac:dyDescent="0.2">
      <c r="A324">
        <v>114073</v>
      </c>
      <c r="B324" t="s">
        <v>310</v>
      </c>
      <c r="C324" s="5">
        <v>4060</v>
      </c>
      <c r="D324" s="5">
        <v>50</v>
      </c>
      <c r="E324" s="5">
        <v>149</v>
      </c>
      <c r="F324" s="3">
        <v>1.231527093596059E-2</v>
      </c>
    </row>
    <row r="325" spans="1:6" x14ac:dyDescent="0.2">
      <c r="A325">
        <v>223867</v>
      </c>
      <c r="B325" t="s">
        <v>492</v>
      </c>
      <c r="C325" s="5">
        <v>156</v>
      </c>
      <c r="D325" s="5">
        <v>44</v>
      </c>
      <c r="E325" s="5">
        <v>15</v>
      </c>
      <c r="F325" s="3">
        <v>0.28205128205128199</v>
      </c>
    </row>
    <row r="326" spans="1:6" x14ac:dyDescent="0.2">
      <c r="A326" s="9">
        <v>494655</v>
      </c>
      <c r="B326" s="9" t="s">
        <v>630</v>
      </c>
      <c r="C326" s="10">
        <v>17</v>
      </c>
      <c r="D326" s="10">
        <v>50</v>
      </c>
      <c r="E326" s="10">
        <v>23</v>
      </c>
      <c r="F326" s="11">
        <v>2.9411764705882359</v>
      </c>
    </row>
    <row r="327" spans="1:6" x14ac:dyDescent="0.2">
      <c r="A327" s="9">
        <v>112992</v>
      </c>
      <c r="B327" s="9" t="s">
        <v>288</v>
      </c>
      <c r="C327" s="10">
        <v>11</v>
      </c>
      <c r="D327" s="10">
        <v>50</v>
      </c>
      <c r="E327" s="10">
        <v>13</v>
      </c>
      <c r="F327" s="11">
        <v>4.5454545454545459</v>
      </c>
    </row>
    <row r="328" spans="1:6" x14ac:dyDescent="0.2">
      <c r="A328">
        <v>105756</v>
      </c>
      <c r="D328" s="5">
        <v>50</v>
      </c>
      <c r="E328" s="5">
        <v>2</v>
      </c>
    </row>
    <row r="329" spans="1:6" x14ac:dyDescent="0.2">
      <c r="A329">
        <v>109207</v>
      </c>
      <c r="B329" t="s">
        <v>189</v>
      </c>
      <c r="C329" s="5">
        <v>151</v>
      </c>
      <c r="D329" s="5">
        <v>37</v>
      </c>
      <c r="E329" s="5">
        <v>2</v>
      </c>
      <c r="F329" s="3">
        <v>0.24503311258278149</v>
      </c>
    </row>
    <row r="330" spans="1:6" x14ac:dyDescent="0.2">
      <c r="A330">
        <v>110745</v>
      </c>
      <c r="B330" t="s">
        <v>248</v>
      </c>
      <c r="C330" s="5">
        <v>151</v>
      </c>
      <c r="D330" s="5">
        <v>31</v>
      </c>
      <c r="E330" s="5">
        <v>98</v>
      </c>
      <c r="F330" s="3">
        <v>0.20529801324503311</v>
      </c>
    </row>
    <row r="331" spans="1:6" x14ac:dyDescent="0.2">
      <c r="A331">
        <v>109735</v>
      </c>
      <c r="B331" t="s">
        <v>212</v>
      </c>
      <c r="C331" s="5">
        <v>151</v>
      </c>
      <c r="D331" s="5">
        <v>26</v>
      </c>
      <c r="E331" s="5">
        <v>0</v>
      </c>
      <c r="F331" s="3">
        <v>0.17218543046357621</v>
      </c>
    </row>
    <row r="332" spans="1:6" x14ac:dyDescent="0.2">
      <c r="A332" s="9">
        <v>127501</v>
      </c>
      <c r="B332" s="9" t="s">
        <v>365</v>
      </c>
      <c r="C332" s="10">
        <v>27</v>
      </c>
      <c r="D332" s="10">
        <v>48</v>
      </c>
      <c r="E332" s="10">
        <v>17</v>
      </c>
      <c r="F332" s="11">
        <v>1.7777777777777779</v>
      </c>
    </row>
    <row r="333" spans="1:6" x14ac:dyDescent="0.2">
      <c r="A333" t="s">
        <v>8</v>
      </c>
      <c r="B333" t="s">
        <v>670</v>
      </c>
      <c r="C333" s="5">
        <v>900</v>
      </c>
      <c r="D333" s="5">
        <v>47</v>
      </c>
      <c r="E333" s="5">
        <v>0</v>
      </c>
      <c r="F333" s="3">
        <v>5.2222222222222232E-2</v>
      </c>
    </row>
    <row r="334" spans="1:6" x14ac:dyDescent="0.2">
      <c r="A334">
        <v>164165</v>
      </c>
      <c r="B334" t="s">
        <v>446</v>
      </c>
      <c r="C334" s="5">
        <v>150</v>
      </c>
      <c r="D334" s="5">
        <v>22</v>
      </c>
      <c r="E334" s="5">
        <v>7</v>
      </c>
      <c r="F334" s="3">
        <v>0.1466666666666667</v>
      </c>
    </row>
    <row r="335" spans="1:6" x14ac:dyDescent="0.2">
      <c r="A335">
        <v>119065</v>
      </c>
      <c r="B335" t="s">
        <v>348</v>
      </c>
      <c r="C335" s="5">
        <v>150</v>
      </c>
      <c r="D335" s="5">
        <v>16</v>
      </c>
      <c r="E335" s="5">
        <v>1</v>
      </c>
      <c r="F335" s="3">
        <v>0.1066666666666667</v>
      </c>
    </row>
    <row r="336" spans="1:6" x14ac:dyDescent="0.2">
      <c r="A336">
        <v>109686</v>
      </c>
      <c r="B336" t="s">
        <v>207</v>
      </c>
      <c r="C336" s="5">
        <v>148</v>
      </c>
      <c r="D336" s="5">
        <v>26</v>
      </c>
      <c r="E336" s="5">
        <v>9</v>
      </c>
      <c r="F336" s="3">
        <v>0.17567567567567571</v>
      </c>
    </row>
    <row r="337" spans="1:6" x14ac:dyDescent="0.2">
      <c r="A337" s="9">
        <v>110485</v>
      </c>
      <c r="B337" s="9" t="s">
        <v>236</v>
      </c>
      <c r="C337" s="10">
        <v>7</v>
      </c>
      <c r="D337" s="10">
        <v>47</v>
      </c>
      <c r="E337" s="10">
        <v>14</v>
      </c>
      <c r="F337" s="11">
        <v>6.7142857142857144</v>
      </c>
    </row>
    <row r="338" spans="1:6" x14ac:dyDescent="0.2">
      <c r="A338">
        <v>108230</v>
      </c>
      <c r="B338" t="s">
        <v>136</v>
      </c>
      <c r="C338" s="5">
        <v>569</v>
      </c>
      <c r="D338" s="5">
        <v>46</v>
      </c>
      <c r="E338" s="5">
        <v>5</v>
      </c>
      <c r="F338" s="3">
        <v>8.0843585237258347E-2</v>
      </c>
    </row>
    <row r="339" spans="1:6" x14ac:dyDescent="0.2">
      <c r="A339">
        <v>316726</v>
      </c>
      <c r="B339" t="s">
        <v>527</v>
      </c>
      <c r="C339" s="5">
        <v>147</v>
      </c>
      <c r="D339" s="5">
        <v>142</v>
      </c>
      <c r="E339" s="5">
        <v>58</v>
      </c>
      <c r="F339" s="3">
        <v>0.96598639455782309</v>
      </c>
    </row>
    <row r="340" spans="1:6" x14ac:dyDescent="0.2">
      <c r="A340">
        <v>190848</v>
      </c>
      <c r="B340" t="s">
        <v>471</v>
      </c>
      <c r="C340" s="5">
        <v>146</v>
      </c>
      <c r="D340" s="5">
        <v>89</v>
      </c>
      <c r="E340" s="5">
        <v>203</v>
      </c>
      <c r="F340" s="3">
        <v>0.6095890410958904</v>
      </c>
    </row>
    <row r="341" spans="1:6" x14ac:dyDescent="0.2">
      <c r="A341">
        <v>108027</v>
      </c>
      <c r="B341" t="s">
        <v>128</v>
      </c>
      <c r="C341" s="5">
        <v>143</v>
      </c>
      <c r="D341" s="5">
        <v>19</v>
      </c>
      <c r="E341" s="5">
        <v>0</v>
      </c>
      <c r="F341" s="3">
        <v>0.13286713286713289</v>
      </c>
    </row>
    <row r="342" spans="1:6" x14ac:dyDescent="0.2">
      <c r="A342" s="9">
        <v>107980</v>
      </c>
      <c r="B342" s="9" t="s">
        <v>123</v>
      </c>
      <c r="C342" s="10">
        <v>22</v>
      </c>
      <c r="D342" s="10">
        <v>46</v>
      </c>
      <c r="E342" s="10">
        <v>0</v>
      </c>
      <c r="F342" s="11">
        <v>2.0909090909090908</v>
      </c>
    </row>
    <row r="343" spans="1:6" x14ac:dyDescent="0.2">
      <c r="A343">
        <v>477606</v>
      </c>
      <c r="D343" s="5">
        <v>46</v>
      </c>
      <c r="E343" s="5">
        <v>17</v>
      </c>
    </row>
    <row r="344" spans="1:6" x14ac:dyDescent="0.2">
      <c r="A344">
        <v>560664</v>
      </c>
      <c r="B344" t="s">
        <v>663</v>
      </c>
      <c r="D344" s="5">
        <v>46</v>
      </c>
      <c r="E344" s="5">
        <v>8</v>
      </c>
    </row>
    <row r="345" spans="1:6" x14ac:dyDescent="0.2">
      <c r="A345">
        <v>466242</v>
      </c>
      <c r="B345" t="s">
        <v>589</v>
      </c>
      <c r="C345" s="5">
        <v>143</v>
      </c>
      <c r="D345" s="5">
        <v>18</v>
      </c>
      <c r="E345" s="5">
        <v>4</v>
      </c>
      <c r="F345" s="3">
        <v>0.12587412587412589</v>
      </c>
    </row>
    <row r="346" spans="1:6" x14ac:dyDescent="0.2">
      <c r="A346">
        <v>112044</v>
      </c>
      <c r="D346" s="5">
        <v>45</v>
      </c>
      <c r="E346" s="5">
        <v>28</v>
      </c>
    </row>
    <row r="347" spans="1:6" x14ac:dyDescent="0.2">
      <c r="A347">
        <v>127250</v>
      </c>
      <c r="D347" s="5">
        <v>45</v>
      </c>
      <c r="E347" s="5">
        <v>114</v>
      </c>
    </row>
    <row r="348" spans="1:6" x14ac:dyDescent="0.2">
      <c r="A348">
        <v>131884</v>
      </c>
      <c r="B348" t="s">
        <v>376</v>
      </c>
      <c r="C348" s="5">
        <v>141</v>
      </c>
      <c r="D348" s="5">
        <v>99</v>
      </c>
      <c r="E348" s="5">
        <v>18</v>
      </c>
      <c r="F348" s="3">
        <v>0.7021276595744681</v>
      </c>
    </row>
    <row r="349" spans="1:6" x14ac:dyDescent="0.2">
      <c r="A349">
        <v>189114</v>
      </c>
      <c r="B349" t="s">
        <v>467</v>
      </c>
      <c r="C349" s="5">
        <v>138</v>
      </c>
      <c r="D349" s="5">
        <v>28</v>
      </c>
      <c r="E349" s="5">
        <v>46</v>
      </c>
      <c r="F349" s="3">
        <v>0.20289855072463769</v>
      </c>
    </row>
    <row r="350" spans="1:6" x14ac:dyDescent="0.2">
      <c r="A350">
        <v>108848</v>
      </c>
      <c r="B350" t="s">
        <v>167</v>
      </c>
      <c r="C350" s="5">
        <v>137</v>
      </c>
      <c r="D350" s="5">
        <v>32</v>
      </c>
      <c r="E350" s="5">
        <v>67</v>
      </c>
      <c r="F350" s="3">
        <v>0.23357664233576639</v>
      </c>
    </row>
    <row r="351" spans="1:6" x14ac:dyDescent="0.2">
      <c r="A351">
        <v>107831</v>
      </c>
      <c r="B351" t="s">
        <v>118</v>
      </c>
      <c r="C351" s="5">
        <v>724</v>
      </c>
      <c r="D351" s="5">
        <v>43</v>
      </c>
      <c r="E351" s="5">
        <v>5</v>
      </c>
      <c r="F351" s="3">
        <v>5.9392265193370167E-2</v>
      </c>
    </row>
    <row r="352" spans="1:6" x14ac:dyDescent="0.2">
      <c r="A352">
        <v>111152</v>
      </c>
      <c r="B352" t="s">
        <v>255</v>
      </c>
      <c r="C352" s="5">
        <v>130</v>
      </c>
      <c r="D352" s="5">
        <v>15</v>
      </c>
      <c r="E352" s="5">
        <v>98</v>
      </c>
      <c r="F352" s="3">
        <v>0.1153846153846154</v>
      </c>
    </row>
    <row r="353" spans="1:6" x14ac:dyDescent="0.2">
      <c r="A353">
        <v>510427</v>
      </c>
      <c r="B353" t="s">
        <v>635</v>
      </c>
      <c r="C353" s="5">
        <v>129</v>
      </c>
      <c r="D353" s="5">
        <v>14</v>
      </c>
      <c r="E353" s="5">
        <v>1</v>
      </c>
      <c r="F353" s="3">
        <v>0.10852713178294569</v>
      </c>
    </row>
    <row r="354" spans="1:6" x14ac:dyDescent="0.2">
      <c r="A354">
        <v>107319</v>
      </c>
      <c r="B354" t="s">
        <v>104</v>
      </c>
      <c r="C354" s="5">
        <v>126</v>
      </c>
      <c r="D354" s="5">
        <v>112</v>
      </c>
      <c r="E354" s="5">
        <v>8</v>
      </c>
      <c r="F354" s="3">
        <v>0.88888888888888884</v>
      </c>
    </row>
    <row r="355" spans="1:6" x14ac:dyDescent="0.2">
      <c r="A355" s="9">
        <v>106950</v>
      </c>
      <c r="B355" s="9" t="s">
        <v>88</v>
      </c>
      <c r="C355" s="10">
        <v>23</v>
      </c>
      <c r="D355" s="10">
        <v>43</v>
      </c>
      <c r="E355" s="10">
        <v>31</v>
      </c>
      <c r="F355" s="11">
        <v>1.869565217391304</v>
      </c>
    </row>
    <row r="356" spans="1:6" x14ac:dyDescent="0.2">
      <c r="A356">
        <v>106135</v>
      </c>
      <c r="D356" s="5">
        <v>43</v>
      </c>
      <c r="E356" s="5">
        <v>38</v>
      </c>
    </row>
    <row r="357" spans="1:6" x14ac:dyDescent="0.2">
      <c r="A357">
        <v>326941</v>
      </c>
      <c r="D357" s="5">
        <v>43</v>
      </c>
      <c r="E357" s="5">
        <v>46</v>
      </c>
    </row>
    <row r="358" spans="1:6" x14ac:dyDescent="0.2">
      <c r="A358" s="12">
        <v>458279</v>
      </c>
      <c r="B358" s="12" t="s">
        <v>570</v>
      </c>
      <c r="C358" s="13">
        <v>39</v>
      </c>
      <c r="D358" s="13">
        <v>42</v>
      </c>
      <c r="E358" s="13">
        <v>0</v>
      </c>
      <c r="F358" s="14">
        <v>1.0769230769230771</v>
      </c>
    </row>
    <row r="359" spans="1:6" x14ac:dyDescent="0.2">
      <c r="A359" s="12">
        <v>154313</v>
      </c>
      <c r="B359" s="12" t="s">
        <v>426</v>
      </c>
      <c r="C359" s="13">
        <v>33</v>
      </c>
      <c r="D359" s="13">
        <v>42</v>
      </c>
      <c r="E359" s="13">
        <v>18</v>
      </c>
      <c r="F359" s="14">
        <v>1.2727272727272729</v>
      </c>
    </row>
    <row r="360" spans="1:6" x14ac:dyDescent="0.2">
      <c r="A360">
        <v>108601</v>
      </c>
      <c r="B360" t="s">
        <v>158</v>
      </c>
      <c r="C360" s="5">
        <v>126</v>
      </c>
      <c r="D360" s="5">
        <v>52</v>
      </c>
      <c r="E360" s="5">
        <v>42</v>
      </c>
      <c r="F360" s="3">
        <v>0.41269841269841268</v>
      </c>
    </row>
    <row r="361" spans="1:6" x14ac:dyDescent="0.2">
      <c r="A361">
        <v>118166</v>
      </c>
      <c r="B361" t="s">
        <v>345</v>
      </c>
      <c r="C361" s="5">
        <v>125</v>
      </c>
      <c r="D361" s="5">
        <v>68</v>
      </c>
      <c r="E361" s="5">
        <v>6</v>
      </c>
      <c r="F361" s="3">
        <v>0.54400000000000004</v>
      </c>
    </row>
    <row r="362" spans="1:6" x14ac:dyDescent="0.2">
      <c r="A362">
        <v>127414</v>
      </c>
      <c r="B362" t="s">
        <v>364</v>
      </c>
      <c r="C362" s="5">
        <v>124</v>
      </c>
      <c r="D362" s="5">
        <v>61</v>
      </c>
      <c r="E362" s="5">
        <v>15</v>
      </c>
      <c r="F362" s="3">
        <v>0.49193548387096769</v>
      </c>
    </row>
    <row r="363" spans="1:6" x14ac:dyDescent="0.2">
      <c r="A363" s="9">
        <v>109149</v>
      </c>
      <c r="B363" s="9" t="s">
        <v>183</v>
      </c>
      <c r="C363" s="10">
        <v>12</v>
      </c>
      <c r="D363" s="10">
        <v>41</v>
      </c>
      <c r="E363" s="10">
        <v>5</v>
      </c>
      <c r="F363" s="11">
        <v>3.416666666666667</v>
      </c>
    </row>
    <row r="364" spans="1:6" x14ac:dyDescent="0.2">
      <c r="A364">
        <v>132097</v>
      </c>
      <c r="B364" t="s">
        <v>378</v>
      </c>
      <c r="C364" s="5">
        <v>733</v>
      </c>
      <c r="D364" s="5">
        <v>40</v>
      </c>
      <c r="E364" s="5">
        <v>13</v>
      </c>
      <c r="F364" s="3">
        <v>5.4570259208731237E-2</v>
      </c>
    </row>
    <row r="365" spans="1:6" x14ac:dyDescent="0.2">
      <c r="A365">
        <v>112577</v>
      </c>
      <c r="B365" t="s">
        <v>278</v>
      </c>
      <c r="C365" s="5">
        <v>124</v>
      </c>
      <c r="D365" s="5">
        <v>43</v>
      </c>
      <c r="E365" s="5">
        <v>24</v>
      </c>
      <c r="F365" s="3">
        <v>0.34677419354838712</v>
      </c>
    </row>
    <row r="366" spans="1:6" x14ac:dyDescent="0.2">
      <c r="A366">
        <v>108080</v>
      </c>
      <c r="B366" t="s">
        <v>133</v>
      </c>
      <c r="C366" s="5">
        <v>123</v>
      </c>
      <c r="D366" s="5">
        <v>83</v>
      </c>
      <c r="E366" s="5">
        <v>0</v>
      </c>
      <c r="F366" s="3">
        <v>0.67479674796747968</v>
      </c>
    </row>
    <row r="367" spans="1:6" x14ac:dyDescent="0.2">
      <c r="A367">
        <v>110308</v>
      </c>
      <c r="D367" s="5">
        <v>40</v>
      </c>
      <c r="E367" s="5">
        <v>73</v>
      </c>
    </row>
    <row r="368" spans="1:6" x14ac:dyDescent="0.2">
      <c r="A368">
        <v>109610</v>
      </c>
      <c r="B368" t="s">
        <v>204</v>
      </c>
      <c r="C368" s="5">
        <v>593</v>
      </c>
      <c r="D368" s="5">
        <v>39</v>
      </c>
      <c r="E368" s="5">
        <v>0</v>
      </c>
      <c r="F368" s="3">
        <v>6.5767284991568295E-2</v>
      </c>
    </row>
    <row r="369" spans="1:6" x14ac:dyDescent="0.2">
      <c r="A369">
        <v>135368</v>
      </c>
      <c r="B369" t="s">
        <v>387</v>
      </c>
      <c r="C369" s="5">
        <v>123</v>
      </c>
      <c r="D369" s="5">
        <v>76</v>
      </c>
      <c r="E369" s="5">
        <v>31</v>
      </c>
      <c r="F369" s="3">
        <v>0.61788617886178865</v>
      </c>
    </row>
    <row r="370" spans="1:6" x14ac:dyDescent="0.2">
      <c r="A370" s="12">
        <v>157471</v>
      </c>
      <c r="B370" s="12" t="s">
        <v>436</v>
      </c>
      <c r="C370" s="13">
        <v>27</v>
      </c>
      <c r="D370" s="13">
        <v>39</v>
      </c>
      <c r="E370" s="13">
        <v>1</v>
      </c>
      <c r="F370" s="14">
        <v>1.444444444444444</v>
      </c>
    </row>
    <row r="371" spans="1:6" x14ac:dyDescent="0.2">
      <c r="A371" s="9">
        <v>442328</v>
      </c>
      <c r="B371" s="9" t="s">
        <v>558</v>
      </c>
      <c r="C371" s="10">
        <v>19</v>
      </c>
      <c r="D371" s="10">
        <v>39</v>
      </c>
      <c r="E371" s="10">
        <v>3</v>
      </c>
      <c r="F371" s="11">
        <v>2.052631578947369</v>
      </c>
    </row>
    <row r="372" spans="1:6" x14ac:dyDescent="0.2">
      <c r="A372" s="9">
        <v>189472</v>
      </c>
      <c r="B372" s="9" t="s">
        <v>469</v>
      </c>
      <c r="C372" s="10">
        <v>15</v>
      </c>
      <c r="D372" s="10">
        <v>39</v>
      </c>
      <c r="E372" s="10">
        <v>9</v>
      </c>
      <c r="F372" s="11">
        <v>2.6</v>
      </c>
    </row>
    <row r="373" spans="1:6" x14ac:dyDescent="0.2">
      <c r="A373">
        <v>108880</v>
      </c>
      <c r="D373" s="5">
        <v>39</v>
      </c>
      <c r="E373" s="5">
        <v>34</v>
      </c>
    </row>
    <row r="374" spans="1:6" x14ac:dyDescent="0.2">
      <c r="A374">
        <v>105706</v>
      </c>
      <c r="B374" t="s">
        <v>50</v>
      </c>
      <c r="C374" s="5">
        <v>759</v>
      </c>
      <c r="D374" s="5">
        <v>38</v>
      </c>
      <c r="E374" s="5">
        <v>190</v>
      </c>
      <c r="F374" s="3">
        <v>5.0065876152832672E-2</v>
      </c>
    </row>
    <row r="375" spans="1:6" x14ac:dyDescent="0.2">
      <c r="A375">
        <v>106159</v>
      </c>
      <c r="B375" t="s">
        <v>58</v>
      </c>
      <c r="C375" s="5">
        <v>122</v>
      </c>
      <c r="D375" s="5">
        <v>38</v>
      </c>
      <c r="E375" s="5">
        <v>0</v>
      </c>
      <c r="F375" s="3">
        <v>0.31147540983606559</v>
      </c>
    </row>
    <row r="376" spans="1:6" x14ac:dyDescent="0.2">
      <c r="A376">
        <v>107245</v>
      </c>
      <c r="B376" t="s">
        <v>101</v>
      </c>
      <c r="C376" s="5">
        <v>122</v>
      </c>
      <c r="D376" s="5">
        <v>30</v>
      </c>
      <c r="E376" s="5">
        <v>2</v>
      </c>
      <c r="F376" s="3">
        <v>0.24590163934426229</v>
      </c>
    </row>
    <row r="377" spans="1:6" x14ac:dyDescent="0.2">
      <c r="A377">
        <v>552247</v>
      </c>
      <c r="B377" t="s">
        <v>660</v>
      </c>
      <c r="C377" s="5">
        <v>0</v>
      </c>
      <c r="D377" s="5">
        <v>38</v>
      </c>
      <c r="E377" s="5">
        <v>10</v>
      </c>
    </row>
    <row r="378" spans="1:6" x14ac:dyDescent="0.2">
      <c r="A378">
        <v>108043</v>
      </c>
      <c r="B378" t="s">
        <v>129</v>
      </c>
      <c r="D378" s="5">
        <v>38</v>
      </c>
      <c r="E378" s="5">
        <v>0</v>
      </c>
    </row>
    <row r="379" spans="1:6" x14ac:dyDescent="0.2">
      <c r="A379">
        <v>145058</v>
      </c>
      <c r="D379" s="5">
        <v>38</v>
      </c>
      <c r="E379" s="5">
        <v>135</v>
      </c>
    </row>
    <row r="380" spans="1:6" x14ac:dyDescent="0.2">
      <c r="A380">
        <v>106774</v>
      </c>
      <c r="B380" t="s">
        <v>81</v>
      </c>
      <c r="C380" s="5">
        <v>869</v>
      </c>
      <c r="D380" s="5">
        <v>37</v>
      </c>
      <c r="E380" s="5">
        <v>20</v>
      </c>
      <c r="F380" s="3">
        <v>4.2577675489067893E-2</v>
      </c>
    </row>
    <row r="381" spans="1:6" x14ac:dyDescent="0.2">
      <c r="A381">
        <v>105678</v>
      </c>
      <c r="B381" t="s">
        <v>48</v>
      </c>
      <c r="C381" s="5">
        <v>120</v>
      </c>
      <c r="D381" s="5">
        <v>32</v>
      </c>
      <c r="E381" s="5">
        <v>3</v>
      </c>
      <c r="F381" s="3">
        <v>0.26666666666666672</v>
      </c>
    </row>
    <row r="382" spans="1:6" x14ac:dyDescent="0.2">
      <c r="A382">
        <v>109485</v>
      </c>
      <c r="B382" t="s">
        <v>202</v>
      </c>
      <c r="C382" s="5">
        <v>746</v>
      </c>
      <c r="D382" s="5">
        <v>36</v>
      </c>
      <c r="E382" s="5">
        <v>37</v>
      </c>
      <c r="F382" s="3">
        <v>4.8257372654155493E-2</v>
      </c>
    </row>
    <row r="383" spans="1:6" x14ac:dyDescent="0.2">
      <c r="A383" t="s">
        <v>7</v>
      </c>
      <c r="B383" t="s">
        <v>669</v>
      </c>
      <c r="C383" s="5">
        <v>5034</v>
      </c>
      <c r="D383" s="5">
        <v>36</v>
      </c>
      <c r="E383" s="5">
        <v>1</v>
      </c>
      <c r="F383" s="3">
        <v>7.1513706793802142E-3</v>
      </c>
    </row>
    <row r="384" spans="1:6" x14ac:dyDescent="0.2">
      <c r="A384">
        <v>108403</v>
      </c>
      <c r="D384" s="5">
        <v>36</v>
      </c>
      <c r="E384" s="5">
        <v>140</v>
      </c>
    </row>
    <row r="385" spans="1:6" x14ac:dyDescent="0.2">
      <c r="A385">
        <v>116147</v>
      </c>
      <c r="D385" s="5">
        <v>36</v>
      </c>
      <c r="E385" s="5">
        <v>43</v>
      </c>
    </row>
    <row r="386" spans="1:6" x14ac:dyDescent="0.2">
      <c r="A386" t="s">
        <v>16</v>
      </c>
      <c r="B386" t="s">
        <v>678</v>
      </c>
      <c r="D386" s="5">
        <v>36</v>
      </c>
      <c r="E386" s="5">
        <v>7</v>
      </c>
    </row>
    <row r="387" spans="1:6" x14ac:dyDescent="0.2">
      <c r="A387">
        <v>303663</v>
      </c>
      <c r="B387" t="s">
        <v>502</v>
      </c>
      <c r="C387" s="5">
        <v>120</v>
      </c>
      <c r="D387" s="5">
        <v>29</v>
      </c>
      <c r="E387" s="5">
        <v>6</v>
      </c>
      <c r="F387" s="3">
        <v>0.2416666666666667</v>
      </c>
    </row>
    <row r="388" spans="1:6" x14ac:dyDescent="0.2">
      <c r="A388">
        <v>109521</v>
      </c>
      <c r="B388" t="s">
        <v>203</v>
      </c>
      <c r="C388" s="5">
        <v>119</v>
      </c>
      <c r="D388" s="5">
        <v>52</v>
      </c>
      <c r="E388" s="5">
        <v>0</v>
      </c>
      <c r="F388" s="3">
        <v>0.43697478991596639</v>
      </c>
    </row>
    <row r="389" spans="1:6" x14ac:dyDescent="0.2">
      <c r="A389" s="12">
        <v>512912</v>
      </c>
      <c r="B389" s="12" t="s">
        <v>640</v>
      </c>
      <c r="C389" s="13">
        <v>32</v>
      </c>
      <c r="D389" s="13">
        <v>35</v>
      </c>
      <c r="E389" s="13">
        <v>9</v>
      </c>
      <c r="F389" s="14">
        <v>1.09375</v>
      </c>
    </row>
    <row r="390" spans="1:6" x14ac:dyDescent="0.2">
      <c r="A390">
        <v>112450</v>
      </c>
      <c r="B390" t="s">
        <v>270</v>
      </c>
      <c r="C390" s="5">
        <v>119</v>
      </c>
      <c r="D390" s="5">
        <v>18</v>
      </c>
      <c r="E390" s="5">
        <v>0</v>
      </c>
      <c r="F390" s="3">
        <v>0.15126050420168069</v>
      </c>
    </row>
    <row r="391" spans="1:6" x14ac:dyDescent="0.2">
      <c r="A391">
        <v>107083</v>
      </c>
      <c r="B391" t="s">
        <v>92</v>
      </c>
      <c r="C391" s="5">
        <v>118</v>
      </c>
      <c r="D391" s="5">
        <v>18</v>
      </c>
      <c r="E391" s="5">
        <v>22</v>
      </c>
      <c r="F391" s="3">
        <v>0.15254237288135589</v>
      </c>
    </row>
    <row r="392" spans="1:6" x14ac:dyDescent="0.2">
      <c r="A392" s="12">
        <v>484505</v>
      </c>
      <c r="B392" s="12" t="s">
        <v>619</v>
      </c>
      <c r="C392" s="13">
        <v>27</v>
      </c>
      <c r="D392" s="13">
        <v>34</v>
      </c>
      <c r="E392" s="13">
        <v>30</v>
      </c>
      <c r="F392" s="14">
        <v>1.2592592592592591</v>
      </c>
    </row>
    <row r="393" spans="1:6" x14ac:dyDescent="0.2">
      <c r="A393" s="9">
        <v>114046</v>
      </c>
      <c r="B393" s="9" t="s">
        <v>309</v>
      </c>
      <c r="C393" s="10">
        <v>12</v>
      </c>
      <c r="D393" s="10">
        <v>34</v>
      </c>
      <c r="E393" s="10">
        <v>0</v>
      </c>
      <c r="F393" s="11">
        <v>2.833333333333333</v>
      </c>
    </row>
    <row r="394" spans="1:6" x14ac:dyDescent="0.2">
      <c r="A394">
        <v>108436</v>
      </c>
      <c r="D394" s="5">
        <v>34</v>
      </c>
      <c r="E394" s="5">
        <v>0</v>
      </c>
    </row>
    <row r="395" spans="1:6" x14ac:dyDescent="0.2">
      <c r="A395">
        <v>110958</v>
      </c>
      <c r="D395" s="5">
        <v>34</v>
      </c>
      <c r="E395" s="5">
        <v>98</v>
      </c>
    </row>
    <row r="396" spans="1:6" x14ac:dyDescent="0.2">
      <c r="A396">
        <v>106311</v>
      </c>
      <c r="B396" t="s">
        <v>63</v>
      </c>
      <c r="C396" s="5">
        <v>117</v>
      </c>
      <c r="D396" s="5">
        <v>30</v>
      </c>
      <c r="E396" s="5">
        <v>1</v>
      </c>
      <c r="F396" s="3">
        <v>0.25641025641025639</v>
      </c>
    </row>
    <row r="397" spans="1:6" x14ac:dyDescent="0.2">
      <c r="A397">
        <v>109013</v>
      </c>
      <c r="B397" t="s">
        <v>177</v>
      </c>
      <c r="C397" s="5">
        <v>117</v>
      </c>
      <c r="D397" s="5">
        <v>21</v>
      </c>
      <c r="E397" s="5">
        <v>11</v>
      </c>
      <c r="F397" s="3">
        <v>0.17948717948717949</v>
      </c>
    </row>
    <row r="398" spans="1:6" x14ac:dyDescent="0.2">
      <c r="A398">
        <v>106735</v>
      </c>
      <c r="B398" t="s">
        <v>79</v>
      </c>
      <c r="C398" s="5">
        <v>115</v>
      </c>
      <c r="D398" s="5">
        <v>99</v>
      </c>
      <c r="E398" s="5">
        <v>0</v>
      </c>
      <c r="F398" s="3">
        <v>0.86086956521739133</v>
      </c>
    </row>
    <row r="399" spans="1:6" x14ac:dyDescent="0.2">
      <c r="A399">
        <v>110526</v>
      </c>
      <c r="D399" s="5">
        <v>33</v>
      </c>
      <c r="E399" s="5">
        <v>111</v>
      </c>
    </row>
    <row r="400" spans="1:6" x14ac:dyDescent="0.2">
      <c r="A400">
        <v>105721</v>
      </c>
      <c r="B400" t="s">
        <v>51</v>
      </c>
      <c r="C400" s="5">
        <v>115</v>
      </c>
      <c r="D400" s="5">
        <v>13</v>
      </c>
      <c r="E400" s="5">
        <v>11</v>
      </c>
      <c r="F400" s="3">
        <v>0.11304347826086961</v>
      </c>
    </row>
    <row r="401" spans="1:6" x14ac:dyDescent="0.2">
      <c r="A401">
        <v>167965</v>
      </c>
      <c r="B401" t="s">
        <v>453</v>
      </c>
      <c r="C401" s="5">
        <v>113</v>
      </c>
      <c r="D401" s="5">
        <v>100</v>
      </c>
      <c r="E401" s="5">
        <v>15</v>
      </c>
      <c r="F401" s="3">
        <v>0.88495575221238942</v>
      </c>
    </row>
    <row r="402" spans="1:6" x14ac:dyDescent="0.2">
      <c r="A402">
        <v>103302</v>
      </c>
      <c r="B402" t="s">
        <v>40</v>
      </c>
      <c r="C402" s="5">
        <v>9832</v>
      </c>
      <c r="D402" s="5">
        <v>31</v>
      </c>
      <c r="E402" s="5">
        <v>0</v>
      </c>
      <c r="F402" s="3">
        <v>3.1529698942229459E-3</v>
      </c>
    </row>
    <row r="403" spans="1:6" x14ac:dyDescent="0.2">
      <c r="A403">
        <v>113358</v>
      </c>
      <c r="B403" t="s">
        <v>294</v>
      </c>
      <c r="C403" s="5">
        <v>112</v>
      </c>
      <c r="D403" s="5">
        <v>50</v>
      </c>
      <c r="E403" s="5">
        <v>54</v>
      </c>
      <c r="F403" s="3">
        <v>0.44642857142857151</v>
      </c>
    </row>
    <row r="404" spans="1:6" x14ac:dyDescent="0.2">
      <c r="A404">
        <v>157071</v>
      </c>
      <c r="B404" t="s">
        <v>433</v>
      </c>
      <c r="C404" s="5">
        <v>112</v>
      </c>
      <c r="D404" s="5">
        <v>47</v>
      </c>
      <c r="E404" s="5">
        <v>14</v>
      </c>
      <c r="F404" s="3">
        <v>0.41964285714285721</v>
      </c>
    </row>
    <row r="405" spans="1:6" x14ac:dyDescent="0.2">
      <c r="A405">
        <v>324163</v>
      </c>
      <c r="B405" t="s">
        <v>540</v>
      </c>
      <c r="C405" s="5">
        <v>110</v>
      </c>
      <c r="D405" s="5">
        <v>30</v>
      </c>
      <c r="E405" s="5">
        <v>2</v>
      </c>
      <c r="F405" s="3">
        <v>0.27272727272727271</v>
      </c>
    </row>
    <row r="406" spans="1:6" x14ac:dyDescent="0.2">
      <c r="A406">
        <v>167300</v>
      </c>
      <c r="D406" s="5">
        <v>31</v>
      </c>
      <c r="E406" s="5">
        <v>0</v>
      </c>
    </row>
    <row r="407" spans="1:6" x14ac:dyDescent="0.2">
      <c r="A407">
        <v>132229</v>
      </c>
      <c r="B407" t="s">
        <v>379</v>
      </c>
      <c r="C407" s="5">
        <v>978</v>
      </c>
      <c r="D407" s="5">
        <v>30</v>
      </c>
      <c r="E407" s="5">
        <v>0</v>
      </c>
      <c r="F407" s="3">
        <v>3.0674846625766871E-2</v>
      </c>
    </row>
    <row r="408" spans="1:6" x14ac:dyDescent="0.2">
      <c r="A408" t="s">
        <v>15</v>
      </c>
      <c r="B408" t="s">
        <v>677</v>
      </c>
      <c r="C408" s="5">
        <v>1921</v>
      </c>
      <c r="D408" s="5">
        <v>30</v>
      </c>
      <c r="E408" s="5">
        <v>18</v>
      </c>
      <c r="F408" s="3">
        <v>1.561686621551275E-2</v>
      </c>
    </row>
    <row r="409" spans="1:6" x14ac:dyDescent="0.2">
      <c r="A409">
        <v>107655</v>
      </c>
      <c r="B409" t="s">
        <v>113</v>
      </c>
      <c r="C409" s="5">
        <v>110</v>
      </c>
      <c r="D409" s="5">
        <v>14</v>
      </c>
      <c r="E409" s="5">
        <v>1</v>
      </c>
      <c r="F409" s="3">
        <v>0.12727272727272729</v>
      </c>
    </row>
    <row r="410" spans="1:6" x14ac:dyDescent="0.2">
      <c r="A410">
        <v>110531</v>
      </c>
      <c r="B410" t="s">
        <v>238</v>
      </c>
      <c r="C410" s="5">
        <v>110</v>
      </c>
      <c r="D410" s="5">
        <v>10</v>
      </c>
      <c r="E410" s="5">
        <v>12</v>
      </c>
      <c r="F410" s="3">
        <v>9.0909090909090912E-2</v>
      </c>
    </row>
    <row r="411" spans="1:6" x14ac:dyDescent="0.2">
      <c r="A411" t="s">
        <v>10</v>
      </c>
      <c r="B411" t="s">
        <v>672</v>
      </c>
      <c r="C411" s="5">
        <v>109</v>
      </c>
      <c r="D411" s="5">
        <v>41</v>
      </c>
      <c r="E411" s="5">
        <v>15</v>
      </c>
      <c r="F411" s="3">
        <v>0.37614678899082571</v>
      </c>
    </row>
    <row r="412" spans="1:6" x14ac:dyDescent="0.2">
      <c r="A412">
        <v>107126</v>
      </c>
      <c r="B412" t="s">
        <v>95</v>
      </c>
      <c r="C412" s="5">
        <v>108</v>
      </c>
      <c r="D412" s="5">
        <v>62</v>
      </c>
      <c r="E412" s="5">
        <v>14</v>
      </c>
      <c r="F412" s="3">
        <v>0.57407407407407407</v>
      </c>
    </row>
    <row r="413" spans="1:6" x14ac:dyDescent="0.2">
      <c r="A413">
        <v>110479</v>
      </c>
      <c r="B413" t="s">
        <v>235</v>
      </c>
      <c r="C413" s="5">
        <v>108</v>
      </c>
      <c r="D413" s="5">
        <v>18</v>
      </c>
      <c r="E413" s="5">
        <v>30</v>
      </c>
      <c r="F413" s="3">
        <v>0.16666666666666671</v>
      </c>
    </row>
    <row r="414" spans="1:6" x14ac:dyDescent="0.2">
      <c r="A414">
        <v>115661</v>
      </c>
      <c r="B414" t="s">
        <v>326</v>
      </c>
      <c r="C414" s="5">
        <v>106</v>
      </c>
      <c r="D414" s="5">
        <v>41</v>
      </c>
      <c r="E414" s="5">
        <v>10</v>
      </c>
      <c r="F414" s="3">
        <v>0.3867924528301887</v>
      </c>
    </row>
    <row r="415" spans="1:6" x14ac:dyDescent="0.2">
      <c r="A415">
        <v>145124</v>
      </c>
      <c r="B415" t="s">
        <v>404</v>
      </c>
      <c r="C415" s="5">
        <v>105</v>
      </c>
      <c r="D415" s="5">
        <v>18</v>
      </c>
      <c r="E415" s="5">
        <v>0</v>
      </c>
      <c r="F415" s="3">
        <v>0.1714285714285714</v>
      </c>
    </row>
    <row r="416" spans="1:6" x14ac:dyDescent="0.2">
      <c r="A416" s="9">
        <v>304016</v>
      </c>
      <c r="B416" s="9" t="s">
        <v>504</v>
      </c>
      <c r="C416" s="10">
        <v>9</v>
      </c>
      <c r="D416" s="10">
        <v>30</v>
      </c>
      <c r="E416" s="10">
        <v>12</v>
      </c>
      <c r="F416" s="11">
        <v>3.333333333333333</v>
      </c>
    </row>
    <row r="417" spans="1:6" x14ac:dyDescent="0.2">
      <c r="A417" s="9">
        <v>465304</v>
      </c>
      <c r="B417" s="9" t="s">
        <v>580</v>
      </c>
      <c r="C417" s="10">
        <v>5</v>
      </c>
      <c r="D417" s="10">
        <v>30</v>
      </c>
      <c r="E417" s="10">
        <v>14</v>
      </c>
      <c r="F417" s="11">
        <v>6</v>
      </c>
    </row>
    <row r="418" spans="1:6" x14ac:dyDescent="0.2">
      <c r="A418">
        <v>109765</v>
      </c>
      <c r="D418" s="5">
        <v>30</v>
      </c>
      <c r="E418" s="5">
        <v>28</v>
      </c>
    </row>
    <row r="419" spans="1:6" x14ac:dyDescent="0.2">
      <c r="A419">
        <v>110628</v>
      </c>
      <c r="D419" s="5">
        <v>30</v>
      </c>
      <c r="E419" s="5">
        <v>22</v>
      </c>
    </row>
    <row r="420" spans="1:6" x14ac:dyDescent="0.2">
      <c r="A420">
        <v>108481</v>
      </c>
      <c r="B420" t="s">
        <v>150</v>
      </c>
      <c r="C420" s="5">
        <v>2990</v>
      </c>
      <c r="D420" s="5">
        <v>29</v>
      </c>
      <c r="E420" s="5">
        <v>8</v>
      </c>
      <c r="F420" s="3">
        <v>9.6989966555183944E-3</v>
      </c>
    </row>
    <row r="421" spans="1:6" x14ac:dyDescent="0.2">
      <c r="A421">
        <v>216820</v>
      </c>
      <c r="B421" t="s">
        <v>489</v>
      </c>
      <c r="C421" s="5">
        <v>103</v>
      </c>
      <c r="D421" s="5">
        <v>33</v>
      </c>
      <c r="E421" s="5">
        <v>10</v>
      </c>
      <c r="F421" s="3">
        <v>0.32038834951456308</v>
      </c>
    </row>
    <row r="422" spans="1:6" x14ac:dyDescent="0.2">
      <c r="A422">
        <v>185617</v>
      </c>
      <c r="B422" t="s">
        <v>462</v>
      </c>
      <c r="C422" s="5">
        <v>103</v>
      </c>
      <c r="D422" s="5">
        <v>13</v>
      </c>
      <c r="E422" s="5">
        <v>8</v>
      </c>
      <c r="F422" s="3">
        <v>0.12621359223300971</v>
      </c>
    </row>
    <row r="423" spans="1:6" x14ac:dyDescent="0.2">
      <c r="A423">
        <v>463089</v>
      </c>
      <c r="B423" t="s">
        <v>579</v>
      </c>
      <c r="C423" s="5">
        <v>100</v>
      </c>
      <c r="D423" s="5">
        <v>31</v>
      </c>
      <c r="E423" s="5">
        <v>7</v>
      </c>
      <c r="F423" s="3">
        <v>0.31</v>
      </c>
    </row>
    <row r="424" spans="1:6" x14ac:dyDescent="0.2">
      <c r="A424" s="9">
        <v>300565</v>
      </c>
      <c r="B424" s="9" t="s">
        <v>496</v>
      </c>
      <c r="C424" s="10">
        <v>11</v>
      </c>
      <c r="D424" s="10">
        <v>29</v>
      </c>
      <c r="E424" s="10">
        <v>9</v>
      </c>
      <c r="F424" s="11">
        <v>2.6363636363636358</v>
      </c>
    </row>
    <row r="425" spans="1:6" x14ac:dyDescent="0.2">
      <c r="A425">
        <v>568450</v>
      </c>
      <c r="B425" t="s">
        <v>665</v>
      </c>
      <c r="D425" s="5">
        <v>29</v>
      </c>
      <c r="E425" s="5">
        <v>9</v>
      </c>
    </row>
    <row r="426" spans="1:6" x14ac:dyDescent="0.2">
      <c r="A426">
        <v>151282</v>
      </c>
      <c r="B426" t="s">
        <v>421</v>
      </c>
      <c r="C426" s="5">
        <v>94</v>
      </c>
      <c r="D426" s="5">
        <v>86</v>
      </c>
      <c r="E426" s="5">
        <v>114</v>
      </c>
      <c r="F426" s="3">
        <v>0.91489361702127658</v>
      </c>
    </row>
    <row r="427" spans="1:6" x14ac:dyDescent="0.2">
      <c r="A427">
        <v>112489</v>
      </c>
      <c r="B427" t="s">
        <v>274</v>
      </c>
      <c r="C427" s="5">
        <v>94</v>
      </c>
      <c r="D427" s="5">
        <v>24</v>
      </c>
      <c r="E427" s="5">
        <v>16</v>
      </c>
      <c r="F427" s="3">
        <v>0.25531914893617019</v>
      </c>
    </row>
    <row r="428" spans="1:6" x14ac:dyDescent="0.2">
      <c r="A428">
        <v>108570</v>
      </c>
      <c r="B428" t="s">
        <v>157</v>
      </c>
      <c r="C428" s="5">
        <v>93</v>
      </c>
      <c r="D428" s="5">
        <v>54</v>
      </c>
      <c r="E428" s="5">
        <v>13</v>
      </c>
      <c r="F428" s="3">
        <v>0.58064516129032262</v>
      </c>
    </row>
    <row r="429" spans="1:6" x14ac:dyDescent="0.2">
      <c r="A429">
        <v>106616</v>
      </c>
      <c r="B429" t="s">
        <v>73</v>
      </c>
      <c r="C429" s="5">
        <v>92</v>
      </c>
      <c r="D429" s="5">
        <v>72</v>
      </c>
      <c r="E429" s="5">
        <v>29</v>
      </c>
      <c r="F429" s="3">
        <v>0.78260869565217395</v>
      </c>
    </row>
    <row r="430" spans="1:6" x14ac:dyDescent="0.2">
      <c r="A430">
        <v>114700</v>
      </c>
      <c r="B430" t="s">
        <v>315</v>
      </c>
      <c r="C430" s="5">
        <v>91</v>
      </c>
      <c r="D430" s="5">
        <v>86</v>
      </c>
      <c r="E430" s="5">
        <v>0</v>
      </c>
      <c r="F430" s="3">
        <v>0.94505494505494503</v>
      </c>
    </row>
    <row r="431" spans="1:6" x14ac:dyDescent="0.2">
      <c r="A431" s="12">
        <v>210852</v>
      </c>
      <c r="B431" s="12" t="s">
        <v>485</v>
      </c>
      <c r="C431" s="13">
        <v>24</v>
      </c>
      <c r="D431" s="13">
        <v>28</v>
      </c>
      <c r="E431" s="13">
        <v>0</v>
      </c>
      <c r="F431" s="14">
        <v>1.166666666666667</v>
      </c>
    </row>
    <row r="432" spans="1:6" x14ac:dyDescent="0.2">
      <c r="A432" s="12">
        <v>156114</v>
      </c>
      <c r="B432" s="12" t="s">
        <v>429</v>
      </c>
      <c r="C432" s="13">
        <v>19</v>
      </c>
      <c r="D432" s="13">
        <v>28</v>
      </c>
      <c r="E432" s="13">
        <v>9</v>
      </c>
      <c r="F432" s="14">
        <v>1.4736842105263159</v>
      </c>
    </row>
    <row r="433" spans="1:6" x14ac:dyDescent="0.2">
      <c r="A433" s="9">
        <v>485670</v>
      </c>
      <c r="B433" s="9" t="s">
        <v>621</v>
      </c>
      <c r="C433" s="10">
        <v>14</v>
      </c>
      <c r="D433" s="10">
        <v>28</v>
      </c>
      <c r="E433" s="10">
        <v>0</v>
      </c>
      <c r="F433" s="11">
        <v>2</v>
      </c>
    </row>
    <row r="434" spans="1:6" x14ac:dyDescent="0.2">
      <c r="A434">
        <v>156843</v>
      </c>
      <c r="D434" s="5">
        <v>28</v>
      </c>
      <c r="E434" s="5">
        <v>31</v>
      </c>
    </row>
    <row r="435" spans="1:6" x14ac:dyDescent="0.2">
      <c r="A435">
        <v>300074</v>
      </c>
      <c r="B435" t="s">
        <v>495</v>
      </c>
      <c r="C435" s="5">
        <v>360</v>
      </c>
      <c r="D435" s="5">
        <v>27</v>
      </c>
      <c r="E435" s="5">
        <v>9</v>
      </c>
      <c r="F435" s="3">
        <v>7.4999999999999997E-2</v>
      </c>
    </row>
    <row r="436" spans="1:6" x14ac:dyDescent="0.2">
      <c r="A436" t="s">
        <v>14</v>
      </c>
      <c r="B436" t="s">
        <v>676</v>
      </c>
      <c r="C436" s="5">
        <v>90</v>
      </c>
      <c r="D436" s="5">
        <v>73</v>
      </c>
      <c r="E436" s="5">
        <v>10</v>
      </c>
      <c r="F436" s="3">
        <v>0.81111111111111112</v>
      </c>
    </row>
    <row r="437" spans="1:6" x14ac:dyDescent="0.2">
      <c r="A437">
        <v>336327</v>
      </c>
      <c r="B437" t="s">
        <v>551</v>
      </c>
      <c r="C437" s="5">
        <v>89</v>
      </c>
      <c r="D437" s="5">
        <v>31</v>
      </c>
      <c r="E437" s="5">
        <v>6</v>
      </c>
      <c r="F437" s="3">
        <v>0.34831460674157311</v>
      </c>
    </row>
    <row r="438" spans="1:6" x14ac:dyDescent="0.2">
      <c r="A438">
        <v>106911</v>
      </c>
      <c r="B438" t="s">
        <v>85</v>
      </c>
      <c r="C438" s="5">
        <v>87</v>
      </c>
      <c r="D438" s="5">
        <v>11</v>
      </c>
      <c r="E438" s="5">
        <v>0</v>
      </c>
      <c r="F438" s="3">
        <v>0.12643678160919539</v>
      </c>
    </row>
    <row r="439" spans="1:6" x14ac:dyDescent="0.2">
      <c r="A439">
        <v>106976</v>
      </c>
      <c r="D439" s="5">
        <v>27</v>
      </c>
      <c r="E439" s="5">
        <v>115</v>
      </c>
    </row>
    <row r="440" spans="1:6" x14ac:dyDescent="0.2">
      <c r="A440">
        <v>110360</v>
      </c>
      <c r="B440" t="s">
        <v>231</v>
      </c>
      <c r="C440" s="5">
        <v>86</v>
      </c>
      <c r="D440" s="5">
        <v>26</v>
      </c>
      <c r="E440" s="5">
        <v>63</v>
      </c>
      <c r="F440" s="3">
        <v>0.30232558139534882</v>
      </c>
    </row>
    <row r="441" spans="1:6" x14ac:dyDescent="0.2">
      <c r="A441">
        <v>110087</v>
      </c>
      <c r="B441" t="s">
        <v>223</v>
      </c>
      <c r="C441" s="5">
        <v>85</v>
      </c>
      <c r="D441" s="5">
        <v>13</v>
      </c>
      <c r="E441" s="5">
        <v>0</v>
      </c>
      <c r="F441" s="3">
        <v>0.15294117647058819</v>
      </c>
    </row>
    <row r="442" spans="1:6" x14ac:dyDescent="0.2">
      <c r="A442">
        <v>124720</v>
      </c>
      <c r="B442" t="s">
        <v>358</v>
      </c>
      <c r="C442" s="5">
        <v>84</v>
      </c>
      <c r="D442" s="5">
        <v>33</v>
      </c>
      <c r="E442" s="5">
        <v>1</v>
      </c>
      <c r="F442" s="3">
        <v>0.39285714285714279</v>
      </c>
    </row>
    <row r="443" spans="1:6" x14ac:dyDescent="0.2">
      <c r="A443">
        <v>173528</v>
      </c>
      <c r="B443" t="s">
        <v>456</v>
      </c>
      <c r="C443" s="5">
        <v>84</v>
      </c>
      <c r="D443" s="5">
        <v>28</v>
      </c>
      <c r="E443" s="5">
        <v>19</v>
      </c>
      <c r="F443" s="3">
        <v>0.33333333333333331</v>
      </c>
    </row>
    <row r="444" spans="1:6" x14ac:dyDescent="0.2">
      <c r="A444" s="9">
        <v>493927</v>
      </c>
      <c r="B444" s="9" t="s">
        <v>629</v>
      </c>
      <c r="C444" s="10">
        <v>15</v>
      </c>
      <c r="D444" s="10">
        <v>26</v>
      </c>
      <c r="E444" s="10">
        <v>1</v>
      </c>
      <c r="F444" s="11">
        <v>1.7333333333333329</v>
      </c>
    </row>
    <row r="445" spans="1:6" x14ac:dyDescent="0.2">
      <c r="A445" s="9">
        <v>311450</v>
      </c>
      <c r="B445" s="9" t="s">
        <v>517</v>
      </c>
      <c r="C445" s="10">
        <v>11</v>
      </c>
      <c r="D445" s="10">
        <v>26</v>
      </c>
      <c r="E445" s="10">
        <v>4</v>
      </c>
      <c r="F445" s="11">
        <v>2.3636363636363642</v>
      </c>
    </row>
    <row r="446" spans="1:6" x14ac:dyDescent="0.2">
      <c r="A446" s="9">
        <v>109762</v>
      </c>
      <c r="B446" s="9" t="s">
        <v>215</v>
      </c>
      <c r="C446" s="10">
        <v>9</v>
      </c>
      <c r="D446" s="10">
        <v>26</v>
      </c>
      <c r="E446" s="10">
        <v>0</v>
      </c>
      <c r="F446" s="11">
        <v>2.8888888888888888</v>
      </c>
    </row>
    <row r="447" spans="1:6" x14ac:dyDescent="0.2">
      <c r="A447">
        <v>128219</v>
      </c>
      <c r="B447" t="s">
        <v>367</v>
      </c>
      <c r="D447" s="5">
        <v>26</v>
      </c>
      <c r="E447" s="5">
        <v>0</v>
      </c>
    </row>
    <row r="448" spans="1:6" x14ac:dyDescent="0.2">
      <c r="A448">
        <v>316023</v>
      </c>
      <c r="D448" s="5">
        <v>26</v>
      </c>
      <c r="E448" s="5">
        <v>12</v>
      </c>
    </row>
    <row r="449" spans="1:6" x14ac:dyDescent="0.2">
      <c r="A449">
        <v>107887</v>
      </c>
      <c r="B449" t="s">
        <v>120</v>
      </c>
      <c r="C449" s="5">
        <v>2180</v>
      </c>
      <c r="D449" s="5">
        <v>25</v>
      </c>
      <c r="E449" s="5">
        <v>38</v>
      </c>
      <c r="F449" s="3">
        <v>1.146788990825688E-2</v>
      </c>
    </row>
    <row r="450" spans="1:6" x14ac:dyDescent="0.2">
      <c r="A450">
        <v>106743</v>
      </c>
      <c r="B450" t="s">
        <v>80</v>
      </c>
      <c r="C450" s="5">
        <v>81</v>
      </c>
      <c r="D450" s="5">
        <v>61</v>
      </c>
      <c r="E450" s="5">
        <v>1</v>
      </c>
      <c r="F450" s="3">
        <v>0.75308641975308643</v>
      </c>
    </row>
    <row r="451" spans="1:6" x14ac:dyDescent="0.2">
      <c r="A451" s="9">
        <v>327053</v>
      </c>
      <c r="B451" s="9" t="s">
        <v>546</v>
      </c>
      <c r="C451" s="10">
        <v>8</v>
      </c>
      <c r="D451" s="10">
        <v>25</v>
      </c>
      <c r="E451" s="10">
        <v>0</v>
      </c>
      <c r="F451" s="11">
        <v>3.125</v>
      </c>
    </row>
    <row r="452" spans="1:6" x14ac:dyDescent="0.2">
      <c r="A452">
        <v>129364</v>
      </c>
      <c r="D452" s="5">
        <v>25</v>
      </c>
      <c r="E452" s="5">
        <v>1</v>
      </c>
    </row>
    <row r="453" spans="1:6" x14ac:dyDescent="0.2">
      <c r="A453">
        <v>106169</v>
      </c>
      <c r="B453" t="s">
        <v>59</v>
      </c>
      <c r="C453" s="5">
        <v>1506</v>
      </c>
      <c r="D453" s="5">
        <v>24</v>
      </c>
      <c r="E453" s="5">
        <v>0</v>
      </c>
      <c r="F453" s="3">
        <v>1.5936254980079681E-2</v>
      </c>
    </row>
    <row r="454" spans="1:6" x14ac:dyDescent="0.2">
      <c r="A454">
        <v>308856</v>
      </c>
      <c r="B454" t="s">
        <v>513</v>
      </c>
      <c r="C454" s="5">
        <v>488</v>
      </c>
      <c r="D454" s="5">
        <v>24</v>
      </c>
      <c r="E454" s="5">
        <v>1</v>
      </c>
      <c r="F454" s="3">
        <v>4.9180327868852458E-2</v>
      </c>
    </row>
    <row r="455" spans="1:6" x14ac:dyDescent="0.2">
      <c r="A455">
        <v>306038</v>
      </c>
      <c r="B455" t="s">
        <v>509</v>
      </c>
      <c r="C455" s="5">
        <v>81</v>
      </c>
      <c r="D455" s="5">
        <v>26</v>
      </c>
      <c r="E455" s="5">
        <v>0</v>
      </c>
      <c r="F455" s="3">
        <v>0.32098765432098758</v>
      </c>
    </row>
    <row r="456" spans="1:6" x14ac:dyDescent="0.2">
      <c r="A456">
        <v>108869</v>
      </c>
      <c r="B456" t="s">
        <v>170</v>
      </c>
      <c r="C456" s="5">
        <v>80</v>
      </c>
      <c r="D456" s="5">
        <v>56</v>
      </c>
      <c r="E456" s="5">
        <v>0</v>
      </c>
      <c r="F456" s="3">
        <v>0.7</v>
      </c>
    </row>
    <row r="457" spans="1:6" x14ac:dyDescent="0.2">
      <c r="A457">
        <v>107137</v>
      </c>
      <c r="B457" t="s">
        <v>96</v>
      </c>
      <c r="C457" s="5">
        <v>80</v>
      </c>
      <c r="D457" s="5">
        <v>34</v>
      </c>
      <c r="E457" s="5">
        <v>0</v>
      </c>
      <c r="F457" s="3">
        <v>0.42499999999999999</v>
      </c>
    </row>
    <row r="458" spans="1:6" x14ac:dyDescent="0.2">
      <c r="A458">
        <v>315703</v>
      </c>
      <c r="B458" t="s">
        <v>524</v>
      </c>
      <c r="C458" s="5">
        <v>75</v>
      </c>
      <c r="D458" s="5">
        <v>65</v>
      </c>
      <c r="E458" s="5">
        <v>15</v>
      </c>
      <c r="F458" s="3">
        <v>0.8666666666666667</v>
      </c>
    </row>
    <row r="459" spans="1:6" x14ac:dyDescent="0.2">
      <c r="A459">
        <v>109637</v>
      </c>
      <c r="B459" t="s">
        <v>205</v>
      </c>
      <c r="C459" s="5">
        <v>75</v>
      </c>
      <c r="D459" s="5">
        <v>11</v>
      </c>
      <c r="E459" s="5">
        <v>0</v>
      </c>
      <c r="F459" s="3">
        <v>0.1466666666666667</v>
      </c>
    </row>
    <row r="460" spans="1:6" x14ac:dyDescent="0.2">
      <c r="A460">
        <v>108260</v>
      </c>
      <c r="D460" s="5">
        <v>24</v>
      </c>
      <c r="E460" s="5">
        <v>27</v>
      </c>
    </row>
    <row r="461" spans="1:6" x14ac:dyDescent="0.2">
      <c r="A461">
        <v>109744</v>
      </c>
      <c r="D461" s="5">
        <v>24</v>
      </c>
      <c r="E461" s="5">
        <v>4</v>
      </c>
    </row>
    <row r="462" spans="1:6" x14ac:dyDescent="0.2">
      <c r="A462">
        <v>202651</v>
      </c>
      <c r="B462" t="s">
        <v>477</v>
      </c>
      <c r="C462" s="5">
        <v>74</v>
      </c>
      <c r="D462" s="5">
        <v>8</v>
      </c>
      <c r="E462" s="5">
        <v>48</v>
      </c>
      <c r="F462" s="3">
        <v>0.1081081081081081</v>
      </c>
    </row>
    <row r="463" spans="1:6" x14ac:dyDescent="0.2">
      <c r="A463" s="9">
        <v>461977</v>
      </c>
      <c r="B463" s="9" t="s">
        <v>577</v>
      </c>
      <c r="C463" s="10">
        <v>12</v>
      </c>
      <c r="D463" s="10">
        <v>23</v>
      </c>
      <c r="E463" s="10">
        <v>10</v>
      </c>
      <c r="F463" s="11">
        <v>1.916666666666667</v>
      </c>
    </row>
    <row r="464" spans="1:6" x14ac:dyDescent="0.2">
      <c r="A464">
        <v>109678</v>
      </c>
      <c r="D464" s="5">
        <v>23</v>
      </c>
      <c r="E464" s="5">
        <v>0</v>
      </c>
    </row>
    <row r="465" spans="1:6" x14ac:dyDescent="0.2">
      <c r="A465">
        <v>143651</v>
      </c>
      <c r="D465" s="5">
        <v>23</v>
      </c>
      <c r="E465" s="5">
        <v>10</v>
      </c>
    </row>
    <row r="466" spans="1:6" x14ac:dyDescent="0.2">
      <c r="A466">
        <v>466211</v>
      </c>
      <c r="B466" t="s">
        <v>587</v>
      </c>
      <c r="C466" s="5">
        <v>71</v>
      </c>
      <c r="D466" s="5">
        <v>27</v>
      </c>
      <c r="E466" s="5">
        <v>7</v>
      </c>
      <c r="F466" s="3">
        <v>0.38028169014084512</v>
      </c>
    </row>
    <row r="467" spans="1:6" x14ac:dyDescent="0.2">
      <c r="A467">
        <v>315176</v>
      </c>
      <c r="B467" t="s">
        <v>522</v>
      </c>
      <c r="C467" s="5">
        <v>71</v>
      </c>
      <c r="D467" s="5">
        <v>15</v>
      </c>
      <c r="E467" s="5">
        <v>2</v>
      </c>
      <c r="F467" s="3">
        <v>0.21126760563380281</v>
      </c>
    </row>
    <row r="468" spans="1:6" x14ac:dyDescent="0.2">
      <c r="A468" s="9">
        <v>307677</v>
      </c>
      <c r="B468" s="9" t="s">
        <v>510</v>
      </c>
      <c r="C468" s="10">
        <v>8</v>
      </c>
      <c r="D468" s="10">
        <v>22</v>
      </c>
      <c r="E468" s="10">
        <v>4</v>
      </c>
      <c r="F468" s="11">
        <v>2.75</v>
      </c>
    </row>
    <row r="469" spans="1:6" x14ac:dyDescent="0.2">
      <c r="A469">
        <v>491098</v>
      </c>
      <c r="B469" t="s">
        <v>625</v>
      </c>
      <c r="D469" s="5">
        <v>22</v>
      </c>
      <c r="E469" s="5">
        <v>2</v>
      </c>
    </row>
    <row r="470" spans="1:6" x14ac:dyDescent="0.2">
      <c r="A470">
        <v>128688</v>
      </c>
      <c r="B470" t="s">
        <v>369</v>
      </c>
      <c r="C470" s="5">
        <v>71</v>
      </c>
      <c r="D470" s="5">
        <v>14</v>
      </c>
      <c r="E470" s="5">
        <v>0</v>
      </c>
      <c r="F470" s="3">
        <v>0.19718309859154931</v>
      </c>
    </row>
    <row r="471" spans="1:6" x14ac:dyDescent="0.2">
      <c r="A471">
        <v>106566</v>
      </c>
      <c r="B471" t="s">
        <v>70</v>
      </c>
      <c r="C471" s="5">
        <v>70</v>
      </c>
      <c r="D471" s="5">
        <v>66</v>
      </c>
      <c r="E471" s="5">
        <v>28</v>
      </c>
      <c r="F471" s="3">
        <v>0.94285714285714284</v>
      </c>
    </row>
    <row r="472" spans="1:6" x14ac:dyDescent="0.2">
      <c r="A472">
        <v>112140</v>
      </c>
      <c r="B472" t="s">
        <v>259</v>
      </c>
      <c r="C472" s="5">
        <v>70</v>
      </c>
      <c r="D472" s="5">
        <v>43</v>
      </c>
      <c r="E472" s="5">
        <v>2</v>
      </c>
      <c r="F472" s="3">
        <v>0.61428571428571432</v>
      </c>
    </row>
    <row r="473" spans="1:6" x14ac:dyDescent="0.2">
      <c r="A473">
        <v>110931</v>
      </c>
      <c r="B473" t="s">
        <v>249</v>
      </c>
      <c r="C473" s="5">
        <v>69</v>
      </c>
      <c r="D473" s="5">
        <v>29</v>
      </c>
      <c r="E473" s="5">
        <v>33</v>
      </c>
      <c r="F473" s="3">
        <v>0.42028985507246369</v>
      </c>
    </row>
    <row r="474" spans="1:6" x14ac:dyDescent="0.2">
      <c r="A474">
        <v>117408</v>
      </c>
      <c r="B474" t="s">
        <v>342</v>
      </c>
      <c r="C474" s="5">
        <v>68</v>
      </c>
      <c r="D474" s="5">
        <v>44</v>
      </c>
      <c r="E474" s="5">
        <v>2</v>
      </c>
      <c r="F474" s="3">
        <v>0.6470588235294118</v>
      </c>
    </row>
    <row r="475" spans="1:6" x14ac:dyDescent="0.2">
      <c r="A475" s="12">
        <v>108060</v>
      </c>
      <c r="B475" s="12" t="s">
        <v>132</v>
      </c>
      <c r="C475" s="13">
        <v>20</v>
      </c>
      <c r="D475" s="13">
        <v>21</v>
      </c>
      <c r="E475" s="13">
        <v>18</v>
      </c>
      <c r="F475" s="14">
        <v>1.05</v>
      </c>
    </row>
    <row r="476" spans="1:6" x14ac:dyDescent="0.2">
      <c r="A476">
        <v>219125</v>
      </c>
      <c r="B476" t="s">
        <v>491</v>
      </c>
      <c r="D476" s="5">
        <v>21</v>
      </c>
      <c r="E476" s="5">
        <v>2</v>
      </c>
    </row>
    <row r="477" spans="1:6" x14ac:dyDescent="0.2">
      <c r="A477">
        <v>112511</v>
      </c>
      <c r="B477" t="s">
        <v>275</v>
      </c>
      <c r="C477" s="5">
        <v>68</v>
      </c>
      <c r="D477" s="5">
        <v>35</v>
      </c>
      <c r="E477" s="5">
        <v>23</v>
      </c>
      <c r="F477" s="3">
        <v>0.51470588235294112</v>
      </c>
    </row>
    <row r="478" spans="1:6" x14ac:dyDescent="0.2">
      <c r="A478" s="12">
        <v>144068</v>
      </c>
      <c r="B478" s="12" t="s">
        <v>402</v>
      </c>
      <c r="C478" s="13">
        <v>18</v>
      </c>
      <c r="D478" s="13">
        <v>20</v>
      </c>
      <c r="E478" s="13">
        <v>6</v>
      </c>
      <c r="F478" s="14">
        <v>1.1111111111111109</v>
      </c>
    </row>
    <row r="479" spans="1:6" x14ac:dyDescent="0.2">
      <c r="A479">
        <v>310479</v>
      </c>
      <c r="B479" t="s">
        <v>515</v>
      </c>
      <c r="D479" s="5">
        <v>20</v>
      </c>
      <c r="E479" s="5">
        <v>5</v>
      </c>
    </row>
    <row r="480" spans="1:6" x14ac:dyDescent="0.2">
      <c r="A480">
        <v>493856</v>
      </c>
      <c r="D480" s="5">
        <v>20</v>
      </c>
      <c r="E480" s="5">
        <v>16</v>
      </c>
    </row>
    <row r="481" spans="1:6" x14ac:dyDescent="0.2">
      <c r="A481">
        <v>417949</v>
      </c>
      <c r="B481" t="s">
        <v>555</v>
      </c>
      <c r="C481" s="5">
        <v>68</v>
      </c>
      <c r="D481" s="5">
        <v>15</v>
      </c>
      <c r="E481" s="5">
        <v>0</v>
      </c>
      <c r="F481" s="3">
        <v>0.22058823529411761</v>
      </c>
    </row>
    <row r="482" spans="1:6" x14ac:dyDescent="0.2">
      <c r="A482">
        <v>112106</v>
      </c>
      <c r="B482" t="s">
        <v>256</v>
      </c>
      <c r="C482" s="5">
        <v>66</v>
      </c>
      <c r="D482" s="5">
        <v>13</v>
      </c>
      <c r="E482" s="5">
        <v>7</v>
      </c>
      <c r="F482" s="3">
        <v>0.19696969696969699</v>
      </c>
    </row>
    <row r="483" spans="1:6" x14ac:dyDescent="0.2">
      <c r="A483">
        <v>422611</v>
      </c>
      <c r="B483" t="s">
        <v>556</v>
      </c>
      <c r="C483" s="5">
        <v>63</v>
      </c>
      <c r="D483" s="5">
        <v>46</v>
      </c>
      <c r="E483" s="5">
        <v>12</v>
      </c>
      <c r="F483" s="3">
        <v>0.73015873015873012</v>
      </c>
    </row>
    <row r="484" spans="1:6" x14ac:dyDescent="0.2">
      <c r="A484">
        <v>109806</v>
      </c>
      <c r="B484" t="s">
        <v>216</v>
      </c>
      <c r="C484" s="5">
        <v>63</v>
      </c>
      <c r="D484" s="5">
        <v>16</v>
      </c>
      <c r="E484" s="5">
        <v>21</v>
      </c>
      <c r="F484" s="3">
        <v>0.25396825396825401</v>
      </c>
    </row>
    <row r="485" spans="1:6" x14ac:dyDescent="0.2">
      <c r="A485">
        <v>108003</v>
      </c>
      <c r="B485" t="s">
        <v>126</v>
      </c>
      <c r="C485" s="5">
        <v>62</v>
      </c>
      <c r="D485" s="5">
        <v>57</v>
      </c>
      <c r="E485" s="5">
        <v>2</v>
      </c>
      <c r="F485" s="3">
        <v>0.91935483870967738</v>
      </c>
    </row>
    <row r="486" spans="1:6" x14ac:dyDescent="0.2">
      <c r="A486" s="9">
        <v>480877</v>
      </c>
      <c r="B486" s="9" t="s">
        <v>613</v>
      </c>
      <c r="C486" s="10">
        <v>12</v>
      </c>
      <c r="D486" s="10">
        <v>19</v>
      </c>
      <c r="E486" s="10">
        <v>7</v>
      </c>
      <c r="F486" s="11">
        <v>1.583333333333333</v>
      </c>
    </row>
    <row r="487" spans="1:6" x14ac:dyDescent="0.2">
      <c r="A487">
        <v>172686</v>
      </c>
      <c r="D487" s="5">
        <v>19</v>
      </c>
      <c r="E487" s="5">
        <v>93</v>
      </c>
    </row>
    <row r="488" spans="1:6" x14ac:dyDescent="0.2">
      <c r="A488">
        <v>190492</v>
      </c>
      <c r="B488" t="s">
        <v>470</v>
      </c>
      <c r="C488" s="5">
        <v>240</v>
      </c>
      <c r="D488" s="5">
        <v>18</v>
      </c>
      <c r="E488" s="5">
        <v>0</v>
      </c>
      <c r="F488" s="3">
        <v>7.4999999999999997E-2</v>
      </c>
    </row>
    <row r="489" spans="1:6" x14ac:dyDescent="0.2">
      <c r="A489">
        <v>107160</v>
      </c>
      <c r="B489" t="s">
        <v>97</v>
      </c>
      <c r="C489" s="5">
        <v>62</v>
      </c>
      <c r="D489" s="5">
        <v>20</v>
      </c>
      <c r="E489" s="5">
        <v>0</v>
      </c>
      <c r="F489" s="3">
        <v>0.32258064516129031</v>
      </c>
    </row>
    <row r="490" spans="1:6" x14ac:dyDescent="0.2">
      <c r="A490">
        <v>307788</v>
      </c>
      <c r="B490" t="s">
        <v>511</v>
      </c>
      <c r="C490" s="5">
        <v>61</v>
      </c>
      <c r="D490" s="5">
        <v>6</v>
      </c>
      <c r="E490" s="5">
        <v>0</v>
      </c>
      <c r="F490" s="3">
        <v>9.8360655737704916E-2</v>
      </c>
    </row>
    <row r="491" spans="1:6" x14ac:dyDescent="0.2">
      <c r="A491">
        <v>112348</v>
      </c>
      <c r="B491" t="s">
        <v>265</v>
      </c>
      <c r="C491" s="5">
        <v>60</v>
      </c>
      <c r="D491" s="5">
        <v>44</v>
      </c>
      <c r="E491" s="5">
        <v>1</v>
      </c>
      <c r="F491" s="3">
        <v>0.73333333333333328</v>
      </c>
    </row>
    <row r="492" spans="1:6" x14ac:dyDescent="0.2">
      <c r="A492">
        <v>513379</v>
      </c>
      <c r="B492" t="s">
        <v>641</v>
      </c>
      <c r="C492" s="5">
        <v>60</v>
      </c>
      <c r="D492" s="5">
        <v>9</v>
      </c>
      <c r="E492" s="5">
        <v>0</v>
      </c>
      <c r="F492" s="3">
        <v>0.15</v>
      </c>
    </row>
    <row r="493" spans="1:6" x14ac:dyDescent="0.2">
      <c r="A493">
        <v>466214</v>
      </c>
      <c r="B493" t="s">
        <v>588</v>
      </c>
      <c r="C493" s="5">
        <v>59</v>
      </c>
      <c r="D493" s="5">
        <v>7</v>
      </c>
      <c r="E493" s="5">
        <v>0</v>
      </c>
      <c r="F493" s="3">
        <v>0.1186440677966102</v>
      </c>
    </row>
    <row r="494" spans="1:6" x14ac:dyDescent="0.2">
      <c r="A494">
        <v>107372</v>
      </c>
      <c r="B494" t="s">
        <v>106</v>
      </c>
      <c r="C494" s="5">
        <v>58</v>
      </c>
      <c r="D494" s="5">
        <v>18</v>
      </c>
      <c r="E494" s="5">
        <v>14</v>
      </c>
      <c r="F494" s="3">
        <v>0.31034482758620691</v>
      </c>
    </row>
    <row r="495" spans="1:6" x14ac:dyDescent="0.2">
      <c r="A495">
        <v>109319</v>
      </c>
      <c r="B495" t="s">
        <v>198</v>
      </c>
      <c r="C495" s="5">
        <v>57</v>
      </c>
      <c r="D495" s="5">
        <v>12</v>
      </c>
      <c r="E495" s="5">
        <v>0</v>
      </c>
      <c r="F495" s="3">
        <v>0.2105263157894737</v>
      </c>
    </row>
    <row r="496" spans="1:6" x14ac:dyDescent="0.2">
      <c r="A496">
        <v>301446</v>
      </c>
      <c r="B496" t="s">
        <v>499</v>
      </c>
      <c r="C496" s="5">
        <v>55</v>
      </c>
      <c r="D496" s="5">
        <v>45</v>
      </c>
      <c r="E496" s="5">
        <v>43</v>
      </c>
      <c r="F496" s="3">
        <v>0.81818181818181823</v>
      </c>
    </row>
    <row r="497" spans="1:6" x14ac:dyDescent="0.2">
      <c r="A497" s="9">
        <v>108714</v>
      </c>
      <c r="B497" s="9" t="s">
        <v>161</v>
      </c>
      <c r="C497" s="10">
        <v>12</v>
      </c>
      <c r="D497" s="10">
        <v>18</v>
      </c>
      <c r="E497" s="10">
        <v>3</v>
      </c>
      <c r="F497" s="11">
        <v>1.5</v>
      </c>
    </row>
    <row r="498" spans="1:6" x14ac:dyDescent="0.2">
      <c r="A498" s="9">
        <v>107937</v>
      </c>
      <c r="B498" s="9" t="s">
        <v>122</v>
      </c>
      <c r="C498" s="10">
        <v>6</v>
      </c>
      <c r="D498" s="10">
        <v>18</v>
      </c>
      <c r="E498" s="10">
        <v>8</v>
      </c>
      <c r="F498" s="11">
        <v>3</v>
      </c>
    </row>
    <row r="499" spans="1:6" x14ac:dyDescent="0.2">
      <c r="A499">
        <v>112152</v>
      </c>
      <c r="D499" s="5">
        <v>18</v>
      </c>
      <c r="E499" s="5">
        <v>0</v>
      </c>
    </row>
    <row r="500" spans="1:6" x14ac:dyDescent="0.2">
      <c r="A500" t="s">
        <v>22</v>
      </c>
      <c r="B500" t="s">
        <v>683</v>
      </c>
      <c r="D500" s="5">
        <v>18</v>
      </c>
      <c r="E500" s="5">
        <v>14</v>
      </c>
    </row>
    <row r="501" spans="1:6" x14ac:dyDescent="0.2">
      <c r="A501">
        <v>117857</v>
      </c>
      <c r="B501" t="s">
        <v>344</v>
      </c>
      <c r="C501" s="5">
        <v>628</v>
      </c>
      <c r="D501" s="5">
        <v>17</v>
      </c>
      <c r="E501" s="5">
        <v>15</v>
      </c>
      <c r="F501" s="3">
        <v>2.707006369426752E-2</v>
      </c>
    </row>
    <row r="502" spans="1:6" x14ac:dyDescent="0.2">
      <c r="A502">
        <v>106478</v>
      </c>
      <c r="B502" t="s">
        <v>67</v>
      </c>
      <c r="C502" s="5">
        <v>785</v>
      </c>
      <c r="D502" s="5">
        <v>17</v>
      </c>
      <c r="E502" s="5">
        <v>32</v>
      </c>
      <c r="F502" s="3">
        <v>2.1656050955414011E-2</v>
      </c>
    </row>
    <row r="503" spans="1:6" x14ac:dyDescent="0.2">
      <c r="A503">
        <v>442850</v>
      </c>
      <c r="B503" t="s">
        <v>559</v>
      </c>
      <c r="C503" s="5">
        <v>55</v>
      </c>
      <c r="D503" s="5">
        <v>38</v>
      </c>
      <c r="E503" s="5">
        <v>0</v>
      </c>
      <c r="F503" s="3">
        <v>0.69090909090909092</v>
      </c>
    </row>
    <row r="504" spans="1:6" x14ac:dyDescent="0.2">
      <c r="A504">
        <v>126706</v>
      </c>
      <c r="B504" t="s">
        <v>361</v>
      </c>
      <c r="C504" s="5">
        <v>54</v>
      </c>
      <c r="D504" s="5">
        <v>24</v>
      </c>
      <c r="E504" s="5">
        <v>0</v>
      </c>
      <c r="F504" s="3">
        <v>0.44444444444444442</v>
      </c>
    </row>
    <row r="505" spans="1:6" x14ac:dyDescent="0.2">
      <c r="A505">
        <v>108360</v>
      </c>
      <c r="B505" t="s">
        <v>144</v>
      </c>
      <c r="D505" s="5">
        <v>17</v>
      </c>
      <c r="E505" s="5">
        <v>4</v>
      </c>
    </row>
    <row r="506" spans="1:6" x14ac:dyDescent="0.2">
      <c r="A506">
        <v>116549</v>
      </c>
      <c r="B506" t="s">
        <v>338</v>
      </c>
      <c r="D506" s="5">
        <v>17</v>
      </c>
      <c r="E506" s="5">
        <v>3</v>
      </c>
    </row>
    <row r="507" spans="1:6" x14ac:dyDescent="0.2">
      <c r="A507">
        <v>134938</v>
      </c>
      <c r="D507" s="5">
        <v>17</v>
      </c>
      <c r="E507" s="5">
        <v>33</v>
      </c>
    </row>
    <row r="508" spans="1:6" x14ac:dyDescent="0.2">
      <c r="A508">
        <v>162888</v>
      </c>
      <c r="B508" t="s">
        <v>443</v>
      </c>
      <c r="D508" s="5">
        <v>17</v>
      </c>
      <c r="E508" s="5">
        <v>0</v>
      </c>
    </row>
    <row r="509" spans="1:6" x14ac:dyDescent="0.2">
      <c r="A509">
        <v>458721</v>
      </c>
      <c r="D509" s="5">
        <v>17</v>
      </c>
      <c r="E509" s="5">
        <v>12</v>
      </c>
    </row>
    <row r="510" spans="1:6" x14ac:dyDescent="0.2">
      <c r="A510">
        <v>141315</v>
      </c>
      <c r="B510" t="s">
        <v>397</v>
      </c>
      <c r="C510" s="5">
        <v>340</v>
      </c>
      <c r="D510" s="5">
        <v>16</v>
      </c>
      <c r="E510" s="5">
        <v>17</v>
      </c>
      <c r="F510" s="3">
        <v>4.7058823529411757E-2</v>
      </c>
    </row>
    <row r="511" spans="1:6" x14ac:dyDescent="0.2">
      <c r="A511">
        <v>547648</v>
      </c>
      <c r="B511" t="s">
        <v>657</v>
      </c>
      <c r="C511" s="5">
        <v>53</v>
      </c>
      <c r="D511" s="5">
        <v>18</v>
      </c>
      <c r="E511" s="5">
        <v>95</v>
      </c>
      <c r="F511" s="3">
        <v>0.33962264150943389</v>
      </c>
    </row>
    <row r="512" spans="1:6" x14ac:dyDescent="0.2">
      <c r="A512">
        <v>515147</v>
      </c>
      <c r="B512" t="s">
        <v>647</v>
      </c>
      <c r="C512" s="5">
        <v>53</v>
      </c>
      <c r="D512" s="5">
        <v>10</v>
      </c>
      <c r="E512" s="5">
        <v>1</v>
      </c>
      <c r="F512" s="3">
        <v>0.18867924528301891</v>
      </c>
    </row>
    <row r="513" spans="1:6" x14ac:dyDescent="0.2">
      <c r="A513">
        <v>109107</v>
      </c>
      <c r="B513" t="s">
        <v>181</v>
      </c>
      <c r="C513" s="5">
        <v>53</v>
      </c>
      <c r="D513" s="5">
        <v>9</v>
      </c>
      <c r="E513" s="5">
        <v>0</v>
      </c>
      <c r="F513" s="3">
        <v>0.169811320754717</v>
      </c>
    </row>
    <row r="514" spans="1:6" x14ac:dyDescent="0.2">
      <c r="A514" s="12">
        <v>465602</v>
      </c>
      <c r="B514" s="12" t="s">
        <v>581</v>
      </c>
      <c r="C514" s="13">
        <v>12</v>
      </c>
      <c r="D514" s="13">
        <v>16</v>
      </c>
      <c r="E514" s="13">
        <v>7</v>
      </c>
      <c r="F514" s="14">
        <v>1.333333333333333</v>
      </c>
    </row>
    <row r="515" spans="1:6" x14ac:dyDescent="0.2">
      <c r="A515" s="9">
        <v>153711</v>
      </c>
      <c r="B515" s="9" t="s">
        <v>423</v>
      </c>
      <c r="C515" s="10">
        <v>7</v>
      </c>
      <c r="D515" s="10">
        <v>16</v>
      </c>
      <c r="E515" s="10">
        <v>3</v>
      </c>
      <c r="F515" s="11">
        <v>2.285714285714286</v>
      </c>
    </row>
    <row r="516" spans="1:6" x14ac:dyDescent="0.2">
      <c r="A516" s="9">
        <v>452895</v>
      </c>
      <c r="B516" s="9" t="s">
        <v>567</v>
      </c>
      <c r="C516" s="10">
        <v>7</v>
      </c>
      <c r="D516" s="10">
        <v>16</v>
      </c>
      <c r="E516" s="10">
        <v>0</v>
      </c>
      <c r="F516" s="11">
        <v>2.285714285714286</v>
      </c>
    </row>
    <row r="517" spans="1:6" x14ac:dyDescent="0.2">
      <c r="A517">
        <v>112384</v>
      </c>
      <c r="B517" t="s">
        <v>267</v>
      </c>
      <c r="D517" s="5">
        <v>16</v>
      </c>
      <c r="E517" s="5">
        <v>0</v>
      </c>
    </row>
    <row r="518" spans="1:6" x14ac:dyDescent="0.2">
      <c r="A518">
        <v>301248</v>
      </c>
      <c r="B518" t="s">
        <v>498</v>
      </c>
      <c r="D518" s="5">
        <v>16</v>
      </c>
      <c r="E518" s="5">
        <v>4</v>
      </c>
    </row>
    <row r="519" spans="1:6" x14ac:dyDescent="0.2">
      <c r="A519">
        <v>570556</v>
      </c>
      <c r="D519" s="5">
        <v>16</v>
      </c>
      <c r="E519" s="5">
        <v>14</v>
      </c>
    </row>
    <row r="520" spans="1:6" x14ac:dyDescent="0.2">
      <c r="A520">
        <v>570653</v>
      </c>
      <c r="B520" t="s">
        <v>666</v>
      </c>
      <c r="D520" s="5">
        <v>16</v>
      </c>
      <c r="E520" s="5">
        <v>10</v>
      </c>
    </row>
    <row r="521" spans="1:6" x14ac:dyDescent="0.2">
      <c r="A521">
        <v>112666</v>
      </c>
      <c r="B521" t="s">
        <v>284</v>
      </c>
      <c r="C521" s="5">
        <v>570</v>
      </c>
      <c r="D521" s="5">
        <v>15</v>
      </c>
      <c r="E521" s="5">
        <v>0</v>
      </c>
      <c r="F521" s="3">
        <v>2.6315789473684209E-2</v>
      </c>
    </row>
    <row r="522" spans="1:6" x14ac:dyDescent="0.2">
      <c r="A522" t="s">
        <v>11</v>
      </c>
      <c r="B522" t="s">
        <v>673</v>
      </c>
      <c r="C522" s="5">
        <v>214</v>
      </c>
      <c r="D522" s="5">
        <v>15</v>
      </c>
      <c r="E522" s="5">
        <v>1</v>
      </c>
      <c r="F522" s="3">
        <v>7.0093457943925228E-2</v>
      </c>
    </row>
    <row r="523" spans="1:6" x14ac:dyDescent="0.2">
      <c r="A523">
        <v>106841</v>
      </c>
      <c r="B523" t="s">
        <v>82</v>
      </c>
      <c r="C523" s="5">
        <v>52</v>
      </c>
      <c r="D523" s="5">
        <v>35</v>
      </c>
      <c r="E523" s="5">
        <v>13</v>
      </c>
      <c r="F523" s="3">
        <v>0.67307692307692313</v>
      </c>
    </row>
    <row r="524" spans="1:6" x14ac:dyDescent="0.2">
      <c r="A524">
        <v>115921</v>
      </c>
      <c r="B524" t="s">
        <v>331</v>
      </c>
      <c r="C524" s="5">
        <v>49</v>
      </c>
      <c r="D524" s="5">
        <v>19</v>
      </c>
      <c r="E524" s="5">
        <v>4</v>
      </c>
      <c r="F524" s="3">
        <v>0.38775510204081631</v>
      </c>
    </row>
    <row r="525" spans="1:6" x14ac:dyDescent="0.2">
      <c r="A525">
        <v>147909</v>
      </c>
      <c r="B525" t="s">
        <v>410</v>
      </c>
      <c r="C525" s="5">
        <v>49</v>
      </c>
      <c r="D525" s="5">
        <v>11</v>
      </c>
      <c r="E525" s="5">
        <v>0</v>
      </c>
      <c r="F525" s="3">
        <v>0.22448979591836729</v>
      </c>
    </row>
    <row r="526" spans="1:6" x14ac:dyDescent="0.2">
      <c r="A526">
        <v>310911</v>
      </c>
      <c r="B526" t="s">
        <v>516</v>
      </c>
      <c r="C526" s="5">
        <v>48</v>
      </c>
      <c r="D526" s="5">
        <v>28</v>
      </c>
      <c r="E526" s="5">
        <v>7</v>
      </c>
      <c r="F526" s="3">
        <v>0.58333333333333337</v>
      </c>
    </row>
    <row r="527" spans="1:6" x14ac:dyDescent="0.2">
      <c r="A527">
        <v>514302</v>
      </c>
      <c r="B527" t="s">
        <v>644</v>
      </c>
      <c r="C527" s="5">
        <v>45</v>
      </c>
      <c r="D527" s="5">
        <v>15</v>
      </c>
      <c r="E527" s="5">
        <v>1</v>
      </c>
      <c r="F527" s="3">
        <v>0.33333333333333331</v>
      </c>
    </row>
    <row r="528" spans="1:6" x14ac:dyDescent="0.2">
      <c r="A528" s="12">
        <v>141355</v>
      </c>
      <c r="B528" s="12" t="s">
        <v>398</v>
      </c>
      <c r="C528" s="13">
        <v>12</v>
      </c>
      <c r="D528" s="13">
        <v>15</v>
      </c>
      <c r="E528" s="13">
        <v>5</v>
      </c>
      <c r="F528" s="14">
        <v>1.25</v>
      </c>
    </row>
    <row r="529" spans="1:6" x14ac:dyDescent="0.2">
      <c r="A529" s="9">
        <v>470994</v>
      </c>
      <c r="B529" s="9" t="s">
        <v>600</v>
      </c>
      <c r="C529" s="10">
        <v>7</v>
      </c>
      <c r="D529" s="10">
        <v>15</v>
      </c>
      <c r="E529" s="10">
        <v>1</v>
      </c>
      <c r="F529" s="11">
        <v>2.1428571428571428</v>
      </c>
    </row>
    <row r="530" spans="1:6" x14ac:dyDescent="0.2">
      <c r="A530">
        <v>106372</v>
      </c>
      <c r="D530" s="5">
        <v>15</v>
      </c>
      <c r="E530" s="5">
        <v>46</v>
      </c>
    </row>
    <row r="531" spans="1:6" x14ac:dyDescent="0.2">
      <c r="A531">
        <v>116457</v>
      </c>
      <c r="B531" t="s">
        <v>337</v>
      </c>
      <c r="C531" s="5">
        <v>238</v>
      </c>
      <c r="D531" s="5">
        <v>14</v>
      </c>
      <c r="E531" s="5">
        <v>0</v>
      </c>
      <c r="F531" s="3">
        <v>5.8823529411764712E-2</v>
      </c>
    </row>
    <row r="532" spans="1:6" x14ac:dyDescent="0.2">
      <c r="A532">
        <v>113073</v>
      </c>
      <c r="B532" t="s">
        <v>289</v>
      </c>
      <c r="C532" s="5">
        <v>45</v>
      </c>
      <c r="D532" s="5">
        <v>5</v>
      </c>
      <c r="E532" s="5">
        <v>21</v>
      </c>
      <c r="F532" s="3">
        <v>0.1111111111111111</v>
      </c>
    </row>
    <row r="533" spans="1:6" x14ac:dyDescent="0.2">
      <c r="A533">
        <v>108936</v>
      </c>
      <c r="B533" t="s">
        <v>173</v>
      </c>
      <c r="C533" s="5">
        <v>44</v>
      </c>
      <c r="D533" s="5">
        <v>5</v>
      </c>
      <c r="E533" s="5">
        <v>0</v>
      </c>
      <c r="F533" s="3">
        <v>0.1136363636363636</v>
      </c>
    </row>
    <row r="534" spans="1:6" x14ac:dyDescent="0.2">
      <c r="A534">
        <v>466357</v>
      </c>
      <c r="B534" t="s">
        <v>590</v>
      </c>
      <c r="C534" s="5">
        <v>43</v>
      </c>
      <c r="D534" s="5">
        <v>19</v>
      </c>
      <c r="E534" s="5">
        <v>7</v>
      </c>
      <c r="F534" s="3">
        <v>0.44186046511627908</v>
      </c>
    </row>
    <row r="535" spans="1:6" x14ac:dyDescent="0.2">
      <c r="A535">
        <v>156561</v>
      </c>
      <c r="B535" t="s">
        <v>430</v>
      </c>
      <c r="C535" s="5">
        <v>43</v>
      </c>
      <c r="D535" s="5">
        <v>7</v>
      </c>
      <c r="E535" s="5">
        <v>0</v>
      </c>
      <c r="F535" s="3">
        <v>0.16279069767441859</v>
      </c>
    </row>
    <row r="536" spans="1:6" x14ac:dyDescent="0.2">
      <c r="A536">
        <v>217880</v>
      </c>
      <c r="B536" t="s">
        <v>490</v>
      </c>
      <c r="C536" s="5">
        <v>43</v>
      </c>
      <c r="D536" s="5">
        <v>7</v>
      </c>
      <c r="E536" s="5">
        <v>0</v>
      </c>
      <c r="F536" s="3">
        <v>0.16279069767441859</v>
      </c>
    </row>
    <row r="537" spans="1:6" x14ac:dyDescent="0.2">
      <c r="A537" s="12">
        <v>107215</v>
      </c>
      <c r="B537" s="12" t="s">
        <v>100</v>
      </c>
      <c r="C537" s="13">
        <v>14</v>
      </c>
      <c r="D537" s="13">
        <v>14</v>
      </c>
      <c r="E537" s="13">
        <v>15</v>
      </c>
      <c r="F537" s="14">
        <v>1</v>
      </c>
    </row>
    <row r="538" spans="1:6" x14ac:dyDescent="0.2">
      <c r="A538" s="9">
        <v>468524</v>
      </c>
      <c r="B538" s="9" t="s">
        <v>596</v>
      </c>
      <c r="C538" s="10">
        <v>5</v>
      </c>
      <c r="D538" s="10">
        <v>14</v>
      </c>
      <c r="E538" s="10">
        <v>0</v>
      </c>
      <c r="F538" s="11">
        <v>2.8</v>
      </c>
    </row>
    <row r="539" spans="1:6" x14ac:dyDescent="0.2">
      <c r="A539">
        <v>107214</v>
      </c>
      <c r="D539" s="5">
        <v>14</v>
      </c>
      <c r="E539" s="5">
        <v>1</v>
      </c>
    </row>
    <row r="540" spans="1:6" x14ac:dyDescent="0.2">
      <c r="A540">
        <v>148039</v>
      </c>
      <c r="B540" t="s">
        <v>412</v>
      </c>
      <c r="D540" s="5">
        <v>14</v>
      </c>
      <c r="E540" s="5">
        <v>0</v>
      </c>
    </row>
    <row r="541" spans="1:6" x14ac:dyDescent="0.2">
      <c r="A541">
        <v>324380</v>
      </c>
      <c r="D541" s="5">
        <v>14</v>
      </c>
      <c r="E541" s="5">
        <v>10</v>
      </c>
    </row>
    <row r="542" spans="1:6" x14ac:dyDescent="0.2">
      <c r="A542">
        <v>470907</v>
      </c>
      <c r="D542" s="5">
        <v>14</v>
      </c>
      <c r="E542" s="5">
        <v>46</v>
      </c>
    </row>
    <row r="543" spans="1:6" x14ac:dyDescent="0.2">
      <c r="A543">
        <v>477215</v>
      </c>
      <c r="B543" t="s">
        <v>605</v>
      </c>
      <c r="C543" s="5">
        <v>43</v>
      </c>
      <c r="D543" s="5">
        <v>4</v>
      </c>
      <c r="E543" s="5">
        <v>2</v>
      </c>
      <c r="F543" s="3">
        <v>9.3023255813953487E-2</v>
      </c>
    </row>
    <row r="544" spans="1:6" x14ac:dyDescent="0.2">
      <c r="A544">
        <v>209923</v>
      </c>
      <c r="B544" t="s">
        <v>483</v>
      </c>
      <c r="C544" s="5">
        <v>42</v>
      </c>
      <c r="D544" s="5">
        <v>21</v>
      </c>
      <c r="E544" s="5">
        <v>0</v>
      </c>
      <c r="F544" s="3">
        <v>0.5</v>
      </c>
    </row>
    <row r="545" spans="1:6" x14ac:dyDescent="0.2">
      <c r="A545">
        <v>106876</v>
      </c>
      <c r="B545" t="s">
        <v>83</v>
      </c>
      <c r="C545" s="5">
        <v>42</v>
      </c>
      <c r="D545" s="5">
        <v>16</v>
      </c>
      <c r="E545" s="5">
        <v>4</v>
      </c>
      <c r="F545" s="3">
        <v>0.38095238095238088</v>
      </c>
    </row>
    <row r="546" spans="1:6" x14ac:dyDescent="0.2">
      <c r="A546">
        <v>110252</v>
      </c>
      <c r="B546" t="s">
        <v>228</v>
      </c>
      <c r="C546" s="5">
        <v>42</v>
      </c>
      <c r="D546" s="5">
        <v>9</v>
      </c>
      <c r="E546" s="5">
        <v>0</v>
      </c>
      <c r="F546" s="3">
        <v>0.2142857142857143</v>
      </c>
    </row>
    <row r="547" spans="1:6" x14ac:dyDescent="0.2">
      <c r="A547" s="9">
        <v>511752</v>
      </c>
      <c r="B547" s="9" t="s">
        <v>638</v>
      </c>
      <c r="C547" s="10">
        <v>4</v>
      </c>
      <c r="D547" s="10">
        <v>13</v>
      </c>
      <c r="E547" s="10">
        <v>0</v>
      </c>
      <c r="F547" s="11">
        <v>3.25</v>
      </c>
    </row>
    <row r="548" spans="1:6" x14ac:dyDescent="0.2">
      <c r="A548" s="9">
        <v>556953</v>
      </c>
      <c r="B548" s="9" t="s">
        <v>661</v>
      </c>
      <c r="C548" s="10">
        <v>4</v>
      </c>
      <c r="D548" s="10">
        <v>13</v>
      </c>
      <c r="E548" s="10">
        <v>8</v>
      </c>
      <c r="F548" s="11">
        <v>3.25</v>
      </c>
    </row>
    <row r="549" spans="1:6" x14ac:dyDescent="0.2">
      <c r="A549">
        <v>112606</v>
      </c>
      <c r="D549" s="5">
        <v>13</v>
      </c>
      <c r="E549" s="5">
        <v>16</v>
      </c>
    </row>
    <row r="550" spans="1:6" x14ac:dyDescent="0.2">
      <c r="A550">
        <v>113111</v>
      </c>
      <c r="D550" s="5">
        <v>13</v>
      </c>
      <c r="E550" s="5">
        <v>10</v>
      </c>
    </row>
    <row r="551" spans="1:6" x14ac:dyDescent="0.2">
      <c r="A551">
        <v>204302</v>
      </c>
      <c r="D551" s="5">
        <v>13</v>
      </c>
      <c r="E551" s="5">
        <v>9</v>
      </c>
    </row>
    <row r="552" spans="1:6" x14ac:dyDescent="0.2">
      <c r="A552">
        <v>107333</v>
      </c>
      <c r="B552" t="s">
        <v>105</v>
      </c>
      <c r="C552" s="5">
        <v>416</v>
      </c>
      <c r="D552" s="5">
        <v>12</v>
      </c>
      <c r="E552" s="5">
        <v>4</v>
      </c>
      <c r="F552" s="3">
        <v>2.8846153846153851E-2</v>
      </c>
    </row>
    <row r="553" spans="1:6" x14ac:dyDescent="0.2">
      <c r="A553">
        <v>118351</v>
      </c>
      <c r="B553" t="s">
        <v>347</v>
      </c>
      <c r="C553" s="5">
        <v>265</v>
      </c>
      <c r="D553" s="5">
        <v>12</v>
      </c>
      <c r="E553" s="5">
        <v>0</v>
      </c>
      <c r="F553" s="3">
        <v>4.5283018867924532E-2</v>
      </c>
    </row>
    <row r="554" spans="1:6" x14ac:dyDescent="0.2">
      <c r="A554">
        <v>109291</v>
      </c>
      <c r="B554" t="s">
        <v>196</v>
      </c>
      <c r="C554" s="5">
        <v>182</v>
      </c>
      <c r="D554" s="5">
        <v>12</v>
      </c>
      <c r="E554" s="5">
        <v>0</v>
      </c>
      <c r="F554" s="3">
        <v>6.5934065934065936E-2</v>
      </c>
    </row>
    <row r="555" spans="1:6" x14ac:dyDescent="0.2">
      <c r="A555">
        <v>193186</v>
      </c>
      <c r="B555" t="s">
        <v>472</v>
      </c>
      <c r="C555" s="5">
        <v>42</v>
      </c>
      <c r="D555" s="5">
        <v>5</v>
      </c>
      <c r="E555" s="5">
        <v>7</v>
      </c>
      <c r="F555" s="3">
        <v>0.119047619047619</v>
      </c>
    </row>
    <row r="556" spans="1:6" x14ac:dyDescent="0.2">
      <c r="A556">
        <v>109740</v>
      </c>
      <c r="B556" t="s">
        <v>214</v>
      </c>
      <c r="C556" s="5">
        <v>40</v>
      </c>
      <c r="D556" s="5">
        <v>21</v>
      </c>
      <c r="E556" s="5">
        <v>1</v>
      </c>
      <c r="F556" s="3">
        <v>0.52500000000000002</v>
      </c>
    </row>
    <row r="557" spans="1:6" x14ac:dyDescent="0.2">
      <c r="A557">
        <v>189441</v>
      </c>
      <c r="B557" t="s">
        <v>468</v>
      </c>
      <c r="C557" s="5">
        <v>40</v>
      </c>
      <c r="D557" s="5">
        <v>15</v>
      </c>
      <c r="E557" s="5">
        <v>7</v>
      </c>
      <c r="F557" s="3">
        <v>0.375</v>
      </c>
    </row>
    <row r="558" spans="1:6" x14ac:dyDescent="0.2">
      <c r="A558">
        <v>109011</v>
      </c>
      <c r="B558" t="s">
        <v>176</v>
      </c>
      <c r="C558" s="5">
        <v>40</v>
      </c>
      <c r="D558" s="5">
        <v>10</v>
      </c>
      <c r="E558" s="5">
        <v>8</v>
      </c>
      <c r="F558" s="3">
        <v>0.25</v>
      </c>
    </row>
    <row r="559" spans="1:6" x14ac:dyDescent="0.2">
      <c r="A559">
        <v>465960</v>
      </c>
      <c r="B559" t="s">
        <v>583</v>
      </c>
      <c r="C559" s="5">
        <v>39</v>
      </c>
      <c r="D559" s="5">
        <v>28</v>
      </c>
      <c r="E559" s="5">
        <v>0</v>
      </c>
      <c r="F559" s="3">
        <v>0.71794871794871795</v>
      </c>
    </row>
    <row r="560" spans="1:6" x14ac:dyDescent="0.2">
      <c r="A560" s="12">
        <v>148395</v>
      </c>
      <c r="B560" s="12" t="s">
        <v>414</v>
      </c>
      <c r="C560" s="13">
        <v>11</v>
      </c>
      <c r="D560" s="13">
        <v>12</v>
      </c>
      <c r="E560" s="13">
        <v>0</v>
      </c>
      <c r="F560" s="14">
        <v>1.0909090909090911</v>
      </c>
    </row>
    <row r="561" spans="1:6" x14ac:dyDescent="0.2">
      <c r="A561" s="9">
        <v>112312</v>
      </c>
      <c r="B561" s="9" t="s">
        <v>264</v>
      </c>
      <c r="C561" s="10">
        <v>8</v>
      </c>
      <c r="D561" s="10">
        <v>12</v>
      </c>
      <c r="E561" s="10">
        <v>0</v>
      </c>
      <c r="F561" s="11">
        <v>1.5</v>
      </c>
    </row>
    <row r="562" spans="1:6" x14ac:dyDescent="0.2">
      <c r="A562" s="9">
        <v>482009</v>
      </c>
      <c r="B562" s="9" t="s">
        <v>615</v>
      </c>
      <c r="C562" s="10">
        <v>8</v>
      </c>
      <c r="D562" s="10">
        <v>12</v>
      </c>
      <c r="E562" s="10">
        <v>1</v>
      </c>
      <c r="F562" s="11">
        <v>1.5</v>
      </c>
    </row>
    <row r="563" spans="1:6" x14ac:dyDescent="0.2">
      <c r="A563">
        <v>108106</v>
      </c>
      <c r="D563" s="5">
        <v>12</v>
      </c>
      <c r="E563" s="5">
        <v>35</v>
      </c>
    </row>
    <row r="564" spans="1:6" x14ac:dyDescent="0.2">
      <c r="A564">
        <v>112212</v>
      </c>
      <c r="D564" s="5">
        <v>12</v>
      </c>
      <c r="E564" s="5">
        <v>0</v>
      </c>
    </row>
    <row r="565" spans="1:6" x14ac:dyDescent="0.2">
      <c r="A565">
        <v>198553</v>
      </c>
      <c r="D565" s="5">
        <v>12</v>
      </c>
      <c r="E565" s="5">
        <v>16</v>
      </c>
    </row>
    <row r="566" spans="1:6" x14ac:dyDescent="0.2">
      <c r="A566">
        <v>309888</v>
      </c>
      <c r="D566" s="5">
        <v>12</v>
      </c>
      <c r="E566" s="5">
        <v>0</v>
      </c>
    </row>
    <row r="567" spans="1:6" x14ac:dyDescent="0.2">
      <c r="A567">
        <v>515108</v>
      </c>
      <c r="B567" t="s">
        <v>646</v>
      </c>
      <c r="D567" s="5">
        <v>12</v>
      </c>
      <c r="E567" s="5">
        <v>0</v>
      </c>
    </row>
    <row r="568" spans="1:6" x14ac:dyDescent="0.2">
      <c r="A568">
        <v>105516</v>
      </c>
      <c r="B568" t="s">
        <v>45</v>
      </c>
      <c r="C568" s="5">
        <v>1079</v>
      </c>
      <c r="D568" s="5">
        <v>11</v>
      </c>
      <c r="E568" s="5">
        <v>1</v>
      </c>
      <c r="F568" s="3">
        <v>1.0194624652455979E-2</v>
      </c>
    </row>
    <row r="569" spans="1:6" x14ac:dyDescent="0.2">
      <c r="A569">
        <v>413773</v>
      </c>
      <c r="B569" t="s">
        <v>554</v>
      </c>
      <c r="C569" s="5">
        <v>170</v>
      </c>
      <c r="D569" s="5">
        <v>11</v>
      </c>
      <c r="E569" s="5">
        <v>0</v>
      </c>
      <c r="F569" s="3">
        <v>6.4705882352941183E-2</v>
      </c>
    </row>
    <row r="570" spans="1:6" x14ac:dyDescent="0.2">
      <c r="A570">
        <v>115901</v>
      </c>
      <c r="B570" t="s">
        <v>330</v>
      </c>
      <c r="C570" s="5">
        <v>39</v>
      </c>
      <c r="D570" s="5">
        <v>12</v>
      </c>
      <c r="E570" s="5">
        <v>0</v>
      </c>
      <c r="F570" s="3">
        <v>0.30769230769230771</v>
      </c>
    </row>
    <row r="571" spans="1:6" x14ac:dyDescent="0.2">
      <c r="A571">
        <v>111138</v>
      </c>
      <c r="B571" t="s">
        <v>254</v>
      </c>
      <c r="C571" s="5">
        <v>38</v>
      </c>
      <c r="D571" s="5">
        <v>24</v>
      </c>
      <c r="E571" s="5">
        <v>0</v>
      </c>
      <c r="F571" s="3">
        <v>0.63157894736842102</v>
      </c>
    </row>
    <row r="572" spans="1:6" x14ac:dyDescent="0.2">
      <c r="A572">
        <v>110242</v>
      </c>
      <c r="B572" t="s">
        <v>227</v>
      </c>
      <c r="C572" s="5">
        <v>38</v>
      </c>
      <c r="D572" s="5">
        <v>21</v>
      </c>
      <c r="E572" s="5">
        <v>0</v>
      </c>
      <c r="F572" s="3">
        <v>0.55263157894736847</v>
      </c>
    </row>
    <row r="573" spans="1:6" x14ac:dyDescent="0.2">
      <c r="A573">
        <v>148367</v>
      </c>
      <c r="B573" t="s">
        <v>413</v>
      </c>
      <c r="C573" s="5">
        <v>38</v>
      </c>
      <c r="D573" s="5">
        <v>21</v>
      </c>
      <c r="E573" s="5">
        <v>0</v>
      </c>
      <c r="F573" s="3">
        <v>0.55263157894736847</v>
      </c>
    </row>
    <row r="574" spans="1:6" x14ac:dyDescent="0.2">
      <c r="A574">
        <v>325495</v>
      </c>
      <c r="B574" t="s">
        <v>542</v>
      </c>
      <c r="C574" s="5">
        <v>35</v>
      </c>
      <c r="D574" s="5">
        <v>30</v>
      </c>
      <c r="E574" s="5">
        <v>0</v>
      </c>
      <c r="F574" s="3">
        <v>0.8571428571428571</v>
      </c>
    </row>
    <row r="575" spans="1:6" x14ac:dyDescent="0.2">
      <c r="A575">
        <v>305322</v>
      </c>
      <c r="B575" t="s">
        <v>505</v>
      </c>
      <c r="C575" s="5">
        <v>35</v>
      </c>
      <c r="D575" s="5">
        <v>19</v>
      </c>
      <c r="E575" s="5">
        <v>0</v>
      </c>
      <c r="F575" s="3">
        <v>0.54285714285714282</v>
      </c>
    </row>
    <row r="576" spans="1:6" x14ac:dyDescent="0.2">
      <c r="A576" s="12">
        <v>479509</v>
      </c>
      <c r="B576" s="12" t="s">
        <v>611</v>
      </c>
      <c r="C576" s="13">
        <v>8</v>
      </c>
      <c r="D576" s="13">
        <v>11</v>
      </c>
      <c r="E576" s="13">
        <v>1</v>
      </c>
      <c r="F576" s="14">
        <v>1.375</v>
      </c>
    </row>
    <row r="577" spans="1:6" x14ac:dyDescent="0.2">
      <c r="A577">
        <v>107450</v>
      </c>
      <c r="B577" t="s">
        <v>109</v>
      </c>
      <c r="D577" s="5">
        <v>11</v>
      </c>
      <c r="E577" s="5">
        <v>1</v>
      </c>
    </row>
    <row r="578" spans="1:6" x14ac:dyDescent="0.2">
      <c r="A578">
        <v>109785</v>
      </c>
      <c r="D578" s="5">
        <v>11</v>
      </c>
      <c r="E578" s="5">
        <v>1</v>
      </c>
    </row>
    <row r="579" spans="1:6" x14ac:dyDescent="0.2">
      <c r="A579">
        <v>114833</v>
      </c>
      <c r="D579" s="5">
        <v>11</v>
      </c>
      <c r="E579" s="5">
        <v>2</v>
      </c>
    </row>
    <row r="580" spans="1:6" x14ac:dyDescent="0.2">
      <c r="A580">
        <v>108750</v>
      </c>
      <c r="B580" t="s">
        <v>162</v>
      </c>
      <c r="C580" s="5">
        <v>144</v>
      </c>
      <c r="D580" s="5">
        <v>10</v>
      </c>
      <c r="E580" s="5">
        <v>4</v>
      </c>
      <c r="F580" s="3">
        <v>6.9444444444444448E-2</v>
      </c>
    </row>
    <row r="581" spans="1:6" x14ac:dyDescent="0.2">
      <c r="A581">
        <v>172684</v>
      </c>
      <c r="B581" t="s">
        <v>455</v>
      </c>
      <c r="C581" s="5">
        <v>113</v>
      </c>
      <c r="D581" s="5">
        <v>10</v>
      </c>
      <c r="E581" s="5">
        <v>0</v>
      </c>
      <c r="F581" s="3">
        <v>8.8495575221238937E-2</v>
      </c>
    </row>
    <row r="582" spans="1:6" x14ac:dyDescent="0.2">
      <c r="A582">
        <v>110173</v>
      </c>
      <c r="B582" t="s">
        <v>226</v>
      </c>
      <c r="C582" s="5">
        <v>34</v>
      </c>
      <c r="D582" s="5">
        <v>30</v>
      </c>
      <c r="E582" s="5">
        <v>22</v>
      </c>
      <c r="F582" s="3">
        <v>0.88235294117647056</v>
      </c>
    </row>
    <row r="583" spans="1:6" x14ac:dyDescent="0.2">
      <c r="A583">
        <v>108956</v>
      </c>
      <c r="B583" t="s">
        <v>174</v>
      </c>
      <c r="C583" s="5">
        <v>34</v>
      </c>
      <c r="D583" s="5">
        <v>6</v>
      </c>
      <c r="E583" s="5">
        <v>4</v>
      </c>
      <c r="F583" s="3">
        <v>0.1764705882352941</v>
      </c>
    </row>
    <row r="584" spans="1:6" x14ac:dyDescent="0.2">
      <c r="A584">
        <v>115132</v>
      </c>
      <c r="B584" t="s">
        <v>319</v>
      </c>
      <c r="C584" s="5">
        <v>33</v>
      </c>
      <c r="D584" s="5">
        <v>17</v>
      </c>
      <c r="E584" s="5">
        <v>0</v>
      </c>
      <c r="F584" s="3">
        <v>0.51515151515151514</v>
      </c>
    </row>
    <row r="585" spans="1:6" x14ac:dyDescent="0.2">
      <c r="A585">
        <v>127820</v>
      </c>
      <c r="B585" t="s">
        <v>366</v>
      </c>
      <c r="C585" s="5">
        <v>33</v>
      </c>
      <c r="D585" s="5">
        <v>17</v>
      </c>
      <c r="E585" s="5">
        <v>1</v>
      </c>
      <c r="F585" s="3">
        <v>0.51515151515151514</v>
      </c>
    </row>
    <row r="586" spans="1:6" x14ac:dyDescent="0.2">
      <c r="A586" s="12">
        <v>156634</v>
      </c>
      <c r="B586" s="12" t="s">
        <v>431</v>
      </c>
      <c r="C586" s="13">
        <v>7</v>
      </c>
      <c r="D586" s="13">
        <v>10</v>
      </c>
      <c r="E586" s="13">
        <v>6</v>
      </c>
      <c r="F586" s="14">
        <v>1.428571428571429</v>
      </c>
    </row>
    <row r="587" spans="1:6" x14ac:dyDescent="0.2">
      <c r="A587">
        <v>106750</v>
      </c>
      <c r="D587" s="5">
        <v>10</v>
      </c>
      <c r="E587" s="5">
        <v>6</v>
      </c>
    </row>
    <row r="588" spans="1:6" x14ac:dyDescent="0.2">
      <c r="A588">
        <v>108767</v>
      </c>
      <c r="D588" s="5">
        <v>10</v>
      </c>
      <c r="E588" s="5">
        <v>13</v>
      </c>
    </row>
    <row r="589" spans="1:6" x14ac:dyDescent="0.2">
      <c r="A589">
        <v>109197</v>
      </c>
      <c r="D589" s="5">
        <v>10</v>
      </c>
      <c r="E589" s="5">
        <v>33</v>
      </c>
    </row>
    <row r="590" spans="1:6" x14ac:dyDescent="0.2">
      <c r="A590">
        <v>110142</v>
      </c>
      <c r="D590" s="5">
        <v>10</v>
      </c>
      <c r="E590" s="5">
        <v>50</v>
      </c>
    </row>
    <row r="591" spans="1:6" x14ac:dyDescent="0.2">
      <c r="A591">
        <v>110690</v>
      </c>
      <c r="D591" s="5">
        <v>10</v>
      </c>
      <c r="E591" s="5">
        <v>3</v>
      </c>
    </row>
    <row r="592" spans="1:6" x14ac:dyDescent="0.2">
      <c r="A592">
        <v>328240</v>
      </c>
      <c r="D592" s="5">
        <v>10</v>
      </c>
      <c r="E592" s="5">
        <v>0</v>
      </c>
    </row>
    <row r="593" spans="1:6" x14ac:dyDescent="0.2">
      <c r="A593">
        <v>466044</v>
      </c>
      <c r="D593" s="5">
        <v>10</v>
      </c>
      <c r="E593" s="5">
        <v>24</v>
      </c>
    </row>
    <row r="594" spans="1:6" x14ac:dyDescent="0.2">
      <c r="A594">
        <v>523755</v>
      </c>
      <c r="B594" t="s">
        <v>651</v>
      </c>
      <c r="D594" s="5">
        <v>10</v>
      </c>
      <c r="E594" s="5">
        <v>4</v>
      </c>
    </row>
    <row r="595" spans="1:6" x14ac:dyDescent="0.2">
      <c r="A595" t="s">
        <v>29</v>
      </c>
      <c r="B595" t="s">
        <v>689</v>
      </c>
      <c r="D595" s="5">
        <v>10</v>
      </c>
      <c r="E595" s="5">
        <v>0</v>
      </c>
    </row>
    <row r="596" spans="1:6" x14ac:dyDescent="0.2">
      <c r="A596">
        <v>109265</v>
      </c>
      <c r="B596" t="s">
        <v>193</v>
      </c>
      <c r="C596" s="5">
        <v>320</v>
      </c>
      <c r="D596" s="5">
        <v>9</v>
      </c>
      <c r="E596" s="5">
        <v>0</v>
      </c>
      <c r="F596" s="3">
        <v>2.8125000000000001E-2</v>
      </c>
    </row>
    <row r="597" spans="1:6" x14ac:dyDescent="0.2">
      <c r="A597">
        <v>107621</v>
      </c>
      <c r="B597" t="s">
        <v>111</v>
      </c>
      <c r="C597" s="5">
        <v>226</v>
      </c>
      <c r="D597" s="5">
        <v>9</v>
      </c>
      <c r="E597" s="5">
        <v>0</v>
      </c>
      <c r="F597" s="3">
        <v>3.9823008849557522E-2</v>
      </c>
    </row>
    <row r="598" spans="1:6" x14ac:dyDescent="0.2">
      <c r="A598">
        <v>315055</v>
      </c>
      <c r="B598" t="s">
        <v>521</v>
      </c>
      <c r="C598" s="5">
        <v>139</v>
      </c>
      <c r="D598" s="5">
        <v>9</v>
      </c>
      <c r="E598" s="5">
        <v>375</v>
      </c>
      <c r="F598" s="3">
        <v>6.4748201438848921E-2</v>
      </c>
    </row>
    <row r="599" spans="1:6" x14ac:dyDescent="0.2">
      <c r="A599">
        <v>113502</v>
      </c>
      <c r="B599" t="s">
        <v>304</v>
      </c>
      <c r="C599" s="5">
        <v>111</v>
      </c>
      <c r="D599" s="5">
        <v>9</v>
      </c>
      <c r="E599" s="5">
        <v>21</v>
      </c>
      <c r="F599" s="3">
        <v>8.1081081081081086E-2</v>
      </c>
    </row>
    <row r="600" spans="1:6" x14ac:dyDescent="0.2">
      <c r="A600">
        <v>459269</v>
      </c>
      <c r="B600" t="s">
        <v>573</v>
      </c>
      <c r="C600" s="5">
        <v>104</v>
      </c>
      <c r="D600" s="5">
        <v>9</v>
      </c>
      <c r="E600" s="5">
        <v>13</v>
      </c>
      <c r="F600" s="3">
        <v>8.6538461538461536E-2</v>
      </c>
    </row>
    <row r="601" spans="1:6" x14ac:dyDescent="0.2">
      <c r="A601">
        <v>108851</v>
      </c>
      <c r="B601" t="s">
        <v>168</v>
      </c>
      <c r="C601" s="5">
        <v>33</v>
      </c>
      <c r="D601" s="5">
        <v>9</v>
      </c>
      <c r="E601" s="5">
        <v>8</v>
      </c>
      <c r="F601" s="3">
        <v>0.27272727272727271</v>
      </c>
    </row>
    <row r="602" spans="1:6" x14ac:dyDescent="0.2">
      <c r="A602">
        <v>323651</v>
      </c>
      <c r="B602" t="s">
        <v>539</v>
      </c>
      <c r="C602" s="5">
        <v>32</v>
      </c>
      <c r="D602" s="5">
        <v>6</v>
      </c>
      <c r="E602" s="5">
        <v>2</v>
      </c>
      <c r="F602" s="3">
        <v>0.1875</v>
      </c>
    </row>
    <row r="603" spans="1:6" x14ac:dyDescent="0.2">
      <c r="A603">
        <v>108766</v>
      </c>
      <c r="B603" t="s">
        <v>164</v>
      </c>
      <c r="C603" s="5">
        <v>31</v>
      </c>
      <c r="D603" s="5">
        <v>28</v>
      </c>
      <c r="E603" s="5">
        <v>7</v>
      </c>
      <c r="F603" s="3">
        <v>0.90322580645161288</v>
      </c>
    </row>
    <row r="604" spans="1:6" x14ac:dyDescent="0.2">
      <c r="A604">
        <v>318425</v>
      </c>
      <c r="B604" t="s">
        <v>529</v>
      </c>
      <c r="C604" s="5">
        <v>31</v>
      </c>
      <c r="D604" s="5">
        <v>27</v>
      </c>
      <c r="E604" s="5">
        <v>0</v>
      </c>
      <c r="F604" s="3">
        <v>0.87096774193548387</v>
      </c>
    </row>
    <row r="605" spans="1:6" x14ac:dyDescent="0.2">
      <c r="A605">
        <v>459683</v>
      </c>
      <c r="B605" t="s">
        <v>576</v>
      </c>
      <c r="C605" s="5">
        <v>31</v>
      </c>
      <c r="D605" s="5">
        <v>5</v>
      </c>
      <c r="E605" s="5">
        <v>1</v>
      </c>
      <c r="F605" s="3">
        <v>0.16129032258064521</v>
      </c>
    </row>
    <row r="606" spans="1:6" x14ac:dyDescent="0.2">
      <c r="A606">
        <v>111009</v>
      </c>
      <c r="D606" s="5">
        <v>9</v>
      </c>
      <c r="E606" s="5">
        <v>3</v>
      </c>
    </row>
    <row r="607" spans="1:6" x14ac:dyDescent="0.2">
      <c r="A607">
        <v>135343</v>
      </c>
      <c r="D607" s="5">
        <v>9</v>
      </c>
      <c r="E607" s="5">
        <v>85</v>
      </c>
    </row>
    <row r="608" spans="1:6" x14ac:dyDescent="0.2">
      <c r="A608">
        <v>293426</v>
      </c>
      <c r="D608" s="5">
        <v>9</v>
      </c>
      <c r="E608" s="5">
        <v>11</v>
      </c>
    </row>
    <row r="609" spans="1:6" x14ac:dyDescent="0.2">
      <c r="A609" t="s">
        <v>23</v>
      </c>
      <c r="D609" s="5">
        <v>9</v>
      </c>
      <c r="E609" s="5">
        <v>0</v>
      </c>
    </row>
    <row r="610" spans="1:6" x14ac:dyDescent="0.2">
      <c r="A610">
        <v>551261</v>
      </c>
      <c r="B610" t="s">
        <v>659</v>
      </c>
      <c r="C610" s="5">
        <v>425</v>
      </c>
      <c r="D610" s="5">
        <v>8</v>
      </c>
      <c r="E610" s="5">
        <v>0</v>
      </c>
      <c r="F610" s="3">
        <v>1.8823529411764701E-2</v>
      </c>
    </row>
    <row r="611" spans="1:6" x14ac:dyDescent="0.2">
      <c r="A611">
        <v>124184</v>
      </c>
      <c r="B611" t="s">
        <v>355</v>
      </c>
      <c r="C611" s="5">
        <v>384</v>
      </c>
      <c r="D611" s="5">
        <v>8</v>
      </c>
      <c r="E611" s="5">
        <v>33</v>
      </c>
      <c r="F611" s="3">
        <v>2.0833333333333329E-2</v>
      </c>
    </row>
    <row r="612" spans="1:6" x14ac:dyDescent="0.2">
      <c r="A612">
        <v>109117</v>
      </c>
      <c r="B612" t="s">
        <v>182</v>
      </c>
      <c r="C612" s="5">
        <v>312</v>
      </c>
      <c r="D612" s="5">
        <v>8</v>
      </c>
      <c r="E612" s="5">
        <v>0</v>
      </c>
      <c r="F612" s="3">
        <v>2.564102564102564E-2</v>
      </c>
    </row>
    <row r="613" spans="1:6" x14ac:dyDescent="0.2">
      <c r="A613">
        <v>319336</v>
      </c>
      <c r="B613" t="s">
        <v>532</v>
      </c>
      <c r="C613" s="5">
        <v>221</v>
      </c>
      <c r="D613" s="5">
        <v>8</v>
      </c>
      <c r="E613" s="5">
        <v>0</v>
      </c>
      <c r="F613" s="3">
        <v>3.6199095022624438E-2</v>
      </c>
    </row>
    <row r="614" spans="1:6" x14ac:dyDescent="0.2">
      <c r="A614">
        <v>164915</v>
      </c>
      <c r="B614" t="s">
        <v>449</v>
      </c>
      <c r="C614" s="5">
        <v>147</v>
      </c>
      <c r="D614" s="5">
        <v>8</v>
      </c>
      <c r="E614" s="5">
        <v>0</v>
      </c>
      <c r="F614" s="3">
        <v>5.4421768707482991E-2</v>
      </c>
    </row>
    <row r="615" spans="1:6" x14ac:dyDescent="0.2">
      <c r="A615">
        <v>110540</v>
      </c>
      <c r="B615" t="s">
        <v>239</v>
      </c>
      <c r="C615" s="5">
        <v>107</v>
      </c>
      <c r="D615" s="5">
        <v>8</v>
      </c>
      <c r="E615" s="5">
        <v>0</v>
      </c>
      <c r="F615" s="3">
        <v>7.476635514018691E-2</v>
      </c>
    </row>
    <row r="616" spans="1:6" x14ac:dyDescent="0.2">
      <c r="A616">
        <v>212211</v>
      </c>
      <c r="B616" t="s">
        <v>486</v>
      </c>
      <c r="C616" s="5">
        <v>31</v>
      </c>
      <c r="D616" s="5">
        <v>4</v>
      </c>
      <c r="E616" s="5">
        <v>0</v>
      </c>
      <c r="F616" s="3">
        <v>0.1290322580645161</v>
      </c>
    </row>
    <row r="617" spans="1:6" x14ac:dyDescent="0.2">
      <c r="A617">
        <v>114564</v>
      </c>
      <c r="B617" t="s">
        <v>313</v>
      </c>
      <c r="C617" s="5">
        <v>30</v>
      </c>
      <c r="D617" s="5">
        <v>3</v>
      </c>
      <c r="E617" s="5">
        <v>2</v>
      </c>
      <c r="F617" s="3">
        <v>0.1</v>
      </c>
    </row>
    <row r="618" spans="1:6" x14ac:dyDescent="0.2">
      <c r="A618" s="12">
        <v>212546</v>
      </c>
      <c r="B618" s="12" t="s">
        <v>487</v>
      </c>
      <c r="C618" s="13">
        <v>8</v>
      </c>
      <c r="D618" s="13">
        <v>8</v>
      </c>
      <c r="E618" s="13">
        <v>0</v>
      </c>
      <c r="F618" s="14">
        <v>1</v>
      </c>
    </row>
    <row r="619" spans="1:6" x14ac:dyDescent="0.2">
      <c r="A619" s="9">
        <v>113263</v>
      </c>
      <c r="B619" s="9" t="s">
        <v>292</v>
      </c>
      <c r="C619" s="10">
        <v>5</v>
      </c>
      <c r="D619" s="10">
        <v>8</v>
      </c>
      <c r="E619" s="10">
        <v>0</v>
      </c>
      <c r="F619" s="11">
        <v>1.6</v>
      </c>
    </row>
    <row r="620" spans="1:6" x14ac:dyDescent="0.2">
      <c r="A620" s="9">
        <v>471807</v>
      </c>
      <c r="B620" s="9" t="s">
        <v>602</v>
      </c>
      <c r="C620" s="10">
        <v>3</v>
      </c>
      <c r="D620" s="10">
        <v>8</v>
      </c>
      <c r="E620" s="10">
        <v>1</v>
      </c>
      <c r="F620" s="11">
        <v>2.666666666666667</v>
      </c>
    </row>
    <row r="621" spans="1:6" x14ac:dyDescent="0.2">
      <c r="A621">
        <v>107206</v>
      </c>
      <c r="D621" s="5">
        <v>8</v>
      </c>
      <c r="E621" s="5">
        <v>0</v>
      </c>
    </row>
    <row r="622" spans="1:6" x14ac:dyDescent="0.2">
      <c r="A622">
        <v>493764</v>
      </c>
      <c r="B622" t="s">
        <v>628</v>
      </c>
      <c r="D622" s="5">
        <v>8</v>
      </c>
      <c r="E622" s="5">
        <v>0</v>
      </c>
    </row>
    <row r="623" spans="1:6" x14ac:dyDescent="0.2">
      <c r="A623" t="s">
        <v>17</v>
      </c>
      <c r="B623" t="s">
        <v>679</v>
      </c>
      <c r="D623" s="5">
        <v>8</v>
      </c>
      <c r="E623" s="5">
        <v>0</v>
      </c>
    </row>
    <row r="624" spans="1:6" x14ac:dyDescent="0.2">
      <c r="A624" t="s">
        <v>24</v>
      </c>
      <c r="B624" t="s">
        <v>684</v>
      </c>
      <c r="D624" s="5">
        <v>8</v>
      </c>
      <c r="E624" s="5">
        <v>0</v>
      </c>
    </row>
    <row r="625" spans="1:6" x14ac:dyDescent="0.2">
      <c r="A625">
        <v>305888</v>
      </c>
      <c r="B625" t="s">
        <v>507</v>
      </c>
      <c r="C625" s="5">
        <v>190</v>
      </c>
      <c r="D625" s="5">
        <v>7</v>
      </c>
      <c r="E625" s="5">
        <v>0</v>
      </c>
      <c r="F625" s="3">
        <v>3.6842105263157891E-2</v>
      </c>
    </row>
    <row r="626" spans="1:6" x14ac:dyDescent="0.2">
      <c r="A626">
        <v>157469</v>
      </c>
      <c r="B626" t="s">
        <v>435</v>
      </c>
      <c r="C626" s="5">
        <v>162</v>
      </c>
      <c r="D626" s="5">
        <v>7</v>
      </c>
      <c r="E626" s="5">
        <v>38</v>
      </c>
      <c r="F626" s="3">
        <v>4.3209876543209867E-2</v>
      </c>
    </row>
    <row r="627" spans="1:6" x14ac:dyDescent="0.2">
      <c r="A627">
        <v>129439</v>
      </c>
      <c r="B627" t="s">
        <v>373</v>
      </c>
      <c r="C627" s="5">
        <v>127</v>
      </c>
      <c r="D627" s="5">
        <v>7</v>
      </c>
      <c r="E627" s="5">
        <v>40</v>
      </c>
      <c r="F627" s="3">
        <v>5.5118110236220472E-2</v>
      </c>
    </row>
    <row r="628" spans="1:6" x14ac:dyDescent="0.2">
      <c r="A628">
        <v>105389</v>
      </c>
      <c r="B628" t="s">
        <v>42</v>
      </c>
      <c r="C628" s="5">
        <v>102</v>
      </c>
      <c r="D628" s="5">
        <v>7</v>
      </c>
      <c r="E628" s="5">
        <v>72</v>
      </c>
      <c r="F628" s="3">
        <v>6.8627450980392163E-2</v>
      </c>
    </row>
    <row r="629" spans="1:6" x14ac:dyDescent="0.2">
      <c r="A629">
        <v>162954</v>
      </c>
      <c r="B629" t="s">
        <v>444</v>
      </c>
      <c r="C629" s="5">
        <v>29</v>
      </c>
      <c r="D629" s="5">
        <v>25</v>
      </c>
      <c r="E629" s="5">
        <v>6</v>
      </c>
      <c r="F629" s="3">
        <v>0.86206896551724133</v>
      </c>
    </row>
    <row r="630" spans="1:6" x14ac:dyDescent="0.2">
      <c r="A630">
        <v>476092</v>
      </c>
      <c r="B630" t="s">
        <v>604</v>
      </c>
      <c r="C630" s="5">
        <v>28</v>
      </c>
      <c r="D630" s="5">
        <v>5</v>
      </c>
      <c r="E630" s="5">
        <v>0</v>
      </c>
      <c r="F630" s="3">
        <v>0.1785714285714286</v>
      </c>
    </row>
    <row r="631" spans="1:6" x14ac:dyDescent="0.2">
      <c r="A631">
        <v>313761</v>
      </c>
      <c r="B631" t="s">
        <v>518</v>
      </c>
      <c r="C631" s="5">
        <v>27</v>
      </c>
      <c r="D631" s="5">
        <v>5</v>
      </c>
      <c r="E631" s="5">
        <v>0</v>
      </c>
      <c r="F631" s="3">
        <v>0.1851851851851852</v>
      </c>
    </row>
    <row r="632" spans="1:6" x14ac:dyDescent="0.2">
      <c r="A632">
        <v>210565</v>
      </c>
      <c r="B632" t="s">
        <v>484</v>
      </c>
      <c r="C632" s="5">
        <v>26</v>
      </c>
      <c r="D632" s="5">
        <v>7</v>
      </c>
      <c r="E632" s="5">
        <v>0</v>
      </c>
      <c r="F632" s="3">
        <v>0.26923076923076922</v>
      </c>
    </row>
    <row r="633" spans="1:6" x14ac:dyDescent="0.2">
      <c r="A633">
        <v>108751</v>
      </c>
      <c r="B633" t="s">
        <v>163</v>
      </c>
      <c r="C633" s="5">
        <v>25</v>
      </c>
      <c r="D633" s="5">
        <v>11</v>
      </c>
      <c r="E633" s="5">
        <v>0</v>
      </c>
      <c r="F633" s="3">
        <v>0.44</v>
      </c>
    </row>
    <row r="634" spans="1:6" x14ac:dyDescent="0.2">
      <c r="A634">
        <v>113444</v>
      </c>
      <c r="B634" t="s">
        <v>302</v>
      </c>
      <c r="C634" s="5">
        <v>25</v>
      </c>
      <c r="D634" s="5">
        <v>8</v>
      </c>
      <c r="E634" s="5">
        <v>3</v>
      </c>
      <c r="F634" s="3">
        <v>0.32</v>
      </c>
    </row>
    <row r="635" spans="1:6" x14ac:dyDescent="0.2">
      <c r="A635" s="12">
        <v>145395</v>
      </c>
      <c r="B635" s="12" t="s">
        <v>405</v>
      </c>
      <c r="C635" s="13">
        <v>5</v>
      </c>
      <c r="D635" s="13">
        <v>7</v>
      </c>
      <c r="E635" s="13">
        <v>0</v>
      </c>
      <c r="F635" s="14">
        <v>1.4</v>
      </c>
    </row>
    <row r="636" spans="1:6" x14ac:dyDescent="0.2">
      <c r="A636" s="12">
        <v>484480</v>
      </c>
      <c r="B636" s="12" t="s">
        <v>618</v>
      </c>
      <c r="C636" s="13">
        <v>5</v>
      </c>
      <c r="D636" s="13">
        <v>7</v>
      </c>
      <c r="E636" s="13">
        <v>3</v>
      </c>
      <c r="F636" s="14">
        <v>1.4</v>
      </c>
    </row>
    <row r="637" spans="1:6" x14ac:dyDescent="0.2">
      <c r="A637" s="9">
        <v>459447</v>
      </c>
      <c r="B637" s="9" t="s">
        <v>574</v>
      </c>
      <c r="C637" s="10">
        <v>2</v>
      </c>
      <c r="D637" s="10">
        <v>7</v>
      </c>
      <c r="E637" s="10">
        <v>3</v>
      </c>
      <c r="F637" s="11">
        <v>3.5</v>
      </c>
    </row>
    <row r="638" spans="1:6" x14ac:dyDescent="0.2">
      <c r="A638">
        <v>108326</v>
      </c>
      <c r="B638" t="s">
        <v>142</v>
      </c>
      <c r="D638" s="5">
        <v>7</v>
      </c>
      <c r="E638" s="5">
        <v>0</v>
      </c>
    </row>
    <row r="639" spans="1:6" x14ac:dyDescent="0.2">
      <c r="A639">
        <v>164535</v>
      </c>
      <c r="B639" t="s">
        <v>447</v>
      </c>
      <c r="D639" s="5">
        <v>7</v>
      </c>
      <c r="E639" s="5">
        <v>0</v>
      </c>
    </row>
    <row r="640" spans="1:6" x14ac:dyDescent="0.2">
      <c r="A640">
        <v>170384</v>
      </c>
      <c r="D640" s="5">
        <v>7</v>
      </c>
      <c r="E640" s="5">
        <v>8</v>
      </c>
    </row>
    <row r="641" spans="1:6" x14ac:dyDescent="0.2">
      <c r="A641">
        <v>174235</v>
      </c>
      <c r="D641" s="5">
        <v>7</v>
      </c>
      <c r="E641" s="5">
        <v>5</v>
      </c>
    </row>
    <row r="642" spans="1:6" x14ac:dyDescent="0.2">
      <c r="A642">
        <v>302987</v>
      </c>
      <c r="D642" s="5">
        <v>7</v>
      </c>
      <c r="E642" s="5">
        <v>18</v>
      </c>
    </row>
    <row r="643" spans="1:6" x14ac:dyDescent="0.2">
      <c r="A643">
        <v>309015</v>
      </c>
      <c r="D643" s="5">
        <v>7</v>
      </c>
      <c r="E643" s="5">
        <v>6</v>
      </c>
    </row>
    <row r="644" spans="1:6" x14ac:dyDescent="0.2">
      <c r="A644">
        <v>491705</v>
      </c>
      <c r="D644" s="5">
        <v>7</v>
      </c>
      <c r="E644" s="5">
        <v>63</v>
      </c>
    </row>
    <row r="645" spans="1:6" x14ac:dyDescent="0.2">
      <c r="A645">
        <v>114556</v>
      </c>
      <c r="B645" t="s">
        <v>312</v>
      </c>
      <c r="C645" s="5">
        <v>828</v>
      </c>
      <c r="D645" s="5">
        <v>6</v>
      </c>
      <c r="E645" s="5">
        <v>267</v>
      </c>
      <c r="F645" s="3">
        <v>7.246376811594203E-3</v>
      </c>
    </row>
    <row r="646" spans="1:6" x14ac:dyDescent="0.2">
      <c r="A646">
        <v>119697</v>
      </c>
      <c r="B646" t="s">
        <v>349</v>
      </c>
      <c r="C646" s="5">
        <v>282</v>
      </c>
      <c r="D646" s="5">
        <v>6</v>
      </c>
      <c r="E646" s="5">
        <v>0</v>
      </c>
      <c r="F646" s="3">
        <v>2.1276595744680851E-2</v>
      </c>
    </row>
    <row r="647" spans="1:6" x14ac:dyDescent="0.2">
      <c r="A647">
        <v>114873</v>
      </c>
      <c r="B647" t="s">
        <v>317</v>
      </c>
      <c r="C647" s="5">
        <v>189</v>
      </c>
      <c r="D647" s="5">
        <v>6</v>
      </c>
      <c r="E647" s="5">
        <v>0</v>
      </c>
      <c r="F647" s="3">
        <v>3.1746031746031737E-2</v>
      </c>
    </row>
    <row r="648" spans="1:6" x14ac:dyDescent="0.2">
      <c r="A648">
        <v>467555</v>
      </c>
      <c r="B648" t="s">
        <v>594</v>
      </c>
      <c r="C648" s="5">
        <v>110</v>
      </c>
      <c r="D648" s="5">
        <v>6</v>
      </c>
      <c r="E648" s="5">
        <v>2</v>
      </c>
      <c r="F648" s="3">
        <v>5.4545454545454543E-2</v>
      </c>
    </row>
    <row r="649" spans="1:6" x14ac:dyDescent="0.2">
      <c r="A649">
        <v>486118</v>
      </c>
      <c r="B649" t="s">
        <v>622</v>
      </c>
      <c r="C649" s="5">
        <v>25</v>
      </c>
      <c r="D649" s="5">
        <v>6</v>
      </c>
      <c r="E649" s="5">
        <v>0</v>
      </c>
      <c r="F649" s="3">
        <v>0.24</v>
      </c>
    </row>
    <row r="650" spans="1:6" x14ac:dyDescent="0.2">
      <c r="A650">
        <v>115223</v>
      </c>
      <c r="B650" t="s">
        <v>320</v>
      </c>
      <c r="C650" s="5">
        <v>25</v>
      </c>
      <c r="D650" s="5">
        <v>5</v>
      </c>
      <c r="E650" s="5">
        <v>2</v>
      </c>
      <c r="F650" s="3">
        <v>0.2</v>
      </c>
    </row>
    <row r="651" spans="1:6" x14ac:dyDescent="0.2">
      <c r="A651">
        <v>113455</v>
      </c>
      <c r="B651" t="s">
        <v>303</v>
      </c>
      <c r="C651" s="5">
        <v>24</v>
      </c>
      <c r="D651" s="5">
        <v>7</v>
      </c>
      <c r="E651" s="5">
        <v>0</v>
      </c>
      <c r="F651" s="3">
        <v>0.29166666666666669</v>
      </c>
    </row>
    <row r="652" spans="1:6" x14ac:dyDescent="0.2">
      <c r="A652">
        <v>133907</v>
      </c>
      <c r="B652" t="s">
        <v>384</v>
      </c>
      <c r="C652" s="5">
        <v>23</v>
      </c>
      <c r="D652" s="5">
        <v>9</v>
      </c>
      <c r="E652" s="5">
        <v>0</v>
      </c>
      <c r="F652" s="3">
        <v>0.39130434782608697</v>
      </c>
    </row>
    <row r="653" spans="1:6" x14ac:dyDescent="0.2">
      <c r="A653">
        <v>109105</v>
      </c>
      <c r="B653" t="s">
        <v>180</v>
      </c>
      <c r="C653" s="5">
        <v>21</v>
      </c>
      <c r="D653" s="5">
        <v>2</v>
      </c>
      <c r="E653" s="5">
        <v>0</v>
      </c>
      <c r="F653" s="3">
        <v>9.5238095238095233E-2</v>
      </c>
    </row>
    <row r="654" spans="1:6" x14ac:dyDescent="0.2">
      <c r="A654">
        <v>166224</v>
      </c>
      <c r="B654" t="s">
        <v>452</v>
      </c>
      <c r="C654" s="5">
        <v>20</v>
      </c>
      <c r="D654" s="5">
        <v>18</v>
      </c>
      <c r="E654" s="5">
        <v>34</v>
      </c>
      <c r="F654" s="3">
        <v>0.9</v>
      </c>
    </row>
    <row r="655" spans="1:6" x14ac:dyDescent="0.2">
      <c r="A655">
        <v>301164</v>
      </c>
      <c r="B655" t="s">
        <v>497</v>
      </c>
      <c r="C655" s="5">
        <v>20</v>
      </c>
      <c r="D655" s="5">
        <v>14</v>
      </c>
      <c r="E655" s="5">
        <v>0</v>
      </c>
      <c r="F655" s="3">
        <v>0.7</v>
      </c>
    </row>
    <row r="656" spans="1:6" x14ac:dyDescent="0.2">
      <c r="A656" s="9">
        <v>480485</v>
      </c>
      <c r="B656" s="9" t="s">
        <v>612</v>
      </c>
      <c r="C656" s="10">
        <v>2</v>
      </c>
      <c r="D656" s="10">
        <v>6</v>
      </c>
      <c r="E656" s="10">
        <v>0</v>
      </c>
      <c r="F656" s="11">
        <v>3</v>
      </c>
    </row>
    <row r="657" spans="1:6" x14ac:dyDescent="0.2">
      <c r="A657">
        <v>106528</v>
      </c>
      <c r="D657" s="5">
        <v>6</v>
      </c>
      <c r="E657" s="5">
        <v>0</v>
      </c>
    </row>
    <row r="658" spans="1:6" x14ac:dyDescent="0.2">
      <c r="A658">
        <v>113383</v>
      </c>
      <c r="B658" t="s">
        <v>296</v>
      </c>
      <c r="D658" s="5">
        <v>6</v>
      </c>
      <c r="E658" s="5">
        <v>4</v>
      </c>
    </row>
    <row r="659" spans="1:6" x14ac:dyDescent="0.2">
      <c r="A659">
        <v>204157</v>
      </c>
      <c r="B659" t="s">
        <v>478</v>
      </c>
      <c r="D659" s="5">
        <v>6</v>
      </c>
      <c r="E659" s="5">
        <v>0</v>
      </c>
    </row>
    <row r="660" spans="1:6" x14ac:dyDescent="0.2">
      <c r="A660">
        <v>205136</v>
      </c>
      <c r="B660" t="s">
        <v>480</v>
      </c>
      <c r="D660" s="5">
        <v>6</v>
      </c>
      <c r="E660" s="5">
        <v>0</v>
      </c>
    </row>
    <row r="661" spans="1:6" x14ac:dyDescent="0.2">
      <c r="A661">
        <v>313954</v>
      </c>
      <c r="D661" s="5">
        <v>6</v>
      </c>
      <c r="E661" s="5">
        <v>3</v>
      </c>
    </row>
    <row r="662" spans="1:6" x14ac:dyDescent="0.2">
      <c r="A662">
        <v>109734</v>
      </c>
      <c r="B662" t="s">
        <v>211</v>
      </c>
      <c r="C662" s="5">
        <v>446</v>
      </c>
      <c r="D662" s="5">
        <v>5</v>
      </c>
      <c r="E662" s="5">
        <v>0</v>
      </c>
      <c r="F662" s="3">
        <v>1.1210762331838559E-2</v>
      </c>
    </row>
    <row r="663" spans="1:6" x14ac:dyDescent="0.2">
      <c r="A663">
        <v>112486</v>
      </c>
      <c r="B663" t="s">
        <v>273</v>
      </c>
      <c r="C663" s="5">
        <v>209</v>
      </c>
      <c r="D663" s="5">
        <v>5</v>
      </c>
      <c r="E663" s="5">
        <v>0</v>
      </c>
      <c r="F663" s="3">
        <v>2.3923444976076551E-2</v>
      </c>
    </row>
    <row r="664" spans="1:6" x14ac:dyDescent="0.2">
      <c r="A664">
        <v>148711</v>
      </c>
      <c r="B664" t="s">
        <v>415</v>
      </c>
      <c r="C664" s="5">
        <v>101</v>
      </c>
      <c r="D664" s="5">
        <v>5</v>
      </c>
      <c r="E664" s="5">
        <v>2</v>
      </c>
      <c r="F664" s="3">
        <v>4.9504950495049507E-2</v>
      </c>
    </row>
    <row r="665" spans="1:6" x14ac:dyDescent="0.2">
      <c r="A665">
        <v>106985</v>
      </c>
      <c r="B665" t="s">
        <v>90</v>
      </c>
      <c r="C665" s="5">
        <v>90</v>
      </c>
      <c r="D665" s="5">
        <v>5</v>
      </c>
      <c r="E665" s="5">
        <v>5</v>
      </c>
      <c r="F665" s="3">
        <v>5.5555555555555552E-2</v>
      </c>
    </row>
    <row r="666" spans="1:6" x14ac:dyDescent="0.2">
      <c r="A666">
        <v>532061</v>
      </c>
      <c r="B666" t="s">
        <v>652</v>
      </c>
      <c r="C666" s="5">
        <v>20</v>
      </c>
      <c r="D666" s="5">
        <v>10</v>
      </c>
      <c r="E666" s="5">
        <v>18</v>
      </c>
      <c r="F666" s="3">
        <v>0.5</v>
      </c>
    </row>
    <row r="667" spans="1:6" x14ac:dyDescent="0.2">
      <c r="A667">
        <v>198139</v>
      </c>
      <c r="B667" t="s">
        <v>474</v>
      </c>
      <c r="C667" s="5">
        <v>19</v>
      </c>
      <c r="D667" s="5">
        <v>6</v>
      </c>
      <c r="E667" s="5">
        <v>0</v>
      </c>
      <c r="F667" s="3">
        <v>0.31578947368421051</v>
      </c>
    </row>
    <row r="668" spans="1:6" x14ac:dyDescent="0.2">
      <c r="A668">
        <v>110385</v>
      </c>
      <c r="B668" t="s">
        <v>232</v>
      </c>
      <c r="C668" s="5">
        <v>18</v>
      </c>
      <c r="D668" s="5">
        <v>11</v>
      </c>
      <c r="E668" s="5">
        <v>3</v>
      </c>
      <c r="F668" s="3">
        <v>0.61111111111111116</v>
      </c>
    </row>
    <row r="669" spans="1:6" x14ac:dyDescent="0.2">
      <c r="A669">
        <v>109723</v>
      </c>
      <c r="B669" t="s">
        <v>210</v>
      </c>
      <c r="C669" s="5">
        <v>18</v>
      </c>
      <c r="D669" s="5">
        <v>6</v>
      </c>
      <c r="E669" s="5">
        <v>32</v>
      </c>
      <c r="F669" s="3">
        <v>0.33333333333333331</v>
      </c>
    </row>
    <row r="670" spans="1:6" x14ac:dyDescent="0.2">
      <c r="A670">
        <v>521948</v>
      </c>
      <c r="B670" t="s">
        <v>650</v>
      </c>
      <c r="C670" s="5">
        <v>17</v>
      </c>
      <c r="D670" s="5">
        <v>5</v>
      </c>
      <c r="E670" s="5">
        <v>0</v>
      </c>
      <c r="F670" s="3">
        <v>0.29411764705882348</v>
      </c>
    </row>
    <row r="671" spans="1:6" x14ac:dyDescent="0.2">
      <c r="A671">
        <v>317462</v>
      </c>
      <c r="B671" t="s">
        <v>528</v>
      </c>
      <c r="C671" s="5">
        <v>16</v>
      </c>
      <c r="D671" s="5">
        <v>14</v>
      </c>
      <c r="E671" s="5">
        <v>0</v>
      </c>
      <c r="F671" s="3">
        <v>0.875</v>
      </c>
    </row>
    <row r="672" spans="1:6" x14ac:dyDescent="0.2">
      <c r="A672">
        <v>549754</v>
      </c>
      <c r="B672" t="s">
        <v>658</v>
      </c>
      <c r="C672" s="5">
        <v>16</v>
      </c>
      <c r="D672" s="5">
        <v>12</v>
      </c>
      <c r="E672" s="5">
        <v>5</v>
      </c>
      <c r="F672" s="3">
        <v>0.75</v>
      </c>
    </row>
    <row r="673" spans="1:6" x14ac:dyDescent="0.2">
      <c r="A673">
        <v>135594</v>
      </c>
      <c r="B673" t="s">
        <v>388</v>
      </c>
      <c r="C673" s="5">
        <v>16</v>
      </c>
      <c r="D673" s="5">
        <v>11</v>
      </c>
      <c r="E673" s="5">
        <v>5</v>
      </c>
      <c r="F673" s="3">
        <v>0.6875</v>
      </c>
    </row>
    <row r="674" spans="1:6" x14ac:dyDescent="0.2">
      <c r="A674">
        <v>107189</v>
      </c>
      <c r="B674" t="s">
        <v>98</v>
      </c>
      <c r="C674" s="5">
        <v>16</v>
      </c>
      <c r="D674" s="5">
        <v>6</v>
      </c>
      <c r="E674" s="5">
        <v>2</v>
      </c>
      <c r="F674" s="3">
        <v>0.375</v>
      </c>
    </row>
    <row r="675" spans="1:6" x14ac:dyDescent="0.2">
      <c r="A675">
        <v>465697</v>
      </c>
      <c r="B675" t="s">
        <v>582</v>
      </c>
      <c r="C675" s="5">
        <v>15</v>
      </c>
      <c r="D675" s="5">
        <v>4</v>
      </c>
      <c r="E675" s="5">
        <v>0</v>
      </c>
      <c r="F675" s="3">
        <v>0.26666666666666672</v>
      </c>
    </row>
    <row r="676" spans="1:6" x14ac:dyDescent="0.2">
      <c r="A676" s="12">
        <v>498161</v>
      </c>
      <c r="B676" s="12" t="s">
        <v>632</v>
      </c>
      <c r="C676" s="13">
        <v>4</v>
      </c>
      <c r="D676" s="13">
        <v>5</v>
      </c>
      <c r="E676" s="13">
        <v>0</v>
      </c>
      <c r="F676" s="14">
        <v>1.25</v>
      </c>
    </row>
    <row r="677" spans="1:6" x14ac:dyDescent="0.2">
      <c r="A677">
        <v>105861</v>
      </c>
      <c r="D677" s="5">
        <v>5</v>
      </c>
      <c r="E677" s="5">
        <v>14</v>
      </c>
    </row>
    <row r="678" spans="1:6" x14ac:dyDescent="0.2">
      <c r="A678">
        <v>149220</v>
      </c>
      <c r="D678" s="5">
        <v>5</v>
      </c>
      <c r="E678" s="5">
        <v>42</v>
      </c>
    </row>
    <row r="679" spans="1:6" x14ac:dyDescent="0.2">
      <c r="A679">
        <v>157728</v>
      </c>
      <c r="D679" s="5">
        <v>5</v>
      </c>
      <c r="E679" s="5">
        <v>7</v>
      </c>
    </row>
    <row r="680" spans="1:6" x14ac:dyDescent="0.2">
      <c r="A680">
        <v>164112</v>
      </c>
      <c r="D680" s="5">
        <v>5</v>
      </c>
      <c r="E680" s="5">
        <v>0</v>
      </c>
    </row>
    <row r="681" spans="1:6" x14ac:dyDescent="0.2">
      <c r="A681">
        <v>164977</v>
      </c>
      <c r="D681" s="5">
        <v>5</v>
      </c>
      <c r="E681" s="5">
        <v>9</v>
      </c>
    </row>
    <row r="682" spans="1:6" x14ac:dyDescent="0.2">
      <c r="A682">
        <v>512963</v>
      </c>
      <c r="D682" s="5">
        <v>5</v>
      </c>
      <c r="E682" s="5">
        <v>5</v>
      </c>
    </row>
    <row r="683" spans="1:6" x14ac:dyDescent="0.2">
      <c r="A683">
        <v>158258</v>
      </c>
      <c r="B683" t="s">
        <v>440</v>
      </c>
      <c r="C683" s="5">
        <v>295</v>
      </c>
      <c r="D683" s="5">
        <v>4</v>
      </c>
      <c r="E683" s="5">
        <v>0</v>
      </c>
      <c r="F683" s="3">
        <v>1.3559322033898299E-2</v>
      </c>
    </row>
    <row r="684" spans="1:6" x14ac:dyDescent="0.2">
      <c r="A684">
        <v>512806</v>
      </c>
      <c r="B684" t="s">
        <v>639</v>
      </c>
      <c r="C684" s="5">
        <v>264</v>
      </c>
      <c r="D684" s="5">
        <v>4</v>
      </c>
      <c r="E684" s="5">
        <v>1</v>
      </c>
      <c r="F684" s="3">
        <v>1.515151515151515E-2</v>
      </c>
    </row>
    <row r="685" spans="1:6" x14ac:dyDescent="0.2">
      <c r="A685">
        <v>106509</v>
      </c>
      <c r="B685" t="s">
        <v>68</v>
      </c>
      <c r="C685" s="5">
        <v>260</v>
      </c>
      <c r="D685" s="5">
        <v>4</v>
      </c>
      <c r="E685" s="5">
        <v>2</v>
      </c>
      <c r="F685" s="3">
        <v>1.5384615384615391E-2</v>
      </c>
    </row>
    <row r="686" spans="1:6" x14ac:dyDescent="0.2">
      <c r="A686">
        <v>113397</v>
      </c>
      <c r="B686" t="s">
        <v>298</v>
      </c>
      <c r="C686" s="5">
        <v>137</v>
      </c>
      <c r="D686" s="5">
        <v>4</v>
      </c>
      <c r="E686" s="5">
        <v>0</v>
      </c>
      <c r="F686" s="3">
        <v>2.9197080291970798E-2</v>
      </c>
    </row>
    <row r="687" spans="1:6" x14ac:dyDescent="0.2">
      <c r="A687">
        <v>325626</v>
      </c>
      <c r="B687" t="s">
        <v>543</v>
      </c>
      <c r="C687" s="5">
        <v>105</v>
      </c>
      <c r="D687" s="5">
        <v>4</v>
      </c>
      <c r="E687" s="5">
        <v>38</v>
      </c>
      <c r="F687" s="3">
        <v>3.8095238095238099E-2</v>
      </c>
    </row>
    <row r="688" spans="1:6" x14ac:dyDescent="0.2">
      <c r="A688">
        <v>128220</v>
      </c>
      <c r="B688" t="s">
        <v>368</v>
      </c>
      <c r="C688" s="5">
        <v>14</v>
      </c>
      <c r="D688" s="5">
        <v>12</v>
      </c>
      <c r="E688" s="5">
        <v>2</v>
      </c>
      <c r="F688" s="3">
        <v>0.8571428571428571</v>
      </c>
    </row>
    <row r="689" spans="1:6" x14ac:dyDescent="0.2">
      <c r="A689">
        <v>481940</v>
      </c>
      <c r="B689" t="s">
        <v>614</v>
      </c>
      <c r="C689" s="5">
        <v>13</v>
      </c>
      <c r="D689" s="5">
        <v>12</v>
      </c>
      <c r="E689" s="5">
        <v>0</v>
      </c>
      <c r="F689" s="3">
        <v>0.92307692307692313</v>
      </c>
    </row>
    <row r="690" spans="1:6" x14ac:dyDescent="0.2">
      <c r="A690">
        <v>478423</v>
      </c>
      <c r="B690" t="s">
        <v>609</v>
      </c>
      <c r="C690" s="5">
        <v>13</v>
      </c>
      <c r="D690" s="5">
        <v>4</v>
      </c>
      <c r="E690" s="5">
        <v>0</v>
      </c>
      <c r="F690" s="3">
        <v>0.30769230769230771</v>
      </c>
    </row>
    <row r="691" spans="1:6" x14ac:dyDescent="0.2">
      <c r="A691">
        <v>112407</v>
      </c>
      <c r="B691" t="s">
        <v>268</v>
      </c>
      <c r="C691" s="5">
        <v>10</v>
      </c>
      <c r="D691" s="5">
        <v>5</v>
      </c>
      <c r="E691" s="5">
        <v>0</v>
      </c>
      <c r="F691" s="3">
        <v>0.5</v>
      </c>
    </row>
    <row r="692" spans="1:6" x14ac:dyDescent="0.2">
      <c r="A692">
        <v>142059</v>
      </c>
      <c r="B692" t="s">
        <v>400</v>
      </c>
      <c r="C692" s="5">
        <v>9</v>
      </c>
      <c r="D692" s="5">
        <v>1</v>
      </c>
      <c r="E692" s="5">
        <v>0</v>
      </c>
      <c r="F692" s="3">
        <v>0.1111111111111111</v>
      </c>
    </row>
    <row r="693" spans="1:6" x14ac:dyDescent="0.2">
      <c r="A693">
        <v>139260</v>
      </c>
      <c r="B693" t="s">
        <v>391</v>
      </c>
      <c r="C693" s="5">
        <v>8</v>
      </c>
      <c r="D693" s="5">
        <v>7</v>
      </c>
      <c r="E693" s="5">
        <v>2</v>
      </c>
      <c r="F693" s="3">
        <v>0.875</v>
      </c>
    </row>
    <row r="694" spans="1:6" x14ac:dyDescent="0.2">
      <c r="A694" s="12">
        <v>153812</v>
      </c>
      <c r="B694" s="12" t="s">
        <v>424</v>
      </c>
      <c r="C694" s="13">
        <v>4</v>
      </c>
      <c r="D694" s="13">
        <v>4</v>
      </c>
      <c r="E694" s="13">
        <v>0</v>
      </c>
      <c r="F694" s="14">
        <v>1</v>
      </c>
    </row>
    <row r="695" spans="1:6" x14ac:dyDescent="0.2">
      <c r="A695">
        <v>115539</v>
      </c>
      <c r="B695" t="s">
        <v>325</v>
      </c>
      <c r="D695" s="5">
        <v>4</v>
      </c>
      <c r="E695" s="5">
        <v>24</v>
      </c>
    </row>
    <row r="696" spans="1:6" x14ac:dyDescent="0.2">
      <c r="A696">
        <v>303942</v>
      </c>
      <c r="B696" t="s">
        <v>503</v>
      </c>
      <c r="D696" s="5">
        <v>4</v>
      </c>
      <c r="E696" s="5">
        <v>4</v>
      </c>
    </row>
    <row r="697" spans="1:6" x14ac:dyDescent="0.2">
      <c r="A697">
        <v>464691</v>
      </c>
      <c r="D697" s="5">
        <v>4</v>
      </c>
      <c r="E697" s="5">
        <v>125</v>
      </c>
    </row>
    <row r="698" spans="1:6" x14ac:dyDescent="0.2">
      <c r="A698">
        <v>478216</v>
      </c>
      <c r="D698" s="5">
        <v>4</v>
      </c>
      <c r="E698" s="5">
        <v>13</v>
      </c>
    </row>
    <row r="699" spans="1:6" x14ac:dyDescent="0.2">
      <c r="A699" t="s">
        <v>21</v>
      </c>
      <c r="D699" s="5">
        <v>4</v>
      </c>
      <c r="E699" s="5">
        <v>14</v>
      </c>
    </row>
    <row r="700" spans="1:6" x14ac:dyDescent="0.2">
      <c r="A700" t="s">
        <v>26</v>
      </c>
      <c r="B700" t="s">
        <v>686</v>
      </c>
      <c r="D700" s="5">
        <v>4</v>
      </c>
      <c r="E700" s="5">
        <v>0</v>
      </c>
    </row>
    <row r="701" spans="1:6" x14ac:dyDescent="0.2">
      <c r="A701">
        <v>143890</v>
      </c>
      <c r="B701" t="s">
        <v>401</v>
      </c>
      <c r="C701" s="5">
        <v>667</v>
      </c>
      <c r="D701" s="5">
        <v>3</v>
      </c>
      <c r="E701" s="5">
        <v>2</v>
      </c>
      <c r="F701" s="3">
        <v>4.4977511244377807E-3</v>
      </c>
    </row>
    <row r="702" spans="1:6" x14ac:dyDescent="0.2">
      <c r="A702">
        <v>109928</v>
      </c>
      <c r="B702" t="s">
        <v>219</v>
      </c>
      <c r="C702" s="5">
        <v>795</v>
      </c>
      <c r="D702" s="5">
        <v>3</v>
      </c>
      <c r="E702" s="5">
        <v>4</v>
      </c>
      <c r="F702" s="3">
        <v>3.773584905660377E-3</v>
      </c>
    </row>
    <row r="703" spans="1:6" x14ac:dyDescent="0.2">
      <c r="A703">
        <v>557455</v>
      </c>
      <c r="B703" t="s">
        <v>662</v>
      </c>
      <c r="C703" s="5">
        <v>244</v>
      </c>
      <c r="D703" s="5">
        <v>3</v>
      </c>
      <c r="E703" s="5">
        <v>0</v>
      </c>
      <c r="F703" s="3">
        <v>1.2295081967213109E-2</v>
      </c>
    </row>
    <row r="704" spans="1:6" x14ac:dyDescent="0.2">
      <c r="A704">
        <v>106967</v>
      </c>
      <c r="B704" t="s">
        <v>89</v>
      </c>
      <c r="C704" s="5">
        <v>147</v>
      </c>
      <c r="D704" s="5">
        <v>3</v>
      </c>
      <c r="E704" s="5">
        <v>0</v>
      </c>
      <c r="F704" s="3">
        <v>2.0408163265306121E-2</v>
      </c>
    </row>
    <row r="705" spans="1:6" x14ac:dyDescent="0.2">
      <c r="A705">
        <v>108890</v>
      </c>
      <c r="B705" t="s">
        <v>172</v>
      </c>
      <c r="C705" s="5">
        <v>57</v>
      </c>
      <c r="D705" s="5">
        <v>3</v>
      </c>
      <c r="E705" s="5">
        <v>0</v>
      </c>
      <c r="F705" s="3">
        <v>5.2631578947368418E-2</v>
      </c>
    </row>
    <row r="706" spans="1:6" x14ac:dyDescent="0.2">
      <c r="A706">
        <v>328070</v>
      </c>
      <c r="B706" t="s">
        <v>549</v>
      </c>
      <c r="C706" s="5">
        <v>51</v>
      </c>
      <c r="D706" s="5">
        <v>3</v>
      </c>
      <c r="E706" s="5">
        <v>0</v>
      </c>
      <c r="F706" s="3">
        <v>5.8823529411764712E-2</v>
      </c>
    </row>
    <row r="707" spans="1:6" x14ac:dyDescent="0.2">
      <c r="A707">
        <v>160259</v>
      </c>
      <c r="B707" t="s">
        <v>442</v>
      </c>
      <c r="C707" s="5">
        <v>48</v>
      </c>
      <c r="D707" s="5">
        <v>3</v>
      </c>
      <c r="E707" s="5">
        <v>1</v>
      </c>
      <c r="F707" s="3">
        <v>6.25E-2</v>
      </c>
    </row>
    <row r="708" spans="1:6" x14ac:dyDescent="0.2">
      <c r="A708">
        <v>321253</v>
      </c>
      <c r="B708" t="s">
        <v>535</v>
      </c>
      <c r="C708" s="5">
        <v>41</v>
      </c>
      <c r="D708" s="5">
        <v>3</v>
      </c>
      <c r="E708" s="5">
        <v>0</v>
      </c>
      <c r="F708" s="3">
        <v>7.3170731707317069E-2</v>
      </c>
    </row>
    <row r="709" spans="1:6" x14ac:dyDescent="0.2">
      <c r="A709">
        <v>465982</v>
      </c>
      <c r="B709" t="s">
        <v>585</v>
      </c>
      <c r="C709" s="5">
        <v>38</v>
      </c>
      <c r="D709" s="5">
        <v>3</v>
      </c>
      <c r="E709" s="5">
        <v>0</v>
      </c>
      <c r="F709" s="3">
        <v>7.8947368421052627E-2</v>
      </c>
    </row>
    <row r="710" spans="1:6" x14ac:dyDescent="0.2">
      <c r="A710">
        <v>108866</v>
      </c>
      <c r="B710" t="s">
        <v>169</v>
      </c>
      <c r="C710" s="5">
        <v>36</v>
      </c>
      <c r="D710" s="5">
        <v>3</v>
      </c>
      <c r="E710" s="5">
        <v>0</v>
      </c>
      <c r="F710" s="3">
        <v>8.3333333333333329E-2</v>
      </c>
    </row>
    <row r="711" spans="1:6" x14ac:dyDescent="0.2">
      <c r="A711">
        <v>500661</v>
      </c>
      <c r="B711" t="s">
        <v>634</v>
      </c>
      <c r="C711" s="5">
        <v>7</v>
      </c>
      <c r="D711" s="5">
        <v>4</v>
      </c>
      <c r="E711" s="5">
        <v>2</v>
      </c>
      <c r="F711" s="3">
        <v>0.5714285714285714</v>
      </c>
    </row>
    <row r="712" spans="1:6" x14ac:dyDescent="0.2">
      <c r="A712">
        <v>488116</v>
      </c>
      <c r="B712" t="s">
        <v>624</v>
      </c>
      <c r="C712" s="5">
        <v>7</v>
      </c>
      <c r="D712" s="5">
        <v>3</v>
      </c>
      <c r="E712" s="5">
        <v>3</v>
      </c>
      <c r="F712" s="3">
        <v>0.42857142857142849</v>
      </c>
    </row>
    <row r="713" spans="1:6" x14ac:dyDescent="0.2">
      <c r="A713" s="9">
        <v>467633</v>
      </c>
      <c r="B713" s="9" t="s">
        <v>595</v>
      </c>
      <c r="C713" s="10">
        <v>2</v>
      </c>
      <c r="D713" s="10">
        <v>3</v>
      </c>
      <c r="E713" s="10">
        <v>0</v>
      </c>
      <c r="F713" s="11">
        <v>1.5</v>
      </c>
    </row>
    <row r="714" spans="1:6" x14ac:dyDescent="0.2">
      <c r="A714" s="9">
        <v>542060</v>
      </c>
      <c r="B714" s="9" t="s">
        <v>655</v>
      </c>
      <c r="C714" s="10">
        <v>2</v>
      </c>
      <c r="D714" s="10">
        <v>3</v>
      </c>
      <c r="E714" s="10">
        <v>0</v>
      </c>
      <c r="F714" s="11">
        <v>1.5</v>
      </c>
    </row>
    <row r="715" spans="1:6" x14ac:dyDescent="0.2">
      <c r="A715">
        <v>109365</v>
      </c>
      <c r="D715" s="5">
        <v>3</v>
      </c>
      <c r="E715" s="5">
        <v>0</v>
      </c>
    </row>
    <row r="716" spans="1:6" x14ac:dyDescent="0.2">
      <c r="A716">
        <v>138774</v>
      </c>
      <c r="D716" s="5">
        <v>3</v>
      </c>
      <c r="E716" s="5">
        <v>0</v>
      </c>
    </row>
    <row r="717" spans="1:6" x14ac:dyDescent="0.2">
      <c r="A717">
        <v>189075</v>
      </c>
      <c r="B717" t="s">
        <v>466</v>
      </c>
      <c r="D717" s="5">
        <v>3</v>
      </c>
      <c r="E717" s="5">
        <v>0</v>
      </c>
    </row>
    <row r="718" spans="1:6" x14ac:dyDescent="0.2">
      <c r="A718">
        <v>222038</v>
      </c>
      <c r="D718" s="5">
        <v>3</v>
      </c>
      <c r="E718" s="5">
        <v>0</v>
      </c>
    </row>
    <row r="719" spans="1:6" x14ac:dyDescent="0.2">
      <c r="A719">
        <v>518257</v>
      </c>
      <c r="D719" s="5">
        <v>3</v>
      </c>
      <c r="E719" s="5">
        <v>0</v>
      </c>
    </row>
    <row r="720" spans="1:6" x14ac:dyDescent="0.2">
      <c r="A720">
        <v>538457</v>
      </c>
      <c r="D720" s="5">
        <v>3</v>
      </c>
      <c r="E720" s="5">
        <v>0</v>
      </c>
    </row>
    <row r="721" spans="1:6" x14ac:dyDescent="0.2">
      <c r="A721">
        <v>109173</v>
      </c>
      <c r="B721" t="s">
        <v>185</v>
      </c>
      <c r="C721" s="5">
        <v>426</v>
      </c>
      <c r="D721" s="5">
        <v>2</v>
      </c>
      <c r="E721" s="5">
        <v>0</v>
      </c>
      <c r="F721" s="3">
        <v>4.6948356807511738E-3</v>
      </c>
    </row>
    <row r="722" spans="1:6" x14ac:dyDescent="0.2">
      <c r="A722">
        <v>110545</v>
      </c>
      <c r="B722" t="s">
        <v>240</v>
      </c>
      <c r="C722" s="5">
        <v>221</v>
      </c>
      <c r="D722" s="5">
        <v>2</v>
      </c>
      <c r="E722" s="5">
        <v>0</v>
      </c>
      <c r="F722" s="3">
        <v>9.0497737556561094E-3</v>
      </c>
    </row>
    <row r="723" spans="1:6" x14ac:dyDescent="0.2">
      <c r="A723">
        <v>106477</v>
      </c>
      <c r="B723" t="s">
        <v>66</v>
      </c>
      <c r="C723" s="5">
        <v>150</v>
      </c>
      <c r="D723" s="5">
        <v>2</v>
      </c>
      <c r="E723" s="5">
        <v>0</v>
      </c>
      <c r="F723" s="3">
        <v>1.3333333333333331E-2</v>
      </c>
    </row>
    <row r="724" spans="1:6" x14ac:dyDescent="0.2">
      <c r="A724">
        <v>110737</v>
      </c>
      <c r="B724" t="s">
        <v>247</v>
      </c>
      <c r="C724" s="5">
        <v>120</v>
      </c>
      <c r="D724" s="5">
        <v>2</v>
      </c>
      <c r="E724" s="5">
        <v>0</v>
      </c>
      <c r="F724" s="3">
        <v>1.666666666666667E-2</v>
      </c>
    </row>
    <row r="725" spans="1:6" x14ac:dyDescent="0.2">
      <c r="A725">
        <v>107880</v>
      </c>
      <c r="B725" t="s">
        <v>119</v>
      </c>
      <c r="C725" s="5">
        <v>109</v>
      </c>
      <c r="D725" s="5">
        <v>2</v>
      </c>
      <c r="E725" s="5">
        <v>0</v>
      </c>
      <c r="F725" s="3">
        <v>1.834862385321101E-2</v>
      </c>
    </row>
    <row r="726" spans="1:6" x14ac:dyDescent="0.2">
      <c r="A726">
        <v>510946</v>
      </c>
      <c r="B726" t="s">
        <v>636</v>
      </c>
      <c r="C726" s="5">
        <v>6</v>
      </c>
      <c r="D726" s="5">
        <v>5</v>
      </c>
      <c r="E726" s="5">
        <v>0</v>
      </c>
      <c r="F726" s="3">
        <v>0.83333333333333337</v>
      </c>
    </row>
    <row r="727" spans="1:6" x14ac:dyDescent="0.2">
      <c r="A727">
        <v>483729</v>
      </c>
      <c r="B727" t="s">
        <v>617</v>
      </c>
      <c r="C727" s="5">
        <v>6</v>
      </c>
      <c r="D727" s="5">
        <v>4</v>
      </c>
      <c r="E727" s="5">
        <v>0</v>
      </c>
      <c r="F727" s="3">
        <v>0.66666666666666663</v>
      </c>
    </row>
    <row r="728" spans="1:6" x14ac:dyDescent="0.2">
      <c r="A728">
        <v>112742</v>
      </c>
      <c r="B728" t="s">
        <v>286</v>
      </c>
      <c r="D728" s="5">
        <v>2</v>
      </c>
      <c r="E728" s="5">
        <v>0</v>
      </c>
    </row>
    <row r="729" spans="1:6" x14ac:dyDescent="0.2">
      <c r="A729">
        <v>115079</v>
      </c>
      <c r="D729" s="5">
        <v>2</v>
      </c>
      <c r="E729" s="5">
        <v>0</v>
      </c>
    </row>
    <row r="730" spans="1:6" x14ac:dyDescent="0.2">
      <c r="A730">
        <v>179779</v>
      </c>
      <c r="B730" t="s">
        <v>459</v>
      </c>
      <c r="D730" s="5">
        <v>2</v>
      </c>
      <c r="E730" s="5">
        <v>0</v>
      </c>
    </row>
    <row r="731" spans="1:6" x14ac:dyDescent="0.2">
      <c r="A731">
        <v>193887</v>
      </c>
      <c r="D731" s="5">
        <v>2</v>
      </c>
      <c r="E731" s="5">
        <v>0</v>
      </c>
    </row>
    <row r="732" spans="1:6" x14ac:dyDescent="0.2">
      <c r="A732">
        <v>576647</v>
      </c>
      <c r="B732" t="s">
        <v>667</v>
      </c>
      <c r="D732" s="5">
        <v>2</v>
      </c>
      <c r="E732" s="5">
        <v>0</v>
      </c>
    </row>
    <row r="733" spans="1:6" x14ac:dyDescent="0.2">
      <c r="A733" t="s">
        <v>19</v>
      </c>
      <c r="B733" t="s">
        <v>681</v>
      </c>
      <c r="D733" s="5">
        <v>2</v>
      </c>
      <c r="E733" s="5">
        <v>0</v>
      </c>
    </row>
    <row r="734" spans="1:6" x14ac:dyDescent="0.2">
      <c r="A734">
        <v>109867</v>
      </c>
      <c r="B734" t="s">
        <v>217</v>
      </c>
      <c r="C734" s="5">
        <v>723</v>
      </c>
      <c r="D734" s="5">
        <v>1</v>
      </c>
      <c r="E734" s="5">
        <v>0</v>
      </c>
      <c r="F734" s="3">
        <v>1.3831258644536649E-3</v>
      </c>
    </row>
    <row r="735" spans="1:6" x14ac:dyDescent="0.2">
      <c r="A735">
        <v>113519</v>
      </c>
      <c r="B735" t="s">
        <v>306</v>
      </c>
      <c r="C735" s="5">
        <v>396</v>
      </c>
      <c r="D735" s="5">
        <v>1</v>
      </c>
      <c r="E735" s="5">
        <v>0</v>
      </c>
      <c r="F735" s="3">
        <v>2.525252525252525E-3</v>
      </c>
    </row>
    <row r="736" spans="1:6" x14ac:dyDescent="0.2">
      <c r="A736">
        <v>158327</v>
      </c>
      <c r="B736" t="s">
        <v>441</v>
      </c>
      <c r="C736" s="5">
        <v>248</v>
      </c>
      <c r="D736" s="5">
        <v>1</v>
      </c>
      <c r="E736" s="5">
        <v>0</v>
      </c>
      <c r="F736" s="3">
        <v>4.0322580645161289E-3</v>
      </c>
    </row>
    <row r="737" spans="1:6" x14ac:dyDescent="0.2">
      <c r="A737">
        <v>112546</v>
      </c>
      <c r="B737" t="s">
        <v>277</v>
      </c>
      <c r="C737" s="5">
        <v>86</v>
      </c>
      <c r="D737" s="5">
        <v>1</v>
      </c>
      <c r="E737" s="5">
        <v>0</v>
      </c>
      <c r="F737" s="3">
        <v>1.1627906976744189E-2</v>
      </c>
    </row>
    <row r="738" spans="1:6" x14ac:dyDescent="0.2">
      <c r="A738">
        <v>140284</v>
      </c>
      <c r="B738" t="s">
        <v>393</v>
      </c>
      <c r="C738" s="5">
        <v>85</v>
      </c>
      <c r="D738" s="5">
        <v>1</v>
      </c>
      <c r="E738" s="5">
        <v>4</v>
      </c>
      <c r="F738" s="3">
        <v>1.1764705882352939E-2</v>
      </c>
    </row>
    <row r="739" spans="1:6" x14ac:dyDescent="0.2">
      <c r="A739">
        <v>520949</v>
      </c>
      <c r="B739" t="s">
        <v>649</v>
      </c>
      <c r="C739" s="5">
        <v>66</v>
      </c>
      <c r="D739" s="5">
        <v>1</v>
      </c>
      <c r="E739" s="5">
        <v>0</v>
      </c>
      <c r="F739" s="3">
        <v>1.515151515151515E-2</v>
      </c>
    </row>
    <row r="740" spans="1:6" x14ac:dyDescent="0.2">
      <c r="A740">
        <v>108461</v>
      </c>
      <c r="B740" t="s">
        <v>148</v>
      </c>
      <c r="C740" s="5">
        <v>54</v>
      </c>
      <c r="D740" s="5">
        <v>1</v>
      </c>
      <c r="E740" s="5">
        <v>0</v>
      </c>
      <c r="F740" s="3">
        <v>1.8518518518518521E-2</v>
      </c>
    </row>
    <row r="741" spans="1:6" x14ac:dyDescent="0.2">
      <c r="A741">
        <v>201477</v>
      </c>
      <c r="B741" t="s">
        <v>476</v>
      </c>
      <c r="C741" s="5">
        <v>43</v>
      </c>
      <c r="D741" s="5">
        <v>1</v>
      </c>
      <c r="E741" s="5">
        <v>0</v>
      </c>
      <c r="F741" s="3">
        <v>2.3255813953488368E-2</v>
      </c>
    </row>
    <row r="742" spans="1:6" x14ac:dyDescent="0.2">
      <c r="A742">
        <v>108380</v>
      </c>
      <c r="B742" t="s">
        <v>145</v>
      </c>
      <c r="C742" s="5">
        <v>24</v>
      </c>
      <c r="D742" s="5">
        <v>1</v>
      </c>
      <c r="E742" s="5">
        <v>0</v>
      </c>
      <c r="F742" s="3">
        <v>4.1666666666666657E-2</v>
      </c>
    </row>
    <row r="743" spans="1:6" x14ac:dyDescent="0.2">
      <c r="A743">
        <v>494926</v>
      </c>
      <c r="B743" t="s">
        <v>631</v>
      </c>
      <c r="C743" s="5">
        <v>24</v>
      </c>
      <c r="D743" s="5">
        <v>1</v>
      </c>
      <c r="E743" s="5">
        <v>1</v>
      </c>
      <c r="F743" s="3">
        <v>4.1666666666666657E-2</v>
      </c>
    </row>
    <row r="744" spans="1:6" x14ac:dyDescent="0.2">
      <c r="A744">
        <v>115749</v>
      </c>
      <c r="B744" t="s">
        <v>327</v>
      </c>
      <c r="C744" s="5">
        <v>22</v>
      </c>
      <c r="D744" s="5">
        <v>1</v>
      </c>
      <c r="E744" s="5">
        <v>0</v>
      </c>
      <c r="F744" s="3">
        <v>4.5454545454545463E-2</v>
      </c>
    </row>
    <row r="745" spans="1:6" x14ac:dyDescent="0.2">
      <c r="A745">
        <v>122506</v>
      </c>
      <c r="B745" t="s">
        <v>353</v>
      </c>
      <c r="C745" s="5">
        <v>18</v>
      </c>
      <c r="D745" s="5">
        <v>1</v>
      </c>
      <c r="E745" s="5">
        <v>1</v>
      </c>
      <c r="F745" s="3">
        <v>5.5555555555555552E-2</v>
      </c>
    </row>
    <row r="746" spans="1:6" x14ac:dyDescent="0.2">
      <c r="A746">
        <v>452681</v>
      </c>
      <c r="B746" t="s">
        <v>566</v>
      </c>
      <c r="C746" s="5">
        <v>16</v>
      </c>
      <c r="D746" s="5">
        <v>1</v>
      </c>
      <c r="E746" s="5">
        <v>0</v>
      </c>
      <c r="F746" s="3">
        <v>6.25E-2</v>
      </c>
    </row>
    <row r="747" spans="1:6" x14ac:dyDescent="0.2">
      <c r="A747">
        <v>115809</v>
      </c>
      <c r="B747" t="s">
        <v>329</v>
      </c>
      <c r="C747" s="5">
        <v>14</v>
      </c>
      <c r="D747" s="5">
        <v>1</v>
      </c>
      <c r="E747" s="5">
        <v>0</v>
      </c>
      <c r="F747" s="3">
        <v>7.1428571428571425E-2</v>
      </c>
    </row>
    <row r="748" spans="1:6" x14ac:dyDescent="0.2">
      <c r="A748">
        <v>482999</v>
      </c>
      <c r="B748" t="s">
        <v>616</v>
      </c>
      <c r="C748" s="5">
        <v>14</v>
      </c>
      <c r="D748" s="5">
        <v>1</v>
      </c>
      <c r="E748" s="5">
        <v>13</v>
      </c>
      <c r="F748" s="3">
        <v>7.1428571428571425E-2</v>
      </c>
    </row>
    <row r="749" spans="1:6" x14ac:dyDescent="0.2">
      <c r="A749">
        <v>452932</v>
      </c>
      <c r="B749" t="s">
        <v>568</v>
      </c>
      <c r="C749" s="5">
        <v>6</v>
      </c>
      <c r="D749" s="5">
        <v>2</v>
      </c>
      <c r="E749" s="5">
        <v>0</v>
      </c>
      <c r="F749" s="3">
        <v>0.33333333333333331</v>
      </c>
    </row>
    <row r="750" spans="1:6" x14ac:dyDescent="0.2">
      <c r="A750">
        <v>106223</v>
      </c>
      <c r="D750" s="5">
        <v>1</v>
      </c>
      <c r="E750" s="5">
        <v>21</v>
      </c>
    </row>
    <row r="751" spans="1:6" x14ac:dyDescent="0.2">
      <c r="A751">
        <v>107673</v>
      </c>
      <c r="D751" s="5">
        <v>1</v>
      </c>
      <c r="E751" s="5">
        <v>10</v>
      </c>
    </row>
    <row r="752" spans="1:6" x14ac:dyDescent="0.2">
      <c r="A752">
        <v>108474</v>
      </c>
      <c r="D752" s="5">
        <v>1</v>
      </c>
      <c r="E752" s="5">
        <v>0</v>
      </c>
    </row>
    <row r="753" spans="1:5" x14ac:dyDescent="0.2">
      <c r="A753">
        <v>109685</v>
      </c>
      <c r="D753" s="5">
        <v>1</v>
      </c>
      <c r="E753" s="5">
        <v>10</v>
      </c>
    </row>
    <row r="754" spans="1:5" x14ac:dyDescent="0.2">
      <c r="A754">
        <v>150470</v>
      </c>
      <c r="B754" t="s">
        <v>417</v>
      </c>
      <c r="D754" s="5">
        <v>1</v>
      </c>
      <c r="E754" s="5">
        <v>0</v>
      </c>
    </row>
    <row r="755" spans="1:5" x14ac:dyDescent="0.2">
      <c r="A755">
        <v>313924</v>
      </c>
      <c r="D755" s="5">
        <v>1</v>
      </c>
      <c r="E755" s="5">
        <v>0</v>
      </c>
    </row>
    <row r="756" spans="1:5" x14ac:dyDescent="0.2">
      <c r="A756">
        <v>462404</v>
      </c>
      <c r="B756" t="s">
        <v>578</v>
      </c>
      <c r="D756" s="5">
        <v>1</v>
      </c>
      <c r="E756" s="5">
        <v>0</v>
      </c>
    </row>
    <row r="757" spans="1:5" x14ac:dyDescent="0.2">
      <c r="A757">
        <v>488064</v>
      </c>
      <c r="B757" t="s">
        <v>623</v>
      </c>
      <c r="D757" s="5">
        <v>1</v>
      </c>
      <c r="E757" s="5">
        <v>0</v>
      </c>
    </row>
    <row r="758" spans="1:5" x14ac:dyDescent="0.2">
      <c r="A758" t="s">
        <v>18</v>
      </c>
      <c r="B758" t="s">
        <v>680</v>
      </c>
      <c r="D758" s="5">
        <v>1</v>
      </c>
      <c r="E758" s="5">
        <v>2</v>
      </c>
    </row>
    <row r="759" spans="1:5" x14ac:dyDescent="0.2">
      <c r="A759">
        <v>108015</v>
      </c>
      <c r="B759" t="s">
        <v>693</v>
      </c>
      <c r="C759" s="5">
        <v>875</v>
      </c>
      <c r="E759" s="5">
        <v>2</v>
      </c>
    </row>
    <row r="760" spans="1:5" x14ac:dyDescent="0.2">
      <c r="A760">
        <v>325652</v>
      </c>
      <c r="B760" t="s">
        <v>705</v>
      </c>
      <c r="C760" s="5">
        <v>551</v>
      </c>
      <c r="E760" s="5">
        <v>1</v>
      </c>
    </row>
    <row r="761" spans="1:5" x14ac:dyDescent="0.2">
      <c r="A761">
        <v>110771</v>
      </c>
      <c r="B761" t="s">
        <v>695</v>
      </c>
      <c r="C761" s="5">
        <v>444</v>
      </c>
      <c r="E761" s="5">
        <v>6</v>
      </c>
    </row>
    <row r="762" spans="1:5" x14ac:dyDescent="0.2">
      <c r="A762">
        <v>309704</v>
      </c>
      <c r="B762" t="s">
        <v>703</v>
      </c>
      <c r="C762" s="5">
        <v>206</v>
      </c>
      <c r="E762" s="5">
        <v>1</v>
      </c>
    </row>
    <row r="763" spans="1:5" x14ac:dyDescent="0.2">
      <c r="A763">
        <v>210651</v>
      </c>
      <c r="B763" t="s">
        <v>698</v>
      </c>
      <c r="C763" s="5">
        <v>159</v>
      </c>
      <c r="E763" s="5">
        <v>4</v>
      </c>
    </row>
    <row r="764" spans="1:5" x14ac:dyDescent="0.2">
      <c r="A764">
        <v>300687</v>
      </c>
      <c r="B764" t="s">
        <v>700</v>
      </c>
      <c r="C764" s="5">
        <v>150</v>
      </c>
      <c r="E764" s="5">
        <v>3</v>
      </c>
    </row>
    <row r="765" spans="1:5" x14ac:dyDescent="0.2">
      <c r="A765" t="s">
        <v>33</v>
      </c>
      <c r="B765" t="s">
        <v>718</v>
      </c>
      <c r="C765" s="5">
        <v>150</v>
      </c>
      <c r="E765" s="5">
        <v>691</v>
      </c>
    </row>
    <row r="766" spans="1:5" x14ac:dyDescent="0.2">
      <c r="A766">
        <v>466490</v>
      </c>
      <c r="B766" t="s">
        <v>707</v>
      </c>
      <c r="C766" s="5">
        <v>135</v>
      </c>
      <c r="E766" s="5">
        <v>39</v>
      </c>
    </row>
    <row r="767" spans="1:5" x14ac:dyDescent="0.2">
      <c r="A767">
        <v>115965</v>
      </c>
      <c r="B767" t="s">
        <v>696</v>
      </c>
      <c r="C767" s="5">
        <v>127</v>
      </c>
      <c r="E767" s="5">
        <v>1</v>
      </c>
    </row>
    <row r="768" spans="1:5" x14ac:dyDescent="0.2">
      <c r="A768">
        <v>110715</v>
      </c>
      <c r="B768" t="s">
        <v>694</v>
      </c>
      <c r="C768" s="5">
        <v>93</v>
      </c>
      <c r="E768" s="5">
        <v>7</v>
      </c>
    </row>
    <row r="769" spans="1:5" x14ac:dyDescent="0.2">
      <c r="A769">
        <v>219157</v>
      </c>
      <c r="B769" t="s">
        <v>699</v>
      </c>
      <c r="C769" s="5">
        <v>30</v>
      </c>
      <c r="E769" s="5">
        <v>60</v>
      </c>
    </row>
    <row r="770" spans="1:5" x14ac:dyDescent="0.2">
      <c r="A770">
        <v>466446</v>
      </c>
      <c r="B770" t="s">
        <v>706</v>
      </c>
      <c r="C770" s="5">
        <v>30</v>
      </c>
      <c r="E770" s="5">
        <v>1</v>
      </c>
    </row>
    <row r="771" spans="1:5" x14ac:dyDescent="0.2">
      <c r="A771">
        <v>107174</v>
      </c>
      <c r="B771" t="s">
        <v>692</v>
      </c>
      <c r="C771" s="5">
        <v>25</v>
      </c>
      <c r="E771" s="5">
        <v>7</v>
      </c>
    </row>
    <row r="772" spans="1:5" x14ac:dyDescent="0.2">
      <c r="A772">
        <v>309455</v>
      </c>
      <c r="B772" t="s">
        <v>702</v>
      </c>
      <c r="C772" s="5">
        <v>22</v>
      </c>
      <c r="E772" s="5">
        <v>2</v>
      </c>
    </row>
    <row r="773" spans="1:5" x14ac:dyDescent="0.2">
      <c r="A773">
        <v>475505</v>
      </c>
      <c r="B773" t="s">
        <v>710</v>
      </c>
      <c r="C773" s="5">
        <v>17</v>
      </c>
      <c r="E773" s="5">
        <v>45</v>
      </c>
    </row>
    <row r="774" spans="1:5" x14ac:dyDescent="0.2">
      <c r="A774">
        <v>498207</v>
      </c>
      <c r="B774" t="s">
        <v>711</v>
      </c>
      <c r="C774" s="5">
        <v>11</v>
      </c>
      <c r="E774" s="5">
        <v>3</v>
      </c>
    </row>
    <row r="775" spans="1:5" x14ac:dyDescent="0.2">
      <c r="A775">
        <v>470696</v>
      </c>
      <c r="B775" t="s">
        <v>708</v>
      </c>
      <c r="C775" s="5">
        <v>9</v>
      </c>
      <c r="E775" s="5">
        <v>20</v>
      </c>
    </row>
    <row r="776" spans="1:5" x14ac:dyDescent="0.2">
      <c r="A776">
        <v>472922</v>
      </c>
      <c r="B776" t="s">
        <v>709</v>
      </c>
      <c r="C776" s="5">
        <v>8</v>
      </c>
      <c r="E776" s="5">
        <v>5</v>
      </c>
    </row>
    <row r="777" spans="1:5" x14ac:dyDescent="0.2">
      <c r="A777">
        <v>130140</v>
      </c>
      <c r="B777" t="s">
        <v>697</v>
      </c>
      <c r="C777" s="5">
        <v>6</v>
      </c>
      <c r="E777" s="5">
        <v>4</v>
      </c>
    </row>
    <row r="778" spans="1:5" x14ac:dyDescent="0.2">
      <c r="A778">
        <v>106987</v>
      </c>
      <c r="E778" s="5">
        <v>6</v>
      </c>
    </row>
    <row r="779" spans="1:5" x14ac:dyDescent="0.2">
      <c r="A779">
        <v>110572</v>
      </c>
      <c r="E779" s="5">
        <v>2</v>
      </c>
    </row>
    <row r="780" spans="1:5" x14ac:dyDescent="0.2">
      <c r="A780">
        <v>111157</v>
      </c>
      <c r="E780" s="5">
        <v>77</v>
      </c>
    </row>
    <row r="781" spans="1:5" x14ac:dyDescent="0.2">
      <c r="A781">
        <v>125630</v>
      </c>
      <c r="E781" s="5">
        <v>9</v>
      </c>
    </row>
    <row r="782" spans="1:5" x14ac:dyDescent="0.2">
      <c r="A782">
        <v>233436</v>
      </c>
      <c r="E782" s="5">
        <v>5</v>
      </c>
    </row>
    <row r="783" spans="1:5" x14ac:dyDescent="0.2">
      <c r="A783">
        <v>302416</v>
      </c>
      <c r="E783" s="5">
        <v>19</v>
      </c>
    </row>
    <row r="784" spans="1:5" x14ac:dyDescent="0.2">
      <c r="A784">
        <v>304056</v>
      </c>
      <c r="B784" t="s">
        <v>701</v>
      </c>
      <c r="E784" s="5">
        <v>1</v>
      </c>
    </row>
    <row r="785" spans="1:5" x14ac:dyDescent="0.2">
      <c r="A785">
        <v>321491</v>
      </c>
      <c r="B785" t="s">
        <v>704</v>
      </c>
      <c r="E785" s="5">
        <v>1</v>
      </c>
    </row>
    <row r="786" spans="1:5" x14ac:dyDescent="0.2">
      <c r="A786">
        <v>411438</v>
      </c>
      <c r="E786" s="5">
        <v>3</v>
      </c>
    </row>
    <row r="787" spans="1:5" x14ac:dyDescent="0.2">
      <c r="A787">
        <v>466669</v>
      </c>
      <c r="E787" s="5">
        <v>8</v>
      </c>
    </row>
    <row r="788" spans="1:5" x14ac:dyDescent="0.2">
      <c r="A788">
        <v>513112</v>
      </c>
      <c r="E788" s="5">
        <v>15</v>
      </c>
    </row>
    <row r="789" spans="1:5" x14ac:dyDescent="0.2">
      <c r="A789">
        <v>515162</v>
      </c>
      <c r="B789" t="s">
        <v>712</v>
      </c>
      <c r="E789" s="5">
        <v>405</v>
      </c>
    </row>
    <row r="790" spans="1:5" x14ac:dyDescent="0.2">
      <c r="A790">
        <v>515701</v>
      </c>
      <c r="B790" t="s">
        <v>713</v>
      </c>
      <c r="E790" s="5">
        <v>52</v>
      </c>
    </row>
    <row r="791" spans="1:5" x14ac:dyDescent="0.2">
      <c r="A791">
        <v>519849</v>
      </c>
      <c r="B791" t="s">
        <v>714</v>
      </c>
      <c r="E791" s="5">
        <v>18</v>
      </c>
    </row>
    <row r="792" spans="1:5" x14ac:dyDescent="0.2">
      <c r="A792">
        <v>525155</v>
      </c>
      <c r="E792" s="5">
        <v>7</v>
      </c>
    </row>
    <row r="793" spans="1:5" x14ac:dyDescent="0.2">
      <c r="A793">
        <v>533752</v>
      </c>
      <c r="E793" s="5">
        <v>1</v>
      </c>
    </row>
    <row r="794" spans="1:5" x14ac:dyDescent="0.2">
      <c r="A794">
        <v>538476</v>
      </c>
      <c r="B794" t="s">
        <v>715</v>
      </c>
      <c r="E794" s="5">
        <v>1</v>
      </c>
    </row>
    <row r="795" spans="1:5" x14ac:dyDescent="0.2">
      <c r="A795">
        <v>542050</v>
      </c>
      <c r="E795" s="5">
        <v>4</v>
      </c>
    </row>
    <row r="796" spans="1:5" x14ac:dyDescent="0.2">
      <c r="A796">
        <v>554347</v>
      </c>
      <c r="B796" t="s">
        <v>716</v>
      </c>
      <c r="E796" s="5">
        <v>36</v>
      </c>
    </row>
    <row r="797" spans="1:5" x14ac:dyDescent="0.2">
      <c r="A797">
        <v>559849</v>
      </c>
      <c r="B797" t="s">
        <v>717</v>
      </c>
      <c r="E797" s="5">
        <v>10</v>
      </c>
    </row>
    <row r="798" spans="1:5" x14ac:dyDescent="0.2">
      <c r="A798" t="s">
        <v>32</v>
      </c>
      <c r="E798" s="5">
        <v>1</v>
      </c>
    </row>
    <row r="799" spans="1:5" x14ac:dyDescent="0.2">
      <c r="A799" t="s">
        <v>34</v>
      </c>
      <c r="B799" t="s">
        <v>719</v>
      </c>
      <c r="E799" s="5">
        <v>301</v>
      </c>
    </row>
    <row r="800" spans="1:5" x14ac:dyDescent="0.2">
      <c r="A800" t="s">
        <v>35</v>
      </c>
      <c r="B800" t="s">
        <v>720</v>
      </c>
      <c r="E800" s="5">
        <v>68</v>
      </c>
    </row>
    <row r="801" spans="1:5" x14ac:dyDescent="0.2">
      <c r="A801" t="s">
        <v>36</v>
      </c>
      <c r="E801" s="5">
        <v>10</v>
      </c>
    </row>
  </sheetData>
  <autoFilter ref="A1:F801" xr:uid="{00000000-0001-0000-0000-000000000000}">
    <sortState xmlns:xlrd2="http://schemas.microsoft.com/office/spreadsheetml/2017/richdata2" ref="A4:F749">
      <sortCondition descending="1" ref="C1:C801"/>
    </sortState>
  </autoFilter>
  <sortState xmlns:xlrd2="http://schemas.microsoft.com/office/spreadsheetml/2017/richdata2" ref="A2:F801">
    <sortCondition descending="1" ref="F1:F8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Detailed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Kardish</cp:lastModifiedBy>
  <dcterms:created xsi:type="dcterms:W3CDTF">2025-05-05T20:08:07Z</dcterms:created>
  <dcterms:modified xsi:type="dcterms:W3CDTF">2025-05-08T22:00:15Z</dcterms:modified>
</cp:coreProperties>
</file>