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pivotTables/pivotTable8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0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ckardish/Documents/Adoption App/docs/"/>
    </mc:Choice>
  </mc:AlternateContent>
  <xr:revisionPtr revIDLastSave="0" documentId="13_ncr:1_{77F96ECC-A8C1-2A40-A3F6-487B2EED7936}" xr6:coauthVersionLast="47" xr6:coauthVersionMax="47" xr10:uidLastSave="{00000000-0000-0000-0000-000000000000}"/>
  <bookViews>
    <workbookView xWindow="-38400" yWindow="1340" windowWidth="38400" windowHeight="21000" activeTab="1" xr2:uid="{00000000-000D-0000-FFFF-FFFF00000000}"/>
  </bookViews>
  <sheets>
    <sheet name="Thi Sandbox" sheetId="4" r:id="rId1"/>
    <sheet name="Goal Model (Final)" sheetId="11" r:id="rId2"/>
    <sheet name="Example Visualization Table" sheetId="12" r:id="rId3"/>
    <sheet name="Goal Model (2)" sheetId="6" r:id="rId4"/>
    <sheet name="Engagement M&amp;M Data" sheetId="8" r:id="rId5"/>
    <sheet name="Engagement M&amp;M Baselines" sheetId="9" r:id="rId6"/>
    <sheet name="Baseline Analysis" sheetId="2" r:id="rId7"/>
    <sheet name="Data" sheetId="10" r:id="rId8"/>
    <sheet name="v2 Data" sheetId="1" r:id="rId9"/>
    <sheet name="v1 Goal Model" sheetId="3" r:id="rId10"/>
    <sheet name="v1 Dataset" sheetId="7" r:id="rId11"/>
  </sheets>
  <definedNames>
    <definedName name="_xlnm._FilterDatabase" localSheetId="7" hidden="1">Data!$A$1:$R$1282</definedName>
    <definedName name="_xlnm._FilterDatabase" localSheetId="10" hidden="1">'v1 Dataset'!$A$1:$P$611</definedName>
    <definedName name="_xlnm._FilterDatabase" localSheetId="8" hidden="1">'v2 Data'!$A$1:$R$1284</definedName>
  </definedNames>
  <calcPr calcId="191028"/>
  <pivotCaches>
    <pivotCache cacheId="20" r:id="rId12"/>
    <pivotCache cacheId="21" r:id="rId13"/>
    <pivotCache cacheId="22" r:id="rId14"/>
    <pivotCache cacheId="23" r:id="rId15"/>
    <pivotCache cacheId="24" r:id="rId1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2" i="10" l="1"/>
  <c r="H15" i="11"/>
  <c r="G13" i="11"/>
  <c r="G14" i="11"/>
  <c r="G15" i="11"/>
  <c r="G16" i="11"/>
  <c r="G17" i="11"/>
  <c r="G18" i="11"/>
  <c r="G19" i="11"/>
  <c r="G20" i="11"/>
  <c r="G21" i="11"/>
  <c r="G22" i="11"/>
  <c r="G23" i="11"/>
  <c r="G24" i="11"/>
  <c r="G12" i="11"/>
  <c r="F54" i="11"/>
  <c r="F55" i="11"/>
  <c r="F53" i="11"/>
  <c r="F31" i="11"/>
  <c r="E55" i="11"/>
  <c r="E54" i="11"/>
  <c r="E53" i="11"/>
  <c r="H53" i="11" s="1"/>
  <c r="F52" i="11"/>
  <c r="F30" i="11"/>
  <c r="E31" i="11"/>
  <c r="G55" i="11"/>
  <c r="H55" i="11"/>
  <c r="G54" i="11"/>
  <c r="H54" i="11"/>
  <c r="G53" i="11"/>
  <c r="G52" i="11"/>
  <c r="E52" i="11"/>
  <c r="H52" i="11" s="1"/>
  <c r="O44" i="11"/>
  <c r="O45" i="11"/>
  <c r="O43" i="11"/>
  <c r="O65" i="11"/>
  <c r="O67" i="11"/>
  <c r="F67" i="11"/>
  <c r="E67" i="11"/>
  <c r="H67" i="11" s="1"/>
  <c r="F66" i="11"/>
  <c r="E66" i="11"/>
  <c r="H66" i="11" s="1"/>
  <c r="F65" i="11"/>
  <c r="E65" i="11"/>
  <c r="H65" i="11" s="1"/>
  <c r="F64" i="11"/>
  <c r="E64" i="11"/>
  <c r="F63" i="11"/>
  <c r="E63" i="11"/>
  <c r="H63" i="11" s="1"/>
  <c r="F62" i="11"/>
  <c r="E62" i="11"/>
  <c r="H62" i="11" s="1"/>
  <c r="F61" i="11"/>
  <c r="E61" i="11"/>
  <c r="H61" i="11" s="1"/>
  <c r="F60" i="11"/>
  <c r="E60" i="11"/>
  <c r="H60" i="11" s="1"/>
  <c r="F45" i="11"/>
  <c r="E45" i="11"/>
  <c r="F44" i="11"/>
  <c r="E44" i="11"/>
  <c r="H44" i="11" s="1"/>
  <c r="F43" i="11"/>
  <c r="E43" i="11"/>
  <c r="H43" i="11" s="1"/>
  <c r="F42" i="11"/>
  <c r="F41" i="11"/>
  <c r="E41" i="11"/>
  <c r="H41" i="11" s="1"/>
  <c r="F40" i="11"/>
  <c r="E40" i="11"/>
  <c r="H40" i="11" s="1"/>
  <c r="F39" i="11"/>
  <c r="E39" i="11"/>
  <c r="F38" i="11"/>
  <c r="F34" i="11"/>
  <c r="H24" i="11"/>
  <c r="H23" i="11"/>
  <c r="H22" i="11"/>
  <c r="H21" i="11"/>
  <c r="H20" i="11"/>
  <c r="H19" i="11"/>
  <c r="H18" i="11"/>
  <c r="H17" i="11"/>
  <c r="H16" i="11"/>
  <c r="H14" i="11"/>
  <c r="H13" i="11"/>
  <c r="H12" i="11"/>
  <c r="N39" i="6"/>
  <c r="N40" i="6"/>
  <c r="N41" i="6"/>
  <c r="D8" i="2" a="1"/>
  <c r="D8" i="2"/>
  <c r="N3" i="10"/>
  <c r="N4" i="10"/>
  <c r="N5" i="10"/>
  <c r="N6" i="10"/>
  <c r="N7" i="10"/>
  <c r="N8" i="10"/>
  <c r="N9" i="10"/>
  <c r="N10" i="10"/>
  <c r="N11" i="10"/>
  <c r="N12" i="10"/>
  <c r="N13" i="10"/>
  <c r="N14" i="10"/>
  <c r="N15" i="10"/>
  <c r="N16" i="10"/>
  <c r="N17" i="10"/>
  <c r="N18" i="10"/>
  <c r="N19" i="10"/>
  <c r="N20" i="10"/>
  <c r="N21" i="10"/>
  <c r="N22" i="10"/>
  <c r="N23" i="10"/>
  <c r="N24" i="10"/>
  <c r="N25" i="10"/>
  <c r="N26" i="10"/>
  <c r="N27" i="10"/>
  <c r="N28" i="10"/>
  <c r="N29" i="10"/>
  <c r="N30" i="10"/>
  <c r="N31" i="10"/>
  <c r="N32" i="10"/>
  <c r="N33" i="10"/>
  <c r="N34" i="10"/>
  <c r="N35" i="10"/>
  <c r="N36" i="10"/>
  <c r="N37" i="10"/>
  <c r="N38" i="10"/>
  <c r="N39" i="10"/>
  <c r="N40" i="10"/>
  <c r="N41" i="10"/>
  <c r="N42" i="10"/>
  <c r="N43" i="10"/>
  <c r="N44" i="10"/>
  <c r="N45" i="10"/>
  <c r="N46" i="10"/>
  <c r="N47" i="10"/>
  <c r="N48" i="10"/>
  <c r="N49" i="10"/>
  <c r="N50" i="10"/>
  <c r="N51" i="10"/>
  <c r="N52" i="10"/>
  <c r="N53" i="10"/>
  <c r="N54" i="10"/>
  <c r="N55" i="10"/>
  <c r="N56" i="10"/>
  <c r="N57" i="10"/>
  <c r="N58" i="10"/>
  <c r="N59" i="10"/>
  <c r="N60" i="10"/>
  <c r="N61" i="10"/>
  <c r="N62" i="10"/>
  <c r="N63" i="10"/>
  <c r="N64" i="10"/>
  <c r="N65" i="10"/>
  <c r="N66" i="10"/>
  <c r="N67" i="10"/>
  <c r="N68" i="10"/>
  <c r="N69" i="10"/>
  <c r="N70" i="10"/>
  <c r="N71" i="10"/>
  <c r="N72" i="10"/>
  <c r="N73" i="10"/>
  <c r="N74" i="10"/>
  <c r="N75" i="10"/>
  <c r="N76" i="10"/>
  <c r="N77" i="10"/>
  <c r="N78" i="10"/>
  <c r="N79" i="10"/>
  <c r="N80" i="10"/>
  <c r="N81" i="10"/>
  <c r="N82" i="10"/>
  <c r="N83" i="10"/>
  <c r="N84" i="10"/>
  <c r="N85" i="10"/>
  <c r="N86" i="10"/>
  <c r="N87" i="10"/>
  <c r="N88" i="10"/>
  <c r="N89" i="10"/>
  <c r="N90" i="10"/>
  <c r="N91" i="10"/>
  <c r="N92" i="10"/>
  <c r="N93" i="10"/>
  <c r="N94" i="10"/>
  <c r="N95" i="10"/>
  <c r="N96" i="10"/>
  <c r="N97" i="10"/>
  <c r="N98" i="10"/>
  <c r="N99" i="10"/>
  <c r="N100" i="10"/>
  <c r="N101" i="10"/>
  <c r="N102" i="10"/>
  <c r="N103" i="10"/>
  <c r="N104" i="10"/>
  <c r="N105" i="10"/>
  <c r="N106" i="10"/>
  <c r="N107" i="10"/>
  <c r="N108" i="10"/>
  <c r="N109" i="10"/>
  <c r="N110" i="10"/>
  <c r="N111" i="10"/>
  <c r="N112" i="10"/>
  <c r="N113" i="10"/>
  <c r="N114" i="10"/>
  <c r="N115" i="10"/>
  <c r="N116" i="10"/>
  <c r="N117" i="10"/>
  <c r="N118" i="10"/>
  <c r="N119" i="10"/>
  <c r="N120" i="10"/>
  <c r="N121" i="10"/>
  <c r="N122" i="10"/>
  <c r="N123" i="10"/>
  <c r="N124" i="10"/>
  <c r="N125" i="10"/>
  <c r="N126" i="10"/>
  <c r="N127" i="10"/>
  <c r="N128" i="10"/>
  <c r="N129" i="10"/>
  <c r="N130" i="10"/>
  <c r="N131" i="10"/>
  <c r="N132" i="10"/>
  <c r="N133" i="10"/>
  <c r="N134" i="10"/>
  <c r="N135" i="10"/>
  <c r="N136" i="10"/>
  <c r="N137" i="10"/>
  <c r="N138" i="10"/>
  <c r="N139" i="10"/>
  <c r="N140" i="10"/>
  <c r="N141" i="10"/>
  <c r="N142" i="10"/>
  <c r="N143" i="10"/>
  <c r="N144" i="10"/>
  <c r="N145" i="10"/>
  <c r="N146" i="10"/>
  <c r="N147" i="10"/>
  <c r="N148" i="10"/>
  <c r="N149" i="10"/>
  <c r="N150" i="10"/>
  <c r="N151" i="10"/>
  <c r="N152" i="10"/>
  <c r="N153" i="10"/>
  <c r="N154" i="10"/>
  <c r="N155" i="10"/>
  <c r="N156" i="10"/>
  <c r="N157" i="10"/>
  <c r="N158" i="10"/>
  <c r="N159" i="10"/>
  <c r="N160" i="10"/>
  <c r="N161" i="10"/>
  <c r="N162" i="10"/>
  <c r="N163" i="10"/>
  <c r="N164" i="10"/>
  <c r="N165" i="10"/>
  <c r="N166" i="10"/>
  <c r="N167" i="10"/>
  <c r="N168" i="10"/>
  <c r="N169" i="10"/>
  <c r="N170" i="10"/>
  <c r="N171" i="10"/>
  <c r="N172" i="10"/>
  <c r="N173" i="10"/>
  <c r="N174" i="10"/>
  <c r="N175" i="10"/>
  <c r="N176" i="10"/>
  <c r="N177" i="10"/>
  <c r="N178" i="10"/>
  <c r="N179" i="10"/>
  <c r="N180" i="10"/>
  <c r="N181" i="10"/>
  <c r="N182" i="10"/>
  <c r="N183" i="10"/>
  <c r="N184" i="10"/>
  <c r="N185" i="10"/>
  <c r="N186" i="10"/>
  <c r="N187" i="10"/>
  <c r="N188" i="10"/>
  <c r="N189" i="10"/>
  <c r="N190" i="10"/>
  <c r="N191" i="10"/>
  <c r="N192" i="10"/>
  <c r="N193" i="10"/>
  <c r="N194" i="10"/>
  <c r="N195" i="10"/>
  <c r="N196" i="10"/>
  <c r="N197" i="10"/>
  <c r="N198" i="10"/>
  <c r="N199" i="10"/>
  <c r="N200" i="10"/>
  <c r="N201" i="10"/>
  <c r="N202" i="10"/>
  <c r="N203" i="10"/>
  <c r="N204" i="10"/>
  <c r="N205" i="10"/>
  <c r="N206" i="10"/>
  <c r="N207" i="10"/>
  <c r="N208" i="10"/>
  <c r="N209" i="10"/>
  <c r="N210" i="10"/>
  <c r="N211" i="10"/>
  <c r="N212" i="10"/>
  <c r="N213" i="10"/>
  <c r="N214" i="10"/>
  <c r="N215" i="10"/>
  <c r="N216" i="10"/>
  <c r="N217" i="10"/>
  <c r="N218" i="10"/>
  <c r="N219" i="10"/>
  <c r="N220" i="10"/>
  <c r="N221" i="10"/>
  <c r="N222" i="10"/>
  <c r="N223" i="10"/>
  <c r="N224" i="10"/>
  <c r="N225" i="10"/>
  <c r="N226" i="10"/>
  <c r="N227" i="10"/>
  <c r="N228" i="10"/>
  <c r="N229" i="10"/>
  <c r="N230" i="10"/>
  <c r="N231" i="10"/>
  <c r="N232" i="10"/>
  <c r="N233" i="10"/>
  <c r="N234" i="10"/>
  <c r="N235" i="10"/>
  <c r="N236" i="10"/>
  <c r="N237" i="10"/>
  <c r="N238" i="10"/>
  <c r="N239" i="10"/>
  <c r="N240" i="10"/>
  <c r="N241" i="10"/>
  <c r="N242" i="10"/>
  <c r="N243" i="10"/>
  <c r="N244" i="10"/>
  <c r="N245" i="10"/>
  <c r="N246" i="10"/>
  <c r="N247" i="10"/>
  <c r="N248" i="10"/>
  <c r="N249" i="10"/>
  <c r="N250" i="10"/>
  <c r="N251" i="10"/>
  <c r="N252" i="10"/>
  <c r="N253" i="10"/>
  <c r="N254" i="10"/>
  <c r="N255" i="10"/>
  <c r="N256" i="10"/>
  <c r="N257" i="10"/>
  <c r="N258" i="10"/>
  <c r="N259" i="10"/>
  <c r="N260" i="10"/>
  <c r="N261" i="10"/>
  <c r="N262" i="10"/>
  <c r="N263" i="10"/>
  <c r="N264" i="10"/>
  <c r="N265" i="10"/>
  <c r="N266" i="10"/>
  <c r="N267" i="10"/>
  <c r="N268" i="10"/>
  <c r="N269" i="10"/>
  <c r="N270" i="10"/>
  <c r="N271" i="10"/>
  <c r="N272" i="10"/>
  <c r="N273" i="10"/>
  <c r="N274" i="10"/>
  <c r="N275" i="10"/>
  <c r="N276" i="10"/>
  <c r="N277" i="10"/>
  <c r="N278" i="10"/>
  <c r="N279" i="10"/>
  <c r="N280" i="10"/>
  <c r="N281" i="10"/>
  <c r="N282" i="10"/>
  <c r="N283" i="10"/>
  <c r="N284" i="10"/>
  <c r="N285" i="10"/>
  <c r="N286" i="10"/>
  <c r="N287" i="10"/>
  <c r="N288" i="10"/>
  <c r="N289" i="10"/>
  <c r="N290" i="10"/>
  <c r="N291" i="10"/>
  <c r="N292" i="10"/>
  <c r="N293" i="10"/>
  <c r="N294" i="10"/>
  <c r="N295" i="10"/>
  <c r="N296" i="10"/>
  <c r="N297" i="10"/>
  <c r="N298" i="10"/>
  <c r="N299" i="10"/>
  <c r="N300" i="10"/>
  <c r="N301" i="10"/>
  <c r="N302" i="10"/>
  <c r="N303" i="10"/>
  <c r="N304" i="10"/>
  <c r="N305" i="10"/>
  <c r="N306" i="10"/>
  <c r="N307" i="10"/>
  <c r="N308" i="10"/>
  <c r="N309" i="10"/>
  <c r="N310" i="10"/>
  <c r="N311" i="10"/>
  <c r="N312" i="10"/>
  <c r="N313" i="10"/>
  <c r="N314" i="10"/>
  <c r="N315" i="10"/>
  <c r="N316" i="10"/>
  <c r="N317" i="10"/>
  <c r="N318" i="10"/>
  <c r="N319" i="10"/>
  <c r="N320" i="10"/>
  <c r="N321" i="10"/>
  <c r="N322" i="10"/>
  <c r="N323" i="10"/>
  <c r="N324" i="10"/>
  <c r="N325" i="10"/>
  <c r="N326" i="10"/>
  <c r="N327" i="10"/>
  <c r="N328" i="10"/>
  <c r="N329" i="10"/>
  <c r="N330" i="10"/>
  <c r="N331" i="10"/>
  <c r="N332" i="10"/>
  <c r="N333" i="10"/>
  <c r="N334" i="10"/>
  <c r="N335" i="10"/>
  <c r="N336" i="10"/>
  <c r="N337" i="10"/>
  <c r="N338" i="10"/>
  <c r="N339" i="10"/>
  <c r="N340" i="10"/>
  <c r="N341" i="10"/>
  <c r="N342" i="10"/>
  <c r="N343" i="10"/>
  <c r="N344" i="10"/>
  <c r="N345" i="10"/>
  <c r="N346" i="10"/>
  <c r="N347" i="10"/>
  <c r="N348" i="10"/>
  <c r="N349" i="10"/>
  <c r="N350" i="10"/>
  <c r="N351" i="10"/>
  <c r="N352" i="10"/>
  <c r="N353" i="10"/>
  <c r="N354" i="10"/>
  <c r="N355" i="10"/>
  <c r="N356" i="10"/>
  <c r="N357" i="10"/>
  <c r="N358" i="10"/>
  <c r="N359" i="10"/>
  <c r="N360" i="10"/>
  <c r="N361" i="10"/>
  <c r="N362" i="10"/>
  <c r="N363" i="10"/>
  <c r="N364" i="10"/>
  <c r="N365" i="10"/>
  <c r="N366" i="10"/>
  <c r="N367" i="10"/>
  <c r="N368" i="10"/>
  <c r="N369" i="10"/>
  <c r="N370" i="10"/>
  <c r="N371" i="10"/>
  <c r="N372" i="10"/>
  <c r="N373" i="10"/>
  <c r="N374" i="10"/>
  <c r="N375" i="10"/>
  <c r="N376" i="10"/>
  <c r="N377" i="10"/>
  <c r="N378" i="10"/>
  <c r="N379" i="10"/>
  <c r="N380" i="10"/>
  <c r="N381" i="10"/>
  <c r="N382" i="10"/>
  <c r="N383" i="10"/>
  <c r="N384" i="10"/>
  <c r="N385" i="10"/>
  <c r="N386" i="10"/>
  <c r="N387" i="10"/>
  <c r="N388" i="10"/>
  <c r="N389" i="10"/>
  <c r="N390" i="10"/>
  <c r="N391" i="10"/>
  <c r="N392" i="10"/>
  <c r="N393" i="10"/>
  <c r="N394" i="10"/>
  <c r="N395" i="10"/>
  <c r="N396" i="10"/>
  <c r="N397" i="10"/>
  <c r="N398" i="10"/>
  <c r="N399" i="10"/>
  <c r="N400" i="10"/>
  <c r="N401" i="10"/>
  <c r="N402" i="10"/>
  <c r="N403" i="10"/>
  <c r="N404" i="10"/>
  <c r="N405" i="10"/>
  <c r="N406" i="10"/>
  <c r="N407" i="10"/>
  <c r="N408" i="10"/>
  <c r="N409" i="10"/>
  <c r="N410" i="10"/>
  <c r="N411" i="10"/>
  <c r="N412" i="10"/>
  <c r="N413" i="10"/>
  <c r="N414" i="10"/>
  <c r="N415" i="10"/>
  <c r="N416" i="10"/>
  <c r="N417" i="10"/>
  <c r="N418" i="10"/>
  <c r="N419" i="10"/>
  <c r="N420" i="10"/>
  <c r="N421" i="10"/>
  <c r="N422" i="10"/>
  <c r="N423" i="10"/>
  <c r="N424" i="10"/>
  <c r="N425" i="10"/>
  <c r="N426" i="10"/>
  <c r="N427" i="10"/>
  <c r="N428" i="10"/>
  <c r="N429" i="10"/>
  <c r="N430" i="10"/>
  <c r="N431" i="10"/>
  <c r="N432" i="10"/>
  <c r="N433" i="10"/>
  <c r="N434" i="10"/>
  <c r="N435" i="10"/>
  <c r="N436" i="10"/>
  <c r="N437" i="10"/>
  <c r="N438" i="10"/>
  <c r="N439" i="10"/>
  <c r="N440" i="10"/>
  <c r="N441" i="10"/>
  <c r="N442" i="10"/>
  <c r="N443" i="10"/>
  <c r="N444" i="10"/>
  <c r="N445" i="10"/>
  <c r="N446" i="10"/>
  <c r="N447" i="10"/>
  <c r="N448" i="10"/>
  <c r="N449" i="10"/>
  <c r="N450" i="10"/>
  <c r="N451" i="10"/>
  <c r="N452" i="10"/>
  <c r="N453" i="10"/>
  <c r="N454" i="10"/>
  <c r="N455" i="10"/>
  <c r="N456" i="10"/>
  <c r="N457" i="10"/>
  <c r="N458" i="10"/>
  <c r="N459" i="10"/>
  <c r="N460" i="10"/>
  <c r="N461" i="10"/>
  <c r="N462" i="10"/>
  <c r="N463" i="10"/>
  <c r="N464" i="10"/>
  <c r="N465" i="10"/>
  <c r="N466" i="10"/>
  <c r="N467" i="10"/>
  <c r="N468" i="10"/>
  <c r="N469" i="10"/>
  <c r="N470" i="10"/>
  <c r="N471" i="10"/>
  <c r="N472" i="10"/>
  <c r="N473" i="10"/>
  <c r="N474" i="10"/>
  <c r="N475" i="10"/>
  <c r="N476" i="10"/>
  <c r="N477" i="10"/>
  <c r="N478" i="10"/>
  <c r="N479" i="10"/>
  <c r="N480" i="10"/>
  <c r="N481" i="10"/>
  <c r="N482" i="10"/>
  <c r="N483" i="10"/>
  <c r="N484" i="10"/>
  <c r="N485" i="10"/>
  <c r="N486" i="10"/>
  <c r="N487" i="10"/>
  <c r="N488" i="10"/>
  <c r="N489" i="10"/>
  <c r="N490" i="10"/>
  <c r="N491" i="10"/>
  <c r="N492" i="10"/>
  <c r="N493" i="10"/>
  <c r="N494" i="10"/>
  <c r="N495" i="10"/>
  <c r="N496" i="10"/>
  <c r="N497" i="10"/>
  <c r="N498" i="10"/>
  <c r="N499" i="10"/>
  <c r="N500" i="10"/>
  <c r="N501" i="10"/>
  <c r="N502" i="10"/>
  <c r="N503" i="10"/>
  <c r="N504" i="10"/>
  <c r="N505" i="10"/>
  <c r="N506" i="10"/>
  <c r="N507" i="10"/>
  <c r="N508" i="10"/>
  <c r="N509" i="10"/>
  <c r="N510" i="10"/>
  <c r="N511" i="10"/>
  <c r="N512" i="10"/>
  <c r="N513" i="10"/>
  <c r="N514" i="10"/>
  <c r="N515" i="10"/>
  <c r="N516" i="10"/>
  <c r="N517" i="10"/>
  <c r="N518" i="10"/>
  <c r="N519" i="10"/>
  <c r="N520" i="10"/>
  <c r="N521" i="10"/>
  <c r="N522" i="10"/>
  <c r="N523" i="10"/>
  <c r="N524" i="10"/>
  <c r="N525" i="10"/>
  <c r="N526" i="10"/>
  <c r="N527" i="10"/>
  <c r="N528" i="10"/>
  <c r="N529" i="10"/>
  <c r="N530" i="10"/>
  <c r="N531" i="10"/>
  <c r="N532" i="10"/>
  <c r="N533" i="10"/>
  <c r="N534" i="10"/>
  <c r="N535" i="10"/>
  <c r="N536" i="10"/>
  <c r="N537" i="10"/>
  <c r="N538" i="10"/>
  <c r="N539" i="10"/>
  <c r="N540" i="10"/>
  <c r="N541" i="10"/>
  <c r="N542" i="10"/>
  <c r="N543" i="10"/>
  <c r="N544" i="10"/>
  <c r="N545" i="10"/>
  <c r="N546" i="10"/>
  <c r="N547" i="10"/>
  <c r="N548" i="10"/>
  <c r="N549" i="10"/>
  <c r="N550" i="10"/>
  <c r="N551" i="10"/>
  <c r="N552" i="10"/>
  <c r="N553" i="10"/>
  <c r="N554" i="10"/>
  <c r="N555" i="10"/>
  <c r="N556" i="10"/>
  <c r="N557" i="10"/>
  <c r="N558" i="10"/>
  <c r="N559" i="10"/>
  <c r="N560" i="10"/>
  <c r="N561" i="10"/>
  <c r="N562" i="10"/>
  <c r="N563" i="10"/>
  <c r="N564" i="10"/>
  <c r="N565" i="10"/>
  <c r="N566" i="10"/>
  <c r="N567" i="10"/>
  <c r="N568" i="10"/>
  <c r="N569" i="10"/>
  <c r="N570" i="10"/>
  <c r="N571" i="10"/>
  <c r="N572" i="10"/>
  <c r="N573" i="10"/>
  <c r="N574" i="10"/>
  <c r="N575" i="10"/>
  <c r="N576" i="10"/>
  <c r="N577" i="10"/>
  <c r="N578" i="10"/>
  <c r="N579" i="10"/>
  <c r="N580" i="10"/>
  <c r="N581" i="10"/>
  <c r="N582" i="10"/>
  <c r="N583" i="10"/>
  <c r="N584" i="10"/>
  <c r="N585" i="10"/>
  <c r="N586" i="10"/>
  <c r="N587" i="10"/>
  <c r="N588" i="10"/>
  <c r="N589" i="10"/>
  <c r="N590" i="10"/>
  <c r="N591" i="10"/>
  <c r="N592" i="10"/>
  <c r="N593" i="10"/>
  <c r="N594" i="10"/>
  <c r="N595" i="10"/>
  <c r="N596" i="10"/>
  <c r="N597" i="10"/>
  <c r="N598" i="10"/>
  <c r="N599" i="10"/>
  <c r="N600" i="10"/>
  <c r="N601" i="10"/>
  <c r="N602" i="10"/>
  <c r="N603" i="10"/>
  <c r="N604" i="10"/>
  <c r="N605" i="10"/>
  <c r="N606" i="10"/>
  <c r="N607" i="10"/>
  <c r="N608" i="10"/>
  <c r="N609" i="10"/>
  <c r="N610" i="10"/>
  <c r="N611" i="10"/>
  <c r="N612" i="10"/>
  <c r="N613" i="10"/>
  <c r="N614" i="10"/>
  <c r="N615" i="10"/>
  <c r="N616" i="10"/>
  <c r="N617" i="10"/>
  <c r="N618" i="10"/>
  <c r="N619" i="10"/>
  <c r="N620" i="10"/>
  <c r="N621" i="10"/>
  <c r="N622" i="10"/>
  <c r="N623" i="10"/>
  <c r="N624" i="10"/>
  <c r="N625" i="10"/>
  <c r="N626" i="10"/>
  <c r="N627" i="10"/>
  <c r="N628" i="10"/>
  <c r="N629" i="10"/>
  <c r="N630" i="10"/>
  <c r="N631" i="10"/>
  <c r="N632" i="10"/>
  <c r="N633" i="10"/>
  <c r="N634" i="10"/>
  <c r="N635" i="10"/>
  <c r="N636" i="10"/>
  <c r="N637" i="10"/>
  <c r="N638" i="10"/>
  <c r="N639" i="10"/>
  <c r="N640" i="10"/>
  <c r="N641" i="10"/>
  <c r="N642" i="10"/>
  <c r="N643" i="10"/>
  <c r="N644" i="10"/>
  <c r="N645" i="10"/>
  <c r="N646" i="10"/>
  <c r="N647" i="10"/>
  <c r="N648" i="10"/>
  <c r="N649" i="10"/>
  <c r="N650" i="10"/>
  <c r="N651" i="10"/>
  <c r="N652" i="10"/>
  <c r="N653" i="10"/>
  <c r="N654" i="10"/>
  <c r="N655" i="10"/>
  <c r="N656" i="10"/>
  <c r="N657" i="10"/>
  <c r="N658" i="10"/>
  <c r="N659" i="10"/>
  <c r="N660" i="10"/>
  <c r="N661" i="10"/>
  <c r="N662" i="10"/>
  <c r="N663" i="10"/>
  <c r="N664" i="10"/>
  <c r="N665" i="10"/>
  <c r="N666" i="10"/>
  <c r="N667" i="10"/>
  <c r="N668" i="10"/>
  <c r="N669" i="10"/>
  <c r="N670" i="10"/>
  <c r="N671" i="10"/>
  <c r="N672" i="10"/>
  <c r="N673" i="10"/>
  <c r="N674" i="10"/>
  <c r="N675" i="10"/>
  <c r="N676" i="10"/>
  <c r="N677" i="10"/>
  <c r="N678" i="10"/>
  <c r="N679" i="10"/>
  <c r="N680" i="10"/>
  <c r="N681" i="10"/>
  <c r="N682" i="10"/>
  <c r="N683" i="10"/>
  <c r="N684" i="10"/>
  <c r="N685" i="10"/>
  <c r="N686" i="10"/>
  <c r="N687" i="10"/>
  <c r="N688" i="10"/>
  <c r="N689" i="10"/>
  <c r="N690" i="10"/>
  <c r="N691" i="10"/>
  <c r="N692" i="10"/>
  <c r="N693" i="10"/>
  <c r="N694" i="10"/>
  <c r="N695" i="10"/>
  <c r="N696" i="10"/>
  <c r="N697" i="10"/>
  <c r="N698" i="10"/>
  <c r="N699" i="10"/>
  <c r="N700" i="10"/>
  <c r="N701" i="10"/>
  <c r="N702" i="10"/>
  <c r="N703" i="10"/>
  <c r="N704" i="10"/>
  <c r="N705" i="10"/>
  <c r="N706" i="10"/>
  <c r="N707" i="10"/>
  <c r="N708" i="10"/>
  <c r="N709" i="10"/>
  <c r="N710" i="10"/>
  <c r="N711" i="10"/>
  <c r="N712" i="10"/>
  <c r="N713" i="10"/>
  <c r="N714" i="10"/>
  <c r="N715" i="10"/>
  <c r="N716" i="10"/>
  <c r="N717" i="10"/>
  <c r="N718" i="10"/>
  <c r="N719" i="10"/>
  <c r="N720" i="10"/>
  <c r="N721" i="10"/>
  <c r="N722" i="10"/>
  <c r="N723" i="10"/>
  <c r="N724" i="10"/>
  <c r="N725" i="10"/>
  <c r="N726" i="10"/>
  <c r="N727" i="10"/>
  <c r="N728" i="10"/>
  <c r="N729" i="10"/>
  <c r="N730" i="10"/>
  <c r="N731" i="10"/>
  <c r="N732" i="10"/>
  <c r="N733" i="10"/>
  <c r="N734" i="10"/>
  <c r="N735" i="10"/>
  <c r="N736" i="10"/>
  <c r="N737" i="10"/>
  <c r="N738" i="10"/>
  <c r="N739" i="10"/>
  <c r="N740" i="10"/>
  <c r="N741" i="10"/>
  <c r="N742" i="10"/>
  <c r="N743" i="10"/>
  <c r="N744" i="10"/>
  <c r="N745" i="10"/>
  <c r="N746" i="10"/>
  <c r="N747" i="10"/>
  <c r="N748" i="10"/>
  <c r="N749" i="10"/>
  <c r="N750" i="10"/>
  <c r="N751" i="10"/>
  <c r="N752" i="10"/>
  <c r="N753" i="10"/>
  <c r="N754" i="10"/>
  <c r="N755" i="10"/>
  <c r="N756" i="10"/>
  <c r="N757" i="10"/>
  <c r="N758" i="10"/>
  <c r="N759" i="10"/>
  <c r="N760" i="10"/>
  <c r="N761" i="10"/>
  <c r="N762" i="10"/>
  <c r="N763" i="10"/>
  <c r="N764" i="10"/>
  <c r="N765" i="10"/>
  <c r="N766" i="10"/>
  <c r="N767" i="10"/>
  <c r="N768" i="10"/>
  <c r="N769" i="10"/>
  <c r="N770" i="10"/>
  <c r="N771" i="10"/>
  <c r="N772" i="10"/>
  <c r="N773" i="10"/>
  <c r="N774" i="10"/>
  <c r="N775" i="10"/>
  <c r="N776" i="10"/>
  <c r="N777" i="10"/>
  <c r="N778" i="10"/>
  <c r="N779" i="10"/>
  <c r="N780" i="10"/>
  <c r="N781" i="10"/>
  <c r="N782" i="10"/>
  <c r="N783" i="10"/>
  <c r="N784" i="10"/>
  <c r="N785" i="10"/>
  <c r="N786" i="10"/>
  <c r="N787" i="10"/>
  <c r="N788" i="10"/>
  <c r="N789" i="10"/>
  <c r="N790" i="10"/>
  <c r="N791" i="10"/>
  <c r="N792" i="10"/>
  <c r="N793" i="10"/>
  <c r="N794" i="10"/>
  <c r="N795" i="10"/>
  <c r="N796" i="10"/>
  <c r="N797" i="10"/>
  <c r="N798" i="10"/>
  <c r="N799" i="10"/>
  <c r="N800" i="10"/>
  <c r="N801" i="10"/>
  <c r="N802" i="10"/>
  <c r="N803" i="10"/>
  <c r="N804" i="10"/>
  <c r="N805" i="10"/>
  <c r="N806" i="10"/>
  <c r="N807" i="10"/>
  <c r="N808" i="10"/>
  <c r="N809" i="10"/>
  <c r="N810" i="10"/>
  <c r="N811" i="10"/>
  <c r="N812" i="10"/>
  <c r="N813" i="10"/>
  <c r="N814" i="10"/>
  <c r="N815" i="10"/>
  <c r="N816" i="10"/>
  <c r="N817" i="10"/>
  <c r="N818" i="10"/>
  <c r="N819" i="10"/>
  <c r="N820" i="10"/>
  <c r="N821" i="10"/>
  <c r="N822" i="10"/>
  <c r="N823" i="10"/>
  <c r="N824" i="10"/>
  <c r="N825" i="10"/>
  <c r="N826" i="10"/>
  <c r="N827" i="10"/>
  <c r="N828" i="10"/>
  <c r="N829" i="10"/>
  <c r="N830" i="10"/>
  <c r="N831" i="10"/>
  <c r="N832" i="10"/>
  <c r="N833" i="10"/>
  <c r="N834" i="10"/>
  <c r="N835" i="10"/>
  <c r="N836" i="10"/>
  <c r="N837" i="10"/>
  <c r="N838" i="10"/>
  <c r="N839" i="10"/>
  <c r="N840" i="10"/>
  <c r="N841" i="10"/>
  <c r="N842" i="10"/>
  <c r="N843" i="10"/>
  <c r="N844" i="10"/>
  <c r="N845" i="10"/>
  <c r="N846" i="10"/>
  <c r="N847" i="10"/>
  <c r="N848" i="10"/>
  <c r="N849" i="10"/>
  <c r="N850" i="10"/>
  <c r="N851" i="10"/>
  <c r="N852" i="10"/>
  <c r="N853" i="10"/>
  <c r="N854" i="10"/>
  <c r="N855" i="10"/>
  <c r="N856" i="10"/>
  <c r="N857" i="10"/>
  <c r="N858" i="10"/>
  <c r="N859" i="10"/>
  <c r="N860" i="10"/>
  <c r="N861" i="10"/>
  <c r="N862" i="10"/>
  <c r="N863" i="10"/>
  <c r="N864" i="10"/>
  <c r="N865" i="10"/>
  <c r="N866" i="10"/>
  <c r="N867" i="10"/>
  <c r="N868" i="10"/>
  <c r="N869" i="10"/>
  <c r="N870" i="10"/>
  <c r="N871" i="10"/>
  <c r="N872" i="10"/>
  <c r="N873" i="10"/>
  <c r="N874" i="10"/>
  <c r="N875" i="10"/>
  <c r="N876" i="10"/>
  <c r="N877" i="10"/>
  <c r="N878" i="10"/>
  <c r="N879" i="10"/>
  <c r="N880" i="10"/>
  <c r="N881" i="10"/>
  <c r="N882" i="10"/>
  <c r="N883" i="10"/>
  <c r="N884" i="10"/>
  <c r="N885" i="10"/>
  <c r="N886" i="10"/>
  <c r="N887" i="10"/>
  <c r="N888" i="10"/>
  <c r="N889" i="10"/>
  <c r="N890" i="10"/>
  <c r="N891" i="10"/>
  <c r="N892" i="10"/>
  <c r="N893" i="10"/>
  <c r="N894" i="10"/>
  <c r="N895" i="10"/>
  <c r="N896" i="10"/>
  <c r="N897" i="10"/>
  <c r="N898" i="10"/>
  <c r="N899" i="10"/>
  <c r="N900" i="10"/>
  <c r="N901" i="10"/>
  <c r="N902" i="10"/>
  <c r="N903" i="10"/>
  <c r="N904" i="10"/>
  <c r="N905" i="10"/>
  <c r="N906" i="10"/>
  <c r="N907" i="10"/>
  <c r="N908" i="10"/>
  <c r="N909" i="10"/>
  <c r="N910" i="10"/>
  <c r="N911" i="10"/>
  <c r="N912" i="10"/>
  <c r="N913" i="10"/>
  <c r="N914" i="10"/>
  <c r="N915" i="10"/>
  <c r="N916" i="10"/>
  <c r="N917" i="10"/>
  <c r="N918" i="10"/>
  <c r="N919" i="10"/>
  <c r="N920" i="10"/>
  <c r="N921" i="10"/>
  <c r="N922" i="10"/>
  <c r="N923" i="10"/>
  <c r="N924" i="10"/>
  <c r="N925" i="10"/>
  <c r="N926" i="10"/>
  <c r="N927" i="10"/>
  <c r="N928" i="10"/>
  <c r="N929" i="10"/>
  <c r="N930" i="10"/>
  <c r="N931" i="10"/>
  <c r="N932" i="10"/>
  <c r="N933" i="10"/>
  <c r="N934" i="10"/>
  <c r="N935" i="10"/>
  <c r="N936" i="10"/>
  <c r="N937" i="10"/>
  <c r="N938" i="10"/>
  <c r="N939" i="10"/>
  <c r="N940" i="10"/>
  <c r="N941" i="10"/>
  <c r="N942" i="10"/>
  <c r="N943" i="10"/>
  <c r="N944" i="10"/>
  <c r="N945" i="10"/>
  <c r="N946" i="10"/>
  <c r="N947" i="10"/>
  <c r="N948" i="10"/>
  <c r="N949" i="10"/>
  <c r="N950" i="10"/>
  <c r="N951" i="10"/>
  <c r="N952" i="10"/>
  <c r="N953" i="10"/>
  <c r="N954" i="10"/>
  <c r="N955" i="10"/>
  <c r="N956" i="10"/>
  <c r="N957" i="10"/>
  <c r="N958" i="10"/>
  <c r="N959" i="10"/>
  <c r="N960" i="10"/>
  <c r="N961" i="10"/>
  <c r="N962" i="10"/>
  <c r="N963" i="10"/>
  <c r="N964" i="10"/>
  <c r="N965" i="10"/>
  <c r="N966" i="10"/>
  <c r="N967" i="10"/>
  <c r="N968" i="10"/>
  <c r="N969" i="10"/>
  <c r="N970" i="10"/>
  <c r="N971" i="10"/>
  <c r="N972" i="10"/>
  <c r="N973" i="10"/>
  <c r="N974" i="10"/>
  <c r="N975" i="10"/>
  <c r="N976" i="10"/>
  <c r="N977" i="10"/>
  <c r="N978" i="10"/>
  <c r="N979" i="10"/>
  <c r="N980" i="10"/>
  <c r="N981" i="10"/>
  <c r="N982" i="10"/>
  <c r="N983" i="10"/>
  <c r="N984" i="10"/>
  <c r="N985" i="10"/>
  <c r="N986" i="10"/>
  <c r="N987" i="10"/>
  <c r="N988" i="10"/>
  <c r="N989" i="10"/>
  <c r="N990" i="10"/>
  <c r="N991" i="10"/>
  <c r="N992" i="10"/>
  <c r="N993" i="10"/>
  <c r="N994" i="10"/>
  <c r="N995" i="10"/>
  <c r="N996" i="10"/>
  <c r="N997" i="10"/>
  <c r="N998" i="10"/>
  <c r="N999" i="10"/>
  <c r="N1000" i="10"/>
  <c r="N1001" i="10"/>
  <c r="N1002" i="10"/>
  <c r="N1003" i="10"/>
  <c r="N1004" i="10"/>
  <c r="N1005" i="10"/>
  <c r="N1006" i="10"/>
  <c r="N1007" i="10"/>
  <c r="N1008" i="10"/>
  <c r="N1009" i="10"/>
  <c r="N1010" i="10"/>
  <c r="N1011" i="10"/>
  <c r="N1012" i="10"/>
  <c r="N1013" i="10"/>
  <c r="N1014" i="10"/>
  <c r="N1015" i="10"/>
  <c r="N1016" i="10"/>
  <c r="N1017" i="10"/>
  <c r="N1018" i="10"/>
  <c r="N1019" i="10"/>
  <c r="N1020" i="10"/>
  <c r="N1021" i="10"/>
  <c r="N1022" i="10"/>
  <c r="N1023" i="10"/>
  <c r="N1024" i="10"/>
  <c r="N1025" i="10"/>
  <c r="N1026" i="10"/>
  <c r="N1027" i="10"/>
  <c r="N1028" i="10"/>
  <c r="N1029" i="10"/>
  <c r="N1030" i="10"/>
  <c r="N1031" i="10"/>
  <c r="N1032" i="10"/>
  <c r="N1033" i="10"/>
  <c r="N1034" i="10"/>
  <c r="N1035" i="10"/>
  <c r="N1036" i="10"/>
  <c r="N1037" i="10"/>
  <c r="N1038" i="10"/>
  <c r="N1039" i="10"/>
  <c r="N1040" i="10"/>
  <c r="N1041" i="10"/>
  <c r="N1042" i="10"/>
  <c r="N1043" i="10"/>
  <c r="N1044" i="10"/>
  <c r="N1045" i="10"/>
  <c r="N1046" i="10"/>
  <c r="N1047" i="10"/>
  <c r="N1048" i="10"/>
  <c r="N1049" i="10"/>
  <c r="N1050" i="10"/>
  <c r="N1051" i="10"/>
  <c r="N1052" i="10"/>
  <c r="N1053" i="10"/>
  <c r="N1054" i="10"/>
  <c r="N1055" i="10"/>
  <c r="N1056" i="10"/>
  <c r="N1057" i="10"/>
  <c r="N1058" i="10"/>
  <c r="N1059" i="10"/>
  <c r="N1060" i="10"/>
  <c r="N1061" i="10"/>
  <c r="N1062" i="10"/>
  <c r="N1063" i="10"/>
  <c r="N1064" i="10"/>
  <c r="N1065" i="10"/>
  <c r="N1066" i="10"/>
  <c r="N1067" i="10"/>
  <c r="N1068" i="10"/>
  <c r="N1069" i="10"/>
  <c r="N1070" i="10"/>
  <c r="N1071" i="10"/>
  <c r="N1072" i="10"/>
  <c r="N1073" i="10"/>
  <c r="N1074" i="10"/>
  <c r="N1075" i="10"/>
  <c r="N1076" i="10"/>
  <c r="N1077" i="10"/>
  <c r="N1078" i="10"/>
  <c r="N1079" i="10"/>
  <c r="N1080" i="10"/>
  <c r="N1081" i="10"/>
  <c r="N1082" i="10"/>
  <c r="N1083" i="10"/>
  <c r="N1084" i="10"/>
  <c r="N1085" i="10"/>
  <c r="N1086" i="10"/>
  <c r="N1087" i="10"/>
  <c r="N1088" i="10"/>
  <c r="N1089" i="10"/>
  <c r="N1090" i="10"/>
  <c r="N1091" i="10"/>
  <c r="N1092" i="10"/>
  <c r="N1093" i="10"/>
  <c r="N1094" i="10"/>
  <c r="N1095" i="10"/>
  <c r="N1096" i="10"/>
  <c r="N1097" i="10"/>
  <c r="N1098" i="10"/>
  <c r="N1099" i="10"/>
  <c r="N1100" i="10"/>
  <c r="N1101" i="10"/>
  <c r="N1102" i="10"/>
  <c r="N1103" i="10"/>
  <c r="N1104" i="10"/>
  <c r="N1105" i="10"/>
  <c r="N1106" i="10"/>
  <c r="N1107" i="10"/>
  <c r="N1108" i="10"/>
  <c r="N1109" i="10"/>
  <c r="N1110" i="10"/>
  <c r="N1111" i="10"/>
  <c r="N1112" i="10"/>
  <c r="N1113" i="10"/>
  <c r="N1114" i="10"/>
  <c r="N1115" i="10"/>
  <c r="N1116" i="10"/>
  <c r="N1117" i="10"/>
  <c r="N1118" i="10"/>
  <c r="N1119" i="10"/>
  <c r="N1120" i="10"/>
  <c r="N1121" i="10"/>
  <c r="N1122" i="10"/>
  <c r="N1123" i="10"/>
  <c r="N1124" i="10"/>
  <c r="N1125" i="10"/>
  <c r="N1126" i="10"/>
  <c r="N1127" i="10"/>
  <c r="N1128" i="10"/>
  <c r="N1129" i="10"/>
  <c r="N1130" i="10"/>
  <c r="N1131" i="10"/>
  <c r="N1132" i="10"/>
  <c r="N1133" i="10"/>
  <c r="N1134" i="10"/>
  <c r="N1135" i="10"/>
  <c r="N1136" i="10"/>
  <c r="N1137" i="10"/>
  <c r="N1138" i="10"/>
  <c r="N1139" i="10"/>
  <c r="N1140" i="10"/>
  <c r="N1141" i="10"/>
  <c r="N1142" i="10"/>
  <c r="N1143" i="10"/>
  <c r="N1144" i="10"/>
  <c r="N1145" i="10"/>
  <c r="N1146" i="10"/>
  <c r="N1147" i="10"/>
  <c r="N1148" i="10"/>
  <c r="N1149" i="10"/>
  <c r="N1150" i="10"/>
  <c r="N1151" i="10"/>
  <c r="N1152" i="10"/>
  <c r="N1153" i="10"/>
  <c r="N1154" i="10"/>
  <c r="N1155" i="10"/>
  <c r="N1156" i="10"/>
  <c r="N1157" i="10"/>
  <c r="N1158" i="10"/>
  <c r="N1159" i="10"/>
  <c r="N1160" i="10"/>
  <c r="N1161" i="10"/>
  <c r="N1162" i="10"/>
  <c r="N1163" i="10"/>
  <c r="N1164" i="10"/>
  <c r="N1165" i="10"/>
  <c r="N1166" i="10"/>
  <c r="N1167" i="10"/>
  <c r="N1168" i="10"/>
  <c r="N1169" i="10"/>
  <c r="N1170" i="10"/>
  <c r="N1171" i="10"/>
  <c r="N1172" i="10"/>
  <c r="N1173" i="10"/>
  <c r="N1174" i="10"/>
  <c r="N1175" i="10"/>
  <c r="N1176" i="10"/>
  <c r="N1177" i="10"/>
  <c r="N1178" i="10"/>
  <c r="N1179" i="10"/>
  <c r="N1180" i="10"/>
  <c r="N1181" i="10"/>
  <c r="N1182" i="10"/>
  <c r="N1183" i="10"/>
  <c r="N1184" i="10"/>
  <c r="N1185" i="10"/>
  <c r="N1186" i="10"/>
  <c r="N1187" i="10"/>
  <c r="N1188" i="10"/>
  <c r="N1189" i="10"/>
  <c r="N1190" i="10"/>
  <c r="N1191" i="10"/>
  <c r="N1192" i="10"/>
  <c r="N1193" i="10"/>
  <c r="N1194" i="10"/>
  <c r="N1195" i="10"/>
  <c r="N1196" i="10"/>
  <c r="N1197" i="10"/>
  <c r="N1198" i="10"/>
  <c r="N1199" i="10"/>
  <c r="N1200" i="10"/>
  <c r="N1201" i="10"/>
  <c r="N1202" i="10"/>
  <c r="N1203" i="10"/>
  <c r="N1204" i="10"/>
  <c r="N1205" i="10"/>
  <c r="N1206" i="10"/>
  <c r="N1207" i="10"/>
  <c r="N1208" i="10"/>
  <c r="N1209" i="10"/>
  <c r="N1210" i="10"/>
  <c r="N1211" i="10"/>
  <c r="N1212" i="10"/>
  <c r="N1213" i="10"/>
  <c r="N1214" i="10"/>
  <c r="N1215" i="10"/>
  <c r="N1216" i="10"/>
  <c r="N1217" i="10"/>
  <c r="N1218" i="10"/>
  <c r="N1219" i="10"/>
  <c r="N1220" i="10"/>
  <c r="N1221" i="10"/>
  <c r="N1222" i="10"/>
  <c r="N1223" i="10"/>
  <c r="N1224" i="10"/>
  <c r="N1225" i="10"/>
  <c r="N1226" i="10"/>
  <c r="N1227" i="10"/>
  <c r="N1228" i="10"/>
  <c r="N1229" i="10"/>
  <c r="N1230" i="10"/>
  <c r="N1231" i="10"/>
  <c r="N1232" i="10"/>
  <c r="N1233" i="10"/>
  <c r="N1234" i="10"/>
  <c r="N1235" i="10"/>
  <c r="N1236" i="10"/>
  <c r="N1237" i="10"/>
  <c r="N1238" i="10"/>
  <c r="N1239" i="10"/>
  <c r="N1240" i="10"/>
  <c r="N1241" i="10"/>
  <c r="N1242" i="10"/>
  <c r="N1243" i="10"/>
  <c r="N1244" i="10"/>
  <c r="N1245" i="10"/>
  <c r="N1246" i="10"/>
  <c r="N1247" i="10"/>
  <c r="N1248" i="10"/>
  <c r="N1249" i="10"/>
  <c r="N1250" i="10"/>
  <c r="N1251" i="10"/>
  <c r="N1252" i="10"/>
  <c r="N1253" i="10"/>
  <c r="N1254" i="10"/>
  <c r="N1255" i="10"/>
  <c r="N1256" i="10"/>
  <c r="N1257" i="10"/>
  <c r="N1258" i="10"/>
  <c r="N1259" i="10"/>
  <c r="N1260" i="10"/>
  <c r="N1261" i="10"/>
  <c r="N1262" i="10"/>
  <c r="N1263" i="10"/>
  <c r="N1264" i="10"/>
  <c r="N1265" i="10"/>
  <c r="N1266" i="10"/>
  <c r="N1267" i="10"/>
  <c r="N1268" i="10"/>
  <c r="N1269" i="10"/>
  <c r="N1270" i="10"/>
  <c r="N1271" i="10"/>
  <c r="N1272" i="10"/>
  <c r="N1273" i="10"/>
  <c r="N1274" i="10"/>
  <c r="N1275" i="10"/>
  <c r="N1276" i="10"/>
  <c r="N1277" i="10"/>
  <c r="N1278" i="10"/>
  <c r="N1279" i="10"/>
  <c r="N1280" i="10"/>
  <c r="N1281" i="10"/>
  <c r="N1282" i="10"/>
  <c r="N2" i="10"/>
  <c r="M2" i="10"/>
  <c r="M3" i="10"/>
  <c r="M4" i="10"/>
  <c r="M5" i="10"/>
  <c r="M6" i="10"/>
  <c r="M7" i="10"/>
  <c r="M8" i="10"/>
  <c r="M9" i="10"/>
  <c r="M10" i="10"/>
  <c r="M11" i="10"/>
  <c r="M12" i="10"/>
  <c r="M13" i="10"/>
  <c r="M14" i="10"/>
  <c r="M15" i="10"/>
  <c r="M16" i="10"/>
  <c r="M17" i="10"/>
  <c r="M18" i="10"/>
  <c r="M19" i="10"/>
  <c r="M20" i="10"/>
  <c r="M21" i="10"/>
  <c r="M22" i="10"/>
  <c r="M23" i="10"/>
  <c r="M24" i="10"/>
  <c r="M25" i="10"/>
  <c r="M26" i="10"/>
  <c r="M27" i="10"/>
  <c r="M28" i="10"/>
  <c r="M29" i="10"/>
  <c r="M30" i="10"/>
  <c r="M31" i="10"/>
  <c r="M32" i="10"/>
  <c r="M33" i="10"/>
  <c r="M34" i="10"/>
  <c r="M35" i="10"/>
  <c r="M36" i="10"/>
  <c r="M37" i="10"/>
  <c r="M38" i="10"/>
  <c r="M39" i="10"/>
  <c r="M40" i="10"/>
  <c r="M41" i="10"/>
  <c r="M42" i="10"/>
  <c r="M43" i="10"/>
  <c r="M44" i="10"/>
  <c r="M45" i="10"/>
  <c r="M46" i="10"/>
  <c r="M47" i="10"/>
  <c r="M48" i="10"/>
  <c r="M49" i="10"/>
  <c r="M50" i="10"/>
  <c r="M51" i="10"/>
  <c r="M52" i="10"/>
  <c r="M53" i="10"/>
  <c r="M54" i="10"/>
  <c r="M55" i="10"/>
  <c r="M56" i="10"/>
  <c r="M57" i="10"/>
  <c r="M58" i="10"/>
  <c r="M59" i="10"/>
  <c r="M60" i="10"/>
  <c r="M61" i="10"/>
  <c r="M62" i="10"/>
  <c r="M63" i="10"/>
  <c r="M64" i="10"/>
  <c r="M65" i="10"/>
  <c r="M66" i="10"/>
  <c r="M67" i="10"/>
  <c r="M68" i="10"/>
  <c r="M69" i="10"/>
  <c r="M70" i="10"/>
  <c r="M71" i="10"/>
  <c r="M72" i="10"/>
  <c r="M73" i="10"/>
  <c r="M74" i="10"/>
  <c r="M75" i="10"/>
  <c r="M76" i="10"/>
  <c r="M77" i="10"/>
  <c r="M78" i="10"/>
  <c r="M79" i="10"/>
  <c r="M80" i="10"/>
  <c r="M81" i="10"/>
  <c r="M82" i="10"/>
  <c r="M83" i="10"/>
  <c r="M84" i="10"/>
  <c r="M85" i="10"/>
  <c r="M86" i="10"/>
  <c r="M87" i="10"/>
  <c r="M88" i="10"/>
  <c r="M89" i="10"/>
  <c r="M90" i="10"/>
  <c r="M91" i="10"/>
  <c r="M92" i="10"/>
  <c r="M93" i="10"/>
  <c r="M94" i="10"/>
  <c r="M95" i="10"/>
  <c r="M96" i="10"/>
  <c r="M97" i="10"/>
  <c r="M98" i="10"/>
  <c r="M99" i="10"/>
  <c r="M100" i="10"/>
  <c r="M101" i="10"/>
  <c r="M102" i="10"/>
  <c r="M103" i="10"/>
  <c r="M104" i="10"/>
  <c r="M105" i="10"/>
  <c r="M106" i="10"/>
  <c r="M107" i="10"/>
  <c r="M108" i="10"/>
  <c r="M109" i="10"/>
  <c r="M110" i="10"/>
  <c r="M111" i="10"/>
  <c r="M112" i="10"/>
  <c r="M113" i="10"/>
  <c r="M114" i="10"/>
  <c r="M115" i="10"/>
  <c r="M116" i="10"/>
  <c r="M117" i="10"/>
  <c r="M118" i="10"/>
  <c r="M119" i="10"/>
  <c r="M120" i="10"/>
  <c r="M121" i="10"/>
  <c r="M122" i="10"/>
  <c r="M123" i="10"/>
  <c r="M124" i="10"/>
  <c r="M125" i="10"/>
  <c r="M126" i="10"/>
  <c r="M127" i="10"/>
  <c r="M128" i="10"/>
  <c r="M129" i="10"/>
  <c r="M130" i="10"/>
  <c r="M131" i="10"/>
  <c r="M132" i="10"/>
  <c r="M133" i="10"/>
  <c r="M134" i="10"/>
  <c r="M135" i="10"/>
  <c r="M136" i="10"/>
  <c r="M137" i="10"/>
  <c r="M138" i="10"/>
  <c r="M139" i="10"/>
  <c r="M140" i="10"/>
  <c r="M141" i="10"/>
  <c r="M142" i="10"/>
  <c r="M143" i="10"/>
  <c r="M144" i="10"/>
  <c r="M145" i="10"/>
  <c r="M146" i="10"/>
  <c r="M147" i="10"/>
  <c r="M148" i="10"/>
  <c r="M149" i="10"/>
  <c r="M150" i="10"/>
  <c r="M151" i="10"/>
  <c r="M152" i="10"/>
  <c r="M153" i="10"/>
  <c r="M154" i="10"/>
  <c r="M155" i="10"/>
  <c r="M156" i="10"/>
  <c r="M157" i="10"/>
  <c r="M158" i="10"/>
  <c r="M159" i="10"/>
  <c r="M160" i="10"/>
  <c r="M161" i="10"/>
  <c r="M162" i="10"/>
  <c r="M163" i="10"/>
  <c r="M164" i="10"/>
  <c r="M165" i="10"/>
  <c r="M166" i="10"/>
  <c r="M167" i="10"/>
  <c r="M168" i="10"/>
  <c r="M169" i="10"/>
  <c r="M170" i="10"/>
  <c r="M171" i="10"/>
  <c r="M172" i="10"/>
  <c r="M173" i="10"/>
  <c r="M174" i="10"/>
  <c r="M175" i="10"/>
  <c r="M176" i="10"/>
  <c r="M177" i="10"/>
  <c r="M178" i="10"/>
  <c r="M179" i="10"/>
  <c r="M180" i="10"/>
  <c r="M181" i="10"/>
  <c r="M182" i="10"/>
  <c r="M183" i="10"/>
  <c r="M184" i="10"/>
  <c r="M185" i="10"/>
  <c r="M186" i="10"/>
  <c r="M187" i="10"/>
  <c r="M188" i="10"/>
  <c r="M189" i="10"/>
  <c r="M190" i="10"/>
  <c r="M191" i="10"/>
  <c r="M192" i="10"/>
  <c r="M193" i="10"/>
  <c r="M194" i="10"/>
  <c r="M195" i="10"/>
  <c r="M196" i="10"/>
  <c r="M197" i="10"/>
  <c r="M198" i="10"/>
  <c r="M199" i="10"/>
  <c r="M200" i="10"/>
  <c r="M201" i="10"/>
  <c r="M202" i="10"/>
  <c r="M203" i="10"/>
  <c r="M204" i="10"/>
  <c r="M205" i="10"/>
  <c r="M206" i="10"/>
  <c r="M207" i="10"/>
  <c r="M208" i="10"/>
  <c r="M209" i="10"/>
  <c r="M210" i="10"/>
  <c r="M211" i="10"/>
  <c r="M212" i="10"/>
  <c r="M213" i="10"/>
  <c r="M214" i="10"/>
  <c r="M215" i="10"/>
  <c r="M216" i="10"/>
  <c r="M217" i="10"/>
  <c r="M218" i="10"/>
  <c r="M219" i="10"/>
  <c r="M220" i="10"/>
  <c r="M221" i="10"/>
  <c r="M222" i="10"/>
  <c r="M223" i="10"/>
  <c r="M224" i="10"/>
  <c r="M225" i="10"/>
  <c r="M226" i="10"/>
  <c r="M227" i="10"/>
  <c r="M228" i="10"/>
  <c r="M229" i="10"/>
  <c r="M230" i="10"/>
  <c r="M231" i="10"/>
  <c r="M232" i="10"/>
  <c r="M233" i="10"/>
  <c r="M234" i="10"/>
  <c r="M235" i="10"/>
  <c r="M236" i="10"/>
  <c r="M237" i="10"/>
  <c r="M238" i="10"/>
  <c r="M239" i="10"/>
  <c r="M240" i="10"/>
  <c r="M241" i="10"/>
  <c r="M242" i="10"/>
  <c r="M243" i="10"/>
  <c r="M244" i="10"/>
  <c r="M245" i="10"/>
  <c r="M246" i="10"/>
  <c r="M247" i="10"/>
  <c r="M248" i="10"/>
  <c r="M249" i="10"/>
  <c r="M250" i="10"/>
  <c r="M251" i="10"/>
  <c r="M252" i="10"/>
  <c r="M253" i="10"/>
  <c r="M254" i="10"/>
  <c r="M255" i="10"/>
  <c r="M256" i="10"/>
  <c r="M257" i="10"/>
  <c r="M258" i="10"/>
  <c r="M259" i="10"/>
  <c r="M260" i="10"/>
  <c r="M261" i="10"/>
  <c r="M262" i="10"/>
  <c r="M263" i="10"/>
  <c r="M264" i="10"/>
  <c r="M265" i="10"/>
  <c r="M266" i="10"/>
  <c r="M267" i="10"/>
  <c r="M268" i="10"/>
  <c r="M269" i="10"/>
  <c r="M270" i="10"/>
  <c r="M271" i="10"/>
  <c r="M272" i="10"/>
  <c r="M273" i="10"/>
  <c r="M274" i="10"/>
  <c r="M275" i="10"/>
  <c r="M276" i="10"/>
  <c r="M277" i="10"/>
  <c r="M278" i="10"/>
  <c r="M279" i="10"/>
  <c r="M280" i="10"/>
  <c r="M281" i="10"/>
  <c r="M282" i="10"/>
  <c r="M283" i="10"/>
  <c r="M284" i="10"/>
  <c r="M285" i="10"/>
  <c r="M286" i="10"/>
  <c r="M287" i="10"/>
  <c r="M288" i="10"/>
  <c r="M289" i="10"/>
  <c r="M290" i="10"/>
  <c r="M291" i="10"/>
  <c r="M292" i="10"/>
  <c r="M293" i="10"/>
  <c r="M294" i="10"/>
  <c r="M295" i="10"/>
  <c r="M296" i="10"/>
  <c r="M297" i="10"/>
  <c r="M298" i="10"/>
  <c r="M299" i="10"/>
  <c r="M300" i="10"/>
  <c r="M301" i="10"/>
  <c r="M302" i="10"/>
  <c r="M303" i="10"/>
  <c r="M304" i="10"/>
  <c r="M305" i="10"/>
  <c r="M306" i="10"/>
  <c r="M307" i="10"/>
  <c r="M308" i="10"/>
  <c r="M309" i="10"/>
  <c r="M310" i="10"/>
  <c r="M311" i="10"/>
  <c r="M312" i="10"/>
  <c r="M313" i="10"/>
  <c r="M314" i="10"/>
  <c r="M315" i="10"/>
  <c r="M316" i="10"/>
  <c r="M317" i="10"/>
  <c r="M318" i="10"/>
  <c r="M319" i="10"/>
  <c r="M320" i="10"/>
  <c r="M321" i="10"/>
  <c r="M322" i="10"/>
  <c r="M323" i="10"/>
  <c r="M324" i="10"/>
  <c r="M325" i="10"/>
  <c r="M326" i="10"/>
  <c r="M327" i="10"/>
  <c r="M328" i="10"/>
  <c r="M329" i="10"/>
  <c r="M330" i="10"/>
  <c r="M331" i="10"/>
  <c r="M332" i="10"/>
  <c r="M333" i="10"/>
  <c r="M334" i="10"/>
  <c r="M335" i="10"/>
  <c r="M336" i="10"/>
  <c r="M337" i="10"/>
  <c r="M338" i="10"/>
  <c r="M339" i="10"/>
  <c r="M340" i="10"/>
  <c r="M341" i="10"/>
  <c r="M342" i="10"/>
  <c r="M343" i="10"/>
  <c r="M344" i="10"/>
  <c r="M345" i="10"/>
  <c r="M346" i="10"/>
  <c r="M347" i="10"/>
  <c r="M348" i="10"/>
  <c r="M349" i="10"/>
  <c r="M350" i="10"/>
  <c r="M351" i="10"/>
  <c r="M352" i="10"/>
  <c r="M353" i="10"/>
  <c r="M354" i="10"/>
  <c r="M355" i="10"/>
  <c r="M356" i="10"/>
  <c r="M357" i="10"/>
  <c r="M358" i="10"/>
  <c r="M359" i="10"/>
  <c r="M360" i="10"/>
  <c r="M361" i="10"/>
  <c r="M362" i="10"/>
  <c r="M363" i="10"/>
  <c r="M364" i="10"/>
  <c r="M365" i="10"/>
  <c r="M366" i="10"/>
  <c r="M367" i="10"/>
  <c r="M368" i="10"/>
  <c r="M369" i="10"/>
  <c r="M370" i="10"/>
  <c r="M371" i="10"/>
  <c r="M372" i="10"/>
  <c r="M373" i="10"/>
  <c r="M374" i="10"/>
  <c r="M375" i="10"/>
  <c r="M376" i="10"/>
  <c r="M377" i="10"/>
  <c r="M378" i="10"/>
  <c r="M379" i="10"/>
  <c r="M380" i="10"/>
  <c r="M381" i="10"/>
  <c r="M382" i="10"/>
  <c r="M383" i="10"/>
  <c r="M384" i="10"/>
  <c r="M385" i="10"/>
  <c r="M386" i="10"/>
  <c r="M387" i="10"/>
  <c r="M388" i="10"/>
  <c r="M389" i="10"/>
  <c r="M390" i="10"/>
  <c r="M391" i="10"/>
  <c r="M392" i="10"/>
  <c r="M393" i="10"/>
  <c r="M394" i="10"/>
  <c r="M395" i="10"/>
  <c r="M396" i="10"/>
  <c r="M397" i="10"/>
  <c r="M398" i="10"/>
  <c r="M399" i="10"/>
  <c r="M400" i="10"/>
  <c r="M401" i="10"/>
  <c r="M402" i="10"/>
  <c r="M403" i="10"/>
  <c r="M404" i="10"/>
  <c r="M405" i="10"/>
  <c r="M406" i="10"/>
  <c r="M407" i="10"/>
  <c r="M408" i="10"/>
  <c r="M409" i="10"/>
  <c r="M410" i="10"/>
  <c r="M411" i="10"/>
  <c r="M412" i="10"/>
  <c r="M413" i="10"/>
  <c r="M414" i="10"/>
  <c r="M415" i="10"/>
  <c r="M416" i="10"/>
  <c r="M417" i="10"/>
  <c r="M418" i="10"/>
  <c r="M419" i="10"/>
  <c r="M420" i="10"/>
  <c r="M421" i="10"/>
  <c r="M422" i="10"/>
  <c r="M423" i="10"/>
  <c r="M424" i="10"/>
  <c r="M425" i="10"/>
  <c r="M426" i="10"/>
  <c r="M427" i="10"/>
  <c r="M428" i="10"/>
  <c r="M429" i="10"/>
  <c r="M430" i="10"/>
  <c r="M431" i="10"/>
  <c r="M432" i="10"/>
  <c r="M433" i="10"/>
  <c r="M434" i="10"/>
  <c r="M435" i="10"/>
  <c r="M436" i="10"/>
  <c r="M437" i="10"/>
  <c r="M438" i="10"/>
  <c r="M439" i="10"/>
  <c r="M440" i="10"/>
  <c r="M441" i="10"/>
  <c r="M442" i="10"/>
  <c r="M443" i="10"/>
  <c r="M444" i="10"/>
  <c r="M445" i="10"/>
  <c r="M446" i="10"/>
  <c r="M447" i="10"/>
  <c r="M448" i="10"/>
  <c r="M449" i="10"/>
  <c r="M450" i="10"/>
  <c r="M451" i="10"/>
  <c r="M452" i="10"/>
  <c r="M453" i="10"/>
  <c r="M454" i="10"/>
  <c r="M455" i="10"/>
  <c r="M456" i="10"/>
  <c r="M457" i="10"/>
  <c r="M458" i="10"/>
  <c r="M459" i="10"/>
  <c r="M460" i="10"/>
  <c r="M461" i="10"/>
  <c r="M462" i="10"/>
  <c r="M463" i="10"/>
  <c r="M464" i="10"/>
  <c r="M465" i="10"/>
  <c r="M466" i="10"/>
  <c r="M467" i="10"/>
  <c r="M468" i="10"/>
  <c r="M469" i="10"/>
  <c r="M470" i="10"/>
  <c r="M471" i="10"/>
  <c r="M472" i="10"/>
  <c r="M473" i="10"/>
  <c r="M474" i="10"/>
  <c r="M475" i="10"/>
  <c r="M476" i="10"/>
  <c r="M477" i="10"/>
  <c r="M478" i="10"/>
  <c r="M479" i="10"/>
  <c r="M480" i="10"/>
  <c r="M481" i="10"/>
  <c r="M482" i="10"/>
  <c r="M483" i="10"/>
  <c r="M484" i="10"/>
  <c r="M485" i="10"/>
  <c r="M486" i="10"/>
  <c r="M487" i="10"/>
  <c r="M488" i="10"/>
  <c r="M489" i="10"/>
  <c r="M490" i="10"/>
  <c r="M491" i="10"/>
  <c r="M492" i="10"/>
  <c r="M493" i="10"/>
  <c r="M494" i="10"/>
  <c r="M495" i="10"/>
  <c r="M496" i="10"/>
  <c r="M497" i="10"/>
  <c r="M498" i="10"/>
  <c r="M499" i="10"/>
  <c r="M500" i="10"/>
  <c r="M501" i="10"/>
  <c r="M502" i="10"/>
  <c r="M503" i="10"/>
  <c r="M504" i="10"/>
  <c r="M505" i="10"/>
  <c r="M506" i="10"/>
  <c r="M507" i="10"/>
  <c r="M508" i="10"/>
  <c r="M509" i="10"/>
  <c r="M510" i="10"/>
  <c r="M511" i="10"/>
  <c r="M512" i="10"/>
  <c r="M513" i="10"/>
  <c r="M514" i="10"/>
  <c r="M515" i="10"/>
  <c r="M516" i="10"/>
  <c r="M517" i="10"/>
  <c r="M518" i="10"/>
  <c r="M519" i="10"/>
  <c r="M520" i="10"/>
  <c r="M521" i="10"/>
  <c r="M522" i="10"/>
  <c r="M523" i="10"/>
  <c r="M524" i="10"/>
  <c r="M525" i="10"/>
  <c r="M526" i="10"/>
  <c r="M527" i="10"/>
  <c r="M528" i="10"/>
  <c r="M529" i="10"/>
  <c r="M530" i="10"/>
  <c r="M531" i="10"/>
  <c r="M532" i="10"/>
  <c r="M533" i="10"/>
  <c r="M534" i="10"/>
  <c r="M535" i="10"/>
  <c r="M536" i="10"/>
  <c r="M537" i="10"/>
  <c r="M538" i="10"/>
  <c r="M539" i="10"/>
  <c r="M540" i="10"/>
  <c r="M541" i="10"/>
  <c r="M542" i="10"/>
  <c r="M543" i="10"/>
  <c r="M544" i="10"/>
  <c r="M545" i="10"/>
  <c r="M546" i="10"/>
  <c r="M547" i="10"/>
  <c r="M548" i="10"/>
  <c r="M549" i="10"/>
  <c r="M550" i="10"/>
  <c r="M551" i="10"/>
  <c r="M552" i="10"/>
  <c r="M553" i="10"/>
  <c r="M554" i="10"/>
  <c r="M555" i="10"/>
  <c r="M556" i="10"/>
  <c r="M557" i="10"/>
  <c r="M558" i="10"/>
  <c r="M559" i="10"/>
  <c r="M560" i="10"/>
  <c r="M561" i="10"/>
  <c r="M562" i="10"/>
  <c r="M563" i="10"/>
  <c r="M564" i="10"/>
  <c r="M565" i="10"/>
  <c r="M566" i="10"/>
  <c r="M567" i="10"/>
  <c r="M568" i="10"/>
  <c r="M569" i="10"/>
  <c r="M570" i="10"/>
  <c r="M571" i="10"/>
  <c r="M572" i="10"/>
  <c r="M573" i="10"/>
  <c r="M574" i="10"/>
  <c r="M575" i="10"/>
  <c r="M576" i="10"/>
  <c r="M577" i="10"/>
  <c r="M578" i="10"/>
  <c r="M579" i="10"/>
  <c r="M580" i="10"/>
  <c r="M581" i="10"/>
  <c r="M582" i="10"/>
  <c r="M583" i="10"/>
  <c r="M584" i="10"/>
  <c r="M585" i="10"/>
  <c r="M586" i="10"/>
  <c r="M587" i="10"/>
  <c r="M588" i="10"/>
  <c r="M589" i="10"/>
  <c r="M590" i="10"/>
  <c r="M591" i="10"/>
  <c r="M592" i="10"/>
  <c r="M593" i="10"/>
  <c r="M594" i="10"/>
  <c r="M595" i="10"/>
  <c r="M596" i="10"/>
  <c r="M597" i="10"/>
  <c r="M598" i="10"/>
  <c r="M599" i="10"/>
  <c r="M600" i="10"/>
  <c r="M601" i="10"/>
  <c r="M602" i="10"/>
  <c r="M603" i="10"/>
  <c r="M604" i="10"/>
  <c r="M605" i="10"/>
  <c r="M606" i="10"/>
  <c r="M607" i="10"/>
  <c r="M608" i="10"/>
  <c r="M609" i="10"/>
  <c r="M610" i="10"/>
  <c r="M611" i="10"/>
  <c r="M612" i="10"/>
  <c r="M613" i="10"/>
  <c r="M614" i="10"/>
  <c r="M615" i="10"/>
  <c r="M616" i="10"/>
  <c r="M617" i="10"/>
  <c r="M618" i="10"/>
  <c r="M619" i="10"/>
  <c r="M620" i="10"/>
  <c r="M621" i="10"/>
  <c r="M622" i="10"/>
  <c r="M623" i="10"/>
  <c r="M624" i="10"/>
  <c r="M625" i="10"/>
  <c r="M626" i="10"/>
  <c r="M627" i="10"/>
  <c r="M628" i="10"/>
  <c r="M629" i="10"/>
  <c r="M630" i="10"/>
  <c r="M631" i="10"/>
  <c r="M632" i="10"/>
  <c r="M633" i="10"/>
  <c r="M634" i="10"/>
  <c r="M635" i="10"/>
  <c r="M636" i="10"/>
  <c r="M637" i="10"/>
  <c r="M638" i="10"/>
  <c r="M639" i="10"/>
  <c r="M640" i="10"/>
  <c r="M641" i="10"/>
  <c r="M642" i="10"/>
  <c r="M643" i="10"/>
  <c r="M644" i="10"/>
  <c r="M645" i="10"/>
  <c r="M646" i="10"/>
  <c r="M647" i="10"/>
  <c r="M648" i="10"/>
  <c r="M649" i="10"/>
  <c r="M650" i="10"/>
  <c r="M651" i="10"/>
  <c r="M652" i="10"/>
  <c r="M653" i="10"/>
  <c r="M654" i="10"/>
  <c r="M655" i="10"/>
  <c r="M656" i="10"/>
  <c r="M657" i="10"/>
  <c r="M658" i="10"/>
  <c r="M659" i="10"/>
  <c r="M660" i="10"/>
  <c r="M661" i="10"/>
  <c r="M662" i="10"/>
  <c r="M663" i="10"/>
  <c r="M664" i="10"/>
  <c r="M665" i="10"/>
  <c r="M666" i="10"/>
  <c r="M667" i="10"/>
  <c r="M668" i="10"/>
  <c r="M669" i="10"/>
  <c r="M670" i="10"/>
  <c r="M671" i="10"/>
  <c r="M672" i="10"/>
  <c r="M673" i="10"/>
  <c r="M674" i="10"/>
  <c r="M675" i="10"/>
  <c r="M676" i="10"/>
  <c r="M677" i="10"/>
  <c r="M678" i="10"/>
  <c r="M679" i="10"/>
  <c r="M680" i="10"/>
  <c r="M681" i="10"/>
  <c r="M682" i="10"/>
  <c r="M683" i="10"/>
  <c r="M684" i="10"/>
  <c r="M685" i="10"/>
  <c r="M686" i="10"/>
  <c r="M687" i="10"/>
  <c r="M688" i="10"/>
  <c r="M689" i="10"/>
  <c r="M690" i="10"/>
  <c r="M691" i="10"/>
  <c r="M692" i="10"/>
  <c r="M693" i="10"/>
  <c r="M694" i="10"/>
  <c r="M695" i="10"/>
  <c r="M696" i="10"/>
  <c r="M697" i="10"/>
  <c r="M698" i="10"/>
  <c r="M699" i="10"/>
  <c r="M700" i="10"/>
  <c r="M701" i="10"/>
  <c r="M702" i="10"/>
  <c r="M703" i="10"/>
  <c r="M704" i="10"/>
  <c r="M705" i="10"/>
  <c r="M706" i="10"/>
  <c r="M707" i="10"/>
  <c r="M708" i="10"/>
  <c r="M709" i="10"/>
  <c r="M710" i="10"/>
  <c r="M711" i="10"/>
  <c r="M712" i="10"/>
  <c r="M713" i="10"/>
  <c r="M714" i="10"/>
  <c r="M715" i="10"/>
  <c r="M716" i="10"/>
  <c r="M717" i="10"/>
  <c r="M718" i="10"/>
  <c r="M719" i="10"/>
  <c r="M720" i="10"/>
  <c r="M721" i="10"/>
  <c r="M722" i="10"/>
  <c r="M723" i="10"/>
  <c r="M724" i="10"/>
  <c r="M725" i="10"/>
  <c r="M726" i="10"/>
  <c r="M727" i="10"/>
  <c r="M728" i="10"/>
  <c r="M729" i="10"/>
  <c r="M730" i="10"/>
  <c r="M731" i="10"/>
  <c r="M732" i="10"/>
  <c r="M733" i="10"/>
  <c r="M734" i="10"/>
  <c r="M735" i="10"/>
  <c r="M736" i="10"/>
  <c r="M737" i="10"/>
  <c r="M738" i="10"/>
  <c r="M739" i="10"/>
  <c r="M740" i="10"/>
  <c r="M741" i="10"/>
  <c r="M742" i="10"/>
  <c r="M743" i="10"/>
  <c r="M744" i="10"/>
  <c r="M745" i="10"/>
  <c r="M746" i="10"/>
  <c r="M747" i="10"/>
  <c r="M748" i="10"/>
  <c r="M749" i="10"/>
  <c r="M750" i="10"/>
  <c r="M751" i="10"/>
  <c r="M752" i="10"/>
  <c r="M753" i="10"/>
  <c r="M754" i="10"/>
  <c r="M755" i="10"/>
  <c r="M756" i="10"/>
  <c r="M757" i="10"/>
  <c r="M758" i="10"/>
  <c r="M759" i="10"/>
  <c r="M760" i="10"/>
  <c r="M761" i="10"/>
  <c r="M762" i="10"/>
  <c r="M763" i="10"/>
  <c r="M764" i="10"/>
  <c r="M765" i="10"/>
  <c r="M766" i="10"/>
  <c r="M767" i="10"/>
  <c r="M768" i="10"/>
  <c r="M769" i="10"/>
  <c r="M770" i="10"/>
  <c r="M771" i="10"/>
  <c r="M772" i="10"/>
  <c r="M773" i="10"/>
  <c r="M774" i="10"/>
  <c r="M775" i="10"/>
  <c r="M776" i="10"/>
  <c r="M777" i="10"/>
  <c r="M778" i="10"/>
  <c r="M779" i="10"/>
  <c r="M780" i="10"/>
  <c r="M781" i="10"/>
  <c r="M782" i="10"/>
  <c r="M783" i="10"/>
  <c r="M784" i="10"/>
  <c r="M785" i="10"/>
  <c r="M786" i="10"/>
  <c r="M787" i="10"/>
  <c r="M788" i="10"/>
  <c r="M789" i="10"/>
  <c r="M790" i="10"/>
  <c r="M791" i="10"/>
  <c r="M792" i="10"/>
  <c r="M793" i="10"/>
  <c r="M794" i="10"/>
  <c r="M795" i="10"/>
  <c r="M796" i="10"/>
  <c r="M797" i="10"/>
  <c r="M798" i="10"/>
  <c r="M799" i="10"/>
  <c r="M800" i="10"/>
  <c r="M801" i="10"/>
  <c r="M802" i="10"/>
  <c r="M803" i="10"/>
  <c r="M804" i="10"/>
  <c r="M805" i="10"/>
  <c r="M806" i="10"/>
  <c r="M807" i="10"/>
  <c r="M808" i="10"/>
  <c r="M809" i="10"/>
  <c r="M810" i="10"/>
  <c r="M811" i="10"/>
  <c r="M812" i="10"/>
  <c r="M813" i="10"/>
  <c r="M814" i="10"/>
  <c r="M815" i="10"/>
  <c r="M816" i="10"/>
  <c r="M817" i="10"/>
  <c r="M818" i="10"/>
  <c r="M819" i="10"/>
  <c r="M820" i="10"/>
  <c r="M821" i="10"/>
  <c r="M822" i="10"/>
  <c r="M823" i="10"/>
  <c r="M824" i="10"/>
  <c r="M825" i="10"/>
  <c r="M826" i="10"/>
  <c r="M827" i="10"/>
  <c r="M828" i="10"/>
  <c r="M829" i="10"/>
  <c r="M830" i="10"/>
  <c r="M831" i="10"/>
  <c r="M832" i="10"/>
  <c r="M833" i="10"/>
  <c r="M834" i="10"/>
  <c r="M835" i="10"/>
  <c r="M836" i="10"/>
  <c r="M837" i="10"/>
  <c r="M838" i="10"/>
  <c r="M839" i="10"/>
  <c r="M840" i="10"/>
  <c r="M841" i="10"/>
  <c r="M842" i="10"/>
  <c r="M843" i="10"/>
  <c r="M844" i="10"/>
  <c r="M845" i="10"/>
  <c r="M846" i="10"/>
  <c r="M847" i="10"/>
  <c r="M848" i="10"/>
  <c r="M849" i="10"/>
  <c r="M850" i="10"/>
  <c r="M851" i="10"/>
  <c r="M852" i="10"/>
  <c r="M853" i="10"/>
  <c r="M854" i="10"/>
  <c r="M855" i="10"/>
  <c r="M856" i="10"/>
  <c r="M857" i="10"/>
  <c r="M858" i="10"/>
  <c r="M859" i="10"/>
  <c r="M860" i="10"/>
  <c r="M861" i="10"/>
  <c r="M862" i="10"/>
  <c r="M863" i="10"/>
  <c r="M864" i="10"/>
  <c r="M865" i="10"/>
  <c r="M866" i="10"/>
  <c r="M867" i="10"/>
  <c r="M868" i="10"/>
  <c r="M869" i="10"/>
  <c r="M870" i="10"/>
  <c r="M871" i="10"/>
  <c r="M872" i="10"/>
  <c r="M873" i="10"/>
  <c r="M874" i="10"/>
  <c r="M875" i="10"/>
  <c r="M876" i="10"/>
  <c r="M877" i="10"/>
  <c r="M878" i="10"/>
  <c r="M879" i="10"/>
  <c r="M880" i="10"/>
  <c r="M881" i="10"/>
  <c r="M882" i="10"/>
  <c r="M883" i="10"/>
  <c r="M884" i="10"/>
  <c r="M885" i="10"/>
  <c r="M886" i="10"/>
  <c r="M887" i="10"/>
  <c r="M888" i="10"/>
  <c r="M889" i="10"/>
  <c r="M890" i="10"/>
  <c r="M891" i="10"/>
  <c r="M892" i="10"/>
  <c r="M893" i="10"/>
  <c r="M894" i="10"/>
  <c r="M895" i="10"/>
  <c r="M896" i="10"/>
  <c r="M897" i="10"/>
  <c r="M898" i="10"/>
  <c r="M899" i="10"/>
  <c r="M900" i="10"/>
  <c r="M901" i="10"/>
  <c r="M902" i="10"/>
  <c r="M903" i="10"/>
  <c r="M904" i="10"/>
  <c r="M905" i="10"/>
  <c r="M906" i="10"/>
  <c r="M907" i="10"/>
  <c r="M908" i="10"/>
  <c r="M909" i="10"/>
  <c r="M910" i="10"/>
  <c r="M911" i="10"/>
  <c r="M912" i="10"/>
  <c r="M913" i="10"/>
  <c r="M914" i="10"/>
  <c r="M915" i="10"/>
  <c r="M916" i="10"/>
  <c r="M917" i="10"/>
  <c r="M918" i="10"/>
  <c r="M919" i="10"/>
  <c r="M920" i="10"/>
  <c r="M921" i="10"/>
  <c r="M922" i="10"/>
  <c r="M923" i="10"/>
  <c r="M924" i="10"/>
  <c r="M925" i="10"/>
  <c r="M926" i="10"/>
  <c r="M927" i="10"/>
  <c r="M928" i="10"/>
  <c r="M929" i="10"/>
  <c r="M930" i="10"/>
  <c r="M931" i="10"/>
  <c r="M932" i="10"/>
  <c r="M933" i="10"/>
  <c r="M934" i="10"/>
  <c r="M935" i="10"/>
  <c r="M936" i="10"/>
  <c r="M937" i="10"/>
  <c r="M938" i="10"/>
  <c r="M939" i="10"/>
  <c r="M940" i="10"/>
  <c r="M941" i="10"/>
  <c r="M942" i="10"/>
  <c r="M943" i="10"/>
  <c r="M944" i="10"/>
  <c r="M945" i="10"/>
  <c r="M946" i="10"/>
  <c r="M947" i="10"/>
  <c r="M948" i="10"/>
  <c r="M949" i="10"/>
  <c r="M950" i="10"/>
  <c r="M951" i="10"/>
  <c r="M952" i="10"/>
  <c r="M953" i="10"/>
  <c r="M954" i="10"/>
  <c r="M955" i="10"/>
  <c r="M956" i="10"/>
  <c r="M957" i="10"/>
  <c r="M958" i="10"/>
  <c r="M959" i="10"/>
  <c r="M960" i="10"/>
  <c r="M961" i="10"/>
  <c r="M962" i="10"/>
  <c r="M963" i="10"/>
  <c r="M964" i="10"/>
  <c r="M965" i="10"/>
  <c r="M966" i="10"/>
  <c r="M967" i="10"/>
  <c r="M968" i="10"/>
  <c r="M969" i="10"/>
  <c r="M970" i="10"/>
  <c r="M971" i="10"/>
  <c r="M972" i="10"/>
  <c r="M973" i="10"/>
  <c r="M974" i="10"/>
  <c r="M975" i="10"/>
  <c r="M976" i="10"/>
  <c r="M977" i="10"/>
  <c r="M978" i="10"/>
  <c r="M979" i="10"/>
  <c r="M980" i="10"/>
  <c r="M981" i="10"/>
  <c r="M982" i="10"/>
  <c r="M983" i="10"/>
  <c r="M984" i="10"/>
  <c r="M985" i="10"/>
  <c r="M986" i="10"/>
  <c r="M987" i="10"/>
  <c r="M988" i="10"/>
  <c r="M989" i="10"/>
  <c r="M990" i="10"/>
  <c r="M991" i="10"/>
  <c r="M992" i="10"/>
  <c r="M993" i="10"/>
  <c r="M994" i="10"/>
  <c r="M995" i="10"/>
  <c r="M996" i="10"/>
  <c r="M997" i="10"/>
  <c r="M998" i="10"/>
  <c r="M999" i="10"/>
  <c r="M1000" i="10"/>
  <c r="M1001" i="10"/>
  <c r="M1002" i="10"/>
  <c r="M1003" i="10"/>
  <c r="M1004" i="10"/>
  <c r="M1005" i="10"/>
  <c r="M1006" i="10"/>
  <c r="M1007" i="10"/>
  <c r="M1008" i="10"/>
  <c r="M1009" i="10"/>
  <c r="M1010" i="10"/>
  <c r="M1011" i="10"/>
  <c r="M1012" i="10"/>
  <c r="M1013" i="10"/>
  <c r="M1014" i="10"/>
  <c r="M1015" i="10"/>
  <c r="M1016" i="10"/>
  <c r="M1017" i="10"/>
  <c r="M1018" i="10"/>
  <c r="M1019" i="10"/>
  <c r="M1020" i="10"/>
  <c r="M1021" i="10"/>
  <c r="M1022" i="10"/>
  <c r="M1023" i="10"/>
  <c r="M1024" i="10"/>
  <c r="M1025" i="10"/>
  <c r="M1026" i="10"/>
  <c r="M1027" i="10"/>
  <c r="M1028" i="10"/>
  <c r="M1029" i="10"/>
  <c r="M1030" i="10"/>
  <c r="M1031" i="10"/>
  <c r="M1032" i="10"/>
  <c r="M1033" i="10"/>
  <c r="M1034" i="10"/>
  <c r="M1035" i="10"/>
  <c r="M1036" i="10"/>
  <c r="M1037" i="10"/>
  <c r="M1038" i="10"/>
  <c r="M1039" i="10"/>
  <c r="M1040" i="10"/>
  <c r="M1041" i="10"/>
  <c r="M1042" i="10"/>
  <c r="M1043" i="10"/>
  <c r="M1044" i="10"/>
  <c r="M1045" i="10"/>
  <c r="M1046" i="10"/>
  <c r="M1047" i="10"/>
  <c r="M1048" i="10"/>
  <c r="M1049" i="10"/>
  <c r="M1050" i="10"/>
  <c r="M1051" i="10"/>
  <c r="M1052" i="10"/>
  <c r="M1053" i="10"/>
  <c r="M1054" i="10"/>
  <c r="M1055" i="10"/>
  <c r="M1056" i="10"/>
  <c r="M1057" i="10"/>
  <c r="M1058" i="10"/>
  <c r="M1059" i="10"/>
  <c r="M1060" i="10"/>
  <c r="M1061" i="10"/>
  <c r="M1062" i="10"/>
  <c r="M1063" i="10"/>
  <c r="M1064" i="10"/>
  <c r="M1065" i="10"/>
  <c r="M1066" i="10"/>
  <c r="M1067" i="10"/>
  <c r="M1068" i="10"/>
  <c r="M1069" i="10"/>
  <c r="M1070" i="10"/>
  <c r="M1071" i="10"/>
  <c r="M1072" i="10"/>
  <c r="M1073" i="10"/>
  <c r="M1074" i="10"/>
  <c r="M1075" i="10"/>
  <c r="M1076" i="10"/>
  <c r="M1077" i="10"/>
  <c r="M1078" i="10"/>
  <c r="M1079" i="10"/>
  <c r="M1080" i="10"/>
  <c r="M1081" i="10"/>
  <c r="M1082" i="10"/>
  <c r="M1083" i="10"/>
  <c r="M1084" i="10"/>
  <c r="M1085" i="10"/>
  <c r="M1086" i="10"/>
  <c r="M1087" i="10"/>
  <c r="M1088" i="10"/>
  <c r="M1089" i="10"/>
  <c r="M1090" i="10"/>
  <c r="M1091" i="10"/>
  <c r="M1092" i="10"/>
  <c r="M1093" i="10"/>
  <c r="M1094" i="10"/>
  <c r="M1095" i="10"/>
  <c r="M1096" i="10"/>
  <c r="M1097" i="10"/>
  <c r="M1098" i="10"/>
  <c r="M1099" i="10"/>
  <c r="M1100" i="10"/>
  <c r="M1101" i="10"/>
  <c r="M1102" i="10"/>
  <c r="M1103" i="10"/>
  <c r="M1104" i="10"/>
  <c r="M1105" i="10"/>
  <c r="M1106" i="10"/>
  <c r="M1107" i="10"/>
  <c r="M1108" i="10"/>
  <c r="M1109" i="10"/>
  <c r="M1110" i="10"/>
  <c r="M1111" i="10"/>
  <c r="M1112" i="10"/>
  <c r="M1113" i="10"/>
  <c r="M1114" i="10"/>
  <c r="M1115" i="10"/>
  <c r="M1116" i="10"/>
  <c r="M1117" i="10"/>
  <c r="M1118" i="10"/>
  <c r="M1119" i="10"/>
  <c r="M1120" i="10"/>
  <c r="M1121" i="10"/>
  <c r="M1122" i="10"/>
  <c r="M1123" i="10"/>
  <c r="M1124" i="10"/>
  <c r="M1125" i="10"/>
  <c r="M1126" i="10"/>
  <c r="M1127" i="10"/>
  <c r="M1128" i="10"/>
  <c r="M1129" i="10"/>
  <c r="M1130" i="10"/>
  <c r="M1131" i="10"/>
  <c r="M1132" i="10"/>
  <c r="M1133" i="10"/>
  <c r="M1134" i="10"/>
  <c r="M1135" i="10"/>
  <c r="M1136" i="10"/>
  <c r="M1137" i="10"/>
  <c r="M1138" i="10"/>
  <c r="M1139" i="10"/>
  <c r="M1140" i="10"/>
  <c r="M1141" i="10"/>
  <c r="M1142" i="10"/>
  <c r="M1143" i="10"/>
  <c r="M1144" i="10"/>
  <c r="M1145" i="10"/>
  <c r="M1146" i="10"/>
  <c r="M1147" i="10"/>
  <c r="M1148" i="10"/>
  <c r="M1149" i="10"/>
  <c r="M1150" i="10"/>
  <c r="M1151" i="10"/>
  <c r="M1152" i="10"/>
  <c r="M1153" i="10"/>
  <c r="M1154" i="10"/>
  <c r="M1155" i="10"/>
  <c r="M1156" i="10"/>
  <c r="M1157" i="10"/>
  <c r="M1158" i="10"/>
  <c r="M1159" i="10"/>
  <c r="M1160" i="10"/>
  <c r="M1161" i="10"/>
  <c r="M1162" i="10"/>
  <c r="M1163" i="10"/>
  <c r="M1164" i="10"/>
  <c r="M1165" i="10"/>
  <c r="M1166" i="10"/>
  <c r="M1167" i="10"/>
  <c r="M1168" i="10"/>
  <c r="M1169" i="10"/>
  <c r="M1170" i="10"/>
  <c r="M1171" i="10"/>
  <c r="M1172" i="10"/>
  <c r="M1173" i="10"/>
  <c r="M1174" i="10"/>
  <c r="M1175" i="10"/>
  <c r="M1176" i="10"/>
  <c r="M1177" i="10"/>
  <c r="M1178" i="10"/>
  <c r="M1179" i="10"/>
  <c r="M1180" i="10"/>
  <c r="M1181" i="10"/>
  <c r="M1182" i="10"/>
  <c r="M1183" i="10"/>
  <c r="M1184" i="10"/>
  <c r="M1185" i="10"/>
  <c r="M1186" i="10"/>
  <c r="M1187" i="10"/>
  <c r="M1188" i="10"/>
  <c r="M1189" i="10"/>
  <c r="M1190" i="10"/>
  <c r="M1191" i="10"/>
  <c r="M1192" i="10"/>
  <c r="M1193" i="10"/>
  <c r="M1194" i="10"/>
  <c r="M1195" i="10"/>
  <c r="M1196" i="10"/>
  <c r="M1197" i="10"/>
  <c r="M1198" i="10"/>
  <c r="M1199" i="10"/>
  <c r="M1200" i="10"/>
  <c r="M1201" i="10"/>
  <c r="M1202" i="10"/>
  <c r="M1203" i="10"/>
  <c r="M1204" i="10"/>
  <c r="M1205" i="10"/>
  <c r="M1206" i="10"/>
  <c r="M1207" i="10"/>
  <c r="M1208" i="10"/>
  <c r="M1209" i="10"/>
  <c r="M1210" i="10"/>
  <c r="M1211" i="10"/>
  <c r="M1212" i="10"/>
  <c r="M1213" i="10"/>
  <c r="M1214" i="10"/>
  <c r="M1215" i="10"/>
  <c r="M1216" i="10"/>
  <c r="M1217" i="10"/>
  <c r="M1218" i="10"/>
  <c r="M1219" i="10"/>
  <c r="M1220" i="10"/>
  <c r="M1221" i="10"/>
  <c r="M1222" i="10"/>
  <c r="M1223" i="10"/>
  <c r="M1224" i="10"/>
  <c r="M1225" i="10"/>
  <c r="M1226" i="10"/>
  <c r="M1227" i="10"/>
  <c r="M1228" i="10"/>
  <c r="M1229" i="10"/>
  <c r="M1230" i="10"/>
  <c r="M1231" i="10"/>
  <c r="M1232" i="10"/>
  <c r="M1233" i="10"/>
  <c r="M1234" i="10"/>
  <c r="M1235" i="10"/>
  <c r="M1236" i="10"/>
  <c r="M1237" i="10"/>
  <c r="M1238" i="10"/>
  <c r="M1239" i="10"/>
  <c r="M1240" i="10"/>
  <c r="M1241" i="10"/>
  <c r="M1242" i="10"/>
  <c r="M1243" i="10"/>
  <c r="M1244" i="10"/>
  <c r="M1245" i="10"/>
  <c r="M1246" i="10"/>
  <c r="M1247" i="10"/>
  <c r="M1248" i="10"/>
  <c r="M1249" i="10"/>
  <c r="M1250" i="10"/>
  <c r="M1251" i="10"/>
  <c r="M1252" i="10"/>
  <c r="M1253" i="10"/>
  <c r="M1254" i="10"/>
  <c r="M1255" i="10"/>
  <c r="M1256" i="10"/>
  <c r="M1257" i="10"/>
  <c r="M1258" i="10"/>
  <c r="M1259" i="10"/>
  <c r="M1260" i="10"/>
  <c r="M1261" i="10"/>
  <c r="M1262" i="10"/>
  <c r="M1263" i="10"/>
  <c r="M1264" i="10"/>
  <c r="M1265" i="10"/>
  <c r="M1266" i="10"/>
  <c r="M1267" i="10"/>
  <c r="M1268" i="10"/>
  <c r="M1269" i="10"/>
  <c r="M1270" i="10"/>
  <c r="M1271" i="10"/>
  <c r="M1272" i="10"/>
  <c r="M1273" i="10"/>
  <c r="M1274" i="10"/>
  <c r="M1275" i="10"/>
  <c r="M1276" i="10"/>
  <c r="M1277" i="10"/>
  <c r="M1278" i="10"/>
  <c r="M1279" i="10"/>
  <c r="M1280" i="10"/>
  <c r="M1281" i="10"/>
  <c r="M1282" i="10"/>
  <c r="D7" i="2" a="1"/>
  <c r="D7" i="2" s="1"/>
  <c r="C8" i="2"/>
  <c r="C7" i="2"/>
  <c r="D3" i="2"/>
  <c r="C3" i="2"/>
  <c r="D2" i="2"/>
  <c r="C2" i="2"/>
  <c r="C5" i="2" a="1"/>
  <c r="C5" i="2"/>
  <c r="F67" i="6"/>
  <c r="F66" i="6"/>
  <c r="F65" i="6"/>
  <c r="F64" i="6"/>
  <c r="F63" i="6"/>
  <c r="F62" i="6"/>
  <c r="F61" i="6"/>
  <c r="F60" i="6"/>
  <c r="F45" i="6"/>
  <c r="F44" i="6"/>
  <c r="F43" i="6"/>
  <c r="F42" i="6"/>
  <c r="F30" i="6"/>
  <c r="F38" i="6"/>
  <c r="F40" i="6"/>
  <c r="F41" i="6"/>
  <c r="F39" i="6"/>
  <c r="F34" i="6"/>
  <c r="F32" i="6"/>
  <c r="F33" i="6"/>
  <c r="F31" i="6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2" i="1"/>
  <c r="R1196" i="10"/>
  <c r="Q1196" i="10"/>
  <c r="P1196" i="10"/>
  <c r="R1194" i="10"/>
  <c r="Q1194" i="10"/>
  <c r="P1194" i="10"/>
  <c r="R1182" i="10"/>
  <c r="Q1182" i="10"/>
  <c r="P1182" i="10"/>
  <c r="R1186" i="10"/>
  <c r="Q1186" i="10"/>
  <c r="P1186" i="10"/>
  <c r="R1168" i="10"/>
  <c r="Q1168" i="10"/>
  <c r="P1168" i="10"/>
  <c r="R1166" i="10"/>
  <c r="Q1166" i="10"/>
  <c r="P1166" i="10"/>
  <c r="R1209" i="10"/>
  <c r="Q1209" i="10"/>
  <c r="P1209" i="10"/>
  <c r="R1192" i="10"/>
  <c r="Q1192" i="10"/>
  <c r="P1192" i="10"/>
  <c r="R1189" i="10"/>
  <c r="Q1189" i="10"/>
  <c r="P1189" i="10"/>
  <c r="R1181" i="10"/>
  <c r="Q1181" i="10"/>
  <c r="P1181" i="10"/>
  <c r="R1203" i="10"/>
  <c r="Q1203" i="10"/>
  <c r="P1203" i="10"/>
  <c r="R1207" i="10"/>
  <c r="Q1207" i="10"/>
  <c r="P1207" i="10"/>
  <c r="R1190" i="10"/>
  <c r="Q1190" i="10"/>
  <c r="P1190" i="10"/>
  <c r="R1173" i="10"/>
  <c r="Q1173" i="10"/>
  <c r="P1173" i="10"/>
  <c r="R1170" i="10"/>
  <c r="Q1170" i="10"/>
  <c r="P1170" i="10"/>
  <c r="R1208" i="10"/>
  <c r="Q1208" i="10"/>
  <c r="P1208" i="10"/>
  <c r="R1205" i="10"/>
  <c r="Q1205" i="10"/>
  <c r="P1205" i="10"/>
  <c r="R1202" i="10"/>
  <c r="Q1202" i="10"/>
  <c r="P1202" i="10"/>
  <c r="R1172" i="10"/>
  <c r="Q1172" i="10"/>
  <c r="P1172" i="10"/>
  <c r="R1197" i="10"/>
  <c r="Q1197" i="10"/>
  <c r="P1197" i="10"/>
  <c r="R1201" i="10"/>
  <c r="Q1201" i="10"/>
  <c r="P1201" i="10"/>
  <c r="R1210" i="10"/>
  <c r="Q1210" i="10"/>
  <c r="P1210" i="10"/>
  <c r="R1188" i="10"/>
  <c r="Q1188" i="10"/>
  <c r="P1188" i="10"/>
  <c r="R1184" i="10"/>
  <c r="Q1184" i="10"/>
  <c r="P1184" i="10"/>
  <c r="R1191" i="10"/>
  <c r="Q1191" i="10"/>
  <c r="P1191" i="10"/>
  <c r="R1165" i="10"/>
  <c r="Q1165" i="10"/>
  <c r="P1165" i="10"/>
  <c r="R1198" i="10"/>
  <c r="Q1198" i="10"/>
  <c r="P1198" i="10"/>
  <c r="R1185" i="10"/>
  <c r="Q1185" i="10"/>
  <c r="P1185" i="10"/>
  <c r="R1164" i="10"/>
  <c r="Q1164" i="10"/>
  <c r="P1164" i="10"/>
  <c r="R1178" i="10"/>
  <c r="Q1178" i="10"/>
  <c r="P1178" i="10"/>
  <c r="R1176" i="10"/>
  <c r="Q1176" i="10"/>
  <c r="P1176" i="10"/>
  <c r="R1193" i="10"/>
  <c r="Q1193" i="10"/>
  <c r="P1193" i="10"/>
  <c r="R1167" i="10"/>
  <c r="Q1167" i="10"/>
  <c r="P1167" i="10"/>
  <c r="R1200" i="10"/>
  <c r="Q1200" i="10"/>
  <c r="P1200" i="10"/>
  <c r="R1169" i="10"/>
  <c r="Q1169" i="10"/>
  <c r="P1169" i="10"/>
  <c r="R1204" i="10"/>
  <c r="Q1204" i="10"/>
  <c r="P1204" i="10"/>
  <c r="R875" i="10"/>
  <c r="Q875" i="10"/>
  <c r="P875" i="10"/>
  <c r="R874" i="10"/>
  <c r="Q874" i="10"/>
  <c r="P874" i="10"/>
  <c r="R876" i="10"/>
  <c r="Q876" i="10"/>
  <c r="P876" i="10"/>
  <c r="R1029" i="10"/>
  <c r="Q1029" i="10"/>
  <c r="P1029" i="10"/>
  <c r="R1030" i="10"/>
  <c r="Q1030" i="10"/>
  <c r="P1030" i="10"/>
  <c r="R1031" i="10"/>
  <c r="Q1031" i="10"/>
  <c r="P1031" i="10"/>
  <c r="R1028" i="10"/>
  <c r="Q1028" i="10"/>
  <c r="P1028" i="10"/>
  <c r="R873" i="10"/>
  <c r="Q873" i="10"/>
  <c r="P873" i="10"/>
  <c r="R1163" i="10"/>
  <c r="Q1163" i="10"/>
  <c r="P1163" i="10"/>
  <c r="R775" i="10"/>
  <c r="Q775" i="10"/>
  <c r="P775" i="10"/>
  <c r="R1162" i="10"/>
  <c r="Q1162" i="10"/>
  <c r="P1162" i="10"/>
  <c r="R1027" i="10"/>
  <c r="Q1027" i="10"/>
  <c r="P1027" i="10"/>
  <c r="R1161" i="10"/>
  <c r="Q1161" i="10"/>
  <c r="P1161" i="10"/>
  <c r="R1026" i="10"/>
  <c r="Q1026" i="10"/>
  <c r="P1026" i="10"/>
  <c r="R1025" i="10"/>
  <c r="Q1025" i="10"/>
  <c r="P1025" i="10"/>
  <c r="R1160" i="10"/>
  <c r="Q1160" i="10"/>
  <c r="P1160" i="10"/>
  <c r="R1159" i="10"/>
  <c r="Q1159" i="10"/>
  <c r="P1159" i="10"/>
  <c r="R1024" i="10"/>
  <c r="Q1024" i="10"/>
  <c r="P1024" i="10"/>
  <c r="R773" i="10"/>
  <c r="Q773" i="10"/>
  <c r="P773" i="10"/>
  <c r="R867" i="10"/>
  <c r="Q867" i="10"/>
  <c r="P867" i="10"/>
  <c r="R682" i="10"/>
  <c r="Q682" i="10"/>
  <c r="P682" i="10"/>
  <c r="R1156" i="10"/>
  <c r="Q1156" i="10"/>
  <c r="P1156" i="10"/>
  <c r="R1023" i="10"/>
  <c r="Q1023" i="10"/>
  <c r="P1023" i="10"/>
  <c r="R681" i="10"/>
  <c r="Q681" i="10"/>
  <c r="P681" i="10"/>
  <c r="R1279" i="10"/>
  <c r="Q1279" i="10"/>
  <c r="P1279" i="10"/>
  <c r="R1021" i="10"/>
  <c r="Q1021" i="10"/>
  <c r="P1021" i="10"/>
  <c r="R770" i="10"/>
  <c r="Q770" i="10"/>
  <c r="P770" i="10"/>
  <c r="R1020" i="10"/>
  <c r="Q1020" i="10"/>
  <c r="P1020" i="10"/>
  <c r="R1019" i="10"/>
  <c r="Q1019" i="10"/>
  <c r="P1019" i="10"/>
  <c r="R1153" i="10"/>
  <c r="Q1153" i="10"/>
  <c r="P1153" i="10"/>
  <c r="R765" i="10"/>
  <c r="Q765" i="10"/>
  <c r="P765" i="10"/>
  <c r="R1277" i="10"/>
  <c r="Q1277" i="10"/>
  <c r="P1277" i="10"/>
  <c r="R1149" i="10"/>
  <c r="Q1149" i="10"/>
  <c r="P1149" i="10"/>
  <c r="R1276" i="10"/>
  <c r="Q1276" i="10"/>
  <c r="P1276" i="10"/>
  <c r="R1275" i="10"/>
  <c r="Q1275" i="10"/>
  <c r="P1275" i="10"/>
  <c r="R1148" i="10"/>
  <c r="Q1148" i="10"/>
  <c r="P1148" i="10"/>
  <c r="R1146" i="10"/>
  <c r="Q1146" i="10"/>
  <c r="P1146" i="10"/>
  <c r="R674" i="10"/>
  <c r="Q674" i="10"/>
  <c r="P674" i="10"/>
  <c r="R758" i="10"/>
  <c r="Q758" i="10"/>
  <c r="P758" i="10"/>
  <c r="R1274" i="10"/>
  <c r="Q1274" i="10"/>
  <c r="P1274" i="10"/>
  <c r="R855" i="10"/>
  <c r="Q855" i="10"/>
  <c r="P855" i="10"/>
  <c r="R757" i="10"/>
  <c r="Q757" i="10"/>
  <c r="P757" i="10"/>
  <c r="R1145" i="10"/>
  <c r="Q1145" i="10"/>
  <c r="P1145" i="10"/>
  <c r="R756" i="10"/>
  <c r="Q756" i="10"/>
  <c r="P756" i="10"/>
  <c r="R1144" i="10"/>
  <c r="Q1144" i="10"/>
  <c r="P1144" i="10"/>
  <c r="R1273" i="10"/>
  <c r="Q1273" i="10"/>
  <c r="P1273" i="10"/>
  <c r="R1141" i="10"/>
  <c r="Q1141" i="10"/>
  <c r="P1141" i="10"/>
  <c r="R1006" i="10"/>
  <c r="Q1006" i="10"/>
  <c r="P1006" i="10"/>
  <c r="R753" i="10"/>
  <c r="Q753" i="10"/>
  <c r="P753" i="10"/>
  <c r="R1139" i="10"/>
  <c r="Q1139" i="10"/>
  <c r="P1139" i="10"/>
  <c r="R852" i="10"/>
  <c r="Q852" i="10"/>
  <c r="P852" i="10"/>
  <c r="R1003" i="10"/>
  <c r="Q1003" i="10"/>
  <c r="P1003" i="10"/>
  <c r="R750" i="10"/>
  <c r="Q750" i="10"/>
  <c r="P750" i="10"/>
  <c r="R1138" i="10"/>
  <c r="Q1138" i="10"/>
  <c r="P1138" i="10"/>
  <c r="R667" i="10"/>
  <c r="Q667" i="10"/>
  <c r="P667" i="10"/>
  <c r="R1271" i="10"/>
  <c r="Q1271" i="10"/>
  <c r="P1271" i="10"/>
  <c r="R850" i="10"/>
  <c r="Q850" i="10"/>
  <c r="P850" i="10"/>
  <c r="R1270" i="10"/>
  <c r="Q1270" i="10"/>
  <c r="P1270" i="10"/>
  <c r="R1136" i="10"/>
  <c r="Q1136" i="10"/>
  <c r="P1136" i="10"/>
  <c r="R998" i="10"/>
  <c r="Q998" i="10"/>
  <c r="P998" i="10"/>
  <c r="R748" i="10"/>
  <c r="Q748" i="10"/>
  <c r="P748" i="10"/>
  <c r="R996" i="10"/>
  <c r="Q996" i="10"/>
  <c r="P996" i="10"/>
  <c r="R1268" i="10"/>
  <c r="Q1268" i="10"/>
  <c r="P1268" i="10"/>
  <c r="R1267" i="10"/>
  <c r="Q1267" i="10"/>
  <c r="P1267" i="10"/>
  <c r="R1266" i="10"/>
  <c r="Q1266" i="10"/>
  <c r="P1266" i="10"/>
  <c r="R994" i="10"/>
  <c r="Q994" i="10"/>
  <c r="P994" i="10"/>
  <c r="R1265" i="10"/>
  <c r="Q1265" i="10"/>
  <c r="P1265" i="10"/>
  <c r="R662" i="10"/>
  <c r="Q662" i="10"/>
  <c r="P662" i="10"/>
  <c r="R746" i="10"/>
  <c r="Q746" i="10"/>
  <c r="P746" i="10"/>
  <c r="R1133" i="10"/>
  <c r="Q1133" i="10"/>
  <c r="P1133" i="10"/>
  <c r="R745" i="10"/>
  <c r="Q745" i="10"/>
  <c r="P745" i="10"/>
  <c r="R1132" i="10"/>
  <c r="Q1132" i="10"/>
  <c r="P1132" i="10"/>
  <c r="R743" i="10"/>
  <c r="Q743" i="10"/>
  <c r="P743" i="10"/>
  <c r="R1131" i="10"/>
  <c r="Q1131" i="10"/>
  <c r="P1131" i="10"/>
  <c r="R742" i="10"/>
  <c r="Q742" i="10"/>
  <c r="P742" i="10"/>
  <c r="R661" i="10"/>
  <c r="Q661" i="10"/>
  <c r="P661" i="10"/>
  <c r="R1129" i="10"/>
  <c r="Q1129" i="10"/>
  <c r="P1129" i="10"/>
  <c r="R1264" i="10"/>
  <c r="Q1264" i="10"/>
  <c r="P1264" i="10"/>
  <c r="R594" i="10"/>
  <c r="Q594" i="10"/>
  <c r="P594" i="10"/>
  <c r="R1263" i="10"/>
  <c r="Q1263" i="10"/>
  <c r="P1263" i="10"/>
  <c r="R659" i="10"/>
  <c r="Q659" i="10"/>
  <c r="P659" i="10"/>
  <c r="R1262" i="10"/>
  <c r="Q1262" i="10"/>
  <c r="P1262" i="10"/>
  <c r="R1126" i="10"/>
  <c r="Q1126" i="10"/>
  <c r="P1126" i="10"/>
  <c r="R1261" i="10"/>
  <c r="Q1261" i="10"/>
  <c r="P1261" i="10"/>
  <c r="R982" i="10"/>
  <c r="Q982" i="10"/>
  <c r="P982" i="10"/>
  <c r="R983" i="10"/>
  <c r="Q983" i="10"/>
  <c r="P983" i="10"/>
  <c r="R1124" i="10"/>
  <c r="Q1124" i="10"/>
  <c r="P1124" i="10"/>
  <c r="R1121" i="10"/>
  <c r="Q1121" i="10"/>
  <c r="P1121" i="10"/>
  <c r="R1258" i="10"/>
  <c r="Q1258" i="10"/>
  <c r="P1258" i="10"/>
  <c r="R1259" i="10"/>
  <c r="Q1259" i="10"/>
  <c r="P1259" i="10"/>
  <c r="R839" i="10"/>
  <c r="Q839" i="10"/>
  <c r="P839" i="10"/>
  <c r="R980" i="10"/>
  <c r="Q980" i="10"/>
  <c r="P980" i="10"/>
  <c r="R1255" i="10"/>
  <c r="Q1255" i="10"/>
  <c r="P1255" i="10"/>
  <c r="R1256" i="10"/>
  <c r="Q1256" i="10"/>
  <c r="P1256" i="10"/>
  <c r="R1119" i="10"/>
  <c r="Q1119" i="10"/>
  <c r="P1119" i="10"/>
  <c r="R388" i="10"/>
  <c r="Q388" i="10"/>
  <c r="P388" i="10"/>
  <c r="R1114" i="10"/>
  <c r="Q1114" i="10"/>
  <c r="P1114" i="10"/>
  <c r="R1254" i="10"/>
  <c r="Q1254" i="10"/>
  <c r="P1254" i="10"/>
  <c r="R1253" i="10"/>
  <c r="Q1253" i="10"/>
  <c r="P1253" i="10"/>
  <c r="R735" i="10"/>
  <c r="Q735" i="10"/>
  <c r="P735" i="10"/>
  <c r="R838" i="10"/>
  <c r="Q838" i="10"/>
  <c r="P838" i="10"/>
  <c r="R732" i="10"/>
  <c r="Q732" i="10"/>
  <c r="P732" i="10"/>
  <c r="R1112" i="10"/>
  <c r="Q1112" i="10"/>
  <c r="P1112" i="10"/>
  <c r="R1252" i="10"/>
  <c r="Q1252" i="10"/>
  <c r="P1252" i="10"/>
  <c r="R832" i="10"/>
  <c r="Q832" i="10"/>
  <c r="P832" i="10"/>
  <c r="R833" i="10"/>
  <c r="Q833" i="10"/>
  <c r="P833" i="10"/>
  <c r="R1251" i="10"/>
  <c r="Q1251" i="10"/>
  <c r="P1251" i="10"/>
  <c r="R1250" i="10"/>
  <c r="Q1250" i="10"/>
  <c r="P1250" i="10"/>
  <c r="R1249" i="10"/>
  <c r="Q1249" i="10"/>
  <c r="P1249" i="10"/>
  <c r="R728" i="10"/>
  <c r="Q728" i="10"/>
  <c r="P728" i="10"/>
  <c r="R826" i="10"/>
  <c r="Q826" i="10"/>
  <c r="P826" i="10"/>
  <c r="R829" i="10"/>
  <c r="Q829" i="10"/>
  <c r="P829" i="10"/>
  <c r="R830" i="10"/>
  <c r="Q830" i="10"/>
  <c r="P830" i="10"/>
  <c r="R827" i="10"/>
  <c r="Q827" i="10"/>
  <c r="P827" i="10"/>
  <c r="R969" i="10"/>
  <c r="Q969" i="10"/>
  <c r="P969" i="10"/>
  <c r="R1247" i="10"/>
  <c r="Q1247" i="10"/>
  <c r="P1247" i="10"/>
  <c r="R727" i="10"/>
  <c r="Q727" i="10"/>
  <c r="P727" i="10"/>
  <c r="R1246" i="10"/>
  <c r="Q1246" i="10"/>
  <c r="P1246" i="10"/>
  <c r="R1245" i="10"/>
  <c r="Q1245" i="10"/>
  <c r="P1245" i="10"/>
  <c r="R966" i="10"/>
  <c r="Q966" i="10"/>
  <c r="P966" i="10"/>
  <c r="R964" i="10"/>
  <c r="Q964" i="10"/>
  <c r="P964" i="10"/>
  <c r="R1105" i="10"/>
  <c r="Q1105" i="10"/>
  <c r="P1105" i="10"/>
  <c r="R650" i="10"/>
  <c r="Q650" i="10"/>
  <c r="P650" i="10"/>
  <c r="R821" i="10"/>
  <c r="Q821" i="10"/>
  <c r="P821" i="10"/>
  <c r="R1104" i="10"/>
  <c r="Q1104" i="10"/>
  <c r="P1104" i="10"/>
  <c r="R961" i="10"/>
  <c r="Q961" i="10"/>
  <c r="P961" i="10"/>
  <c r="R960" i="10"/>
  <c r="Q960" i="10"/>
  <c r="P960" i="10"/>
  <c r="R1100" i="10"/>
  <c r="Q1100" i="10"/>
  <c r="P1100" i="10"/>
  <c r="R1101" i="10"/>
  <c r="Q1101" i="10"/>
  <c r="P1101" i="10"/>
  <c r="R1103" i="10"/>
  <c r="Q1103" i="10"/>
  <c r="P1103" i="10"/>
  <c r="R1102" i="10"/>
  <c r="Q1102" i="10"/>
  <c r="P1102" i="10"/>
  <c r="R1241" i="10"/>
  <c r="Q1241" i="10"/>
  <c r="P1241" i="10"/>
  <c r="R1240" i="10"/>
  <c r="Q1240" i="10"/>
  <c r="P1240" i="10"/>
  <c r="R1242" i="10"/>
  <c r="Q1242" i="10"/>
  <c r="P1242" i="10"/>
  <c r="R1243" i="10"/>
  <c r="Q1243" i="10"/>
  <c r="P1243" i="10"/>
  <c r="R723" i="10"/>
  <c r="Q723" i="10"/>
  <c r="P723" i="10"/>
  <c r="R818" i="10"/>
  <c r="Q818" i="10"/>
  <c r="P818" i="10"/>
  <c r="R954" i="10"/>
  <c r="Q954" i="10"/>
  <c r="P954" i="10"/>
  <c r="R1096" i="10"/>
  <c r="Q1096" i="10"/>
  <c r="P1096" i="10"/>
  <c r="R1239" i="10"/>
  <c r="Q1239" i="10"/>
  <c r="P1239" i="10"/>
  <c r="R816" i="10"/>
  <c r="Q816" i="10"/>
  <c r="P816" i="10"/>
  <c r="R949" i="10"/>
  <c r="Q949" i="10"/>
  <c r="P949" i="10"/>
  <c r="R1093" i="10"/>
  <c r="Q1093" i="10"/>
  <c r="P1093" i="10"/>
  <c r="R1095" i="10"/>
  <c r="Q1095" i="10"/>
  <c r="P1095" i="10"/>
  <c r="R644" i="10"/>
  <c r="Q644" i="10"/>
  <c r="P644" i="10"/>
  <c r="R719" i="10"/>
  <c r="Q719" i="10"/>
  <c r="P719" i="10"/>
  <c r="R718" i="10"/>
  <c r="Q718" i="10"/>
  <c r="P718" i="10"/>
  <c r="R814" i="10"/>
  <c r="Q814" i="10"/>
  <c r="P814" i="10"/>
  <c r="R943" i="10"/>
  <c r="Q943" i="10"/>
  <c r="P943" i="10"/>
  <c r="R1092" i="10"/>
  <c r="Q1092" i="10"/>
  <c r="P1092" i="10"/>
  <c r="R1235" i="10"/>
  <c r="Q1235" i="10"/>
  <c r="P1235" i="10"/>
  <c r="R1234" i="10"/>
  <c r="Q1234" i="10"/>
  <c r="P1234" i="10"/>
  <c r="R641" i="10"/>
  <c r="Q641" i="10"/>
  <c r="P641" i="10"/>
  <c r="R640" i="10"/>
  <c r="Q640" i="10"/>
  <c r="P640" i="10"/>
  <c r="R813" i="10"/>
  <c r="Q813" i="10"/>
  <c r="P813" i="10"/>
  <c r="R940" i="10"/>
  <c r="Q940" i="10"/>
  <c r="P940" i="10"/>
  <c r="R1088" i="10"/>
  <c r="Q1088" i="10"/>
  <c r="P1088" i="10"/>
  <c r="R1087" i="10"/>
  <c r="Q1087" i="10"/>
  <c r="P1087" i="10"/>
  <c r="R1232" i="10"/>
  <c r="Q1232" i="10"/>
  <c r="P1232" i="10"/>
  <c r="R1231" i="10"/>
  <c r="Q1231" i="10"/>
  <c r="P1231" i="10"/>
  <c r="R1085" i="10"/>
  <c r="Q1085" i="10"/>
  <c r="P1085" i="10"/>
  <c r="R1230" i="10"/>
  <c r="Q1230" i="10"/>
  <c r="P1230" i="10"/>
  <c r="R1229" i="10"/>
  <c r="Q1229" i="10"/>
  <c r="P1229" i="10"/>
  <c r="R1228" i="10"/>
  <c r="Q1228" i="10"/>
  <c r="P1228" i="10"/>
  <c r="R636" i="10"/>
  <c r="Q636" i="10"/>
  <c r="P636" i="10"/>
  <c r="R635" i="10"/>
  <c r="Q635" i="10"/>
  <c r="P635" i="10"/>
  <c r="R808" i="10"/>
  <c r="Q808" i="10"/>
  <c r="P808" i="10"/>
  <c r="R805" i="10"/>
  <c r="Q805" i="10"/>
  <c r="P805" i="10"/>
  <c r="R1080" i="10"/>
  <c r="Q1080" i="10"/>
  <c r="P1080" i="10"/>
  <c r="R1077" i="10"/>
  <c r="Q1077" i="10"/>
  <c r="P1077" i="10"/>
  <c r="R1078" i="10"/>
  <c r="Q1078" i="10"/>
  <c r="P1078" i="10"/>
  <c r="R1076" i="10"/>
  <c r="Q1076" i="10"/>
  <c r="P1076" i="10"/>
  <c r="R1084" i="10"/>
  <c r="Q1084" i="10"/>
  <c r="P1084" i="10"/>
  <c r="R1082" i="10"/>
  <c r="Q1082" i="10"/>
  <c r="P1082" i="10"/>
  <c r="R802" i="10"/>
  <c r="Q802" i="10"/>
  <c r="P802" i="10"/>
  <c r="R804" i="10"/>
  <c r="Q804" i="10"/>
  <c r="P804" i="10"/>
  <c r="R803" i="10"/>
  <c r="Q803" i="10"/>
  <c r="P803" i="10"/>
  <c r="R928" i="10"/>
  <c r="Q928" i="10"/>
  <c r="P928" i="10"/>
  <c r="R927" i="10"/>
  <c r="Q927" i="10"/>
  <c r="P927" i="10"/>
  <c r="R1073" i="10"/>
  <c r="Q1073" i="10"/>
  <c r="P1073" i="10"/>
  <c r="R631" i="10"/>
  <c r="Q631" i="10"/>
  <c r="P631" i="10"/>
  <c r="R712" i="10"/>
  <c r="Q712" i="10"/>
  <c r="P712" i="10"/>
  <c r="R919" i="10"/>
  <c r="Q919" i="10"/>
  <c r="P919" i="10"/>
  <c r="R924" i="10"/>
  <c r="Q924" i="10"/>
  <c r="P924" i="10"/>
  <c r="R1072" i="10"/>
  <c r="Q1072" i="10"/>
  <c r="P1072" i="10"/>
  <c r="R1070" i="10"/>
  <c r="Q1070" i="10"/>
  <c r="P1070" i="10"/>
  <c r="R1069" i="10"/>
  <c r="Q1069" i="10"/>
  <c r="P1069" i="10"/>
  <c r="R1227" i="10"/>
  <c r="Q1227" i="10"/>
  <c r="P1227" i="10"/>
  <c r="R710" i="10"/>
  <c r="Q710" i="10"/>
  <c r="P710" i="10"/>
  <c r="R797" i="10"/>
  <c r="Q797" i="10"/>
  <c r="P797" i="10"/>
  <c r="R1068" i="10"/>
  <c r="Q1068" i="10"/>
  <c r="P1068" i="10"/>
  <c r="R1226" i="10"/>
  <c r="Q1226" i="10"/>
  <c r="P1226" i="10"/>
  <c r="R1225" i="10"/>
  <c r="Q1225" i="10"/>
  <c r="P1225" i="10"/>
  <c r="R628" i="10"/>
  <c r="Q628" i="10"/>
  <c r="P628" i="10"/>
  <c r="R707" i="10"/>
  <c r="Q707" i="10"/>
  <c r="P707" i="10"/>
  <c r="R708" i="10"/>
  <c r="Q708" i="10"/>
  <c r="P708" i="10"/>
  <c r="R793" i="10"/>
  <c r="Q793" i="10"/>
  <c r="P793" i="10"/>
  <c r="R794" i="10"/>
  <c r="Q794" i="10"/>
  <c r="P794" i="10"/>
  <c r="R915" i="10"/>
  <c r="Q915" i="10"/>
  <c r="P915" i="10"/>
  <c r="R913" i="10"/>
  <c r="Q913" i="10"/>
  <c r="P913" i="10"/>
  <c r="R1064" i="10"/>
  <c r="Q1064" i="10"/>
  <c r="P1064" i="10"/>
  <c r="R1065" i="10"/>
  <c r="Q1065" i="10"/>
  <c r="P1065" i="10"/>
  <c r="R1066" i="10"/>
  <c r="Q1066" i="10"/>
  <c r="P1066" i="10"/>
  <c r="R1224" i="10"/>
  <c r="Q1224" i="10"/>
  <c r="P1224" i="10"/>
  <c r="R1223" i="10"/>
  <c r="Q1223" i="10"/>
  <c r="P1223" i="10"/>
  <c r="R792" i="10"/>
  <c r="Q792" i="10"/>
  <c r="P792" i="10"/>
  <c r="R907" i="10"/>
  <c r="Q907" i="10"/>
  <c r="P907" i="10"/>
  <c r="R911" i="10"/>
  <c r="Q911" i="10"/>
  <c r="P911" i="10"/>
  <c r="R908" i="10"/>
  <c r="Q908" i="10"/>
  <c r="P908" i="10"/>
  <c r="R909" i="10"/>
  <c r="Q909" i="10"/>
  <c r="P909" i="10"/>
  <c r="R1058" i="10"/>
  <c r="Q1058" i="10"/>
  <c r="P1058" i="10"/>
  <c r="R1059" i="10"/>
  <c r="Q1059" i="10"/>
  <c r="P1059" i="10"/>
  <c r="R1060" i="10"/>
  <c r="Q1060" i="10"/>
  <c r="P1060" i="10"/>
  <c r="R1057" i="10"/>
  <c r="Q1057" i="10"/>
  <c r="P1057" i="10"/>
  <c r="R1061" i="10"/>
  <c r="Q1061" i="10"/>
  <c r="P1061" i="10"/>
  <c r="R1217" i="10"/>
  <c r="Q1217" i="10"/>
  <c r="P1217" i="10"/>
  <c r="R1221" i="10"/>
  <c r="Q1221" i="10"/>
  <c r="P1221" i="10"/>
  <c r="R1219" i="10"/>
  <c r="Q1219" i="10"/>
  <c r="P1219" i="10"/>
  <c r="R1218" i="10"/>
  <c r="Q1218" i="10"/>
  <c r="P1218" i="10"/>
  <c r="R1220" i="10"/>
  <c r="Q1220" i="10"/>
  <c r="P1220" i="10"/>
  <c r="R702" i="10"/>
  <c r="Q702" i="10"/>
  <c r="P702" i="10"/>
  <c r="R789" i="10"/>
  <c r="Q789" i="10"/>
  <c r="P789" i="10"/>
  <c r="R903" i="10"/>
  <c r="Q903" i="10"/>
  <c r="P903" i="10"/>
  <c r="R904" i="10"/>
  <c r="Q904" i="10"/>
  <c r="P904" i="10"/>
  <c r="R1055" i="10"/>
  <c r="Q1055" i="10"/>
  <c r="P1055" i="10"/>
  <c r="R1054" i="10"/>
  <c r="Q1054" i="10"/>
  <c r="P1054" i="10"/>
  <c r="R1056" i="10"/>
  <c r="Q1056" i="10"/>
  <c r="P1056" i="10"/>
  <c r="R1053" i="10"/>
  <c r="Q1053" i="10"/>
  <c r="P1053" i="10"/>
  <c r="R1215" i="10"/>
  <c r="Q1215" i="10"/>
  <c r="P1215" i="10"/>
  <c r="R624" i="10"/>
  <c r="Q624" i="10"/>
  <c r="P624" i="10"/>
  <c r="R700" i="10"/>
  <c r="Q700" i="10"/>
  <c r="P700" i="10"/>
  <c r="R701" i="10"/>
  <c r="Q701" i="10"/>
  <c r="P701" i="10"/>
  <c r="R787" i="10"/>
  <c r="Q787" i="10"/>
  <c r="P787" i="10"/>
  <c r="R1048" i="10"/>
  <c r="Q1048" i="10"/>
  <c r="P1048" i="10"/>
  <c r="R1047" i="10"/>
  <c r="Q1047" i="10"/>
  <c r="P1047" i="10"/>
  <c r="R1051" i="10"/>
  <c r="Q1051" i="10"/>
  <c r="P1051" i="10"/>
  <c r="R1212" i="10"/>
  <c r="Q1212" i="10"/>
  <c r="P1212" i="10"/>
  <c r="R1213" i="10"/>
  <c r="Q1213" i="10"/>
  <c r="P1213" i="10"/>
  <c r="R620" i="10"/>
  <c r="Q620" i="10"/>
  <c r="P620" i="10"/>
  <c r="R896" i="10"/>
  <c r="Q896" i="10"/>
  <c r="P896" i="10"/>
  <c r="R897" i="10"/>
  <c r="Q897" i="10"/>
  <c r="P897" i="10"/>
  <c r="R892" i="10"/>
  <c r="Q892" i="10"/>
  <c r="P892" i="10"/>
  <c r="R1045" i="10"/>
  <c r="Q1045" i="10"/>
  <c r="P1045" i="10"/>
  <c r="R1043" i="10"/>
  <c r="Q1043" i="10"/>
  <c r="P1043" i="10"/>
  <c r="R1041" i="10"/>
  <c r="Q1041" i="10"/>
  <c r="P1041" i="10"/>
  <c r="R1044" i="10"/>
  <c r="Q1044" i="10"/>
  <c r="P1044" i="10"/>
  <c r="R1211" i="10"/>
  <c r="Q1211" i="10"/>
  <c r="P1211" i="10"/>
  <c r="R617" i="10"/>
  <c r="Q617" i="10"/>
  <c r="P617" i="10"/>
  <c r="R691" i="10"/>
  <c r="Q691" i="10"/>
  <c r="P691" i="10"/>
  <c r="R694" i="10"/>
  <c r="Q694" i="10"/>
  <c r="P694" i="10"/>
  <c r="R693" i="10"/>
  <c r="Q693" i="10"/>
  <c r="P693" i="10"/>
  <c r="R692" i="10"/>
  <c r="Q692" i="10"/>
  <c r="P692" i="10"/>
  <c r="R781" i="10"/>
  <c r="Q781" i="10"/>
  <c r="P781" i="10"/>
  <c r="R878" i="10"/>
  <c r="Q878" i="10"/>
  <c r="P878" i="10"/>
  <c r="R884" i="10"/>
  <c r="Q884" i="10"/>
  <c r="P884" i="10"/>
  <c r="R1037" i="10"/>
  <c r="Q1037" i="10"/>
  <c r="P1037" i="10"/>
  <c r="R1036" i="10"/>
  <c r="Q1036" i="10"/>
  <c r="P1036" i="10"/>
  <c r="R1040" i="10"/>
  <c r="Q1040" i="10"/>
  <c r="P1040" i="10"/>
  <c r="R1038" i="10"/>
  <c r="Q1038" i="10"/>
  <c r="P1038" i="10"/>
  <c r="R1039" i="10"/>
  <c r="Q1039" i="10"/>
  <c r="P1039" i="10"/>
  <c r="R22" i="10"/>
  <c r="Q22" i="10"/>
  <c r="P22" i="10"/>
  <c r="R93" i="10"/>
  <c r="Q93" i="10"/>
  <c r="P93" i="10"/>
  <c r="R406" i="10"/>
  <c r="Q406" i="10"/>
  <c r="P406" i="10"/>
  <c r="R319" i="10"/>
  <c r="Q319" i="10"/>
  <c r="P319" i="10"/>
  <c r="R193" i="10"/>
  <c r="Q193" i="10"/>
  <c r="P193" i="10"/>
  <c r="R568" i="10"/>
  <c r="Q568" i="10"/>
  <c r="P568" i="10"/>
  <c r="R518" i="10"/>
  <c r="Q518" i="10"/>
  <c r="P518" i="10"/>
  <c r="R175" i="10"/>
  <c r="Q175" i="10"/>
  <c r="P175" i="10"/>
  <c r="R601" i="10"/>
  <c r="Q601" i="10"/>
  <c r="P601" i="10"/>
  <c r="R277" i="10"/>
  <c r="Q277" i="10"/>
  <c r="P277" i="10"/>
  <c r="R182" i="10"/>
  <c r="Q182" i="10"/>
  <c r="P182" i="10"/>
  <c r="R581" i="10"/>
  <c r="Q581" i="10"/>
  <c r="P581" i="10"/>
  <c r="R227" i="10"/>
  <c r="Q227" i="10"/>
  <c r="P227" i="10"/>
  <c r="R212" i="10"/>
  <c r="Q212" i="10"/>
  <c r="P212" i="10"/>
  <c r="R565" i="10"/>
  <c r="Q565" i="10"/>
  <c r="P565" i="10"/>
  <c r="R464" i="10"/>
  <c r="Q464" i="10"/>
  <c r="P464" i="10"/>
  <c r="R566" i="10"/>
  <c r="Q566" i="10"/>
  <c r="P566" i="10"/>
  <c r="R84" i="10"/>
  <c r="Q84" i="10"/>
  <c r="P84" i="10"/>
  <c r="R425" i="10"/>
  <c r="Q425" i="10"/>
  <c r="P425" i="10"/>
  <c r="R586" i="10"/>
  <c r="Q586" i="10"/>
  <c r="P586" i="10"/>
  <c r="R584" i="10"/>
  <c r="Q584" i="10"/>
  <c r="P584" i="10"/>
  <c r="R156" i="10"/>
  <c r="Q156" i="10"/>
  <c r="P156" i="10"/>
  <c r="R582" i="10"/>
  <c r="Q582" i="10"/>
  <c r="P582" i="10"/>
  <c r="R207" i="10"/>
  <c r="Q207" i="10"/>
  <c r="P207" i="10"/>
  <c r="R598" i="10"/>
  <c r="Q598" i="10"/>
  <c r="P598" i="10"/>
  <c r="R559" i="10"/>
  <c r="Q559" i="10"/>
  <c r="P559" i="10"/>
  <c r="R383" i="10"/>
  <c r="Q383" i="10"/>
  <c r="P383" i="10"/>
  <c r="R482" i="10"/>
  <c r="Q482" i="10"/>
  <c r="P482" i="10"/>
  <c r="R72" i="10"/>
  <c r="Q72" i="10"/>
  <c r="P72" i="10"/>
  <c r="R316" i="10"/>
  <c r="Q316" i="10"/>
  <c r="P316" i="10"/>
  <c r="R163" i="10"/>
  <c r="Q163" i="10"/>
  <c r="P163" i="10"/>
  <c r="R221" i="10"/>
  <c r="Q221" i="10"/>
  <c r="P221" i="10"/>
  <c r="R76" i="10"/>
  <c r="Q76" i="10"/>
  <c r="P76" i="10"/>
  <c r="R554" i="10"/>
  <c r="Q554" i="10"/>
  <c r="P554" i="10"/>
  <c r="R97" i="10"/>
  <c r="Q97" i="10"/>
  <c r="P97" i="10"/>
  <c r="R238" i="10"/>
  <c r="Q238" i="10"/>
  <c r="P238" i="10"/>
  <c r="R29" i="10"/>
  <c r="Q29" i="10"/>
  <c r="P29" i="10"/>
  <c r="R210" i="10"/>
  <c r="Q210" i="10"/>
  <c r="P210" i="10"/>
  <c r="R12" i="10"/>
  <c r="Q12" i="10"/>
  <c r="P12" i="10"/>
  <c r="R228" i="10"/>
  <c r="Q228" i="10"/>
  <c r="P228" i="10"/>
  <c r="R589" i="10"/>
  <c r="Q589" i="10"/>
  <c r="P589" i="10"/>
  <c r="R204" i="10"/>
  <c r="Q204" i="10"/>
  <c r="P204" i="10"/>
  <c r="R7" i="10"/>
  <c r="Q7" i="10"/>
  <c r="P7" i="10"/>
  <c r="R4" i="10"/>
  <c r="Q4" i="10"/>
  <c r="P4" i="10"/>
  <c r="R114" i="10"/>
  <c r="Q114" i="10"/>
  <c r="P114" i="10"/>
  <c r="R217" i="10"/>
  <c r="Q217" i="10"/>
  <c r="P217" i="10"/>
  <c r="R561" i="10"/>
  <c r="Q561" i="10"/>
  <c r="P561" i="10"/>
  <c r="R200" i="10"/>
  <c r="Q200" i="10"/>
  <c r="P200" i="10"/>
  <c r="R32" i="10"/>
  <c r="Q32" i="10"/>
  <c r="P32" i="10"/>
  <c r="R580" i="10"/>
  <c r="Q580" i="10"/>
  <c r="P580" i="10"/>
  <c r="R85" i="10"/>
  <c r="Q85" i="10"/>
  <c r="P85" i="10"/>
  <c r="R591" i="10"/>
  <c r="Q591" i="10"/>
  <c r="P591" i="10"/>
  <c r="R279" i="10"/>
  <c r="Q279" i="10"/>
  <c r="P279" i="10"/>
  <c r="R178" i="10"/>
  <c r="Q178" i="10"/>
  <c r="P178" i="10"/>
  <c r="R343" i="10"/>
  <c r="Q343" i="10"/>
  <c r="P343" i="10"/>
  <c r="R168" i="10"/>
  <c r="Q168" i="10"/>
  <c r="P168" i="10"/>
  <c r="R253" i="10"/>
  <c r="Q253" i="10"/>
  <c r="P253" i="10"/>
  <c r="R612" i="10"/>
  <c r="Q612" i="10"/>
  <c r="P612" i="10"/>
  <c r="R234" i="10"/>
  <c r="Q234" i="10"/>
  <c r="P234" i="10"/>
  <c r="R1177" i="10"/>
  <c r="Q1177" i="10"/>
  <c r="P1177" i="10"/>
  <c r="R1206" i="10"/>
  <c r="Q1206" i="10"/>
  <c r="P1206" i="10"/>
  <c r="R1147" i="10"/>
  <c r="Q1147" i="10"/>
  <c r="P1147" i="10"/>
  <c r="R759" i="10"/>
  <c r="Q759" i="10"/>
  <c r="P759" i="10"/>
  <c r="R1010" i="10"/>
  <c r="Q1010" i="10"/>
  <c r="P1010" i="10"/>
  <c r="R1134" i="10"/>
  <c r="Q1134" i="10"/>
  <c r="P1134" i="10"/>
  <c r="R992" i="10"/>
  <c r="Q992" i="10"/>
  <c r="P992" i="10"/>
  <c r="R987" i="10"/>
  <c r="Q987" i="10"/>
  <c r="P987" i="10"/>
  <c r="R958" i="10"/>
  <c r="Q958" i="10"/>
  <c r="P958" i="10"/>
  <c r="R817" i="10"/>
  <c r="Q817" i="10"/>
  <c r="P817" i="10"/>
  <c r="R157" i="10"/>
  <c r="Q157" i="10"/>
  <c r="P157" i="10"/>
  <c r="R335" i="10"/>
  <c r="Q335" i="10"/>
  <c r="P335" i="10"/>
  <c r="R201" i="10"/>
  <c r="Q201" i="10"/>
  <c r="P201" i="10"/>
  <c r="R563" i="10"/>
  <c r="Q563" i="10"/>
  <c r="P563" i="10"/>
  <c r="R558" i="10"/>
  <c r="Q558" i="10"/>
  <c r="P558" i="10"/>
  <c r="R9" i="10"/>
  <c r="Q9" i="10"/>
  <c r="P9" i="10"/>
  <c r="R233" i="10"/>
  <c r="Q233" i="10"/>
  <c r="P233" i="10"/>
  <c r="R385" i="10"/>
  <c r="Q385" i="10"/>
  <c r="P385" i="10"/>
  <c r="R57" i="10"/>
  <c r="Q57" i="10"/>
  <c r="P57" i="10"/>
  <c r="R133" i="10"/>
  <c r="Q133" i="10"/>
  <c r="P133" i="10"/>
  <c r="R516" i="10"/>
  <c r="Q516" i="10"/>
  <c r="P516" i="10"/>
  <c r="R1175" i="10"/>
  <c r="Q1175" i="10"/>
  <c r="P1175" i="10"/>
  <c r="R1280" i="10"/>
  <c r="Q1280" i="10"/>
  <c r="P1280" i="10"/>
  <c r="R1018" i="10"/>
  <c r="Q1018" i="10"/>
  <c r="P1018" i="10"/>
  <c r="R1140" i="10"/>
  <c r="Q1140" i="10"/>
  <c r="P1140" i="10"/>
  <c r="R663" i="10"/>
  <c r="Q663" i="10"/>
  <c r="P663" i="10"/>
  <c r="R847" i="10"/>
  <c r="Q847" i="10"/>
  <c r="P847" i="10"/>
  <c r="R978" i="10"/>
  <c r="Q978" i="10"/>
  <c r="P978" i="10"/>
  <c r="R968" i="10"/>
  <c r="Q968" i="10"/>
  <c r="P968" i="10"/>
  <c r="R952" i="10"/>
  <c r="Q952" i="10"/>
  <c r="P952" i="10"/>
  <c r="R720" i="10"/>
  <c r="Q720" i="10"/>
  <c r="P720" i="10"/>
  <c r="R642" i="10"/>
  <c r="Q642" i="10"/>
  <c r="P642" i="10"/>
  <c r="R809" i="10"/>
  <c r="Q809" i="10"/>
  <c r="P809" i="10"/>
  <c r="R925" i="10"/>
  <c r="Q925" i="10"/>
  <c r="P925" i="10"/>
  <c r="R917" i="10"/>
  <c r="Q917" i="10"/>
  <c r="P917" i="10"/>
  <c r="R1067" i="10"/>
  <c r="Q1067" i="10"/>
  <c r="P1067" i="10"/>
  <c r="R901" i="10"/>
  <c r="Q901" i="10"/>
  <c r="P901" i="10"/>
  <c r="R240" i="10"/>
  <c r="Q240" i="10"/>
  <c r="P240" i="10"/>
  <c r="R317" i="10"/>
  <c r="Q317" i="10"/>
  <c r="P317" i="10"/>
  <c r="R51" i="10"/>
  <c r="Q51" i="10"/>
  <c r="P51" i="10"/>
  <c r="R73" i="10"/>
  <c r="Q73" i="10"/>
  <c r="P73" i="10"/>
  <c r="R195" i="10"/>
  <c r="Q195" i="10"/>
  <c r="P195" i="10"/>
  <c r="R532" i="10"/>
  <c r="Q532" i="10"/>
  <c r="P532" i="10"/>
  <c r="R39" i="10"/>
  <c r="Q39" i="10"/>
  <c r="P39" i="10"/>
  <c r="R1158" i="10"/>
  <c r="Q1158" i="10"/>
  <c r="P1158" i="10"/>
  <c r="R1022" i="10"/>
  <c r="Q1022" i="10"/>
  <c r="P1022" i="10"/>
  <c r="R1278" i="10"/>
  <c r="Q1278" i="10"/>
  <c r="P1278" i="10"/>
  <c r="R1014" i="10"/>
  <c r="Q1014" i="10"/>
  <c r="P1014" i="10"/>
  <c r="R749" i="10"/>
  <c r="Q749" i="10"/>
  <c r="P749" i="10"/>
  <c r="R990" i="10"/>
  <c r="Q990" i="10"/>
  <c r="P990" i="10"/>
  <c r="R739" i="10"/>
  <c r="Q739" i="10"/>
  <c r="P739" i="10"/>
  <c r="R736" i="10"/>
  <c r="Q736" i="10"/>
  <c r="P736" i="10"/>
  <c r="R981" i="10"/>
  <c r="Q981" i="10"/>
  <c r="P981" i="10"/>
  <c r="R840" i="10"/>
  <c r="Q840" i="10"/>
  <c r="P840" i="10"/>
  <c r="R1117" i="10"/>
  <c r="Q1117" i="10"/>
  <c r="P1117" i="10"/>
  <c r="R656" i="10"/>
  <c r="Q656" i="10"/>
  <c r="P656" i="10"/>
  <c r="R1110" i="10"/>
  <c r="Q1110" i="10"/>
  <c r="P1110" i="10"/>
  <c r="R725" i="10"/>
  <c r="Q725" i="10"/>
  <c r="P725" i="10"/>
  <c r="R819" i="10"/>
  <c r="Q819" i="10"/>
  <c r="P819" i="10"/>
  <c r="R1238" i="10"/>
  <c r="Q1238" i="10"/>
  <c r="P1238" i="10"/>
  <c r="R946" i="10"/>
  <c r="Q946" i="10"/>
  <c r="P946" i="10"/>
  <c r="R1236" i="10"/>
  <c r="Q1236" i="10"/>
  <c r="P1236" i="10"/>
  <c r="R916" i="10"/>
  <c r="Q916" i="10"/>
  <c r="P916" i="10"/>
  <c r="R1062" i="10"/>
  <c r="Q1062" i="10"/>
  <c r="P1062" i="10"/>
  <c r="R626" i="10"/>
  <c r="Q626" i="10"/>
  <c r="P626" i="10"/>
  <c r="R696" i="10"/>
  <c r="Q696" i="10"/>
  <c r="P696" i="10"/>
  <c r="R788" i="10"/>
  <c r="Q788" i="10"/>
  <c r="P788" i="10"/>
  <c r="R900" i="10"/>
  <c r="Q900" i="10"/>
  <c r="P900" i="10"/>
  <c r="R618" i="10"/>
  <c r="Q618" i="10"/>
  <c r="P618" i="10"/>
  <c r="R1195" i="10"/>
  <c r="Q1195" i="10"/>
  <c r="P1195" i="10"/>
  <c r="R179" i="10"/>
  <c r="Q179" i="10"/>
  <c r="P179" i="10"/>
  <c r="R322" i="10"/>
  <c r="Q322" i="10"/>
  <c r="P322" i="10"/>
  <c r="R122" i="10"/>
  <c r="Q122" i="10"/>
  <c r="P122" i="10"/>
  <c r="R99" i="10"/>
  <c r="Q99" i="10"/>
  <c r="P99" i="10"/>
  <c r="R571" i="10"/>
  <c r="Q571" i="10"/>
  <c r="P571" i="10"/>
  <c r="R60" i="10"/>
  <c r="Q60" i="10"/>
  <c r="P60" i="10"/>
  <c r="R280" i="10"/>
  <c r="Q280" i="10"/>
  <c r="P280" i="10"/>
  <c r="R1199" i="10"/>
  <c r="Q1199" i="10"/>
  <c r="P1199" i="10"/>
  <c r="R614" i="10"/>
  <c r="Q614" i="10"/>
  <c r="P614" i="10"/>
  <c r="R1152" i="10"/>
  <c r="Q1152" i="10"/>
  <c r="P1152" i="10"/>
  <c r="R764" i="10"/>
  <c r="Q764" i="10"/>
  <c r="P764" i="10"/>
  <c r="R744" i="10"/>
  <c r="Q744" i="10"/>
  <c r="P744" i="10"/>
  <c r="R740" i="10"/>
  <c r="Q740" i="10"/>
  <c r="P740" i="10"/>
  <c r="R985" i="10"/>
  <c r="Q985" i="10"/>
  <c r="P985" i="10"/>
  <c r="R1122" i="10"/>
  <c r="Q1122" i="10"/>
  <c r="P1122" i="10"/>
  <c r="R977" i="10"/>
  <c r="Q977" i="10"/>
  <c r="P977" i="10"/>
  <c r="R1115" i="10"/>
  <c r="Q1115" i="10"/>
  <c r="P1115" i="10"/>
  <c r="R837" i="10"/>
  <c r="Q837" i="10"/>
  <c r="P837" i="10"/>
  <c r="R834" i="10"/>
  <c r="Q834" i="10"/>
  <c r="P834" i="10"/>
  <c r="R970" i="10"/>
  <c r="Q970" i="10"/>
  <c r="P970" i="10"/>
  <c r="R1107" i="10"/>
  <c r="Q1107" i="10"/>
  <c r="P1107" i="10"/>
  <c r="R646" i="10"/>
  <c r="Q646" i="10"/>
  <c r="P646" i="10"/>
  <c r="R811" i="10"/>
  <c r="Q811" i="10"/>
  <c r="P811" i="10"/>
  <c r="R929" i="10"/>
  <c r="Q929" i="10"/>
  <c r="P929" i="10"/>
  <c r="R715" i="10"/>
  <c r="Q715" i="10"/>
  <c r="P715" i="10"/>
  <c r="R799" i="10"/>
  <c r="Q799" i="10"/>
  <c r="P799" i="10"/>
  <c r="R920" i="10"/>
  <c r="Q920" i="10"/>
  <c r="P920" i="10"/>
  <c r="R630" i="10"/>
  <c r="Q630" i="10"/>
  <c r="P630" i="10"/>
  <c r="R902" i="10"/>
  <c r="Q902" i="10"/>
  <c r="P902" i="10"/>
  <c r="R880" i="10"/>
  <c r="Q880" i="10"/>
  <c r="P880" i="10"/>
  <c r="R161" i="10"/>
  <c r="Q161" i="10"/>
  <c r="P161" i="10"/>
  <c r="R503" i="10"/>
  <c r="Q503" i="10"/>
  <c r="P503" i="10"/>
  <c r="R495" i="10"/>
  <c r="Q495" i="10"/>
  <c r="P495" i="10"/>
  <c r="R152" i="10"/>
  <c r="Q152" i="10"/>
  <c r="P152" i="10"/>
  <c r="R575" i="10"/>
  <c r="Q575" i="10"/>
  <c r="P575" i="10"/>
  <c r="R436" i="10"/>
  <c r="Q436" i="10"/>
  <c r="P436" i="10"/>
  <c r="R551" i="10"/>
  <c r="Q551" i="10"/>
  <c r="P551" i="10"/>
  <c r="R914" i="10"/>
  <c r="Q914" i="10"/>
  <c r="P914" i="10"/>
  <c r="R1180" i="10"/>
  <c r="Q1180" i="10"/>
  <c r="P1180" i="10"/>
  <c r="R772" i="10"/>
  <c r="Q772" i="10"/>
  <c r="P772" i="10"/>
  <c r="R672" i="10"/>
  <c r="Q672" i="10"/>
  <c r="P672" i="10"/>
  <c r="R842" i="10"/>
  <c r="Q842" i="10"/>
  <c r="P842" i="10"/>
  <c r="R828" i="10"/>
  <c r="Q828" i="10"/>
  <c r="P828" i="10"/>
  <c r="R825" i="10"/>
  <c r="Q825" i="10"/>
  <c r="P825" i="10"/>
  <c r="R951" i="10"/>
  <c r="Q951" i="10"/>
  <c r="P951" i="10"/>
  <c r="R1098" i="10"/>
  <c r="Q1098" i="10"/>
  <c r="P1098" i="10"/>
  <c r="R1097" i="10"/>
  <c r="Q1097" i="10"/>
  <c r="P1097" i="10"/>
  <c r="R1079" i="10"/>
  <c r="Q1079" i="10"/>
  <c r="P1079" i="10"/>
  <c r="R713" i="10"/>
  <c r="Q713" i="10"/>
  <c r="P713" i="10"/>
  <c r="R711" i="10"/>
  <c r="Q711" i="10"/>
  <c r="P711" i="10"/>
  <c r="R782" i="10"/>
  <c r="Q782" i="10"/>
  <c r="P782" i="10"/>
  <c r="R434" i="10"/>
  <c r="Q434" i="10"/>
  <c r="P434" i="10"/>
  <c r="R79" i="10"/>
  <c r="Q79" i="10"/>
  <c r="P79" i="10"/>
  <c r="R266" i="10"/>
  <c r="Q266" i="10"/>
  <c r="P266" i="10"/>
  <c r="R311" i="10"/>
  <c r="Q311" i="10"/>
  <c r="P311" i="10"/>
  <c r="R553" i="10"/>
  <c r="Q553" i="10"/>
  <c r="P553" i="10"/>
  <c r="R293" i="10"/>
  <c r="Q293" i="10"/>
  <c r="P293" i="10"/>
  <c r="R86" i="10"/>
  <c r="Q86" i="10"/>
  <c r="P86" i="10"/>
  <c r="R1032" i="10"/>
  <c r="Q1032" i="10"/>
  <c r="P1032" i="10"/>
  <c r="R858" i="10"/>
  <c r="Q858" i="10"/>
  <c r="P858" i="10"/>
  <c r="R657" i="10"/>
  <c r="Q657" i="10"/>
  <c r="P657" i="10"/>
  <c r="R957" i="10"/>
  <c r="Q957" i="10"/>
  <c r="P957" i="10"/>
  <c r="R953" i="10"/>
  <c r="Q953" i="10"/>
  <c r="P953" i="10"/>
  <c r="R815" i="10"/>
  <c r="Q815" i="10"/>
  <c r="P815" i="10"/>
  <c r="R801" i="10"/>
  <c r="Q801" i="10"/>
  <c r="P801" i="10"/>
  <c r="R1035" i="10"/>
  <c r="Q1035" i="10"/>
  <c r="P1035" i="10"/>
  <c r="R1214" i="10"/>
  <c r="Q1214" i="10"/>
  <c r="P1214" i="10"/>
  <c r="R621" i="10"/>
  <c r="Q621" i="10"/>
  <c r="P621" i="10"/>
  <c r="R310" i="10"/>
  <c r="Q310" i="10"/>
  <c r="P310" i="10"/>
  <c r="R590" i="10"/>
  <c r="Q590" i="10"/>
  <c r="P590" i="10"/>
  <c r="R411" i="10"/>
  <c r="Q411" i="10"/>
  <c r="P411" i="10"/>
  <c r="R17" i="10"/>
  <c r="Q17" i="10"/>
  <c r="P17" i="10"/>
  <c r="R289" i="10"/>
  <c r="Q289" i="10"/>
  <c r="P289" i="10"/>
  <c r="R515" i="10"/>
  <c r="Q515" i="10"/>
  <c r="P515" i="10"/>
  <c r="R70" i="10"/>
  <c r="Q70" i="10"/>
  <c r="P70" i="10"/>
  <c r="R405" i="10"/>
  <c r="Q405" i="10"/>
  <c r="P405" i="10"/>
  <c r="R1016" i="10"/>
  <c r="Q1016" i="10"/>
  <c r="P1016" i="10"/>
  <c r="R762" i="10"/>
  <c r="Q762" i="10"/>
  <c r="P762" i="10"/>
  <c r="R1005" i="10"/>
  <c r="Q1005" i="10"/>
  <c r="P1005" i="10"/>
  <c r="R1099" i="10"/>
  <c r="Q1099" i="10"/>
  <c r="P1099" i="10"/>
  <c r="R945" i="10"/>
  <c r="Q945" i="10"/>
  <c r="P945" i="10"/>
  <c r="R942" i="10"/>
  <c r="Q942" i="10"/>
  <c r="P942" i="10"/>
  <c r="R1233" i="10"/>
  <c r="Q1233" i="10"/>
  <c r="P1233" i="10"/>
  <c r="R1081" i="10"/>
  <c r="Q1081" i="10"/>
  <c r="P1081" i="10"/>
  <c r="R705" i="10"/>
  <c r="Q705" i="10"/>
  <c r="P705" i="10"/>
  <c r="R706" i="10"/>
  <c r="Q706" i="10"/>
  <c r="P706" i="10"/>
  <c r="R779" i="10"/>
  <c r="Q779" i="10"/>
  <c r="P779" i="10"/>
  <c r="R55" i="10"/>
  <c r="Q55" i="10"/>
  <c r="P55" i="10"/>
  <c r="R697" i="10"/>
  <c r="Q697" i="10"/>
  <c r="P697" i="10"/>
  <c r="R242" i="10"/>
  <c r="Q242" i="10"/>
  <c r="P242" i="10"/>
  <c r="R120" i="10"/>
  <c r="Q120" i="10"/>
  <c r="P120" i="10"/>
  <c r="R226" i="10"/>
  <c r="Q226" i="10"/>
  <c r="P226" i="10"/>
  <c r="R1015" i="10"/>
  <c r="Q1015" i="10"/>
  <c r="P1015" i="10"/>
  <c r="R660" i="10"/>
  <c r="Q660" i="10"/>
  <c r="P660" i="10"/>
  <c r="R845" i="10"/>
  <c r="Q845" i="10"/>
  <c r="P845" i="10"/>
  <c r="R975" i="10"/>
  <c r="Q975" i="10"/>
  <c r="P975" i="10"/>
  <c r="R836" i="10"/>
  <c r="Q836" i="10"/>
  <c r="P836" i="10"/>
  <c r="R709" i="10"/>
  <c r="Q709" i="10"/>
  <c r="P709" i="10"/>
  <c r="R1244" i="10"/>
  <c r="Q1244" i="10"/>
  <c r="P1244" i="10"/>
  <c r="R724" i="10"/>
  <c r="Q724" i="10"/>
  <c r="P724" i="10"/>
  <c r="R1091" i="10"/>
  <c r="Q1091" i="10"/>
  <c r="P1091" i="10"/>
  <c r="R1222" i="10"/>
  <c r="Q1222" i="10"/>
  <c r="P1222" i="10"/>
  <c r="R912" i="10"/>
  <c r="Q912" i="10"/>
  <c r="P912" i="10"/>
  <c r="R905" i="10"/>
  <c r="Q905" i="10"/>
  <c r="P905" i="10"/>
  <c r="R132" i="10"/>
  <c r="Q132" i="10"/>
  <c r="P132" i="10"/>
  <c r="R595" i="10"/>
  <c r="Q595" i="10"/>
  <c r="P595" i="10"/>
  <c r="R239" i="10"/>
  <c r="Q239" i="10"/>
  <c r="P239" i="10"/>
  <c r="R8" i="10"/>
  <c r="Q8" i="10"/>
  <c r="P8" i="10"/>
  <c r="R376" i="10"/>
  <c r="Q376" i="10"/>
  <c r="P376" i="10"/>
  <c r="R865" i="10"/>
  <c r="Q865" i="10"/>
  <c r="P865" i="10"/>
  <c r="R768" i="10"/>
  <c r="Q768" i="10"/>
  <c r="P768" i="10"/>
  <c r="R1017" i="10"/>
  <c r="Q1017" i="10"/>
  <c r="P1017" i="10"/>
  <c r="R976" i="10"/>
  <c r="Q976" i="10"/>
  <c r="P976" i="10"/>
  <c r="R733" i="10"/>
  <c r="Q733" i="10"/>
  <c r="P733" i="10"/>
  <c r="R955" i="10"/>
  <c r="Q955" i="10"/>
  <c r="P955" i="10"/>
  <c r="R941" i="10"/>
  <c r="Q941" i="10"/>
  <c r="P941" i="10"/>
  <c r="R699" i="10"/>
  <c r="Q699" i="10"/>
  <c r="P699" i="10"/>
  <c r="R932" i="10"/>
  <c r="Q932" i="10"/>
  <c r="P932" i="10"/>
  <c r="R1050" i="10"/>
  <c r="Q1050" i="10"/>
  <c r="P1050" i="10"/>
  <c r="R695" i="10"/>
  <c r="Q695" i="10"/>
  <c r="P695" i="10"/>
  <c r="R881" i="10"/>
  <c r="Q881" i="10"/>
  <c r="P881" i="10"/>
  <c r="R284" i="10"/>
  <c r="Q284" i="10"/>
  <c r="P284" i="10"/>
  <c r="R28" i="10"/>
  <c r="Q28" i="10"/>
  <c r="P28" i="10"/>
  <c r="R89" i="10"/>
  <c r="Q89" i="10"/>
  <c r="P89" i="10"/>
  <c r="R291" i="10"/>
  <c r="Q291" i="10"/>
  <c r="P291" i="10"/>
  <c r="R111" i="10"/>
  <c r="Q111" i="10"/>
  <c r="P111" i="10"/>
  <c r="R587" i="10"/>
  <c r="Q587" i="10"/>
  <c r="P587" i="10"/>
  <c r="R176" i="10"/>
  <c r="Q176" i="10"/>
  <c r="P176" i="10"/>
  <c r="R362" i="10"/>
  <c r="Q362" i="10"/>
  <c r="P362" i="10"/>
  <c r="R443" i="10"/>
  <c r="Q443" i="10"/>
  <c r="P443" i="10"/>
  <c r="R105" i="10"/>
  <c r="Q105" i="10"/>
  <c r="P105" i="10"/>
  <c r="R766" i="10"/>
  <c r="Q766" i="10"/>
  <c r="P766" i="10"/>
  <c r="R1002" i="10"/>
  <c r="Q1002" i="10"/>
  <c r="P1002" i="10"/>
  <c r="R991" i="10"/>
  <c r="Q991" i="10"/>
  <c r="P991" i="10"/>
  <c r="R716" i="10"/>
  <c r="Q716" i="10"/>
  <c r="P716" i="10"/>
  <c r="R918" i="10"/>
  <c r="Q918" i="10"/>
  <c r="P918" i="10"/>
  <c r="R162" i="10"/>
  <c r="Q162" i="10"/>
  <c r="P162" i="10"/>
  <c r="R1049" i="10"/>
  <c r="Q1049" i="10"/>
  <c r="P1049" i="10"/>
  <c r="R585" i="10"/>
  <c r="Q585" i="10"/>
  <c r="P585" i="10"/>
  <c r="R180" i="10"/>
  <c r="Q180" i="10"/>
  <c r="P180" i="10"/>
  <c r="R294" i="10"/>
  <c r="Q294" i="10"/>
  <c r="P294" i="10"/>
  <c r="R883" i="10"/>
  <c r="Q883" i="10"/>
  <c r="P883" i="10"/>
  <c r="R577" i="10"/>
  <c r="Q577" i="10"/>
  <c r="P577" i="10"/>
  <c r="R35" i="10"/>
  <c r="Q35" i="10"/>
  <c r="P35" i="10"/>
  <c r="R1042" i="10"/>
  <c r="Q1042" i="10"/>
  <c r="P1042" i="10"/>
  <c r="R846" i="10"/>
  <c r="Q846" i="10"/>
  <c r="P846" i="10"/>
  <c r="R1187" i="10"/>
  <c r="Q1187" i="10"/>
  <c r="P1187" i="10"/>
  <c r="R798" i="10"/>
  <c r="Q798" i="10"/>
  <c r="P798" i="10"/>
  <c r="R895" i="10"/>
  <c r="Q895" i="10"/>
  <c r="P895" i="10"/>
  <c r="R780" i="10"/>
  <c r="Q780" i="10"/>
  <c r="P780" i="10"/>
  <c r="R1179" i="10"/>
  <c r="Q1179" i="10"/>
  <c r="P1179" i="10"/>
  <c r="R95" i="10"/>
  <c r="Q95" i="10"/>
  <c r="P95" i="10"/>
  <c r="R525" i="10"/>
  <c r="Q525" i="10"/>
  <c r="P525" i="10"/>
  <c r="R557" i="10"/>
  <c r="Q557" i="10"/>
  <c r="P557" i="10"/>
  <c r="R158" i="10"/>
  <c r="Q158" i="10"/>
  <c r="P158" i="10"/>
  <c r="R378" i="10"/>
  <c r="Q378" i="10"/>
  <c r="P378" i="10"/>
  <c r="R747" i="10"/>
  <c r="Q747" i="10"/>
  <c r="P747" i="10"/>
  <c r="R1109" i="10"/>
  <c r="Q1109" i="10"/>
  <c r="P1109" i="10"/>
  <c r="R885" i="10"/>
  <c r="Q885" i="10"/>
  <c r="P885" i="10"/>
  <c r="R1071" i="10"/>
  <c r="Q1071" i="10"/>
  <c r="P1071" i="10"/>
  <c r="R790" i="10"/>
  <c r="Q790" i="10"/>
  <c r="P790" i="10"/>
  <c r="R931" i="10"/>
  <c r="Q931" i="10"/>
  <c r="P931" i="10"/>
  <c r="R887" i="10"/>
  <c r="Q887" i="10"/>
  <c r="P887" i="10"/>
  <c r="R879" i="10"/>
  <c r="Q879" i="10"/>
  <c r="P879" i="10"/>
  <c r="R36" i="10"/>
  <c r="Q36" i="10"/>
  <c r="P36" i="10"/>
  <c r="R583" i="10"/>
  <c r="Q583" i="10"/>
  <c r="P583" i="10"/>
  <c r="R448" i="10"/>
  <c r="Q448" i="10"/>
  <c r="P448" i="10"/>
  <c r="R1248" i="10"/>
  <c r="Q1248" i="10"/>
  <c r="P1248" i="10"/>
  <c r="R151" i="10"/>
  <c r="Q151" i="10"/>
  <c r="P151" i="10"/>
  <c r="R345" i="10"/>
  <c r="Q345" i="10"/>
  <c r="P345" i="10"/>
  <c r="R232" i="10"/>
  <c r="Q232" i="10"/>
  <c r="P232" i="10"/>
  <c r="R572" i="10"/>
  <c r="Q572" i="10"/>
  <c r="P572" i="10"/>
  <c r="R948" i="10"/>
  <c r="Q948" i="10"/>
  <c r="P948" i="10"/>
  <c r="R555" i="10"/>
  <c r="Q555" i="10"/>
  <c r="P555" i="10"/>
  <c r="R638" i="10"/>
  <c r="Q638" i="10"/>
  <c r="P638" i="10"/>
  <c r="R861" i="10"/>
  <c r="Q861" i="10"/>
  <c r="P861" i="10"/>
  <c r="R1083" i="10"/>
  <c r="Q1083" i="10"/>
  <c r="P1083" i="10"/>
  <c r="R939" i="10"/>
  <c r="Q939" i="10"/>
  <c r="P939" i="10"/>
  <c r="R599" i="10"/>
  <c r="Q599" i="10"/>
  <c r="P599" i="10"/>
  <c r="R877" i="10"/>
  <c r="Q877" i="10"/>
  <c r="P877" i="10"/>
  <c r="R181" i="10"/>
  <c r="Q181" i="10"/>
  <c r="P181" i="10"/>
  <c r="R497" i="10"/>
  <c r="Q497" i="10"/>
  <c r="P497" i="10"/>
  <c r="R552" i="10"/>
  <c r="Q552" i="10"/>
  <c r="P552" i="10"/>
  <c r="R529" i="10"/>
  <c r="Q529" i="10"/>
  <c r="P529" i="10"/>
  <c r="R854" i="10"/>
  <c r="Q854" i="10"/>
  <c r="P854" i="10"/>
  <c r="R649" i="10"/>
  <c r="Q649" i="10"/>
  <c r="P649" i="10"/>
  <c r="R629" i="10"/>
  <c r="Q629" i="10"/>
  <c r="P629" i="10"/>
  <c r="R1260" i="10"/>
  <c r="Q1260" i="10"/>
  <c r="P1260" i="10"/>
  <c r="R950" i="10"/>
  <c r="Q950" i="10"/>
  <c r="P950" i="10"/>
  <c r="R1123" i="10"/>
  <c r="Q1123" i="10"/>
  <c r="P1123" i="10"/>
  <c r="R33" i="10"/>
  <c r="Q33" i="10"/>
  <c r="P33" i="10"/>
  <c r="R134" i="10"/>
  <c r="Q134" i="10"/>
  <c r="P134" i="10"/>
  <c r="R320" i="10"/>
  <c r="Q320" i="10"/>
  <c r="P320" i="10"/>
  <c r="R147" i="10"/>
  <c r="Q147" i="10"/>
  <c r="P147" i="10"/>
  <c r="R1157" i="10"/>
  <c r="Q1157" i="10"/>
  <c r="P1157" i="10"/>
  <c r="R767" i="10"/>
  <c r="Q767" i="10"/>
  <c r="P767" i="10"/>
  <c r="R857" i="10"/>
  <c r="Q857" i="10"/>
  <c r="P857" i="10"/>
  <c r="R993" i="10"/>
  <c r="Q993" i="10"/>
  <c r="P993" i="10"/>
  <c r="R698" i="10"/>
  <c r="Q698" i="10"/>
  <c r="P698" i="10"/>
  <c r="R263" i="10"/>
  <c r="Q263" i="10"/>
  <c r="P263" i="10"/>
  <c r="R597" i="10"/>
  <c r="Q597" i="10"/>
  <c r="P597" i="10"/>
  <c r="R841" i="10"/>
  <c r="Q841" i="10"/>
  <c r="P841" i="10"/>
  <c r="R645" i="10"/>
  <c r="Q645" i="10"/>
  <c r="P645" i="10"/>
  <c r="R1237" i="10"/>
  <c r="Q1237" i="10"/>
  <c r="P1237" i="10"/>
  <c r="R281" i="10"/>
  <c r="Q281" i="10"/>
  <c r="P281" i="10"/>
  <c r="R550" i="10"/>
  <c r="Q550" i="10"/>
  <c r="P550" i="10"/>
  <c r="R556" i="10"/>
  <c r="Q556" i="10"/>
  <c r="P556" i="10"/>
  <c r="R129" i="10"/>
  <c r="Q129" i="10"/>
  <c r="P129" i="10"/>
  <c r="R244" i="10"/>
  <c r="Q244" i="10"/>
  <c r="P244" i="10"/>
  <c r="R1150" i="10"/>
  <c r="Q1150" i="10"/>
  <c r="P1150" i="10"/>
  <c r="R1127" i="10"/>
  <c r="Q1127" i="10"/>
  <c r="P1127" i="10"/>
  <c r="R625" i="10"/>
  <c r="Q625" i="10"/>
  <c r="P625" i="10"/>
  <c r="R118" i="10"/>
  <c r="Q118" i="10"/>
  <c r="P118" i="10"/>
  <c r="R257" i="10"/>
  <c r="Q257" i="10"/>
  <c r="P257" i="10"/>
  <c r="R463" i="10"/>
  <c r="Q463" i="10"/>
  <c r="P463" i="10"/>
  <c r="R296" i="10"/>
  <c r="Q296" i="10"/>
  <c r="P296" i="10"/>
  <c r="R14" i="10"/>
  <c r="Q14" i="10"/>
  <c r="P14" i="10"/>
  <c r="R664" i="10"/>
  <c r="Q664" i="10"/>
  <c r="P664" i="10"/>
  <c r="R1128" i="10"/>
  <c r="Q1128" i="10"/>
  <c r="P1128" i="10"/>
  <c r="R721" i="10"/>
  <c r="Q721" i="10"/>
  <c r="P721" i="10"/>
  <c r="R30" i="10"/>
  <c r="Q30" i="10"/>
  <c r="P30" i="10"/>
  <c r="R298" i="10"/>
  <c r="Q298" i="10"/>
  <c r="P298" i="10"/>
  <c r="R548" i="10"/>
  <c r="Q548" i="10"/>
  <c r="P548" i="10"/>
  <c r="R88" i="10"/>
  <c r="Q88" i="10"/>
  <c r="P88" i="10"/>
  <c r="R673" i="10"/>
  <c r="Q673" i="10"/>
  <c r="P673" i="10"/>
  <c r="R995" i="10"/>
  <c r="Q995" i="10"/>
  <c r="P995" i="10"/>
  <c r="R1130" i="10"/>
  <c r="Q1130" i="10"/>
  <c r="P1130" i="10"/>
  <c r="R989" i="10"/>
  <c r="Q989" i="10"/>
  <c r="P989" i="10"/>
  <c r="R655" i="10"/>
  <c r="Q655" i="10"/>
  <c r="P655" i="10"/>
  <c r="R1106" i="10"/>
  <c r="Q1106" i="10"/>
  <c r="P1106" i="10"/>
  <c r="R906" i="10"/>
  <c r="Q906" i="10"/>
  <c r="P906" i="10"/>
  <c r="R935" i="10"/>
  <c r="Q935" i="10"/>
  <c r="P935" i="10"/>
  <c r="R651" i="10"/>
  <c r="Q651" i="10"/>
  <c r="P651" i="10"/>
  <c r="R171" i="10"/>
  <c r="Q171" i="10"/>
  <c r="P171" i="10"/>
  <c r="R108" i="10"/>
  <c r="Q108" i="10"/>
  <c r="P108" i="10"/>
  <c r="R419" i="10"/>
  <c r="Q419" i="10"/>
  <c r="P419" i="10"/>
  <c r="R439" i="10"/>
  <c r="Q439" i="10"/>
  <c r="P439" i="10"/>
  <c r="R959" i="10"/>
  <c r="Q959" i="10"/>
  <c r="P959" i="10"/>
  <c r="R634" i="10"/>
  <c r="Q634" i="10"/>
  <c r="P634" i="10"/>
  <c r="R1046" i="10"/>
  <c r="Q1046" i="10"/>
  <c r="P1046" i="10"/>
  <c r="R74" i="10"/>
  <c r="Q74" i="10"/>
  <c r="P74" i="10"/>
  <c r="R185" i="10"/>
  <c r="Q185" i="10"/>
  <c r="P185" i="10"/>
  <c r="R225" i="10"/>
  <c r="Q225" i="10"/>
  <c r="P225" i="10"/>
  <c r="R592" i="10"/>
  <c r="Q592" i="10"/>
  <c r="P592" i="10"/>
  <c r="R533" i="10"/>
  <c r="Q533" i="10"/>
  <c r="P533" i="10"/>
  <c r="R165" i="10"/>
  <c r="Q165" i="10"/>
  <c r="P165" i="10"/>
  <c r="R505" i="10"/>
  <c r="Q505" i="10"/>
  <c r="P505" i="10"/>
  <c r="R866" i="10"/>
  <c r="Q866" i="10"/>
  <c r="P866" i="10"/>
  <c r="R619" i="10"/>
  <c r="Q619" i="10"/>
  <c r="P619" i="10"/>
  <c r="R956" i="10"/>
  <c r="Q956" i="10"/>
  <c r="P956" i="10"/>
  <c r="R786" i="10"/>
  <c r="Q786" i="10"/>
  <c r="P786" i="10"/>
  <c r="R889" i="10"/>
  <c r="Q889" i="10"/>
  <c r="P889" i="10"/>
  <c r="R567" i="10"/>
  <c r="Q567" i="10"/>
  <c r="P567" i="10"/>
  <c r="R731" i="10"/>
  <c r="Q731" i="10"/>
  <c r="P731" i="10"/>
  <c r="R90" i="10"/>
  <c r="Q90" i="10"/>
  <c r="P90" i="10"/>
  <c r="R259" i="10"/>
  <c r="Q259" i="10"/>
  <c r="P259" i="10"/>
  <c r="R869" i="10"/>
  <c r="Q869" i="10"/>
  <c r="P869" i="10"/>
  <c r="R965" i="10"/>
  <c r="Q965" i="10"/>
  <c r="P965" i="10"/>
  <c r="R616" i="10"/>
  <c r="Q616" i="10"/>
  <c r="P616" i="10"/>
  <c r="R6" i="10"/>
  <c r="Q6" i="10"/>
  <c r="P6" i="10"/>
  <c r="R314" i="10"/>
  <c r="Q314" i="10"/>
  <c r="P314" i="10"/>
  <c r="R862" i="10"/>
  <c r="Q862" i="10"/>
  <c r="P862" i="10"/>
  <c r="R761" i="10"/>
  <c r="Q761" i="10"/>
  <c r="P761" i="10"/>
  <c r="R1257" i="10"/>
  <c r="Q1257" i="10"/>
  <c r="P1257" i="10"/>
  <c r="R491" i="10"/>
  <c r="Q491" i="10"/>
  <c r="P491" i="10"/>
  <c r="R1052" i="10"/>
  <c r="Q1052" i="10"/>
  <c r="P1052" i="10"/>
  <c r="R922" i="10"/>
  <c r="Q922" i="10"/>
  <c r="P922" i="10"/>
  <c r="R1086" i="10"/>
  <c r="Q1086" i="10"/>
  <c r="P1086" i="10"/>
  <c r="R106" i="10"/>
  <c r="Q106" i="10"/>
  <c r="P106" i="10"/>
  <c r="R1272" i="10"/>
  <c r="Q1272" i="10"/>
  <c r="P1272" i="10"/>
  <c r="R623" i="10"/>
  <c r="Q623" i="10"/>
  <c r="P623" i="10"/>
  <c r="R186" i="10"/>
  <c r="Q186" i="10"/>
  <c r="P186" i="10"/>
  <c r="R268" i="10"/>
  <c r="Q268" i="10"/>
  <c r="P268" i="10"/>
  <c r="R282" i="10"/>
  <c r="Q282" i="10"/>
  <c r="P282" i="10"/>
  <c r="R806" i="10"/>
  <c r="Q806" i="10"/>
  <c r="P806" i="10"/>
  <c r="R632" i="10"/>
  <c r="Q632" i="10"/>
  <c r="P632" i="10"/>
  <c r="R894" i="10"/>
  <c r="Q894" i="10"/>
  <c r="P894" i="10"/>
  <c r="R1034" i="10"/>
  <c r="Q1034" i="10"/>
  <c r="P1034" i="10"/>
  <c r="R115" i="10"/>
  <c r="Q115" i="10"/>
  <c r="P115" i="10"/>
  <c r="R10" i="10"/>
  <c r="Q10" i="10"/>
  <c r="P10" i="10"/>
  <c r="R574" i="10"/>
  <c r="Q574" i="10"/>
  <c r="P574" i="10"/>
  <c r="R1155" i="10"/>
  <c r="Q1155" i="10"/>
  <c r="P1155" i="10"/>
  <c r="R1116" i="10"/>
  <c r="Q1116" i="10"/>
  <c r="P1116" i="10"/>
  <c r="R886" i="10"/>
  <c r="Q886" i="10"/>
  <c r="P886" i="10"/>
  <c r="R498" i="10"/>
  <c r="Q498" i="10"/>
  <c r="P498" i="10"/>
  <c r="R652" i="10"/>
  <c r="Q652" i="10"/>
  <c r="P652" i="10"/>
  <c r="R141" i="10"/>
  <c r="Q141" i="10"/>
  <c r="P141" i="10"/>
  <c r="R973" i="10"/>
  <c r="Q973" i="10"/>
  <c r="P973" i="10"/>
  <c r="R947" i="10"/>
  <c r="Q947" i="10"/>
  <c r="P947" i="10"/>
  <c r="R937" i="10"/>
  <c r="Q937" i="10"/>
  <c r="P937" i="10"/>
  <c r="R795" i="10"/>
  <c r="Q795" i="10"/>
  <c r="P795" i="10"/>
  <c r="R605" i="10"/>
  <c r="Q605" i="10"/>
  <c r="P605" i="10"/>
  <c r="R653" i="10"/>
  <c r="Q653" i="10"/>
  <c r="P653" i="10"/>
  <c r="R502" i="10"/>
  <c r="Q502" i="10"/>
  <c r="P502" i="10"/>
  <c r="R522" i="10"/>
  <c r="Q522" i="10"/>
  <c r="P522" i="10"/>
  <c r="R810" i="10"/>
  <c r="Q810" i="10"/>
  <c r="P810" i="10"/>
  <c r="R979" i="10"/>
  <c r="Q979" i="10"/>
  <c r="P979" i="10"/>
  <c r="R974" i="10"/>
  <c r="Q974" i="10"/>
  <c r="P974" i="10"/>
  <c r="R1063" i="10"/>
  <c r="Q1063" i="10"/>
  <c r="P1063" i="10"/>
  <c r="R898" i="10"/>
  <c r="Q898" i="10"/>
  <c r="P898" i="10"/>
  <c r="R784" i="10"/>
  <c r="Q784" i="10"/>
  <c r="P784" i="10"/>
  <c r="R831" i="10"/>
  <c r="Q831" i="10"/>
  <c r="P831" i="10"/>
  <c r="R352" i="10"/>
  <c r="Q352" i="10"/>
  <c r="P352" i="10"/>
  <c r="R485" i="10"/>
  <c r="Q485" i="10"/>
  <c r="P485" i="10"/>
  <c r="R357" i="10"/>
  <c r="Q357" i="10"/>
  <c r="P357" i="10"/>
  <c r="R870" i="10"/>
  <c r="Q870" i="10"/>
  <c r="P870" i="10"/>
  <c r="R741" i="10"/>
  <c r="Q741" i="10"/>
  <c r="P741" i="10"/>
  <c r="R1111" i="10"/>
  <c r="Q1111" i="10"/>
  <c r="P1111" i="10"/>
  <c r="R726" i="10"/>
  <c r="Q726" i="10"/>
  <c r="P726" i="10"/>
  <c r="R936" i="10"/>
  <c r="Q936" i="10"/>
  <c r="P936" i="10"/>
  <c r="R11" i="10"/>
  <c r="Q11" i="10"/>
  <c r="P11" i="10"/>
  <c r="R321" i="10"/>
  <c r="Q321" i="10"/>
  <c r="P321" i="10"/>
  <c r="R53" i="10"/>
  <c r="Q53" i="10"/>
  <c r="P53" i="10"/>
  <c r="R496" i="10"/>
  <c r="Q496" i="10"/>
  <c r="P496" i="10"/>
  <c r="R501" i="10"/>
  <c r="Q501" i="10"/>
  <c r="P501" i="10"/>
  <c r="R1281" i="10"/>
  <c r="Q1281" i="10"/>
  <c r="P1281" i="10"/>
  <c r="R1269" i="10"/>
  <c r="Q1269" i="10"/>
  <c r="P1269" i="10"/>
  <c r="R971" i="10"/>
  <c r="Q971" i="10"/>
  <c r="P971" i="10"/>
  <c r="R125" i="10"/>
  <c r="Q125" i="10"/>
  <c r="P125" i="10"/>
  <c r="R812" i="10"/>
  <c r="Q812" i="10"/>
  <c r="P812" i="10"/>
  <c r="R1216" i="10"/>
  <c r="Q1216" i="10"/>
  <c r="P1216" i="10"/>
  <c r="R344" i="10"/>
  <c r="Q344" i="10"/>
  <c r="P344" i="10"/>
  <c r="R307" i="10"/>
  <c r="Q307" i="10"/>
  <c r="P307" i="10"/>
  <c r="R447" i="10"/>
  <c r="Q447" i="10"/>
  <c r="P447" i="10"/>
  <c r="R401" i="10"/>
  <c r="Q401" i="10"/>
  <c r="P401" i="10"/>
  <c r="R44" i="10"/>
  <c r="Q44" i="10"/>
  <c r="P44" i="10"/>
  <c r="R189" i="10"/>
  <c r="Q189" i="10"/>
  <c r="P189" i="10"/>
  <c r="R734" i="10"/>
  <c r="Q734" i="10"/>
  <c r="P734" i="10"/>
  <c r="R1089" i="10"/>
  <c r="Q1089" i="10"/>
  <c r="P1089" i="10"/>
  <c r="R926" i="10"/>
  <c r="Q926" i="10"/>
  <c r="P926" i="10"/>
  <c r="R256" i="10"/>
  <c r="Q256" i="10"/>
  <c r="P256" i="10"/>
  <c r="R882" i="10"/>
  <c r="Q882" i="10"/>
  <c r="P882" i="10"/>
  <c r="R380" i="10"/>
  <c r="Q380" i="10"/>
  <c r="P380" i="10"/>
  <c r="R1113" i="10"/>
  <c r="Q1113" i="10"/>
  <c r="P1113" i="10"/>
  <c r="R639" i="10"/>
  <c r="Q639" i="10"/>
  <c r="P639" i="10"/>
  <c r="R600" i="10"/>
  <c r="Q600" i="10"/>
  <c r="P600" i="10"/>
  <c r="R1108" i="10"/>
  <c r="Q1108" i="10"/>
  <c r="P1108" i="10"/>
  <c r="R1118" i="10"/>
  <c r="Q1118" i="10"/>
  <c r="P1118" i="10"/>
  <c r="R800" i="10"/>
  <c r="Q800" i="10"/>
  <c r="P800" i="10"/>
  <c r="R785" i="10"/>
  <c r="Q785" i="10"/>
  <c r="P785" i="10"/>
  <c r="R19" i="10"/>
  <c r="Q19" i="10"/>
  <c r="P19" i="10"/>
  <c r="R348" i="10"/>
  <c r="Q348" i="10"/>
  <c r="P348" i="10"/>
  <c r="R435" i="10"/>
  <c r="Q435" i="10"/>
  <c r="P435" i="10"/>
  <c r="R449" i="10"/>
  <c r="Q449" i="10"/>
  <c r="P449" i="10"/>
  <c r="R216" i="10"/>
  <c r="Q216" i="10"/>
  <c r="P216" i="10"/>
  <c r="R1001" i="10"/>
  <c r="Q1001" i="10"/>
  <c r="P1001" i="10"/>
  <c r="R822" i="10"/>
  <c r="Q822" i="10"/>
  <c r="P822" i="10"/>
  <c r="R1090" i="10"/>
  <c r="Q1090" i="10"/>
  <c r="P1090" i="10"/>
  <c r="R215" i="10"/>
  <c r="Q215" i="10"/>
  <c r="P215" i="10"/>
  <c r="R262" i="10"/>
  <c r="Q262" i="10"/>
  <c r="P262" i="10"/>
  <c r="R526" i="10"/>
  <c r="Q526" i="10"/>
  <c r="P526" i="10"/>
  <c r="R350" i="10"/>
  <c r="Q350" i="10"/>
  <c r="P350" i="10"/>
  <c r="R1120" i="10"/>
  <c r="Q1120" i="10"/>
  <c r="P1120" i="10"/>
  <c r="R688" i="10"/>
  <c r="Q688" i="10"/>
  <c r="P688" i="10"/>
  <c r="R188" i="10"/>
  <c r="Q188" i="10"/>
  <c r="P188" i="10"/>
  <c r="R116" i="10"/>
  <c r="Q116" i="10"/>
  <c r="P116" i="10"/>
  <c r="R334" i="10"/>
  <c r="Q334" i="10"/>
  <c r="P334" i="10"/>
  <c r="R843" i="10"/>
  <c r="Q843" i="10"/>
  <c r="P843" i="10"/>
  <c r="R824" i="10"/>
  <c r="Q824" i="10"/>
  <c r="P824" i="10"/>
  <c r="R923" i="10"/>
  <c r="Q923" i="10"/>
  <c r="P923" i="10"/>
  <c r="R81" i="10"/>
  <c r="Q81" i="10"/>
  <c r="P81" i="10"/>
  <c r="R183" i="10"/>
  <c r="Q183" i="10"/>
  <c r="P183" i="10"/>
  <c r="R381" i="10"/>
  <c r="Q381" i="10"/>
  <c r="P381" i="10"/>
  <c r="R1142" i="10"/>
  <c r="Q1142" i="10"/>
  <c r="P1142" i="10"/>
  <c r="R984" i="10"/>
  <c r="Q984" i="10"/>
  <c r="P984" i="10"/>
  <c r="R921" i="10"/>
  <c r="Q921" i="10"/>
  <c r="P921" i="10"/>
  <c r="R15" i="10"/>
  <c r="Q15" i="10"/>
  <c r="P15" i="10"/>
  <c r="R323" i="10"/>
  <c r="Q323" i="10"/>
  <c r="P323" i="10"/>
  <c r="R570" i="10"/>
  <c r="Q570" i="10"/>
  <c r="P570" i="10"/>
  <c r="R48" i="10"/>
  <c r="Q48" i="10"/>
  <c r="P48" i="10"/>
  <c r="R752" i="10"/>
  <c r="Q752" i="10"/>
  <c r="P752" i="10"/>
  <c r="R944" i="10"/>
  <c r="Q944" i="10"/>
  <c r="P944" i="10"/>
  <c r="R615" i="10"/>
  <c r="Q615" i="10"/>
  <c r="P615" i="10"/>
  <c r="R578" i="10"/>
  <c r="Q578" i="10"/>
  <c r="P578" i="10"/>
  <c r="R328" i="10"/>
  <c r="Q328" i="10"/>
  <c r="P328" i="10"/>
  <c r="R1174" i="10"/>
  <c r="Q1174" i="10"/>
  <c r="P1174" i="10"/>
  <c r="R859" i="10"/>
  <c r="Q859" i="10"/>
  <c r="P859" i="10"/>
  <c r="R654" i="10"/>
  <c r="Q654" i="10"/>
  <c r="P654" i="10"/>
  <c r="R130" i="10"/>
  <c r="Q130" i="10"/>
  <c r="P130" i="10"/>
  <c r="R888" i="10"/>
  <c r="Q888" i="10"/>
  <c r="P888" i="10"/>
  <c r="R488" i="10"/>
  <c r="Q488" i="10"/>
  <c r="P488" i="10"/>
  <c r="R150" i="10"/>
  <c r="Q150" i="10"/>
  <c r="P150" i="10"/>
  <c r="R94" i="10"/>
  <c r="Q94" i="10"/>
  <c r="P94" i="10"/>
  <c r="R569" i="10"/>
  <c r="Q569" i="10"/>
  <c r="P569" i="10"/>
  <c r="R872" i="10"/>
  <c r="Q872" i="10"/>
  <c r="P872" i="10"/>
  <c r="R542" i="10"/>
  <c r="Q542" i="10"/>
  <c r="P542" i="10"/>
  <c r="R123" i="10"/>
  <c r="Q123" i="10"/>
  <c r="P123" i="10"/>
  <c r="R260" i="10"/>
  <c r="Q260" i="10"/>
  <c r="P260" i="10"/>
  <c r="R844" i="10"/>
  <c r="Q844" i="10"/>
  <c r="P844" i="10"/>
  <c r="R1011" i="10"/>
  <c r="Q1011" i="10"/>
  <c r="P1011" i="10"/>
  <c r="R1009" i="10"/>
  <c r="Q1009" i="10"/>
  <c r="P1009" i="10"/>
  <c r="R1008" i="10"/>
  <c r="Q1008" i="10"/>
  <c r="P1008" i="10"/>
  <c r="R408" i="10"/>
  <c r="Q408" i="10"/>
  <c r="P408" i="10"/>
  <c r="R444" i="10"/>
  <c r="Q444" i="10"/>
  <c r="P444" i="10"/>
  <c r="R860" i="10"/>
  <c r="Q860" i="10"/>
  <c r="P860" i="10"/>
  <c r="R159" i="10"/>
  <c r="Q159" i="10"/>
  <c r="P159" i="10"/>
  <c r="R986" i="10"/>
  <c r="Q986" i="10"/>
  <c r="P986" i="10"/>
  <c r="R783" i="10"/>
  <c r="Q783" i="10"/>
  <c r="P783" i="10"/>
  <c r="R214" i="10"/>
  <c r="Q214" i="10"/>
  <c r="P214" i="10"/>
  <c r="R576" i="10"/>
  <c r="Q576" i="10"/>
  <c r="P576" i="10"/>
  <c r="R596" i="10"/>
  <c r="Q596" i="10"/>
  <c r="P596" i="10"/>
  <c r="R807" i="10"/>
  <c r="Q807" i="10"/>
  <c r="P807" i="10"/>
  <c r="R437" i="10"/>
  <c r="Q437" i="10"/>
  <c r="P437" i="10"/>
  <c r="R287" i="10"/>
  <c r="Q287" i="10"/>
  <c r="P287" i="10"/>
  <c r="R126" i="10"/>
  <c r="Q126" i="10"/>
  <c r="P126" i="10"/>
  <c r="R771" i="10"/>
  <c r="Q771" i="10"/>
  <c r="P771" i="10"/>
  <c r="R668" i="10"/>
  <c r="Q668" i="10"/>
  <c r="P668" i="10"/>
  <c r="R820" i="10"/>
  <c r="Q820" i="10"/>
  <c r="P820" i="10"/>
  <c r="R738" i="10"/>
  <c r="Q738" i="10"/>
  <c r="P738" i="10"/>
  <c r="R670" i="10"/>
  <c r="Q670" i="10"/>
  <c r="P670" i="10"/>
  <c r="R1137" i="10"/>
  <c r="Q1137" i="10"/>
  <c r="P1137" i="10"/>
  <c r="R154" i="10"/>
  <c r="Q154" i="10"/>
  <c r="P154" i="10"/>
  <c r="R58" i="10"/>
  <c r="Q58" i="10"/>
  <c r="P58" i="10"/>
  <c r="R493" i="10"/>
  <c r="Q493" i="10"/>
  <c r="P493" i="10"/>
  <c r="R972" i="10"/>
  <c r="Q972" i="10"/>
  <c r="P972" i="10"/>
  <c r="R647" i="10"/>
  <c r="Q647" i="10"/>
  <c r="P647" i="10"/>
  <c r="R1154" i="10"/>
  <c r="Q1154" i="10"/>
  <c r="P1154" i="10"/>
  <c r="R579" i="10"/>
  <c r="Q579" i="10"/>
  <c r="P579" i="10"/>
  <c r="R643" i="10"/>
  <c r="Q643" i="10"/>
  <c r="P643" i="10"/>
  <c r="R206" i="10"/>
  <c r="Q206" i="10"/>
  <c r="P206" i="10"/>
  <c r="R336" i="10"/>
  <c r="Q336" i="10"/>
  <c r="P336" i="10"/>
  <c r="R258" i="10"/>
  <c r="Q258" i="10"/>
  <c r="P258" i="10"/>
  <c r="R315" i="10"/>
  <c r="Q315" i="10"/>
  <c r="P315" i="10"/>
  <c r="R714" i="10"/>
  <c r="Q714" i="10"/>
  <c r="P714" i="10"/>
  <c r="R777" i="10"/>
  <c r="Q777" i="10"/>
  <c r="P777" i="10"/>
  <c r="R1007" i="10"/>
  <c r="Q1007" i="10"/>
  <c r="P1007" i="10"/>
  <c r="R899" i="10"/>
  <c r="Q899" i="10"/>
  <c r="P899" i="10"/>
  <c r="R891" i="10"/>
  <c r="Q891" i="10"/>
  <c r="P891" i="10"/>
  <c r="R365" i="10"/>
  <c r="Q365" i="10"/>
  <c r="P365" i="10"/>
  <c r="R988" i="10"/>
  <c r="Q988" i="10"/>
  <c r="P988" i="10"/>
  <c r="R346" i="10"/>
  <c r="Q346" i="10"/>
  <c r="P346" i="10"/>
  <c r="R665" i="10"/>
  <c r="Q665" i="10"/>
  <c r="P665" i="10"/>
  <c r="R254" i="10"/>
  <c r="Q254" i="10"/>
  <c r="P254" i="10"/>
  <c r="R933" i="10"/>
  <c r="Q933" i="10"/>
  <c r="P933" i="10"/>
  <c r="R24" i="10"/>
  <c r="Q24" i="10"/>
  <c r="P24" i="10"/>
  <c r="R484" i="10"/>
  <c r="Q484" i="10"/>
  <c r="P484" i="10"/>
  <c r="R356" i="10"/>
  <c r="Q356" i="10"/>
  <c r="P356" i="10"/>
  <c r="R633" i="10"/>
  <c r="Q633" i="10"/>
  <c r="P633" i="10"/>
  <c r="R1183" i="10"/>
  <c r="Q1183" i="10"/>
  <c r="P1183" i="10"/>
  <c r="R722" i="10"/>
  <c r="Q722" i="10"/>
  <c r="P722" i="10"/>
  <c r="R18" i="10"/>
  <c r="Q18" i="10"/>
  <c r="P18" i="10"/>
  <c r="R187" i="10"/>
  <c r="Q187" i="10"/>
  <c r="P187" i="10"/>
  <c r="R513" i="10"/>
  <c r="Q513" i="10"/>
  <c r="P513" i="10"/>
  <c r="R530" i="10"/>
  <c r="Q530" i="10"/>
  <c r="P530" i="10"/>
  <c r="R622" i="10"/>
  <c r="Q622" i="10"/>
  <c r="P622" i="10"/>
  <c r="R292" i="10"/>
  <c r="Q292" i="10"/>
  <c r="P292" i="10"/>
  <c r="R370" i="10"/>
  <c r="Q370" i="10"/>
  <c r="P370" i="10"/>
  <c r="R778" i="10"/>
  <c r="Q778" i="10"/>
  <c r="P778" i="10"/>
  <c r="R1074" i="10"/>
  <c r="Q1074" i="10"/>
  <c r="P1074" i="10"/>
  <c r="R42" i="10"/>
  <c r="Q42" i="10"/>
  <c r="P42" i="10"/>
  <c r="R390" i="10"/>
  <c r="Q390" i="10"/>
  <c r="P390" i="10"/>
  <c r="R318" i="10"/>
  <c r="Q318" i="10"/>
  <c r="P318" i="10"/>
  <c r="R963" i="10"/>
  <c r="Q963" i="10"/>
  <c r="P963" i="10"/>
  <c r="R135" i="10"/>
  <c r="Q135" i="10"/>
  <c r="P135" i="10"/>
  <c r="R213" i="10"/>
  <c r="Q213" i="10"/>
  <c r="P213" i="10"/>
  <c r="R267" i="10"/>
  <c r="Q267" i="10"/>
  <c r="P267" i="10"/>
  <c r="R306" i="10"/>
  <c r="Q306" i="10"/>
  <c r="P306" i="10"/>
  <c r="R823" i="10"/>
  <c r="Q823" i="10"/>
  <c r="P823" i="10"/>
  <c r="R938" i="10"/>
  <c r="Q938" i="10"/>
  <c r="P938" i="10"/>
  <c r="R461" i="10"/>
  <c r="Q461" i="10"/>
  <c r="P461" i="10"/>
  <c r="R255" i="10"/>
  <c r="Q255" i="10"/>
  <c r="P255" i="10"/>
  <c r="R50" i="10"/>
  <c r="Q50" i="10"/>
  <c r="P50" i="10"/>
  <c r="R517" i="10"/>
  <c r="Q517" i="10"/>
  <c r="P517" i="10"/>
  <c r="R677" i="10"/>
  <c r="Q677" i="10"/>
  <c r="P677" i="10"/>
  <c r="R910" i="10"/>
  <c r="Q910" i="10"/>
  <c r="P910" i="10"/>
  <c r="R65" i="10"/>
  <c r="Q65" i="10"/>
  <c r="P65" i="10"/>
  <c r="R680" i="10"/>
  <c r="Q680" i="10"/>
  <c r="P680" i="10"/>
  <c r="R755" i="10"/>
  <c r="Q755" i="10"/>
  <c r="P755" i="10"/>
  <c r="R1075" i="10"/>
  <c r="Q1075" i="10"/>
  <c r="P1075" i="10"/>
  <c r="R441" i="10"/>
  <c r="Q441" i="10"/>
  <c r="P441" i="10"/>
  <c r="R564" i="10"/>
  <c r="Q564" i="10"/>
  <c r="P564" i="10"/>
  <c r="R394" i="10"/>
  <c r="Q394" i="10"/>
  <c r="P394" i="10"/>
  <c r="R473" i="10"/>
  <c r="Q473" i="10"/>
  <c r="P473" i="10"/>
  <c r="R312" i="10"/>
  <c r="Q312" i="10"/>
  <c r="P312" i="10"/>
  <c r="R278" i="10"/>
  <c r="Q278" i="10"/>
  <c r="P278" i="10"/>
  <c r="R997" i="10"/>
  <c r="Q997" i="10"/>
  <c r="P997" i="10"/>
  <c r="R1171" i="10"/>
  <c r="Q1171" i="10"/>
  <c r="P1171" i="10"/>
  <c r="R27" i="10"/>
  <c r="Q27" i="10"/>
  <c r="P27" i="10"/>
  <c r="R288" i="10"/>
  <c r="Q288" i="10"/>
  <c r="P288" i="10"/>
  <c r="R349" i="10"/>
  <c r="Q349" i="10"/>
  <c r="P349" i="10"/>
  <c r="R249" i="10"/>
  <c r="Q249" i="10"/>
  <c r="P249" i="10"/>
  <c r="R541" i="10"/>
  <c r="Q541" i="10"/>
  <c r="P541" i="10"/>
  <c r="R327" i="10"/>
  <c r="Q327" i="10"/>
  <c r="P327" i="10"/>
  <c r="R104" i="10"/>
  <c r="Q104" i="10"/>
  <c r="P104" i="10"/>
  <c r="R524" i="10"/>
  <c r="Q524" i="10"/>
  <c r="P524" i="10"/>
  <c r="R67" i="10"/>
  <c r="Q67" i="10"/>
  <c r="P67" i="10"/>
  <c r="R729" i="10"/>
  <c r="Q729" i="10"/>
  <c r="P729" i="10"/>
  <c r="R138" i="10"/>
  <c r="Q138" i="10"/>
  <c r="P138" i="10"/>
  <c r="R730" i="10"/>
  <c r="Q730" i="10"/>
  <c r="P730" i="10"/>
  <c r="R386" i="10"/>
  <c r="Q386" i="10"/>
  <c r="P386" i="10"/>
  <c r="R562" i="10"/>
  <c r="Q562" i="10"/>
  <c r="P562" i="10"/>
  <c r="R235" i="10"/>
  <c r="Q235" i="10"/>
  <c r="P235" i="10"/>
  <c r="R704" i="10"/>
  <c r="Q704" i="10"/>
  <c r="P704" i="10"/>
  <c r="R387" i="10"/>
  <c r="Q387" i="10"/>
  <c r="P387" i="10"/>
  <c r="R893" i="10"/>
  <c r="Q893" i="10"/>
  <c r="P893" i="10"/>
  <c r="R379" i="10"/>
  <c r="Q379" i="10"/>
  <c r="P379" i="10"/>
  <c r="R504" i="10"/>
  <c r="Q504" i="10"/>
  <c r="P504" i="10"/>
  <c r="R427" i="10"/>
  <c r="Q427" i="10"/>
  <c r="P427" i="10"/>
  <c r="R149" i="10"/>
  <c r="Q149" i="10"/>
  <c r="P149" i="10"/>
  <c r="R890" i="10"/>
  <c r="Q890" i="10"/>
  <c r="P890" i="10"/>
  <c r="R486" i="10"/>
  <c r="Q486" i="10"/>
  <c r="P486" i="10"/>
  <c r="R676" i="10"/>
  <c r="Q676" i="10"/>
  <c r="P676" i="10"/>
  <c r="R338" i="10"/>
  <c r="Q338" i="10"/>
  <c r="P338" i="10"/>
  <c r="R286" i="10"/>
  <c r="Q286" i="10"/>
  <c r="P286" i="10"/>
  <c r="R999" i="10"/>
  <c r="Q999" i="10"/>
  <c r="P999" i="10"/>
  <c r="R77" i="10"/>
  <c r="Q77" i="10"/>
  <c r="P77" i="10"/>
  <c r="R283" i="10"/>
  <c r="Q283" i="10"/>
  <c r="P283" i="10"/>
  <c r="R471" i="10"/>
  <c r="Q471" i="10"/>
  <c r="P471" i="10"/>
  <c r="R467" i="10"/>
  <c r="Q467" i="10"/>
  <c r="P467" i="10"/>
  <c r="R300" i="10"/>
  <c r="Q300" i="10"/>
  <c r="P300" i="10"/>
  <c r="R774" i="10"/>
  <c r="Q774" i="10"/>
  <c r="P774" i="10"/>
  <c r="R703" i="10"/>
  <c r="Q703" i="10"/>
  <c r="P703" i="10"/>
  <c r="R527" i="10"/>
  <c r="Q527" i="10"/>
  <c r="P527" i="10"/>
  <c r="R202" i="10"/>
  <c r="Q202" i="10"/>
  <c r="P202" i="10"/>
  <c r="R737" i="10"/>
  <c r="Q737" i="10"/>
  <c r="P737" i="10"/>
  <c r="R962" i="10"/>
  <c r="Q962" i="10"/>
  <c r="P962" i="10"/>
  <c r="R637" i="10"/>
  <c r="Q637" i="10"/>
  <c r="P637" i="10"/>
  <c r="R669" i="10"/>
  <c r="Q669" i="10"/>
  <c r="P669" i="10"/>
  <c r="R241" i="10"/>
  <c r="Q241" i="10"/>
  <c r="P241" i="10"/>
  <c r="R442" i="10"/>
  <c r="Q442" i="10"/>
  <c r="P442" i="10"/>
  <c r="R573" i="10"/>
  <c r="Q573" i="10"/>
  <c r="P573" i="10"/>
  <c r="R211" i="10"/>
  <c r="Q211" i="10"/>
  <c r="P211" i="10"/>
  <c r="R358" i="10"/>
  <c r="Q358" i="10"/>
  <c r="P358" i="10"/>
  <c r="R455" i="10"/>
  <c r="Q455" i="10"/>
  <c r="P455" i="10"/>
  <c r="R627" i="10"/>
  <c r="Q627" i="10"/>
  <c r="P627" i="10"/>
  <c r="R717" i="10"/>
  <c r="Q717" i="10"/>
  <c r="P717" i="10"/>
  <c r="R686" i="10"/>
  <c r="Q686" i="10"/>
  <c r="P686" i="10"/>
  <c r="R690" i="10"/>
  <c r="Q690" i="10"/>
  <c r="P690" i="10"/>
  <c r="R117" i="10"/>
  <c r="Q117" i="10"/>
  <c r="P117" i="10"/>
  <c r="R399" i="10"/>
  <c r="Q399" i="10"/>
  <c r="P399" i="10"/>
  <c r="R143" i="10"/>
  <c r="Q143" i="10"/>
  <c r="P143" i="10"/>
  <c r="R853" i="10"/>
  <c r="Q853" i="10"/>
  <c r="P853" i="10"/>
  <c r="R397" i="10"/>
  <c r="Q397" i="10"/>
  <c r="P397" i="10"/>
  <c r="R930" i="10"/>
  <c r="Q930" i="10"/>
  <c r="P930" i="10"/>
  <c r="R460" i="10"/>
  <c r="Q460" i="10"/>
  <c r="P460" i="10"/>
  <c r="R796" i="10"/>
  <c r="Q796" i="10"/>
  <c r="P796" i="10"/>
  <c r="R140" i="10"/>
  <c r="Q140" i="10"/>
  <c r="P140" i="10"/>
  <c r="R407" i="10"/>
  <c r="Q407" i="10"/>
  <c r="P407" i="10"/>
  <c r="R967" i="10"/>
  <c r="Q967" i="10"/>
  <c r="P967" i="10"/>
  <c r="R1094" i="10"/>
  <c r="Q1094" i="10"/>
  <c r="P1094" i="10"/>
  <c r="R87" i="10"/>
  <c r="Q87" i="10"/>
  <c r="P87" i="10"/>
  <c r="R392" i="10"/>
  <c r="Q392" i="10"/>
  <c r="P392" i="10"/>
  <c r="R83" i="10"/>
  <c r="Q83" i="10"/>
  <c r="P83" i="10"/>
  <c r="R454" i="10"/>
  <c r="Q454" i="10"/>
  <c r="P454" i="10"/>
  <c r="R184" i="10"/>
  <c r="Q184" i="10"/>
  <c r="P184" i="10"/>
  <c r="R270" i="10"/>
  <c r="Q270" i="10"/>
  <c r="P270" i="10"/>
  <c r="R1012" i="10"/>
  <c r="Q1012" i="10"/>
  <c r="P1012" i="10"/>
  <c r="R760" i="10"/>
  <c r="Q760" i="10"/>
  <c r="P760" i="10"/>
  <c r="R333" i="10"/>
  <c r="Q333" i="10"/>
  <c r="P333" i="10"/>
  <c r="R450" i="10"/>
  <c r="Q450" i="10"/>
  <c r="P450" i="10"/>
  <c r="R396" i="10"/>
  <c r="Q396" i="10"/>
  <c r="P396" i="10"/>
  <c r="R1125" i="10"/>
  <c r="Q1125" i="10"/>
  <c r="P1125" i="10"/>
  <c r="R648" i="10"/>
  <c r="Q648" i="10"/>
  <c r="P648" i="10"/>
  <c r="R610" i="10"/>
  <c r="Q610" i="10"/>
  <c r="P610" i="10"/>
  <c r="R528" i="10"/>
  <c r="Q528" i="10"/>
  <c r="P528" i="10"/>
  <c r="R91" i="10"/>
  <c r="Q91" i="10"/>
  <c r="P91" i="10"/>
  <c r="R432" i="10"/>
  <c r="Q432" i="10"/>
  <c r="P432" i="10"/>
  <c r="R849" i="10"/>
  <c r="Q849" i="10"/>
  <c r="P849" i="10"/>
  <c r="R671" i="10"/>
  <c r="Q671" i="10"/>
  <c r="P671" i="10"/>
  <c r="R675" i="10"/>
  <c r="Q675" i="10"/>
  <c r="P675" i="10"/>
  <c r="R377" i="10"/>
  <c r="Q377" i="10"/>
  <c r="P377" i="10"/>
  <c r="R220" i="10"/>
  <c r="Q220" i="10"/>
  <c r="P220" i="10"/>
  <c r="R492" i="10"/>
  <c r="Q492" i="10"/>
  <c r="P492" i="10"/>
  <c r="R514" i="10"/>
  <c r="Q514" i="10"/>
  <c r="P514" i="10"/>
  <c r="R49" i="10"/>
  <c r="Q49" i="10"/>
  <c r="P49" i="10"/>
  <c r="R1282" i="10"/>
  <c r="Q1282" i="10"/>
  <c r="P1282" i="10"/>
  <c r="R519" i="10"/>
  <c r="Q519" i="10"/>
  <c r="P519" i="10"/>
  <c r="R534" i="10"/>
  <c r="Q534" i="10"/>
  <c r="P534" i="10"/>
  <c r="R329" i="10"/>
  <c r="Q329" i="10"/>
  <c r="P329" i="10"/>
  <c r="R264" i="10"/>
  <c r="Q264" i="10"/>
  <c r="P264" i="10"/>
  <c r="R487" i="10"/>
  <c r="Q487" i="10"/>
  <c r="P487" i="10"/>
  <c r="R299" i="10"/>
  <c r="Q299" i="10"/>
  <c r="P299" i="10"/>
  <c r="R1004" i="10"/>
  <c r="Q1004" i="10"/>
  <c r="P1004" i="10"/>
  <c r="R588" i="10"/>
  <c r="Q588" i="10"/>
  <c r="P588" i="10"/>
  <c r="R102" i="10"/>
  <c r="Q102" i="10"/>
  <c r="P102" i="10"/>
  <c r="R63" i="10"/>
  <c r="Q63" i="10"/>
  <c r="P63" i="10"/>
  <c r="R1033" i="10"/>
  <c r="Q1033" i="10"/>
  <c r="P1033" i="10"/>
  <c r="R246" i="10"/>
  <c r="Q246" i="10"/>
  <c r="P246" i="10"/>
  <c r="R142" i="10"/>
  <c r="Q142" i="10"/>
  <c r="P142" i="10"/>
  <c r="R192" i="10"/>
  <c r="Q192" i="10"/>
  <c r="P192" i="10"/>
  <c r="R540" i="10"/>
  <c r="Q540" i="10"/>
  <c r="P540" i="10"/>
  <c r="R414" i="10"/>
  <c r="Q414" i="10"/>
  <c r="P414" i="10"/>
  <c r="R361" i="10"/>
  <c r="Q361" i="10"/>
  <c r="P361" i="10"/>
  <c r="R1151" i="10"/>
  <c r="Q1151" i="10"/>
  <c r="P1151" i="10"/>
  <c r="R679" i="10"/>
  <c r="Q679" i="10"/>
  <c r="P679" i="10"/>
  <c r="R354" i="10"/>
  <c r="Q354" i="10"/>
  <c r="P354" i="10"/>
  <c r="R75" i="10"/>
  <c r="Q75" i="10"/>
  <c r="P75" i="10"/>
  <c r="R109" i="10"/>
  <c r="Q109" i="10"/>
  <c r="P109" i="10"/>
  <c r="R445" i="10"/>
  <c r="Q445" i="10"/>
  <c r="P445" i="10"/>
  <c r="R776" i="10"/>
  <c r="Q776" i="10"/>
  <c r="P776" i="10"/>
  <c r="R1013" i="10"/>
  <c r="Q1013" i="10"/>
  <c r="P1013" i="10"/>
  <c r="R20" i="10"/>
  <c r="Q20" i="10"/>
  <c r="P20" i="10"/>
  <c r="R71" i="10"/>
  <c r="Q71" i="10"/>
  <c r="P71" i="10"/>
  <c r="R560" i="10"/>
  <c r="Q560" i="10"/>
  <c r="P560" i="10"/>
  <c r="R177" i="10"/>
  <c r="Q177" i="10"/>
  <c r="P177" i="10"/>
  <c r="R231" i="10"/>
  <c r="Q231" i="10"/>
  <c r="P231" i="10"/>
  <c r="R412" i="10"/>
  <c r="Q412" i="10"/>
  <c r="P412" i="10"/>
  <c r="R791" i="10"/>
  <c r="Q791" i="10"/>
  <c r="P791" i="10"/>
  <c r="R851" i="10"/>
  <c r="Q851" i="10"/>
  <c r="P851" i="10"/>
  <c r="R342" i="10"/>
  <c r="Q342" i="10"/>
  <c r="P342" i="10"/>
  <c r="R453" i="10"/>
  <c r="Q453" i="10"/>
  <c r="P453" i="10"/>
  <c r="R494" i="10"/>
  <c r="Q494" i="10"/>
  <c r="P494" i="10"/>
  <c r="R43" i="10"/>
  <c r="Q43" i="10"/>
  <c r="P43" i="10"/>
  <c r="R538" i="10"/>
  <c r="Q538" i="10"/>
  <c r="P538" i="10"/>
  <c r="R678" i="10"/>
  <c r="Q678" i="10"/>
  <c r="P678" i="10"/>
  <c r="R128" i="10"/>
  <c r="Q128" i="10"/>
  <c r="P128" i="10"/>
  <c r="R351" i="10"/>
  <c r="Q351" i="10"/>
  <c r="P351" i="10"/>
  <c r="R1135" i="10"/>
  <c r="Q1135" i="10"/>
  <c r="P1135" i="10"/>
  <c r="R113" i="10"/>
  <c r="Q113" i="10"/>
  <c r="P113" i="10"/>
  <c r="R119" i="10"/>
  <c r="Q119" i="10"/>
  <c r="P119" i="10"/>
  <c r="R136" i="10"/>
  <c r="Q136" i="10"/>
  <c r="P136" i="10"/>
  <c r="R506" i="10"/>
  <c r="Q506" i="10"/>
  <c r="P506" i="10"/>
  <c r="R511" i="10"/>
  <c r="Q511" i="10"/>
  <c r="P511" i="10"/>
  <c r="R324" i="10"/>
  <c r="Q324" i="10"/>
  <c r="P324" i="10"/>
  <c r="R1143" i="10"/>
  <c r="Q1143" i="10"/>
  <c r="P1143" i="10"/>
  <c r="R47" i="10"/>
  <c r="Q47" i="10"/>
  <c r="P47" i="10"/>
  <c r="R16" i="10"/>
  <c r="Q16" i="10"/>
  <c r="P16" i="10"/>
  <c r="R871" i="10"/>
  <c r="Q871" i="10"/>
  <c r="P871" i="10"/>
  <c r="R131" i="10"/>
  <c r="Q131" i="10"/>
  <c r="P131" i="10"/>
  <c r="R476" i="10"/>
  <c r="Q476" i="10"/>
  <c r="P476" i="10"/>
  <c r="R355" i="10"/>
  <c r="Q355" i="10"/>
  <c r="P355" i="10"/>
  <c r="R164" i="10"/>
  <c r="Q164" i="10"/>
  <c r="P164" i="10"/>
  <c r="R769" i="10"/>
  <c r="Q769" i="10"/>
  <c r="P769" i="10"/>
  <c r="R510" i="10"/>
  <c r="Q510" i="10"/>
  <c r="P510" i="10"/>
  <c r="R224" i="10"/>
  <c r="Q224" i="10"/>
  <c r="P224" i="10"/>
  <c r="R191" i="10"/>
  <c r="Q191" i="10"/>
  <c r="P191" i="10"/>
  <c r="R389" i="10"/>
  <c r="Q389" i="10"/>
  <c r="P389" i="10"/>
  <c r="R531" i="10"/>
  <c r="Q531" i="10"/>
  <c r="P531" i="10"/>
  <c r="R353" i="10"/>
  <c r="Q353" i="10"/>
  <c r="P353" i="10"/>
  <c r="R537" i="10"/>
  <c r="Q537" i="10"/>
  <c r="P537" i="10"/>
  <c r="R864" i="10"/>
  <c r="Q864" i="10"/>
  <c r="P864" i="10"/>
  <c r="R456" i="10"/>
  <c r="Q456" i="10"/>
  <c r="P456" i="10"/>
  <c r="R384" i="10"/>
  <c r="Q384" i="10"/>
  <c r="P384" i="10"/>
  <c r="R483" i="10"/>
  <c r="Q483" i="10"/>
  <c r="P483" i="10"/>
  <c r="R146" i="10"/>
  <c r="Q146" i="10"/>
  <c r="P146" i="10"/>
  <c r="R203" i="10"/>
  <c r="Q203" i="10"/>
  <c r="P203" i="10"/>
  <c r="R440" i="10"/>
  <c r="Q440" i="10"/>
  <c r="P440" i="10"/>
  <c r="R593" i="10"/>
  <c r="Q593" i="10"/>
  <c r="P593" i="10"/>
  <c r="R606" i="10"/>
  <c r="Q606" i="10"/>
  <c r="P606" i="10"/>
  <c r="R205" i="10"/>
  <c r="Q205" i="10"/>
  <c r="P205" i="10"/>
  <c r="R302" i="10"/>
  <c r="Q302" i="10"/>
  <c r="P302" i="10"/>
  <c r="R305" i="10"/>
  <c r="Q305" i="10"/>
  <c r="P305" i="10"/>
  <c r="R272" i="10"/>
  <c r="Q272" i="10"/>
  <c r="P272" i="10"/>
  <c r="R431" i="10"/>
  <c r="Q431" i="10"/>
  <c r="P431" i="10"/>
  <c r="R332" i="10"/>
  <c r="Q332" i="10"/>
  <c r="P332" i="10"/>
  <c r="R478" i="10"/>
  <c r="Q478" i="10"/>
  <c r="P478" i="10"/>
  <c r="R245" i="10"/>
  <c r="Q245" i="10"/>
  <c r="P245" i="10"/>
  <c r="R602" i="10"/>
  <c r="Q602" i="10"/>
  <c r="P602" i="10"/>
  <c r="R273" i="10"/>
  <c r="Q273" i="10"/>
  <c r="P273" i="10"/>
  <c r="R459" i="10"/>
  <c r="Q459" i="10"/>
  <c r="P459" i="10"/>
  <c r="R64" i="10"/>
  <c r="Q64" i="10"/>
  <c r="P64" i="10"/>
  <c r="R835" i="10"/>
  <c r="Q835" i="10"/>
  <c r="P835" i="10"/>
  <c r="R66" i="10"/>
  <c r="Q66" i="10"/>
  <c r="P66" i="10"/>
  <c r="R301" i="10"/>
  <c r="Q301" i="10"/>
  <c r="P301" i="10"/>
  <c r="R547" i="10"/>
  <c r="Q547" i="10"/>
  <c r="P547" i="10"/>
  <c r="R462" i="10"/>
  <c r="Q462" i="10"/>
  <c r="P462" i="10"/>
  <c r="R544" i="10"/>
  <c r="Q544" i="10"/>
  <c r="P544" i="10"/>
  <c r="R13" i="10"/>
  <c r="Q13" i="10"/>
  <c r="P13" i="10"/>
  <c r="R297" i="10"/>
  <c r="Q297" i="10"/>
  <c r="P297" i="10"/>
  <c r="R107" i="10"/>
  <c r="Q107" i="10"/>
  <c r="P107" i="10"/>
  <c r="R121" i="10"/>
  <c r="Q121" i="10"/>
  <c r="P121" i="10"/>
  <c r="R80" i="10"/>
  <c r="Q80" i="10"/>
  <c r="P80" i="10"/>
  <c r="R413" i="10"/>
  <c r="Q413" i="10"/>
  <c r="P413" i="10"/>
  <c r="R507" i="10"/>
  <c r="Q507" i="10"/>
  <c r="P507" i="10"/>
  <c r="R173" i="10"/>
  <c r="Q173" i="10"/>
  <c r="P173" i="10"/>
  <c r="R251" i="10"/>
  <c r="Q251" i="10"/>
  <c r="P251" i="10"/>
  <c r="R295" i="10"/>
  <c r="Q295" i="10"/>
  <c r="P295" i="10"/>
  <c r="R666" i="10"/>
  <c r="Q666" i="10"/>
  <c r="P666" i="10"/>
  <c r="R382" i="10"/>
  <c r="Q382" i="10"/>
  <c r="P382" i="10"/>
  <c r="R1000" i="10"/>
  <c r="Q1000" i="10"/>
  <c r="P1000" i="10"/>
  <c r="R45" i="10"/>
  <c r="Q45" i="10"/>
  <c r="P45" i="10"/>
  <c r="R208" i="10"/>
  <c r="Q208" i="10"/>
  <c r="P208" i="10"/>
  <c r="R466" i="10"/>
  <c r="Q466" i="10"/>
  <c r="P466" i="10"/>
  <c r="R190" i="10"/>
  <c r="Q190" i="10"/>
  <c r="P190" i="10"/>
  <c r="R46" i="10"/>
  <c r="Q46" i="10"/>
  <c r="P46" i="10"/>
  <c r="R754" i="10"/>
  <c r="Q754" i="10"/>
  <c r="P754" i="10"/>
  <c r="R369" i="10"/>
  <c r="Q369" i="10"/>
  <c r="P369" i="10"/>
  <c r="R52" i="10"/>
  <c r="Q52" i="10"/>
  <c r="P52" i="10"/>
  <c r="R489" i="10"/>
  <c r="Q489" i="10"/>
  <c r="P489" i="10"/>
  <c r="R546" i="10"/>
  <c r="Q546" i="10"/>
  <c r="P546" i="10"/>
  <c r="R153" i="10"/>
  <c r="Q153" i="10"/>
  <c r="P153" i="10"/>
  <c r="R395" i="10"/>
  <c r="Q395" i="10"/>
  <c r="P395" i="10"/>
  <c r="R62" i="10"/>
  <c r="Q62" i="10"/>
  <c r="P62" i="10"/>
  <c r="R683" i="10"/>
  <c r="Q683" i="10"/>
  <c r="P683" i="10"/>
  <c r="R269" i="10"/>
  <c r="Q269" i="10"/>
  <c r="P269" i="10"/>
  <c r="R137" i="10"/>
  <c r="Q137" i="10"/>
  <c r="P137" i="10"/>
  <c r="R848" i="10"/>
  <c r="Q848" i="10"/>
  <c r="P848" i="10"/>
  <c r="R222" i="10"/>
  <c r="Q222" i="10"/>
  <c r="P222" i="10"/>
  <c r="R112" i="10"/>
  <c r="Q112" i="10"/>
  <c r="P112" i="10"/>
  <c r="R404" i="10"/>
  <c r="Q404" i="10"/>
  <c r="P404" i="10"/>
  <c r="R37" i="10"/>
  <c r="Q37" i="10"/>
  <c r="P37" i="10"/>
  <c r="R41" i="10"/>
  <c r="Q41" i="10"/>
  <c r="P41" i="10"/>
  <c r="R265" i="10"/>
  <c r="Q265" i="10"/>
  <c r="P265" i="10"/>
  <c r="R543" i="10"/>
  <c r="Q543" i="10"/>
  <c r="P543" i="10"/>
  <c r="R934" i="10"/>
  <c r="Q934" i="10"/>
  <c r="P934" i="10"/>
  <c r="R243" i="10"/>
  <c r="Q243" i="10"/>
  <c r="P243" i="10"/>
  <c r="R458" i="10"/>
  <c r="Q458" i="10"/>
  <c r="P458" i="10"/>
  <c r="R457" i="10"/>
  <c r="Q457" i="10"/>
  <c r="P457" i="10"/>
  <c r="R465" i="10"/>
  <c r="Q465" i="10"/>
  <c r="P465" i="10"/>
  <c r="R452" i="10"/>
  <c r="Q452" i="10"/>
  <c r="P452" i="10"/>
  <c r="R403" i="10"/>
  <c r="Q403" i="10"/>
  <c r="P403" i="10"/>
  <c r="R393" i="10"/>
  <c r="Q393" i="10"/>
  <c r="P393" i="10"/>
  <c r="R325" i="10"/>
  <c r="Q325" i="10"/>
  <c r="P325" i="10"/>
  <c r="R474" i="10"/>
  <c r="Q474" i="10"/>
  <c r="P474" i="10"/>
  <c r="R309" i="10"/>
  <c r="Q309" i="10"/>
  <c r="P309" i="10"/>
  <c r="R684" i="10"/>
  <c r="Q684" i="10"/>
  <c r="P684" i="10"/>
  <c r="R261" i="10"/>
  <c r="Q261" i="10"/>
  <c r="P261" i="10"/>
  <c r="R751" i="10"/>
  <c r="Q751" i="10"/>
  <c r="P751" i="10"/>
  <c r="R391" i="10"/>
  <c r="Q391" i="10"/>
  <c r="P391" i="10"/>
  <c r="R218" i="10"/>
  <c r="Q218" i="10"/>
  <c r="P218" i="10"/>
  <c r="R347" i="10"/>
  <c r="Q347" i="10"/>
  <c r="P347" i="10"/>
  <c r="R512" i="10"/>
  <c r="Q512" i="10"/>
  <c r="P512" i="10"/>
  <c r="R276" i="10"/>
  <c r="Q276" i="10"/>
  <c r="P276" i="10"/>
  <c r="R61" i="10"/>
  <c r="Q61" i="10"/>
  <c r="P61" i="10"/>
  <c r="R337" i="10"/>
  <c r="Q337" i="10"/>
  <c r="P337" i="10"/>
  <c r="R520" i="10"/>
  <c r="Q520" i="10"/>
  <c r="P520" i="10"/>
  <c r="R451" i="10"/>
  <c r="Q451" i="10"/>
  <c r="P451" i="10"/>
  <c r="R433" i="10"/>
  <c r="Q433" i="10"/>
  <c r="P433" i="10"/>
  <c r="R38" i="10"/>
  <c r="Q38" i="10"/>
  <c r="P38" i="10"/>
  <c r="R363" i="10"/>
  <c r="Q363" i="10"/>
  <c r="P363" i="10"/>
  <c r="R331" i="10"/>
  <c r="Q331" i="10"/>
  <c r="P331" i="10"/>
  <c r="R499" i="10"/>
  <c r="Q499" i="10"/>
  <c r="P499" i="10"/>
  <c r="R26" i="10"/>
  <c r="Q26" i="10"/>
  <c r="P26" i="10"/>
  <c r="R500" i="10"/>
  <c r="Q500" i="10"/>
  <c r="P500" i="10"/>
  <c r="R21" i="10"/>
  <c r="Q21" i="10"/>
  <c r="P21" i="10"/>
  <c r="R169" i="10"/>
  <c r="Q169" i="10"/>
  <c r="P169" i="10"/>
  <c r="R236" i="10"/>
  <c r="Q236" i="10"/>
  <c r="P236" i="10"/>
  <c r="R539" i="10"/>
  <c r="Q539" i="10"/>
  <c r="P539" i="10"/>
  <c r="R549" i="10"/>
  <c r="Q549" i="10"/>
  <c r="P549" i="10"/>
  <c r="R398" i="10"/>
  <c r="Q398" i="10"/>
  <c r="P398" i="10"/>
  <c r="R359" i="10"/>
  <c r="Q359" i="10"/>
  <c r="P359" i="10"/>
  <c r="R252" i="10"/>
  <c r="Q252" i="10"/>
  <c r="P252" i="10"/>
  <c r="R223" i="10"/>
  <c r="Q223" i="10"/>
  <c r="P223" i="10"/>
  <c r="R330" i="10"/>
  <c r="Q330" i="10"/>
  <c r="P330" i="10"/>
  <c r="R290" i="10"/>
  <c r="Q290" i="10"/>
  <c r="P290" i="10"/>
  <c r="R366" i="10"/>
  <c r="Q366" i="10"/>
  <c r="P366" i="10"/>
  <c r="R475" i="10"/>
  <c r="Q475" i="10"/>
  <c r="P475" i="10"/>
  <c r="R402" i="10"/>
  <c r="Q402" i="10"/>
  <c r="P402" i="10"/>
  <c r="R23" i="10"/>
  <c r="Q23" i="10"/>
  <c r="P23" i="10"/>
  <c r="R360" i="10"/>
  <c r="Q360" i="10"/>
  <c r="P360" i="10"/>
  <c r="R604" i="10"/>
  <c r="Q604" i="10"/>
  <c r="P604" i="10"/>
  <c r="R535" i="10"/>
  <c r="Q535" i="10"/>
  <c r="P535" i="10"/>
  <c r="R523" i="10"/>
  <c r="Q523" i="10"/>
  <c r="P523" i="10"/>
  <c r="R167" i="10"/>
  <c r="Q167" i="10"/>
  <c r="P167" i="10"/>
  <c r="R446" i="10"/>
  <c r="Q446" i="10"/>
  <c r="P446" i="10"/>
  <c r="R470" i="10"/>
  <c r="Q470" i="10"/>
  <c r="P470" i="10"/>
  <c r="R248" i="10"/>
  <c r="Q248" i="10"/>
  <c r="P248" i="10"/>
  <c r="R364" i="10"/>
  <c r="Q364" i="10"/>
  <c r="P364" i="10"/>
  <c r="R613" i="10"/>
  <c r="Q613" i="10"/>
  <c r="P613" i="10"/>
  <c r="R417" i="10"/>
  <c r="Q417" i="10"/>
  <c r="P417" i="10"/>
  <c r="R490" i="10"/>
  <c r="Q490" i="10"/>
  <c r="P490" i="10"/>
  <c r="R271" i="10"/>
  <c r="Q271" i="10"/>
  <c r="P271" i="10"/>
  <c r="R508" i="10"/>
  <c r="Q508" i="10"/>
  <c r="P508" i="10"/>
  <c r="R275" i="10"/>
  <c r="Q275" i="10"/>
  <c r="P275" i="10"/>
  <c r="R400" i="10"/>
  <c r="Q400" i="10"/>
  <c r="P400" i="10"/>
  <c r="R100" i="10"/>
  <c r="Q100" i="10"/>
  <c r="P100" i="10"/>
  <c r="R658" i="10"/>
  <c r="Q658" i="10"/>
  <c r="P658" i="10"/>
  <c r="R856" i="10"/>
  <c r="Q856" i="10"/>
  <c r="P856" i="10"/>
  <c r="R418" i="10"/>
  <c r="Q418" i="10"/>
  <c r="P418" i="10"/>
  <c r="R196" i="10"/>
  <c r="Q196" i="10"/>
  <c r="P196" i="10"/>
  <c r="R209" i="10"/>
  <c r="Q209" i="10"/>
  <c r="P209" i="10"/>
  <c r="R371" i="10"/>
  <c r="Q371" i="10"/>
  <c r="P371" i="10"/>
  <c r="R25" i="10"/>
  <c r="Q25" i="10"/>
  <c r="P25" i="10"/>
  <c r="R148" i="10"/>
  <c r="Q148" i="10"/>
  <c r="P148" i="10"/>
  <c r="R536" i="10"/>
  <c r="Q536" i="10"/>
  <c r="P536" i="10"/>
  <c r="R308" i="10"/>
  <c r="Q308" i="10"/>
  <c r="P308" i="10"/>
  <c r="R2" i="10"/>
  <c r="Q2" i="10"/>
  <c r="R69" i="10"/>
  <c r="Q69" i="10"/>
  <c r="P69" i="10"/>
  <c r="R863" i="10"/>
  <c r="Q863" i="10"/>
  <c r="P863" i="10"/>
  <c r="R229" i="10"/>
  <c r="Q229" i="10"/>
  <c r="P229" i="10"/>
  <c r="R127" i="10"/>
  <c r="Q127" i="10"/>
  <c r="P127" i="10"/>
  <c r="R468" i="10"/>
  <c r="Q468" i="10"/>
  <c r="P468" i="10"/>
  <c r="R34" i="10"/>
  <c r="Q34" i="10"/>
  <c r="P34" i="10"/>
  <c r="R40" i="10"/>
  <c r="Q40" i="10"/>
  <c r="P40" i="10"/>
  <c r="R3" i="10"/>
  <c r="Q3" i="10"/>
  <c r="P3" i="10"/>
  <c r="R420" i="10"/>
  <c r="Q420" i="10"/>
  <c r="P420" i="10"/>
  <c r="R424" i="10"/>
  <c r="Q424" i="10"/>
  <c r="P424" i="10"/>
  <c r="R509" i="10"/>
  <c r="Q509" i="10"/>
  <c r="P509" i="10"/>
  <c r="R98" i="10"/>
  <c r="Q98" i="10"/>
  <c r="P98" i="10"/>
  <c r="R198" i="10"/>
  <c r="Q198" i="10"/>
  <c r="P198" i="10"/>
  <c r="R430" i="10"/>
  <c r="Q430" i="10"/>
  <c r="P430" i="10"/>
  <c r="R274" i="10"/>
  <c r="Q274" i="10"/>
  <c r="P274" i="10"/>
  <c r="R611" i="10"/>
  <c r="Q611" i="10"/>
  <c r="P611" i="10"/>
  <c r="R409" i="10"/>
  <c r="Q409" i="10"/>
  <c r="P409" i="10"/>
  <c r="R139" i="10"/>
  <c r="Q139" i="10"/>
  <c r="P139" i="10"/>
  <c r="R237" i="10"/>
  <c r="Q237" i="10"/>
  <c r="P237" i="10"/>
  <c r="R110" i="10"/>
  <c r="Q110" i="10"/>
  <c r="P110" i="10"/>
  <c r="R303" i="10"/>
  <c r="Q303" i="10"/>
  <c r="P303" i="10"/>
  <c r="R868" i="10"/>
  <c r="Q868" i="10"/>
  <c r="P868" i="10"/>
  <c r="R250" i="10"/>
  <c r="Q250" i="10"/>
  <c r="P250" i="10"/>
  <c r="R469" i="10"/>
  <c r="Q469" i="10"/>
  <c r="P469" i="10"/>
  <c r="R326" i="10"/>
  <c r="Q326" i="10"/>
  <c r="P326" i="10"/>
  <c r="R367" i="10"/>
  <c r="Q367" i="10"/>
  <c r="P367" i="10"/>
  <c r="R472" i="10"/>
  <c r="Q472" i="10"/>
  <c r="P472" i="10"/>
  <c r="R155" i="10"/>
  <c r="Q155" i="10"/>
  <c r="P155" i="10"/>
  <c r="R416" i="10"/>
  <c r="Q416" i="10"/>
  <c r="P416" i="10"/>
  <c r="R421" i="10"/>
  <c r="Q421" i="10"/>
  <c r="P421" i="10"/>
  <c r="R339" i="10"/>
  <c r="Q339" i="10"/>
  <c r="P339" i="10"/>
  <c r="R144" i="10"/>
  <c r="Q144" i="10"/>
  <c r="P144" i="10"/>
  <c r="R415" i="10"/>
  <c r="Q415" i="10"/>
  <c r="P415" i="10"/>
  <c r="R82" i="10"/>
  <c r="Q82" i="10"/>
  <c r="P82" i="10"/>
  <c r="R423" i="10"/>
  <c r="Q423" i="10"/>
  <c r="P423" i="10"/>
  <c r="R477" i="10"/>
  <c r="Q477" i="10"/>
  <c r="P477" i="10"/>
  <c r="R368" i="10"/>
  <c r="Q368" i="10"/>
  <c r="P368" i="10"/>
  <c r="R197" i="10"/>
  <c r="Q197" i="10"/>
  <c r="P197" i="10"/>
  <c r="R101" i="10"/>
  <c r="Q101" i="10"/>
  <c r="P101" i="10"/>
  <c r="R313" i="10"/>
  <c r="Q313" i="10"/>
  <c r="P313" i="10"/>
  <c r="R285" i="10"/>
  <c r="Q285" i="10"/>
  <c r="P285" i="10"/>
  <c r="R194" i="10"/>
  <c r="Q194" i="10"/>
  <c r="P194" i="10"/>
  <c r="R170" i="10"/>
  <c r="Q170" i="10"/>
  <c r="P170" i="10"/>
  <c r="R219" i="10"/>
  <c r="Q219" i="10"/>
  <c r="P219" i="10"/>
  <c r="R54" i="10"/>
  <c r="Q54" i="10"/>
  <c r="P54" i="10"/>
  <c r="R304" i="10"/>
  <c r="Q304" i="10"/>
  <c r="P304" i="10"/>
  <c r="R685" i="10"/>
  <c r="Q685" i="10"/>
  <c r="P685" i="10"/>
  <c r="R603" i="10"/>
  <c r="Q603" i="10"/>
  <c r="P603" i="10"/>
  <c r="R174" i="10"/>
  <c r="Q174" i="10"/>
  <c r="P174" i="10"/>
  <c r="R96" i="10"/>
  <c r="Q96" i="10"/>
  <c r="P96" i="10"/>
  <c r="R480" i="10"/>
  <c r="Q480" i="10"/>
  <c r="P480" i="10"/>
  <c r="R422" i="10"/>
  <c r="Q422" i="10"/>
  <c r="P422" i="10"/>
  <c r="R438" i="10"/>
  <c r="Q438" i="10"/>
  <c r="P438" i="10"/>
  <c r="R372" i="10"/>
  <c r="Q372" i="10"/>
  <c r="P372" i="10"/>
  <c r="R78" i="10"/>
  <c r="Q78" i="10"/>
  <c r="P78" i="10"/>
  <c r="R166" i="10"/>
  <c r="Q166" i="10"/>
  <c r="P166" i="10"/>
  <c r="R609" i="10"/>
  <c r="Q609" i="10"/>
  <c r="P609" i="10"/>
  <c r="R59" i="10"/>
  <c r="Q59" i="10"/>
  <c r="P59" i="10"/>
  <c r="R479" i="10"/>
  <c r="Q479" i="10"/>
  <c r="P479" i="10"/>
  <c r="R340" i="10"/>
  <c r="Q340" i="10"/>
  <c r="P340" i="10"/>
  <c r="R230" i="10"/>
  <c r="Q230" i="10"/>
  <c r="P230" i="10"/>
  <c r="R199" i="10"/>
  <c r="Q199" i="10"/>
  <c r="P199" i="10"/>
  <c r="R5" i="10"/>
  <c r="Q5" i="10"/>
  <c r="P5" i="10"/>
  <c r="R689" i="10"/>
  <c r="Q689" i="10"/>
  <c r="P689" i="10"/>
  <c r="R247" i="10"/>
  <c r="Q247" i="10"/>
  <c r="P247" i="10"/>
  <c r="R763" i="10"/>
  <c r="Q763" i="10"/>
  <c r="P763" i="10"/>
  <c r="R521" i="10"/>
  <c r="Q521" i="10"/>
  <c r="P521" i="10"/>
  <c r="R410" i="10"/>
  <c r="Q410" i="10"/>
  <c r="P410" i="10"/>
  <c r="R545" i="10"/>
  <c r="Q545" i="10"/>
  <c r="P545" i="10"/>
  <c r="R373" i="10"/>
  <c r="Q373" i="10"/>
  <c r="P373" i="10"/>
  <c r="R92" i="10"/>
  <c r="Q92" i="10"/>
  <c r="P92" i="10"/>
  <c r="R31" i="10"/>
  <c r="Q31" i="10"/>
  <c r="P31" i="10"/>
  <c r="R374" i="10"/>
  <c r="Q374" i="10"/>
  <c r="P374" i="10"/>
  <c r="R124" i="10"/>
  <c r="Q124" i="10"/>
  <c r="P124" i="10"/>
  <c r="R68" i="10"/>
  <c r="Q68" i="10"/>
  <c r="P68" i="10"/>
  <c r="R687" i="10"/>
  <c r="Q687" i="10"/>
  <c r="P687" i="10"/>
  <c r="R145" i="10"/>
  <c r="Q145" i="10"/>
  <c r="P145" i="10"/>
  <c r="R103" i="10"/>
  <c r="Q103" i="10"/>
  <c r="P103" i="10"/>
  <c r="R608" i="10"/>
  <c r="Q608" i="10"/>
  <c r="P608" i="10"/>
  <c r="R172" i="10"/>
  <c r="Q172" i="10"/>
  <c r="P172" i="10"/>
  <c r="R160" i="10"/>
  <c r="Q160" i="10"/>
  <c r="P160" i="10"/>
  <c r="R607" i="10"/>
  <c r="Q607" i="10"/>
  <c r="P607" i="10"/>
  <c r="R481" i="10"/>
  <c r="Q481" i="10"/>
  <c r="P481" i="10"/>
  <c r="R375" i="10"/>
  <c r="Q375" i="10"/>
  <c r="P375" i="10"/>
  <c r="R426" i="10"/>
  <c r="Q426" i="10"/>
  <c r="P426" i="10"/>
  <c r="R341" i="10"/>
  <c r="Q341" i="10"/>
  <c r="P341" i="10"/>
  <c r="R56" i="10"/>
  <c r="Q56" i="10"/>
  <c r="P56" i="10"/>
  <c r="R429" i="10"/>
  <c r="Q429" i="10"/>
  <c r="P429" i="10"/>
  <c r="R428" i="10"/>
  <c r="Q428" i="10"/>
  <c r="P428" i="10"/>
  <c r="F52" i="6"/>
  <c r="D22" i="9"/>
  <c r="T24" i="6"/>
  <c r="S24" i="6"/>
  <c r="T23" i="6"/>
  <c r="S23" i="6"/>
  <c r="T22" i="6"/>
  <c r="S22" i="6"/>
  <c r="T21" i="6"/>
  <c r="S21" i="6"/>
  <c r="T20" i="6"/>
  <c r="S20" i="6"/>
  <c r="T19" i="6"/>
  <c r="S19" i="6"/>
  <c r="T18" i="6"/>
  <c r="S18" i="6"/>
  <c r="T17" i="6"/>
  <c r="S17" i="6"/>
  <c r="T16" i="6"/>
  <c r="S16" i="6"/>
  <c r="T15" i="6"/>
  <c r="S15" i="6"/>
  <c r="T14" i="6"/>
  <c r="S14" i="6"/>
  <c r="T13" i="6"/>
  <c r="S13" i="6"/>
  <c r="T12" i="6"/>
  <c r="S12" i="6"/>
  <c r="R6" i="1"/>
  <c r="R21" i="1"/>
  <c r="R431" i="1"/>
  <c r="R501" i="1"/>
  <c r="R187" i="1"/>
  <c r="R39" i="1"/>
  <c r="R181" i="1"/>
  <c r="R724" i="1"/>
  <c r="R428" i="1"/>
  <c r="R199" i="1"/>
  <c r="R420" i="1"/>
  <c r="R122" i="1"/>
  <c r="R238" i="1"/>
  <c r="R152" i="1"/>
  <c r="R537" i="1"/>
  <c r="R184" i="1"/>
  <c r="R403" i="1"/>
  <c r="R327" i="1"/>
  <c r="R11" i="1"/>
  <c r="R49" i="1"/>
  <c r="R570" i="1"/>
  <c r="R844" i="1"/>
  <c r="R531" i="1"/>
  <c r="R331" i="1"/>
  <c r="R36" i="1"/>
  <c r="R540" i="1"/>
  <c r="R378" i="1"/>
  <c r="R347" i="1"/>
  <c r="R941" i="1"/>
  <c r="R256" i="1"/>
  <c r="R150" i="1"/>
  <c r="R120" i="1"/>
  <c r="R976" i="1"/>
  <c r="R91" i="1"/>
  <c r="R281" i="1"/>
  <c r="R343" i="1"/>
  <c r="R127" i="1"/>
  <c r="R50" i="1"/>
  <c r="R228" i="1"/>
  <c r="R27" i="1"/>
  <c r="R352" i="1"/>
  <c r="R129" i="1"/>
  <c r="R892" i="1"/>
  <c r="R55" i="1"/>
  <c r="R69" i="1"/>
  <c r="R243" i="1"/>
  <c r="R1195" i="1"/>
  <c r="R946" i="1"/>
  <c r="R561" i="1"/>
  <c r="R93" i="1"/>
  <c r="R610" i="1"/>
  <c r="R66" i="1"/>
  <c r="R761" i="1"/>
  <c r="R551" i="1"/>
  <c r="R67" i="1"/>
  <c r="R140" i="1"/>
  <c r="R362" i="1"/>
  <c r="R208" i="1"/>
  <c r="R881" i="1"/>
  <c r="R1097" i="1"/>
  <c r="R1224" i="1"/>
  <c r="R402" i="1"/>
  <c r="R1006" i="1"/>
  <c r="R746" i="1"/>
  <c r="R744" i="1"/>
  <c r="R8" i="1"/>
  <c r="R92" i="1"/>
  <c r="R119" i="1"/>
  <c r="R848" i="1"/>
  <c r="R1269" i="1"/>
  <c r="R126" i="1"/>
  <c r="R930" i="1"/>
  <c r="R1176" i="1"/>
  <c r="R661" i="1"/>
  <c r="R972" i="1"/>
  <c r="R468" i="1"/>
  <c r="R675" i="1"/>
  <c r="R861" i="1"/>
  <c r="R103" i="1"/>
  <c r="R326" i="1"/>
  <c r="R367" i="1"/>
  <c r="R38" i="1"/>
  <c r="R242" i="1"/>
  <c r="R138" i="1"/>
  <c r="R515" i="1"/>
  <c r="R107" i="1"/>
  <c r="R489" i="1"/>
  <c r="R999" i="1"/>
  <c r="R349" i="1"/>
  <c r="R549" i="1"/>
  <c r="R52" i="1"/>
  <c r="R984" i="1"/>
  <c r="R869" i="1"/>
  <c r="R427" i="1"/>
  <c r="R142" i="1"/>
  <c r="R34" i="1"/>
  <c r="R311" i="1"/>
  <c r="R734" i="1"/>
  <c r="R110" i="1"/>
  <c r="R220" i="1"/>
  <c r="R249" i="1"/>
  <c r="R1080" i="1"/>
  <c r="R415" i="1"/>
  <c r="R642" i="1"/>
  <c r="R643" i="1"/>
  <c r="R511" i="1"/>
  <c r="R16" i="1"/>
  <c r="R115" i="1"/>
  <c r="R209" i="1"/>
  <c r="R1139" i="1"/>
  <c r="R58" i="1"/>
  <c r="R566" i="1"/>
  <c r="R158" i="1"/>
  <c r="R304" i="1"/>
  <c r="R20" i="1"/>
  <c r="R68" i="1"/>
  <c r="R25" i="1"/>
  <c r="R194" i="1"/>
  <c r="R319" i="1"/>
  <c r="R1077" i="1"/>
  <c r="R397" i="1"/>
  <c r="R728" i="1"/>
  <c r="R505" i="1"/>
  <c r="R35" i="1"/>
  <c r="R46" i="1"/>
  <c r="R414" i="1"/>
  <c r="R382" i="1"/>
  <c r="R1268" i="1"/>
  <c r="R811" i="1"/>
  <c r="R708" i="1"/>
  <c r="R647" i="1"/>
  <c r="R241" i="1"/>
  <c r="R297" i="1"/>
  <c r="R59" i="1"/>
  <c r="R759" i="1"/>
  <c r="R1031" i="1"/>
  <c r="R768" i="1"/>
  <c r="R389" i="1"/>
  <c r="R720" i="1"/>
  <c r="R657" i="1"/>
  <c r="R595" i="1"/>
  <c r="R1018" i="1"/>
  <c r="R739" i="1"/>
  <c r="R780" i="1"/>
  <c r="R486" i="1"/>
  <c r="R180" i="1"/>
  <c r="R348" i="1"/>
  <c r="R644" i="1"/>
  <c r="R250" i="1"/>
  <c r="R229" i="1"/>
  <c r="R33" i="1"/>
  <c r="R835" i="1"/>
  <c r="R365" i="1"/>
  <c r="R922" i="1"/>
  <c r="R448" i="1"/>
  <c r="R491" i="1"/>
  <c r="R665" i="1"/>
  <c r="R1066" i="1"/>
  <c r="R737" i="1"/>
  <c r="R425" i="1"/>
  <c r="R658" i="1"/>
  <c r="R766" i="1"/>
  <c r="R87" i="1"/>
  <c r="R522" i="1"/>
  <c r="R608" i="1"/>
  <c r="R364" i="1"/>
  <c r="R386" i="1"/>
  <c r="R23" i="1"/>
  <c r="R1123" i="1"/>
  <c r="R849" i="1"/>
  <c r="R507" i="1"/>
  <c r="R185" i="1"/>
  <c r="R1202" i="1"/>
  <c r="R9" i="1"/>
  <c r="R884" i="1"/>
  <c r="R373" i="1"/>
  <c r="R234" i="1"/>
  <c r="R328" i="1"/>
  <c r="R154" i="1"/>
  <c r="R1179" i="1"/>
  <c r="R775" i="1"/>
  <c r="R65" i="1"/>
  <c r="R803" i="1"/>
  <c r="R683" i="1"/>
  <c r="R603" i="1"/>
  <c r="R615" i="1"/>
  <c r="R560" i="1"/>
  <c r="R191" i="1"/>
  <c r="R784" i="1"/>
  <c r="R636" i="1"/>
  <c r="R102" i="1"/>
  <c r="R581" i="1"/>
  <c r="R541" i="1"/>
  <c r="R264" i="1"/>
  <c r="R393" i="1"/>
  <c r="R906" i="1"/>
  <c r="R278" i="1"/>
  <c r="R192" i="1"/>
  <c r="R233" i="1"/>
  <c r="R145" i="1"/>
  <c r="R244" i="1"/>
  <c r="R81" i="1"/>
  <c r="R277" i="1"/>
  <c r="R301" i="1"/>
  <c r="R128" i="1"/>
  <c r="R880" i="1"/>
  <c r="R451" i="1"/>
  <c r="R625" i="1"/>
  <c r="R1189" i="1"/>
  <c r="R488" i="1"/>
  <c r="R18" i="1"/>
  <c r="R380" i="1"/>
  <c r="R72" i="1"/>
  <c r="R583" i="1"/>
  <c r="R7" i="1"/>
  <c r="R494" i="1"/>
  <c r="R629" i="1"/>
  <c r="R325" i="1"/>
  <c r="R864" i="1"/>
  <c r="R114" i="1"/>
  <c r="R32" i="1"/>
  <c r="R75" i="1"/>
  <c r="R957" i="1"/>
  <c r="R381" i="1"/>
  <c r="R670" i="1"/>
  <c r="R970" i="1"/>
  <c r="R417" i="1"/>
  <c r="R449" i="1"/>
  <c r="R22" i="1"/>
  <c r="R168" i="1"/>
  <c r="R1275" i="1"/>
  <c r="R1065" i="1"/>
  <c r="R356" i="1"/>
  <c r="R151" i="1"/>
  <c r="R1107" i="1"/>
  <c r="R345" i="1"/>
  <c r="R136" i="1"/>
  <c r="R48" i="1"/>
  <c r="R267" i="1"/>
  <c r="R357" i="1"/>
  <c r="R712" i="1"/>
  <c r="R604" i="1"/>
  <c r="R921" i="1"/>
  <c r="R1125" i="1"/>
  <c r="R385" i="1"/>
  <c r="R577" i="1"/>
  <c r="R1092" i="1"/>
  <c r="R1272" i="1"/>
  <c r="R687" i="1"/>
  <c r="R197" i="1"/>
  <c r="R131" i="1"/>
  <c r="R89" i="1"/>
  <c r="R97" i="1"/>
  <c r="R162" i="1"/>
  <c r="R206" i="1"/>
  <c r="R216" i="1"/>
  <c r="R436" i="1"/>
  <c r="R951" i="1"/>
  <c r="R288" i="1"/>
  <c r="R569" i="1"/>
  <c r="R19" i="1"/>
  <c r="R550" i="1"/>
  <c r="R818" i="1"/>
  <c r="R156" i="1"/>
  <c r="R377" i="1"/>
  <c r="R533" i="1"/>
  <c r="R1277" i="1"/>
  <c r="R1121" i="1"/>
  <c r="R567" i="1"/>
  <c r="R260" i="1"/>
  <c r="R224" i="1"/>
  <c r="R355" i="1"/>
  <c r="R800" i="1"/>
  <c r="R2" i="1"/>
  <c r="R1161" i="1"/>
  <c r="R1051" i="1"/>
  <c r="R419" i="1"/>
  <c r="R240" i="1"/>
  <c r="R1276" i="1"/>
  <c r="R453" i="1"/>
  <c r="R210" i="1"/>
  <c r="R82" i="1"/>
  <c r="R513" i="1"/>
  <c r="R837" i="1"/>
  <c r="R596" i="1"/>
  <c r="R943" i="1"/>
  <c r="R841" i="1"/>
  <c r="R1236" i="1"/>
  <c r="R226" i="1"/>
  <c r="R496" i="1"/>
  <c r="R118" i="1"/>
  <c r="R721" i="1"/>
  <c r="R230" i="1"/>
  <c r="R703" i="1"/>
  <c r="R266" i="1"/>
  <c r="R1243" i="1"/>
  <c r="R1058" i="1"/>
  <c r="R552" i="1"/>
  <c r="R215" i="1"/>
  <c r="R613" i="1"/>
  <c r="R691" i="1"/>
  <c r="R871" i="1"/>
  <c r="R920" i="1"/>
  <c r="R876" i="1"/>
  <c r="R503" i="1"/>
  <c r="R211" i="1"/>
  <c r="R1238" i="1"/>
  <c r="R125" i="1"/>
  <c r="R340" i="1"/>
  <c r="R148" i="1"/>
  <c r="R276" i="1"/>
  <c r="R443" i="1"/>
  <c r="R619" i="1"/>
  <c r="R113" i="1"/>
  <c r="R155" i="1"/>
  <c r="R94" i="1"/>
  <c r="R463" i="1"/>
  <c r="R193" i="1"/>
  <c r="R384" i="1"/>
  <c r="R236" i="1"/>
  <c r="R372" i="1"/>
  <c r="R553" i="1"/>
  <c r="R698" i="1"/>
  <c r="R387" i="1"/>
  <c r="R1013" i="1"/>
  <c r="R305" i="1"/>
  <c r="R576" i="1"/>
  <c r="R504" i="1"/>
  <c r="R268" i="1"/>
  <c r="R684" i="1"/>
  <c r="R1131" i="1"/>
  <c r="R701" i="1"/>
  <c r="R672" i="1"/>
  <c r="R239" i="1"/>
  <c r="R936" i="1"/>
  <c r="R872" i="1"/>
  <c r="R1151" i="1"/>
  <c r="R754" i="1"/>
  <c r="R237" i="1"/>
  <c r="R1088" i="1"/>
  <c r="R44" i="1"/>
  <c r="R63" i="1"/>
  <c r="R1230" i="1"/>
  <c r="R697" i="1"/>
  <c r="R952" i="1"/>
  <c r="R252" i="1"/>
  <c r="R1270" i="1"/>
  <c r="R88" i="1"/>
  <c r="R212" i="1"/>
  <c r="R161" i="1"/>
  <c r="R771" i="1"/>
  <c r="R836" i="1"/>
  <c r="R495" i="1"/>
  <c r="R587" i="1"/>
  <c r="R804" i="1"/>
  <c r="R1247" i="1"/>
  <c r="R573" i="1"/>
  <c r="R143" i="1"/>
  <c r="R274" i="1"/>
  <c r="R584" i="1"/>
  <c r="R227" i="1"/>
  <c r="R805" i="1"/>
  <c r="R1220" i="1"/>
  <c r="R1011" i="1"/>
  <c r="R973" i="1"/>
  <c r="R1050" i="1"/>
  <c r="R1167" i="1"/>
  <c r="R391" i="1"/>
  <c r="R700" i="1"/>
  <c r="R959" i="1"/>
  <c r="R685" i="1"/>
  <c r="R637" i="1"/>
  <c r="R13" i="1"/>
  <c r="R982" i="1"/>
  <c r="R263" i="1"/>
  <c r="R815" i="1"/>
  <c r="R1237" i="1"/>
  <c r="R668" i="1"/>
  <c r="R146" i="1"/>
  <c r="R375" i="1"/>
  <c r="R307" i="1"/>
  <c r="R1003" i="1"/>
  <c r="R163" i="1"/>
  <c r="R175" i="1"/>
  <c r="R776" i="1"/>
  <c r="R298" i="1"/>
  <c r="R671" i="1"/>
  <c r="R338" i="1"/>
  <c r="R535" i="1"/>
  <c r="R651" i="1"/>
  <c r="R248" i="1"/>
  <c r="R1178" i="1"/>
  <c r="R117" i="1"/>
  <c r="R1012" i="1"/>
  <c r="R54" i="1"/>
  <c r="R399" i="1"/>
  <c r="R895" i="1"/>
  <c r="R840" i="1"/>
  <c r="R1219" i="1"/>
  <c r="R171" i="1"/>
  <c r="R483" i="1"/>
  <c r="R953" i="1"/>
  <c r="R363" i="1"/>
  <c r="R164" i="1"/>
  <c r="R937" i="1"/>
  <c r="R506" i="1"/>
  <c r="R153" i="1"/>
  <c r="R662" i="1"/>
  <c r="R43" i="1"/>
  <c r="R874" i="1"/>
  <c r="R73" i="1"/>
  <c r="R1017" i="1"/>
  <c r="R944" i="1"/>
  <c r="R992" i="1"/>
  <c r="R1198" i="1"/>
  <c r="R1137" i="1"/>
  <c r="R633" i="1"/>
  <c r="R802" i="1"/>
  <c r="R337" i="1"/>
  <c r="R62" i="1"/>
  <c r="R521" i="1"/>
  <c r="R1193" i="1"/>
  <c r="R336" i="1"/>
  <c r="R316" i="1"/>
  <c r="R257" i="1"/>
  <c r="R205" i="1"/>
  <c r="R529" i="1"/>
  <c r="R477" i="1"/>
  <c r="R600" i="1"/>
  <c r="R447" i="1"/>
  <c r="R251" i="1"/>
  <c r="R539" i="1"/>
  <c r="R870" i="1"/>
  <c r="R886" i="1"/>
  <c r="R174" i="1"/>
  <c r="R578" i="1"/>
  <c r="R308" i="1"/>
  <c r="R641" i="1"/>
  <c r="R863" i="1"/>
  <c r="R518" i="1"/>
  <c r="R497" i="1"/>
  <c r="R481" i="1"/>
  <c r="R926" i="1"/>
  <c r="R1169" i="1"/>
  <c r="R634" i="1"/>
  <c r="R284" i="1"/>
  <c r="R743" i="1"/>
  <c r="R255" i="1"/>
  <c r="R773" i="1"/>
  <c r="R693" i="1"/>
  <c r="R200" i="1"/>
  <c r="R777" i="1"/>
  <c r="R899" i="1"/>
  <c r="R111" i="1"/>
  <c r="R821" i="1"/>
  <c r="R245" i="1"/>
  <c r="R688" i="1"/>
  <c r="R1168" i="1"/>
  <c r="R430" i="1"/>
  <c r="R279" i="1"/>
  <c r="R602" i="1"/>
  <c r="R1207" i="1"/>
  <c r="R808" i="1"/>
  <c r="R590" i="1"/>
  <c r="R645" i="1"/>
  <c r="R271" i="1"/>
  <c r="R149" i="1"/>
  <c r="R971" i="1"/>
  <c r="R1145" i="1"/>
  <c r="R594" i="1"/>
  <c r="R317" i="1"/>
  <c r="R98" i="1"/>
  <c r="R779" i="1"/>
  <c r="R177" i="1"/>
  <c r="R1228" i="1"/>
  <c r="R1094" i="1"/>
  <c r="R460" i="1"/>
  <c r="R546" i="1"/>
  <c r="R57" i="1"/>
  <c r="R320" i="1"/>
  <c r="R624" i="1"/>
  <c r="R269" i="1"/>
  <c r="R407" i="1"/>
  <c r="R302" i="1"/>
  <c r="R296" i="1"/>
  <c r="R90" i="1"/>
  <c r="R79" i="1"/>
  <c r="R1164" i="1"/>
  <c r="R988" i="1"/>
  <c r="R169" i="1"/>
  <c r="R732" i="1"/>
  <c r="R1072" i="1"/>
  <c r="R80" i="1"/>
  <c r="R77" i="1"/>
  <c r="R85" i="1"/>
  <c r="R747" i="1"/>
  <c r="R986" i="1"/>
  <c r="R733" i="1"/>
  <c r="R455" i="1"/>
  <c r="R95" i="1"/>
  <c r="R834" i="1"/>
  <c r="R282" i="1"/>
  <c r="R975" i="1"/>
  <c r="R1038" i="1"/>
  <c r="R554" i="1"/>
  <c r="R1029" i="1"/>
  <c r="R1128" i="1"/>
  <c r="R350" i="1"/>
  <c r="R715" i="1"/>
  <c r="R303" i="1"/>
  <c r="R879" i="1"/>
  <c r="R70" i="1"/>
  <c r="R1045" i="1"/>
  <c r="R137" i="1"/>
  <c r="R901" i="1"/>
  <c r="R1143" i="1"/>
  <c r="R1133" i="1"/>
  <c r="R1111" i="1"/>
  <c r="R843" i="1"/>
  <c r="R426" i="1"/>
  <c r="R735" i="1"/>
  <c r="R1190" i="1"/>
  <c r="R499" i="1"/>
  <c r="R1132" i="1"/>
  <c r="R963" i="1"/>
  <c r="R556" i="1"/>
  <c r="R1221" i="1"/>
  <c r="R450" i="1"/>
  <c r="R582" i="1"/>
  <c r="R1129" i="1"/>
  <c r="R839" i="1"/>
  <c r="R1064" i="1"/>
  <c r="R853" i="1"/>
  <c r="R295" i="1"/>
  <c r="R101" i="1"/>
  <c r="R989" i="1"/>
  <c r="R306" i="1"/>
  <c r="R1057" i="1"/>
  <c r="R300" i="1"/>
  <c r="R202" i="1"/>
  <c r="R492" i="1"/>
  <c r="R883" i="1"/>
  <c r="R910" i="1"/>
  <c r="R45" i="1"/>
  <c r="R299" i="1"/>
  <c r="R291" i="1"/>
  <c r="R1106" i="1"/>
  <c r="R730" i="1"/>
  <c r="R796" i="1"/>
  <c r="R718" i="1"/>
  <c r="R366" i="1"/>
  <c r="R217" i="1"/>
  <c r="R828" i="1"/>
  <c r="R669" i="1"/>
  <c r="R900" i="1"/>
  <c r="R632" i="1"/>
  <c r="R40" i="1"/>
  <c r="R711" i="1"/>
  <c r="R1153" i="1"/>
  <c r="R601" i="1"/>
  <c r="R178" i="1"/>
  <c r="R222" i="1"/>
  <c r="R160" i="1"/>
  <c r="R1165" i="1"/>
  <c r="R678" i="1"/>
  <c r="R207" i="1"/>
  <c r="R318" i="1"/>
  <c r="R932" i="1"/>
  <c r="R509" i="1"/>
  <c r="R60" i="1"/>
  <c r="R991" i="1"/>
  <c r="R195" i="1"/>
  <c r="R179" i="1"/>
  <c r="R997" i="1"/>
  <c r="R198" i="1"/>
  <c r="R810" i="1"/>
  <c r="R112" i="1"/>
  <c r="R61" i="1"/>
  <c r="R516" i="1"/>
  <c r="R845" i="1"/>
  <c r="R1093" i="1"/>
  <c r="R820" i="1"/>
  <c r="R287" i="1"/>
  <c r="R99" i="1"/>
  <c r="R371" i="1"/>
  <c r="R1024" i="1"/>
  <c r="R246" i="1"/>
  <c r="R722" i="1"/>
  <c r="R24" i="1"/>
  <c r="R807" i="1"/>
  <c r="R74" i="1"/>
  <c r="R1234" i="1"/>
  <c r="R204" i="1"/>
  <c r="R500" i="1"/>
  <c r="R908" i="1"/>
  <c r="R1233" i="1"/>
  <c r="R294" i="1"/>
  <c r="R510" i="1"/>
  <c r="R710" i="1"/>
  <c r="R968" i="1"/>
  <c r="R681" i="1"/>
  <c r="R493" i="1"/>
  <c r="R767" i="1"/>
  <c r="R1180" i="1"/>
  <c r="R479" i="1"/>
  <c r="R253" i="1"/>
  <c r="R135" i="1"/>
  <c r="R1028" i="1"/>
  <c r="R106" i="1"/>
  <c r="R680" i="1"/>
  <c r="R309" i="1"/>
  <c r="R247" i="1"/>
  <c r="R797" i="1"/>
  <c r="R1229" i="1"/>
  <c r="R994" i="1"/>
  <c r="R100" i="1"/>
  <c r="R37" i="1"/>
  <c r="R858" i="1"/>
  <c r="R790" i="1"/>
  <c r="R105" i="1"/>
  <c r="R232" i="1"/>
  <c r="R272" i="1"/>
  <c r="R452" i="1"/>
  <c r="R918" i="1"/>
  <c r="R875" i="1"/>
  <c r="R353" i="1"/>
  <c r="R825" i="1"/>
  <c r="R924" i="1"/>
  <c r="R1256" i="1"/>
  <c r="R41" i="1"/>
  <c r="R283" i="1"/>
  <c r="R1273" i="1"/>
  <c r="R14" i="1"/>
  <c r="R1197" i="1"/>
  <c r="R71" i="1"/>
  <c r="R442" i="1"/>
  <c r="R530" i="1"/>
  <c r="R1000" i="1"/>
  <c r="R1187" i="1"/>
  <c r="R508" i="1"/>
  <c r="R1232" i="1"/>
  <c r="R1055" i="1"/>
  <c r="R361" i="1"/>
  <c r="R763" i="1"/>
  <c r="R891" i="1"/>
  <c r="R702" i="1"/>
  <c r="R444" i="1"/>
  <c r="R183" i="1"/>
  <c r="R28" i="1"/>
  <c r="R1114" i="1"/>
  <c r="R650" i="1"/>
  <c r="R1060" i="1"/>
  <c r="R218" i="1"/>
  <c r="R717" i="1"/>
  <c r="R816" i="1"/>
  <c r="R902" i="1"/>
  <c r="R1096" i="1"/>
  <c r="R591" i="1"/>
  <c r="R755" i="1"/>
  <c r="R435" i="1"/>
  <c r="R607" i="1"/>
  <c r="R1138" i="1"/>
  <c r="R793" i="1"/>
  <c r="R273" i="1"/>
  <c r="R914" i="1"/>
  <c r="R4" i="1"/>
  <c r="R589" i="1"/>
  <c r="R1127" i="1"/>
  <c r="R214" i="1"/>
  <c r="R454" i="1"/>
  <c r="R716" i="1"/>
  <c r="R682" i="1"/>
  <c r="R923" i="1"/>
  <c r="R889" i="1"/>
  <c r="R622" i="1"/>
  <c r="R388" i="1"/>
  <c r="R42" i="1"/>
  <c r="R433" i="1"/>
  <c r="R1037" i="1"/>
  <c r="R1113" i="1"/>
  <c r="R235" i="1"/>
  <c r="R1150" i="1"/>
  <c r="R1109" i="1"/>
  <c r="R985" i="1"/>
  <c r="R1044" i="1"/>
  <c r="R1120" i="1"/>
  <c r="R719" i="1"/>
  <c r="R314" i="1"/>
  <c r="R770" i="1"/>
  <c r="R1210" i="1"/>
  <c r="R707" i="1"/>
  <c r="R1218" i="1"/>
  <c r="R536" i="1"/>
  <c r="R360" i="1"/>
  <c r="R1262" i="1"/>
  <c r="R1146" i="1"/>
  <c r="R958" i="1"/>
  <c r="R1257" i="1"/>
  <c r="R597" i="1"/>
  <c r="R628" i="1"/>
  <c r="R1083" i="1"/>
  <c r="R559" i="1"/>
  <c r="R1185" i="1"/>
  <c r="R826" i="1"/>
  <c r="R30" i="1"/>
  <c r="R751" i="1"/>
  <c r="R1067" i="1"/>
  <c r="R1047" i="1"/>
  <c r="R677" i="1"/>
  <c r="R915" i="1"/>
  <c r="R1015" i="1"/>
  <c r="R465" i="1"/>
  <c r="R461" i="1"/>
  <c r="R520" i="1"/>
  <c r="R1089" i="1"/>
  <c r="R978" i="1"/>
  <c r="R1160" i="1"/>
  <c r="R1101" i="1"/>
  <c r="R896" i="1"/>
  <c r="R572" i="1"/>
  <c r="R709" i="1"/>
  <c r="R933" i="1"/>
  <c r="R964" i="1"/>
  <c r="R1172" i="1"/>
  <c r="R1249" i="1"/>
  <c r="R706" i="1"/>
  <c r="R310" i="1"/>
  <c r="R29" i="1"/>
  <c r="R275" i="1"/>
  <c r="R315" i="1"/>
  <c r="R47" i="1"/>
  <c r="R538" i="1"/>
  <c r="R182" i="1"/>
  <c r="R695" i="1"/>
  <c r="R993" i="1"/>
  <c r="R928" i="1"/>
  <c r="R472" i="1"/>
  <c r="R947" i="1"/>
  <c r="R292" i="1"/>
  <c r="R772" i="1"/>
  <c r="R519" i="1"/>
  <c r="R1206" i="1"/>
  <c r="R534" i="1"/>
  <c r="R1043" i="1"/>
  <c r="R1271" i="1"/>
  <c r="R526" i="1"/>
  <c r="R96" i="1"/>
  <c r="R421" i="1"/>
  <c r="R846" i="1"/>
  <c r="R806" i="1"/>
  <c r="R394" i="1"/>
  <c r="R631" i="1"/>
  <c r="R1053" i="1"/>
  <c r="R261" i="1"/>
  <c r="R592" i="1"/>
  <c r="R787" i="1"/>
  <c r="R1091" i="1"/>
  <c r="R139" i="1"/>
  <c r="R1173" i="1"/>
  <c r="R413" i="1"/>
  <c r="R575" i="1"/>
  <c r="R144" i="1"/>
  <c r="R660" i="1"/>
  <c r="R609" i="1"/>
  <c r="R960" i="1"/>
  <c r="R332" i="1"/>
  <c r="R333" i="1"/>
  <c r="R517" i="1"/>
  <c r="R949" i="1"/>
  <c r="R696" i="1"/>
  <c r="R1086" i="1"/>
  <c r="R1030" i="1"/>
  <c r="R1002" i="1"/>
  <c r="R130" i="1"/>
  <c r="R824" i="1"/>
  <c r="R729" i="1"/>
  <c r="R1250" i="1"/>
  <c r="R476" i="1"/>
  <c r="R1034" i="1"/>
  <c r="R462" i="1"/>
  <c r="R424" i="1"/>
  <c r="R3" i="1"/>
  <c r="R1205" i="1"/>
  <c r="R639" i="1"/>
  <c r="R593" i="1"/>
  <c r="R170" i="1"/>
  <c r="R1081" i="1"/>
  <c r="R756" i="1"/>
  <c r="R1251" i="1"/>
  <c r="R1152" i="1"/>
  <c r="R791" i="1"/>
  <c r="R51" i="1"/>
  <c r="R123" i="1"/>
  <c r="R905" i="1"/>
  <c r="R434" i="1"/>
  <c r="R831" i="1"/>
  <c r="R392" i="1"/>
  <c r="R1283" i="1"/>
  <c r="R727" i="1"/>
  <c r="R897" i="1"/>
  <c r="R1008" i="1"/>
  <c r="R699" i="1"/>
  <c r="R948" i="1"/>
  <c r="R1199" i="1"/>
  <c r="R854" i="1"/>
  <c r="R1261" i="1"/>
  <c r="R935" i="1"/>
  <c r="R823" i="1"/>
  <c r="R855" i="1"/>
  <c r="R1054" i="1"/>
  <c r="R1239" i="1"/>
  <c r="R15" i="1"/>
  <c r="R801" i="1"/>
  <c r="R762" i="1"/>
  <c r="R290" i="1"/>
  <c r="R598" i="1"/>
  <c r="R741" i="1"/>
  <c r="R757" i="1"/>
  <c r="R912" i="1"/>
  <c r="R830" i="1"/>
  <c r="R1181" i="1"/>
  <c r="R929" i="1"/>
  <c r="R265" i="1"/>
  <c r="R714" i="1"/>
  <c r="R614" i="1"/>
  <c r="R1130" i="1"/>
  <c r="R692" i="1"/>
  <c r="R456" i="1"/>
  <c r="R1253" i="1"/>
  <c r="R599" i="1"/>
  <c r="R1104" i="1"/>
  <c r="R1103" i="1"/>
  <c r="R646" i="1"/>
  <c r="R1119" i="1"/>
  <c r="R471" i="1"/>
  <c r="R955" i="1"/>
  <c r="R354" i="1"/>
  <c r="R987" i="1"/>
  <c r="R542" i="1"/>
  <c r="R656" i="1"/>
  <c r="R1112" i="1"/>
  <c r="R330" i="1"/>
  <c r="R159" i="1"/>
  <c r="R1087" i="1"/>
  <c r="R410" i="1"/>
  <c r="R445" i="1"/>
  <c r="R254" i="1"/>
  <c r="R781" i="1"/>
  <c r="R1147" i="1"/>
  <c r="R1284" i="1"/>
  <c r="R799" i="1"/>
  <c r="R398" i="1"/>
  <c r="R321" i="1"/>
  <c r="R147" i="1"/>
  <c r="R1241" i="1"/>
  <c r="R482" i="1"/>
  <c r="R1061" i="1"/>
  <c r="R1166" i="1"/>
  <c r="R648" i="1"/>
  <c r="R962" i="1"/>
  <c r="R1157" i="1"/>
  <c r="R1267" i="1"/>
  <c r="R618" i="1"/>
  <c r="R1223" i="1"/>
  <c r="R270" i="1"/>
  <c r="R916" i="1"/>
  <c r="R312" i="1"/>
  <c r="R655" i="1"/>
  <c r="R965" i="1"/>
  <c r="R909" i="1"/>
  <c r="R484" i="1"/>
  <c r="R165" i="1"/>
  <c r="R748" i="1"/>
  <c r="R437" i="1"/>
  <c r="R562" i="1"/>
  <c r="R838" i="1"/>
  <c r="R860" i="1"/>
  <c r="R440" i="1"/>
  <c r="R259" i="1"/>
  <c r="R10" i="1"/>
  <c r="R742" i="1"/>
  <c r="R673" i="1"/>
  <c r="R133" i="1"/>
  <c r="R689" i="1"/>
  <c r="R416" i="1"/>
  <c r="R621" i="1"/>
  <c r="R418" i="1"/>
  <c r="R753" i="1"/>
  <c r="R548" i="1"/>
  <c r="R346" i="1"/>
  <c r="R851" i="1"/>
  <c r="R620" i="1"/>
  <c r="R1100" i="1"/>
  <c r="R1231" i="1"/>
  <c r="R280" i="1"/>
  <c r="R467" i="1"/>
  <c r="R564" i="1"/>
  <c r="R458" i="1"/>
  <c r="R432" i="1"/>
  <c r="R64" i="1"/>
  <c r="R502" i="1"/>
  <c r="R524" i="1"/>
  <c r="R400" i="1"/>
  <c r="R857" i="1"/>
  <c r="R679" i="1"/>
  <c r="R1041" i="1"/>
  <c r="R1211" i="1"/>
  <c r="R523" i="1"/>
  <c r="R527" i="1"/>
  <c r="R616" i="1"/>
  <c r="R782" i="1"/>
  <c r="R1252" i="1"/>
  <c r="R882" i="1"/>
  <c r="R653" i="1"/>
  <c r="R686" i="1"/>
  <c r="R878" i="1"/>
  <c r="R705" i="1"/>
  <c r="R490" i="1"/>
  <c r="R913" i="1"/>
  <c r="R931" i="1"/>
  <c r="R1073" i="1"/>
  <c r="R132" i="1"/>
  <c r="R31" i="1"/>
  <c r="R186" i="1"/>
  <c r="R1209" i="1"/>
  <c r="R731" i="1"/>
  <c r="R1235" i="1"/>
  <c r="R1282" i="1"/>
  <c r="R1279" i="1"/>
  <c r="R487" i="1"/>
  <c r="R938" i="1"/>
  <c r="R1124" i="1"/>
  <c r="R1240" i="1"/>
  <c r="R866" i="1"/>
  <c r="R225" i="1"/>
  <c r="R1280" i="1"/>
  <c r="R865" i="1"/>
  <c r="R974" i="1"/>
  <c r="R856" i="1"/>
  <c r="R927" i="1"/>
  <c r="R390" i="1"/>
  <c r="R335" i="1"/>
  <c r="R313" i="1"/>
  <c r="R557" i="1"/>
  <c r="R1027" i="1"/>
  <c r="R868" i="1"/>
  <c r="R1032" i="1"/>
  <c r="R351" i="1"/>
  <c r="R411" i="1"/>
  <c r="R78" i="1"/>
  <c r="R1177" i="1"/>
  <c r="R56" i="1"/>
  <c r="R1023" i="1"/>
  <c r="R422" i="1"/>
  <c r="R176" i="1"/>
  <c r="R833" i="1"/>
  <c r="R940" i="1"/>
  <c r="R480" i="1"/>
  <c r="R659" i="1"/>
  <c r="R1200" i="1"/>
  <c r="R798" i="1"/>
  <c r="R26" i="1"/>
  <c r="R334" i="1"/>
  <c r="R441" i="1"/>
  <c r="R917" i="1"/>
  <c r="R867" i="1"/>
  <c r="R532" i="1"/>
  <c r="R53" i="1"/>
  <c r="R1154" i="1"/>
  <c r="R1046" i="1"/>
  <c r="R324" i="1"/>
  <c r="R862" i="1"/>
  <c r="R676" i="1"/>
  <c r="R358" i="1"/>
  <c r="R890" i="1"/>
  <c r="R1136" i="1"/>
  <c r="R1099" i="1"/>
  <c r="R498" i="1"/>
  <c r="R1141" i="1"/>
  <c r="R1016" i="1"/>
  <c r="R83" i="1"/>
  <c r="R17" i="1"/>
  <c r="R1108" i="1"/>
  <c r="R792" i="1"/>
  <c r="R172" i="1"/>
  <c r="R898" i="1"/>
  <c r="R1135" i="1"/>
  <c r="R1105" i="1"/>
  <c r="R1265" i="1"/>
  <c r="R795" i="1"/>
  <c r="R852" i="1"/>
  <c r="R1191" i="1"/>
  <c r="R359" i="1"/>
  <c r="R1118" i="1"/>
  <c r="R1204" i="1"/>
  <c r="R1244" i="1"/>
  <c r="R1254" i="1"/>
  <c r="R1078" i="1"/>
  <c r="R981" i="1"/>
  <c r="R1158" i="1"/>
  <c r="R1070" i="1"/>
  <c r="R395" i="1"/>
  <c r="R654" i="1"/>
  <c r="R1264" i="1"/>
  <c r="R740" i="1"/>
  <c r="R1148" i="1"/>
  <c r="R1142" i="1"/>
  <c r="R1192" i="1"/>
  <c r="R464" i="1"/>
  <c r="R412" i="1"/>
  <c r="R1226" i="1"/>
  <c r="R457" i="1"/>
  <c r="R555" i="1"/>
  <c r="R588" i="1"/>
  <c r="R1019" i="1"/>
  <c r="R850" i="1"/>
  <c r="R1255" i="1"/>
  <c r="R116" i="1"/>
  <c r="R408" i="1"/>
  <c r="R1222" i="1"/>
  <c r="R439" i="1"/>
  <c r="R585" i="1"/>
  <c r="R1042" i="1"/>
  <c r="R967" i="1"/>
  <c r="R723" i="1"/>
  <c r="R76" i="1"/>
  <c r="R907" i="1"/>
  <c r="R612" i="1"/>
  <c r="R809" i="1"/>
  <c r="R995" i="1"/>
  <c r="R121" i="1"/>
  <c r="R1260" i="1"/>
  <c r="R950" i="1"/>
  <c r="R1159" i="1"/>
  <c r="R1122" i="1"/>
  <c r="R1052" i="1"/>
  <c r="R893" i="1"/>
  <c r="R873" i="1"/>
  <c r="R1194" i="1"/>
  <c r="R475" i="1"/>
  <c r="R1025" i="1"/>
  <c r="R694" i="1"/>
  <c r="R894" i="1"/>
  <c r="R1049" i="1"/>
  <c r="R887" i="1"/>
  <c r="R726" i="1"/>
  <c r="R617" i="1"/>
  <c r="R1036" i="1"/>
  <c r="R1245" i="1"/>
  <c r="R1225" i="1"/>
  <c r="R1116" i="1"/>
  <c r="R1001" i="1"/>
  <c r="R904" i="1"/>
  <c r="R704" i="1"/>
  <c r="R842" i="1"/>
  <c r="R925" i="1"/>
  <c r="R1248" i="1"/>
  <c r="R649" i="1"/>
  <c r="R1203" i="1"/>
  <c r="R774" i="1"/>
  <c r="R786" i="1"/>
  <c r="R1246" i="1"/>
  <c r="R1079" i="1"/>
  <c r="R379" i="1"/>
  <c r="R342" i="1"/>
  <c r="R764" i="1"/>
  <c r="R223" i="1"/>
  <c r="R423" i="1"/>
  <c r="R606" i="1"/>
  <c r="R911" i="1"/>
  <c r="R980" i="1"/>
  <c r="R545" i="1"/>
  <c r="R1090" i="1"/>
  <c r="R1188" i="1"/>
  <c r="R368" i="1"/>
  <c r="R829" i="1"/>
  <c r="R547" i="1"/>
  <c r="R969" i="1"/>
  <c r="R473" i="1"/>
  <c r="R1075" i="1"/>
  <c r="R322" i="1"/>
  <c r="R750" i="1"/>
  <c r="R404" i="1"/>
  <c r="R626" i="1"/>
  <c r="R819" i="1"/>
  <c r="R134" i="1"/>
  <c r="R1022" i="1"/>
  <c r="R1140" i="1"/>
  <c r="R939" i="1"/>
  <c r="R1117" i="1"/>
  <c r="R478" i="1"/>
  <c r="R783" i="1"/>
  <c r="R638" i="1"/>
  <c r="R877" i="1"/>
  <c r="R383" i="1"/>
  <c r="R469" i="1"/>
  <c r="R942" i="1"/>
  <c r="R1217" i="1"/>
  <c r="R1134" i="1"/>
  <c r="R1004" i="1"/>
  <c r="R1068" i="1"/>
  <c r="R813" i="1"/>
  <c r="R934" i="1"/>
  <c r="R196" i="1"/>
  <c r="R1102" i="1"/>
  <c r="R666" i="1"/>
  <c r="R1213" i="1"/>
  <c r="R568" i="1"/>
  <c r="R1163" i="1"/>
  <c r="R1216" i="1"/>
  <c r="R1010" i="1"/>
  <c r="R966" i="1"/>
  <c r="R785" i="1"/>
  <c r="R630" i="1"/>
  <c r="R663" i="1"/>
  <c r="R954" i="1"/>
  <c r="R1056" i="1"/>
  <c r="R822" i="1"/>
  <c r="R189" i="1"/>
  <c r="R1162" i="1"/>
  <c r="R1174" i="1"/>
  <c r="R1144" i="1"/>
  <c r="R341" i="1"/>
  <c r="R1183" i="1"/>
  <c r="R640" i="1"/>
  <c r="R438" i="1"/>
  <c r="R789" i="1"/>
  <c r="R565" i="1"/>
  <c r="R996" i="1"/>
  <c r="R674" i="1"/>
  <c r="R738" i="1"/>
  <c r="R470" i="1"/>
  <c r="R605" i="1"/>
  <c r="R1095" i="1"/>
  <c r="R827" i="1"/>
  <c r="R571" i="1"/>
  <c r="R293" i="1"/>
  <c r="R1005" i="1"/>
  <c r="R885" i="1"/>
  <c r="R1214" i="1"/>
  <c r="R1033" i="1"/>
  <c r="R1014" i="1"/>
  <c r="R5" i="1"/>
  <c r="R289" i="1"/>
  <c r="R221" i="1"/>
  <c r="R1009" i="1"/>
  <c r="R1098" i="1"/>
  <c r="R474" i="1"/>
  <c r="R1062" i="1"/>
  <c r="R485" i="1"/>
  <c r="R788" i="1"/>
  <c r="R1035" i="1"/>
  <c r="R817" i="1"/>
  <c r="R752" i="1"/>
  <c r="R725" i="1"/>
  <c r="R745" i="1"/>
  <c r="R1212" i="1"/>
  <c r="R579" i="1"/>
  <c r="R86" i="1"/>
  <c r="R1084" i="1"/>
  <c r="R1069" i="1"/>
  <c r="R664" i="1"/>
  <c r="R1082" i="1"/>
  <c r="R1040" i="1"/>
  <c r="R213" i="1"/>
  <c r="R563" i="1"/>
  <c r="R1039" i="1"/>
  <c r="R514" i="1"/>
  <c r="R832" i="1"/>
  <c r="R1021" i="1"/>
  <c r="R1242" i="1"/>
  <c r="R1115" i="1"/>
  <c r="R758" i="1"/>
  <c r="R652" i="1"/>
  <c r="R859" i="1"/>
  <c r="R1215" i="1"/>
  <c r="R173" i="1"/>
  <c r="R285" i="1"/>
  <c r="R1182" i="1"/>
  <c r="R1126" i="1"/>
  <c r="R574" i="1"/>
  <c r="R544" i="1"/>
  <c r="R124" i="1"/>
  <c r="R167" i="1"/>
  <c r="R847" i="1"/>
  <c r="R323" i="1"/>
  <c r="R1020" i="1"/>
  <c r="R329" i="1"/>
  <c r="R1281" i="1"/>
  <c r="R580" i="1"/>
  <c r="R977" i="1"/>
  <c r="R409" i="1"/>
  <c r="R219" i="1"/>
  <c r="R190" i="1"/>
  <c r="R231" i="1"/>
  <c r="R374" i="1"/>
  <c r="R201" i="1"/>
  <c r="R108" i="1"/>
  <c r="R12" i="1"/>
  <c r="R979" i="1"/>
  <c r="R104" i="1"/>
  <c r="R1149" i="1"/>
  <c r="R749" i="1"/>
  <c r="R888" i="1"/>
  <c r="R396" i="1"/>
  <c r="R512" i="1"/>
  <c r="R1274" i="1"/>
  <c r="R627" i="1"/>
  <c r="R376" i="1"/>
  <c r="R141" i="1"/>
  <c r="R466" i="1"/>
  <c r="R528" i="1"/>
  <c r="R258" i="1"/>
  <c r="R1071" i="1"/>
  <c r="R543" i="1"/>
  <c r="R1175" i="1"/>
  <c r="R635" i="1"/>
  <c r="R1156" i="1"/>
  <c r="R611" i="1"/>
  <c r="R769" i="1"/>
  <c r="R990" i="1"/>
  <c r="R339" i="1"/>
  <c r="R459" i="1"/>
  <c r="R525" i="1"/>
  <c r="R166" i="1"/>
  <c r="R1076" i="1"/>
  <c r="R84" i="1"/>
  <c r="R262" i="1"/>
  <c r="R1196" i="1"/>
  <c r="R765" i="1"/>
  <c r="R983" i="1"/>
  <c r="R586" i="1"/>
  <c r="R667" i="1"/>
  <c r="R369" i="1"/>
  <c r="R794" i="1"/>
  <c r="R1063" i="1"/>
  <c r="R956" i="1"/>
  <c r="R1026" i="1"/>
  <c r="R1170" i="1"/>
  <c r="R401" i="1"/>
  <c r="R1258" i="1"/>
  <c r="R713" i="1"/>
  <c r="R405" i="1"/>
  <c r="R1259" i="1"/>
  <c r="R406" i="1"/>
  <c r="R623" i="1"/>
  <c r="R1201" i="1"/>
  <c r="R344" i="1"/>
  <c r="R1155" i="1"/>
  <c r="R203" i="1"/>
  <c r="R1048" i="1"/>
  <c r="R690" i="1"/>
  <c r="R736" i="1"/>
  <c r="R109" i="1"/>
  <c r="R814" i="1"/>
  <c r="R1110" i="1"/>
  <c r="R157" i="1"/>
  <c r="R998" i="1"/>
  <c r="R812" i="1"/>
  <c r="R919" i="1"/>
  <c r="R1278" i="1"/>
  <c r="R1171" i="1"/>
  <c r="R1085" i="1"/>
  <c r="R429" i="1"/>
  <c r="R1184" i="1"/>
  <c r="R1208" i="1"/>
  <c r="R1263" i="1"/>
  <c r="R370" i="1"/>
  <c r="R558" i="1"/>
  <c r="R961" i="1"/>
  <c r="R1227" i="1"/>
  <c r="R1186" i="1"/>
  <c r="R760" i="1"/>
  <c r="R945" i="1"/>
  <c r="R1007" i="1"/>
  <c r="R1266" i="1"/>
  <c r="R188" i="1"/>
  <c r="R286" i="1"/>
  <c r="R903" i="1"/>
  <c r="R778" i="1"/>
  <c r="R1059" i="1"/>
  <c r="R1074" i="1"/>
  <c r="P446" i="1"/>
  <c r="P6" i="1"/>
  <c r="P21" i="1"/>
  <c r="P431" i="1"/>
  <c r="P501" i="1"/>
  <c r="P187" i="1"/>
  <c r="P39" i="1"/>
  <c r="P181" i="1"/>
  <c r="P724" i="1"/>
  <c r="P428" i="1"/>
  <c r="P199" i="1"/>
  <c r="P420" i="1"/>
  <c r="P122" i="1"/>
  <c r="P238" i="1"/>
  <c r="P152" i="1"/>
  <c r="P537" i="1"/>
  <c r="P184" i="1"/>
  <c r="P403" i="1"/>
  <c r="P327" i="1"/>
  <c r="P11" i="1"/>
  <c r="P49" i="1"/>
  <c r="P570" i="1"/>
  <c r="P844" i="1"/>
  <c r="P531" i="1"/>
  <c r="P331" i="1"/>
  <c r="P36" i="1"/>
  <c r="P540" i="1"/>
  <c r="P378" i="1"/>
  <c r="P347" i="1"/>
  <c r="P941" i="1"/>
  <c r="P256" i="1"/>
  <c r="P150" i="1"/>
  <c r="P120" i="1"/>
  <c r="P976" i="1"/>
  <c r="P91" i="1"/>
  <c r="P281" i="1"/>
  <c r="P343" i="1"/>
  <c r="P127" i="1"/>
  <c r="P50" i="1"/>
  <c r="P228" i="1"/>
  <c r="P27" i="1"/>
  <c r="P352" i="1"/>
  <c r="P129" i="1"/>
  <c r="P892" i="1"/>
  <c r="P55" i="1"/>
  <c r="P69" i="1"/>
  <c r="P243" i="1"/>
  <c r="P1195" i="1"/>
  <c r="P946" i="1"/>
  <c r="P561" i="1"/>
  <c r="P93" i="1"/>
  <c r="P610" i="1"/>
  <c r="P66" i="1"/>
  <c r="P761" i="1"/>
  <c r="P551" i="1"/>
  <c r="P67" i="1"/>
  <c r="P140" i="1"/>
  <c r="P362" i="1"/>
  <c r="P208" i="1"/>
  <c r="P881" i="1"/>
  <c r="P1097" i="1"/>
  <c r="P1224" i="1"/>
  <c r="P402" i="1"/>
  <c r="P1006" i="1"/>
  <c r="P746" i="1"/>
  <c r="P744" i="1"/>
  <c r="P8" i="1"/>
  <c r="P92" i="1"/>
  <c r="P119" i="1"/>
  <c r="P848" i="1"/>
  <c r="P1269" i="1"/>
  <c r="P126" i="1"/>
  <c r="P930" i="1"/>
  <c r="P1176" i="1"/>
  <c r="P661" i="1"/>
  <c r="P972" i="1"/>
  <c r="P468" i="1"/>
  <c r="P675" i="1"/>
  <c r="P861" i="1"/>
  <c r="P103" i="1"/>
  <c r="P326" i="1"/>
  <c r="P367" i="1"/>
  <c r="P38" i="1"/>
  <c r="P242" i="1"/>
  <c r="P138" i="1"/>
  <c r="P515" i="1"/>
  <c r="P107" i="1"/>
  <c r="P489" i="1"/>
  <c r="P999" i="1"/>
  <c r="P349" i="1"/>
  <c r="P549" i="1"/>
  <c r="P52" i="1"/>
  <c r="P984" i="1"/>
  <c r="P869" i="1"/>
  <c r="P427" i="1"/>
  <c r="P142" i="1"/>
  <c r="P34" i="1"/>
  <c r="P311" i="1"/>
  <c r="P734" i="1"/>
  <c r="P110" i="1"/>
  <c r="P220" i="1"/>
  <c r="P249" i="1"/>
  <c r="P1080" i="1"/>
  <c r="P415" i="1"/>
  <c r="P642" i="1"/>
  <c r="P643" i="1"/>
  <c r="P511" i="1"/>
  <c r="P16" i="1"/>
  <c r="P115" i="1"/>
  <c r="P209" i="1"/>
  <c r="P1139" i="1"/>
  <c r="P58" i="1"/>
  <c r="P566" i="1"/>
  <c r="P158" i="1"/>
  <c r="P304" i="1"/>
  <c r="P20" i="1"/>
  <c r="P68" i="1"/>
  <c r="P25" i="1"/>
  <c r="P194" i="1"/>
  <c r="P319" i="1"/>
  <c r="P1077" i="1"/>
  <c r="P397" i="1"/>
  <c r="P728" i="1"/>
  <c r="P505" i="1"/>
  <c r="P35" i="1"/>
  <c r="P46" i="1"/>
  <c r="P414" i="1"/>
  <c r="P382" i="1"/>
  <c r="P1268" i="1"/>
  <c r="P811" i="1"/>
  <c r="P708" i="1"/>
  <c r="P647" i="1"/>
  <c r="P241" i="1"/>
  <c r="P297" i="1"/>
  <c r="P59" i="1"/>
  <c r="P759" i="1"/>
  <c r="P1031" i="1"/>
  <c r="P768" i="1"/>
  <c r="P389" i="1"/>
  <c r="P720" i="1"/>
  <c r="P657" i="1"/>
  <c r="P595" i="1"/>
  <c r="P1018" i="1"/>
  <c r="P739" i="1"/>
  <c r="P780" i="1"/>
  <c r="P486" i="1"/>
  <c r="P180" i="1"/>
  <c r="P348" i="1"/>
  <c r="P644" i="1"/>
  <c r="P250" i="1"/>
  <c r="P229" i="1"/>
  <c r="P33" i="1"/>
  <c r="P835" i="1"/>
  <c r="P365" i="1"/>
  <c r="P922" i="1"/>
  <c r="P448" i="1"/>
  <c r="P491" i="1"/>
  <c r="P665" i="1"/>
  <c r="P1066" i="1"/>
  <c r="P737" i="1"/>
  <c r="P425" i="1"/>
  <c r="P658" i="1"/>
  <c r="P766" i="1"/>
  <c r="P87" i="1"/>
  <c r="P522" i="1"/>
  <c r="P608" i="1"/>
  <c r="P364" i="1"/>
  <c r="P386" i="1"/>
  <c r="P23" i="1"/>
  <c r="P1123" i="1"/>
  <c r="P849" i="1"/>
  <c r="P507" i="1"/>
  <c r="P185" i="1"/>
  <c r="P1202" i="1"/>
  <c r="P9" i="1"/>
  <c r="P884" i="1"/>
  <c r="P373" i="1"/>
  <c r="P234" i="1"/>
  <c r="P328" i="1"/>
  <c r="P154" i="1"/>
  <c r="P1179" i="1"/>
  <c r="P775" i="1"/>
  <c r="P65" i="1"/>
  <c r="P803" i="1"/>
  <c r="P683" i="1"/>
  <c r="P603" i="1"/>
  <c r="P615" i="1"/>
  <c r="P560" i="1"/>
  <c r="P191" i="1"/>
  <c r="P784" i="1"/>
  <c r="P636" i="1"/>
  <c r="P102" i="1"/>
  <c r="P581" i="1"/>
  <c r="P541" i="1"/>
  <c r="P264" i="1"/>
  <c r="P393" i="1"/>
  <c r="P906" i="1"/>
  <c r="P278" i="1"/>
  <c r="P192" i="1"/>
  <c r="P233" i="1"/>
  <c r="P145" i="1"/>
  <c r="P244" i="1"/>
  <c r="P81" i="1"/>
  <c r="P277" i="1"/>
  <c r="P301" i="1"/>
  <c r="P128" i="1"/>
  <c r="P880" i="1"/>
  <c r="P451" i="1"/>
  <c r="P625" i="1"/>
  <c r="P1189" i="1"/>
  <c r="P488" i="1"/>
  <c r="P18" i="1"/>
  <c r="P380" i="1"/>
  <c r="P72" i="1"/>
  <c r="P583" i="1"/>
  <c r="P7" i="1"/>
  <c r="P494" i="1"/>
  <c r="P629" i="1"/>
  <c r="P325" i="1"/>
  <c r="P864" i="1"/>
  <c r="P114" i="1"/>
  <c r="P32" i="1"/>
  <c r="P75" i="1"/>
  <c r="P957" i="1"/>
  <c r="P381" i="1"/>
  <c r="P670" i="1"/>
  <c r="P970" i="1"/>
  <c r="P417" i="1"/>
  <c r="P449" i="1"/>
  <c r="P22" i="1"/>
  <c r="P168" i="1"/>
  <c r="P1275" i="1"/>
  <c r="P1065" i="1"/>
  <c r="P356" i="1"/>
  <c r="P151" i="1"/>
  <c r="P1107" i="1"/>
  <c r="P345" i="1"/>
  <c r="P136" i="1"/>
  <c r="P48" i="1"/>
  <c r="P267" i="1"/>
  <c r="P357" i="1"/>
  <c r="P712" i="1"/>
  <c r="P604" i="1"/>
  <c r="P921" i="1"/>
  <c r="P1125" i="1"/>
  <c r="P385" i="1"/>
  <c r="P577" i="1"/>
  <c r="P1092" i="1"/>
  <c r="P1272" i="1"/>
  <c r="P687" i="1"/>
  <c r="P197" i="1"/>
  <c r="P131" i="1"/>
  <c r="P89" i="1"/>
  <c r="P97" i="1"/>
  <c r="P162" i="1"/>
  <c r="P206" i="1"/>
  <c r="P216" i="1"/>
  <c r="P436" i="1"/>
  <c r="P951" i="1"/>
  <c r="P288" i="1"/>
  <c r="P569" i="1"/>
  <c r="P19" i="1"/>
  <c r="P550" i="1"/>
  <c r="P818" i="1"/>
  <c r="P156" i="1"/>
  <c r="P377" i="1"/>
  <c r="P533" i="1"/>
  <c r="P1277" i="1"/>
  <c r="P1121" i="1"/>
  <c r="P567" i="1"/>
  <c r="P260" i="1"/>
  <c r="P224" i="1"/>
  <c r="P355" i="1"/>
  <c r="P800" i="1"/>
  <c r="P2" i="1"/>
  <c r="P1161" i="1"/>
  <c r="P1051" i="1"/>
  <c r="P419" i="1"/>
  <c r="P240" i="1"/>
  <c r="P1276" i="1"/>
  <c r="P453" i="1"/>
  <c r="P210" i="1"/>
  <c r="P82" i="1"/>
  <c r="P513" i="1"/>
  <c r="P837" i="1"/>
  <c r="P596" i="1"/>
  <c r="P943" i="1"/>
  <c r="P841" i="1"/>
  <c r="P1236" i="1"/>
  <c r="P226" i="1"/>
  <c r="P496" i="1"/>
  <c r="P118" i="1"/>
  <c r="P721" i="1"/>
  <c r="P230" i="1"/>
  <c r="P703" i="1"/>
  <c r="P266" i="1"/>
  <c r="P1243" i="1"/>
  <c r="P1058" i="1"/>
  <c r="P552" i="1"/>
  <c r="P215" i="1"/>
  <c r="P613" i="1"/>
  <c r="P691" i="1"/>
  <c r="P871" i="1"/>
  <c r="P920" i="1"/>
  <c r="P876" i="1"/>
  <c r="P503" i="1"/>
  <c r="P211" i="1"/>
  <c r="P1238" i="1"/>
  <c r="P125" i="1"/>
  <c r="P340" i="1"/>
  <c r="P148" i="1"/>
  <c r="P276" i="1"/>
  <c r="P443" i="1"/>
  <c r="P619" i="1"/>
  <c r="P113" i="1"/>
  <c r="P155" i="1"/>
  <c r="P94" i="1"/>
  <c r="P463" i="1"/>
  <c r="P193" i="1"/>
  <c r="P384" i="1"/>
  <c r="P236" i="1"/>
  <c r="P372" i="1"/>
  <c r="P553" i="1"/>
  <c r="P698" i="1"/>
  <c r="P387" i="1"/>
  <c r="P1013" i="1"/>
  <c r="P305" i="1"/>
  <c r="P576" i="1"/>
  <c r="P504" i="1"/>
  <c r="P268" i="1"/>
  <c r="P684" i="1"/>
  <c r="P1131" i="1"/>
  <c r="P701" i="1"/>
  <c r="P672" i="1"/>
  <c r="P239" i="1"/>
  <c r="P936" i="1"/>
  <c r="P872" i="1"/>
  <c r="P1151" i="1"/>
  <c r="P754" i="1"/>
  <c r="P237" i="1"/>
  <c r="P1088" i="1"/>
  <c r="P44" i="1"/>
  <c r="P63" i="1"/>
  <c r="P1230" i="1"/>
  <c r="P697" i="1"/>
  <c r="P952" i="1"/>
  <c r="P252" i="1"/>
  <c r="P1270" i="1"/>
  <c r="P88" i="1"/>
  <c r="P212" i="1"/>
  <c r="P161" i="1"/>
  <c r="P771" i="1"/>
  <c r="P836" i="1"/>
  <c r="P495" i="1"/>
  <c r="P587" i="1"/>
  <c r="P804" i="1"/>
  <c r="P1247" i="1"/>
  <c r="P573" i="1"/>
  <c r="P143" i="1"/>
  <c r="P274" i="1"/>
  <c r="P584" i="1"/>
  <c r="P227" i="1"/>
  <c r="P805" i="1"/>
  <c r="P1220" i="1"/>
  <c r="P1011" i="1"/>
  <c r="P973" i="1"/>
  <c r="P1050" i="1"/>
  <c r="P1167" i="1"/>
  <c r="P391" i="1"/>
  <c r="P700" i="1"/>
  <c r="P959" i="1"/>
  <c r="P685" i="1"/>
  <c r="P637" i="1"/>
  <c r="P13" i="1"/>
  <c r="P982" i="1"/>
  <c r="P263" i="1"/>
  <c r="P815" i="1"/>
  <c r="P1237" i="1"/>
  <c r="P668" i="1"/>
  <c r="P146" i="1"/>
  <c r="P375" i="1"/>
  <c r="P307" i="1"/>
  <c r="P1003" i="1"/>
  <c r="P163" i="1"/>
  <c r="P175" i="1"/>
  <c r="P776" i="1"/>
  <c r="P298" i="1"/>
  <c r="P671" i="1"/>
  <c r="P338" i="1"/>
  <c r="P535" i="1"/>
  <c r="P651" i="1"/>
  <c r="P248" i="1"/>
  <c r="P1178" i="1"/>
  <c r="P117" i="1"/>
  <c r="P1012" i="1"/>
  <c r="P54" i="1"/>
  <c r="P399" i="1"/>
  <c r="P895" i="1"/>
  <c r="P840" i="1"/>
  <c r="P1219" i="1"/>
  <c r="P171" i="1"/>
  <c r="P483" i="1"/>
  <c r="P953" i="1"/>
  <c r="P363" i="1"/>
  <c r="P164" i="1"/>
  <c r="P937" i="1"/>
  <c r="P506" i="1"/>
  <c r="P153" i="1"/>
  <c r="P662" i="1"/>
  <c r="P43" i="1"/>
  <c r="P874" i="1"/>
  <c r="P73" i="1"/>
  <c r="P1017" i="1"/>
  <c r="P944" i="1"/>
  <c r="P992" i="1"/>
  <c r="P1198" i="1"/>
  <c r="P1137" i="1"/>
  <c r="P633" i="1"/>
  <c r="P802" i="1"/>
  <c r="P337" i="1"/>
  <c r="P62" i="1"/>
  <c r="P521" i="1"/>
  <c r="P1193" i="1"/>
  <c r="P336" i="1"/>
  <c r="P316" i="1"/>
  <c r="P257" i="1"/>
  <c r="P205" i="1"/>
  <c r="P529" i="1"/>
  <c r="P477" i="1"/>
  <c r="P600" i="1"/>
  <c r="P447" i="1"/>
  <c r="P251" i="1"/>
  <c r="P539" i="1"/>
  <c r="P870" i="1"/>
  <c r="P886" i="1"/>
  <c r="P174" i="1"/>
  <c r="P578" i="1"/>
  <c r="P308" i="1"/>
  <c r="P641" i="1"/>
  <c r="P863" i="1"/>
  <c r="P518" i="1"/>
  <c r="P497" i="1"/>
  <c r="P481" i="1"/>
  <c r="P926" i="1"/>
  <c r="P1169" i="1"/>
  <c r="P634" i="1"/>
  <c r="P284" i="1"/>
  <c r="P743" i="1"/>
  <c r="P255" i="1"/>
  <c r="P773" i="1"/>
  <c r="P693" i="1"/>
  <c r="P200" i="1"/>
  <c r="P777" i="1"/>
  <c r="P899" i="1"/>
  <c r="P111" i="1"/>
  <c r="P821" i="1"/>
  <c r="P245" i="1"/>
  <c r="P688" i="1"/>
  <c r="P1168" i="1"/>
  <c r="P430" i="1"/>
  <c r="P279" i="1"/>
  <c r="P602" i="1"/>
  <c r="P1207" i="1"/>
  <c r="P808" i="1"/>
  <c r="P590" i="1"/>
  <c r="P645" i="1"/>
  <c r="P271" i="1"/>
  <c r="P149" i="1"/>
  <c r="P971" i="1"/>
  <c r="P1145" i="1"/>
  <c r="P594" i="1"/>
  <c r="P317" i="1"/>
  <c r="P98" i="1"/>
  <c r="P779" i="1"/>
  <c r="P177" i="1"/>
  <c r="P1228" i="1"/>
  <c r="P1094" i="1"/>
  <c r="P460" i="1"/>
  <c r="P546" i="1"/>
  <c r="P57" i="1"/>
  <c r="P320" i="1"/>
  <c r="P624" i="1"/>
  <c r="P269" i="1"/>
  <c r="P407" i="1"/>
  <c r="P302" i="1"/>
  <c r="P296" i="1"/>
  <c r="P90" i="1"/>
  <c r="P79" i="1"/>
  <c r="P1164" i="1"/>
  <c r="P988" i="1"/>
  <c r="P169" i="1"/>
  <c r="P732" i="1"/>
  <c r="P1072" i="1"/>
  <c r="P80" i="1"/>
  <c r="P77" i="1"/>
  <c r="P85" i="1"/>
  <c r="P747" i="1"/>
  <c r="P986" i="1"/>
  <c r="P733" i="1"/>
  <c r="P455" i="1"/>
  <c r="P95" i="1"/>
  <c r="P834" i="1"/>
  <c r="P282" i="1"/>
  <c r="P975" i="1"/>
  <c r="P1038" i="1"/>
  <c r="P554" i="1"/>
  <c r="P1029" i="1"/>
  <c r="P1128" i="1"/>
  <c r="P350" i="1"/>
  <c r="P715" i="1"/>
  <c r="P303" i="1"/>
  <c r="P879" i="1"/>
  <c r="P70" i="1"/>
  <c r="P1045" i="1"/>
  <c r="P137" i="1"/>
  <c r="P901" i="1"/>
  <c r="P1143" i="1"/>
  <c r="P1133" i="1"/>
  <c r="P1111" i="1"/>
  <c r="P843" i="1"/>
  <c r="P426" i="1"/>
  <c r="P735" i="1"/>
  <c r="P1190" i="1"/>
  <c r="P499" i="1"/>
  <c r="P1132" i="1"/>
  <c r="P963" i="1"/>
  <c r="P556" i="1"/>
  <c r="P1221" i="1"/>
  <c r="P450" i="1"/>
  <c r="P582" i="1"/>
  <c r="P1129" i="1"/>
  <c r="P839" i="1"/>
  <c r="P1064" i="1"/>
  <c r="P853" i="1"/>
  <c r="P295" i="1"/>
  <c r="P101" i="1"/>
  <c r="P989" i="1"/>
  <c r="P306" i="1"/>
  <c r="P1057" i="1"/>
  <c r="P300" i="1"/>
  <c r="P202" i="1"/>
  <c r="P492" i="1"/>
  <c r="P883" i="1"/>
  <c r="P910" i="1"/>
  <c r="P45" i="1"/>
  <c r="P299" i="1"/>
  <c r="P291" i="1"/>
  <c r="P1106" i="1"/>
  <c r="P730" i="1"/>
  <c r="P796" i="1"/>
  <c r="P718" i="1"/>
  <c r="P366" i="1"/>
  <c r="P217" i="1"/>
  <c r="P828" i="1"/>
  <c r="P669" i="1"/>
  <c r="P900" i="1"/>
  <c r="P632" i="1"/>
  <c r="P40" i="1"/>
  <c r="P711" i="1"/>
  <c r="P1153" i="1"/>
  <c r="P601" i="1"/>
  <c r="P178" i="1"/>
  <c r="P222" i="1"/>
  <c r="P160" i="1"/>
  <c r="P1165" i="1"/>
  <c r="P678" i="1"/>
  <c r="P207" i="1"/>
  <c r="P318" i="1"/>
  <c r="P932" i="1"/>
  <c r="P509" i="1"/>
  <c r="P60" i="1"/>
  <c r="P991" i="1"/>
  <c r="P195" i="1"/>
  <c r="P179" i="1"/>
  <c r="P997" i="1"/>
  <c r="P198" i="1"/>
  <c r="P810" i="1"/>
  <c r="P112" i="1"/>
  <c r="P61" i="1"/>
  <c r="P516" i="1"/>
  <c r="P845" i="1"/>
  <c r="P1093" i="1"/>
  <c r="P820" i="1"/>
  <c r="P287" i="1"/>
  <c r="P99" i="1"/>
  <c r="P371" i="1"/>
  <c r="P1024" i="1"/>
  <c r="P246" i="1"/>
  <c r="P722" i="1"/>
  <c r="P24" i="1"/>
  <c r="P807" i="1"/>
  <c r="P74" i="1"/>
  <c r="P1234" i="1"/>
  <c r="P204" i="1"/>
  <c r="P500" i="1"/>
  <c r="P908" i="1"/>
  <c r="P1233" i="1"/>
  <c r="P294" i="1"/>
  <c r="P510" i="1"/>
  <c r="P710" i="1"/>
  <c r="P968" i="1"/>
  <c r="P681" i="1"/>
  <c r="P493" i="1"/>
  <c r="P767" i="1"/>
  <c r="P1180" i="1"/>
  <c r="P479" i="1"/>
  <c r="P253" i="1"/>
  <c r="P135" i="1"/>
  <c r="P1028" i="1"/>
  <c r="P106" i="1"/>
  <c r="P680" i="1"/>
  <c r="P309" i="1"/>
  <c r="P247" i="1"/>
  <c r="P797" i="1"/>
  <c r="P1229" i="1"/>
  <c r="P994" i="1"/>
  <c r="P100" i="1"/>
  <c r="P37" i="1"/>
  <c r="P858" i="1"/>
  <c r="P790" i="1"/>
  <c r="P105" i="1"/>
  <c r="P232" i="1"/>
  <c r="P272" i="1"/>
  <c r="P452" i="1"/>
  <c r="P918" i="1"/>
  <c r="P875" i="1"/>
  <c r="P353" i="1"/>
  <c r="P825" i="1"/>
  <c r="P924" i="1"/>
  <c r="P1256" i="1"/>
  <c r="P41" i="1"/>
  <c r="P283" i="1"/>
  <c r="P1273" i="1"/>
  <c r="P14" i="1"/>
  <c r="P1197" i="1"/>
  <c r="P71" i="1"/>
  <c r="P442" i="1"/>
  <c r="P530" i="1"/>
  <c r="P1000" i="1"/>
  <c r="P1187" i="1"/>
  <c r="P508" i="1"/>
  <c r="P1232" i="1"/>
  <c r="P1055" i="1"/>
  <c r="P361" i="1"/>
  <c r="P763" i="1"/>
  <c r="P891" i="1"/>
  <c r="P702" i="1"/>
  <c r="P444" i="1"/>
  <c r="P183" i="1"/>
  <c r="P28" i="1"/>
  <c r="P1114" i="1"/>
  <c r="P650" i="1"/>
  <c r="P1060" i="1"/>
  <c r="P218" i="1"/>
  <c r="P717" i="1"/>
  <c r="P816" i="1"/>
  <c r="P902" i="1"/>
  <c r="P1096" i="1"/>
  <c r="P591" i="1"/>
  <c r="P755" i="1"/>
  <c r="P435" i="1"/>
  <c r="P607" i="1"/>
  <c r="P1138" i="1"/>
  <c r="P793" i="1"/>
  <c r="P273" i="1"/>
  <c r="P914" i="1"/>
  <c r="P4" i="1"/>
  <c r="P589" i="1"/>
  <c r="P1127" i="1"/>
  <c r="P214" i="1"/>
  <c r="P454" i="1"/>
  <c r="P716" i="1"/>
  <c r="P682" i="1"/>
  <c r="P923" i="1"/>
  <c r="P889" i="1"/>
  <c r="P622" i="1"/>
  <c r="P388" i="1"/>
  <c r="P42" i="1"/>
  <c r="P433" i="1"/>
  <c r="P1037" i="1"/>
  <c r="P1113" i="1"/>
  <c r="P235" i="1"/>
  <c r="P1150" i="1"/>
  <c r="P1109" i="1"/>
  <c r="P985" i="1"/>
  <c r="P1044" i="1"/>
  <c r="P1120" i="1"/>
  <c r="P719" i="1"/>
  <c r="P314" i="1"/>
  <c r="P770" i="1"/>
  <c r="P1210" i="1"/>
  <c r="P707" i="1"/>
  <c r="P1218" i="1"/>
  <c r="P536" i="1"/>
  <c r="P360" i="1"/>
  <c r="P1262" i="1"/>
  <c r="P1146" i="1"/>
  <c r="P958" i="1"/>
  <c r="P1257" i="1"/>
  <c r="P597" i="1"/>
  <c r="P628" i="1"/>
  <c r="P1083" i="1"/>
  <c r="P559" i="1"/>
  <c r="P1185" i="1"/>
  <c r="P826" i="1"/>
  <c r="P30" i="1"/>
  <c r="P751" i="1"/>
  <c r="P1067" i="1"/>
  <c r="P1047" i="1"/>
  <c r="P677" i="1"/>
  <c r="P915" i="1"/>
  <c r="P1015" i="1"/>
  <c r="P465" i="1"/>
  <c r="P461" i="1"/>
  <c r="P520" i="1"/>
  <c r="P1089" i="1"/>
  <c r="P978" i="1"/>
  <c r="P1160" i="1"/>
  <c r="P1101" i="1"/>
  <c r="P896" i="1"/>
  <c r="P572" i="1"/>
  <c r="P709" i="1"/>
  <c r="P933" i="1"/>
  <c r="P964" i="1"/>
  <c r="P1172" i="1"/>
  <c r="P1249" i="1"/>
  <c r="P706" i="1"/>
  <c r="P310" i="1"/>
  <c r="P29" i="1"/>
  <c r="P275" i="1"/>
  <c r="P315" i="1"/>
  <c r="P47" i="1"/>
  <c r="P538" i="1"/>
  <c r="P182" i="1"/>
  <c r="P695" i="1"/>
  <c r="P993" i="1"/>
  <c r="P928" i="1"/>
  <c r="P472" i="1"/>
  <c r="P947" i="1"/>
  <c r="P292" i="1"/>
  <c r="P772" i="1"/>
  <c r="P519" i="1"/>
  <c r="P1206" i="1"/>
  <c r="P534" i="1"/>
  <c r="P1043" i="1"/>
  <c r="P1271" i="1"/>
  <c r="P526" i="1"/>
  <c r="P96" i="1"/>
  <c r="P421" i="1"/>
  <c r="P846" i="1"/>
  <c r="P806" i="1"/>
  <c r="P394" i="1"/>
  <c r="P631" i="1"/>
  <c r="P1053" i="1"/>
  <c r="P261" i="1"/>
  <c r="P592" i="1"/>
  <c r="P787" i="1"/>
  <c r="P1091" i="1"/>
  <c r="P139" i="1"/>
  <c r="P1173" i="1"/>
  <c r="P413" i="1"/>
  <c r="P575" i="1"/>
  <c r="P144" i="1"/>
  <c r="P660" i="1"/>
  <c r="P609" i="1"/>
  <c r="P960" i="1"/>
  <c r="P332" i="1"/>
  <c r="P333" i="1"/>
  <c r="P517" i="1"/>
  <c r="P949" i="1"/>
  <c r="P696" i="1"/>
  <c r="P1086" i="1"/>
  <c r="P1030" i="1"/>
  <c r="P1002" i="1"/>
  <c r="P130" i="1"/>
  <c r="P824" i="1"/>
  <c r="P729" i="1"/>
  <c r="P1250" i="1"/>
  <c r="P476" i="1"/>
  <c r="P1034" i="1"/>
  <c r="P462" i="1"/>
  <c r="P424" i="1"/>
  <c r="P3" i="1"/>
  <c r="P1205" i="1"/>
  <c r="P639" i="1"/>
  <c r="P593" i="1"/>
  <c r="P170" i="1"/>
  <c r="P1081" i="1"/>
  <c r="P756" i="1"/>
  <c r="P1251" i="1"/>
  <c r="P1152" i="1"/>
  <c r="P791" i="1"/>
  <c r="P51" i="1"/>
  <c r="P123" i="1"/>
  <c r="P905" i="1"/>
  <c r="P434" i="1"/>
  <c r="P831" i="1"/>
  <c r="P392" i="1"/>
  <c r="P1283" i="1"/>
  <c r="P727" i="1"/>
  <c r="P897" i="1"/>
  <c r="P1008" i="1"/>
  <c r="P699" i="1"/>
  <c r="P948" i="1"/>
  <c r="P1199" i="1"/>
  <c r="P854" i="1"/>
  <c r="P1261" i="1"/>
  <c r="P935" i="1"/>
  <c r="P823" i="1"/>
  <c r="P855" i="1"/>
  <c r="P1054" i="1"/>
  <c r="P1239" i="1"/>
  <c r="P15" i="1"/>
  <c r="P801" i="1"/>
  <c r="P762" i="1"/>
  <c r="P290" i="1"/>
  <c r="P598" i="1"/>
  <c r="P741" i="1"/>
  <c r="P757" i="1"/>
  <c r="P912" i="1"/>
  <c r="P830" i="1"/>
  <c r="P1181" i="1"/>
  <c r="P929" i="1"/>
  <c r="P265" i="1"/>
  <c r="P714" i="1"/>
  <c r="P614" i="1"/>
  <c r="P1130" i="1"/>
  <c r="P692" i="1"/>
  <c r="P456" i="1"/>
  <c r="P1253" i="1"/>
  <c r="P599" i="1"/>
  <c r="P1104" i="1"/>
  <c r="P1103" i="1"/>
  <c r="P646" i="1"/>
  <c r="P1119" i="1"/>
  <c r="P471" i="1"/>
  <c r="P955" i="1"/>
  <c r="P354" i="1"/>
  <c r="P987" i="1"/>
  <c r="P542" i="1"/>
  <c r="P656" i="1"/>
  <c r="P1112" i="1"/>
  <c r="P330" i="1"/>
  <c r="P159" i="1"/>
  <c r="P1087" i="1"/>
  <c r="P410" i="1"/>
  <c r="P445" i="1"/>
  <c r="P254" i="1"/>
  <c r="P781" i="1"/>
  <c r="P1147" i="1"/>
  <c r="P1284" i="1"/>
  <c r="P799" i="1"/>
  <c r="P398" i="1"/>
  <c r="P321" i="1"/>
  <c r="P147" i="1"/>
  <c r="P1241" i="1"/>
  <c r="P482" i="1"/>
  <c r="P1061" i="1"/>
  <c r="P1166" i="1"/>
  <c r="P648" i="1"/>
  <c r="P962" i="1"/>
  <c r="P1157" i="1"/>
  <c r="P1267" i="1"/>
  <c r="P618" i="1"/>
  <c r="P1223" i="1"/>
  <c r="P270" i="1"/>
  <c r="P916" i="1"/>
  <c r="P312" i="1"/>
  <c r="P655" i="1"/>
  <c r="P965" i="1"/>
  <c r="P909" i="1"/>
  <c r="P484" i="1"/>
  <c r="P165" i="1"/>
  <c r="P748" i="1"/>
  <c r="P437" i="1"/>
  <c r="P562" i="1"/>
  <c r="P838" i="1"/>
  <c r="P860" i="1"/>
  <c r="P440" i="1"/>
  <c r="P259" i="1"/>
  <c r="P10" i="1"/>
  <c r="P742" i="1"/>
  <c r="P673" i="1"/>
  <c r="P133" i="1"/>
  <c r="P689" i="1"/>
  <c r="P416" i="1"/>
  <c r="P621" i="1"/>
  <c r="P418" i="1"/>
  <c r="P753" i="1"/>
  <c r="P548" i="1"/>
  <c r="P346" i="1"/>
  <c r="P851" i="1"/>
  <c r="P620" i="1"/>
  <c r="P1100" i="1"/>
  <c r="P1231" i="1"/>
  <c r="P280" i="1"/>
  <c r="P467" i="1"/>
  <c r="P564" i="1"/>
  <c r="P458" i="1"/>
  <c r="P432" i="1"/>
  <c r="P64" i="1"/>
  <c r="P502" i="1"/>
  <c r="P524" i="1"/>
  <c r="P400" i="1"/>
  <c r="P857" i="1"/>
  <c r="P679" i="1"/>
  <c r="P1041" i="1"/>
  <c r="P1211" i="1"/>
  <c r="P523" i="1"/>
  <c r="P527" i="1"/>
  <c r="P616" i="1"/>
  <c r="P782" i="1"/>
  <c r="P1252" i="1"/>
  <c r="P882" i="1"/>
  <c r="P653" i="1"/>
  <c r="P686" i="1"/>
  <c r="P878" i="1"/>
  <c r="P705" i="1"/>
  <c r="P490" i="1"/>
  <c r="P913" i="1"/>
  <c r="P931" i="1"/>
  <c r="P1073" i="1"/>
  <c r="P132" i="1"/>
  <c r="P31" i="1"/>
  <c r="P186" i="1"/>
  <c r="P1209" i="1"/>
  <c r="P731" i="1"/>
  <c r="P1235" i="1"/>
  <c r="P1282" i="1"/>
  <c r="P1279" i="1"/>
  <c r="P487" i="1"/>
  <c r="P938" i="1"/>
  <c r="P1124" i="1"/>
  <c r="P1240" i="1"/>
  <c r="P866" i="1"/>
  <c r="P225" i="1"/>
  <c r="P1280" i="1"/>
  <c r="P865" i="1"/>
  <c r="P974" i="1"/>
  <c r="P856" i="1"/>
  <c r="P927" i="1"/>
  <c r="P390" i="1"/>
  <c r="P335" i="1"/>
  <c r="P313" i="1"/>
  <c r="P557" i="1"/>
  <c r="P1027" i="1"/>
  <c r="P868" i="1"/>
  <c r="P1032" i="1"/>
  <c r="P351" i="1"/>
  <c r="P411" i="1"/>
  <c r="P78" i="1"/>
  <c r="P1177" i="1"/>
  <c r="P56" i="1"/>
  <c r="P1023" i="1"/>
  <c r="P422" i="1"/>
  <c r="P176" i="1"/>
  <c r="P833" i="1"/>
  <c r="P940" i="1"/>
  <c r="P480" i="1"/>
  <c r="P659" i="1"/>
  <c r="P1200" i="1"/>
  <c r="P798" i="1"/>
  <c r="P26" i="1"/>
  <c r="P334" i="1"/>
  <c r="P441" i="1"/>
  <c r="P917" i="1"/>
  <c r="P867" i="1"/>
  <c r="P532" i="1"/>
  <c r="P53" i="1"/>
  <c r="P1154" i="1"/>
  <c r="P1046" i="1"/>
  <c r="P324" i="1"/>
  <c r="P862" i="1"/>
  <c r="P676" i="1"/>
  <c r="P358" i="1"/>
  <c r="P890" i="1"/>
  <c r="P1136" i="1"/>
  <c r="P1099" i="1"/>
  <c r="P498" i="1"/>
  <c r="P1141" i="1"/>
  <c r="P1016" i="1"/>
  <c r="P83" i="1"/>
  <c r="P17" i="1"/>
  <c r="P1108" i="1"/>
  <c r="P792" i="1"/>
  <c r="P172" i="1"/>
  <c r="P898" i="1"/>
  <c r="P1135" i="1"/>
  <c r="P1105" i="1"/>
  <c r="P1265" i="1"/>
  <c r="P795" i="1"/>
  <c r="P852" i="1"/>
  <c r="P1191" i="1"/>
  <c r="P359" i="1"/>
  <c r="P1118" i="1"/>
  <c r="P1204" i="1"/>
  <c r="P1244" i="1"/>
  <c r="P1254" i="1"/>
  <c r="P1078" i="1"/>
  <c r="P981" i="1"/>
  <c r="P1158" i="1"/>
  <c r="P1070" i="1"/>
  <c r="P395" i="1"/>
  <c r="P654" i="1"/>
  <c r="P1264" i="1"/>
  <c r="P740" i="1"/>
  <c r="P1148" i="1"/>
  <c r="P1142" i="1"/>
  <c r="P1192" i="1"/>
  <c r="P464" i="1"/>
  <c r="P412" i="1"/>
  <c r="P1226" i="1"/>
  <c r="P457" i="1"/>
  <c r="P555" i="1"/>
  <c r="P588" i="1"/>
  <c r="P1019" i="1"/>
  <c r="P850" i="1"/>
  <c r="P1255" i="1"/>
  <c r="P116" i="1"/>
  <c r="P408" i="1"/>
  <c r="P1222" i="1"/>
  <c r="P439" i="1"/>
  <c r="P585" i="1"/>
  <c r="P1042" i="1"/>
  <c r="P967" i="1"/>
  <c r="P723" i="1"/>
  <c r="P76" i="1"/>
  <c r="P907" i="1"/>
  <c r="P612" i="1"/>
  <c r="P809" i="1"/>
  <c r="P995" i="1"/>
  <c r="P121" i="1"/>
  <c r="P1260" i="1"/>
  <c r="P950" i="1"/>
  <c r="P1159" i="1"/>
  <c r="P1122" i="1"/>
  <c r="P1052" i="1"/>
  <c r="P893" i="1"/>
  <c r="P873" i="1"/>
  <c r="P1194" i="1"/>
  <c r="P475" i="1"/>
  <c r="P1025" i="1"/>
  <c r="P694" i="1"/>
  <c r="P894" i="1"/>
  <c r="P1049" i="1"/>
  <c r="P887" i="1"/>
  <c r="P726" i="1"/>
  <c r="P617" i="1"/>
  <c r="P1036" i="1"/>
  <c r="P1245" i="1"/>
  <c r="P1225" i="1"/>
  <c r="P1116" i="1"/>
  <c r="P1001" i="1"/>
  <c r="P904" i="1"/>
  <c r="P704" i="1"/>
  <c r="P842" i="1"/>
  <c r="P925" i="1"/>
  <c r="P1248" i="1"/>
  <c r="P649" i="1"/>
  <c r="P1203" i="1"/>
  <c r="P774" i="1"/>
  <c r="P786" i="1"/>
  <c r="P1246" i="1"/>
  <c r="P1079" i="1"/>
  <c r="P379" i="1"/>
  <c r="P342" i="1"/>
  <c r="P764" i="1"/>
  <c r="P223" i="1"/>
  <c r="P423" i="1"/>
  <c r="P606" i="1"/>
  <c r="P911" i="1"/>
  <c r="P980" i="1"/>
  <c r="P545" i="1"/>
  <c r="P1090" i="1"/>
  <c r="P1188" i="1"/>
  <c r="P368" i="1"/>
  <c r="P829" i="1"/>
  <c r="P547" i="1"/>
  <c r="P969" i="1"/>
  <c r="P473" i="1"/>
  <c r="P1075" i="1"/>
  <c r="P322" i="1"/>
  <c r="P750" i="1"/>
  <c r="P404" i="1"/>
  <c r="P626" i="1"/>
  <c r="P819" i="1"/>
  <c r="P134" i="1"/>
  <c r="P1022" i="1"/>
  <c r="P1140" i="1"/>
  <c r="P939" i="1"/>
  <c r="P1117" i="1"/>
  <c r="P478" i="1"/>
  <c r="P783" i="1"/>
  <c r="P638" i="1"/>
  <c r="P877" i="1"/>
  <c r="P383" i="1"/>
  <c r="P469" i="1"/>
  <c r="P942" i="1"/>
  <c r="P1217" i="1"/>
  <c r="P1134" i="1"/>
  <c r="P1004" i="1"/>
  <c r="P1068" i="1"/>
  <c r="P813" i="1"/>
  <c r="P934" i="1"/>
  <c r="P196" i="1"/>
  <c r="P1102" i="1"/>
  <c r="P666" i="1"/>
  <c r="P1213" i="1"/>
  <c r="P568" i="1"/>
  <c r="P1163" i="1"/>
  <c r="P1216" i="1"/>
  <c r="P1010" i="1"/>
  <c r="P966" i="1"/>
  <c r="P785" i="1"/>
  <c r="P630" i="1"/>
  <c r="P663" i="1"/>
  <c r="P954" i="1"/>
  <c r="P1056" i="1"/>
  <c r="P822" i="1"/>
  <c r="P189" i="1"/>
  <c r="P1162" i="1"/>
  <c r="P1174" i="1"/>
  <c r="P1144" i="1"/>
  <c r="P341" i="1"/>
  <c r="P1183" i="1"/>
  <c r="P640" i="1"/>
  <c r="P438" i="1"/>
  <c r="P789" i="1"/>
  <c r="P565" i="1"/>
  <c r="P996" i="1"/>
  <c r="P674" i="1"/>
  <c r="P738" i="1"/>
  <c r="P470" i="1"/>
  <c r="P605" i="1"/>
  <c r="P1095" i="1"/>
  <c r="P827" i="1"/>
  <c r="P571" i="1"/>
  <c r="P293" i="1"/>
  <c r="P1005" i="1"/>
  <c r="P885" i="1"/>
  <c r="P1214" i="1"/>
  <c r="P1033" i="1"/>
  <c r="P1014" i="1"/>
  <c r="P5" i="1"/>
  <c r="P289" i="1"/>
  <c r="P221" i="1"/>
  <c r="P1009" i="1"/>
  <c r="P1098" i="1"/>
  <c r="P474" i="1"/>
  <c r="P1062" i="1"/>
  <c r="P485" i="1"/>
  <c r="P788" i="1"/>
  <c r="P1035" i="1"/>
  <c r="P817" i="1"/>
  <c r="P752" i="1"/>
  <c r="P725" i="1"/>
  <c r="P745" i="1"/>
  <c r="P1212" i="1"/>
  <c r="P579" i="1"/>
  <c r="P86" i="1"/>
  <c r="P1084" i="1"/>
  <c r="P1069" i="1"/>
  <c r="P664" i="1"/>
  <c r="P1082" i="1"/>
  <c r="P1040" i="1"/>
  <c r="P213" i="1"/>
  <c r="P563" i="1"/>
  <c r="P1039" i="1"/>
  <c r="P514" i="1"/>
  <c r="P832" i="1"/>
  <c r="P1021" i="1"/>
  <c r="P1242" i="1"/>
  <c r="P1115" i="1"/>
  <c r="P758" i="1"/>
  <c r="P652" i="1"/>
  <c r="P859" i="1"/>
  <c r="P1215" i="1"/>
  <c r="P173" i="1"/>
  <c r="P285" i="1"/>
  <c r="P1182" i="1"/>
  <c r="P1126" i="1"/>
  <c r="P574" i="1"/>
  <c r="P544" i="1"/>
  <c r="P124" i="1"/>
  <c r="P167" i="1"/>
  <c r="P847" i="1"/>
  <c r="P323" i="1"/>
  <c r="P1020" i="1"/>
  <c r="P329" i="1"/>
  <c r="P1281" i="1"/>
  <c r="P580" i="1"/>
  <c r="P977" i="1"/>
  <c r="P409" i="1"/>
  <c r="P219" i="1"/>
  <c r="P190" i="1"/>
  <c r="P231" i="1"/>
  <c r="P374" i="1"/>
  <c r="P201" i="1"/>
  <c r="P108" i="1"/>
  <c r="P12" i="1"/>
  <c r="P979" i="1"/>
  <c r="P104" i="1"/>
  <c r="P1149" i="1"/>
  <c r="P749" i="1"/>
  <c r="P888" i="1"/>
  <c r="P396" i="1"/>
  <c r="P512" i="1"/>
  <c r="P1274" i="1"/>
  <c r="P627" i="1"/>
  <c r="P376" i="1"/>
  <c r="P141" i="1"/>
  <c r="P466" i="1"/>
  <c r="P528" i="1"/>
  <c r="P258" i="1"/>
  <c r="P1071" i="1"/>
  <c r="P543" i="1"/>
  <c r="P1175" i="1"/>
  <c r="P635" i="1"/>
  <c r="P1156" i="1"/>
  <c r="P611" i="1"/>
  <c r="P769" i="1"/>
  <c r="P990" i="1"/>
  <c r="P339" i="1"/>
  <c r="P459" i="1"/>
  <c r="P525" i="1"/>
  <c r="P166" i="1"/>
  <c r="P1076" i="1"/>
  <c r="P84" i="1"/>
  <c r="P262" i="1"/>
  <c r="P1196" i="1"/>
  <c r="P765" i="1"/>
  <c r="P983" i="1"/>
  <c r="P586" i="1"/>
  <c r="P667" i="1"/>
  <c r="P369" i="1"/>
  <c r="P794" i="1"/>
  <c r="P1063" i="1"/>
  <c r="P956" i="1"/>
  <c r="P1026" i="1"/>
  <c r="P1170" i="1"/>
  <c r="P401" i="1"/>
  <c r="P1258" i="1"/>
  <c r="P713" i="1"/>
  <c r="P405" i="1"/>
  <c r="P1259" i="1"/>
  <c r="P406" i="1"/>
  <c r="P623" i="1"/>
  <c r="P1201" i="1"/>
  <c r="P344" i="1"/>
  <c r="P1155" i="1"/>
  <c r="P203" i="1"/>
  <c r="P1048" i="1"/>
  <c r="P690" i="1"/>
  <c r="P736" i="1"/>
  <c r="P109" i="1"/>
  <c r="P814" i="1"/>
  <c r="P1110" i="1"/>
  <c r="P157" i="1"/>
  <c r="P998" i="1"/>
  <c r="P812" i="1"/>
  <c r="P919" i="1"/>
  <c r="P1278" i="1"/>
  <c r="P1171" i="1"/>
  <c r="P1085" i="1"/>
  <c r="P429" i="1"/>
  <c r="P1184" i="1"/>
  <c r="P1208" i="1"/>
  <c r="P1263" i="1"/>
  <c r="P370" i="1"/>
  <c r="P558" i="1"/>
  <c r="P961" i="1"/>
  <c r="P1227" i="1"/>
  <c r="P1186" i="1"/>
  <c r="P760" i="1"/>
  <c r="P945" i="1"/>
  <c r="P1007" i="1"/>
  <c r="P1266" i="1"/>
  <c r="P188" i="1"/>
  <c r="P286" i="1"/>
  <c r="P903" i="1"/>
  <c r="P778" i="1"/>
  <c r="P1059" i="1"/>
  <c r="P1074" i="1"/>
  <c r="Q446" i="1"/>
  <c r="R446" i="1"/>
  <c r="Q6" i="1"/>
  <c r="Q21" i="1"/>
  <c r="Q431" i="1"/>
  <c r="Q501" i="1"/>
  <c r="Q187" i="1"/>
  <c r="Q39" i="1"/>
  <c r="Q181" i="1"/>
  <c r="Q724" i="1"/>
  <c r="Q428" i="1"/>
  <c r="Q199" i="1"/>
  <c r="Q420" i="1"/>
  <c r="Q122" i="1"/>
  <c r="Q238" i="1"/>
  <c r="Q152" i="1"/>
  <c r="Q537" i="1"/>
  <c r="Q184" i="1"/>
  <c r="Q403" i="1"/>
  <c r="Q327" i="1"/>
  <c r="Q11" i="1"/>
  <c r="Q49" i="1"/>
  <c r="Q570" i="1"/>
  <c r="Q844" i="1"/>
  <c r="Q531" i="1"/>
  <c r="Q331" i="1"/>
  <c r="Q36" i="1"/>
  <c r="Q540" i="1"/>
  <c r="Q378" i="1"/>
  <c r="Q347" i="1"/>
  <c r="Q941" i="1"/>
  <c r="Q256" i="1"/>
  <c r="Q150" i="1"/>
  <c r="Q120" i="1"/>
  <c r="Q976" i="1"/>
  <c r="Q91" i="1"/>
  <c r="Q281" i="1"/>
  <c r="Q343" i="1"/>
  <c r="Q127" i="1"/>
  <c r="Q50" i="1"/>
  <c r="Q228" i="1"/>
  <c r="Q27" i="1"/>
  <c r="Q352" i="1"/>
  <c r="Q129" i="1"/>
  <c r="Q892" i="1"/>
  <c r="Q55" i="1"/>
  <c r="Q69" i="1"/>
  <c r="Q243" i="1"/>
  <c r="Q1195" i="1"/>
  <c r="Q946" i="1"/>
  <c r="Q561" i="1"/>
  <c r="Q93" i="1"/>
  <c r="Q610" i="1"/>
  <c r="Q66" i="1"/>
  <c r="Q761" i="1"/>
  <c r="Q551" i="1"/>
  <c r="Q67" i="1"/>
  <c r="Q140" i="1"/>
  <c r="Q362" i="1"/>
  <c r="Q208" i="1"/>
  <c r="Q881" i="1"/>
  <c r="Q1097" i="1"/>
  <c r="Q1224" i="1"/>
  <c r="Q402" i="1"/>
  <c r="Q1006" i="1"/>
  <c r="Q746" i="1"/>
  <c r="Q744" i="1"/>
  <c r="Q8" i="1"/>
  <c r="Q92" i="1"/>
  <c r="Q119" i="1"/>
  <c r="Q848" i="1"/>
  <c r="Q1269" i="1"/>
  <c r="Q126" i="1"/>
  <c r="Q930" i="1"/>
  <c r="Q1176" i="1"/>
  <c r="Q661" i="1"/>
  <c r="Q972" i="1"/>
  <c r="Q468" i="1"/>
  <c r="Q675" i="1"/>
  <c r="Q861" i="1"/>
  <c r="Q103" i="1"/>
  <c r="Q326" i="1"/>
  <c r="Q367" i="1"/>
  <c r="Q38" i="1"/>
  <c r="Q242" i="1"/>
  <c r="Q138" i="1"/>
  <c r="Q515" i="1"/>
  <c r="Q107" i="1"/>
  <c r="Q489" i="1"/>
  <c r="Q999" i="1"/>
  <c r="Q349" i="1"/>
  <c r="Q549" i="1"/>
  <c r="Q52" i="1"/>
  <c r="Q984" i="1"/>
  <c r="Q869" i="1"/>
  <c r="Q427" i="1"/>
  <c r="Q142" i="1"/>
  <c r="Q34" i="1"/>
  <c r="Q311" i="1"/>
  <c r="Q734" i="1"/>
  <c r="Q110" i="1"/>
  <c r="Q220" i="1"/>
  <c r="Q249" i="1"/>
  <c r="Q1080" i="1"/>
  <c r="Q415" i="1"/>
  <c r="Q642" i="1"/>
  <c r="Q643" i="1"/>
  <c r="Q511" i="1"/>
  <c r="Q16" i="1"/>
  <c r="Q115" i="1"/>
  <c r="Q209" i="1"/>
  <c r="Q1139" i="1"/>
  <c r="Q58" i="1"/>
  <c r="Q566" i="1"/>
  <c r="Q158" i="1"/>
  <c r="Q304" i="1"/>
  <c r="Q20" i="1"/>
  <c r="Q68" i="1"/>
  <c r="Q25" i="1"/>
  <c r="Q194" i="1"/>
  <c r="Q319" i="1"/>
  <c r="Q1077" i="1"/>
  <c r="Q397" i="1"/>
  <c r="Q728" i="1"/>
  <c r="Q505" i="1"/>
  <c r="Q35" i="1"/>
  <c r="Q46" i="1"/>
  <c r="Q414" i="1"/>
  <c r="Q382" i="1"/>
  <c r="Q1268" i="1"/>
  <c r="Q811" i="1"/>
  <c r="Q708" i="1"/>
  <c r="Q647" i="1"/>
  <c r="Q241" i="1"/>
  <c r="Q297" i="1"/>
  <c r="Q59" i="1"/>
  <c r="Q759" i="1"/>
  <c r="Q1031" i="1"/>
  <c r="Q768" i="1"/>
  <c r="Q389" i="1"/>
  <c r="Q720" i="1"/>
  <c r="Q657" i="1"/>
  <c r="Q595" i="1"/>
  <c r="Q1018" i="1"/>
  <c r="Q739" i="1"/>
  <c r="Q780" i="1"/>
  <c r="Q486" i="1"/>
  <c r="Q180" i="1"/>
  <c r="Q348" i="1"/>
  <c r="Q644" i="1"/>
  <c r="Q250" i="1"/>
  <c r="Q229" i="1"/>
  <c r="Q33" i="1"/>
  <c r="Q835" i="1"/>
  <c r="Q365" i="1"/>
  <c r="Q922" i="1"/>
  <c r="Q448" i="1"/>
  <c r="Q491" i="1"/>
  <c r="Q665" i="1"/>
  <c r="Q1066" i="1"/>
  <c r="Q737" i="1"/>
  <c r="Q425" i="1"/>
  <c r="Q658" i="1"/>
  <c r="Q766" i="1"/>
  <c r="Q87" i="1"/>
  <c r="Q522" i="1"/>
  <c r="Q608" i="1"/>
  <c r="Q364" i="1"/>
  <c r="Q386" i="1"/>
  <c r="Q23" i="1"/>
  <c r="Q1123" i="1"/>
  <c r="Q849" i="1"/>
  <c r="Q507" i="1"/>
  <c r="Q185" i="1"/>
  <c r="Q1202" i="1"/>
  <c r="Q9" i="1"/>
  <c r="Q884" i="1"/>
  <c r="Q373" i="1"/>
  <c r="Q234" i="1"/>
  <c r="Q328" i="1"/>
  <c r="Q154" i="1"/>
  <c r="Q1179" i="1"/>
  <c r="Q775" i="1"/>
  <c r="Q65" i="1"/>
  <c r="Q803" i="1"/>
  <c r="Q683" i="1"/>
  <c r="Q603" i="1"/>
  <c r="Q615" i="1"/>
  <c r="Q560" i="1"/>
  <c r="Q191" i="1"/>
  <c r="Q784" i="1"/>
  <c r="Q636" i="1"/>
  <c r="Q102" i="1"/>
  <c r="Q581" i="1"/>
  <c r="Q541" i="1"/>
  <c r="Q264" i="1"/>
  <c r="Q393" i="1"/>
  <c r="Q906" i="1"/>
  <c r="Q278" i="1"/>
  <c r="Q192" i="1"/>
  <c r="Q233" i="1"/>
  <c r="Q145" i="1"/>
  <c r="Q244" i="1"/>
  <c r="Q81" i="1"/>
  <c r="Q277" i="1"/>
  <c r="Q301" i="1"/>
  <c r="Q128" i="1"/>
  <c r="Q880" i="1"/>
  <c r="Q451" i="1"/>
  <c r="Q625" i="1"/>
  <c r="Q1189" i="1"/>
  <c r="Q488" i="1"/>
  <c r="Q18" i="1"/>
  <c r="Q380" i="1"/>
  <c r="Q72" i="1"/>
  <c r="Q583" i="1"/>
  <c r="Q7" i="1"/>
  <c r="Q494" i="1"/>
  <c r="Q629" i="1"/>
  <c r="Q325" i="1"/>
  <c r="Q864" i="1"/>
  <c r="Q114" i="1"/>
  <c r="Q32" i="1"/>
  <c r="Q75" i="1"/>
  <c r="Q957" i="1"/>
  <c r="Q381" i="1"/>
  <c r="Q670" i="1"/>
  <c r="Q970" i="1"/>
  <c r="Q417" i="1"/>
  <c r="Q449" i="1"/>
  <c r="Q22" i="1"/>
  <c r="Q168" i="1"/>
  <c r="Q1275" i="1"/>
  <c r="Q1065" i="1"/>
  <c r="Q356" i="1"/>
  <c r="Q151" i="1"/>
  <c r="Q1107" i="1"/>
  <c r="Q345" i="1"/>
  <c r="Q136" i="1"/>
  <c r="Q48" i="1"/>
  <c r="Q267" i="1"/>
  <c r="Q357" i="1"/>
  <c r="Q712" i="1"/>
  <c r="Q604" i="1"/>
  <c r="Q921" i="1"/>
  <c r="Q1125" i="1"/>
  <c r="Q385" i="1"/>
  <c r="Q577" i="1"/>
  <c r="Q1092" i="1"/>
  <c r="Q1272" i="1"/>
  <c r="Q687" i="1"/>
  <c r="Q197" i="1"/>
  <c r="Q131" i="1"/>
  <c r="Q89" i="1"/>
  <c r="Q97" i="1"/>
  <c r="Q162" i="1"/>
  <c r="Q206" i="1"/>
  <c r="Q216" i="1"/>
  <c r="Q436" i="1"/>
  <c r="Q951" i="1"/>
  <c r="Q288" i="1"/>
  <c r="Q569" i="1"/>
  <c r="Q19" i="1"/>
  <c r="Q550" i="1"/>
  <c r="Q818" i="1"/>
  <c r="Q156" i="1"/>
  <c r="Q377" i="1"/>
  <c r="Q533" i="1"/>
  <c r="Q1277" i="1"/>
  <c r="Q1121" i="1"/>
  <c r="Q567" i="1"/>
  <c r="Q260" i="1"/>
  <c r="Q224" i="1"/>
  <c r="Q355" i="1"/>
  <c r="Q800" i="1"/>
  <c r="Q2" i="1"/>
  <c r="Q1161" i="1"/>
  <c r="Q1051" i="1"/>
  <c r="Q419" i="1"/>
  <c r="Q240" i="1"/>
  <c r="Q1276" i="1"/>
  <c r="Q453" i="1"/>
  <c r="Q210" i="1"/>
  <c r="Q82" i="1"/>
  <c r="Q513" i="1"/>
  <c r="Q837" i="1"/>
  <c r="Q596" i="1"/>
  <c r="Q943" i="1"/>
  <c r="Q841" i="1"/>
  <c r="Q1236" i="1"/>
  <c r="Q226" i="1"/>
  <c r="Q496" i="1"/>
  <c r="Q118" i="1"/>
  <c r="Q721" i="1"/>
  <c r="Q230" i="1"/>
  <c r="Q703" i="1"/>
  <c r="Q266" i="1"/>
  <c r="Q1243" i="1"/>
  <c r="Q1058" i="1"/>
  <c r="Q552" i="1"/>
  <c r="Q215" i="1"/>
  <c r="Q613" i="1"/>
  <c r="Q691" i="1"/>
  <c r="Q871" i="1"/>
  <c r="Q920" i="1"/>
  <c r="Q876" i="1"/>
  <c r="Q503" i="1"/>
  <c r="Q211" i="1"/>
  <c r="Q1238" i="1"/>
  <c r="Q125" i="1"/>
  <c r="Q340" i="1"/>
  <c r="Q148" i="1"/>
  <c r="Q276" i="1"/>
  <c r="Q443" i="1"/>
  <c r="Q619" i="1"/>
  <c r="Q113" i="1"/>
  <c r="Q155" i="1"/>
  <c r="Q94" i="1"/>
  <c r="Q463" i="1"/>
  <c r="Q193" i="1"/>
  <c r="Q384" i="1"/>
  <c r="Q236" i="1"/>
  <c r="Q372" i="1"/>
  <c r="Q553" i="1"/>
  <c r="Q698" i="1"/>
  <c r="Q387" i="1"/>
  <c r="Q1013" i="1"/>
  <c r="Q305" i="1"/>
  <c r="Q576" i="1"/>
  <c r="Q504" i="1"/>
  <c r="Q268" i="1"/>
  <c r="Q684" i="1"/>
  <c r="Q1131" i="1"/>
  <c r="Q701" i="1"/>
  <c r="Q672" i="1"/>
  <c r="Q239" i="1"/>
  <c r="Q936" i="1"/>
  <c r="Q872" i="1"/>
  <c r="Q1151" i="1"/>
  <c r="Q754" i="1"/>
  <c r="Q237" i="1"/>
  <c r="Q1088" i="1"/>
  <c r="Q44" i="1"/>
  <c r="Q63" i="1"/>
  <c r="Q1230" i="1"/>
  <c r="Q697" i="1"/>
  <c r="Q952" i="1"/>
  <c r="Q252" i="1"/>
  <c r="Q1270" i="1"/>
  <c r="Q88" i="1"/>
  <c r="Q212" i="1"/>
  <c r="Q161" i="1"/>
  <c r="Q771" i="1"/>
  <c r="Q836" i="1"/>
  <c r="Q495" i="1"/>
  <c r="Q587" i="1"/>
  <c r="Q804" i="1"/>
  <c r="Q1247" i="1"/>
  <c r="Q573" i="1"/>
  <c r="Q143" i="1"/>
  <c r="Q274" i="1"/>
  <c r="Q584" i="1"/>
  <c r="Q227" i="1"/>
  <c r="Q805" i="1"/>
  <c r="Q1220" i="1"/>
  <c r="Q1011" i="1"/>
  <c r="Q973" i="1"/>
  <c r="Q1050" i="1"/>
  <c r="Q1167" i="1"/>
  <c r="Q391" i="1"/>
  <c r="Q700" i="1"/>
  <c r="Q959" i="1"/>
  <c r="Q685" i="1"/>
  <c r="Q637" i="1"/>
  <c r="Q13" i="1"/>
  <c r="Q982" i="1"/>
  <c r="Q263" i="1"/>
  <c r="Q815" i="1"/>
  <c r="Q1237" i="1"/>
  <c r="Q668" i="1"/>
  <c r="Q146" i="1"/>
  <c r="Q375" i="1"/>
  <c r="Q307" i="1"/>
  <c r="Q1003" i="1"/>
  <c r="Q163" i="1"/>
  <c r="Q175" i="1"/>
  <c r="Q776" i="1"/>
  <c r="Q298" i="1"/>
  <c r="Q671" i="1"/>
  <c r="Q338" i="1"/>
  <c r="Q535" i="1"/>
  <c r="Q651" i="1"/>
  <c r="Q248" i="1"/>
  <c r="Q1178" i="1"/>
  <c r="Q117" i="1"/>
  <c r="Q1012" i="1"/>
  <c r="Q54" i="1"/>
  <c r="Q399" i="1"/>
  <c r="Q895" i="1"/>
  <c r="Q840" i="1"/>
  <c r="Q1219" i="1"/>
  <c r="Q171" i="1"/>
  <c r="Q483" i="1"/>
  <c r="Q953" i="1"/>
  <c r="Q363" i="1"/>
  <c r="Q164" i="1"/>
  <c r="Q937" i="1"/>
  <c r="Q506" i="1"/>
  <c r="Q153" i="1"/>
  <c r="Q662" i="1"/>
  <c r="Q43" i="1"/>
  <c r="Q874" i="1"/>
  <c r="Q73" i="1"/>
  <c r="Q1017" i="1"/>
  <c r="Q944" i="1"/>
  <c r="Q992" i="1"/>
  <c r="Q1198" i="1"/>
  <c r="Q1137" i="1"/>
  <c r="Q633" i="1"/>
  <c r="Q802" i="1"/>
  <c r="Q337" i="1"/>
  <c r="Q62" i="1"/>
  <c r="Q521" i="1"/>
  <c r="Q1193" i="1"/>
  <c r="Q336" i="1"/>
  <c r="Q316" i="1"/>
  <c r="Q257" i="1"/>
  <c r="Q205" i="1"/>
  <c r="Q529" i="1"/>
  <c r="Q477" i="1"/>
  <c r="Q600" i="1"/>
  <c r="Q447" i="1"/>
  <c r="Q251" i="1"/>
  <c r="Q539" i="1"/>
  <c r="Q870" i="1"/>
  <c r="Q886" i="1"/>
  <c r="Q174" i="1"/>
  <c r="Q578" i="1"/>
  <c r="Q308" i="1"/>
  <c r="Q641" i="1"/>
  <c r="Q863" i="1"/>
  <c r="Q518" i="1"/>
  <c r="Q497" i="1"/>
  <c r="Q481" i="1"/>
  <c r="Q926" i="1"/>
  <c r="Q1169" i="1"/>
  <c r="Q634" i="1"/>
  <c r="Q284" i="1"/>
  <c r="Q743" i="1"/>
  <c r="Q255" i="1"/>
  <c r="Q773" i="1"/>
  <c r="Q693" i="1"/>
  <c r="Q200" i="1"/>
  <c r="Q777" i="1"/>
  <c r="Q899" i="1"/>
  <c r="Q111" i="1"/>
  <c r="Q821" i="1"/>
  <c r="Q245" i="1"/>
  <c r="Q688" i="1"/>
  <c r="Q1168" i="1"/>
  <c r="Q430" i="1"/>
  <c r="Q279" i="1"/>
  <c r="Q602" i="1"/>
  <c r="Q1207" i="1"/>
  <c r="Q808" i="1"/>
  <c r="Q590" i="1"/>
  <c r="Q645" i="1"/>
  <c r="Q271" i="1"/>
  <c r="Q149" i="1"/>
  <c r="Q971" i="1"/>
  <c r="Q1145" i="1"/>
  <c r="Q594" i="1"/>
  <c r="Q317" i="1"/>
  <c r="Q98" i="1"/>
  <c r="Q779" i="1"/>
  <c r="Q177" i="1"/>
  <c r="Q1228" i="1"/>
  <c r="Q1094" i="1"/>
  <c r="Q460" i="1"/>
  <c r="Q546" i="1"/>
  <c r="Q57" i="1"/>
  <c r="Q320" i="1"/>
  <c r="Q624" i="1"/>
  <c r="Q269" i="1"/>
  <c r="Q407" i="1"/>
  <c r="Q302" i="1"/>
  <c r="Q296" i="1"/>
  <c r="Q90" i="1"/>
  <c r="Q79" i="1"/>
  <c r="Q1164" i="1"/>
  <c r="Q988" i="1"/>
  <c r="Q169" i="1"/>
  <c r="Q732" i="1"/>
  <c r="Q1072" i="1"/>
  <c r="Q80" i="1"/>
  <c r="Q77" i="1"/>
  <c r="Q85" i="1"/>
  <c r="Q747" i="1"/>
  <c r="Q986" i="1"/>
  <c r="Q733" i="1"/>
  <c r="Q455" i="1"/>
  <c r="Q95" i="1"/>
  <c r="Q834" i="1"/>
  <c r="Q282" i="1"/>
  <c r="Q975" i="1"/>
  <c r="Q1038" i="1"/>
  <c r="Q554" i="1"/>
  <c r="Q1029" i="1"/>
  <c r="Q1128" i="1"/>
  <c r="Q350" i="1"/>
  <c r="Q715" i="1"/>
  <c r="Q303" i="1"/>
  <c r="Q879" i="1"/>
  <c r="Q70" i="1"/>
  <c r="Q1045" i="1"/>
  <c r="Q137" i="1"/>
  <c r="Q901" i="1"/>
  <c r="Q1143" i="1"/>
  <c r="Q1133" i="1"/>
  <c r="Q1111" i="1"/>
  <c r="Q843" i="1"/>
  <c r="Q426" i="1"/>
  <c r="Q735" i="1"/>
  <c r="Q1190" i="1"/>
  <c r="Q499" i="1"/>
  <c r="Q1132" i="1"/>
  <c r="Q963" i="1"/>
  <c r="Q556" i="1"/>
  <c r="Q1221" i="1"/>
  <c r="Q450" i="1"/>
  <c r="Q582" i="1"/>
  <c r="Q1129" i="1"/>
  <c r="Q839" i="1"/>
  <c r="Q1064" i="1"/>
  <c r="Q853" i="1"/>
  <c r="Q295" i="1"/>
  <c r="Q101" i="1"/>
  <c r="Q989" i="1"/>
  <c r="Q306" i="1"/>
  <c r="Q1057" i="1"/>
  <c r="Q300" i="1"/>
  <c r="Q202" i="1"/>
  <c r="Q492" i="1"/>
  <c r="Q883" i="1"/>
  <c r="Q910" i="1"/>
  <c r="Q45" i="1"/>
  <c r="Q299" i="1"/>
  <c r="Q291" i="1"/>
  <c r="Q1106" i="1"/>
  <c r="Q730" i="1"/>
  <c r="Q796" i="1"/>
  <c r="Q718" i="1"/>
  <c r="Q366" i="1"/>
  <c r="Q217" i="1"/>
  <c r="Q828" i="1"/>
  <c r="Q669" i="1"/>
  <c r="Q900" i="1"/>
  <c r="Q632" i="1"/>
  <c r="Q40" i="1"/>
  <c r="Q711" i="1"/>
  <c r="Q1153" i="1"/>
  <c r="Q601" i="1"/>
  <c r="Q178" i="1"/>
  <c r="Q222" i="1"/>
  <c r="Q160" i="1"/>
  <c r="Q1165" i="1"/>
  <c r="Q678" i="1"/>
  <c r="Q207" i="1"/>
  <c r="Q318" i="1"/>
  <c r="Q932" i="1"/>
  <c r="Q509" i="1"/>
  <c r="Q60" i="1"/>
  <c r="Q991" i="1"/>
  <c r="Q195" i="1"/>
  <c r="Q179" i="1"/>
  <c r="Q997" i="1"/>
  <c r="Q198" i="1"/>
  <c r="Q810" i="1"/>
  <c r="Q112" i="1"/>
  <c r="Q61" i="1"/>
  <c r="Q516" i="1"/>
  <c r="Q845" i="1"/>
  <c r="Q1093" i="1"/>
  <c r="Q820" i="1"/>
  <c r="Q287" i="1"/>
  <c r="Q99" i="1"/>
  <c r="Q371" i="1"/>
  <c r="Q1024" i="1"/>
  <c r="Q246" i="1"/>
  <c r="Q722" i="1"/>
  <c r="Q24" i="1"/>
  <c r="Q807" i="1"/>
  <c r="Q74" i="1"/>
  <c r="Q1234" i="1"/>
  <c r="Q204" i="1"/>
  <c r="Q500" i="1"/>
  <c r="Q908" i="1"/>
  <c r="Q1233" i="1"/>
  <c r="Q294" i="1"/>
  <c r="Q510" i="1"/>
  <c r="Q710" i="1"/>
  <c r="Q968" i="1"/>
  <c r="Q681" i="1"/>
  <c r="Q493" i="1"/>
  <c r="Q767" i="1"/>
  <c r="Q1180" i="1"/>
  <c r="Q479" i="1"/>
  <c r="Q253" i="1"/>
  <c r="Q135" i="1"/>
  <c r="Q1028" i="1"/>
  <c r="Q106" i="1"/>
  <c r="Q680" i="1"/>
  <c r="Q309" i="1"/>
  <c r="Q247" i="1"/>
  <c r="Q797" i="1"/>
  <c r="Q1229" i="1"/>
  <c r="Q994" i="1"/>
  <c r="Q100" i="1"/>
  <c r="Q37" i="1"/>
  <c r="Q858" i="1"/>
  <c r="Q790" i="1"/>
  <c r="Q105" i="1"/>
  <c r="Q232" i="1"/>
  <c r="Q272" i="1"/>
  <c r="Q452" i="1"/>
  <c r="Q918" i="1"/>
  <c r="Q875" i="1"/>
  <c r="Q353" i="1"/>
  <c r="Q825" i="1"/>
  <c r="Q924" i="1"/>
  <c r="Q1256" i="1"/>
  <c r="Q41" i="1"/>
  <c r="Q283" i="1"/>
  <c r="Q1273" i="1"/>
  <c r="Q14" i="1"/>
  <c r="Q1197" i="1"/>
  <c r="Q71" i="1"/>
  <c r="Q442" i="1"/>
  <c r="Q530" i="1"/>
  <c r="Q1000" i="1"/>
  <c r="Q1187" i="1"/>
  <c r="Q508" i="1"/>
  <c r="Q1232" i="1"/>
  <c r="Q1055" i="1"/>
  <c r="Q361" i="1"/>
  <c r="Q763" i="1"/>
  <c r="Q891" i="1"/>
  <c r="Q702" i="1"/>
  <c r="Q444" i="1"/>
  <c r="Q183" i="1"/>
  <c r="Q28" i="1"/>
  <c r="Q1114" i="1"/>
  <c r="Q650" i="1"/>
  <c r="Q1060" i="1"/>
  <c r="Q218" i="1"/>
  <c r="Q717" i="1"/>
  <c r="Q816" i="1"/>
  <c r="Q902" i="1"/>
  <c r="Q1096" i="1"/>
  <c r="Q591" i="1"/>
  <c r="Q755" i="1"/>
  <c r="Q435" i="1"/>
  <c r="Q607" i="1"/>
  <c r="Q1138" i="1"/>
  <c r="Q793" i="1"/>
  <c r="Q273" i="1"/>
  <c r="Q914" i="1"/>
  <c r="Q4" i="1"/>
  <c r="Q589" i="1"/>
  <c r="Q1127" i="1"/>
  <c r="Q214" i="1"/>
  <c r="Q454" i="1"/>
  <c r="Q716" i="1"/>
  <c r="Q682" i="1"/>
  <c r="Q923" i="1"/>
  <c r="Q889" i="1"/>
  <c r="Q622" i="1"/>
  <c r="Q388" i="1"/>
  <c r="Q42" i="1"/>
  <c r="Q433" i="1"/>
  <c r="Q1037" i="1"/>
  <c r="Q1113" i="1"/>
  <c r="Q235" i="1"/>
  <c r="Q1150" i="1"/>
  <c r="Q1109" i="1"/>
  <c r="Q985" i="1"/>
  <c r="Q1044" i="1"/>
  <c r="Q1120" i="1"/>
  <c r="Q719" i="1"/>
  <c r="Q314" i="1"/>
  <c r="Q770" i="1"/>
  <c r="Q1210" i="1"/>
  <c r="Q707" i="1"/>
  <c r="Q1218" i="1"/>
  <c r="Q536" i="1"/>
  <c r="Q360" i="1"/>
  <c r="Q1262" i="1"/>
  <c r="Q1146" i="1"/>
  <c r="Q958" i="1"/>
  <c r="Q1257" i="1"/>
  <c r="Q597" i="1"/>
  <c r="Q628" i="1"/>
  <c r="Q1083" i="1"/>
  <c r="Q559" i="1"/>
  <c r="Q1185" i="1"/>
  <c r="Q826" i="1"/>
  <c r="Q30" i="1"/>
  <c r="Q751" i="1"/>
  <c r="Q1067" i="1"/>
  <c r="Q1047" i="1"/>
  <c r="Q677" i="1"/>
  <c r="Q915" i="1"/>
  <c r="Q1015" i="1"/>
  <c r="Q465" i="1"/>
  <c r="Q461" i="1"/>
  <c r="Q520" i="1"/>
  <c r="Q1089" i="1"/>
  <c r="Q978" i="1"/>
  <c r="Q1160" i="1"/>
  <c r="Q1101" i="1"/>
  <c r="Q896" i="1"/>
  <c r="Q572" i="1"/>
  <c r="Q709" i="1"/>
  <c r="Q933" i="1"/>
  <c r="Q964" i="1"/>
  <c r="Q1172" i="1"/>
  <c r="Q1249" i="1"/>
  <c r="Q706" i="1"/>
  <c r="Q310" i="1"/>
  <c r="Q29" i="1"/>
  <c r="Q275" i="1"/>
  <c r="Q315" i="1"/>
  <c r="Q47" i="1"/>
  <c r="Q538" i="1"/>
  <c r="Q182" i="1"/>
  <c r="Q695" i="1"/>
  <c r="Q993" i="1"/>
  <c r="Q928" i="1"/>
  <c r="Q472" i="1"/>
  <c r="Q947" i="1"/>
  <c r="Q292" i="1"/>
  <c r="Q772" i="1"/>
  <c r="Q519" i="1"/>
  <c r="Q1206" i="1"/>
  <c r="Q534" i="1"/>
  <c r="Q1043" i="1"/>
  <c r="Q1271" i="1"/>
  <c r="Q526" i="1"/>
  <c r="Q96" i="1"/>
  <c r="Q421" i="1"/>
  <c r="Q846" i="1"/>
  <c r="Q806" i="1"/>
  <c r="Q394" i="1"/>
  <c r="Q631" i="1"/>
  <c r="Q1053" i="1"/>
  <c r="Q261" i="1"/>
  <c r="Q592" i="1"/>
  <c r="Q787" i="1"/>
  <c r="Q1091" i="1"/>
  <c r="Q139" i="1"/>
  <c r="Q1173" i="1"/>
  <c r="Q413" i="1"/>
  <c r="Q575" i="1"/>
  <c r="Q144" i="1"/>
  <c r="Q660" i="1"/>
  <c r="Q609" i="1"/>
  <c r="Q960" i="1"/>
  <c r="Q332" i="1"/>
  <c r="Q333" i="1"/>
  <c r="Q517" i="1"/>
  <c r="Q949" i="1"/>
  <c r="Q696" i="1"/>
  <c r="Q1086" i="1"/>
  <c r="Q1030" i="1"/>
  <c r="Q1002" i="1"/>
  <c r="Q130" i="1"/>
  <c r="Q824" i="1"/>
  <c r="Q729" i="1"/>
  <c r="Q1250" i="1"/>
  <c r="Q476" i="1"/>
  <c r="Q1034" i="1"/>
  <c r="Q462" i="1"/>
  <c r="Q424" i="1"/>
  <c r="Q3" i="1"/>
  <c r="Q1205" i="1"/>
  <c r="Q639" i="1"/>
  <c r="Q593" i="1"/>
  <c r="Q170" i="1"/>
  <c r="Q1081" i="1"/>
  <c r="Q756" i="1"/>
  <c r="Q1251" i="1"/>
  <c r="Q1152" i="1"/>
  <c r="Q791" i="1"/>
  <c r="Q51" i="1"/>
  <c r="Q123" i="1"/>
  <c r="Q905" i="1"/>
  <c r="Q434" i="1"/>
  <c r="Q831" i="1"/>
  <c r="Q392" i="1"/>
  <c r="Q1283" i="1"/>
  <c r="Q727" i="1"/>
  <c r="Q897" i="1"/>
  <c r="Q1008" i="1"/>
  <c r="Q699" i="1"/>
  <c r="Q948" i="1"/>
  <c r="Q1199" i="1"/>
  <c r="Q854" i="1"/>
  <c r="Q1261" i="1"/>
  <c r="Q935" i="1"/>
  <c r="Q823" i="1"/>
  <c r="Q855" i="1"/>
  <c r="Q1054" i="1"/>
  <c r="Q1239" i="1"/>
  <c r="Q15" i="1"/>
  <c r="Q801" i="1"/>
  <c r="Q762" i="1"/>
  <c r="Q290" i="1"/>
  <c r="Q598" i="1"/>
  <c r="Q741" i="1"/>
  <c r="Q757" i="1"/>
  <c r="Q912" i="1"/>
  <c r="Q830" i="1"/>
  <c r="Q1181" i="1"/>
  <c r="Q929" i="1"/>
  <c r="Q265" i="1"/>
  <c r="Q714" i="1"/>
  <c r="Q614" i="1"/>
  <c r="Q1130" i="1"/>
  <c r="Q692" i="1"/>
  <c r="Q456" i="1"/>
  <c r="Q1253" i="1"/>
  <c r="Q599" i="1"/>
  <c r="Q1104" i="1"/>
  <c r="Q1103" i="1"/>
  <c r="Q646" i="1"/>
  <c r="Q1119" i="1"/>
  <c r="Q471" i="1"/>
  <c r="Q955" i="1"/>
  <c r="Q354" i="1"/>
  <c r="Q987" i="1"/>
  <c r="Q542" i="1"/>
  <c r="Q656" i="1"/>
  <c r="Q1112" i="1"/>
  <c r="Q330" i="1"/>
  <c r="Q159" i="1"/>
  <c r="Q1087" i="1"/>
  <c r="Q410" i="1"/>
  <c r="Q445" i="1"/>
  <c r="Q254" i="1"/>
  <c r="Q781" i="1"/>
  <c r="Q1147" i="1"/>
  <c r="Q1284" i="1"/>
  <c r="Q799" i="1"/>
  <c r="Q398" i="1"/>
  <c r="Q321" i="1"/>
  <c r="Q147" i="1"/>
  <c r="Q1241" i="1"/>
  <c r="Q482" i="1"/>
  <c r="Q1061" i="1"/>
  <c r="Q1166" i="1"/>
  <c r="Q648" i="1"/>
  <c r="Q962" i="1"/>
  <c r="Q1157" i="1"/>
  <c r="Q1267" i="1"/>
  <c r="Q618" i="1"/>
  <c r="Q1223" i="1"/>
  <c r="Q270" i="1"/>
  <c r="Q916" i="1"/>
  <c r="Q312" i="1"/>
  <c r="Q655" i="1"/>
  <c r="Q965" i="1"/>
  <c r="Q909" i="1"/>
  <c r="Q484" i="1"/>
  <c r="Q165" i="1"/>
  <c r="Q748" i="1"/>
  <c r="Q437" i="1"/>
  <c r="Q562" i="1"/>
  <c r="Q838" i="1"/>
  <c r="Q860" i="1"/>
  <c r="Q440" i="1"/>
  <c r="Q259" i="1"/>
  <c r="Q10" i="1"/>
  <c r="Q742" i="1"/>
  <c r="Q673" i="1"/>
  <c r="Q133" i="1"/>
  <c r="Q689" i="1"/>
  <c r="Q416" i="1"/>
  <c r="Q621" i="1"/>
  <c r="Q418" i="1"/>
  <c r="Q753" i="1"/>
  <c r="Q548" i="1"/>
  <c r="Q346" i="1"/>
  <c r="Q851" i="1"/>
  <c r="Q620" i="1"/>
  <c r="Q1100" i="1"/>
  <c r="Q1231" i="1"/>
  <c r="Q280" i="1"/>
  <c r="Q467" i="1"/>
  <c r="Q564" i="1"/>
  <c r="Q458" i="1"/>
  <c r="Q432" i="1"/>
  <c r="Q64" i="1"/>
  <c r="Q502" i="1"/>
  <c r="Q524" i="1"/>
  <c r="Q400" i="1"/>
  <c r="Q857" i="1"/>
  <c r="Q679" i="1"/>
  <c r="Q1041" i="1"/>
  <c r="Q1211" i="1"/>
  <c r="Q523" i="1"/>
  <c r="Q527" i="1"/>
  <c r="Q616" i="1"/>
  <c r="Q782" i="1"/>
  <c r="Q1252" i="1"/>
  <c r="Q882" i="1"/>
  <c r="Q653" i="1"/>
  <c r="Q686" i="1"/>
  <c r="Q878" i="1"/>
  <c r="Q705" i="1"/>
  <c r="Q490" i="1"/>
  <c r="Q913" i="1"/>
  <c r="Q931" i="1"/>
  <c r="Q1073" i="1"/>
  <c r="Q132" i="1"/>
  <c r="Q31" i="1"/>
  <c r="Q186" i="1"/>
  <c r="Q1209" i="1"/>
  <c r="Q731" i="1"/>
  <c r="Q1235" i="1"/>
  <c r="Q1282" i="1"/>
  <c r="Q1279" i="1"/>
  <c r="Q487" i="1"/>
  <c r="Q938" i="1"/>
  <c r="Q1124" i="1"/>
  <c r="Q1240" i="1"/>
  <c r="Q866" i="1"/>
  <c r="Q225" i="1"/>
  <c r="Q1280" i="1"/>
  <c r="Q865" i="1"/>
  <c r="Q974" i="1"/>
  <c r="Q856" i="1"/>
  <c r="Q927" i="1"/>
  <c r="Q390" i="1"/>
  <c r="Q335" i="1"/>
  <c r="Q313" i="1"/>
  <c r="Q557" i="1"/>
  <c r="Q1027" i="1"/>
  <c r="Q868" i="1"/>
  <c r="Q1032" i="1"/>
  <c r="Q351" i="1"/>
  <c r="Q411" i="1"/>
  <c r="Q78" i="1"/>
  <c r="Q1177" i="1"/>
  <c r="Q56" i="1"/>
  <c r="Q1023" i="1"/>
  <c r="Q422" i="1"/>
  <c r="Q176" i="1"/>
  <c r="Q833" i="1"/>
  <c r="Q940" i="1"/>
  <c r="Q480" i="1"/>
  <c r="Q659" i="1"/>
  <c r="Q1200" i="1"/>
  <c r="Q798" i="1"/>
  <c r="Q26" i="1"/>
  <c r="Q334" i="1"/>
  <c r="Q441" i="1"/>
  <c r="Q917" i="1"/>
  <c r="Q867" i="1"/>
  <c r="Q532" i="1"/>
  <c r="Q53" i="1"/>
  <c r="Q1154" i="1"/>
  <c r="Q1046" i="1"/>
  <c r="Q324" i="1"/>
  <c r="Q862" i="1"/>
  <c r="Q676" i="1"/>
  <c r="Q358" i="1"/>
  <c r="Q890" i="1"/>
  <c r="Q1136" i="1"/>
  <c r="Q1099" i="1"/>
  <c r="Q498" i="1"/>
  <c r="Q1141" i="1"/>
  <c r="Q1016" i="1"/>
  <c r="Q83" i="1"/>
  <c r="Q17" i="1"/>
  <c r="Q1108" i="1"/>
  <c r="Q792" i="1"/>
  <c r="Q172" i="1"/>
  <c r="Q898" i="1"/>
  <c r="Q1135" i="1"/>
  <c r="Q1105" i="1"/>
  <c r="Q1265" i="1"/>
  <c r="Q795" i="1"/>
  <c r="Q852" i="1"/>
  <c r="Q1191" i="1"/>
  <c r="Q359" i="1"/>
  <c r="Q1118" i="1"/>
  <c r="Q1204" i="1"/>
  <c r="Q1244" i="1"/>
  <c r="Q1254" i="1"/>
  <c r="Q1078" i="1"/>
  <c r="Q981" i="1"/>
  <c r="Q1158" i="1"/>
  <c r="Q1070" i="1"/>
  <c r="Q395" i="1"/>
  <c r="Q654" i="1"/>
  <c r="Q1264" i="1"/>
  <c r="Q740" i="1"/>
  <c r="Q1148" i="1"/>
  <c r="Q1142" i="1"/>
  <c r="Q1192" i="1"/>
  <c r="Q464" i="1"/>
  <c r="Q412" i="1"/>
  <c r="Q1226" i="1"/>
  <c r="Q457" i="1"/>
  <c r="Q555" i="1"/>
  <c r="Q588" i="1"/>
  <c r="Q1019" i="1"/>
  <c r="Q850" i="1"/>
  <c r="Q1255" i="1"/>
  <c r="Q116" i="1"/>
  <c r="Q408" i="1"/>
  <c r="Q1222" i="1"/>
  <c r="Q439" i="1"/>
  <c r="Q585" i="1"/>
  <c r="Q1042" i="1"/>
  <c r="Q967" i="1"/>
  <c r="Q723" i="1"/>
  <c r="Q76" i="1"/>
  <c r="Q907" i="1"/>
  <c r="Q612" i="1"/>
  <c r="Q809" i="1"/>
  <c r="Q995" i="1"/>
  <c r="Q121" i="1"/>
  <c r="Q1260" i="1"/>
  <c r="Q950" i="1"/>
  <c r="Q1159" i="1"/>
  <c r="Q1122" i="1"/>
  <c r="Q1052" i="1"/>
  <c r="Q893" i="1"/>
  <c r="Q873" i="1"/>
  <c r="Q1194" i="1"/>
  <c r="Q475" i="1"/>
  <c r="Q1025" i="1"/>
  <c r="Q694" i="1"/>
  <c r="Q894" i="1"/>
  <c r="Q1049" i="1"/>
  <c r="Q887" i="1"/>
  <c r="Q726" i="1"/>
  <c r="Q617" i="1"/>
  <c r="Q1036" i="1"/>
  <c r="Q1245" i="1"/>
  <c r="Q1225" i="1"/>
  <c r="Q1116" i="1"/>
  <c r="Q1001" i="1"/>
  <c r="Q904" i="1"/>
  <c r="Q704" i="1"/>
  <c r="Q842" i="1"/>
  <c r="Q925" i="1"/>
  <c r="Q1248" i="1"/>
  <c r="Q649" i="1"/>
  <c r="Q1203" i="1"/>
  <c r="Q774" i="1"/>
  <c r="Q786" i="1"/>
  <c r="Q1246" i="1"/>
  <c r="Q1079" i="1"/>
  <c r="Q379" i="1"/>
  <c r="Q342" i="1"/>
  <c r="Q764" i="1"/>
  <c r="Q223" i="1"/>
  <c r="Q423" i="1"/>
  <c r="Q606" i="1"/>
  <c r="Q911" i="1"/>
  <c r="Q980" i="1"/>
  <c r="Q545" i="1"/>
  <c r="Q1090" i="1"/>
  <c r="Q1188" i="1"/>
  <c r="Q368" i="1"/>
  <c r="Q829" i="1"/>
  <c r="Q547" i="1"/>
  <c r="Q969" i="1"/>
  <c r="Q473" i="1"/>
  <c r="Q1075" i="1"/>
  <c r="Q322" i="1"/>
  <c r="Q750" i="1"/>
  <c r="Q404" i="1"/>
  <c r="Q626" i="1"/>
  <c r="Q819" i="1"/>
  <c r="Q134" i="1"/>
  <c r="Q1022" i="1"/>
  <c r="Q1140" i="1"/>
  <c r="Q939" i="1"/>
  <c r="Q1117" i="1"/>
  <c r="Q478" i="1"/>
  <c r="Q783" i="1"/>
  <c r="Q638" i="1"/>
  <c r="Q877" i="1"/>
  <c r="Q383" i="1"/>
  <c r="Q469" i="1"/>
  <c r="Q942" i="1"/>
  <c r="Q1217" i="1"/>
  <c r="Q1134" i="1"/>
  <c r="Q1004" i="1"/>
  <c r="Q1068" i="1"/>
  <c r="Q813" i="1"/>
  <c r="Q934" i="1"/>
  <c r="Q196" i="1"/>
  <c r="Q1102" i="1"/>
  <c r="Q666" i="1"/>
  <c r="Q1213" i="1"/>
  <c r="Q568" i="1"/>
  <c r="Q1163" i="1"/>
  <c r="Q1216" i="1"/>
  <c r="Q1010" i="1"/>
  <c r="Q966" i="1"/>
  <c r="Q785" i="1"/>
  <c r="Q630" i="1"/>
  <c r="Q663" i="1"/>
  <c r="Q954" i="1"/>
  <c r="Q1056" i="1"/>
  <c r="Q822" i="1"/>
  <c r="Q189" i="1"/>
  <c r="Q1162" i="1"/>
  <c r="Q1174" i="1"/>
  <c r="Q1144" i="1"/>
  <c r="Q341" i="1"/>
  <c r="Q1183" i="1"/>
  <c r="Q640" i="1"/>
  <c r="Q438" i="1"/>
  <c r="Q789" i="1"/>
  <c r="Q565" i="1"/>
  <c r="Q996" i="1"/>
  <c r="Q674" i="1"/>
  <c r="Q738" i="1"/>
  <c r="Q470" i="1"/>
  <c r="Q605" i="1"/>
  <c r="Q1095" i="1"/>
  <c r="Q827" i="1"/>
  <c r="Q571" i="1"/>
  <c r="Q293" i="1"/>
  <c r="Q1005" i="1"/>
  <c r="Q885" i="1"/>
  <c r="Q1214" i="1"/>
  <c r="Q1033" i="1"/>
  <c r="Q1014" i="1"/>
  <c r="Q5" i="1"/>
  <c r="Q289" i="1"/>
  <c r="Q221" i="1"/>
  <c r="Q1009" i="1"/>
  <c r="Q1098" i="1"/>
  <c r="Q474" i="1"/>
  <c r="Q1062" i="1"/>
  <c r="Q485" i="1"/>
  <c r="Q788" i="1"/>
  <c r="Q1035" i="1"/>
  <c r="Q817" i="1"/>
  <c r="Q752" i="1"/>
  <c r="Q725" i="1"/>
  <c r="Q745" i="1"/>
  <c r="Q1212" i="1"/>
  <c r="Q579" i="1"/>
  <c r="Q86" i="1"/>
  <c r="Q1084" i="1"/>
  <c r="Q1069" i="1"/>
  <c r="Q664" i="1"/>
  <c r="Q1082" i="1"/>
  <c r="Q1040" i="1"/>
  <c r="Q213" i="1"/>
  <c r="Q563" i="1"/>
  <c r="Q1039" i="1"/>
  <c r="Q514" i="1"/>
  <c r="Q832" i="1"/>
  <c r="Q1021" i="1"/>
  <c r="Q1242" i="1"/>
  <c r="Q1115" i="1"/>
  <c r="Q758" i="1"/>
  <c r="Q652" i="1"/>
  <c r="Q859" i="1"/>
  <c r="Q1215" i="1"/>
  <c r="Q173" i="1"/>
  <c r="Q285" i="1"/>
  <c r="Q1182" i="1"/>
  <c r="Q1126" i="1"/>
  <c r="Q574" i="1"/>
  <c r="Q544" i="1"/>
  <c r="Q124" i="1"/>
  <c r="Q167" i="1"/>
  <c r="Q847" i="1"/>
  <c r="Q323" i="1"/>
  <c r="Q1020" i="1"/>
  <c r="Q329" i="1"/>
  <c r="Q1281" i="1"/>
  <c r="Q580" i="1"/>
  <c r="Q977" i="1"/>
  <c r="Q409" i="1"/>
  <c r="Q219" i="1"/>
  <c r="Q190" i="1"/>
  <c r="Q231" i="1"/>
  <c r="Q374" i="1"/>
  <c r="Q201" i="1"/>
  <c r="Q108" i="1"/>
  <c r="Q12" i="1"/>
  <c r="Q979" i="1"/>
  <c r="Q104" i="1"/>
  <c r="Q1149" i="1"/>
  <c r="Q749" i="1"/>
  <c r="Q888" i="1"/>
  <c r="Q396" i="1"/>
  <c r="Q512" i="1"/>
  <c r="Q1274" i="1"/>
  <c r="Q627" i="1"/>
  <c r="Q376" i="1"/>
  <c r="Q141" i="1"/>
  <c r="Q466" i="1"/>
  <c r="Q528" i="1"/>
  <c r="Q258" i="1"/>
  <c r="Q1071" i="1"/>
  <c r="Q543" i="1"/>
  <c r="Q1175" i="1"/>
  <c r="Q635" i="1"/>
  <c r="Q1156" i="1"/>
  <c r="Q611" i="1"/>
  <c r="Q769" i="1"/>
  <c r="Q990" i="1"/>
  <c r="Q339" i="1"/>
  <c r="Q459" i="1"/>
  <c r="Q525" i="1"/>
  <c r="Q166" i="1"/>
  <c r="Q1076" i="1"/>
  <c r="Q84" i="1"/>
  <c r="Q262" i="1"/>
  <c r="Q1196" i="1"/>
  <c r="Q765" i="1"/>
  <c r="Q983" i="1"/>
  <c r="Q586" i="1"/>
  <c r="Q667" i="1"/>
  <c r="Q369" i="1"/>
  <c r="Q794" i="1"/>
  <c r="Q1063" i="1"/>
  <c r="Q956" i="1"/>
  <c r="Q1026" i="1"/>
  <c r="Q1170" i="1"/>
  <c r="Q401" i="1"/>
  <c r="Q1258" i="1"/>
  <c r="Q713" i="1"/>
  <c r="Q405" i="1"/>
  <c r="Q1259" i="1"/>
  <c r="Q406" i="1"/>
  <c r="Q623" i="1"/>
  <c r="Q1201" i="1"/>
  <c r="Q344" i="1"/>
  <c r="Q1155" i="1"/>
  <c r="Q203" i="1"/>
  <c r="Q1048" i="1"/>
  <c r="Q690" i="1"/>
  <c r="Q736" i="1"/>
  <c r="Q109" i="1"/>
  <c r="Q814" i="1"/>
  <c r="Q1110" i="1"/>
  <c r="Q157" i="1"/>
  <c r="Q998" i="1"/>
  <c r="Q812" i="1"/>
  <c r="Q919" i="1"/>
  <c r="Q1278" i="1"/>
  <c r="Q1171" i="1"/>
  <c r="Q1085" i="1"/>
  <c r="Q429" i="1"/>
  <c r="Q1184" i="1"/>
  <c r="Q1208" i="1"/>
  <c r="Q1263" i="1"/>
  <c r="Q370" i="1"/>
  <c r="Q558" i="1"/>
  <c r="Q961" i="1"/>
  <c r="Q1227" i="1"/>
  <c r="Q1186" i="1"/>
  <c r="Q760" i="1"/>
  <c r="Q945" i="1"/>
  <c r="Q1007" i="1"/>
  <c r="Q1266" i="1"/>
  <c r="Q188" i="1"/>
  <c r="Q286" i="1"/>
  <c r="Q903" i="1"/>
  <c r="Q778" i="1"/>
  <c r="Q1059" i="1"/>
  <c r="Q1074" i="1"/>
  <c r="E65" i="6"/>
  <c r="E61" i="6"/>
  <c r="F56" i="6"/>
  <c r="G12" i="6"/>
  <c r="E39" i="6"/>
  <c r="H12" i="6"/>
  <c r="E31" i="6"/>
  <c r="N65" i="6"/>
  <c r="O65" i="6" s="1"/>
  <c r="E62" i="6"/>
  <c r="E43" i="6"/>
  <c r="H31" i="6"/>
  <c r="E66" i="6"/>
  <c r="E67" i="6"/>
  <c r="E63" i="6"/>
  <c r="E44" i="6"/>
  <c r="E45" i="6"/>
  <c r="E40" i="6"/>
  <c r="E41" i="6"/>
  <c r="G13" i="6"/>
  <c r="H13" i="6"/>
  <c r="G14" i="6"/>
  <c r="H14" i="6"/>
  <c r="G15" i="6"/>
  <c r="H15" i="6"/>
  <c r="G16" i="6"/>
  <c r="H16" i="6"/>
  <c r="G17" i="6"/>
  <c r="H17" i="6"/>
  <c r="G18" i="6"/>
  <c r="H18" i="6"/>
  <c r="G19" i="6"/>
  <c r="H19" i="6"/>
  <c r="G20" i="6"/>
  <c r="H20" i="6"/>
  <c r="G21" i="6"/>
  <c r="H21" i="6"/>
  <c r="G22" i="6"/>
  <c r="H22" i="6"/>
  <c r="G23" i="6"/>
  <c r="H23" i="6"/>
  <c r="G24" i="6"/>
  <c r="H24" i="6"/>
  <c r="C4" i="2" a="1"/>
  <c r="C4" i="2" s="1"/>
  <c r="D4" i="2" a="1"/>
  <c r="D4" i="2" s="1"/>
  <c r="D9" i="2" a="1"/>
  <c r="D9" i="2" s="1"/>
  <c r="F2" i="2"/>
  <c r="B2" i="2" s="1"/>
  <c r="AB13" i="6"/>
  <c r="AB14" i="6"/>
  <c r="AB15" i="6"/>
  <c r="AB16" i="6"/>
  <c r="AB17" i="6"/>
  <c r="AB18" i="6"/>
  <c r="AB19" i="6"/>
  <c r="AB20" i="6"/>
  <c r="AB21" i="6"/>
  <c r="AB22" i="6"/>
  <c r="AB23" i="6"/>
  <c r="AB24" i="6"/>
  <c r="AB12" i="6"/>
  <c r="O43" i="6" s="1"/>
  <c r="AA13" i="6"/>
  <c r="AA14" i="6"/>
  <c r="AA15" i="6"/>
  <c r="AA16" i="6"/>
  <c r="AA17" i="6"/>
  <c r="AA18" i="6"/>
  <c r="AA19" i="6"/>
  <c r="AA20" i="6"/>
  <c r="AA21" i="6"/>
  <c r="AA22" i="6"/>
  <c r="AA23" i="6"/>
  <c r="AA24" i="6"/>
  <c r="AA12" i="6"/>
  <c r="F41" i="3"/>
  <c r="O611" i="7" a="1"/>
  <c r="O611" i="7"/>
  <c r="N611" i="7" a="1"/>
  <c r="N611" i="7"/>
  <c r="M611" i="7" a="1"/>
  <c r="M611" i="7" s="1"/>
  <c r="O610" i="7" a="1"/>
  <c r="O610" i="7"/>
  <c r="N610" i="7" a="1"/>
  <c r="N610" i="7"/>
  <c r="M610" i="7" a="1"/>
  <c r="M610" i="7"/>
  <c r="O609" i="7" a="1"/>
  <c r="O609" i="7"/>
  <c r="N609" i="7" a="1"/>
  <c r="N609" i="7"/>
  <c r="M609" i="7" a="1"/>
  <c r="M609" i="7"/>
  <c r="O608" i="7" a="1"/>
  <c r="O608" i="7"/>
  <c r="N608" i="7" a="1"/>
  <c r="N608" i="7"/>
  <c r="M608" i="7" a="1"/>
  <c r="M608" i="7"/>
  <c r="O607" i="7" a="1"/>
  <c r="O607" i="7" s="1"/>
  <c r="N607" i="7" a="1"/>
  <c r="N607" i="7"/>
  <c r="M607" i="7" a="1"/>
  <c r="M607" i="7"/>
  <c r="O606" i="7" a="1"/>
  <c r="O606" i="7"/>
  <c r="N606" i="7" a="1"/>
  <c r="N606" i="7"/>
  <c r="M606" i="7" a="1"/>
  <c r="M606" i="7"/>
  <c r="O605" i="7" a="1"/>
  <c r="O605" i="7"/>
  <c r="N605" i="7" a="1"/>
  <c r="N605" i="7"/>
  <c r="M605" i="7" a="1"/>
  <c r="M605" i="7"/>
  <c r="O604" i="7" a="1"/>
  <c r="O604" i="7"/>
  <c r="N604" i="7" a="1"/>
  <c r="N604" i="7" s="1"/>
  <c r="M604" i="7" a="1"/>
  <c r="M604" i="7"/>
  <c r="O603" i="7" a="1"/>
  <c r="O603" i="7"/>
  <c r="N603" i="7" a="1"/>
  <c r="N603" i="7"/>
  <c r="M603" i="7" a="1"/>
  <c r="M603" i="7"/>
  <c r="O602" i="7" a="1"/>
  <c r="O602" i="7"/>
  <c r="N602" i="7" a="1"/>
  <c r="N602" i="7"/>
  <c r="M602" i="7" a="1"/>
  <c r="M602" i="7"/>
  <c r="O601" i="7" a="1"/>
  <c r="O601" i="7"/>
  <c r="N601" i="7" a="1"/>
  <c r="N601" i="7"/>
  <c r="M601" i="7" a="1"/>
  <c r="M601" i="7" s="1"/>
  <c r="O600" i="7" a="1"/>
  <c r="O600" i="7"/>
  <c r="N600" i="7" a="1"/>
  <c r="N600" i="7"/>
  <c r="M600" i="7" a="1"/>
  <c r="M600" i="7"/>
  <c r="O599" i="7" a="1"/>
  <c r="O599" i="7"/>
  <c r="N599" i="7" a="1"/>
  <c r="N599" i="7"/>
  <c r="M599" i="7" a="1"/>
  <c r="M599" i="7"/>
  <c r="O598" i="7" a="1"/>
  <c r="O598" i="7"/>
  <c r="N598" i="7" a="1"/>
  <c r="N598" i="7"/>
  <c r="M598" i="7" a="1"/>
  <c r="M598" i="7"/>
  <c r="O597" i="7" a="1"/>
  <c r="O597" i="7" s="1"/>
  <c r="N597" i="7" a="1"/>
  <c r="N597" i="7"/>
  <c r="M597" i="7" a="1"/>
  <c r="M597" i="7"/>
  <c r="O596" i="7" a="1"/>
  <c r="O596" i="7"/>
  <c r="N596" i="7" a="1"/>
  <c r="N596" i="7"/>
  <c r="M596" i="7" a="1"/>
  <c r="M596" i="7"/>
  <c r="O595" i="7" a="1"/>
  <c r="O595" i="7"/>
  <c r="N595" i="7" a="1"/>
  <c r="N595" i="7"/>
  <c r="M595" i="7" a="1"/>
  <c r="M595" i="7"/>
  <c r="O594" i="7" a="1"/>
  <c r="O594" i="7"/>
  <c r="N594" i="7" a="1"/>
  <c r="N594" i="7" s="1"/>
  <c r="M594" i="7" a="1"/>
  <c r="M594" i="7"/>
  <c r="O593" i="7" a="1"/>
  <c r="O593" i="7"/>
  <c r="N593" i="7" a="1"/>
  <c r="N593" i="7"/>
  <c r="M593" i="7" a="1"/>
  <c r="M593" i="7"/>
  <c r="O592" i="7" a="1"/>
  <c r="O592" i="7"/>
  <c r="N592" i="7" a="1"/>
  <c r="N592" i="7"/>
  <c r="M592" i="7" a="1"/>
  <c r="M592" i="7"/>
  <c r="O591" i="7" a="1"/>
  <c r="O591" i="7"/>
  <c r="N591" i="7" a="1"/>
  <c r="N591" i="7"/>
  <c r="M591" i="7" a="1"/>
  <c r="M591" i="7" s="1"/>
  <c r="O590" i="7" a="1"/>
  <c r="O590" i="7" s="1"/>
  <c r="N590" i="7" a="1"/>
  <c r="N590" i="7"/>
  <c r="M590" i="7" a="1"/>
  <c r="M590" i="7"/>
  <c r="O589" i="7" a="1"/>
  <c r="O589" i="7"/>
  <c r="N589" i="7" a="1"/>
  <c r="N589" i="7"/>
  <c r="M589" i="7" a="1"/>
  <c r="M589" i="7"/>
  <c r="O588" i="7" a="1"/>
  <c r="O588" i="7"/>
  <c r="N588" i="7" a="1"/>
  <c r="N588" i="7"/>
  <c r="M588" i="7" a="1"/>
  <c r="M588" i="7"/>
  <c r="O587" i="7" a="1"/>
  <c r="O587" i="7" s="1"/>
  <c r="N587" i="7" a="1"/>
  <c r="N587" i="7"/>
  <c r="M587" i="7" a="1"/>
  <c r="M587" i="7"/>
  <c r="O586" i="7" a="1"/>
  <c r="O586" i="7"/>
  <c r="N586" i="7" a="1"/>
  <c r="N586" i="7"/>
  <c r="M586" i="7" a="1"/>
  <c r="M586" i="7"/>
  <c r="O585" i="7" a="1"/>
  <c r="O585" i="7"/>
  <c r="N585" i="7" a="1"/>
  <c r="N585" i="7"/>
  <c r="M585" i="7" a="1"/>
  <c r="M585" i="7"/>
  <c r="O584" i="7" a="1"/>
  <c r="O584" i="7"/>
  <c r="N584" i="7" a="1"/>
  <c r="N584" i="7" s="1"/>
  <c r="M584" i="7" a="1"/>
  <c r="M584" i="7"/>
  <c r="O583" i="7" a="1"/>
  <c r="O583" i="7" s="1"/>
  <c r="N583" i="7" a="1"/>
  <c r="N583" i="7"/>
  <c r="M583" i="7" a="1"/>
  <c r="M583" i="7"/>
  <c r="O582" i="7" a="1"/>
  <c r="O582" i="7"/>
  <c r="N582" i="7" a="1"/>
  <c r="N582" i="7"/>
  <c r="M582" i="7" a="1"/>
  <c r="M582" i="7"/>
  <c r="O581" i="7" a="1"/>
  <c r="O581" i="7"/>
  <c r="N581" i="7" a="1"/>
  <c r="N581" i="7"/>
  <c r="M581" i="7" a="1"/>
  <c r="M581" i="7" s="1"/>
  <c r="O580" i="7" a="1"/>
  <c r="O580" i="7"/>
  <c r="N580" i="7" a="1"/>
  <c r="N580" i="7"/>
  <c r="M580" i="7" a="1"/>
  <c r="M580" i="7"/>
  <c r="O579" i="7" a="1"/>
  <c r="O579" i="7"/>
  <c r="N579" i="7" a="1"/>
  <c r="N579" i="7"/>
  <c r="M579" i="7" a="1"/>
  <c r="M579" i="7"/>
  <c r="O578" i="7" a="1"/>
  <c r="O578" i="7"/>
  <c r="N578" i="7" a="1"/>
  <c r="N578" i="7"/>
  <c r="M578" i="7" a="1"/>
  <c r="M578" i="7"/>
  <c r="O577" i="7" a="1"/>
  <c r="O577" i="7" s="1"/>
  <c r="N577" i="7" a="1"/>
  <c r="N577" i="7"/>
  <c r="M577" i="7" a="1"/>
  <c r="M577" i="7"/>
  <c r="O576" i="7" a="1"/>
  <c r="O576" i="7" s="1"/>
  <c r="N576" i="7" a="1"/>
  <c r="N576" i="7"/>
  <c r="M576" i="7" a="1"/>
  <c r="M576" i="7"/>
  <c r="O575" i="7" a="1"/>
  <c r="O575" i="7"/>
  <c r="N575" i="7" a="1"/>
  <c r="N575" i="7"/>
  <c r="M575" i="7" a="1"/>
  <c r="M575" i="7"/>
  <c r="O574" i="7" a="1"/>
  <c r="O574" i="7"/>
  <c r="N574" i="7" a="1"/>
  <c r="N574" i="7" s="1"/>
  <c r="M574" i="7" a="1"/>
  <c r="M574" i="7"/>
  <c r="O573" i="7" a="1"/>
  <c r="O573" i="7"/>
  <c r="N573" i="7" a="1"/>
  <c r="N573" i="7"/>
  <c r="M573" i="7" a="1"/>
  <c r="M573" i="7"/>
  <c r="O572" i="7" a="1"/>
  <c r="O572" i="7" s="1"/>
  <c r="N572" i="7" a="1"/>
  <c r="N572" i="7"/>
  <c r="M572" i="7" a="1"/>
  <c r="M572" i="7"/>
  <c r="O571" i="7" a="1"/>
  <c r="O571" i="7"/>
  <c r="N571" i="7" a="1"/>
  <c r="N571" i="7"/>
  <c r="M571" i="7" a="1"/>
  <c r="M571" i="7" s="1"/>
  <c r="O570" i="7" a="1"/>
  <c r="O570" i="7"/>
  <c r="N570" i="7" a="1"/>
  <c r="N570" i="7"/>
  <c r="M570" i="7" a="1"/>
  <c r="M570" i="7"/>
  <c r="O569" i="7" a="1"/>
  <c r="O569" i="7" s="1"/>
  <c r="N569" i="7" a="1"/>
  <c r="N569" i="7"/>
  <c r="M569" i="7" a="1"/>
  <c r="M569" i="7" s="1"/>
  <c r="O568" i="7" a="1"/>
  <c r="O568" i="7"/>
  <c r="N568" i="7" a="1"/>
  <c r="N568" i="7"/>
  <c r="M568" i="7" a="1"/>
  <c r="M568" i="7"/>
  <c r="O567" i="7" a="1"/>
  <c r="O567" i="7" s="1"/>
  <c r="N567" i="7" a="1"/>
  <c r="N567" i="7"/>
  <c r="M567" i="7" a="1"/>
  <c r="M567" i="7"/>
  <c r="O566" i="7" a="1"/>
  <c r="O566" i="7"/>
  <c r="N566" i="7" a="1"/>
  <c r="N566" i="7"/>
  <c r="M566" i="7" a="1"/>
  <c r="M566" i="7"/>
  <c r="O565" i="7" a="1"/>
  <c r="O565" i="7"/>
  <c r="N565" i="7" a="1"/>
  <c r="N565" i="7"/>
  <c r="M565" i="7" a="1"/>
  <c r="M565" i="7"/>
  <c r="O564" i="7" a="1"/>
  <c r="O564" i="7"/>
  <c r="N564" i="7" a="1"/>
  <c r="N564" i="7" s="1"/>
  <c r="M564" i="7" a="1"/>
  <c r="M564" i="7"/>
  <c r="O563" i="7" a="1"/>
  <c r="O563" i="7"/>
  <c r="N563" i="7" a="1"/>
  <c r="N563" i="7"/>
  <c r="M563" i="7" a="1"/>
  <c r="M563" i="7"/>
  <c r="O562" i="7" a="1"/>
  <c r="O562" i="7" s="1"/>
  <c r="N562" i="7" a="1"/>
  <c r="N562" i="7"/>
  <c r="M562" i="7" a="1"/>
  <c r="M562" i="7"/>
  <c r="O561" i="7" a="1"/>
  <c r="O561" i="7"/>
  <c r="N561" i="7" a="1"/>
  <c r="N561" i="7"/>
  <c r="M561" i="7" a="1"/>
  <c r="M561" i="7" s="1"/>
  <c r="O560" i="7" a="1"/>
  <c r="O560" i="7"/>
  <c r="N560" i="7" a="1"/>
  <c r="N560" i="7"/>
  <c r="M560" i="7" a="1"/>
  <c r="M560" i="7"/>
  <c r="O559" i="7" a="1"/>
  <c r="O559" i="7"/>
  <c r="N559" i="7" a="1"/>
  <c r="N559" i="7"/>
  <c r="M559" i="7" a="1"/>
  <c r="M559" i="7"/>
  <c r="O558" i="7" a="1"/>
  <c r="O558" i="7"/>
  <c r="N558" i="7" a="1"/>
  <c r="N558" i="7"/>
  <c r="M558" i="7" a="1"/>
  <c r="M558" i="7"/>
  <c r="O557" i="7" a="1"/>
  <c r="O557" i="7" s="1"/>
  <c r="N557" i="7" a="1"/>
  <c r="N557" i="7"/>
  <c r="M557" i="7" a="1"/>
  <c r="M557" i="7"/>
  <c r="O556" i="7" a="1"/>
  <c r="O556" i="7"/>
  <c r="N556" i="7" a="1"/>
  <c r="N556" i="7"/>
  <c r="M556" i="7" a="1"/>
  <c r="M556" i="7"/>
  <c r="O555" i="7" a="1"/>
  <c r="O555" i="7" s="1"/>
  <c r="N555" i="7" a="1"/>
  <c r="N555" i="7"/>
  <c r="M555" i="7" a="1"/>
  <c r="M555" i="7"/>
  <c r="O554" i="7" a="1"/>
  <c r="O554" i="7"/>
  <c r="N554" i="7" a="1"/>
  <c r="N554" i="7" s="1"/>
  <c r="M554" i="7" a="1"/>
  <c r="M554" i="7"/>
  <c r="O553" i="7" a="1"/>
  <c r="O553" i="7"/>
  <c r="N553" i="7" a="1"/>
  <c r="N553" i="7"/>
  <c r="M553" i="7" a="1"/>
  <c r="M553" i="7"/>
  <c r="O552" i="7" a="1"/>
  <c r="O552" i="7"/>
  <c r="N552" i="7" a="1"/>
  <c r="N552" i="7"/>
  <c r="M552" i="7" a="1"/>
  <c r="M552" i="7"/>
  <c r="O551" i="7" a="1"/>
  <c r="O551" i="7"/>
  <c r="N551" i="7" a="1"/>
  <c r="N551" i="7"/>
  <c r="M551" i="7" a="1"/>
  <c r="M551" i="7" s="1"/>
  <c r="O550" i="7" a="1"/>
  <c r="O550" i="7"/>
  <c r="N550" i="7" a="1"/>
  <c r="N550" i="7"/>
  <c r="M550" i="7" a="1"/>
  <c r="M550" i="7"/>
  <c r="O549" i="7" a="1"/>
  <c r="O549" i="7"/>
  <c r="N549" i="7" a="1"/>
  <c r="N549" i="7"/>
  <c r="M549" i="7" a="1"/>
  <c r="M549" i="7"/>
  <c r="O548" i="7" a="1"/>
  <c r="O548" i="7" s="1"/>
  <c r="N548" i="7" a="1"/>
  <c r="N548" i="7"/>
  <c r="M548" i="7" a="1"/>
  <c r="M548" i="7"/>
  <c r="O547" i="7" a="1"/>
  <c r="O547" i="7" s="1"/>
  <c r="N547" i="7" a="1"/>
  <c r="N547" i="7" s="1"/>
  <c r="M547" i="7" a="1"/>
  <c r="M547" i="7"/>
  <c r="O546" i="7" a="1"/>
  <c r="O546" i="7"/>
  <c r="N546" i="7" a="1"/>
  <c r="N546" i="7"/>
  <c r="M546" i="7" a="1"/>
  <c r="M546" i="7"/>
  <c r="O545" i="7" a="1"/>
  <c r="O545" i="7"/>
  <c r="N545" i="7" a="1"/>
  <c r="N545" i="7"/>
  <c r="M545" i="7" a="1"/>
  <c r="M545" i="7"/>
  <c r="O544" i="7" a="1"/>
  <c r="O544" i="7"/>
  <c r="N544" i="7" a="1"/>
  <c r="N544" i="7" s="1"/>
  <c r="M544" i="7" a="1"/>
  <c r="M544" i="7"/>
  <c r="O543" i="7" a="1"/>
  <c r="O543" i="7"/>
  <c r="N543" i="7" a="1"/>
  <c r="N543" i="7"/>
  <c r="M543" i="7" a="1"/>
  <c r="M543" i="7"/>
  <c r="O542" i="7" a="1"/>
  <c r="O542" i="7"/>
  <c r="N542" i="7" a="1"/>
  <c r="N542" i="7"/>
  <c r="M542" i="7" a="1"/>
  <c r="M542" i="7"/>
  <c r="O541" i="7" a="1"/>
  <c r="O541" i="7"/>
  <c r="N541" i="7" a="1"/>
  <c r="N541" i="7"/>
  <c r="M541" i="7" a="1"/>
  <c r="M541" i="7" s="1"/>
  <c r="O540" i="7" a="1"/>
  <c r="O540" i="7"/>
  <c r="N540" i="7" a="1"/>
  <c r="N540" i="7" s="1"/>
  <c r="M540" i="7" a="1"/>
  <c r="M540" i="7"/>
  <c r="O539" i="7" a="1"/>
  <c r="O539" i="7"/>
  <c r="N539" i="7" a="1"/>
  <c r="N539" i="7"/>
  <c r="M539" i="7" a="1"/>
  <c r="M539" i="7"/>
  <c r="O538" i="7" a="1"/>
  <c r="O538" i="7"/>
  <c r="N538" i="7" a="1"/>
  <c r="N538" i="7"/>
  <c r="M538" i="7" a="1"/>
  <c r="M538" i="7"/>
  <c r="O537" i="7" a="1"/>
  <c r="O537" i="7" s="1"/>
  <c r="N537" i="7" a="1"/>
  <c r="N537" i="7"/>
  <c r="M537" i="7" a="1"/>
  <c r="M537" i="7"/>
  <c r="O536" i="7" a="1"/>
  <c r="O536" i="7"/>
  <c r="N536" i="7" a="1"/>
  <c r="N536" i="7"/>
  <c r="M536" i="7" a="1"/>
  <c r="M536" i="7"/>
  <c r="O535" i="7" a="1"/>
  <c r="O535" i="7"/>
  <c r="N535" i="7" a="1"/>
  <c r="N535" i="7"/>
  <c r="M535" i="7" a="1"/>
  <c r="M535" i="7"/>
  <c r="O534" i="7" a="1"/>
  <c r="O534" i="7"/>
  <c r="N534" i="7" a="1"/>
  <c r="N534" i="7" s="1"/>
  <c r="M534" i="7" a="1"/>
  <c r="M534" i="7"/>
  <c r="O533" i="7" a="1"/>
  <c r="O533" i="7"/>
  <c r="N533" i="7" a="1"/>
  <c r="N533" i="7" s="1"/>
  <c r="M533" i="7" a="1"/>
  <c r="M533" i="7"/>
  <c r="O532" i="7" a="1"/>
  <c r="O532" i="7"/>
  <c r="N532" i="7" a="1"/>
  <c r="N532" i="7"/>
  <c r="M532" i="7" a="1"/>
  <c r="M532" i="7"/>
  <c r="O531" i="7" a="1"/>
  <c r="O531" i="7"/>
  <c r="N531" i="7" a="1"/>
  <c r="N531" i="7"/>
  <c r="M531" i="7" a="1"/>
  <c r="M531" i="7" s="1"/>
  <c r="O530" i="7" a="1"/>
  <c r="O530" i="7"/>
  <c r="N530" i="7" a="1"/>
  <c r="N530" i="7"/>
  <c r="M530" i="7" a="1"/>
  <c r="M530" i="7"/>
  <c r="O529" i="7" a="1"/>
  <c r="O529" i="7"/>
  <c r="N529" i="7" a="1"/>
  <c r="N529" i="7"/>
  <c r="M529" i="7" a="1"/>
  <c r="M529" i="7"/>
  <c r="O528" i="7" a="1"/>
  <c r="O528" i="7"/>
  <c r="N528" i="7" a="1"/>
  <c r="N528" i="7"/>
  <c r="M528" i="7" a="1"/>
  <c r="M528" i="7"/>
  <c r="O527" i="7" a="1"/>
  <c r="O527" i="7" s="1"/>
  <c r="N527" i="7" a="1"/>
  <c r="N527" i="7"/>
  <c r="M527" i="7" a="1"/>
  <c r="M527" i="7"/>
  <c r="O526" i="7" a="1"/>
  <c r="O526" i="7"/>
  <c r="N526" i="7" a="1"/>
  <c r="N526" i="7" s="1"/>
  <c r="M526" i="7" a="1"/>
  <c r="M526" i="7"/>
  <c r="O525" i="7" a="1"/>
  <c r="O525" i="7"/>
  <c r="N525" i="7" a="1"/>
  <c r="N525" i="7"/>
  <c r="M525" i="7" a="1"/>
  <c r="M525" i="7"/>
  <c r="O524" i="7" a="1"/>
  <c r="O524" i="7"/>
  <c r="N524" i="7" a="1"/>
  <c r="N524" i="7" s="1"/>
  <c r="M524" i="7" a="1"/>
  <c r="M524" i="7" s="1"/>
  <c r="O523" i="7" a="1"/>
  <c r="O523" i="7"/>
  <c r="N523" i="7" a="1"/>
  <c r="N523" i="7"/>
  <c r="M523" i="7" a="1"/>
  <c r="M523" i="7"/>
  <c r="O522" i="7" a="1"/>
  <c r="O522" i="7" s="1"/>
  <c r="N522" i="7" a="1"/>
  <c r="N522" i="7"/>
  <c r="M522" i="7" a="1"/>
  <c r="M522" i="7"/>
  <c r="O521" i="7" a="1"/>
  <c r="O521" i="7"/>
  <c r="N521" i="7" a="1"/>
  <c r="N521" i="7"/>
  <c r="M521" i="7" a="1"/>
  <c r="M521" i="7" s="1"/>
  <c r="O520" i="7" a="1"/>
  <c r="O520" i="7"/>
  <c r="N520" i="7" a="1"/>
  <c r="N520" i="7"/>
  <c r="M520" i="7" a="1"/>
  <c r="M520" i="7"/>
  <c r="O519" i="7" a="1"/>
  <c r="O519" i="7"/>
  <c r="N519" i="7" a="1"/>
  <c r="N519" i="7"/>
  <c r="M519" i="7" a="1"/>
  <c r="M519" i="7"/>
  <c r="O518" i="7" a="1"/>
  <c r="O518" i="7"/>
  <c r="N518" i="7" a="1"/>
  <c r="N518" i="7"/>
  <c r="M518" i="7" a="1"/>
  <c r="M518" i="7"/>
  <c r="O517" i="7" a="1"/>
  <c r="O517" i="7" s="1"/>
  <c r="N517" i="7" a="1"/>
  <c r="N517" i="7"/>
  <c r="M517" i="7" a="1"/>
  <c r="M517" i="7" s="1"/>
  <c r="O516" i="7" a="1"/>
  <c r="O516" i="7"/>
  <c r="N516" i="7" a="1"/>
  <c r="N516" i="7"/>
  <c r="M516" i="7" a="1"/>
  <c r="M516" i="7"/>
  <c r="O515" i="7" a="1"/>
  <c r="O515" i="7"/>
  <c r="N515" i="7" a="1"/>
  <c r="N515" i="7"/>
  <c r="M515" i="7" a="1"/>
  <c r="M515" i="7"/>
  <c r="O514" i="7" a="1"/>
  <c r="O514" i="7"/>
  <c r="N514" i="7" a="1"/>
  <c r="N514" i="7" s="1"/>
  <c r="M514" i="7" a="1"/>
  <c r="M514" i="7"/>
  <c r="O513" i="7" a="1"/>
  <c r="O513" i="7"/>
  <c r="N513" i="7" a="1"/>
  <c r="N513" i="7"/>
  <c r="M513" i="7" a="1"/>
  <c r="M513" i="7"/>
  <c r="O512" i="7" a="1"/>
  <c r="O512" i="7"/>
  <c r="N512" i="7" a="1"/>
  <c r="N512" i="7"/>
  <c r="M512" i="7" a="1"/>
  <c r="M512" i="7" s="1"/>
  <c r="O511" i="7" a="1"/>
  <c r="O511" i="7"/>
  <c r="N511" i="7" a="1"/>
  <c r="N511" i="7"/>
  <c r="M511" i="7" a="1"/>
  <c r="M511" i="7" s="1"/>
  <c r="O510" i="7" a="1"/>
  <c r="O510" i="7"/>
  <c r="N510" i="7" a="1"/>
  <c r="N510" i="7"/>
  <c r="M510" i="7" a="1"/>
  <c r="M510" i="7" s="1"/>
  <c r="O509" i="7" a="1"/>
  <c r="O509" i="7"/>
  <c r="N509" i="7" a="1"/>
  <c r="N509" i="7"/>
  <c r="M509" i="7" a="1"/>
  <c r="M509" i="7"/>
  <c r="O508" i="7" a="1"/>
  <c r="O508" i="7"/>
  <c r="N508" i="7" a="1"/>
  <c r="N508" i="7"/>
  <c r="M508" i="7" a="1"/>
  <c r="M508" i="7"/>
  <c r="O507" i="7" a="1"/>
  <c r="O507" i="7" s="1"/>
  <c r="N507" i="7" a="1"/>
  <c r="N507" i="7"/>
  <c r="M507" i="7" a="1"/>
  <c r="M507" i="7"/>
  <c r="O506" i="7" a="1"/>
  <c r="O506" i="7"/>
  <c r="N506" i="7" a="1"/>
  <c r="N506" i="7"/>
  <c r="M506" i="7" a="1"/>
  <c r="M506" i="7"/>
  <c r="O505" i="7" a="1"/>
  <c r="O505" i="7"/>
  <c r="N505" i="7" a="1"/>
  <c r="N505" i="7"/>
  <c r="M505" i="7" a="1"/>
  <c r="M505" i="7"/>
  <c r="O504" i="7" a="1"/>
  <c r="O504" i="7"/>
  <c r="N504" i="7" a="1"/>
  <c r="N504" i="7" s="1"/>
  <c r="M504" i="7" a="1"/>
  <c r="M504" i="7"/>
  <c r="O503" i="7" a="1"/>
  <c r="O503" i="7"/>
  <c r="N503" i="7" a="1"/>
  <c r="N503" i="7"/>
  <c r="M503" i="7" a="1"/>
  <c r="M503" i="7" s="1"/>
  <c r="O502" i="7" a="1"/>
  <c r="O502" i="7"/>
  <c r="N502" i="7" a="1"/>
  <c r="N502" i="7"/>
  <c r="M502" i="7" a="1"/>
  <c r="M502" i="7"/>
  <c r="O501" i="7" a="1"/>
  <c r="O501" i="7"/>
  <c r="N501" i="7" a="1"/>
  <c r="N501" i="7"/>
  <c r="M501" i="7" a="1"/>
  <c r="M501" i="7" s="1"/>
  <c r="O500" i="7" a="1"/>
  <c r="O500" i="7"/>
  <c r="N500" i="7" a="1"/>
  <c r="N500" i="7"/>
  <c r="M500" i="7" a="1"/>
  <c r="M500" i="7"/>
  <c r="O499" i="7" a="1"/>
  <c r="O499" i="7"/>
  <c r="N499" i="7" a="1"/>
  <c r="N499" i="7"/>
  <c r="M499" i="7" a="1"/>
  <c r="M499" i="7"/>
  <c r="O498" i="7" a="1"/>
  <c r="O498" i="7"/>
  <c r="N498" i="7" a="1"/>
  <c r="N498" i="7"/>
  <c r="M498" i="7" a="1"/>
  <c r="M498" i="7"/>
  <c r="O497" i="7" a="1"/>
  <c r="O497" i="7" s="1"/>
  <c r="N497" i="7" a="1"/>
  <c r="N497" i="7"/>
  <c r="M497" i="7" a="1"/>
  <c r="M497" i="7"/>
  <c r="O496" i="7" a="1"/>
  <c r="O496" i="7"/>
  <c r="N496" i="7" a="1"/>
  <c r="N496" i="7"/>
  <c r="M496" i="7" a="1"/>
  <c r="M496" i="7" s="1"/>
  <c r="O495" i="7" a="1"/>
  <c r="O495" i="7"/>
  <c r="N495" i="7" a="1"/>
  <c r="N495" i="7"/>
  <c r="M495" i="7" a="1"/>
  <c r="M495" i="7"/>
  <c r="O494" i="7" a="1"/>
  <c r="O494" i="7"/>
  <c r="N494" i="7" a="1"/>
  <c r="N494" i="7" s="1"/>
  <c r="M494" i="7" a="1"/>
  <c r="M494" i="7"/>
  <c r="O493" i="7" a="1"/>
  <c r="O493" i="7"/>
  <c r="N493" i="7" a="1"/>
  <c r="N493" i="7"/>
  <c r="M493" i="7" a="1"/>
  <c r="M493" i="7"/>
  <c r="O492" i="7" a="1"/>
  <c r="O492" i="7"/>
  <c r="N492" i="7" a="1"/>
  <c r="N492" i="7"/>
  <c r="M492" i="7" a="1"/>
  <c r="M492" i="7"/>
  <c r="O491" i="7" a="1"/>
  <c r="O491" i="7"/>
  <c r="N491" i="7" a="1"/>
  <c r="N491" i="7"/>
  <c r="M491" i="7" a="1"/>
  <c r="M491" i="7" s="1"/>
  <c r="O490" i="7" a="1"/>
  <c r="O490" i="7"/>
  <c r="N490" i="7" a="1"/>
  <c r="N490" i="7" s="1"/>
  <c r="M490" i="7" a="1"/>
  <c r="M490" i="7"/>
  <c r="O489" i="7" a="1"/>
  <c r="O489" i="7"/>
  <c r="N489" i="7" a="1"/>
  <c r="N489" i="7"/>
  <c r="M489" i="7" a="1"/>
  <c r="M489" i="7" s="1"/>
  <c r="O488" i="7" a="1"/>
  <c r="O488" i="7"/>
  <c r="N488" i="7" a="1"/>
  <c r="N488" i="7"/>
  <c r="M488" i="7" a="1"/>
  <c r="M488" i="7"/>
  <c r="O487" i="7" a="1"/>
  <c r="O487" i="7" s="1"/>
  <c r="N487" i="7" a="1"/>
  <c r="N487" i="7"/>
  <c r="M487" i="7" a="1"/>
  <c r="M487" i="7"/>
  <c r="O486" i="7" a="1"/>
  <c r="O486" i="7" s="1"/>
  <c r="N486" i="7" a="1"/>
  <c r="N486" i="7"/>
  <c r="M486" i="7" a="1"/>
  <c r="M486" i="7"/>
  <c r="O485" i="7" a="1"/>
  <c r="O485" i="7"/>
  <c r="N485" i="7" a="1"/>
  <c r="N485" i="7"/>
  <c r="M485" i="7" a="1"/>
  <c r="M485" i="7"/>
  <c r="O484" i="7" a="1"/>
  <c r="O484" i="7"/>
  <c r="N484" i="7" a="1"/>
  <c r="N484" i="7" s="1"/>
  <c r="M484" i="7" a="1"/>
  <c r="M484" i="7"/>
  <c r="O483" i="7" a="1"/>
  <c r="O483" i="7"/>
  <c r="N483" i="7" a="1"/>
  <c r="N483" i="7"/>
  <c r="M483" i="7" a="1"/>
  <c r="M483" i="7"/>
  <c r="O482" i="7" a="1"/>
  <c r="O482" i="7"/>
  <c r="N482" i="7" a="1"/>
  <c r="N482" i="7"/>
  <c r="M482" i="7" a="1"/>
  <c r="M482" i="7" s="1"/>
  <c r="O481" i="7" a="1"/>
  <c r="O481" i="7"/>
  <c r="N481" i="7" a="1"/>
  <c r="N481" i="7"/>
  <c r="M481" i="7" a="1"/>
  <c r="M481" i="7" s="1"/>
  <c r="O480" i="7" a="1"/>
  <c r="O480" i="7"/>
  <c r="N480" i="7" a="1"/>
  <c r="N480" i="7"/>
  <c r="M480" i="7" a="1"/>
  <c r="M480" i="7"/>
  <c r="O479" i="7" a="1"/>
  <c r="O479" i="7"/>
  <c r="N479" i="7" a="1"/>
  <c r="N479" i="7"/>
  <c r="M479" i="7" a="1"/>
  <c r="M479" i="7"/>
  <c r="O478" i="7" a="1"/>
  <c r="O478" i="7"/>
  <c r="N478" i="7" a="1"/>
  <c r="N478" i="7"/>
  <c r="M478" i="7" a="1"/>
  <c r="M478" i="7"/>
  <c r="O477" i="7" a="1"/>
  <c r="O477" i="7" s="1"/>
  <c r="N477" i="7" a="1"/>
  <c r="N477" i="7"/>
  <c r="M477" i="7" a="1"/>
  <c r="M477" i="7"/>
  <c r="O476" i="7" a="1"/>
  <c r="O476" i="7"/>
  <c r="N476" i="7" a="1"/>
  <c r="N476" i="7"/>
  <c r="M476" i="7" a="1"/>
  <c r="M476" i="7" s="1"/>
  <c r="O475" i="7" a="1"/>
  <c r="O475" i="7"/>
  <c r="N475" i="7" a="1"/>
  <c r="N475" i="7"/>
  <c r="M475" i="7" a="1"/>
  <c r="M475" i="7"/>
  <c r="O474" i="7" a="1"/>
  <c r="O474" i="7"/>
  <c r="N474" i="7" a="1"/>
  <c r="N474" i="7" s="1"/>
  <c r="M474" i="7" a="1"/>
  <c r="M474" i="7"/>
  <c r="O473" i="7" a="1"/>
  <c r="O473" i="7"/>
  <c r="N473" i="7" a="1"/>
  <c r="N473" i="7"/>
  <c r="M473" i="7" a="1"/>
  <c r="M473" i="7"/>
  <c r="O472" i="7" a="1"/>
  <c r="O472" i="7"/>
  <c r="N472" i="7" a="1"/>
  <c r="N472" i="7"/>
  <c r="M472" i="7" a="1"/>
  <c r="M472" i="7"/>
  <c r="O471" i="7" a="1"/>
  <c r="O471" i="7"/>
  <c r="N471" i="7" a="1"/>
  <c r="N471" i="7"/>
  <c r="M471" i="7" a="1"/>
  <c r="M471" i="7" s="1"/>
  <c r="O470" i="7" a="1"/>
  <c r="O470" i="7"/>
  <c r="N470" i="7" a="1"/>
  <c r="N470" i="7"/>
  <c r="M470" i="7" a="1"/>
  <c r="M470" i="7"/>
  <c r="O469" i="7" a="1"/>
  <c r="O469" i="7"/>
  <c r="N469" i="7" a="1"/>
  <c r="N469" i="7"/>
  <c r="M469" i="7" a="1"/>
  <c r="M469" i="7" s="1"/>
  <c r="O468" i="7" a="1"/>
  <c r="O468" i="7"/>
  <c r="N468" i="7" a="1"/>
  <c r="N468" i="7"/>
  <c r="M468" i="7" a="1"/>
  <c r="M468" i="7"/>
  <c r="O467" i="7" a="1"/>
  <c r="O467" i="7" s="1"/>
  <c r="N467" i="7" a="1"/>
  <c r="N467" i="7"/>
  <c r="M467" i="7" a="1"/>
  <c r="M467" i="7"/>
  <c r="O466" i="7" a="1"/>
  <c r="O466" i="7"/>
  <c r="N466" i="7" a="1"/>
  <c r="N466" i="7"/>
  <c r="M466" i="7" a="1"/>
  <c r="M466" i="7"/>
  <c r="O465" i="7" a="1"/>
  <c r="O465" i="7"/>
  <c r="N465" i="7" a="1"/>
  <c r="N465" i="7"/>
  <c r="M465" i="7" a="1"/>
  <c r="M465" i="7"/>
  <c r="O464" i="7" a="1"/>
  <c r="O464" i="7"/>
  <c r="N464" i="7" a="1"/>
  <c r="N464" i="7" s="1"/>
  <c r="M464" i="7" a="1"/>
  <c r="M464" i="7"/>
  <c r="O463" i="7" a="1"/>
  <c r="O463" i="7"/>
  <c r="N463" i="7" a="1"/>
  <c r="N463" i="7"/>
  <c r="M463" i="7" a="1"/>
  <c r="M463" i="7"/>
  <c r="O462" i="7" a="1"/>
  <c r="O462" i="7"/>
  <c r="N462" i="7" a="1"/>
  <c r="N462" i="7"/>
  <c r="M462" i="7" a="1"/>
  <c r="M462" i="7" s="1"/>
  <c r="O461" i="7" a="1"/>
  <c r="O461" i="7"/>
  <c r="N461" i="7" a="1"/>
  <c r="N461" i="7"/>
  <c r="M461" i="7" a="1"/>
  <c r="M461" i="7" s="1"/>
  <c r="O460" i="7" a="1"/>
  <c r="O460" i="7"/>
  <c r="N460" i="7" a="1"/>
  <c r="N460" i="7"/>
  <c r="M460" i="7" a="1"/>
  <c r="M460" i="7"/>
  <c r="O459" i="7" a="1"/>
  <c r="O459" i="7"/>
  <c r="N459" i="7" a="1"/>
  <c r="N459" i="7"/>
  <c r="M459" i="7" a="1"/>
  <c r="M459" i="7"/>
  <c r="O458" i="7" a="1"/>
  <c r="O458" i="7"/>
  <c r="N458" i="7" a="1"/>
  <c r="N458" i="7"/>
  <c r="M458" i="7" a="1"/>
  <c r="M458" i="7"/>
  <c r="O457" i="7" a="1"/>
  <c r="O457" i="7" s="1"/>
  <c r="N457" i="7" a="1"/>
  <c r="N457" i="7" s="1"/>
  <c r="M457" i="7" a="1"/>
  <c r="M457" i="7"/>
  <c r="O456" i="7" a="1"/>
  <c r="O456" i="7"/>
  <c r="N456" i="7" a="1"/>
  <c r="N456" i="7"/>
  <c r="M456" i="7" a="1"/>
  <c r="M456" i="7"/>
  <c r="O455" i="7" a="1"/>
  <c r="O455" i="7"/>
  <c r="N455" i="7" a="1"/>
  <c r="N455" i="7"/>
  <c r="M455" i="7" a="1"/>
  <c r="M455" i="7"/>
  <c r="O454" i="7" a="1"/>
  <c r="O454" i="7"/>
  <c r="N454" i="7" a="1"/>
  <c r="N454" i="7" s="1"/>
  <c r="M454" i="7" a="1"/>
  <c r="M454" i="7"/>
  <c r="O453" i="7" a="1"/>
  <c r="O453" i="7"/>
  <c r="N453" i="7" a="1"/>
  <c r="N453" i="7"/>
  <c r="M453" i="7" a="1"/>
  <c r="M453" i="7"/>
  <c r="O452" i="7" a="1"/>
  <c r="O452" i="7"/>
  <c r="N452" i="7" a="1"/>
  <c r="N452" i="7"/>
  <c r="M452" i="7" a="1"/>
  <c r="M452" i="7"/>
  <c r="O451" i="7" a="1"/>
  <c r="O451" i="7"/>
  <c r="N451" i="7" a="1"/>
  <c r="N451" i="7"/>
  <c r="M451" i="7" a="1"/>
  <c r="M451" i="7" s="1"/>
  <c r="O450" i="7" a="1"/>
  <c r="O450" i="7"/>
  <c r="N450" i="7" a="1"/>
  <c r="N450" i="7" s="1"/>
  <c r="M450" i="7" a="1"/>
  <c r="M450" i="7"/>
  <c r="O449" i="7" a="1"/>
  <c r="O449" i="7"/>
  <c r="N449" i="7" a="1"/>
  <c r="N449" i="7"/>
  <c r="M449" i="7" a="1"/>
  <c r="M449" i="7"/>
  <c r="O448" i="7" a="1"/>
  <c r="O448" i="7"/>
  <c r="N448" i="7" a="1"/>
  <c r="N448" i="7"/>
  <c r="M448" i="7" a="1"/>
  <c r="M448" i="7"/>
  <c r="O447" i="7" a="1"/>
  <c r="O447" i="7" s="1"/>
  <c r="N447" i="7" a="1"/>
  <c r="N447" i="7"/>
  <c r="M447" i="7" a="1"/>
  <c r="M447" i="7"/>
  <c r="O446" i="7" a="1"/>
  <c r="O446" i="7"/>
  <c r="N446" i="7" a="1"/>
  <c r="N446" i="7"/>
  <c r="M446" i="7" a="1"/>
  <c r="M446" i="7"/>
  <c r="O445" i="7" a="1"/>
  <c r="O445" i="7"/>
  <c r="N445" i="7" a="1"/>
  <c r="N445" i="7"/>
  <c r="M445" i="7" a="1"/>
  <c r="M445" i="7"/>
  <c r="O444" i="7" a="1"/>
  <c r="O444" i="7"/>
  <c r="N444" i="7" a="1"/>
  <c r="N444" i="7" s="1"/>
  <c r="M444" i="7" a="1"/>
  <c r="M444" i="7" s="1"/>
  <c r="O443" i="7" a="1"/>
  <c r="O443" i="7"/>
  <c r="N443" i="7" a="1"/>
  <c r="N443" i="7" s="1"/>
  <c r="M443" i="7" a="1"/>
  <c r="M443" i="7"/>
  <c r="O442" i="7" a="1"/>
  <c r="O442" i="7"/>
  <c r="N442" i="7" a="1"/>
  <c r="N442" i="7"/>
  <c r="M442" i="7" a="1"/>
  <c r="M442" i="7"/>
  <c r="O441" i="7" a="1"/>
  <c r="O441" i="7"/>
  <c r="N441" i="7" a="1"/>
  <c r="N441" i="7"/>
  <c r="M441" i="7" a="1"/>
  <c r="M441" i="7" s="1"/>
  <c r="O440" i="7" a="1"/>
  <c r="O440" i="7"/>
  <c r="N440" i="7" a="1"/>
  <c r="N440" i="7" s="1"/>
  <c r="M440" i="7" a="1"/>
  <c r="M440" i="7"/>
  <c r="O439" i="7" a="1"/>
  <c r="O439" i="7"/>
  <c r="N439" i="7" a="1"/>
  <c r="N439" i="7"/>
  <c r="M439" i="7" a="1"/>
  <c r="M439" i="7"/>
  <c r="O438" i="7" a="1"/>
  <c r="O438" i="7"/>
  <c r="N438" i="7" a="1"/>
  <c r="N438" i="7"/>
  <c r="M438" i="7" a="1"/>
  <c r="M438" i="7"/>
  <c r="O437" i="7" a="1"/>
  <c r="O437" i="7" s="1"/>
  <c r="N437" i="7" a="1"/>
  <c r="N437" i="7"/>
  <c r="M437" i="7" a="1"/>
  <c r="M437" i="7"/>
  <c r="O436" i="7" a="1"/>
  <c r="O436" i="7"/>
  <c r="N436" i="7" a="1"/>
  <c r="N436" i="7" s="1"/>
  <c r="M436" i="7" a="1"/>
  <c r="M436" i="7"/>
  <c r="O435" i="7" a="1"/>
  <c r="O435" i="7"/>
  <c r="N435" i="7" a="1"/>
  <c r="N435" i="7"/>
  <c r="M435" i="7" a="1"/>
  <c r="M435" i="7"/>
  <c r="O434" i="7" a="1"/>
  <c r="O434" i="7"/>
  <c r="N434" i="7" a="1"/>
  <c r="N434" i="7" s="1"/>
  <c r="M434" i="7" a="1"/>
  <c r="M434" i="7"/>
  <c r="O433" i="7" a="1"/>
  <c r="O433" i="7"/>
  <c r="N433" i="7" a="1"/>
  <c r="N433" i="7"/>
  <c r="M433" i="7" a="1"/>
  <c r="M433" i="7"/>
  <c r="O432" i="7" a="1"/>
  <c r="O432" i="7"/>
  <c r="N432" i="7" a="1"/>
  <c r="N432" i="7"/>
  <c r="M432" i="7" a="1"/>
  <c r="M432" i="7"/>
  <c r="O431" i="7" a="1"/>
  <c r="O431" i="7"/>
  <c r="N431" i="7" a="1"/>
  <c r="N431" i="7"/>
  <c r="M431" i="7" a="1"/>
  <c r="M431" i="7" s="1"/>
  <c r="O430" i="7" a="1"/>
  <c r="O430" i="7"/>
  <c r="N430" i="7" a="1"/>
  <c r="N430" i="7"/>
  <c r="M430" i="7" a="1"/>
  <c r="M430" i="7"/>
  <c r="O429" i="7" a="1"/>
  <c r="O429" i="7" s="1"/>
  <c r="N429" i="7" a="1"/>
  <c r="N429" i="7" s="1"/>
  <c r="M429" i="7" a="1"/>
  <c r="M429" i="7"/>
  <c r="O428" i="7" a="1"/>
  <c r="O428" i="7"/>
  <c r="N428" i="7" a="1"/>
  <c r="N428" i="7"/>
  <c r="M428" i="7" a="1"/>
  <c r="M428" i="7"/>
  <c r="O427" i="7" a="1"/>
  <c r="O427" i="7" s="1"/>
  <c r="N427" i="7" a="1"/>
  <c r="N427" i="7"/>
  <c r="M427" i="7" a="1"/>
  <c r="M427" i="7"/>
  <c r="O426" i="7" a="1"/>
  <c r="O426" i="7"/>
  <c r="N426" i="7" a="1"/>
  <c r="N426" i="7"/>
  <c r="M426" i="7" a="1"/>
  <c r="M426" i="7" s="1"/>
  <c r="O425" i="7" a="1"/>
  <c r="O425" i="7"/>
  <c r="N425" i="7" a="1"/>
  <c r="N425" i="7"/>
  <c r="M425" i="7" a="1"/>
  <c r="M425" i="7"/>
  <c r="O424" i="7" a="1"/>
  <c r="O424" i="7"/>
  <c r="N424" i="7" a="1"/>
  <c r="N424" i="7" s="1"/>
  <c r="M424" i="7" a="1"/>
  <c r="M424" i="7"/>
  <c r="O423" i="7" a="1"/>
  <c r="O423" i="7"/>
  <c r="N423" i="7" a="1"/>
  <c r="N423" i="7"/>
  <c r="M423" i="7" a="1"/>
  <c r="M423" i="7"/>
  <c r="O422" i="7" a="1"/>
  <c r="O422" i="7"/>
  <c r="N422" i="7" a="1"/>
  <c r="N422" i="7" s="1"/>
  <c r="M422" i="7" a="1"/>
  <c r="M422" i="7"/>
  <c r="O421" i="7" a="1"/>
  <c r="O421" i="7"/>
  <c r="N421" i="7" a="1"/>
  <c r="N421" i="7"/>
  <c r="M421" i="7" a="1"/>
  <c r="M421" i="7" s="1"/>
  <c r="O420" i="7" a="1"/>
  <c r="O420" i="7"/>
  <c r="N420" i="7" a="1"/>
  <c r="N420" i="7"/>
  <c r="M420" i="7" a="1"/>
  <c r="M420" i="7"/>
  <c r="O419" i="7" a="1"/>
  <c r="O419" i="7"/>
  <c r="N419" i="7" a="1"/>
  <c r="N419" i="7"/>
  <c r="M419" i="7" a="1"/>
  <c r="M419" i="7"/>
  <c r="O418" i="7" a="1"/>
  <c r="O418" i="7"/>
  <c r="N418" i="7" a="1"/>
  <c r="N418" i="7"/>
  <c r="M418" i="7" a="1"/>
  <c r="M418" i="7"/>
  <c r="O417" i="7" a="1"/>
  <c r="O417" i="7" s="1"/>
  <c r="N417" i="7" a="1"/>
  <c r="N417" i="7"/>
  <c r="M417" i="7" a="1"/>
  <c r="M417" i="7"/>
  <c r="O416" i="7" a="1"/>
  <c r="O416" i="7"/>
  <c r="N416" i="7" a="1"/>
  <c r="N416" i="7"/>
  <c r="M416" i="7" a="1"/>
  <c r="M416" i="7"/>
  <c r="O415" i="7" a="1"/>
  <c r="O415" i="7"/>
  <c r="N415" i="7" a="1"/>
  <c r="N415" i="7" s="1"/>
  <c r="M415" i="7" a="1"/>
  <c r="M415" i="7"/>
  <c r="O414" i="7" a="1"/>
  <c r="O414" i="7"/>
  <c r="N414" i="7" a="1"/>
  <c r="N414" i="7" s="1"/>
  <c r="M414" i="7" a="1"/>
  <c r="M414" i="7"/>
  <c r="O413" i="7" a="1"/>
  <c r="O413" i="7"/>
  <c r="N413" i="7" a="1"/>
  <c r="N413" i="7"/>
  <c r="M413" i="7" a="1"/>
  <c r="M413" i="7"/>
  <c r="O412" i="7" a="1"/>
  <c r="O412" i="7"/>
  <c r="N412" i="7" a="1"/>
  <c r="N412" i="7"/>
  <c r="M412" i="7" a="1"/>
  <c r="M412" i="7"/>
  <c r="O411" i="7" a="1"/>
  <c r="O411" i="7"/>
  <c r="N411" i="7" a="1"/>
  <c r="N411" i="7"/>
  <c r="M411" i="7" a="1"/>
  <c r="M411" i="7" s="1"/>
  <c r="O410" i="7" a="1"/>
  <c r="O410" i="7"/>
  <c r="N410" i="7" a="1"/>
  <c r="N410" i="7"/>
  <c r="M410" i="7" a="1"/>
  <c r="M410" i="7"/>
  <c r="O409" i="7" a="1"/>
  <c r="O409" i="7"/>
  <c r="N409" i="7" a="1"/>
  <c r="N409" i="7"/>
  <c r="M409" i="7" a="1"/>
  <c r="M409" i="7"/>
  <c r="O408" i="7" a="1"/>
  <c r="O408" i="7"/>
  <c r="N408" i="7" a="1"/>
  <c r="N408" i="7"/>
  <c r="M408" i="7" a="1"/>
  <c r="M408" i="7"/>
  <c r="O407" i="7" a="1"/>
  <c r="O407" i="7" s="1"/>
  <c r="N407" i="7" a="1"/>
  <c r="N407" i="7"/>
  <c r="M407" i="7" a="1"/>
  <c r="M407" i="7"/>
  <c r="O406" i="7" a="1"/>
  <c r="O406" i="7"/>
  <c r="N406" i="7" a="1"/>
  <c r="N406" i="7"/>
  <c r="M406" i="7" a="1"/>
  <c r="M406" i="7"/>
  <c r="O405" i="7" a="1"/>
  <c r="O405" i="7"/>
  <c r="N405" i="7" a="1"/>
  <c r="N405" i="7"/>
  <c r="M405" i="7" a="1"/>
  <c r="M405" i="7"/>
  <c r="O404" i="7" a="1"/>
  <c r="O404" i="7"/>
  <c r="N404" i="7" a="1"/>
  <c r="N404" i="7" s="1"/>
  <c r="M404" i="7" a="1"/>
  <c r="M404" i="7"/>
  <c r="O403" i="7" a="1"/>
  <c r="O403" i="7"/>
  <c r="N403" i="7" a="1"/>
  <c r="N403" i="7"/>
  <c r="M403" i="7" a="1"/>
  <c r="M403" i="7"/>
  <c r="O402" i="7" a="1"/>
  <c r="O402" i="7"/>
  <c r="N402" i="7" a="1"/>
  <c r="N402" i="7"/>
  <c r="M402" i="7" a="1"/>
  <c r="M402" i="7"/>
  <c r="O401" i="7" a="1"/>
  <c r="O401" i="7"/>
  <c r="N401" i="7" a="1"/>
  <c r="N401" i="7"/>
  <c r="M401" i="7" a="1"/>
  <c r="M401" i="7" s="1"/>
  <c r="O400" i="7" a="1"/>
  <c r="O400" i="7"/>
  <c r="N400" i="7" a="1"/>
  <c r="N400" i="7"/>
  <c r="M400" i="7" a="1"/>
  <c r="M400" i="7"/>
  <c r="O399" i="7" a="1"/>
  <c r="O399" i="7"/>
  <c r="N399" i="7" a="1"/>
  <c r="N399" i="7"/>
  <c r="M399" i="7" a="1"/>
  <c r="M399" i="7"/>
  <c r="O398" i="7" a="1"/>
  <c r="O398" i="7"/>
  <c r="N398" i="7" a="1"/>
  <c r="N398" i="7"/>
  <c r="M398" i="7" a="1"/>
  <c r="M398" i="7"/>
  <c r="O397" i="7" a="1"/>
  <c r="O397" i="7" s="1"/>
  <c r="N397" i="7" a="1"/>
  <c r="N397" i="7"/>
  <c r="M397" i="7" a="1"/>
  <c r="M397" i="7"/>
  <c r="O396" i="7" a="1"/>
  <c r="O396" i="7"/>
  <c r="N396" i="7" a="1"/>
  <c r="N396" i="7"/>
  <c r="M396" i="7" a="1"/>
  <c r="M396" i="7"/>
  <c r="O395" i="7" a="1"/>
  <c r="O395" i="7"/>
  <c r="N395" i="7" a="1"/>
  <c r="N395" i="7"/>
  <c r="M395" i="7" a="1"/>
  <c r="M395" i="7"/>
  <c r="O394" i="7" a="1"/>
  <c r="O394" i="7"/>
  <c r="N394" i="7" a="1"/>
  <c r="N394" i="7" s="1"/>
  <c r="M394" i="7" a="1"/>
  <c r="M394" i="7"/>
  <c r="O393" i="7" a="1"/>
  <c r="O393" i="7"/>
  <c r="N393" i="7" a="1"/>
  <c r="N393" i="7"/>
  <c r="M393" i="7" a="1"/>
  <c r="M393" i="7"/>
  <c r="O392" i="7" a="1"/>
  <c r="O392" i="7"/>
  <c r="N392" i="7" a="1"/>
  <c r="N392" i="7"/>
  <c r="M392" i="7" a="1"/>
  <c r="M392" i="7"/>
  <c r="O391" i="7" a="1"/>
  <c r="O391" i="7"/>
  <c r="N391" i="7" a="1"/>
  <c r="N391" i="7"/>
  <c r="M391" i="7" a="1"/>
  <c r="M391" i="7" s="1"/>
  <c r="O390" i="7" a="1"/>
  <c r="O390" i="7" s="1"/>
  <c r="N390" i="7" a="1"/>
  <c r="N390" i="7"/>
  <c r="M390" i="7" a="1"/>
  <c r="M390" i="7"/>
  <c r="O389" i="7" a="1"/>
  <c r="O389" i="7"/>
  <c r="N389" i="7" a="1"/>
  <c r="N389" i="7"/>
  <c r="M389" i="7" a="1"/>
  <c r="M389" i="7"/>
  <c r="O388" i="7" a="1"/>
  <c r="O388" i="7"/>
  <c r="N388" i="7" a="1"/>
  <c r="N388" i="7"/>
  <c r="M388" i="7" a="1"/>
  <c r="M388" i="7"/>
  <c r="O387" i="7" a="1"/>
  <c r="O387" i="7" s="1"/>
  <c r="N387" i="7" a="1"/>
  <c r="N387" i="7"/>
  <c r="M387" i="7" a="1"/>
  <c r="M387" i="7"/>
  <c r="O386" i="7" a="1"/>
  <c r="O386" i="7"/>
  <c r="N386" i="7" a="1"/>
  <c r="N386" i="7"/>
  <c r="M386" i="7" a="1"/>
  <c r="M386" i="7"/>
  <c r="O385" i="7" a="1"/>
  <c r="O385" i="7"/>
  <c r="N385" i="7" a="1"/>
  <c r="N385" i="7"/>
  <c r="M385" i="7" a="1"/>
  <c r="M385" i="7"/>
  <c r="O384" i="7" a="1"/>
  <c r="O384" i="7"/>
  <c r="N384" i="7" a="1"/>
  <c r="N384" i="7" s="1"/>
  <c r="M384" i="7" a="1"/>
  <c r="M384" i="7"/>
  <c r="O383" i="7" a="1"/>
  <c r="O383" i="7" s="1"/>
  <c r="N383" i="7" a="1"/>
  <c r="N383" i="7"/>
  <c r="M383" i="7" a="1"/>
  <c r="M383" i="7"/>
  <c r="O382" i="7" a="1"/>
  <c r="O382" i="7"/>
  <c r="N382" i="7" a="1"/>
  <c r="N382" i="7"/>
  <c r="M382" i="7" a="1"/>
  <c r="M382" i="7"/>
  <c r="O381" i="7" a="1"/>
  <c r="O381" i="7"/>
  <c r="N381" i="7" a="1"/>
  <c r="N381" i="7"/>
  <c r="M381" i="7" a="1"/>
  <c r="M381" i="7" s="1"/>
  <c r="O380" i="7" a="1"/>
  <c r="O380" i="7"/>
  <c r="N380" i="7" a="1"/>
  <c r="N380" i="7"/>
  <c r="M380" i="7" a="1"/>
  <c r="M380" i="7"/>
  <c r="O379" i="7" a="1"/>
  <c r="O379" i="7" s="1"/>
  <c r="N379" i="7" a="1"/>
  <c r="N379" i="7"/>
  <c r="M379" i="7" a="1"/>
  <c r="M379" i="7"/>
  <c r="O378" i="7" a="1"/>
  <c r="O378" i="7"/>
  <c r="N378" i="7" a="1"/>
  <c r="N378" i="7"/>
  <c r="M378" i="7" a="1"/>
  <c r="M378" i="7"/>
  <c r="O377" i="7" a="1"/>
  <c r="O377" i="7" s="1"/>
  <c r="N377" i="7" a="1"/>
  <c r="N377" i="7"/>
  <c r="M377" i="7" a="1"/>
  <c r="M377" i="7"/>
  <c r="O376" i="7" a="1"/>
  <c r="O376" i="7" s="1"/>
  <c r="N376" i="7" a="1"/>
  <c r="N376" i="7"/>
  <c r="M376" i="7" a="1"/>
  <c r="M376" i="7" s="1"/>
  <c r="O375" i="7" a="1"/>
  <c r="O375" i="7"/>
  <c r="N375" i="7" a="1"/>
  <c r="N375" i="7"/>
  <c r="M375" i="7" a="1"/>
  <c r="M375" i="7"/>
  <c r="O374" i="7" a="1"/>
  <c r="O374" i="7"/>
  <c r="N374" i="7" a="1"/>
  <c r="N374" i="7" s="1"/>
  <c r="M374" i="7" a="1"/>
  <c r="M374" i="7"/>
  <c r="O373" i="7" a="1"/>
  <c r="O373" i="7"/>
  <c r="N373" i="7" a="1"/>
  <c r="N373" i="7"/>
  <c r="M373" i="7" a="1"/>
  <c r="M373" i="7"/>
  <c r="O372" i="7" a="1"/>
  <c r="O372" i="7"/>
  <c r="N372" i="7" a="1"/>
  <c r="N372" i="7"/>
  <c r="M372" i="7" a="1"/>
  <c r="M372" i="7"/>
  <c r="O371" i="7" a="1"/>
  <c r="O371" i="7"/>
  <c r="N371" i="7" a="1"/>
  <c r="N371" i="7"/>
  <c r="M371" i="7" a="1"/>
  <c r="M371" i="7" s="1"/>
  <c r="O370" i="7" a="1"/>
  <c r="O370" i="7"/>
  <c r="N370" i="7" a="1"/>
  <c r="N370" i="7"/>
  <c r="M370" i="7" a="1"/>
  <c r="M370" i="7"/>
  <c r="O369" i="7" a="1"/>
  <c r="O369" i="7" s="1"/>
  <c r="N369" i="7" a="1"/>
  <c r="N369" i="7"/>
  <c r="M369" i="7" a="1"/>
  <c r="M369" i="7"/>
  <c r="O368" i="7" a="1"/>
  <c r="O368" i="7"/>
  <c r="N368" i="7" a="1"/>
  <c r="N368" i="7"/>
  <c r="M368" i="7" a="1"/>
  <c r="M368" i="7"/>
  <c r="O367" i="7" a="1"/>
  <c r="O367" i="7" s="1"/>
  <c r="N367" i="7" a="1"/>
  <c r="N367" i="7"/>
  <c r="M367" i="7" a="1"/>
  <c r="M367" i="7"/>
  <c r="O366" i="7" a="1"/>
  <c r="O366" i="7"/>
  <c r="N366" i="7" a="1"/>
  <c r="N366" i="7"/>
  <c r="M366" i="7" a="1"/>
  <c r="M366" i="7"/>
  <c r="O365" i="7" a="1"/>
  <c r="O365" i="7"/>
  <c r="N365" i="7" a="1"/>
  <c r="N365" i="7" s="1"/>
  <c r="M365" i="7" a="1"/>
  <c r="M365" i="7"/>
  <c r="O364" i="7" a="1"/>
  <c r="O364" i="7"/>
  <c r="N364" i="7" a="1"/>
  <c r="N364" i="7" s="1"/>
  <c r="M364" i="7" a="1"/>
  <c r="M364" i="7"/>
  <c r="O363" i="7" a="1"/>
  <c r="O363" i="7"/>
  <c r="N363" i="7" a="1"/>
  <c r="N363" i="7"/>
  <c r="M363" i="7" a="1"/>
  <c r="M363" i="7"/>
  <c r="O362" i="7" a="1"/>
  <c r="O362" i="7" s="1"/>
  <c r="N362" i="7" a="1"/>
  <c r="N362" i="7"/>
  <c r="M362" i="7" a="1"/>
  <c r="M362" i="7"/>
  <c r="O361" i="7" a="1"/>
  <c r="O361" i="7"/>
  <c r="N361" i="7" a="1"/>
  <c r="N361" i="7"/>
  <c r="M361" i="7" a="1"/>
  <c r="M361" i="7" s="1"/>
  <c r="O360" i="7" a="1"/>
  <c r="O360" i="7"/>
  <c r="N360" i="7" a="1"/>
  <c r="N360" i="7"/>
  <c r="M360" i="7" a="1"/>
  <c r="M360" i="7"/>
  <c r="O359" i="7" a="1"/>
  <c r="O359" i="7"/>
  <c r="N359" i="7" a="1"/>
  <c r="N359" i="7"/>
  <c r="M359" i="7" a="1"/>
  <c r="M359" i="7"/>
  <c r="O358" i="7" a="1"/>
  <c r="O358" i="7"/>
  <c r="N358" i="7" a="1"/>
  <c r="N358" i="7"/>
  <c r="M358" i="7" a="1"/>
  <c r="M358" i="7"/>
  <c r="O357" i="7" a="1"/>
  <c r="O357" i="7" s="1"/>
  <c r="N357" i="7" a="1"/>
  <c r="N357" i="7"/>
  <c r="M357" i="7" a="1"/>
  <c r="M357" i="7"/>
  <c r="O356" i="7" a="1"/>
  <c r="O356" i="7"/>
  <c r="N356" i="7" a="1"/>
  <c r="N356" i="7"/>
  <c r="M356" i="7" a="1"/>
  <c r="M356" i="7"/>
  <c r="O355" i="7" a="1"/>
  <c r="O355" i="7" s="1"/>
  <c r="N355" i="7" a="1"/>
  <c r="N355" i="7"/>
  <c r="M355" i="7" a="1"/>
  <c r="M355" i="7"/>
  <c r="O354" i="7" a="1"/>
  <c r="O354" i="7"/>
  <c r="N354" i="7" a="1"/>
  <c r="N354" i="7" s="1"/>
  <c r="M354" i="7" a="1"/>
  <c r="M354" i="7"/>
  <c r="O353" i="7" a="1"/>
  <c r="O353" i="7"/>
  <c r="N353" i="7" a="1"/>
  <c r="N353" i="7"/>
  <c r="M353" i="7" a="1"/>
  <c r="M353" i="7"/>
  <c r="O352" i="7" a="1"/>
  <c r="O352" i="7"/>
  <c r="N352" i="7" a="1"/>
  <c r="N352" i="7"/>
  <c r="M352" i="7" a="1"/>
  <c r="M352" i="7"/>
  <c r="O351" i="7" a="1"/>
  <c r="O351" i="7"/>
  <c r="N351" i="7" a="1"/>
  <c r="N351" i="7"/>
  <c r="M351" i="7" a="1"/>
  <c r="M351" i="7" s="1"/>
  <c r="O350" i="7" a="1"/>
  <c r="O350" i="7"/>
  <c r="N350" i="7" a="1"/>
  <c r="N350" i="7"/>
  <c r="M350" i="7" a="1"/>
  <c r="M350" i="7"/>
  <c r="O349" i="7" a="1"/>
  <c r="O349" i="7"/>
  <c r="N349" i="7" a="1"/>
  <c r="N349" i="7"/>
  <c r="M349" i="7" a="1"/>
  <c r="M349" i="7"/>
  <c r="O348" i="7" a="1"/>
  <c r="O348" i="7" s="1"/>
  <c r="N348" i="7" a="1"/>
  <c r="N348" i="7"/>
  <c r="M348" i="7" a="1"/>
  <c r="M348" i="7"/>
  <c r="O347" i="7" a="1"/>
  <c r="O347" i="7" s="1"/>
  <c r="N347" i="7" a="1"/>
  <c r="N347" i="7"/>
  <c r="M347" i="7" a="1"/>
  <c r="M347" i="7"/>
  <c r="O346" i="7" a="1"/>
  <c r="O346" i="7"/>
  <c r="N346" i="7" a="1"/>
  <c r="N346" i="7"/>
  <c r="M346" i="7" a="1"/>
  <c r="M346" i="7"/>
  <c r="O345" i="7" a="1"/>
  <c r="O345" i="7"/>
  <c r="N345" i="7" a="1"/>
  <c r="N345" i="7"/>
  <c r="M345" i="7" a="1"/>
  <c r="M345" i="7"/>
  <c r="O344" i="7" a="1"/>
  <c r="O344" i="7"/>
  <c r="N344" i="7" a="1"/>
  <c r="N344" i="7" s="1"/>
  <c r="M344" i="7" a="1"/>
  <c r="M344" i="7"/>
  <c r="O343" i="7" a="1"/>
  <c r="O343" i="7" s="1"/>
  <c r="N343" i="7" a="1"/>
  <c r="N343" i="7"/>
  <c r="M343" i="7" a="1"/>
  <c r="M343" i="7"/>
  <c r="O342" i="7" a="1"/>
  <c r="O342" i="7"/>
  <c r="N342" i="7" a="1"/>
  <c r="N342" i="7"/>
  <c r="M342" i="7" a="1"/>
  <c r="M342" i="7"/>
  <c r="O341" i="7" a="1"/>
  <c r="O341" i="7"/>
  <c r="N341" i="7" a="1"/>
  <c r="N341" i="7"/>
  <c r="M341" i="7" a="1"/>
  <c r="M341" i="7" s="1"/>
  <c r="O340" i="7" a="1"/>
  <c r="O340" i="7"/>
  <c r="N340" i="7" a="1"/>
  <c r="N340" i="7"/>
  <c r="M340" i="7" a="1"/>
  <c r="M340" i="7"/>
  <c r="O339" i="7" a="1"/>
  <c r="O339" i="7"/>
  <c r="N339" i="7" a="1"/>
  <c r="N339" i="7"/>
  <c r="M339" i="7" a="1"/>
  <c r="M339" i="7"/>
  <c r="O338" i="7" a="1"/>
  <c r="O338" i="7"/>
  <c r="N338" i="7" a="1"/>
  <c r="N338" i="7"/>
  <c r="M338" i="7" a="1"/>
  <c r="M338" i="7"/>
  <c r="O337" i="7" a="1"/>
  <c r="O337" i="7" s="1"/>
  <c r="N337" i="7" a="1"/>
  <c r="N337" i="7"/>
  <c r="M337" i="7" a="1"/>
  <c r="M337" i="7"/>
  <c r="O336" i="7" a="1"/>
  <c r="O336" i="7" s="1"/>
  <c r="N336" i="7" a="1"/>
  <c r="N336" i="7"/>
  <c r="M336" i="7" a="1"/>
  <c r="M336" i="7"/>
  <c r="O335" i="7" a="1"/>
  <c r="O335" i="7"/>
  <c r="N335" i="7" a="1"/>
  <c r="N335" i="7"/>
  <c r="M335" i="7" a="1"/>
  <c r="M335" i="7"/>
  <c r="O334" i="7" a="1"/>
  <c r="O334" i="7"/>
  <c r="N334" i="7" a="1"/>
  <c r="N334" i="7" s="1"/>
  <c r="M334" i="7" a="1"/>
  <c r="M334" i="7"/>
  <c r="O333" i="7" a="1"/>
  <c r="O333" i="7"/>
  <c r="N333" i="7" a="1"/>
  <c r="N333" i="7"/>
  <c r="M333" i="7" a="1"/>
  <c r="M333" i="7"/>
  <c r="O332" i="7" a="1"/>
  <c r="O332" i="7"/>
  <c r="N332" i="7" a="1"/>
  <c r="N332" i="7"/>
  <c r="M332" i="7" a="1"/>
  <c r="M332" i="7"/>
  <c r="O331" i="7" a="1"/>
  <c r="O331" i="7"/>
  <c r="N331" i="7" a="1"/>
  <c r="N331" i="7"/>
  <c r="M331" i="7" a="1"/>
  <c r="M331" i="7" s="1"/>
  <c r="O330" i="7" a="1"/>
  <c r="O330" i="7"/>
  <c r="N330" i="7" a="1"/>
  <c r="N330" i="7"/>
  <c r="M330" i="7" a="1"/>
  <c r="M330" i="7"/>
  <c r="O329" i="7" a="1"/>
  <c r="O329" i="7" s="1"/>
  <c r="N329" i="7" a="1"/>
  <c r="N329" i="7"/>
  <c r="M329" i="7" a="1"/>
  <c r="M329" i="7"/>
  <c r="O328" i="7" a="1"/>
  <c r="O328" i="7"/>
  <c r="N328" i="7" a="1"/>
  <c r="N328" i="7"/>
  <c r="M328" i="7" a="1"/>
  <c r="M328" i="7"/>
  <c r="O327" i="7" a="1"/>
  <c r="O327" i="7" s="1"/>
  <c r="N327" i="7" a="1"/>
  <c r="N327" i="7"/>
  <c r="M327" i="7" a="1"/>
  <c r="M327" i="7"/>
  <c r="O326" i="7" a="1"/>
  <c r="O326" i="7"/>
  <c r="N326" i="7" a="1"/>
  <c r="N326" i="7"/>
  <c r="M326" i="7" a="1"/>
  <c r="M326" i="7"/>
  <c r="O325" i="7" a="1"/>
  <c r="O325" i="7"/>
  <c r="N325" i="7" a="1"/>
  <c r="N325" i="7"/>
  <c r="M325" i="7" a="1"/>
  <c r="M325" i="7"/>
  <c r="O324" i="7" a="1"/>
  <c r="O324" i="7"/>
  <c r="N324" i="7" a="1"/>
  <c r="N324" i="7" s="1"/>
  <c r="M324" i="7" a="1"/>
  <c r="M324" i="7"/>
  <c r="O323" i="7" a="1"/>
  <c r="O323" i="7"/>
  <c r="N323" i="7" a="1"/>
  <c r="N323" i="7"/>
  <c r="M323" i="7" a="1"/>
  <c r="M323" i="7"/>
  <c r="O322" i="7" a="1"/>
  <c r="O322" i="7" s="1"/>
  <c r="N322" i="7" a="1"/>
  <c r="N322" i="7"/>
  <c r="M322" i="7" a="1"/>
  <c r="M322" i="7"/>
  <c r="O321" i="7" a="1"/>
  <c r="O321" i="7"/>
  <c r="N321" i="7" a="1"/>
  <c r="N321" i="7"/>
  <c r="M321" i="7" a="1"/>
  <c r="M321" i="7" s="1"/>
  <c r="O320" i="7" a="1"/>
  <c r="O320" i="7"/>
  <c r="N320" i="7" a="1"/>
  <c r="N320" i="7"/>
  <c r="M320" i="7" a="1"/>
  <c r="M320" i="7"/>
  <c r="O319" i="7" a="1"/>
  <c r="O319" i="7"/>
  <c r="N319" i="7" a="1"/>
  <c r="N319" i="7"/>
  <c r="M319" i="7" a="1"/>
  <c r="M319" i="7"/>
  <c r="O318" i="7" a="1"/>
  <c r="O318" i="7"/>
  <c r="N318" i="7" a="1"/>
  <c r="N318" i="7"/>
  <c r="M318" i="7" a="1"/>
  <c r="M318" i="7"/>
  <c r="O317" i="7" a="1"/>
  <c r="O317" i="7" s="1"/>
  <c r="N317" i="7" a="1"/>
  <c r="N317" i="7"/>
  <c r="M317" i="7" a="1"/>
  <c r="M317" i="7"/>
  <c r="O316" i="7" a="1"/>
  <c r="O316" i="7"/>
  <c r="N316" i="7" a="1"/>
  <c r="N316" i="7"/>
  <c r="M316" i="7" a="1"/>
  <c r="M316" i="7"/>
  <c r="O315" i="7" a="1"/>
  <c r="O315" i="7" s="1"/>
  <c r="N315" i="7" a="1"/>
  <c r="N315" i="7"/>
  <c r="M315" i="7" a="1"/>
  <c r="M315" i="7"/>
  <c r="O314" i="7" a="1"/>
  <c r="O314" i="7"/>
  <c r="N314" i="7" a="1"/>
  <c r="N314" i="7" s="1"/>
  <c r="M314" i="7" a="1"/>
  <c r="M314" i="7"/>
  <c r="O313" i="7" a="1"/>
  <c r="O313" i="7"/>
  <c r="N313" i="7" a="1"/>
  <c r="N313" i="7"/>
  <c r="M313" i="7" a="1"/>
  <c r="M313" i="7"/>
  <c r="O312" i="7" a="1"/>
  <c r="O312" i="7"/>
  <c r="N312" i="7" a="1"/>
  <c r="N312" i="7"/>
  <c r="M312" i="7" a="1"/>
  <c r="M312" i="7"/>
  <c r="O311" i="7" a="1"/>
  <c r="O311" i="7"/>
  <c r="N311" i="7" a="1"/>
  <c r="N311" i="7"/>
  <c r="M311" i="7" a="1"/>
  <c r="M311" i="7" s="1"/>
  <c r="O310" i="7" a="1"/>
  <c r="O310" i="7"/>
  <c r="N310" i="7" a="1"/>
  <c r="N310" i="7"/>
  <c r="M310" i="7" a="1"/>
  <c r="M310" i="7"/>
  <c r="O309" i="7" a="1"/>
  <c r="O309" i="7"/>
  <c r="N309" i="7" a="1"/>
  <c r="N309" i="7"/>
  <c r="M309" i="7" a="1"/>
  <c r="M309" i="7"/>
  <c r="O308" i="7" a="1"/>
  <c r="O308" i="7" s="1"/>
  <c r="N308" i="7" a="1"/>
  <c r="N308" i="7"/>
  <c r="M308" i="7" a="1"/>
  <c r="M308" i="7"/>
  <c r="O307" i="7" a="1"/>
  <c r="O307" i="7" s="1"/>
  <c r="N307" i="7" a="1"/>
  <c r="N307" i="7"/>
  <c r="M307" i="7" a="1"/>
  <c r="M307" i="7"/>
  <c r="O306" i="7" a="1"/>
  <c r="O306" i="7"/>
  <c r="N306" i="7" a="1"/>
  <c r="N306" i="7"/>
  <c r="M306" i="7" a="1"/>
  <c r="M306" i="7"/>
  <c r="O305" i="7" a="1"/>
  <c r="O305" i="7"/>
  <c r="N305" i="7" a="1"/>
  <c r="N305" i="7"/>
  <c r="M305" i="7" a="1"/>
  <c r="M305" i="7"/>
  <c r="O304" i="7" a="1"/>
  <c r="O304" i="7"/>
  <c r="N304" i="7" a="1"/>
  <c r="N304" i="7" s="1"/>
  <c r="M304" i="7" a="1"/>
  <c r="M304" i="7"/>
  <c r="O303" i="7" a="1"/>
  <c r="O303" i="7"/>
  <c r="N303" i="7" a="1"/>
  <c r="N303" i="7"/>
  <c r="M303" i="7" a="1"/>
  <c r="M303" i="7"/>
  <c r="O302" i="7" a="1"/>
  <c r="O302" i="7"/>
  <c r="N302" i="7" a="1"/>
  <c r="N302" i="7"/>
  <c r="M302" i="7" a="1"/>
  <c r="M302" i="7"/>
  <c r="O301" i="7" a="1"/>
  <c r="O301" i="7"/>
  <c r="N301" i="7" a="1"/>
  <c r="N301" i="7"/>
  <c r="M301" i="7" a="1"/>
  <c r="M301" i="7" s="1"/>
  <c r="O300" i="7" a="1"/>
  <c r="O300" i="7"/>
  <c r="N300" i="7" a="1"/>
  <c r="N300" i="7"/>
  <c r="M300" i="7" a="1"/>
  <c r="M300" i="7"/>
  <c r="O299" i="7" a="1"/>
  <c r="O299" i="7"/>
  <c r="N299" i="7" a="1"/>
  <c r="N299" i="7"/>
  <c r="M299" i="7" a="1"/>
  <c r="M299" i="7"/>
  <c r="O298" i="7" a="1"/>
  <c r="O298" i="7"/>
  <c r="N298" i="7" a="1"/>
  <c r="N298" i="7"/>
  <c r="M298" i="7" a="1"/>
  <c r="M298" i="7"/>
  <c r="O297" i="7" a="1"/>
  <c r="O297" i="7" s="1"/>
  <c r="N297" i="7" a="1"/>
  <c r="N297" i="7"/>
  <c r="M297" i="7" a="1"/>
  <c r="M297" i="7"/>
  <c r="O296" i="7" a="1"/>
  <c r="O296" i="7"/>
  <c r="N296" i="7" a="1"/>
  <c r="N296" i="7"/>
  <c r="M296" i="7" a="1"/>
  <c r="M296" i="7"/>
  <c r="O295" i="7" a="1"/>
  <c r="O295" i="7"/>
  <c r="N295" i="7" a="1"/>
  <c r="N295" i="7"/>
  <c r="M295" i="7" a="1"/>
  <c r="M295" i="7"/>
  <c r="O294" i="7" a="1"/>
  <c r="O294" i="7"/>
  <c r="N294" i="7" a="1"/>
  <c r="N294" i="7" s="1"/>
  <c r="M294" i="7" a="1"/>
  <c r="M294" i="7"/>
  <c r="O293" i="7" a="1"/>
  <c r="O293" i="7"/>
  <c r="N293" i="7" a="1"/>
  <c r="N293" i="7"/>
  <c r="M293" i="7" a="1"/>
  <c r="M293" i="7"/>
  <c r="O292" i="7" a="1"/>
  <c r="O292" i="7"/>
  <c r="N292" i="7" a="1"/>
  <c r="N292" i="7"/>
  <c r="M292" i="7" a="1"/>
  <c r="M292" i="7"/>
  <c r="O291" i="7" a="1"/>
  <c r="O291" i="7"/>
  <c r="N291" i="7" a="1"/>
  <c r="N291" i="7"/>
  <c r="M291" i="7" a="1"/>
  <c r="M291" i="7" s="1"/>
  <c r="O290" i="7" a="1"/>
  <c r="O290" i="7"/>
  <c r="N290" i="7" a="1"/>
  <c r="N290" i="7"/>
  <c r="M290" i="7" a="1"/>
  <c r="M290" i="7"/>
  <c r="O289" i="7" a="1"/>
  <c r="O289" i="7"/>
  <c r="N289" i="7" a="1"/>
  <c r="N289" i="7"/>
  <c r="M289" i="7" a="1"/>
  <c r="M289" i="7"/>
  <c r="O288" i="7" a="1"/>
  <c r="O288" i="7"/>
  <c r="N288" i="7" a="1"/>
  <c r="N288" i="7"/>
  <c r="M288" i="7" a="1"/>
  <c r="M288" i="7"/>
  <c r="O287" i="7" a="1"/>
  <c r="O287" i="7" s="1"/>
  <c r="N287" i="7" a="1"/>
  <c r="N287" i="7"/>
  <c r="M287" i="7" a="1"/>
  <c r="M287" i="7"/>
  <c r="O286" i="7" a="1"/>
  <c r="O286" i="7"/>
  <c r="N286" i="7" a="1"/>
  <c r="N286" i="7"/>
  <c r="M286" i="7" a="1"/>
  <c r="M286" i="7"/>
  <c r="O285" i="7" a="1"/>
  <c r="O285" i="7"/>
  <c r="N285" i="7" a="1"/>
  <c r="N285" i="7"/>
  <c r="M285" i="7" a="1"/>
  <c r="M285" i="7"/>
  <c r="O284" i="7" a="1"/>
  <c r="O284" i="7"/>
  <c r="N284" i="7" a="1"/>
  <c r="N284" i="7" s="1"/>
  <c r="M284" i="7" a="1"/>
  <c r="M284" i="7" s="1"/>
  <c r="O283" i="7" a="1"/>
  <c r="O283" i="7"/>
  <c r="N283" i="7" a="1"/>
  <c r="N283" i="7"/>
  <c r="M283" i="7" a="1"/>
  <c r="M283" i="7"/>
  <c r="O282" i="7" a="1"/>
  <c r="O282" i="7"/>
  <c r="N282" i="7" a="1"/>
  <c r="N282" i="7"/>
  <c r="M282" i="7" a="1"/>
  <c r="M282" i="7"/>
  <c r="O281" i="7" a="1"/>
  <c r="O281" i="7"/>
  <c r="N281" i="7" a="1"/>
  <c r="N281" i="7"/>
  <c r="M281" i="7" a="1"/>
  <c r="M281" i="7" s="1"/>
  <c r="O280" i="7" a="1"/>
  <c r="O280" i="7"/>
  <c r="N280" i="7" a="1"/>
  <c r="N280" i="7"/>
  <c r="M280" i="7" a="1"/>
  <c r="M280" i="7"/>
  <c r="O279" i="7" a="1"/>
  <c r="O279" i="7"/>
  <c r="N279" i="7" a="1"/>
  <c r="N279" i="7"/>
  <c r="M279" i="7" a="1"/>
  <c r="M279" i="7"/>
  <c r="O278" i="7" a="1"/>
  <c r="O278" i="7"/>
  <c r="N278" i="7" a="1"/>
  <c r="N278" i="7"/>
  <c r="M278" i="7" a="1"/>
  <c r="M278" i="7"/>
  <c r="O277" i="7" a="1"/>
  <c r="O277" i="7" s="1"/>
  <c r="N277" i="7" a="1"/>
  <c r="N277" i="7"/>
  <c r="M277" i="7" a="1"/>
  <c r="M277" i="7" s="1"/>
  <c r="O276" i="7" a="1"/>
  <c r="O276" i="7"/>
  <c r="N276" i="7" a="1"/>
  <c r="N276" i="7"/>
  <c r="M276" i="7" a="1"/>
  <c r="M276" i="7"/>
  <c r="O275" i="7" a="1"/>
  <c r="O275" i="7"/>
  <c r="N275" i="7" a="1"/>
  <c r="N275" i="7"/>
  <c r="M275" i="7" a="1"/>
  <c r="M275" i="7"/>
  <c r="O274" i="7" a="1"/>
  <c r="O274" i="7"/>
  <c r="N274" i="7" a="1"/>
  <c r="N274" i="7" s="1"/>
  <c r="M274" i="7" a="1"/>
  <c r="M274" i="7"/>
  <c r="O273" i="7" a="1"/>
  <c r="O273" i="7"/>
  <c r="N273" i="7" a="1"/>
  <c r="N273" i="7"/>
  <c r="M273" i="7" a="1"/>
  <c r="M273" i="7"/>
  <c r="O272" i="7" a="1"/>
  <c r="O272" i="7"/>
  <c r="N272" i="7" a="1"/>
  <c r="N272" i="7"/>
  <c r="M272" i="7" a="1"/>
  <c r="M272" i="7"/>
  <c r="O271" i="7" a="1"/>
  <c r="O271" i="7"/>
  <c r="N271" i="7" a="1"/>
  <c r="N271" i="7"/>
  <c r="M271" i="7" a="1"/>
  <c r="M271" i="7" s="1"/>
  <c r="O270" i="7" a="1"/>
  <c r="O270" i="7"/>
  <c r="N270" i="7" a="1"/>
  <c r="N270" i="7"/>
  <c r="M270" i="7" a="1"/>
  <c r="M270" i="7" s="1"/>
  <c r="O269" i="7" a="1"/>
  <c r="O269" i="7"/>
  <c r="N269" i="7" a="1"/>
  <c r="N269" i="7"/>
  <c r="M269" i="7" a="1"/>
  <c r="M269" i="7"/>
  <c r="O268" i="7" a="1"/>
  <c r="O268" i="7"/>
  <c r="N268" i="7" a="1"/>
  <c r="N268" i="7"/>
  <c r="M268" i="7" a="1"/>
  <c r="M268" i="7"/>
  <c r="O267" i="7" a="1"/>
  <c r="O267" i="7" s="1"/>
  <c r="N267" i="7" a="1"/>
  <c r="N267" i="7"/>
  <c r="M267" i="7" a="1"/>
  <c r="M267" i="7"/>
  <c r="O266" i="7" a="1"/>
  <c r="O266" i="7"/>
  <c r="N266" i="7" a="1"/>
  <c r="N266" i="7"/>
  <c r="M266" i="7" a="1"/>
  <c r="M266" i="7"/>
  <c r="O265" i="7" a="1"/>
  <c r="O265" i="7"/>
  <c r="N265" i="7" a="1"/>
  <c r="N265" i="7"/>
  <c r="M265" i="7" a="1"/>
  <c r="M265" i="7"/>
  <c r="O264" i="7" a="1"/>
  <c r="O264" i="7"/>
  <c r="N264" i="7" a="1"/>
  <c r="N264" i="7" s="1"/>
  <c r="M264" i="7" a="1"/>
  <c r="M264" i="7"/>
  <c r="O263" i="7" a="1"/>
  <c r="O263" i="7"/>
  <c r="N263" i="7" a="1"/>
  <c r="N263" i="7"/>
  <c r="M263" i="7" a="1"/>
  <c r="M263" i="7" s="1"/>
  <c r="O262" i="7" a="1"/>
  <c r="O262" i="7"/>
  <c r="N262" i="7" a="1"/>
  <c r="N262" i="7"/>
  <c r="M262" i="7" a="1"/>
  <c r="M262" i="7"/>
  <c r="O261" i="7" a="1"/>
  <c r="O261" i="7"/>
  <c r="N261" i="7" a="1"/>
  <c r="N261" i="7"/>
  <c r="M261" i="7" a="1"/>
  <c r="M261" i="7" s="1"/>
  <c r="O260" i="7" a="1"/>
  <c r="O260" i="7"/>
  <c r="N260" i="7" a="1"/>
  <c r="N260" i="7"/>
  <c r="M260" i="7" a="1"/>
  <c r="M260" i="7"/>
  <c r="O259" i="7" a="1"/>
  <c r="O259" i="7"/>
  <c r="N259" i="7" a="1"/>
  <c r="N259" i="7"/>
  <c r="M259" i="7" a="1"/>
  <c r="M259" i="7"/>
  <c r="O258" i="7" a="1"/>
  <c r="O258" i="7"/>
  <c r="N258" i="7" a="1"/>
  <c r="N258" i="7"/>
  <c r="M258" i="7" a="1"/>
  <c r="M258" i="7"/>
  <c r="O257" i="7" a="1"/>
  <c r="O257" i="7" s="1"/>
  <c r="N257" i="7" a="1"/>
  <c r="N257" i="7"/>
  <c r="M257" i="7" a="1"/>
  <c r="M257" i="7"/>
  <c r="O256" i="7" a="1"/>
  <c r="O256" i="7"/>
  <c r="N256" i="7" a="1"/>
  <c r="N256" i="7"/>
  <c r="M256" i="7" a="1"/>
  <c r="M256" i="7" s="1"/>
  <c r="O255" i="7" a="1"/>
  <c r="O255" i="7"/>
  <c r="N255" i="7" a="1"/>
  <c r="N255" i="7"/>
  <c r="M255" i="7" a="1"/>
  <c r="M255" i="7"/>
  <c r="O254" i="7" a="1"/>
  <c r="O254" i="7"/>
  <c r="N254" i="7" a="1"/>
  <c r="N254" i="7" s="1"/>
  <c r="M254" i="7" a="1"/>
  <c r="M254" i="7"/>
  <c r="O253" i="7" a="1"/>
  <c r="O253" i="7"/>
  <c r="N253" i="7" a="1"/>
  <c r="N253" i="7"/>
  <c r="M253" i="7" a="1"/>
  <c r="M253" i="7"/>
  <c r="O252" i="7" a="1"/>
  <c r="O252" i="7"/>
  <c r="N252" i="7" a="1"/>
  <c r="N252" i="7"/>
  <c r="M252" i="7" a="1"/>
  <c r="M252" i="7"/>
  <c r="O251" i="7" a="1"/>
  <c r="O251" i="7"/>
  <c r="N251" i="7" a="1"/>
  <c r="N251" i="7"/>
  <c r="M251" i="7" a="1"/>
  <c r="M251" i="7" s="1"/>
  <c r="O250" i="7" a="1"/>
  <c r="O250" i="7"/>
  <c r="N250" i="7" a="1"/>
  <c r="N250" i="7"/>
  <c r="M250" i="7" a="1"/>
  <c r="M250" i="7"/>
  <c r="O249" i="7" a="1"/>
  <c r="O249" i="7"/>
  <c r="N249" i="7" a="1"/>
  <c r="N249" i="7"/>
  <c r="M249" i="7" a="1"/>
  <c r="M249" i="7" s="1"/>
  <c r="O248" i="7" a="1"/>
  <c r="O248" i="7"/>
  <c r="N248" i="7" a="1"/>
  <c r="N248" i="7"/>
  <c r="M248" i="7" a="1"/>
  <c r="M248" i="7"/>
  <c r="O247" i="7" a="1"/>
  <c r="O247" i="7" s="1"/>
  <c r="N247" i="7" a="1"/>
  <c r="N247" i="7"/>
  <c r="M247" i="7" a="1"/>
  <c r="M247" i="7"/>
  <c r="O246" i="7" a="1"/>
  <c r="O246" i="7"/>
  <c r="N246" i="7" a="1"/>
  <c r="N246" i="7"/>
  <c r="M246" i="7" a="1"/>
  <c r="M246" i="7"/>
  <c r="O245" i="7" a="1"/>
  <c r="O245" i="7"/>
  <c r="N245" i="7" a="1"/>
  <c r="N245" i="7"/>
  <c r="M245" i="7" a="1"/>
  <c r="M245" i="7"/>
  <c r="O244" i="7" a="1"/>
  <c r="O244" i="7"/>
  <c r="N244" i="7" a="1"/>
  <c r="N244" i="7" s="1"/>
  <c r="M244" i="7" a="1"/>
  <c r="M244" i="7"/>
  <c r="O243" i="7" a="1"/>
  <c r="O243" i="7"/>
  <c r="N243" i="7" a="1"/>
  <c r="N243" i="7"/>
  <c r="M243" i="7" a="1"/>
  <c r="M243" i="7"/>
  <c r="O242" i="7" a="1"/>
  <c r="O242" i="7"/>
  <c r="N242" i="7" a="1"/>
  <c r="N242" i="7"/>
  <c r="M242" i="7" a="1"/>
  <c r="M242" i="7" s="1"/>
  <c r="O241" i="7" a="1"/>
  <c r="O241" i="7"/>
  <c r="N241" i="7" a="1"/>
  <c r="N241" i="7"/>
  <c r="M241" i="7" a="1"/>
  <c r="M241" i="7" s="1"/>
  <c r="O240" i="7" a="1"/>
  <c r="O240" i="7"/>
  <c r="N240" i="7" a="1"/>
  <c r="N240" i="7"/>
  <c r="M240" i="7" a="1"/>
  <c r="M240" i="7"/>
  <c r="O239" i="7" a="1"/>
  <c r="O239" i="7"/>
  <c r="N239" i="7" a="1"/>
  <c r="N239" i="7"/>
  <c r="M239" i="7" a="1"/>
  <c r="M239" i="7"/>
  <c r="O238" i="7" a="1"/>
  <c r="O238" i="7"/>
  <c r="N238" i="7" a="1"/>
  <c r="N238" i="7"/>
  <c r="M238" i="7" a="1"/>
  <c r="M238" i="7"/>
  <c r="O237" i="7" a="1"/>
  <c r="O237" i="7" s="1"/>
  <c r="N237" i="7" a="1"/>
  <c r="N237" i="7"/>
  <c r="M237" i="7" a="1"/>
  <c r="M237" i="7"/>
  <c r="O236" i="7" a="1"/>
  <c r="O236" i="7"/>
  <c r="N236" i="7" a="1"/>
  <c r="N236" i="7"/>
  <c r="M236" i="7" a="1"/>
  <c r="M236" i="7"/>
  <c r="O235" i="7" a="1"/>
  <c r="O235" i="7"/>
  <c r="N235" i="7" a="1"/>
  <c r="N235" i="7"/>
  <c r="M235" i="7" a="1"/>
  <c r="M235" i="7" s="1"/>
  <c r="O234" i="7" a="1"/>
  <c r="O234" i="7"/>
  <c r="N234" i="7" a="1"/>
  <c r="N234" i="7" s="1"/>
  <c r="M234" i="7" a="1"/>
  <c r="M234" i="7"/>
  <c r="O233" i="7" a="1"/>
  <c r="O233" i="7"/>
  <c r="N233" i="7" a="1"/>
  <c r="N233" i="7"/>
  <c r="M233" i="7" a="1"/>
  <c r="M233" i="7"/>
  <c r="O232" i="7" a="1"/>
  <c r="O232" i="7"/>
  <c r="N232" i="7" a="1"/>
  <c r="N232" i="7"/>
  <c r="M232" i="7" a="1"/>
  <c r="M232" i="7"/>
  <c r="O231" i="7" a="1"/>
  <c r="O231" i="7"/>
  <c r="N231" i="7" a="1"/>
  <c r="N231" i="7"/>
  <c r="M231" i="7" a="1"/>
  <c r="M231" i="7" s="1"/>
  <c r="O230" i="7" a="1"/>
  <c r="O230" i="7"/>
  <c r="N230" i="7" a="1"/>
  <c r="N230" i="7"/>
  <c r="M230" i="7" a="1"/>
  <c r="M230" i="7"/>
  <c r="O229" i="7" a="1"/>
  <c r="O229" i="7"/>
  <c r="N229" i="7" a="1"/>
  <c r="N229" i="7"/>
  <c r="M229" i="7" a="1"/>
  <c r="M229" i="7"/>
  <c r="O228" i="7" a="1"/>
  <c r="O228" i="7"/>
  <c r="N228" i="7" a="1"/>
  <c r="N228" i="7"/>
  <c r="M228" i="7" a="1"/>
  <c r="M228" i="7" s="1"/>
  <c r="O227" i="7" a="1"/>
  <c r="O227" i="7" s="1"/>
  <c r="N227" i="7" a="1"/>
  <c r="N227" i="7"/>
  <c r="M227" i="7" a="1"/>
  <c r="M227" i="7"/>
  <c r="O226" i="7" a="1"/>
  <c r="O226" i="7"/>
  <c r="N226" i="7" a="1"/>
  <c r="N226" i="7"/>
  <c r="M226" i="7" a="1"/>
  <c r="M226" i="7"/>
  <c r="O225" i="7" a="1"/>
  <c r="O225" i="7"/>
  <c r="N225" i="7" a="1"/>
  <c r="N225" i="7"/>
  <c r="M225" i="7" a="1"/>
  <c r="M225" i="7"/>
  <c r="O224" i="7" a="1"/>
  <c r="O224" i="7"/>
  <c r="N224" i="7" a="1"/>
  <c r="N224" i="7" s="1"/>
  <c r="M224" i="7" a="1"/>
  <c r="M224" i="7"/>
  <c r="O223" i="7" a="1"/>
  <c r="O223" i="7"/>
  <c r="N223" i="7" a="1"/>
  <c r="N223" i="7"/>
  <c r="M223" i="7" a="1"/>
  <c r="M223" i="7"/>
  <c r="O222" i="7" a="1"/>
  <c r="O222" i="7"/>
  <c r="N222" i="7" a="1"/>
  <c r="N222" i="7"/>
  <c r="M222" i="7" a="1"/>
  <c r="M222" i="7"/>
  <c r="O221" i="7" a="1"/>
  <c r="O221" i="7"/>
  <c r="N221" i="7" a="1"/>
  <c r="N221" i="7"/>
  <c r="M221" i="7" a="1"/>
  <c r="M221" i="7" s="1"/>
  <c r="O220" i="7" a="1"/>
  <c r="O220" i="7"/>
  <c r="N220" i="7" a="1"/>
  <c r="N220" i="7"/>
  <c r="M220" i="7" a="1"/>
  <c r="M220" i="7"/>
  <c r="O219" i="7" a="1"/>
  <c r="O219" i="7"/>
  <c r="N219" i="7" a="1"/>
  <c r="N219" i="7"/>
  <c r="M219" i="7" a="1"/>
  <c r="M219" i="7"/>
  <c r="O218" i="7" a="1"/>
  <c r="O218" i="7"/>
  <c r="N218" i="7" a="1"/>
  <c r="N218" i="7"/>
  <c r="M218" i="7" a="1"/>
  <c r="M218" i="7"/>
  <c r="O217" i="7" a="1"/>
  <c r="O217" i="7" s="1"/>
  <c r="N217" i="7" a="1"/>
  <c r="N217" i="7" s="1"/>
  <c r="M217" i="7" a="1"/>
  <c r="M217" i="7"/>
  <c r="O216" i="7" a="1"/>
  <c r="O216" i="7"/>
  <c r="N216" i="7" a="1"/>
  <c r="N216" i="7"/>
  <c r="M216" i="7" a="1"/>
  <c r="M216" i="7"/>
  <c r="O215" i="7" a="1"/>
  <c r="O215" i="7"/>
  <c r="N215" i="7" a="1"/>
  <c r="N215" i="7"/>
  <c r="M215" i="7" a="1"/>
  <c r="M215" i="7"/>
  <c r="O214" i="7" a="1"/>
  <c r="O214" i="7"/>
  <c r="N214" i="7" a="1"/>
  <c r="N214" i="7" s="1"/>
  <c r="M214" i="7" a="1"/>
  <c r="M214" i="7"/>
  <c r="O213" i="7" a="1"/>
  <c r="O213" i="7"/>
  <c r="N213" i="7" a="1"/>
  <c r="N213" i="7"/>
  <c r="M213" i="7" a="1"/>
  <c r="M213" i="7"/>
  <c r="O212" i="7" a="1"/>
  <c r="O212" i="7"/>
  <c r="N212" i="7" a="1"/>
  <c r="N212" i="7"/>
  <c r="M212" i="7" a="1"/>
  <c r="M212" i="7"/>
  <c r="O211" i="7" a="1"/>
  <c r="O211" i="7"/>
  <c r="N211" i="7" a="1"/>
  <c r="N211" i="7"/>
  <c r="M211" i="7" a="1"/>
  <c r="M211" i="7" s="1"/>
  <c r="O210" i="7" a="1"/>
  <c r="O210" i="7"/>
  <c r="N210" i="7" a="1"/>
  <c r="N210" i="7" s="1"/>
  <c r="M210" i="7" a="1"/>
  <c r="M210" i="7"/>
  <c r="O209" i="7" a="1"/>
  <c r="O209" i="7"/>
  <c r="N209" i="7" a="1"/>
  <c r="N209" i="7"/>
  <c r="M209" i="7" a="1"/>
  <c r="M209" i="7"/>
  <c r="O208" i="7" a="1"/>
  <c r="O208" i="7"/>
  <c r="N208" i="7" a="1"/>
  <c r="N208" i="7"/>
  <c r="M208" i="7" a="1"/>
  <c r="M208" i="7"/>
  <c r="O207" i="7" a="1"/>
  <c r="O207" i="7" s="1"/>
  <c r="N207" i="7" a="1"/>
  <c r="N207" i="7"/>
  <c r="M207" i="7" a="1"/>
  <c r="M207" i="7"/>
  <c r="O206" i="7" a="1"/>
  <c r="O206" i="7"/>
  <c r="N206" i="7" a="1"/>
  <c r="N206" i="7"/>
  <c r="M206" i="7" a="1"/>
  <c r="M206" i="7"/>
  <c r="O205" i="7" a="1"/>
  <c r="O205" i="7"/>
  <c r="N205" i="7" a="1"/>
  <c r="N205" i="7"/>
  <c r="M205" i="7" a="1"/>
  <c r="M205" i="7"/>
  <c r="O204" i="7" a="1"/>
  <c r="O204" i="7"/>
  <c r="N204" i="7" a="1"/>
  <c r="N204" i="7" s="1"/>
  <c r="M204" i="7" a="1"/>
  <c r="M204" i="7"/>
  <c r="O203" i="7" a="1"/>
  <c r="O203" i="7"/>
  <c r="N203" i="7" a="1"/>
  <c r="N203" i="7" s="1"/>
  <c r="M203" i="7" a="1"/>
  <c r="M203" i="7"/>
  <c r="O202" i="7" a="1"/>
  <c r="O202" i="7"/>
  <c r="N202" i="7" a="1"/>
  <c r="N202" i="7"/>
  <c r="M202" i="7" a="1"/>
  <c r="M202" i="7"/>
  <c r="O201" i="7" a="1"/>
  <c r="O201" i="7"/>
  <c r="N201" i="7" a="1"/>
  <c r="N201" i="7"/>
  <c r="M201" i="7" a="1"/>
  <c r="M201" i="7" s="1"/>
  <c r="O200" i="7" a="1"/>
  <c r="O200" i="7"/>
  <c r="N200" i="7" a="1"/>
  <c r="N200" i="7"/>
  <c r="M200" i="7" a="1"/>
  <c r="M200" i="7"/>
  <c r="O199" i="7" a="1"/>
  <c r="O199" i="7"/>
  <c r="N199" i="7" a="1"/>
  <c r="N199" i="7"/>
  <c r="M199" i="7" a="1"/>
  <c r="M199" i="7"/>
  <c r="O198" i="7" a="1"/>
  <c r="O198" i="7"/>
  <c r="N198" i="7" a="1"/>
  <c r="N198" i="7"/>
  <c r="M198" i="7" a="1"/>
  <c r="M198" i="7"/>
  <c r="O197" i="7" a="1"/>
  <c r="O197" i="7" s="1"/>
  <c r="N197" i="7" a="1"/>
  <c r="N197" i="7"/>
  <c r="M197" i="7" a="1"/>
  <c r="M197" i="7"/>
  <c r="O196" i="7" a="1"/>
  <c r="O196" i="7"/>
  <c r="N196" i="7" a="1"/>
  <c r="N196" i="7" s="1"/>
  <c r="M196" i="7" a="1"/>
  <c r="M196" i="7"/>
  <c r="O195" i="7" a="1"/>
  <c r="O195" i="7"/>
  <c r="N195" i="7" a="1"/>
  <c r="N195" i="7"/>
  <c r="M195" i="7" a="1"/>
  <c r="M195" i="7"/>
  <c r="O194" i="7" a="1"/>
  <c r="O194" i="7"/>
  <c r="N194" i="7" a="1"/>
  <c r="N194" i="7" s="1"/>
  <c r="M194" i="7" a="1"/>
  <c r="M194" i="7"/>
  <c r="O193" i="7" a="1"/>
  <c r="O193" i="7"/>
  <c r="N193" i="7" a="1"/>
  <c r="N193" i="7"/>
  <c r="M193" i="7" a="1"/>
  <c r="M193" i="7"/>
  <c r="O192" i="7" a="1"/>
  <c r="O192" i="7"/>
  <c r="N192" i="7" a="1"/>
  <c r="N192" i="7"/>
  <c r="M192" i="7" a="1"/>
  <c r="M192" i="7"/>
  <c r="O191" i="7" a="1"/>
  <c r="O191" i="7"/>
  <c r="N191" i="7" a="1"/>
  <c r="N191" i="7"/>
  <c r="M191" i="7" a="1"/>
  <c r="M191" i="7" s="1"/>
  <c r="O190" i="7" a="1"/>
  <c r="O190" i="7"/>
  <c r="N190" i="7" a="1"/>
  <c r="N190" i="7"/>
  <c r="M190" i="7" a="1"/>
  <c r="M190" i="7"/>
  <c r="O189" i="7" a="1"/>
  <c r="O189" i="7"/>
  <c r="N189" i="7" a="1"/>
  <c r="N189" i="7" s="1"/>
  <c r="M189" i="7" a="1"/>
  <c r="M189" i="7"/>
  <c r="O188" i="7" a="1"/>
  <c r="O188" i="7"/>
  <c r="N188" i="7" a="1"/>
  <c r="N188" i="7"/>
  <c r="M188" i="7" a="1"/>
  <c r="M188" i="7"/>
  <c r="O187" i="7" a="1"/>
  <c r="O187" i="7" s="1"/>
  <c r="N187" i="7" a="1"/>
  <c r="N187" i="7"/>
  <c r="M187" i="7" a="1"/>
  <c r="M187" i="7"/>
  <c r="O186" i="7" a="1"/>
  <c r="O186" i="7"/>
  <c r="N186" i="7" a="1"/>
  <c r="N186" i="7"/>
  <c r="M186" i="7" a="1"/>
  <c r="M186" i="7"/>
  <c r="O185" i="7" a="1"/>
  <c r="O185" i="7"/>
  <c r="N185" i="7" a="1"/>
  <c r="N185" i="7"/>
  <c r="M185" i="7" a="1"/>
  <c r="M185" i="7"/>
  <c r="O184" i="7" a="1"/>
  <c r="O184" i="7"/>
  <c r="N184" i="7" a="1"/>
  <c r="N184" i="7" s="1"/>
  <c r="M184" i="7" a="1"/>
  <c r="M184" i="7"/>
  <c r="O183" i="7" a="1"/>
  <c r="O183" i="7"/>
  <c r="N183" i="7" a="1"/>
  <c r="N183" i="7"/>
  <c r="M183" i="7" a="1"/>
  <c r="M183" i="7"/>
  <c r="O182" i="7" a="1"/>
  <c r="O182" i="7"/>
  <c r="N182" i="7" a="1"/>
  <c r="N182" i="7" s="1"/>
  <c r="M182" i="7" a="1"/>
  <c r="M182" i="7"/>
  <c r="O181" i="7" a="1"/>
  <c r="O181" i="7"/>
  <c r="N181" i="7" a="1"/>
  <c r="N181" i="7"/>
  <c r="M181" i="7" a="1"/>
  <c r="M181" i="7" s="1"/>
  <c r="O180" i="7" a="1"/>
  <c r="O180" i="7"/>
  <c r="N180" i="7" a="1"/>
  <c r="N180" i="7"/>
  <c r="M180" i="7" a="1"/>
  <c r="M180" i="7"/>
  <c r="O179" i="7" a="1"/>
  <c r="O179" i="7"/>
  <c r="N179" i="7" a="1"/>
  <c r="N179" i="7"/>
  <c r="M179" i="7" a="1"/>
  <c r="M179" i="7"/>
  <c r="O178" i="7" a="1"/>
  <c r="O178" i="7"/>
  <c r="N178" i="7" a="1"/>
  <c r="N178" i="7"/>
  <c r="M178" i="7" a="1"/>
  <c r="M178" i="7"/>
  <c r="O177" i="7" a="1"/>
  <c r="O177" i="7" s="1"/>
  <c r="N177" i="7" a="1"/>
  <c r="N177" i="7"/>
  <c r="M177" i="7" a="1"/>
  <c r="M177" i="7"/>
  <c r="O176" i="7" a="1"/>
  <c r="O176" i="7"/>
  <c r="N176" i="7" a="1"/>
  <c r="N176" i="7"/>
  <c r="M176" i="7" a="1"/>
  <c r="M176" i="7"/>
  <c r="O175" i="7" a="1"/>
  <c r="O175" i="7"/>
  <c r="N175" i="7" a="1"/>
  <c r="N175" i="7" s="1"/>
  <c r="M175" i="7" a="1"/>
  <c r="M175" i="7"/>
  <c r="O174" i="7" a="1"/>
  <c r="O174" i="7"/>
  <c r="N174" i="7" a="1"/>
  <c r="N174" i="7" s="1"/>
  <c r="M174" i="7" a="1"/>
  <c r="M174" i="7"/>
  <c r="O173" i="7" a="1"/>
  <c r="O173" i="7"/>
  <c r="N173" i="7" a="1"/>
  <c r="N173" i="7"/>
  <c r="M173" i="7" a="1"/>
  <c r="M173" i="7"/>
  <c r="O172" i="7" a="1"/>
  <c r="O172" i="7"/>
  <c r="N172" i="7" a="1"/>
  <c r="N172" i="7"/>
  <c r="M172" i="7" a="1"/>
  <c r="M172" i="7"/>
  <c r="O171" i="7" a="1"/>
  <c r="O171" i="7"/>
  <c r="N171" i="7" a="1"/>
  <c r="N171" i="7"/>
  <c r="M171" i="7" a="1"/>
  <c r="M171" i="7" s="1"/>
  <c r="O170" i="7" a="1"/>
  <c r="O170" i="7"/>
  <c r="N170" i="7" a="1"/>
  <c r="N170" i="7"/>
  <c r="M170" i="7" a="1"/>
  <c r="M170" i="7"/>
  <c r="O169" i="7" a="1"/>
  <c r="O169" i="7"/>
  <c r="N169" i="7" a="1"/>
  <c r="N169" i="7"/>
  <c r="M169" i="7" a="1"/>
  <c r="M169" i="7"/>
  <c r="O168" i="7" a="1"/>
  <c r="O168" i="7"/>
  <c r="N168" i="7" a="1"/>
  <c r="N168" i="7" s="1"/>
  <c r="M168" i="7" a="1"/>
  <c r="M168" i="7"/>
  <c r="O167" i="7" a="1"/>
  <c r="O167" i="7" s="1"/>
  <c r="N167" i="7" a="1"/>
  <c r="N167" i="7"/>
  <c r="M167" i="7" a="1"/>
  <c r="M167" i="7"/>
  <c r="O166" i="7" a="1"/>
  <c r="O166" i="7"/>
  <c r="N166" i="7" a="1"/>
  <c r="N166" i="7"/>
  <c r="M166" i="7" a="1"/>
  <c r="M166" i="7"/>
  <c r="O165" i="7" a="1"/>
  <c r="O165" i="7"/>
  <c r="N165" i="7" a="1"/>
  <c r="N165" i="7"/>
  <c r="M165" i="7" a="1"/>
  <c r="M165" i="7"/>
  <c r="O164" i="7" a="1"/>
  <c r="O164" i="7" s="1"/>
  <c r="N164" i="7" a="1"/>
  <c r="N164" i="7" s="1"/>
  <c r="M164" i="7" a="1"/>
  <c r="M164" i="7"/>
  <c r="O163" i="7" a="1"/>
  <c r="O163" i="7"/>
  <c r="N163" i="7" a="1"/>
  <c r="N163" i="7"/>
  <c r="M163" i="7" a="1"/>
  <c r="M163" i="7"/>
  <c r="O162" i="7" a="1"/>
  <c r="O162" i="7"/>
  <c r="N162" i="7" a="1"/>
  <c r="N162" i="7"/>
  <c r="M162" i="7" a="1"/>
  <c r="M162" i="7"/>
  <c r="O161" i="7" a="1"/>
  <c r="O161" i="7"/>
  <c r="N161" i="7" a="1"/>
  <c r="N161" i="7" s="1"/>
  <c r="M161" i="7" a="1"/>
  <c r="M161" i="7" s="1"/>
  <c r="O160" i="7" a="1"/>
  <c r="O160" i="7"/>
  <c r="N160" i="7" a="1"/>
  <c r="N160" i="7"/>
  <c r="M160" i="7" a="1"/>
  <c r="M160" i="7"/>
  <c r="O159" i="7" a="1"/>
  <c r="O159" i="7"/>
  <c r="N159" i="7" a="1"/>
  <c r="N159" i="7"/>
  <c r="M159" i="7" a="1"/>
  <c r="M159" i="7"/>
  <c r="O158" i="7" a="1"/>
  <c r="O158" i="7"/>
  <c r="N158" i="7" a="1"/>
  <c r="N158" i="7"/>
  <c r="M158" i="7" a="1"/>
  <c r="M158" i="7"/>
  <c r="O157" i="7" a="1"/>
  <c r="O157" i="7" s="1"/>
  <c r="N157" i="7" a="1"/>
  <c r="N157" i="7"/>
  <c r="M157" i="7" a="1"/>
  <c r="M157" i="7"/>
  <c r="O156" i="7" a="1"/>
  <c r="O156" i="7"/>
  <c r="N156" i="7" a="1"/>
  <c r="N156" i="7"/>
  <c r="M156" i="7" a="1"/>
  <c r="M156" i="7"/>
  <c r="O155" i="7" a="1"/>
  <c r="O155" i="7"/>
  <c r="N155" i="7" a="1"/>
  <c r="N155" i="7"/>
  <c r="M155" i="7" a="1"/>
  <c r="M155" i="7"/>
  <c r="O154" i="7" a="1"/>
  <c r="O154" i="7"/>
  <c r="N154" i="7" a="1"/>
  <c r="N154" i="7" s="1"/>
  <c r="M154" i="7" a="1"/>
  <c r="M154" i="7" s="1"/>
  <c r="O153" i="7" a="1"/>
  <c r="O153" i="7"/>
  <c r="N153" i="7" a="1"/>
  <c r="N153" i="7"/>
  <c r="M153" i="7" a="1"/>
  <c r="M153" i="7"/>
  <c r="O152" i="7" a="1"/>
  <c r="O152" i="7"/>
  <c r="N152" i="7" a="1"/>
  <c r="N152" i="7"/>
  <c r="M152" i="7" a="1"/>
  <c r="M152" i="7"/>
  <c r="O151" i="7" a="1"/>
  <c r="O151" i="7"/>
  <c r="N151" i="7" a="1"/>
  <c r="N151" i="7"/>
  <c r="M151" i="7" a="1"/>
  <c r="M151" i="7" s="1"/>
  <c r="O150" i="7" a="1"/>
  <c r="O150" i="7" s="1"/>
  <c r="N150" i="7" a="1"/>
  <c r="N150" i="7"/>
  <c r="M150" i="7" a="1"/>
  <c r="M150" i="7"/>
  <c r="O149" i="7" a="1"/>
  <c r="O149" i="7"/>
  <c r="N149" i="7" a="1"/>
  <c r="N149" i="7"/>
  <c r="M149" i="7" a="1"/>
  <c r="M149" i="7"/>
  <c r="O148" i="7" a="1"/>
  <c r="O148" i="7"/>
  <c r="N148" i="7" a="1"/>
  <c r="N148" i="7"/>
  <c r="M148" i="7" a="1"/>
  <c r="M148" i="7"/>
  <c r="O147" i="7" a="1"/>
  <c r="O147" i="7" s="1"/>
  <c r="N147" i="7" a="1"/>
  <c r="N147" i="7"/>
  <c r="M147" i="7" a="1"/>
  <c r="M147" i="7" s="1"/>
  <c r="O146" i="7" a="1"/>
  <c r="O146" i="7"/>
  <c r="N146" i="7" a="1"/>
  <c r="N146" i="7"/>
  <c r="M146" i="7" a="1"/>
  <c r="M146" i="7"/>
  <c r="O145" i="7" a="1"/>
  <c r="O145" i="7"/>
  <c r="N145" i="7" a="1"/>
  <c r="N145" i="7"/>
  <c r="M145" i="7" a="1"/>
  <c r="M145" i="7"/>
  <c r="O144" i="7" a="1"/>
  <c r="O144" i="7"/>
  <c r="N144" i="7" a="1"/>
  <c r="N144" i="7" s="1"/>
  <c r="M144" i="7" a="1"/>
  <c r="M144" i="7"/>
  <c r="O143" i="7" a="1"/>
  <c r="O143" i="7" s="1"/>
  <c r="N143" i="7" a="1"/>
  <c r="N143" i="7"/>
  <c r="M143" i="7" a="1"/>
  <c r="M143" i="7"/>
  <c r="O142" i="7" a="1"/>
  <c r="O142" i="7"/>
  <c r="N142" i="7" a="1"/>
  <c r="N142" i="7"/>
  <c r="M142" i="7" a="1"/>
  <c r="M142" i="7"/>
  <c r="O141" i="7" a="1"/>
  <c r="O141" i="7"/>
  <c r="N141" i="7" a="1"/>
  <c r="N141" i="7"/>
  <c r="M141" i="7" a="1"/>
  <c r="M141" i="7" s="1"/>
  <c r="O140" i="7" a="1"/>
  <c r="O140" i="7"/>
  <c r="N140" i="7" a="1"/>
  <c r="N140" i="7"/>
  <c r="M140" i="7" a="1"/>
  <c r="M140" i="7" s="1"/>
  <c r="O139" i="7" a="1"/>
  <c r="O139" i="7"/>
  <c r="N139" i="7" a="1"/>
  <c r="N139" i="7"/>
  <c r="M139" i="7" a="1"/>
  <c r="M139" i="7"/>
  <c r="O138" i="7" a="1"/>
  <c r="O138" i="7"/>
  <c r="N138" i="7" a="1"/>
  <c r="N138" i="7"/>
  <c r="M138" i="7" a="1"/>
  <c r="M138" i="7"/>
  <c r="O137" i="7" a="1"/>
  <c r="O137" i="7"/>
  <c r="N137" i="7" a="1"/>
  <c r="N137" i="7"/>
  <c r="M137" i="7" a="1"/>
  <c r="M137" i="7"/>
  <c r="O136" i="7" a="1"/>
  <c r="O136" i="7" s="1"/>
  <c r="N136" i="7" a="1"/>
  <c r="N136" i="7"/>
  <c r="M136" i="7" a="1"/>
  <c r="M136" i="7"/>
  <c r="O135" i="7" a="1"/>
  <c r="O135" i="7"/>
  <c r="N135" i="7" a="1"/>
  <c r="N135" i="7"/>
  <c r="M135" i="7" a="1"/>
  <c r="M135" i="7"/>
  <c r="O134" i="7" a="1"/>
  <c r="O134" i="7"/>
  <c r="N134" i="7" a="1"/>
  <c r="N134" i="7"/>
  <c r="M134" i="7" a="1"/>
  <c r="M134" i="7"/>
  <c r="O133" i="7" a="1"/>
  <c r="O133" i="7"/>
  <c r="N133" i="7" a="1"/>
  <c r="N133" i="7" s="1"/>
  <c r="M133" i="7" a="1"/>
  <c r="M133" i="7"/>
  <c r="O132" i="7" a="1"/>
  <c r="O132" i="7"/>
  <c r="N132" i="7" a="1"/>
  <c r="N132" i="7"/>
  <c r="M132" i="7" a="1"/>
  <c r="M132" i="7"/>
  <c r="O131" i="7" a="1"/>
  <c r="O131" i="7"/>
  <c r="N131" i="7" a="1"/>
  <c r="N131" i="7"/>
  <c r="M131" i="7" a="1"/>
  <c r="M131" i="7"/>
  <c r="O130" i="7" a="1"/>
  <c r="O130" i="7"/>
  <c r="N130" i="7" a="1"/>
  <c r="N130" i="7"/>
  <c r="M130" i="7" a="1"/>
  <c r="M130" i="7" s="1"/>
  <c r="O129" i="7" a="1"/>
  <c r="O129" i="7"/>
  <c r="N129" i="7" a="1"/>
  <c r="N129" i="7"/>
  <c r="M129" i="7" a="1"/>
  <c r="M129" i="7"/>
  <c r="O128" i="7" a="1"/>
  <c r="O128" i="7"/>
  <c r="N128" i="7" a="1"/>
  <c r="N128" i="7"/>
  <c r="M128" i="7" a="1"/>
  <c r="M128" i="7"/>
  <c r="O127" i="7" a="1"/>
  <c r="O127" i="7"/>
  <c r="N127" i="7" a="1"/>
  <c r="N127" i="7"/>
  <c r="M127" i="7" a="1"/>
  <c r="M127" i="7"/>
  <c r="O126" i="7" a="1"/>
  <c r="O126" i="7" s="1"/>
  <c r="N126" i="7" a="1"/>
  <c r="N126" i="7"/>
  <c r="M126" i="7" a="1"/>
  <c r="M126" i="7"/>
  <c r="O125" i="7" a="1"/>
  <c r="O125" i="7"/>
  <c r="N125" i="7" a="1"/>
  <c r="N125" i="7"/>
  <c r="M125" i="7" a="1"/>
  <c r="M125" i="7"/>
  <c r="O124" i="7" a="1"/>
  <c r="O124" i="7"/>
  <c r="N124" i="7" a="1"/>
  <c r="N124" i="7"/>
  <c r="M124" i="7" a="1"/>
  <c r="M124" i="7"/>
  <c r="O123" i="7" a="1"/>
  <c r="O123" i="7"/>
  <c r="N123" i="7" a="1"/>
  <c r="N123" i="7" s="1"/>
  <c r="M123" i="7" a="1"/>
  <c r="M123" i="7"/>
  <c r="O122" i="7" a="1"/>
  <c r="O122" i="7"/>
  <c r="N122" i="7" a="1"/>
  <c r="N122" i="7"/>
  <c r="M122" i="7" a="1"/>
  <c r="M122" i="7"/>
  <c r="O121" i="7" a="1"/>
  <c r="O121" i="7"/>
  <c r="N121" i="7" a="1"/>
  <c r="N121" i="7"/>
  <c r="M121" i="7" a="1"/>
  <c r="M121" i="7"/>
  <c r="O120" i="7" a="1"/>
  <c r="O120" i="7"/>
  <c r="N120" i="7" a="1"/>
  <c r="N120" i="7"/>
  <c r="M120" i="7" a="1"/>
  <c r="M120" i="7" s="1"/>
  <c r="O119" i="7" a="1"/>
  <c r="O119" i="7"/>
  <c r="N119" i="7" a="1"/>
  <c r="N119" i="7"/>
  <c r="M119" i="7" a="1"/>
  <c r="M119" i="7"/>
  <c r="O118" i="7" a="1"/>
  <c r="O118" i="7"/>
  <c r="N118" i="7" a="1"/>
  <c r="N118" i="7"/>
  <c r="M118" i="7" a="1"/>
  <c r="M118" i="7"/>
  <c r="O117" i="7" a="1"/>
  <c r="O117" i="7"/>
  <c r="N117" i="7" a="1"/>
  <c r="N117" i="7"/>
  <c r="M117" i="7" a="1"/>
  <c r="M117" i="7"/>
  <c r="O116" i="7" a="1"/>
  <c r="O116" i="7" s="1"/>
  <c r="N116" i="7" a="1"/>
  <c r="N116" i="7"/>
  <c r="M116" i="7" a="1"/>
  <c r="M116" i="7"/>
  <c r="O115" i="7" a="1"/>
  <c r="O115" i="7"/>
  <c r="N115" i="7" a="1"/>
  <c r="N115" i="7"/>
  <c r="M115" i="7" a="1"/>
  <c r="M115" i="7"/>
  <c r="O114" i="7" a="1"/>
  <c r="O114" i="7"/>
  <c r="N114" i="7" a="1"/>
  <c r="N114" i="7"/>
  <c r="M114" i="7" a="1"/>
  <c r="M114" i="7"/>
  <c r="O113" i="7" a="1"/>
  <c r="O113" i="7"/>
  <c r="N113" i="7" a="1"/>
  <c r="N113" i="7" s="1"/>
  <c r="M113" i="7" a="1"/>
  <c r="M113" i="7"/>
  <c r="O112" i="7" a="1"/>
  <c r="O112" i="7"/>
  <c r="N112" i="7" a="1"/>
  <c r="N112" i="7"/>
  <c r="M112" i="7" a="1"/>
  <c r="M112" i="7"/>
  <c r="O111" i="7" a="1"/>
  <c r="O111" i="7"/>
  <c r="N111" i="7" a="1"/>
  <c r="N111" i="7"/>
  <c r="M111" i="7" a="1"/>
  <c r="M111" i="7"/>
  <c r="O110" i="7" a="1"/>
  <c r="O110" i="7"/>
  <c r="N110" i="7" a="1"/>
  <c r="N110" i="7"/>
  <c r="M110" i="7" a="1"/>
  <c r="M110" i="7" s="1"/>
  <c r="O109" i="7" a="1"/>
  <c r="O109" i="7"/>
  <c r="N109" i="7" a="1"/>
  <c r="N109" i="7"/>
  <c r="M109" i="7" a="1"/>
  <c r="M109" i="7"/>
  <c r="O108" i="7" a="1"/>
  <c r="O108" i="7"/>
  <c r="N108" i="7" a="1"/>
  <c r="N108" i="7"/>
  <c r="M108" i="7" a="1"/>
  <c r="M108" i="7"/>
  <c r="O107" i="7" a="1"/>
  <c r="O107" i="7"/>
  <c r="N107" i="7" a="1"/>
  <c r="N107" i="7"/>
  <c r="M107" i="7" a="1"/>
  <c r="M107" i="7"/>
  <c r="O106" i="7" a="1"/>
  <c r="O106" i="7" s="1"/>
  <c r="N106" i="7" a="1"/>
  <c r="N106" i="7"/>
  <c r="M106" i="7" a="1"/>
  <c r="M106" i="7"/>
  <c r="O105" i="7" a="1"/>
  <c r="O105" i="7"/>
  <c r="N105" i="7" a="1"/>
  <c r="N105" i="7"/>
  <c r="M105" i="7" a="1"/>
  <c r="M105" i="7"/>
  <c r="O104" i="7" a="1"/>
  <c r="O104" i="7"/>
  <c r="N104" i="7" a="1"/>
  <c r="N104" i="7"/>
  <c r="M104" i="7" a="1"/>
  <c r="M104" i="7"/>
  <c r="O103" i="7" a="1"/>
  <c r="O103" i="7"/>
  <c r="N103" i="7" a="1"/>
  <c r="N103" i="7" s="1"/>
  <c r="M103" i="7" a="1"/>
  <c r="M103" i="7"/>
  <c r="O102" i="7" a="1"/>
  <c r="O102" i="7"/>
  <c r="N102" i="7" a="1"/>
  <c r="N102" i="7"/>
  <c r="M102" i="7" a="1"/>
  <c r="M102" i="7"/>
  <c r="O101" i="7" a="1"/>
  <c r="O101" i="7"/>
  <c r="N101" i="7" a="1"/>
  <c r="N101" i="7"/>
  <c r="M101" i="7" a="1"/>
  <c r="M101" i="7"/>
  <c r="O100" i="7" a="1"/>
  <c r="O100" i="7"/>
  <c r="N100" i="7" a="1"/>
  <c r="N100" i="7"/>
  <c r="M100" i="7" a="1"/>
  <c r="M100" i="7" s="1"/>
  <c r="O99" i="7" a="1"/>
  <c r="O99" i="7"/>
  <c r="N99" i="7" a="1"/>
  <c r="N99" i="7"/>
  <c r="M99" i="7" a="1"/>
  <c r="M99" i="7"/>
  <c r="O98" i="7" a="1"/>
  <c r="O98" i="7"/>
  <c r="N98" i="7" a="1"/>
  <c r="N98" i="7"/>
  <c r="M98" i="7" a="1"/>
  <c r="M98" i="7"/>
  <c r="O97" i="7" a="1"/>
  <c r="O97" i="7"/>
  <c r="N97" i="7" a="1"/>
  <c r="N97" i="7"/>
  <c r="M97" i="7" a="1"/>
  <c r="M97" i="7"/>
  <c r="O96" i="7" a="1"/>
  <c r="O96" i="7" s="1"/>
  <c r="N96" i="7" a="1"/>
  <c r="N96" i="7"/>
  <c r="M96" i="7" a="1"/>
  <c r="M96" i="7"/>
  <c r="O95" i="7" a="1"/>
  <c r="O95" i="7"/>
  <c r="N95" i="7" a="1"/>
  <c r="N95" i="7"/>
  <c r="M95" i="7" a="1"/>
  <c r="M95" i="7"/>
  <c r="O94" i="7" a="1"/>
  <c r="O94" i="7"/>
  <c r="N94" i="7" a="1"/>
  <c r="N94" i="7"/>
  <c r="M94" i="7" a="1"/>
  <c r="M94" i="7"/>
  <c r="O93" i="7" a="1"/>
  <c r="O93" i="7"/>
  <c r="N93" i="7" a="1"/>
  <c r="N93" i="7" s="1"/>
  <c r="M93" i="7" a="1"/>
  <c r="M93" i="7"/>
  <c r="O92" i="7" a="1"/>
  <c r="O92" i="7"/>
  <c r="N92" i="7" a="1"/>
  <c r="N92" i="7"/>
  <c r="M92" i="7" a="1"/>
  <c r="M92" i="7"/>
  <c r="O91" i="7" a="1"/>
  <c r="O91" i="7"/>
  <c r="N91" i="7" a="1"/>
  <c r="N91" i="7"/>
  <c r="M91" i="7" a="1"/>
  <c r="M91" i="7"/>
  <c r="O90" i="7" a="1"/>
  <c r="O90" i="7"/>
  <c r="N90" i="7" a="1"/>
  <c r="N90" i="7"/>
  <c r="M90" i="7" a="1"/>
  <c r="M90" i="7" s="1"/>
  <c r="O89" i="7" a="1"/>
  <c r="O89" i="7"/>
  <c r="N89" i="7" a="1"/>
  <c r="N89" i="7"/>
  <c r="M89" i="7" a="1"/>
  <c r="M89" i="7"/>
  <c r="O88" i="7" a="1"/>
  <c r="O88" i="7"/>
  <c r="N88" i="7" a="1"/>
  <c r="N88" i="7"/>
  <c r="M88" i="7" a="1"/>
  <c r="M88" i="7"/>
  <c r="O87" i="7" a="1"/>
  <c r="O87" i="7"/>
  <c r="N87" i="7" a="1"/>
  <c r="N87" i="7"/>
  <c r="M87" i="7" a="1"/>
  <c r="M87" i="7"/>
  <c r="O86" i="7" a="1"/>
  <c r="O86" i="7" s="1"/>
  <c r="N86" i="7" a="1"/>
  <c r="N86" i="7"/>
  <c r="M86" i="7" a="1"/>
  <c r="M86" i="7"/>
  <c r="O85" i="7" a="1"/>
  <c r="O85" i="7"/>
  <c r="N85" i="7" a="1"/>
  <c r="N85" i="7"/>
  <c r="M85" i="7" a="1"/>
  <c r="M85" i="7"/>
  <c r="O84" i="7" a="1"/>
  <c r="O84" i="7"/>
  <c r="N84" i="7" a="1"/>
  <c r="N84" i="7"/>
  <c r="M84" i="7" a="1"/>
  <c r="M84" i="7"/>
  <c r="O83" i="7" a="1"/>
  <c r="O83" i="7"/>
  <c r="N83" i="7" a="1"/>
  <c r="N83" i="7" s="1"/>
  <c r="M83" i="7" a="1"/>
  <c r="M83" i="7"/>
  <c r="O82" i="7" a="1"/>
  <c r="O82" i="7"/>
  <c r="N82" i="7" a="1"/>
  <c r="N82" i="7"/>
  <c r="M82" i="7" a="1"/>
  <c r="M82" i="7"/>
  <c r="O81" i="7" a="1"/>
  <c r="O81" i="7"/>
  <c r="N81" i="7" a="1"/>
  <c r="N81" i="7"/>
  <c r="M81" i="7" a="1"/>
  <c r="M81" i="7"/>
  <c r="O80" i="7" a="1"/>
  <c r="O80" i="7"/>
  <c r="N80" i="7" a="1"/>
  <c r="N80" i="7"/>
  <c r="M80" i="7" a="1"/>
  <c r="M80" i="7" s="1"/>
  <c r="O79" i="7" a="1"/>
  <c r="O79" i="7"/>
  <c r="N79" i="7" a="1"/>
  <c r="N79" i="7"/>
  <c r="M79" i="7" a="1"/>
  <c r="M79" i="7"/>
  <c r="O78" i="7" a="1"/>
  <c r="O78" i="7"/>
  <c r="N78" i="7" a="1"/>
  <c r="N78" i="7"/>
  <c r="M78" i="7" a="1"/>
  <c r="M78" i="7"/>
  <c r="O77" i="7" a="1"/>
  <c r="O77" i="7"/>
  <c r="N77" i="7" a="1"/>
  <c r="N77" i="7"/>
  <c r="M77" i="7" a="1"/>
  <c r="M77" i="7"/>
  <c r="O76" i="7" a="1"/>
  <c r="O76" i="7" s="1"/>
  <c r="N76" i="7" a="1"/>
  <c r="N76" i="7"/>
  <c r="M76" i="7" a="1"/>
  <c r="M76" i="7"/>
  <c r="O75" i="7" a="1"/>
  <c r="O75" i="7"/>
  <c r="N75" i="7" a="1"/>
  <c r="N75" i="7"/>
  <c r="M75" i="7" a="1"/>
  <c r="M75" i="7"/>
  <c r="O74" i="7" a="1"/>
  <c r="O74" i="7"/>
  <c r="N74" i="7" a="1"/>
  <c r="N74" i="7"/>
  <c r="M74" i="7" a="1"/>
  <c r="M74" i="7"/>
  <c r="O73" i="7" a="1"/>
  <c r="O73" i="7"/>
  <c r="N73" i="7" a="1"/>
  <c r="N73" i="7" s="1"/>
  <c r="M73" i="7" a="1"/>
  <c r="M73" i="7"/>
  <c r="O72" i="7" a="1"/>
  <c r="O72" i="7"/>
  <c r="N72" i="7" a="1"/>
  <c r="N72" i="7"/>
  <c r="M72" i="7" a="1"/>
  <c r="M72" i="7"/>
  <c r="O71" i="7" a="1"/>
  <c r="O71" i="7"/>
  <c r="N71" i="7" a="1"/>
  <c r="N71" i="7"/>
  <c r="M71" i="7" a="1"/>
  <c r="M71" i="7"/>
  <c r="O70" i="7" a="1"/>
  <c r="O70" i="7"/>
  <c r="N70" i="7" a="1"/>
  <c r="N70" i="7"/>
  <c r="M70" i="7" a="1"/>
  <c r="M70" i="7" s="1"/>
  <c r="O69" i="7" a="1"/>
  <c r="O69" i="7"/>
  <c r="N69" i="7" a="1"/>
  <c r="N69" i="7"/>
  <c r="M69" i="7" a="1"/>
  <c r="M69" i="7"/>
  <c r="O68" i="7" a="1"/>
  <c r="O68" i="7"/>
  <c r="N68" i="7" a="1"/>
  <c r="N68" i="7"/>
  <c r="M68" i="7" a="1"/>
  <c r="M68" i="7"/>
  <c r="O67" i="7" a="1"/>
  <c r="O67" i="7"/>
  <c r="N67" i="7" a="1"/>
  <c r="N67" i="7"/>
  <c r="M67" i="7" a="1"/>
  <c r="M67" i="7"/>
  <c r="O66" i="7" a="1"/>
  <c r="O66" i="7" s="1"/>
  <c r="N66" i="7" a="1"/>
  <c r="N66" i="7"/>
  <c r="M66" i="7" a="1"/>
  <c r="M66" i="7"/>
  <c r="O65" i="7" a="1"/>
  <c r="O65" i="7"/>
  <c r="N65" i="7" a="1"/>
  <c r="N65" i="7"/>
  <c r="M65" i="7" a="1"/>
  <c r="M65" i="7"/>
  <c r="O64" i="7" a="1"/>
  <c r="O64" i="7"/>
  <c r="N64" i="7" a="1"/>
  <c r="N64" i="7"/>
  <c r="M64" i="7" a="1"/>
  <c r="M64" i="7"/>
  <c r="O63" i="7" a="1"/>
  <c r="O63" i="7"/>
  <c r="N63" i="7" a="1"/>
  <c r="N63" i="7" s="1"/>
  <c r="M63" i="7" a="1"/>
  <c r="M63" i="7"/>
  <c r="O62" i="7" a="1"/>
  <c r="O62" i="7"/>
  <c r="N62" i="7" a="1"/>
  <c r="N62" i="7"/>
  <c r="M62" i="7" a="1"/>
  <c r="M62" i="7"/>
  <c r="O61" i="7" a="1"/>
  <c r="O61" i="7"/>
  <c r="N61" i="7" a="1"/>
  <c r="N61" i="7"/>
  <c r="M61" i="7" a="1"/>
  <c r="M61" i="7"/>
  <c r="O60" i="7" a="1"/>
  <c r="O60" i="7"/>
  <c r="N60" i="7" a="1"/>
  <c r="N60" i="7"/>
  <c r="M60" i="7" a="1"/>
  <c r="M60" i="7" s="1"/>
  <c r="O59" i="7" a="1"/>
  <c r="O59" i="7"/>
  <c r="N59" i="7" a="1"/>
  <c r="N59" i="7"/>
  <c r="M59" i="7" a="1"/>
  <c r="M59" i="7"/>
  <c r="O58" i="7" a="1"/>
  <c r="O58" i="7"/>
  <c r="N58" i="7" a="1"/>
  <c r="N58" i="7"/>
  <c r="M58" i="7" a="1"/>
  <c r="M58" i="7"/>
  <c r="O57" i="7" a="1"/>
  <c r="O57" i="7"/>
  <c r="N57" i="7" a="1"/>
  <c r="N57" i="7"/>
  <c r="M57" i="7" a="1"/>
  <c r="M57" i="7"/>
  <c r="O56" i="7" a="1"/>
  <c r="O56" i="7" s="1"/>
  <c r="N56" i="7" a="1"/>
  <c r="N56" i="7"/>
  <c r="M56" i="7" a="1"/>
  <c r="M56" i="7"/>
  <c r="O55" i="7" a="1"/>
  <c r="O55" i="7"/>
  <c r="N55" i="7" a="1"/>
  <c r="N55" i="7"/>
  <c r="M55" i="7" a="1"/>
  <c r="M55" i="7"/>
  <c r="O54" i="7" a="1"/>
  <c r="O54" i="7"/>
  <c r="N54" i="7" a="1"/>
  <c r="N54" i="7"/>
  <c r="M54" i="7" a="1"/>
  <c r="M54" i="7"/>
  <c r="O53" i="7" a="1"/>
  <c r="O53" i="7"/>
  <c r="N53" i="7" a="1"/>
  <c r="N53" i="7" s="1"/>
  <c r="M53" i="7" a="1"/>
  <c r="M53" i="7"/>
  <c r="O52" i="7" a="1"/>
  <c r="O52" i="7"/>
  <c r="N52" i="7" a="1"/>
  <c r="N52" i="7"/>
  <c r="M52" i="7" a="1"/>
  <c r="M52" i="7"/>
  <c r="O51" i="7" a="1"/>
  <c r="O51" i="7"/>
  <c r="N51" i="7" a="1"/>
  <c r="N51" i="7"/>
  <c r="M51" i="7" a="1"/>
  <c r="M51" i="7"/>
  <c r="O50" i="7" a="1"/>
  <c r="O50" i="7"/>
  <c r="N50" i="7" a="1"/>
  <c r="N50" i="7"/>
  <c r="M50" i="7" a="1"/>
  <c r="M50" i="7" s="1"/>
  <c r="O49" i="7" a="1"/>
  <c r="O49" i="7"/>
  <c r="N49" i="7" a="1"/>
  <c r="N49" i="7"/>
  <c r="M49" i="7" a="1"/>
  <c r="M49" i="7"/>
  <c r="O48" i="7" a="1"/>
  <c r="O48" i="7"/>
  <c r="N48" i="7" a="1"/>
  <c r="N48" i="7"/>
  <c r="M48" i="7" a="1"/>
  <c r="M48" i="7"/>
  <c r="O47" i="7" a="1"/>
  <c r="O47" i="7"/>
  <c r="N47" i="7" a="1"/>
  <c r="N47" i="7"/>
  <c r="M47" i="7" a="1"/>
  <c r="M47" i="7"/>
  <c r="O46" i="7" a="1"/>
  <c r="O46" i="7" s="1"/>
  <c r="N46" i="7" a="1"/>
  <c r="N46" i="7"/>
  <c r="M46" i="7" a="1"/>
  <c r="M46" i="7"/>
  <c r="O45" i="7" a="1"/>
  <c r="O45" i="7"/>
  <c r="N45" i="7" a="1"/>
  <c r="N45" i="7"/>
  <c r="M45" i="7" a="1"/>
  <c r="M45" i="7"/>
  <c r="O44" i="7" a="1"/>
  <c r="O44" i="7"/>
  <c r="N44" i="7" a="1"/>
  <c r="N44" i="7"/>
  <c r="M44" i="7" a="1"/>
  <c r="M44" i="7"/>
  <c r="O43" i="7" a="1"/>
  <c r="O43" i="7"/>
  <c r="N43" i="7" a="1"/>
  <c r="N43" i="7" s="1"/>
  <c r="M43" i="7" a="1"/>
  <c r="M43" i="7"/>
  <c r="O42" i="7" a="1"/>
  <c r="O42" i="7"/>
  <c r="N42" i="7" a="1"/>
  <c r="N42" i="7"/>
  <c r="M42" i="7" a="1"/>
  <c r="M42" i="7"/>
  <c r="O41" i="7" a="1"/>
  <c r="O41" i="7"/>
  <c r="N41" i="7" a="1"/>
  <c r="N41" i="7"/>
  <c r="M41" i="7" a="1"/>
  <c r="M41" i="7"/>
  <c r="O40" i="7" a="1"/>
  <c r="O40" i="7"/>
  <c r="N40" i="7" a="1"/>
  <c r="N40" i="7"/>
  <c r="M40" i="7" a="1"/>
  <c r="M40" i="7" s="1"/>
  <c r="O39" i="7" a="1"/>
  <c r="O39" i="7"/>
  <c r="N39" i="7" a="1"/>
  <c r="N39" i="7"/>
  <c r="M39" i="7" a="1"/>
  <c r="M39" i="7"/>
  <c r="O38" i="7" a="1"/>
  <c r="O38" i="7"/>
  <c r="N38" i="7" a="1"/>
  <c r="N38" i="7"/>
  <c r="M38" i="7" a="1"/>
  <c r="M38" i="7"/>
  <c r="O37" i="7" a="1"/>
  <c r="O37" i="7"/>
  <c r="N37" i="7" a="1"/>
  <c r="N37" i="7"/>
  <c r="M37" i="7" a="1"/>
  <c r="M37" i="7"/>
  <c r="O36" i="7" a="1"/>
  <c r="O36" i="7" s="1"/>
  <c r="N36" i="7" a="1"/>
  <c r="N36" i="7"/>
  <c r="M36" i="7" a="1"/>
  <c r="M36" i="7"/>
  <c r="O35" i="7" a="1"/>
  <c r="O35" i="7"/>
  <c r="N35" i="7" a="1"/>
  <c r="N35" i="7"/>
  <c r="M35" i="7" a="1"/>
  <c r="M35" i="7"/>
  <c r="O34" i="7" a="1"/>
  <c r="O34" i="7"/>
  <c r="N34" i="7" a="1"/>
  <c r="N34" i="7"/>
  <c r="M34" i="7" a="1"/>
  <c r="M34" i="7"/>
  <c r="O33" i="7" a="1"/>
  <c r="O33" i="7"/>
  <c r="N33" i="7" a="1"/>
  <c r="N33" i="7" s="1"/>
  <c r="M33" i="7" a="1"/>
  <c r="M33" i="7"/>
  <c r="O32" i="7" a="1"/>
  <c r="O32" i="7"/>
  <c r="N32" i="7" a="1"/>
  <c r="N32" i="7"/>
  <c r="M32" i="7" a="1"/>
  <c r="M32" i="7"/>
  <c r="O31" i="7" a="1"/>
  <c r="O31" i="7"/>
  <c r="N31" i="7" a="1"/>
  <c r="N31" i="7"/>
  <c r="M31" i="7" a="1"/>
  <c r="M31" i="7"/>
  <c r="O30" i="7" a="1"/>
  <c r="O30" i="7"/>
  <c r="N30" i="7" a="1"/>
  <c r="N30" i="7"/>
  <c r="M30" i="7" a="1"/>
  <c r="M30" i="7" s="1"/>
  <c r="O29" i="7" a="1"/>
  <c r="O29" i="7"/>
  <c r="N29" i="7" a="1"/>
  <c r="N29" i="7"/>
  <c r="M29" i="7" a="1"/>
  <c r="M29" i="7"/>
  <c r="O28" i="7" a="1"/>
  <c r="O28" i="7"/>
  <c r="N28" i="7" a="1"/>
  <c r="N28" i="7"/>
  <c r="M28" i="7" a="1"/>
  <c r="M28" i="7"/>
  <c r="O27" i="7" a="1"/>
  <c r="O27" i="7"/>
  <c r="N27" i="7" a="1"/>
  <c r="N27" i="7"/>
  <c r="M27" i="7" a="1"/>
  <c r="M27" i="7"/>
  <c r="O26" i="7" a="1"/>
  <c r="O26" i="7" s="1"/>
  <c r="N26" i="7" a="1"/>
  <c r="N26" i="7"/>
  <c r="M26" i="7" a="1"/>
  <c r="M26" i="7"/>
  <c r="O25" i="7" a="1"/>
  <c r="O25" i="7"/>
  <c r="N25" i="7" a="1"/>
  <c r="N25" i="7"/>
  <c r="M25" i="7" a="1"/>
  <c r="M25" i="7"/>
  <c r="O24" i="7" a="1"/>
  <c r="O24" i="7"/>
  <c r="N24" i="7" a="1"/>
  <c r="N24" i="7"/>
  <c r="M24" i="7" a="1"/>
  <c r="M24" i="7"/>
  <c r="O23" i="7" a="1"/>
  <c r="O23" i="7"/>
  <c r="N23" i="7" a="1"/>
  <c r="N23" i="7" s="1"/>
  <c r="M23" i="7" a="1"/>
  <c r="M23" i="7"/>
  <c r="O22" i="7" a="1"/>
  <c r="O22" i="7"/>
  <c r="N22" i="7" a="1"/>
  <c r="N22" i="7"/>
  <c r="M22" i="7" a="1"/>
  <c r="M22" i="7"/>
  <c r="O21" i="7" a="1"/>
  <c r="O21" i="7"/>
  <c r="N21" i="7" a="1"/>
  <c r="N21" i="7"/>
  <c r="M21" i="7" a="1"/>
  <c r="M21" i="7"/>
  <c r="O20" i="7" a="1"/>
  <c r="O20" i="7"/>
  <c r="N20" i="7" a="1"/>
  <c r="N20" i="7"/>
  <c r="M20" i="7" a="1"/>
  <c r="M20" i="7" s="1"/>
  <c r="O19" i="7" a="1"/>
  <c r="O19" i="7"/>
  <c r="N19" i="7" a="1"/>
  <c r="N19" i="7"/>
  <c r="M19" i="7" a="1"/>
  <c r="M19" i="7"/>
  <c r="O18" i="7" a="1"/>
  <c r="O18" i="7"/>
  <c r="N18" i="7" a="1"/>
  <c r="N18" i="7"/>
  <c r="M18" i="7" a="1"/>
  <c r="M18" i="7"/>
  <c r="O17" i="7" a="1"/>
  <c r="O17" i="7"/>
  <c r="N17" i="7" a="1"/>
  <c r="N17" i="7"/>
  <c r="M17" i="7" a="1"/>
  <c r="M17" i="7"/>
  <c r="O16" i="7" a="1"/>
  <c r="O16" i="7" s="1"/>
  <c r="N16" i="7" a="1"/>
  <c r="N16" i="7"/>
  <c r="M16" i="7" a="1"/>
  <c r="M16" i="7"/>
  <c r="O15" i="7" a="1"/>
  <c r="O15" i="7"/>
  <c r="N15" i="7" a="1"/>
  <c r="N15" i="7"/>
  <c r="M15" i="7" a="1"/>
  <c r="M15" i="7"/>
  <c r="O14" i="7" a="1"/>
  <c r="O14" i="7"/>
  <c r="N14" i="7" a="1"/>
  <c r="N14" i="7"/>
  <c r="M14" i="7" a="1"/>
  <c r="M14" i="7"/>
  <c r="O13" i="7" a="1"/>
  <c r="O13" i="7"/>
  <c r="N13" i="7" a="1"/>
  <c r="N13" i="7" s="1"/>
  <c r="M13" i="7" a="1"/>
  <c r="M13" i="7"/>
  <c r="O12" i="7" a="1"/>
  <c r="O12" i="7"/>
  <c r="N12" i="7" a="1"/>
  <c r="N12" i="7"/>
  <c r="M12" i="7" a="1"/>
  <c r="M12" i="7"/>
  <c r="O11" i="7" a="1"/>
  <c r="O11" i="7"/>
  <c r="N11" i="7" a="1"/>
  <c r="N11" i="7"/>
  <c r="M11" i="7" a="1"/>
  <c r="M11" i="7"/>
  <c r="O10" i="7" a="1"/>
  <c r="O10" i="7"/>
  <c r="N10" i="7" a="1"/>
  <c r="N10" i="7"/>
  <c r="M10" i="7" a="1"/>
  <c r="M10" i="7" s="1"/>
  <c r="O9" i="7" a="1"/>
  <c r="O9" i="7"/>
  <c r="N9" i="7" a="1"/>
  <c r="N9" i="7"/>
  <c r="M9" i="7" a="1"/>
  <c r="M9" i="7"/>
  <c r="O8" i="7" a="1"/>
  <c r="O8" i="7"/>
  <c r="N8" i="7" a="1"/>
  <c r="N8" i="7"/>
  <c r="M8" i="7" a="1"/>
  <c r="M8" i="7"/>
  <c r="O7" i="7" a="1"/>
  <c r="O7" i="7"/>
  <c r="N7" i="7" a="1"/>
  <c r="N7" i="7"/>
  <c r="M7" i="7" a="1"/>
  <c r="M7" i="7"/>
  <c r="O6" i="7" a="1"/>
  <c r="O6" i="7" s="1"/>
  <c r="N6" i="7" a="1"/>
  <c r="N6" i="7"/>
  <c r="M6" i="7" a="1"/>
  <c r="M6" i="7"/>
  <c r="O5" i="7" a="1"/>
  <c r="O5" i="7"/>
  <c r="N5" i="7" a="1"/>
  <c r="N5" i="7"/>
  <c r="M5" i="7" a="1"/>
  <c r="M5" i="7"/>
  <c r="O4" i="7" a="1"/>
  <c r="O4" i="7"/>
  <c r="N4" i="7" a="1"/>
  <c r="N4" i="7"/>
  <c r="M4" i="7" a="1"/>
  <c r="M4" i="7"/>
  <c r="O3" i="7" a="1"/>
  <c r="O3" i="7"/>
  <c r="N3" i="7" a="1"/>
  <c r="N3" i="7" s="1"/>
  <c r="M3" i="7" a="1"/>
  <c r="M3" i="7"/>
  <c r="O2" i="7" a="1"/>
  <c r="O2" i="7"/>
  <c r="N2" i="7" a="1"/>
  <c r="N2" i="7"/>
  <c r="M2" i="7" a="1"/>
  <c r="M2" i="7"/>
  <c r="P2" i="7"/>
  <c r="P3" i="7"/>
  <c r="P4" i="7"/>
  <c r="P5" i="7"/>
  <c r="P6" i="7"/>
  <c r="P7" i="7"/>
  <c r="P8" i="7"/>
  <c r="P9" i="7"/>
  <c r="P10" i="7"/>
  <c r="P11" i="7"/>
  <c r="P12" i="7"/>
  <c r="P13" i="7"/>
  <c r="P14" i="7"/>
  <c r="P15" i="7"/>
  <c r="P16" i="7"/>
  <c r="P17" i="7"/>
  <c r="P18" i="7"/>
  <c r="P19" i="7"/>
  <c r="P20" i="7"/>
  <c r="P21" i="7"/>
  <c r="P22" i="7"/>
  <c r="P23" i="7"/>
  <c r="P24" i="7"/>
  <c r="P25" i="7"/>
  <c r="P26" i="7"/>
  <c r="P27" i="7"/>
  <c r="P28" i="7"/>
  <c r="P29" i="7"/>
  <c r="P30" i="7"/>
  <c r="P31" i="7"/>
  <c r="P32" i="7"/>
  <c r="P33" i="7"/>
  <c r="P34" i="7"/>
  <c r="P35" i="7"/>
  <c r="P36" i="7"/>
  <c r="P37" i="7"/>
  <c r="P38" i="7"/>
  <c r="P39" i="7"/>
  <c r="P40" i="7"/>
  <c r="P41" i="7"/>
  <c r="P42" i="7"/>
  <c r="P43" i="7"/>
  <c r="P44" i="7"/>
  <c r="P45" i="7"/>
  <c r="P46" i="7"/>
  <c r="P47" i="7"/>
  <c r="P48" i="7"/>
  <c r="P49" i="7"/>
  <c r="P50" i="7"/>
  <c r="P51" i="7"/>
  <c r="P52" i="7"/>
  <c r="P53" i="7"/>
  <c r="P54" i="7"/>
  <c r="P55" i="7"/>
  <c r="P56" i="7"/>
  <c r="P57" i="7"/>
  <c r="P58" i="7"/>
  <c r="P59" i="7"/>
  <c r="P60" i="7"/>
  <c r="P61" i="7"/>
  <c r="P62" i="7"/>
  <c r="P63" i="7"/>
  <c r="P64" i="7"/>
  <c r="P65" i="7"/>
  <c r="P66" i="7"/>
  <c r="P67" i="7"/>
  <c r="P68" i="7"/>
  <c r="P69" i="7"/>
  <c r="P70" i="7"/>
  <c r="P71" i="7"/>
  <c r="P72" i="7"/>
  <c r="P73" i="7"/>
  <c r="P74" i="7"/>
  <c r="P75" i="7"/>
  <c r="P76" i="7"/>
  <c r="P77" i="7"/>
  <c r="P78" i="7"/>
  <c r="P79" i="7"/>
  <c r="P80" i="7"/>
  <c r="P81" i="7"/>
  <c r="P82" i="7"/>
  <c r="P83" i="7"/>
  <c r="P84" i="7"/>
  <c r="P85" i="7"/>
  <c r="P86" i="7"/>
  <c r="P87" i="7"/>
  <c r="P88" i="7"/>
  <c r="P89" i="7"/>
  <c r="P90" i="7"/>
  <c r="P91" i="7"/>
  <c r="P92" i="7"/>
  <c r="P93" i="7"/>
  <c r="P94" i="7"/>
  <c r="P95" i="7"/>
  <c r="P96" i="7"/>
  <c r="P97" i="7"/>
  <c r="P98" i="7"/>
  <c r="P99" i="7"/>
  <c r="P100" i="7"/>
  <c r="P101" i="7"/>
  <c r="P102" i="7"/>
  <c r="P103" i="7"/>
  <c r="P104" i="7"/>
  <c r="P105" i="7"/>
  <c r="P106" i="7"/>
  <c r="P107" i="7"/>
  <c r="P108" i="7"/>
  <c r="P109" i="7"/>
  <c r="P110" i="7"/>
  <c r="P111" i="7"/>
  <c r="P112" i="7"/>
  <c r="P113" i="7"/>
  <c r="P114" i="7"/>
  <c r="P115" i="7"/>
  <c r="P116" i="7"/>
  <c r="P117" i="7"/>
  <c r="P118" i="7"/>
  <c r="P119" i="7"/>
  <c r="P120" i="7"/>
  <c r="P121" i="7"/>
  <c r="P122" i="7"/>
  <c r="P123" i="7"/>
  <c r="P124" i="7"/>
  <c r="P125" i="7"/>
  <c r="P126" i="7"/>
  <c r="P127" i="7"/>
  <c r="P128" i="7"/>
  <c r="P129" i="7"/>
  <c r="P130" i="7"/>
  <c r="P131" i="7"/>
  <c r="P132" i="7"/>
  <c r="P133" i="7"/>
  <c r="P134" i="7"/>
  <c r="P135" i="7"/>
  <c r="P136" i="7"/>
  <c r="P137" i="7"/>
  <c r="P138" i="7"/>
  <c r="P139" i="7"/>
  <c r="P140" i="7"/>
  <c r="P141" i="7"/>
  <c r="P142" i="7"/>
  <c r="P143" i="7"/>
  <c r="P144" i="7"/>
  <c r="P145" i="7"/>
  <c r="P146" i="7"/>
  <c r="P147" i="7"/>
  <c r="P148" i="7"/>
  <c r="P149" i="7"/>
  <c r="P150" i="7"/>
  <c r="P151" i="7"/>
  <c r="P152" i="7"/>
  <c r="P153" i="7"/>
  <c r="P154" i="7"/>
  <c r="P155" i="7"/>
  <c r="P156" i="7"/>
  <c r="P157" i="7"/>
  <c r="P158" i="7"/>
  <c r="P159" i="7"/>
  <c r="P160" i="7"/>
  <c r="P161" i="7"/>
  <c r="P162" i="7"/>
  <c r="P163" i="7"/>
  <c r="P164" i="7"/>
  <c r="P165" i="7"/>
  <c r="P166" i="7"/>
  <c r="P167" i="7"/>
  <c r="P168" i="7"/>
  <c r="P169" i="7"/>
  <c r="P170" i="7"/>
  <c r="P171" i="7"/>
  <c r="P172" i="7"/>
  <c r="P173" i="7"/>
  <c r="P174" i="7"/>
  <c r="P175" i="7"/>
  <c r="P176" i="7"/>
  <c r="P177" i="7"/>
  <c r="P178" i="7"/>
  <c r="P179" i="7"/>
  <c r="P180" i="7"/>
  <c r="P181" i="7"/>
  <c r="P182" i="7"/>
  <c r="P183" i="7"/>
  <c r="P184" i="7"/>
  <c r="P185" i="7"/>
  <c r="P186" i="7"/>
  <c r="P187" i="7"/>
  <c r="P188" i="7"/>
  <c r="P189" i="7"/>
  <c r="P190" i="7"/>
  <c r="P191" i="7"/>
  <c r="P192" i="7"/>
  <c r="P193" i="7"/>
  <c r="P194" i="7"/>
  <c r="P195" i="7"/>
  <c r="P196" i="7"/>
  <c r="P197" i="7"/>
  <c r="P198" i="7"/>
  <c r="P199" i="7"/>
  <c r="P200" i="7"/>
  <c r="P201" i="7"/>
  <c r="P202" i="7"/>
  <c r="P203" i="7"/>
  <c r="P204" i="7"/>
  <c r="P205" i="7"/>
  <c r="P206" i="7"/>
  <c r="P207" i="7"/>
  <c r="P208" i="7"/>
  <c r="P209" i="7"/>
  <c r="P210" i="7"/>
  <c r="P211" i="7"/>
  <c r="P212" i="7"/>
  <c r="P213" i="7"/>
  <c r="P214" i="7"/>
  <c r="P215" i="7"/>
  <c r="P216" i="7"/>
  <c r="P217" i="7"/>
  <c r="P218" i="7"/>
  <c r="P219" i="7"/>
  <c r="P220" i="7"/>
  <c r="P221" i="7"/>
  <c r="P222" i="7"/>
  <c r="P223" i="7"/>
  <c r="P224" i="7"/>
  <c r="P225" i="7"/>
  <c r="P226" i="7"/>
  <c r="P227" i="7"/>
  <c r="P228" i="7"/>
  <c r="P229" i="7"/>
  <c r="P230" i="7"/>
  <c r="P231" i="7"/>
  <c r="P232" i="7"/>
  <c r="P233" i="7"/>
  <c r="P234" i="7"/>
  <c r="P235" i="7"/>
  <c r="P236" i="7"/>
  <c r="P237" i="7"/>
  <c r="P238" i="7"/>
  <c r="P239" i="7"/>
  <c r="P240" i="7"/>
  <c r="P241" i="7"/>
  <c r="P242" i="7"/>
  <c r="P243" i="7"/>
  <c r="P244" i="7"/>
  <c r="P245" i="7"/>
  <c r="P246" i="7"/>
  <c r="P247" i="7"/>
  <c r="P248" i="7"/>
  <c r="P249" i="7"/>
  <c r="P250" i="7"/>
  <c r="P251" i="7"/>
  <c r="P252" i="7"/>
  <c r="P253" i="7"/>
  <c r="P254" i="7"/>
  <c r="P255" i="7"/>
  <c r="P256" i="7"/>
  <c r="P257" i="7"/>
  <c r="P258" i="7"/>
  <c r="P259" i="7"/>
  <c r="P260" i="7"/>
  <c r="P261" i="7"/>
  <c r="P262" i="7"/>
  <c r="P263" i="7"/>
  <c r="P264" i="7"/>
  <c r="P265" i="7"/>
  <c r="P266" i="7"/>
  <c r="P267" i="7"/>
  <c r="P268" i="7"/>
  <c r="P269" i="7"/>
  <c r="P270" i="7"/>
  <c r="P271" i="7"/>
  <c r="P272" i="7"/>
  <c r="P273" i="7"/>
  <c r="P274" i="7"/>
  <c r="P275" i="7"/>
  <c r="P276" i="7"/>
  <c r="P277" i="7"/>
  <c r="P278" i="7"/>
  <c r="P279" i="7"/>
  <c r="P280" i="7"/>
  <c r="P281" i="7"/>
  <c r="P282" i="7"/>
  <c r="P283" i="7"/>
  <c r="P284" i="7"/>
  <c r="P285" i="7"/>
  <c r="P286" i="7"/>
  <c r="P287" i="7"/>
  <c r="P288" i="7"/>
  <c r="P289" i="7"/>
  <c r="P290" i="7"/>
  <c r="P291" i="7"/>
  <c r="P292" i="7"/>
  <c r="P293" i="7"/>
  <c r="P294" i="7"/>
  <c r="P295" i="7"/>
  <c r="P296" i="7"/>
  <c r="P297" i="7"/>
  <c r="P298" i="7"/>
  <c r="P299" i="7"/>
  <c r="P300" i="7"/>
  <c r="P301" i="7"/>
  <c r="P302" i="7"/>
  <c r="P303" i="7"/>
  <c r="P304" i="7"/>
  <c r="P305" i="7"/>
  <c r="P306" i="7"/>
  <c r="P307" i="7"/>
  <c r="P308" i="7"/>
  <c r="P309" i="7"/>
  <c r="P310" i="7"/>
  <c r="P311" i="7"/>
  <c r="P312" i="7"/>
  <c r="P313" i="7"/>
  <c r="P314" i="7"/>
  <c r="P315" i="7"/>
  <c r="P316" i="7"/>
  <c r="P317" i="7"/>
  <c r="P318" i="7"/>
  <c r="P319" i="7"/>
  <c r="P320" i="7"/>
  <c r="P321" i="7"/>
  <c r="P322" i="7"/>
  <c r="P323" i="7"/>
  <c r="P324" i="7"/>
  <c r="P325" i="7"/>
  <c r="P326" i="7"/>
  <c r="P327" i="7"/>
  <c r="P328" i="7"/>
  <c r="P329" i="7"/>
  <c r="P330" i="7"/>
  <c r="P331" i="7"/>
  <c r="P332" i="7"/>
  <c r="P333" i="7"/>
  <c r="P334" i="7"/>
  <c r="P335" i="7"/>
  <c r="P336" i="7"/>
  <c r="P337" i="7"/>
  <c r="P338" i="7"/>
  <c r="P339" i="7"/>
  <c r="P340" i="7"/>
  <c r="P341" i="7"/>
  <c r="P342" i="7"/>
  <c r="P343" i="7"/>
  <c r="P344" i="7"/>
  <c r="P345" i="7"/>
  <c r="P346" i="7"/>
  <c r="P347" i="7"/>
  <c r="P348" i="7"/>
  <c r="P349" i="7"/>
  <c r="P350" i="7"/>
  <c r="P351" i="7"/>
  <c r="P352" i="7"/>
  <c r="P353" i="7"/>
  <c r="P354" i="7"/>
  <c r="P355" i="7"/>
  <c r="P356" i="7"/>
  <c r="P357" i="7"/>
  <c r="P358" i="7"/>
  <c r="P359" i="7"/>
  <c r="P360" i="7"/>
  <c r="P361" i="7"/>
  <c r="P362" i="7"/>
  <c r="P363" i="7"/>
  <c r="P364" i="7"/>
  <c r="P365" i="7"/>
  <c r="P366" i="7"/>
  <c r="P367" i="7"/>
  <c r="P368" i="7"/>
  <c r="P369" i="7"/>
  <c r="P370" i="7"/>
  <c r="P371" i="7"/>
  <c r="P372" i="7"/>
  <c r="P373" i="7"/>
  <c r="P374" i="7"/>
  <c r="P375" i="7"/>
  <c r="P376" i="7"/>
  <c r="P377" i="7"/>
  <c r="P378" i="7"/>
  <c r="P379" i="7"/>
  <c r="P380" i="7"/>
  <c r="P381" i="7"/>
  <c r="P382" i="7"/>
  <c r="P383" i="7"/>
  <c r="P384" i="7"/>
  <c r="P385" i="7"/>
  <c r="P386" i="7"/>
  <c r="P387" i="7"/>
  <c r="P388" i="7"/>
  <c r="P389" i="7"/>
  <c r="P390" i="7"/>
  <c r="P391" i="7"/>
  <c r="P392" i="7"/>
  <c r="P393" i="7"/>
  <c r="P394" i="7"/>
  <c r="P395" i="7"/>
  <c r="P396" i="7"/>
  <c r="P397" i="7"/>
  <c r="P398" i="7"/>
  <c r="P399" i="7"/>
  <c r="P400" i="7"/>
  <c r="P401" i="7"/>
  <c r="P402" i="7"/>
  <c r="P403" i="7"/>
  <c r="P404" i="7"/>
  <c r="P405" i="7"/>
  <c r="P406" i="7"/>
  <c r="P407" i="7"/>
  <c r="P408" i="7"/>
  <c r="P409" i="7"/>
  <c r="P410" i="7"/>
  <c r="P411" i="7"/>
  <c r="P412" i="7"/>
  <c r="P413" i="7"/>
  <c r="P414" i="7"/>
  <c r="P415" i="7"/>
  <c r="P416" i="7"/>
  <c r="P417" i="7"/>
  <c r="P418" i="7"/>
  <c r="P419" i="7"/>
  <c r="P420" i="7"/>
  <c r="P421" i="7"/>
  <c r="P422" i="7"/>
  <c r="P423" i="7"/>
  <c r="P424" i="7"/>
  <c r="P425" i="7"/>
  <c r="P426" i="7"/>
  <c r="P427" i="7"/>
  <c r="P428" i="7"/>
  <c r="P429" i="7"/>
  <c r="P430" i="7"/>
  <c r="P431" i="7"/>
  <c r="P432" i="7"/>
  <c r="P433" i="7"/>
  <c r="P434" i="7"/>
  <c r="P435" i="7"/>
  <c r="P436" i="7"/>
  <c r="P437" i="7"/>
  <c r="P438" i="7"/>
  <c r="P439" i="7"/>
  <c r="P440" i="7"/>
  <c r="P441" i="7"/>
  <c r="P442" i="7"/>
  <c r="P443" i="7"/>
  <c r="P444" i="7"/>
  <c r="P445" i="7"/>
  <c r="P446" i="7"/>
  <c r="P447" i="7"/>
  <c r="P448" i="7"/>
  <c r="P449" i="7"/>
  <c r="P450" i="7"/>
  <c r="P451" i="7"/>
  <c r="P452" i="7"/>
  <c r="P453" i="7"/>
  <c r="P454" i="7"/>
  <c r="P455" i="7"/>
  <c r="P456" i="7"/>
  <c r="P457" i="7"/>
  <c r="P458" i="7"/>
  <c r="P459" i="7"/>
  <c r="P460" i="7"/>
  <c r="P461" i="7"/>
  <c r="P462" i="7"/>
  <c r="P463" i="7"/>
  <c r="P464" i="7"/>
  <c r="P465" i="7"/>
  <c r="P466" i="7"/>
  <c r="P467" i="7"/>
  <c r="P468" i="7"/>
  <c r="P469" i="7"/>
  <c r="P470" i="7"/>
  <c r="P471" i="7"/>
  <c r="P472" i="7"/>
  <c r="P473" i="7"/>
  <c r="P474" i="7"/>
  <c r="P475" i="7"/>
  <c r="P476" i="7"/>
  <c r="P477" i="7"/>
  <c r="P478" i="7"/>
  <c r="P479" i="7"/>
  <c r="P480" i="7"/>
  <c r="P481" i="7"/>
  <c r="P482" i="7"/>
  <c r="P483" i="7"/>
  <c r="P484" i="7"/>
  <c r="P485" i="7"/>
  <c r="P486" i="7"/>
  <c r="P487" i="7"/>
  <c r="P488" i="7"/>
  <c r="P489" i="7"/>
  <c r="P490" i="7"/>
  <c r="P491" i="7"/>
  <c r="P492" i="7"/>
  <c r="P493" i="7"/>
  <c r="P494" i="7"/>
  <c r="P495" i="7"/>
  <c r="P496" i="7"/>
  <c r="P497" i="7"/>
  <c r="P498" i="7"/>
  <c r="P499" i="7"/>
  <c r="P500" i="7"/>
  <c r="P501" i="7"/>
  <c r="P502" i="7"/>
  <c r="P503" i="7"/>
  <c r="P504" i="7"/>
  <c r="P505" i="7"/>
  <c r="P506" i="7"/>
  <c r="P507" i="7"/>
  <c r="P508" i="7"/>
  <c r="P509" i="7"/>
  <c r="P510" i="7"/>
  <c r="P511" i="7"/>
  <c r="P512" i="7"/>
  <c r="P513" i="7"/>
  <c r="P514" i="7"/>
  <c r="P515" i="7"/>
  <c r="P516" i="7"/>
  <c r="P517" i="7"/>
  <c r="P518" i="7"/>
  <c r="P519" i="7"/>
  <c r="P520" i="7"/>
  <c r="P521" i="7"/>
  <c r="P522" i="7"/>
  <c r="P523" i="7"/>
  <c r="P524" i="7"/>
  <c r="P525" i="7"/>
  <c r="P526" i="7"/>
  <c r="P527" i="7"/>
  <c r="P528" i="7"/>
  <c r="P529" i="7"/>
  <c r="P530" i="7"/>
  <c r="P531" i="7"/>
  <c r="P532" i="7"/>
  <c r="P533" i="7"/>
  <c r="P534" i="7"/>
  <c r="P535" i="7"/>
  <c r="P536" i="7"/>
  <c r="P537" i="7"/>
  <c r="P538" i="7"/>
  <c r="P539" i="7"/>
  <c r="P540" i="7"/>
  <c r="P541" i="7"/>
  <c r="P542" i="7"/>
  <c r="P543" i="7"/>
  <c r="P544" i="7"/>
  <c r="P545" i="7"/>
  <c r="P546" i="7"/>
  <c r="P547" i="7"/>
  <c r="P548" i="7"/>
  <c r="P549" i="7"/>
  <c r="P550" i="7"/>
  <c r="P551" i="7"/>
  <c r="P552" i="7"/>
  <c r="P553" i="7"/>
  <c r="P554" i="7"/>
  <c r="P555" i="7"/>
  <c r="P556" i="7"/>
  <c r="P557" i="7"/>
  <c r="P558" i="7"/>
  <c r="P559" i="7"/>
  <c r="P560" i="7"/>
  <c r="P561" i="7"/>
  <c r="P562" i="7"/>
  <c r="P563" i="7"/>
  <c r="P564" i="7"/>
  <c r="P565" i="7"/>
  <c r="P566" i="7"/>
  <c r="P567" i="7"/>
  <c r="P568" i="7"/>
  <c r="P569" i="7"/>
  <c r="P570" i="7"/>
  <c r="P571" i="7"/>
  <c r="P572" i="7"/>
  <c r="P573" i="7"/>
  <c r="P574" i="7"/>
  <c r="P575" i="7"/>
  <c r="P576" i="7"/>
  <c r="P577" i="7"/>
  <c r="P578" i="7"/>
  <c r="P579" i="7"/>
  <c r="P580" i="7"/>
  <c r="P581" i="7"/>
  <c r="P582" i="7"/>
  <c r="P583" i="7"/>
  <c r="P584" i="7"/>
  <c r="P585" i="7"/>
  <c r="P586" i="7"/>
  <c r="P587" i="7"/>
  <c r="P588" i="7"/>
  <c r="P589" i="7"/>
  <c r="P590" i="7"/>
  <c r="P591" i="7"/>
  <c r="P592" i="7"/>
  <c r="P593" i="7"/>
  <c r="P594" i="7"/>
  <c r="P595" i="7"/>
  <c r="P596" i="7"/>
  <c r="P597" i="7"/>
  <c r="P598" i="7"/>
  <c r="P599" i="7"/>
  <c r="P600" i="7"/>
  <c r="P601" i="7"/>
  <c r="P602" i="7"/>
  <c r="P603" i="7"/>
  <c r="P604" i="7"/>
  <c r="P605" i="7"/>
  <c r="P606" i="7"/>
  <c r="P607" i="7"/>
  <c r="P608" i="7"/>
  <c r="P609" i="7"/>
  <c r="P610" i="7"/>
  <c r="P611" i="7"/>
  <c r="F43" i="3"/>
  <c r="F25" i="3"/>
  <c r="F52" i="4"/>
  <c r="E52" i="4"/>
  <c r="H52" i="4" s="1"/>
  <c r="F51" i="4"/>
  <c r="E51" i="4"/>
  <c r="H51" i="4" s="1"/>
  <c r="F50" i="4"/>
  <c r="E50" i="4"/>
  <c r="H50" i="4" s="1"/>
  <c r="F49" i="4"/>
  <c r="F48" i="4"/>
  <c r="E48" i="4"/>
  <c r="H48" i="4" s="1"/>
  <c r="F47" i="4"/>
  <c r="E47" i="4"/>
  <c r="H47" i="4" s="1"/>
  <c r="F46" i="4"/>
  <c r="E46" i="4"/>
  <c r="H46" i="4" s="1"/>
  <c r="F45" i="4"/>
  <c r="F44" i="4"/>
  <c r="F43" i="4"/>
  <c r="F42" i="4"/>
  <c r="F34" i="4"/>
  <c r="E34" i="4"/>
  <c r="F33" i="4"/>
  <c r="E33" i="4"/>
  <c r="H33" i="4" s="1"/>
  <c r="F32" i="4"/>
  <c r="E32" i="4"/>
  <c r="F31" i="4"/>
  <c r="F30" i="4"/>
  <c r="E30" i="4"/>
  <c r="H30" i="4" s="1"/>
  <c r="F29" i="4"/>
  <c r="E29" i="4"/>
  <c r="H29" i="4" s="1"/>
  <c r="F28" i="4"/>
  <c r="E28" i="4"/>
  <c r="H28" i="4" s="1"/>
  <c r="F27" i="4"/>
  <c r="F26" i="4"/>
  <c r="F25" i="4"/>
  <c r="F24" i="4"/>
  <c r="H17" i="4"/>
  <c r="G17" i="4"/>
  <c r="H16" i="4"/>
  <c r="G16" i="4"/>
  <c r="H15" i="4"/>
  <c r="G15" i="4"/>
  <c r="H14" i="4"/>
  <c r="G14" i="4"/>
  <c r="H13" i="4"/>
  <c r="G13" i="4"/>
  <c r="H12" i="4"/>
  <c r="G12" i="4"/>
  <c r="H11" i="4"/>
  <c r="G11" i="4"/>
  <c r="H10" i="4"/>
  <c r="G10" i="4"/>
  <c r="H9" i="4"/>
  <c r="G9" i="4"/>
  <c r="H8" i="4"/>
  <c r="G8" i="4"/>
  <c r="H7" i="4"/>
  <c r="G7" i="4"/>
  <c r="H6" i="4"/>
  <c r="G6" i="4"/>
  <c r="H5" i="4"/>
  <c r="G5" i="4"/>
  <c r="D6" i="2" a="1"/>
  <c r="D6" i="2" s="1"/>
  <c r="H17" i="3"/>
  <c r="E28" i="3"/>
  <c r="F32" i="3"/>
  <c r="F31" i="3"/>
  <c r="F27" i="3"/>
  <c r="E50" i="3"/>
  <c r="E51" i="3"/>
  <c r="E52" i="3"/>
  <c r="F50" i="3"/>
  <c r="F49" i="3"/>
  <c r="F46" i="3"/>
  <c r="F30" i="3"/>
  <c r="F29" i="3"/>
  <c r="F28" i="3"/>
  <c r="F51" i="3"/>
  <c r="F52" i="3"/>
  <c r="F48" i="3"/>
  <c r="F47" i="3"/>
  <c r="E46" i="3"/>
  <c r="E47" i="3"/>
  <c r="E48" i="3"/>
  <c r="F45" i="3"/>
  <c r="E32" i="3"/>
  <c r="E33" i="3"/>
  <c r="E34" i="3"/>
  <c r="E30" i="3"/>
  <c r="E29" i="3"/>
  <c r="F33" i="3"/>
  <c r="F34" i="3"/>
  <c r="G13" i="3"/>
  <c r="G6" i="3"/>
  <c r="H6" i="3"/>
  <c r="G7" i="3"/>
  <c r="H7" i="3"/>
  <c r="G8" i="3"/>
  <c r="H8" i="3"/>
  <c r="G9" i="3"/>
  <c r="H9" i="3"/>
  <c r="G10" i="3"/>
  <c r="H10" i="3"/>
  <c r="G11" i="3"/>
  <c r="H11" i="3"/>
  <c r="G12" i="3"/>
  <c r="H12" i="3"/>
  <c r="H13" i="3"/>
  <c r="G14" i="3"/>
  <c r="H14" i="3"/>
  <c r="G15" i="3"/>
  <c r="H15" i="3"/>
  <c r="G16" i="3"/>
  <c r="H16" i="3"/>
  <c r="G17" i="3"/>
  <c r="G5" i="3"/>
  <c r="H5" i="3"/>
  <c r="N50" i="3" s="1"/>
  <c r="D5" i="2" a="1"/>
  <c r="D5" i="2" s="1"/>
  <c r="C9" i="2"/>
  <c r="C6" i="2" a="1"/>
  <c r="C6" i="2" s="1"/>
  <c r="H45" i="11" l="1"/>
  <c r="E42" i="11"/>
  <c r="H39" i="11"/>
  <c r="E38" i="11"/>
  <c r="H38" i="11" s="1"/>
  <c r="O66" i="11"/>
  <c r="F33" i="11"/>
  <c r="F32" i="11"/>
  <c r="F56" i="11"/>
  <c r="F37" i="11"/>
  <c r="F36" i="11"/>
  <c r="F35" i="11"/>
  <c r="F46" i="11"/>
  <c r="G38" i="11"/>
  <c r="G39" i="11"/>
  <c r="G40" i="11"/>
  <c r="G41" i="11"/>
  <c r="H42" i="11"/>
  <c r="G42" i="11"/>
  <c r="G43" i="11"/>
  <c r="G44" i="11"/>
  <c r="G45" i="11"/>
  <c r="F68" i="11"/>
  <c r="G68" i="11" s="1"/>
  <c r="G60" i="11"/>
  <c r="G61" i="11"/>
  <c r="G62" i="11"/>
  <c r="G63" i="11"/>
  <c r="H64" i="11"/>
  <c r="G64" i="11"/>
  <c r="G65" i="11"/>
  <c r="G66" i="11"/>
  <c r="G67" i="11"/>
  <c r="F55" i="6"/>
  <c r="F54" i="6"/>
  <c r="F53" i="6"/>
  <c r="F59" i="6"/>
  <c r="F58" i="6"/>
  <c r="F57" i="6"/>
  <c r="F36" i="6"/>
  <c r="F37" i="6"/>
  <c r="F35" i="6"/>
  <c r="F68" i="6"/>
  <c r="F46" i="6"/>
  <c r="N63" i="6"/>
  <c r="E36" i="6"/>
  <c r="N62" i="6"/>
  <c r="N61" i="6"/>
  <c r="H46" i="3"/>
  <c r="N50" i="4"/>
  <c r="O50" i="4" s="1"/>
  <c r="N32" i="4"/>
  <c r="N51" i="4"/>
  <c r="N33" i="4"/>
  <c r="O33" i="4" s="1"/>
  <c r="N52" i="4"/>
  <c r="E44" i="4" s="1"/>
  <c r="H44" i="4" s="1"/>
  <c r="N34" i="4"/>
  <c r="E26" i="4" s="1"/>
  <c r="H26" i="4" s="1"/>
  <c r="E24" i="4"/>
  <c r="F53" i="4"/>
  <c r="G53" i="4" s="1"/>
  <c r="N67" i="6"/>
  <c r="O67" i="6" s="1"/>
  <c r="O45" i="6"/>
  <c r="N66" i="6"/>
  <c r="O66" i="6" s="1"/>
  <c r="E38" i="6"/>
  <c r="E35" i="6"/>
  <c r="E37" i="6"/>
  <c r="H37" i="6" s="1"/>
  <c r="O44" i="6"/>
  <c r="E59" i="6"/>
  <c r="H59" i="6" s="1"/>
  <c r="E57" i="6"/>
  <c r="E58" i="6"/>
  <c r="H58" i="6" s="1"/>
  <c r="B3" i="2"/>
  <c r="H35" i="6"/>
  <c r="G56" i="6"/>
  <c r="H41" i="6"/>
  <c r="H57" i="6"/>
  <c r="H67" i="6"/>
  <c r="H65" i="6"/>
  <c r="H45" i="6"/>
  <c r="H62" i="6"/>
  <c r="H40" i="6"/>
  <c r="H63" i="6"/>
  <c r="H52" i="3"/>
  <c r="H48" i="3"/>
  <c r="H47" i="3"/>
  <c r="F42" i="3"/>
  <c r="E42" i="3" s="1"/>
  <c r="H42" i="3" s="1"/>
  <c r="H30" i="3"/>
  <c r="H34" i="3"/>
  <c r="H33" i="3"/>
  <c r="H50" i="3"/>
  <c r="E27" i="3"/>
  <c r="H27" i="3" s="1"/>
  <c r="H29" i="3"/>
  <c r="F53" i="3"/>
  <c r="G53" i="3" s="1"/>
  <c r="F26" i="3"/>
  <c r="F24" i="3"/>
  <c r="F35" i="3"/>
  <c r="G51" i="3" s="1"/>
  <c r="F44" i="3"/>
  <c r="E60" i="6"/>
  <c r="H60" i="6" s="1"/>
  <c r="H66" i="6"/>
  <c r="E42" i="6"/>
  <c r="H44" i="6"/>
  <c r="H61" i="6"/>
  <c r="E64" i="6"/>
  <c r="H39" i="6"/>
  <c r="H43" i="6"/>
  <c r="H38" i="6"/>
  <c r="E33" i="6"/>
  <c r="E32" i="6"/>
  <c r="E31" i="3"/>
  <c r="H31" i="3" s="1"/>
  <c r="H28" i="3"/>
  <c r="H32" i="3"/>
  <c r="E49" i="3"/>
  <c r="H49" i="3" s="1"/>
  <c r="B7" i="2"/>
  <c r="O52" i="4"/>
  <c r="H32" i="4"/>
  <c r="E31" i="4"/>
  <c r="H31" i="4" s="1"/>
  <c r="O34" i="4"/>
  <c r="O32" i="4"/>
  <c r="E43" i="4"/>
  <c r="H43" i="4" s="1"/>
  <c r="O51" i="4"/>
  <c r="H24" i="4"/>
  <c r="E49" i="4"/>
  <c r="H34" i="4"/>
  <c r="E45" i="4"/>
  <c r="H45" i="4" s="1"/>
  <c r="F35" i="4"/>
  <c r="E25" i="4"/>
  <c r="H25" i="4" s="1"/>
  <c r="G49" i="4"/>
  <c r="E27" i="4"/>
  <c r="H27" i="4" s="1"/>
  <c r="E42" i="4"/>
  <c r="G32" i="4"/>
  <c r="O50" i="3"/>
  <c r="N32" i="3"/>
  <c r="N52" i="3"/>
  <c r="O52" i="3" s="1"/>
  <c r="N34" i="3"/>
  <c r="N51" i="3"/>
  <c r="O51" i="3" s="1"/>
  <c r="N33" i="3"/>
  <c r="E45" i="3"/>
  <c r="H45" i="3" s="1"/>
  <c r="H51" i="3"/>
  <c r="B5" i="2"/>
  <c r="B6" i="2"/>
  <c r="B4" i="2"/>
  <c r="B9" i="2"/>
  <c r="B8" i="2"/>
  <c r="G46" i="11" l="1"/>
  <c r="G30" i="11"/>
  <c r="G34" i="11"/>
  <c r="G35" i="11"/>
  <c r="E35" i="11"/>
  <c r="G36" i="11"/>
  <c r="E36" i="11"/>
  <c r="H36" i="11" s="1"/>
  <c r="G37" i="11"/>
  <c r="E37" i="11"/>
  <c r="H37" i="11" s="1"/>
  <c r="F59" i="11"/>
  <c r="F58" i="11"/>
  <c r="F57" i="11"/>
  <c r="G56" i="11"/>
  <c r="G31" i="11"/>
  <c r="G32" i="11"/>
  <c r="E32" i="11"/>
  <c r="H32" i="11" s="1"/>
  <c r="G33" i="11"/>
  <c r="E33" i="11"/>
  <c r="H33" i="11" s="1"/>
  <c r="H64" i="6"/>
  <c r="G26" i="4"/>
  <c r="G50" i="4"/>
  <c r="G28" i="4"/>
  <c r="G47" i="4"/>
  <c r="G51" i="4"/>
  <c r="G34" i="4"/>
  <c r="G43" i="4"/>
  <c r="G29" i="4"/>
  <c r="G31" i="4"/>
  <c r="G24" i="4"/>
  <c r="G30" i="6"/>
  <c r="G31" i="6"/>
  <c r="H42" i="6"/>
  <c r="H36" i="6"/>
  <c r="E56" i="6"/>
  <c r="H56" i="6" s="1"/>
  <c r="E34" i="6"/>
  <c r="E54" i="6"/>
  <c r="H54" i="6" s="1"/>
  <c r="G68" i="6"/>
  <c r="E53" i="6"/>
  <c r="H53" i="6" s="1"/>
  <c r="E55" i="6"/>
  <c r="H55" i="6" s="1"/>
  <c r="G57" i="6"/>
  <c r="G59" i="6"/>
  <c r="G58" i="6"/>
  <c r="G41" i="3"/>
  <c r="G52" i="3"/>
  <c r="G24" i="3"/>
  <c r="E43" i="3"/>
  <c r="G46" i="3"/>
  <c r="G26" i="3"/>
  <c r="G34" i="3"/>
  <c r="G49" i="3"/>
  <c r="G33" i="3"/>
  <c r="G30" i="3"/>
  <c r="G25" i="3"/>
  <c r="G29" i="3"/>
  <c r="G35" i="3"/>
  <c r="G47" i="3"/>
  <c r="G28" i="3"/>
  <c r="G45" i="3"/>
  <c r="G27" i="3"/>
  <c r="G42" i="3"/>
  <c r="G31" i="3"/>
  <c r="E44" i="3"/>
  <c r="H44" i="3" s="1"/>
  <c r="G50" i="3"/>
  <c r="G44" i="3"/>
  <c r="G32" i="3"/>
  <c r="G43" i="3"/>
  <c r="G23" i="3"/>
  <c r="G48" i="3"/>
  <c r="G39" i="6"/>
  <c r="G36" i="6"/>
  <c r="G34" i="6"/>
  <c r="G35" i="6"/>
  <c r="G37" i="6"/>
  <c r="G32" i="6"/>
  <c r="H32" i="6"/>
  <c r="G67" i="6"/>
  <c r="G52" i="6"/>
  <c r="G61" i="6"/>
  <c r="G44" i="6"/>
  <c r="G38" i="6"/>
  <c r="G62" i="6"/>
  <c r="G45" i="6"/>
  <c r="G64" i="6"/>
  <c r="G43" i="6"/>
  <c r="G66" i="6"/>
  <c r="G40" i="6"/>
  <c r="G41" i="6"/>
  <c r="G63" i="6"/>
  <c r="G55" i="6"/>
  <c r="G46" i="6"/>
  <c r="G60" i="6"/>
  <c r="G42" i="6"/>
  <c r="G65" i="6"/>
  <c r="H33" i="6"/>
  <c r="G33" i="6"/>
  <c r="E23" i="4"/>
  <c r="E41" i="4"/>
  <c r="H41" i="4" s="1"/>
  <c r="H42" i="4"/>
  <c r="G23" i="4"/>
  <c r="G41" i="4"/>
  <c r="G35" i="4"/>
  <c r="G33" i="4"/>
  <c r="H49" i="4"/>
  <c r="G46" i="4"/>
  <c r="G42" i="4"/>
  <c r="G45" i="4"/>
  <c r="G48" i="4"/>
  <c r="G30" i="4"/>
  <c r="G52" i="4"/>
  <c r="G44" i="4"/>
  <c r="G25" i="4"/>
  <c r="G27" i="4"/>
  <c r="O33" i="3"/>
  <c r="E25" i="3"/>
  <c r="H25" i="3" s="1"/>
  <c r="O34" i="3"/>
  <c r="E26" i="3"/>
  <c r="H26" i="3" s="1"/>
  <c r="O32" i="3"/>
  <c r="E24" i="3"/>
  <c r="H43" i="3"/>
  <c r="H31" i="11" l="1"/>
  <c r="E30" i="11"/>
  <c r="H30" i="11" s="1"/>
  <c r="G57" i="11"/>
  <c r="E57" i="11"/>
  <c r="G58" i="11"/>
  <c r="E58" i="11"/>
  <c r="H58" i="11" s="1"/>
  <c r="G59" i="11"/>
  <c r="E59" i="11"/>
  <c r="H59" i="11" s="1"/>
  <c r="H35" i="11"/>
  <c r="E34" i="11"/>
  <c r="H34" i="11" s="1"/>
  <c r="G53" i="6"/>
  <c r="G54" i="6"/>
  <c r="H34" i="6"/>
  <c r="E41" i="3"/>
  <c r="E53" i="3" s="1"/>
  <c r="H53" i="3" s="1"/>
  <c r="E52" i="6"/>
  <c r="E68" i="6" s="1"/>
  <c r="H68" i="6" s="1"/>
  <c r="E30" i="6"/>
  <c r="E46" i="6" s="1"/>
  <c r="H46" i="6" s="1"/>
  <c r="E23" i="3"/>
  <c r="H23" i="3" s="1"/>
  <c r="H24" i="3"/>
  <c r="E53" i="4"/>
  <c r="H53" i="4" s="1"/>
  <c r="H23" i="4"/>
  <c r="E35" i="4"/>
  <c r="H35" i="4" s="1"/>
  <c r="H57" i="11" l="1"/>
  <c r="E56" i="11"/>
  <c r="E46" i="11"/>
  <c r="H46" i="11" s="1"/>
  <c r="H52" i="6"/>
  <c r="H41" i="3"/>
  <c r="H30" i="6"/>
  <c r="E35" i="3"/>
  <c r="H35" i="3" s="1"/>
  <c r="H56" i="11" l="1"/>
  <c r="E68" i="11"/>
  <c r="H68" i="1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<sst xmlns="http://schemas.openxmlformats.org/spreadsheetml/2006/main" count="10321" uniqueCount="1412">
  <si>
    <t>2025 Baseline</t>
  </si>
  <si>
    <t>Line Size</t>
  </si>
  <si>
    <t>Eligible Points</t>
  </si>
  <si>
    <t>% Mix</t>
  </si>
  <si>
    <t>APAP %</t>
  </si>
  <si>
    <t>Major</t>
  </si>
  <si>
    <t>T1200</t>
  </si>
  <si>
    <t>Other</t>
  </si>
  <si>
    <t>Grand Total</t>
  </si>
  <si>
    <t>2026 High Confidence</t>
  </si>
  <si>
    <t>Row Labels</t>
  </si>
  <si>
    <t>Adopting Points</t>
  </si>
  <si>
    <t>6 to 12 Months</t>
  </si>
  <si>
    <t>Retention Rate</t>
  </si>
  <si>
    <t>What % of adopting customers will still be adopting in 2026</t>
  </si>
  <si>
    <t>Conservative estimate for high confidence</t>
  </si>
  <si>
    <t>12 to 24 Months</t>
  </si>
  <si>
    <t>Conversion Rate</t>
  </si>
  <si>
    <t>What % of unadopting customers will now adopt in 2026. Based on % of non-adopting customers that showed decent SIM activity on 2025 per cohort.</t>
  </si>
  <si>
    <t>Based on % of non-adopting customers that showed decent SIM activity in 2025 across each line size.</t>
  </si>
  <si>
    <t>24+ Months Total</t>
  </si>
  <si>
    <t>New Customer Adoption Rate</t>
  </si>
  <si>
    <t>What % of newly eligible customers will adopt in 2026 in less than 1 year's time.</t>
  </si>
  <si>
    <t>ppts change YoY</t>
  </si>
  <si>
    <t>10% Decrease from Nov'25 adoption rates to be conservative</t>
  </si>
  <si>
    <t>2026 Hard Climb</t>
  </si>
  <si>
    <t>Assumes CSMs will be able to push customers to continue adopting. Still accounts for some drop offs (eg., recerts).</t>
  </si>
  <si>
    <t>Assumes flat rate from High Confidence given engaging with lagging customers is both difficult and low priority for CSMs.</t>
  </si>
  <si>
    <t>Assume 10% increase in rates as Nov '25 cohorts</t>
  </si>
  <si>
    <t>2025 Cohort</t>
  </si>
  <si>
    <t>0-6 Months</t>
  </si>
  <si>
    <t>Just T6 0.75x</t>
  </si>
  <si>
    <t>T12 2x + T6 0.75x</t>
  </si>
  <si>
    <t>Baseline</t>
  </si>
  <si>
    <t>Sum of AgencySize</t>
  </si>
  <si>
    <t>Growth in Eligible Points</t>
  </si>
  <si>
    <t>HC</t>
  </si>
  <si>
    <t>Hard Climb</t>
  </si>
  <si>
    <t>2026 Baseline (w/ No T6 Qualifier)</t>
  </si>
  <si>
    <t>2026 Baseline (w/ Majors T6 Qualifier)</t>
  </si>
  <si>
    <t>Sum of No Qualifier Adopting Points</t>
  </si>
  <si>
    <t>Sum of T6 0.75x Only</t>
  </si>
  <si>
    <t>Sum of Majors Qualifier Adopting Points</t>
  </si>
  <si>
    <t>6-12 Months</t>
  </si>
  <si>
    <t>6-12 Months Total</t>
  </si>
  <si>
    <t>12-24 Months</t>
  </si>
  <si>
    <t>12-24 Months Total</t>
  </si>
  <si>
    <t>24+ Months</t>
  </si>
  <si>
    <t>6 to 12 Months (Forecasted)</t>
  </si>
  <si>
    <t>12 to 18 Months (Inelligible)</t>
  </si>
  <si>
    <t>18 to 24 Months (Current New)</t>
  </si>
  <si>
    <t>Currently Ineligible Adoption Rate</t>
  </si>
  <si>
    <t>What % of currently ineligible customers will adopt in 2026 once eligible.</t>
  </si>
  <si>
    <t>Assumes same initial adoption rates as 6-12 month cohort, then considers retention and conversion rates in model.</t>
  </si>
  <si>
    <t>24+ Months Total (Pre 2025)</t>
  </si>
  <si>
    <t>10% Decrease from Nov'25 rates to account for low adoption likelihood for Q2 majors</t>
  </si>
  <si>
    <t>AgencyName</t>
  </si>
  <si>
    <t>AgencySlug</t>
  </si>
  <si>
    <t>AgencySize</t>
  </si>
  <si>
    <t>VR_Licenses</t>
  </si>
  <si>
    <t>Eligibility_Cohort</t>
  </si>
  <si>
    <t>Sept_Completions</t>
  </si>
  <si>
    <t>Oct_Completions</t>
  </si>
  <si>
    <t>Nov_Completions</t>
  </si>
  <si>
    <t>Baltimore County Police Dept. - MD</t>
  </si>
  <si>
    <t>Albuquerque Police Dept. - NM</t>
  </si>
  <si>
    <t>San Bernardino County Probation Dept. - CA</t>
  </si>
  <si>
    <t>Maryland State Police - MD</t>
  </si>
  <si>
    <t>Bakersfield Police Dept. - CA</t>
  </si>
  <si>
    <t>Seminole County Sheriff's Office - FL</t>
  </si>
  <si>
    <t>Oklahoma City Police Dept. - OK</t>
  </si>
  <si>
    <t>Charlotte County Sheriff's Office - FL</t>
  </si>
  <si>
    <t>Hamilton County Sheriff's Office - OH</t>
  </si>
  <si>
    <t>Texas Department of Public Safety - TX</t>
  </si>
  <si>
    <t>Minneapolis Police Dept. - MN</t>
  </si>
  <si>
    <t>Fort Worth Police Department - TX</t>
  </si>
  <si>
    <t>City of Wichita Police Department</t>
  </si>
  <si>
    <t>Williamson County Sheriff's Office - TN</t>
  </si>
  <si>
    <t>Shreveport Police Dept - LA</t>
  </si>
  <si>
    <t>Joliet Police Dept. - IL</t>
  </si>
  <si>
    <t>St. Charles Police Dept. - MO</t>
  </si>
  <si>
    <t>San Bernardino County Sheriff's Dept. - CA</t>
  </si>
  <si>
    <t>Denton Police Dept. - TX</t>
  </si>
  <si>
    <t>Pittsburgh Bureau of Police - PA</t>
  </si>
  <si>
    <t>Pinellas County Sheriff's Office - FL</t>
  </si>
  <si>
    <t>Terrebonne Parish Sheriff's Office - LA</t>
  </si>
  <si>
    <t>Boca Raton Police Dept - FL</t>
  </si>
  <si>
    <t>Roswell Police Dept. - GA</t>
  </si>
  <si>
    <t>Metro Nashville Police Department -TN</t>
  </si>
  <si>
    <t>Auburn Police Dept - AL</t>
  </si>
  <si>
    <t>Flagler County Sheriff's Office - FL</t>
  </si>
  <si>
    <t>Detroit Police Dept. - MI</t>
  </si>
  <si>
    <t>Travis County Sheriff's Office - TX</t>
  </si>
  <si>
    <t>Weld County Sheriff's Office - CO</t>
  </si>
  <si>
    <t>Valdosta Police Department - GA</t>
  </si>
  <si>
    <t>Ada County Sheriff's Office - ID</t>
  </si>
  <si>
    <t>Walton County Sheriff's Office - GA</t>
  </si>
  <si>
    <t>Jefferson County Sheriff's Office - CO</t>
  </si>
  <si>
    <t>Naperville Police Dept. - IL</t>
  </si>
  <si>
    <t>Tuscaloosa Police Dept. - AL</t>
  </si>
  <si>
    <t>Washoe County Sheriff's Office - NV</t>
  </si>
  <si>
    <t>Lincoln County Sheriff's Office - NC</t>
  </si>
  <si>
    <t>Saint John Parish Sheriff's Office - LA</t>
  </si>
  <si>
    <t>New Mexico Dept. of Public Safety - NM</t>
  </si>
  <si>
    <t>Boulder Police Dept. - CO</t>
  </si>
  <si>
    <t>Sarasota Police Dept - FL</t>
  </si>
  <si>
    <t>Manatee County Sheriff's Office - FL</t>
  </si>
  <si>
    <t>Huntsville Police Department - AL</t>
  </si>
  <si>
    <t>Grand Rapids Police Dept. - MI</t>
  </si>
  <si>
    <t>Brevard County Sheriff's Office - FL</t>
  </si>
  <si>
    <t>Olmsted County Sheriff's Office - MN</t>
  </si>
  <si>
    <t>North Miami Police Dept - FL</t>
  </si>
  <si>
    <t>Brookhaven Police Department - GA</t>
  </si>
  <si>
    <t>Kent Police Dept. - WA</t>
  </si>
  <si>
    <t>Lincoln Police Department - NE</t>
  </si>
  <si>
    <t>Louisiana Department of Corrections - LA</t>
  </si>
  <si>
    <t>Pasco Police Dept. - WA</t>
  </si>
  <si>
    <t>Pinellas Park Police Dept - FL</t>
  </si>
  <si>
    <t>Jefferson County Sheriff's Office - AL</t>
  </si>
  <si>
    <t>Santa Monica Police Dept. - CA</t>
  </si>
  <si>
    <t>HILLSBOROUGH CO SHERIFF'S OFFICE - FL</t>
  </si>
  <si>
    <t>Pender County Sheriff's Office - NC</t>
  </si>
  <si>
    <t>Lake County Sheriff's Office - FL</t>
  </si>
  <si>
    <t>Coral Springs Police Dept. - FL</t>
  </si>
  <si>
    <t>Howard County Police Dept. - MD</t>
  </si>
  <si>
    <t>Lee County Sheriff's Office - AL</t>
  </si>
  <si>
    <t>Columbia County Sheriff's Office - FL</t>
  </si>
  <si>
    <t>Leander Police Dept. - TX</t>
  </si>
  <si>
    <t>Philadelphia Police Dept. - PA</t>
  </si>
  <si>
    <t>Scranton Police Dept. - PA</t>
  </si>
  <si>
    <t>Barrie Police Service</t>
  </si>
  <si>
    <t>CA0115465</t>
  </si>
  <si>
    <t>Burbank Police Dept. - CA</t>
  </si>
  <si>
    <t>Bloomington Police Dept. - MN</t>
  </si>
  <si>
    <t>National Commissioner of the Icelandic Police</t>
  </si>
  <si>
    <t>Tampa Police Department - FL</t>
  </si>
  <si>
    <t>Virginia Beach Police Dept. - VA</t>
  </si>
  <si>
    <t>Leon County Sheriff's Dept. - FL</t>
  </si>
  <si>
    <t>Richardson Police Department - TX</t>
  </si>
  <si>
    <t>Boston Police Dept. - MA</t>
  </si>
  <si>
    <t>Lower Merion Twp Police Dept. - PA</t>
  </si>
  <si>
    <t>Wilson Police Department - NC</t>
  </si>
  <si>
    <t>Arizona Department of Corrections - AZ</t>
  </si>
  <si>
    <t>Peel Regional Police Service - CAN</t>
  </si>
  <si>
    <t>CA0115409</t>
  </si>
  <si>
    <t>Will County Sheriff Office Enforcement - IL</t>
  </si>
  <si>
    <t>Port of Seattle Police Dept. - WA</t>
  </si>
  <si>
    <t>Walker Police Dept. - MI</t>
  </si>
  <si>
    <t>Springfield Police Department - IL</t>
  </si>
  <si>
    <t>Centralia Police Dept. - IL</t>
  </si>
  <si>
    <t>San Leandro Police Dept. - CA</t>
  </si>
  <si>
    <t>Hemet Police Department - CA</t>
  </si>
  <si>
    <t>Metropolitan Transit Authority of Harris County - TX</t>
  </si>
  <si>
    <t>North Carolina State Highway Patrol - NC</t>
  </si>
  <si>
    <t>Wauwatosa Police Dept. - WI</t>
  </si>
  <si>
    <t>Spokane Police Dept. - WA</t>
  </si>
  <si>
    <t>Pasadena Police Dept. - TX</t>
  </si>
  <si>
    <t>Portsmouth Police Dept - NH</t>
  </si>
  <si>
    <t>Titusville Police Dept - FL</t>
  </si>
  <si>
    <t>Homestead Police Dept.- FL</t>
  </si>
  <si>
    <t>Redmond Police Dept. - WA</t>
  </si>
  <si>
    <t>Lawrenceville Police Dept. - GA</t>
  </si>
  <si>
    <t>Meridian Police Dept. - ID</t>
  </si>
  <si>
    <t>Mississippi Highway Patrol - MS</t>
  </si>
  <si>
    <t>Michigan Department of Natural Resources</t>
  </si>
  <si>
    <t>Kansas City Police Dept. - KS</t>
  </si>
  <si>
    <t>Biloxi Police Dept. - MS</t>
  </si>
  <si>
    <t>Waushara County Sheriff's Office  - WI</t>
  </si>
  <si>
    <t>Apopka Police Dept.-FL</t>
  </si>
  <si>
    <t>Waukesha Police Dept. - WI</t>
  </si>
  <si>
    <t>Mesa Police Department</t>
  </si>
  <si>
    <t>Ohio Dept of Rehabilitation and Correction</t>
  </si>
  <si>
    <t>Chicopee Police Department - MA</t>
  </si>
  <si>
    <t>Sarpy County Sheriff's - NE</t>
  </si>
  <si>
    <t>Richmond Hill Police Dept. - GA</t>
  </si>
  <si>
    <t>Fort Mill Police Dept. - SC</t>
  </si>
  <si>
    <t>Rensselaer County Sheriff's Office - NY</t>
  </si>
  <si>
    <t>Louisville Metro Department of Corrections - KY</t>
  </si>
  <si>
    <t>Appleton Police Department - WI</t>
  </si>
  <si>
    <t>California State University Police - Fresno</t>
  </si>
  <si>
    <t>Mamaroneck Village Police Dept. - NY</t>
  </si>
  <si>
    <t>Fresno Police Dept. - CA</t>
  </si>
  <si>
    <t>Decatur County Sheriff's Office - IN</t>
  </si>
  <si>
    <t>Malden Police Department - MA</t>
  </si>
  <si>
    <t>Marion County Sheriff's Office - IL</t>
  </si>
  <si>
    <t>Yavapai County Sheriff's Office - AZ</t>
  </si>
  <si>
    <t>Westminster Police Dept. - CO</t>
  </si>
  <si>
    <t>Vallejo Police Dept. - CA</t>
  </si>
  <si>
    <t>Holly Springs Police Dept. - NC</t>
  </si>
  <si>
    <t>Jeffersonville Police Department - IN</t>
  </si>
  <si>
    <t>St. Cloud Police Dept. - FL</t>
  </si>
  <si>
    <t>Englewood Police Department - OH</t>
  </si>
  <si>
    <t>Royal Oak Police Dept.- MI</t>
  </si>
  <si>
    <t>Suffolk Police Dept. - VA</t>
  </si>
  <si>
    <t>New Castle County Police Dept. - DE</t>
  </si>
  <si>
    <t>Pueblo County Sheriff's Office - CO</t>
  </si>
  <si>
    <t>Union Pacific Railroad Police Dept. - NE</t>
  </si>
  <si>
    <t>Mobile Police Department - AL</t>
  </si>
  <si>
    <t>State of Hawai'i, Dept. of Law Enforcement</t>
  </si>
  <si>
    <t>Pigeon Forge Police Dept. - TN</t>
  </si>
  <si>
    <t>Elkhart County Sheriff's Office - IN</t>
  </si>
  <si>
    <t>Fort Collins Police Services - CO</t>
  </si>
  <si>
    <t>Jackson Police Dept. - WY</t>
  </si>
  <si>
    <t>Long Beach Police Dept. - CA</t>
  </si>
  <si>
    <t>Boynton Beach Police Dept. - FL</t>
  </si>
  <si>
    <t>Lafayette Police Department - CO</t>
  </si>
  <si>
    <t>Peachtree City Police Dept - GA</t>
  </si>
  <si>
    <t>Bartow County Sheriff's Office - GA</t>
  </si>
  <si>
    <t>Surf City Police Department - NC</t>
  </si>
  <si>
    <t>Omaha Police Dept - NE</t>
  </si>
  <si>
    <t>North Kansas City Police Dept. - MO</t>
  </si>
  <si>
    <t>Lake Stevens Police Dept. - WA</t>
  </si>
  <si>
    <t>City of South Fulton Police Department - GA</t>
  </si>
  <si>
    <t>DuPage County Sheriff's Office</t>
  </si>
  <si>
    <t>Ohio Dept of Natural Resources - OH</t>
  </si>
  <si>
    <t>Monroe Police Dept. - MI</t>
  </si>
  <si>
    <t>Grapevine Police Dept. - TX</t>
  </si>
  <si>
    <t>Commerce City Police Department - CO</t>
  </si>
  <si>
    <t>Lockport Police Dept. - NY</t>
  </si>
  <si>
    <t>Sevier County Sheriff's Office - TN</t>
  </si>
  <si>
    <t>Williams County Sheriff's Office - ND</t>
  </si>
  <si>
    <t>Nevada Dept of Motor Vehicles</t>
  </si>
  <si>
    <t>KANABEC CO SHERIFF'S OFFICE-MN</t>
  </si>
  <si>
    <t>California Department of Parks and Recreation</t>
  </si>
  <si>
    <t>Simi Valley Police Dept. - CA</t>
  </si>
  <si>
    <t>Monroe County Sheriff's Dept. - NY</t>
  </si>
  <si>
    <t>Downers Grove Police Dept. - IL</t>
  </si>
  <si>
    <t>Fairfax County Police Dept. - VA</t>
  </si>
  <si>
    <t>Minnetonka Police Department - MN</t>
  </si>
  <si>
    <t>Elk Grove Police Dept. - CA</t>
  </si>
  <si>
    <t>Winter Haven Police Dept. - FL</t>
  </si>
  <si>
    <t>Collier County Sheriff's Office - FL</t>
  </si>
  <si>
    <t>Jefferson County Sheriff's Office - WA</t>
  </si>
  <si>
    <t>Santa Cruz Police Dept. - CA</t>
  </si>
  <si>
    <t>Iberia Parish Sheriff's Office - LA</t>
  </si>
  <si>
    <t>Kissimmee Police Dept. - FL</t>
  </si>
  <si>
    <t>Mauldin Police Dept. - SC</t>
  </si>
  <si>
    <t>Statesville Police Department - NC</t>
  </si>
  <si>
    <t>North Port Police Dept. - FL</t>
  </si>
  <si>
    <t>Chandler Police Dept. - AZ</t>
  </si>
  <si>
    <t>Springfield Police Department - MO</t>
  </si>
  <si>
    <t>BUFFALO CITY POLICE DEPT. - NY</t>
  </si>
  <si>
    <t>Northampton Township Police Dept - PA</t>
  </si>
  <si>
    <t>Tallahassee Police Dept.-FL</t>
  </si>
  <si>
    <t>Juneau County Sheriff's Office - WI</t>
  </si>
  <si>
    <t>Benicia Police Dept. - CA</t>
  </si>
  <si>
    <t>Kentwood Police Department - MI</t>
  </si>
  <si>
    <t>Lynchburg Police Department - VA</t>
  </si>
  <si>
    <t>Anaheim Police Dept. - CA</t>
  </si>
  <si>
    <t>Mooresville Police Dept. - NC</t>
  </si>
  <si>
    <t>City of Bend, Police Dept -OR</t>
  </si>
  <si>
    <t>Minneapolis-St Paul Airport Police Dept -MN</t>
  </si>
  <si>
    <t>Los Angeles County Sheriff's Dept. - HQ</t>
  </si>
  <si>
    <t>Eagle Point Police Dept. - OR</t>
  </si>
  <si>
    <t>CSX Railroad Police - FL</t>
  </si>
  <si>
    <t>Bolingbrook Police Dept. - IL</t>
  </si>
  <si>
    <t>University of Utah Police Dept. - UT</t>
  </si>
  <si>
    <t>Littleton Police Department - CO</t>
  </si>
  <si>
    <t>Pueblo Police Department - CO</t>
  </si>
  <si>
    <t>Newport News Police Dept. - VA</t>
  </si>
  <si>
    <t>Amarillo Police Dept - TX</t>
  </si>
  <si>
    <t>Atlanta Police Dept. - GA</t>
  </si>
  <si>
    <t>Seattle Police Dept. - WA</t>
  </si>
  <si>
    <t>Saratoga County Sheriff's Office - NY</t>
  </si>
  <si>
    <t>University of Rochester</t>
  </si>
  <si>
    <t>CPKC Railway Police Service</t>
  </si>
  <si>
    <t>CA0115746</t>
  </si>
  <si>
    <t>Wilkes-Barre City Police Dept - PA</t>
  </si>
  <si>
    <t>Firestone Police Department - CO</t>
  </si>
  <si>
    <t>Niceville Police Dept. - FL</t>
  </si>
  <si>
    <t>Ontario County Sheriff's Office - NY</t>
  </si>
  <si>
    <t>North Richland Hills Police Dept. - TX</t>
  </si>
  <si>
    <t>Kauai Police Dept. - HI</t>
  </si>
  <si>
    <t>Tucson Police Dept - AZ</t>
  </si>
  <si>
    <t>Catoosa County Sheriff's Office - GA</t>
  </si>
  <si>
    <t>Natrona County Sheriff's Office - WY</t>
  </si>
  <si>
    <t>Manor Police Dept - TX</t>
  </si>
  <si>
    <t>Monterey County Sheriffs Office - CA</t>
  </si>
  <si>
    <t>Farmers Branch Police Dept. - TX</t>
  </si>
  <si>
    <t>Arlington Police Dept. - VA</t>
  </si>
  <si>
    <t>Sumter County Sheriff - FL</t>
  </si>
  <si>
    <t>Cary Police Department - NC</t>
  </si>
  <si>
    <t>University Of Kentucky Police Department - KY</t>
  </si>
  <si>
    <t>Memphis Police Department - TN</t>
  </si>
  <si>
    <t>Winhall Police and Rescue - VT</t>
  </si>
  <si>
    <t>Elyria Police Department - OH</t>
  </si>
  <si>
    <t>Hoffman Estates Police Dept. - IL</t>
  </si>
  <si>
    <t>Jefferson Parish Sheriff's Office - LA</t>
  </si>
  <si>
    <t>Skagit County Sheriff's Office - WA</t>
  </si>
  <si>
    <t>Chautauqua County Sheriff's Office - NY</t>
  </si>
  <si>
    <t>Orlando Police Dept. - FL</t>
  </si>
  <si>
    <t>Broomfield Police Dept. - CO</t>
  </si>
  <si>
    <t>Seguin Police Dept. - TX</t>
  </si>
  <si>
    <t>Sparks Police Dept. - NV</t>
  </si>
  <si>
    <t>Pekin Police Dept.- IL</t>
  </si>
  <si>
    <t>Menifee Police Dept. - CA</t>
  </si>
  <si>
    <t>Frederick County Sheriff's Office - MD</t>
  </si>
  <si>
    <t>Washington State Patrol - District 1- WA</t>
  </si>
  <si>
    <t>Manitoba First Nations Police Service</t>
  </si>
  <si>
    <t>CA0115604</t>
  </si>
  <si>
    <t>Franklin Police Dept - MA</t>
  </si>
  <si>
    <t>St. Charles Parish Sheriff's Office - LA</t>
  </si>
  <si>
    <t>Regional Transportation District Police - CO</t>
  </si>
  <si>
    <t>Tavares Police Department - FL</t>
  </si>
  <si>
    <t>Amherst County Sheriff's Office - VA</t>
  </si>
  <si>
    <t>Belton Police Department - MO</t>
  </si>
  <si>
    <t>Ogden Police Dept. - NY</t>
  </si>
  <si>
    <t>Sunland Park Police Dept. - NM</t>
  </si>
  <si>
    <t>Pasco Sheriff's Office - FL</t>
  </si>
  <si>
    <t>Westfield Police Department - IN</t>
  </si>
  <si>
    <t>Culver City Police Department - CA</t>
  </si>
  <si>
    <t>Harris County Constable Pct. 8 - TX</t>
  </si>
  <si>
    <t>Braintree Police Dept. - MA</t>
  </si>
  <si>
    <t>Newark Police Department - CA</t>
  </si>
  <si>
    <t>Greenbelt Police Dept. - MD</t>
  </si>
  <si>
    <t>Adams County Sheriff's Office - CO</t>
  </si>
  <si>
    <t>The City of Edmonton</t>
  </si>
  <si>
    <t>CA0115761</t>
  </si>
  <si>
    <t>Cobb County Sheriff's Office - GA</t>
  </si>
  <si>
    <t>Queen Creek Police Department - AZ</t>
  </si>
  <si>
    <t>Calcasieu Parish Sheriff's Office - LA</t>
  </si>
  <si>
    <t>Castle Shannon Police Dept. - PA</t>
  </si>
  <si>
    <t>Durango Police Department - CO</t>
  </si>
  <si>
    <t>Black Hawk County Sheriff Dept - IA</t>
  </si>
  <si>
    <t>Addison Police Department - IL</t>
  </si>
  <si>
    <t>Coppell Police Dept - TX</t>
  </si>
  <si>
    <t>Hialeah Police Dept. - FL</t>
  </si>
  <si>
    <t>MBTA Transit Police Department - MA</t>
  </si>
  <si>
    <t>Henrico County Police Dept. - VA</t>
  </si>
  <si>
    <t>Kalamazoo Department of Public Safety - MI</t>
  </si>
  <si>
    <t>Pennsylvania DOC and Parole</t>
  </si>
  <si>
    <t>California State Univ (CSU campus) Police - Long Beach</t>
  </si>
  <si>
    <t>South Dakota Highway Patrol - SD</t>
  </si>
  <si>
    <t>Indianapolis Metro Police Dept. - IN</t>
  </si>
  <si>
    <t>Harrisonville Police Department - MO</t>
  </si>
  <si>
    <t>Sherman Police Dept. - IL</t>
  </si>
  <si>
    <t>Iberville Parish Sheriff's Office - LA</t>
  </si>
  <si>
    <t>Melissa Police Dept. - TX</t>
  </si>
  <si>
    <t>Flagstaff Police Dept. - AZ</t>
  </si>
  <si>
    <t>Stallings Police Department - NC</t>
  </si>
  <si>
    <t>BR DF PRF Pol√≠cia Rodovi√°ria Federal</t>
  </si>
  <si>
    <t>Glynn County School Police Department - GA</t>
  </si>
  <si>
    <t>East Bay Regional Park Police Dept. - CA</t>
  </si>
  <si>
    <t>Madison County Sheriffs Office - IL</t>
  </si>
  <si>
    <t>Shaler Township Police Dept. - PA</t>
  </si>
  <si>
    <t>Muskogee County Sheriff's Office - OK</t>
  </si>
  <si>
    <t>Margate Police Dept. - FL</t>
  </si>
  <si>
    <t>Champaign County Sheriff's Office - IL</t>
  </si>
  <si>
    <t>Evans Police Department - CO</t>
  </si>
  <si>
    <t>San Rafael Police Dept. - CA</t>
  </si>
  <si>
    <t>Syracuse Regional Airport Authority Police Department</t>
  </si>
  <si>
    <t>Phoenix Police Dept. - AZ</t>
  </si>
  <si>
    <t>Ramsey Police Dept. - NJ</t>
  </si>
  <si>
    <t>Duquesne University Police Department - PA</t>
  </si>
  <si>
    <t>College of Policing</t>
  </si>
  <si>
    <t>UK0115453</t>
  </si>
  <si>
    <t>University of Colorado - Boulder - CO</t>
  </si>
  <si>
    <t>Bloomington Police Dept. - IN</t>
  </si>
  <si>
    <t>East Point Police Dept. - GA</t>
  </si>
  <si>
    <t>Morton Police Dept. - IL</t>
  </si>
  <si>
    <t>Breezy Point Police Dept. - MN</t>
  </si>
  <si>
    <t>Oneida County Sheriff's Office - NY</t>
  </si>
  <si>
    <t>New London Police Department - CT</t>
  </si>
  <si>
    <t>Hallsville Police Department - TX</t>
  </si>
  <si>
    <t>Wright State University Police Dept. - OH</t>
  </si>
  <si>
    <t>Erie School District Police Dept - PA</t>
  </si>
  <si>
    <t>Village Of Montgomery Police - NY</t>
  </si>
  <si>
    <t>Newport Police Department- DE</t>
  </si>
  <si>
    <t>Virginia Department of Corrections - VA</t>
  </si>
  <si>
    <t>Mesquite Police Department - NV</t>
  </si>
  <si>
    <t>Aurora Police Dept. - CO</t>
  </si>
  <si>
    <t>Stone Mountain Park Dept. of Public Safety - GA</t>
  </si>
  <si>
    <t>Ocoee Police Dept. - FL</t>
  </si>
  <si>
    <t>Aitkin Police Department-MN</t>
  </si>
  <si>
    <t>Volusia Sheriff's Office - FL</t>
  </si>
  <si>
    <t>Burlington Police Dept. - VT</t>
  </si>
  <si>
    <t>West Lake Hills Police Dept. - TX</t>
  </si>
  <si>
    <t>Florence County Sheriff's Office - SC</t>
  </si>
  <si>
    <t>Artesia Police Dept. - NM</t>
  </si>
  <si>
    <t>Richmond Police Dept. - CA</t>
  </si>
  <si>
    <t>Eagan Police Dept. - MN</t>
  </si>
  <si>
    <t>Birmingham Police Dept. - MI</t>
  </si>
  <si>
    <t>San Francisco County Sheriff's Dept. - CA</t>
  </si>
  <si>
    <t>Monmouth County Sheriff's Office - NJ</t>
  </si>
  <si>
    <t>Lower Gwynedd Twp Police Dept - PA</t>
  </si>
  <si>
    <t>Elwood Police Dept. - IL</t>
  </si>
  <si>
    <t>Putnam County Sheriff's Office - NY</t>
  </si>
  <si>
    <t>Divide County Sheriff's Office - ND</t>
  </si>
  <si>
    <t>Cheektowaga Police Dept - NY</t>
  </si>
  <si>
    <t>Greenville Police Dept. - SC</t>
  </si>
  <si>
    <t>Oak Brook Police Dept. - IL</t>
  </si>
  <si>
    <t>San Joaquin County Sheriff's Office - CA</t>
  </si>
  <si>
    <t>Laconia Police Dept. - NH</t>
  </si>
  <si>
    <t>South Carolina State University - SC</t>
  </si>
  <si>
    <t>Rialto Police Dept. - CA</t>
  </si>
  <si>
    <t>Louisville Police Department - CO</t>
  </si>
  <si>
    <t>Medina Police Dept. - MN</t>
  </si>
  <si>
    <t>Shawnee County Sheriff's Office - KS</t>
  </si>
  <si>
    <t>Hanford Police Dept. - CA</t>
  </si>
  <si>
    <t>Dothan Police Department - AL</t>
  </si>
  <si>
    <t>San Benito County Sheriff's Office - CA</t>
  </si>
  <si>
    <t>Sullivan's Island Police Dept - SC</t>
  </si>
  <si>
    <t>Texas Christian University Police Dept. - TX</t>
  </si>
  <si>
    <t>FINNEY COUNTY SHERIFF'S OFFICE- KS</t>
  </si>
  <si>
    <t>Williamsport Police Dept - PA</t>
  </si>
  <si>
    <t>Madison Police Department - IL</t>
  </si>
  <si>
    <t>Buckley Police Dept. - WA</t>
  </si>
  <si>
    <t>Town of Mead Police Department - CO</t>
  </si>
  <si>
    <t>Napa County Sheriff's Office - CA</t>
  </si>
  <si>
    <t>Hardeeville Police Department - SC</t>
  </si>
  <si>
    <t>Randall County Sheriff's Office - TX</t>
  </si>
  <si>
    <t>Spokane County Sheriff's Office - WA</t>
  </si>
  <si>
    <t>PR Policia de Puerto Rico</t>
  </si>
  <si>
    <t>Clinton County Sheriff's Office - NY</t>
  </si>
  <si>
    <t>Kearney Police Dept. - NE</t>
  </si>
  <si>
    <t>Anne Arundel County Police Dept. - MD</t>
  </si>
  <si>
    <t>Ferguson Police Dept. - MO</t>
  </si>
  <si>
    <t>Hesperia Recreation &amp; Park District Rangers - CA</t>
  </si>
  <si>
    <t>Tell City Police Dept - IN</t>
  </si>
  <si>
    <t>West Lampeter Township Police Dept - PA</t>
  </si>
  <si>
    <t>Frederick Police Department - CO</t>
  </si>
  <si>
    <t>Cuyahoga County Sheriff's Office - OH</t>
  </si>
  <si>
    <t>Rosemont Department of Public Safety - IL</t>
  </si>
  <si>
    <t>Kalamazoo County Sheriff's Office - MI</t>
  </si>
  <si>
    <t>Ventura County Sheriff's Office - CA</t>
  </si>
  <si>
    <t>El Centro Police Dept. - CA</t>
  </si>
  <si>
    <t>Hampton University Police Dept. - VA</t>
  </si>
  <si>
    <t>CADDO PARISH SHERIFF'S OFFICE - LA</t>
  </si>
  <si>
    <t>Hendry County Sheriff's Office - FL</t>
  </si>
  <si>
    <t>DEPT. OF HOMELESS SERVICES POLICE DEPT. - NY</t>
  </si>
  <si>
    <t>Ward County Sheriff's Office - TX</t>
  </si>
  <si>
    <t>El Dorado County Probation Dept. - CA</t>
  </si>
  <si>
    <t>Shafter Police Dept. - CA</t>
  </si>
  <si>
    <t>Sullivan Police Department - MO</t>
  </si>
  <si>
    <t>Surfside Police Dept.- FL</t>
  </si>
  <si>
    <t>Hailey Police Department - ID</t>
  </si>
  <si>
    <t>Tuscaloosa County Sheriff's Office - AL</t>
  </si>
  <si>
    <t>Wilmer Police Dept. - TX</t>
  </si>
  <si>
    <t>San Mateo Police Dept. - CA</t>
  </si>
  <si>
    <t>Orleans Parish Sheriff's Dept. - LA</t>
  </si>
  <si>
    <t>Port St. Lucie Police Dept - FL</t>
  </si>
  <si>
    <t>Johns Hopkins University Police Dept. - MD</t>
  </si>
  <si>
    <t>Winthrop Police Dept - MN</t>
  </si>
  <si>
    <t>Genoa Police Dept. - IL</t>
  </si>
  <si>
    <t>Greeley Police Dept. - CO</t>
  </si>
  <si>
    <t>University of Illinois PD at Urbana-Champaign</t>
  </si>
  <si>
    <t>Stowe Township Police Department - PA</t>
  </si>
  <si>
    <t>Metra Police Department - IL</t>
  </si>
  <si>
    <t>Rockdale Police Dept. - IL</t>
  </si>
  <si>
    <t>Tonkawa Police Dept.</t>
  </si>
  <si>
    <t>Missoula Police Dept. - MT</t>
  </si>
  <si>
    <t>Mashpee Wampanoag Police Dept. - MA</t>
  </si>
  <si>
    <t>Orange County Sheriff's Office - FL</t>
  </si>
  <si>
    <t>Oswego City Police Dept. - NY</t>
  </si>
  <si>
    <t>Erie Police Dept. - PA</t>
  </si>
  <si>
    <t>York City School Police Dept - PA</t>
  </si>
  <si>
    <t>Fremont County Sheriff's Office - ID</t>
  </si>
  <si>
    <t>Monahans Police Dept. - TX</t>
  </si>
  <si>
    <t>Delaware State Fire Marshal's Office</t>
  </si>
  <si>
    <t>California State University Police - East Bay</t>
  </si>
  <si>
    <t>Sonoma State Univ Police Dept. (CSU campus)- CA</t>
  </si>
  <si>
    <t>Forest Preserves of Cook County Police Dept. - IL</t>
  </si>
  <si>
    <t>Moody County Sheriff's Office - SD</t>
  </si>
  <si>
    <t>Pulaski County Sheriff's Dept. - IL</t>
  </si>
  <si>
    <t>Hurricane Police Department - UT</t>
  </si>
  <si>
    <t>Miami Beach Police Dept. - FL</t>
  </si>
  <si>
    <t>FARMER CITY POLICE DEPT - IL</t>
  </si>
  <si>
    <t>Coloma Township Police Department - MI</t>
  </si>
  <si>
    <t>Asotin County Sheriff's Office-WA</t>
  </si>
  <si>
    <t>Hampton Police Dept. - GA</t>
  </si>
  <si>
    <t>Tracy Police Dept. - CA</t>
  </si>
  <si>
    <t>Duck Police Dept. - NC</t>
  </si>
  <si>
    <t>San Jose State Univ, (CSU campus) - CA</t>
  </si>
  <si>
    <t>Clarksville Police Dept - IN</t>
  </si>
  <si>
    <t>Bernalillo County Sheriff's Dept. - NM</t>
  </si>
  <si>
    <t>Blount County Sheriffs Office - TN</t>
  </si>
  <si>
    <t>City of Rock Hill Police Dept - SC</t>
  </si>
  <si>
    <t>Bradley County Sheriff's Office - TN</t>
  </si>
  <si>
    <t>Hopewell City Sheriff's Office - VA</t>
  </si>
  <si>
    <t>Bethalto Police Dept. - IL</t>
  </si>
  <si>
    <t>Moab City Police Dept. - UT</t>
  </si>
  <si>
    <t>Prairie Village Police Department - KS</t>
  </si>
  <si>
    <t>Georgetown Police Department - IL</t>
  </si>
  <si>
    <t>CapMetro Transit Police Dept - TX</t>
  </si>
  <si>
    <t>Elk Grove Village Police Dept. - IL</t>
  </si>
  <si>
    <t>Germantown Police Department - WI</t>
  </si>
  <si>
    <t>Davie Police Dept - FL</t>
  </si>
  <si>
    <t>Minnesota State Patrol - MN</t>
  </si>
  <si>
    <t>Downingtown Police Dept - PA</t>
  </si>
  <si>
    <t>Smyrna Police Dept. - DE</t>
  </si>
  <si>
    <t>Chaffee County Sheriff's Office - CO</t>
  </si>
  <si>
    <t>Indian River County Sheriff's Office - FL</t>
  </si>
  <si>
    <t>Neptune Township Police Dept - NJ</t>
  </si>
  <si>
    <t>Old Town Police Dept. - ME</t>
  </si>
  <si>
    <t>Maumee Police Division - OH</t>
  </si>
  <si>
    <t>Lake Hamilton Police Dept.- FL</t>
  </si>
  <si>
    <t>Sacramento County Sheriff's Dept. - CA</t>
  </si>
  <si>
    <t>Jasper County Sheriff's Office - SC</t>
  </si>
  <si>
    <t>Bannockburn Police Dept. - IL</t>
  </si>
  <si>
    <t>Middletown Police Dept. - CT</t>
  </si>
  <si>
    <t>Fresno County Sheriff's Office - CA</t>
  </si>
  <si>
    <t>Placentia Police Dept. - CA</t>
  </si>
  <si>
    <t>Madison Police Department - NE</t>
  </si>
  <si>
    <t>Seal Beach Police Dept. - CA</t>
  </si>
  <si>
    <t>Westminster Police Dept. - CA</t>
  </si>
  <si>
    <t>Knox County Sheriff's Office - TN</t>
  </si>
  <si>
    <t>Bellevue Police Dept. - WA</t>
  </si>
  <si>
    <t>Tarrant County College Police Academy - TX</t>
  </si>
  <si>
    <t>SLC Unified Police Dept. - UT</t>
  </si>
  <si>
    <t>LOUISIANA STATE PENITENTIARY</t>
  </si>
  <si>
    <t>Brunswick Police Department - GA</t>
  </si>
  <si>
    <t>Amber Police Department - OK</t>
  </si>
  <si>
    <t>Rye Brook Police Dept. - NY</t>
  </si>
  <si>
    <t>Liberty Hill Police Dept. - TX</t>
  </si>
  <si>
    <t>Alliance Police Dept - OH</t>
  </si>
  <si>
    <t>Orleans County Sheriff's Dept. - NY</t>
  </si>
  <si>
    <t>Boston University Police Dept - MA</t>
  </si>
  <si>
    <t>Bedford County Probation - PA</t>
  </si>
  <si>
    <t>St. Clair County Sheriff's Office - AL</t>
  </si>
  <si>
    <t>Fairfield Glade Police Dept. - TN</t>
  </si>
  <si>
    <t>University of Southern California DPS - CA</t>
  </si>
  <si>
    <t>Fairfield County Municipal Court - OH</t>
  </si>
  <si>
    <t>North Bay Village Police Dept. - FL</t>
  </si>
  <si>
    <t>Black Mountain Police Dept. - NC</t>
  </si>
  <si>
    <t>Ninety Six Police Dept. - SC</t>
  </si>
  <si>
    <t>Coconut Creek Police Dept - FL</t>
  </si>
  <si>
    <t>Clay Twp. Police Dept. - MI</t>
  </si>
  <si>
    <t>California Maritime Academy Police Dept. (CSU) - CA</t>
  </si>
  <si>
    <t>Ore City Police Dept. - TX</t>
  </si>
  <si>
    <t>St. Mary's County Sheriff's Office - MD</t>
  </si>
  <si>
    <t>Virginia Peninsula Regional Jail - VA</t>
  </si>
  <si>
    <t>Carteret County Sheriff's Office - NC</t>
  </si>
  <si>
    <t>San Marcos Police Dept. - TX</t>
  </si>
  <si>
    <t>Napa Police Dept. - CA</t>
  </si>
  <si>
    <t>New Harmony Police Dept. - IN</t>
  </si>
  <si>
    <t>Fredericton Police Force</t>
  </si>
  <si>
    <t>CA0115498</t>
  </si>
  <si>
    <t>Payson Police Department - AZ</t>
  </si>
  <si>
    <t>Belt Railway Police Dept. - IL</t>
  </si>
  <si>
    <t>Paradise Valley Police Dept. - AZ</t>
  </si>
  <si>
    <t>California State University Police - Stanislaus</t>
  </si>
  <si>
    <t>Orofino Police Dept - ID</t>
  </si>
  <si>
    <t>Glendale Police Dept. - AZ</t>
  </si>
  <si>
    <t>Kalkaska Police Department - MI</t>
  </si>
  <si>
    <t>Youngsville Police Dept. - LA</t>
  </si>
  <si>
    <t>Prescott Police Department - AZ</t>
  </si>
  <si>
    <t>Town of Tonawanda Police Department - NY</t>
  </si>
  <si>
    <t>Mauston Police Department - WI</t>
  </si>
  <si>
    <t>California State University Police - Monterey Bay</t>
  </si>
  <si>
    <t>Hayward Police Dept. - CA</t>
  </si>
  <si>
    <t>San Francisco State Univ. (CSU campus) - CA</t>
  </si>
  <si>
    <t>Atlanta Technical College Police Dept.- GA</t>
  </si>
  <si>
    <t>Mountain Park Police Dept - OK</t>
  </si>
  <si>
    <t>Bensalem Township Police Dept. - PA</t>
  </si>
  <si>
    <t>California State Univ (CSU campus) Police - San Marcos</t>
  </si>
  <si>
    <t>Alachua Police Dept.- FL</t>
  </si>
  <si>
    <t>Brush Police Department - CO</t>
  </si>
  <si>
    <t>Grady County Sheriff - GA</t>
  </si>
  <si>
    <t>California State University Police - Fullerton</t>
  </si>
  <si>
    <t>Ontario Police Dept. - CA</t>
  </si>
  <si>
    <t>Vail Police Dept. - CO</t>
  </si>
  <si>
    <t>Clark County Sheriff's Office - WA</t>
  </si>
  <si>
    <t>Yuma Police Department - CO</t>
  </si>
  <si>
    <t>Miami Dade Sheriff Office - FL</t>
  </si>
  <si>
    <t>Sleepy Eye Police Dept - MN</t>
  </si>
  <si>
    <t>Do√±a Ana County Sheriff's Dept. - NM</t>
  </si>
  <si>
    <t>Mountain View Police Dept. - CA</t>
  </si>
  <si>
    <t>Washtenaw County Sheriff's Office - MI</t>
  </si>
  <si>
    <t>Lathrop Police Department - CA</t>
  </si>
  <si>
    <t>Vass Police Dept. - NC</t>
  </si>
  <si>
    <t>Braselton Police Dept. - GA</t>
  </si>
  <si>
    <t>Shelby County Sheriff's Office - TN</t>
  </si>
  <si>
    <t>Middletown Police Dept. - RI</t>
  </si>
  <si>
    <t>Roy City Police Dept. - UT</t>
  </si>
  <si>
    <t>Merced County Sheriff's Dept. - HQ</t>
  </si>
  <si>
    <t>California Poly State Univ Police (CSU campus) - Pomona</t>
  </si>
  <si>
    <t>Mount Vernon Municipal Court - OH</t>
  </si>
  <si>
    <t>Shiloh Police Dept. - IL</t>
  </si>
  <si>
    <t>Seligman Police Department - MO</t>
  </si>
  <si>
    <t>Crawford County Sheriff's Office - KS</t>
  </si>
  <si>
    <t>Flagler Beach Police Dept. - FL</t>
  </si>
  <si>
    <t>Middletown Police Dept. - DE</t>
  </si>
  <si>
    <t>Melrose Park Police Dept.- IL</t>
  </si>
  <si>
    <t>THE PORT AUTHORITY OF NEW YORK / NEW JERSEY</t>
  </si>
  <si>
    <t>Brentwood Borough Police Dept. - PA</t>
  </si>
  <si>
    <t>Smith County Constable Precinct 5 - TX</t>
  </si>
  <si>
    <t>Surprise Police Dept. - AZ</t>
  </si>
  <si>
    <t>Greenburgh Police Dept. - NY</t>
  </si>
  <si>
    <t>Ridgefield Police Department - WA</t>
  </si>
  <si>
    <t>Rio Arriba County Sheriff's Office - NM</t>
  </si>
  <si>
    <t>Cotter Police Dept. - AR</t>
  </si>
  <si>
    <t>Mandeville Police Dept. - LA</t>
  </si>
  <si>
    <t>Oscoda Township Police Department - MI</t>
  </si>
  <si>
    <t>Highfill Police Department - AR</t>
  </si>
  <si>
    <t>Saint Croix Falls Police Department - WI</t>
  </si>
  <si>
    <t>Hammond Police Dept. - IN</t>
  </si>
  <si>
    <t>Birmingham Police Dept. - AL</t>
  </si>
  <si>
    <t>Webb County Sheriff's Office - TX</t>
  </si>
  <si>
    <t>Ottawa Police Dept. - IL</t>
  </si>
  <si>
    <t>Louisville Metro Police Department</t>
  </si>
  <si>
    <t>Winchester Police Department - KY</t>
  </si>
  <si>
    <t>Modesto Police Dept. - CA</t>
  </si>
  <si>
    <t>Norfolk Police Dept. - VA</t>
  </si>
  <si>
    <t>Niagara Falls Police Dept - NY</t>
  </si>
  <si>
    <t>Trousdale County Sheriff's Office - TN</t>
  </si>
  <si>
    <t>Escalon Police Dept. - CA</t>
  </si>
  <si>
    <t>Golden West College Criminal Justice - Training Center</t>
  </si>
  <si>
    <t>Sunset Police Dept. - UT</t>
  </si>
  <si>
    <t>Fruitland Park Police Dept.-FL</t>
  </si>
  <si>
    <t>Medina Police Dept.- WA</t>
  </si>
  <si>
    <t>Hillsboro Beach Police Dept.-FL</t>
  </si>
  <si>
    <t>Columbia Heights Police Department - MN</t>
  </si>
  <si>
    <t>German Valley Police Department</t>
  </si>
  <si>
    <t>Conrad Police Dept. - MT</t>
  </si>
  <si>
    <t>Justin Police Dept. - TX</t>
  </si>
  <si>
    <t>Gainesville Police Dept. -FL</t>
  </si>
  <si>
    <t>Mount Horeb Police Department</t>
  </si>
  <si>
    <t>Rhode Island Department of Corrections - RI</t>
  </si>
  <si>
    <t>National Police (Politie Uitrusting) SEG</t>
  </si>
  <si>
    <t>SE0116533</t>
  </si>
  <si>
    <t>Bundespolizeipraesidium</t>
  </si>
  <si>
    <t>SE0115985</t>
  </si>
  <si>
    <t>Framingham Police Department - MA</t>
  </si>
  <si>
    <t>Haskell County Sheriff's Office - TX</t>
  </si>
  <si>
    <t>Orange Police Dept. - MA</t>
  </si>
  <si>
    <t>Okawville Police Dept. - IL</t>
  </si>
  <si>
    <t>California State University Police - Northridge</t>
  </si>
  <si>
    <t>Greenfield Police Dept. - CA</t>
  </si>
  <si>
    <t>California State University Police - Bakersfield</t>
  </si>
  <si>
    <t>Moniteau County Sheriff's Dept. - MO</t>
  </si>
  <si>
    <t>Canton Police Dept. - GA</t>
  </si>
  <si>
    <t>Tilden Twp Police Dept. - PA</t>
  </si>
  <si>
    <t>Douglas County Sheriff - IL</t>
  </si>
  <si>
    <t>Tulsa County Sheriff's Office - OK</t>
  </si>
  <si>
    <t>Albany County Sheriff's Office - NY</t>
  </si>
  <si>
    <t>Brighton Police Department - CO</t>
  </si>
  <si>
    <t>Winnfield Police Dept. - LA</t>
  </si>
  <si>
    <t>Chesapeake Bay Bridge-Tunnel Police Dept. - VA</t>
  </si>
  <si>
    <t>California State University Police - Sacramento</t>
  </si>
  <si>
    <t>James Madison University Police Dept. - VA</t>
  </si>
  <si>
    <t>Federal Way Police Dept. - WA</t>
  </si>
  <si>
    <t>San Mateo County Sheriff's Office - HQ</t>
  </si>
  <si>
    <t>Santa Fe Police Dept. - NM</t>
  </si>
  <si>
    <t>Rawlins County Sheriff Office - KS</t>
  </si>
  <si>
    <t>Carmel Police Department - IN</t>
  </si>
  <si>
    <t>Lower Saucon Police Dept. - PA</t>
  </si>
  <si>
    <t>Richmond County Sheriff's Office - GA</t>
  </si>
  <si>
    <t>Atwater Police Dept. - CA</t>
  </si>
  <si>
    <t>Independence Police Department - MO</t>
  </si>
  <si>
    <t>Fenwick Island Police Dept. - DE</t>
  </si>
  <si>
    <t>Early County Sheriff Office - GA</t>
  </si>
  <si>
    <t>Muscogee County Sheriff's Office - GA</t>
  </si>
  <si>
    <t>Tennessee Highway Patrol - TN</t>
  </si>
  <si>
    <t>Marshall Police Dept. - MO</t>
  </si>
  <si>
    <t>Yoakum County Sheriff's Office - TX</t>
  </si>
  <si>
    <t>San Diego State Univ. PD CSU campus - CA</t>
  </si>
  <si>
    <t>Inyo County Sheriff's Office - CA</t>
  </si>
  <si>
    <t>Farmington Hills Police Dept. - MI</t>
  </si>
  <si>
    <t>California State Polytechnic PD (CSU) SLO</t>
  </si>
  <si>
    <t>Crockett Police Dept. - TX</t>
  </si>
  <si>
    <t>California State University Police-San Bernardino</t>
  </si>
  <si>
    <t>California State University (CSU)  Police - Chico</t>
  </si>
  <si>
    <t>Cleveland Police Dept. - OH</t>
  </si>
  <si>
    <t>Pine Plains Police Dept - NY</t>
  </si>
  <si>
    <t>California State University Police - Los Angeles</t>
  </si>
  <si>
    <t>University of Illinois at Chicago Police Dept.</t>
  </si>
  <si>
    <t>California State University Police - Dominguez Hills</t>
  </si>
  <si>
    <t>Inman Police Dept. - SC</t>
  </si>
  <si>
    <t>Harahan Police Department - LA</t>
  </si>
  <si>
    <t>California State University Police-Channel Islands</t>
  </si>
  <si>
    <t>DuBois City Police Department - PA</t>
  </si>
  <si>
    <t>Markle Police Dept. - IN</t>
  </si>
  <si>
    <t>Town of Carmel Police Department - NY</t>
  </si>
  <si>
    <t>Eastville Police Department - VA</t>
  </si>
  <si>
    <t>Village Of North Syracuse Police - NY</t>
  </si>
  <si>
    <t>Humboldt State University Police Dept (CSU). - CA</t>
  </si>
  <si>
    <t>Corona Police Dept. - CA</t>
  </si>
  <si>
    <t>Savannah Airport Commission Police - GA</t>
  </si>
  <si>
    <t>Doral Police Dept. - FL</t>
  </si>
  <si>
    <t>Ripon Police Dept. - CA</t>
  </si>
  <si>
    <t>Glenn Heights Police Dept. - TX</t>
  </si>
  <si>
    <t>Bolivar Police Dept. - OH</t>
  </si>
  <si>
    <t>Fernandina Beach Police Dept. - FL</t>
  </si>
  <si>
    <t>Galveston County Constable Pct. 1 - TX</t>
  </si>
  <si>
    <t>Glen Park Police Dept. - NY</t>
  </si>
  <si>
    <t>Grundy Center Police Dept. - IA</t>
  </si>
  <si>
    <t>Kanab Police Department - UT</t>
  </si>
  <si>
    <t>Pennington Gap Police Dept. - VA</t>
  </si>
  <si>
    <t>Pulaski County Sheriff Office - GA</t>
  </si>
  <si>
    <t>Bangor Police Dept - PA</t>
  </si>
  <si>
    <t>Corydon Police Dept - IN</t>
  </si>
  <si>
    <t>Covina Police Department - CA</t>
  </si>
  <si>
    <t>Farmville Police Dept. - VA</t>
  </si>
  <si>
    <t>Jonesville Police Dept. - LA</t>
  </si>
  <si>
    <t>Kane County Sheriff's Office - UT</t>
  </si>
  <si>
    <t>Lebanon Junction Police Dept.</t>
  </si>
  <si>
    <t>Lyon County - Third Judicial District Court - NV</t>
  </si>
  <si>
    <t>Texas Parks and Wildlife Dept. - TX</t>
  </si>
  <si>
    <t>Chambers County Constable Pct. 5 - TX</t>
  </si>
  <si>
    <t>North Palm Beach Police Department - FL</t>
  </si>
  <si>
    <t>Stonington Police Dept. - IL</t>
  </si>
  <si>
    <t>Wayne City Police Dept. - IL</t>
  </si>
  <si>
    <t>Wilkinsburg Police Dept - PA</t>
  </si>
  <si>
    <t>Tennessee State Constables</t>
  </si>
  <si>
    <t>Town of Tyringham PD</t>
  </si>
  <si>
    <t>Viborg Police Dept. - SD</t>
  </si>
  <si>
    <t>Wharton County Constable Pct. 3</t>
  </si>
  <si>
    <t>Fairmount Police Dept. - IL</t>
  </si>
  <si>
    <t>Mills County Sheriff's Dept. - TX</t>
  </si>
  <si>
    <t>Ozawkie Police Department-KS</t>
  </si>
  <si>
    <t>Springfield Police Department - MN</t>
  </si>
  <si>
    <t>Northvale Police Dept. - NJ</t>
  </si>
  <si>
    <t>Long Hill Police Dept. - NJ</t>
  </si>
  <si>
    <t>Moore County Sheriff's Office - NC</t>
  </si>
  <si>
    <t>Scottsbluff Police Dept. - NE</t>
  </si>
  <si>
    <t>Winchester Police Dept. - NH</t>
  </si>
  <si>
    <t>Zapata County Juvenile Probation Dept. - TX</t>
  </si>
  <si>
    <t>Allegheny Township Police Department - PA</t>
  </si>
  <si>
    <t>Beardstown Police Dept. - IL</t>
  </si>
  <si>
    <t>Corson County Sheriff's Office - SD</t>
  </si>
  <si>
    <t>Dewitt Police Dept.- MI</t>
  </si>
  <si>
    <t>Duval County Sheriff's Office - TX</t>
  </si>
  <si>
    <t>Fox Valley Technical College - WI</t>
  </si>
  <si>
    <t>Harvard Police Department - NE</t>
  </si>
  <si>
    <t>Heber City Police Department - UT</t>
  </si>
  <si>
    <t>Jackson County Sheriff's Office - GA</t>
  </si>
  <si>
    <t>NEW HAVEN POLICE DEPT. - MO</t>
  </si>
  <si>
    <t>Riverton Police Department - WY</t>
  </si>
  <si>
    <t>Shalimar Police Dept - FL</t>
  </si>
  <si>
    <t>Concord Police Dept. - MA</t>
  </si>
  <si>
    <t>Madison County Sheriff's Dept. - MS</t>
  </si>
  <si>
    <t>Pendleton Police Department - SC</t>
  </si>
  <si>
    <t>Bridgeport Police Dept. - IL</t>
  </si>
  <si>
    <t>Morro Bay Police Dept. - CA</t>
  </si>
  <si>
    <t>Adrian Police Department MN</t>
  </si>
  <si>
    <t>Blanco County Constable Pct 1 - TX</t>
  </si>
  <si>
    <t>Linn County Parole and Probation - OR</t>
  </si>
  <si>
    <t>Campbell County Sheriff's Office - SD</t>
  </si>
  <si>
    <t>Richmond Police Dept. - TX</t>
  </si>
  <si>
    <t>Valley Police Department - NE</t>
  </si>
  <si>
    <t>Amador County Sheriff's Office - CA</t>
  </si>
  <si>
    <t>Blanco County Constable Pct. 4 - TX</t>
  </si>
  <si>
    <t>Clark County Sheriff's Office - SD</t>
  </si>
  <si>
    <t>Jackson County Sheriff's Dept. - SD</t>
  </si>
  <si>
    <t>Lennon Police Dept. - MI</t>
  </si>
  <si>
    <t>Somervell County Sheriff's Office - TX</t>
  </si>
  <si>
    <t>Beaumont Police Dept. - CA</t>
  </si>
  <si>
    <t>Houston County Sheriff's Office - GA</t>
  </si>
  <si>
    <t>Pittsylvania County Sheriff's Office - VA</t>
  </si>
  <si>
    <t>Alamance County Sheriff's Office - NC</t>
  </si>
  <si>
    <t>Faulk County Sheriff's Office - SD</t>
  </si>
  <si>
    <t>Orono Police Dept. - ME</t>
  </si>
  <si>
    <t>Canaan Police Dept. - NH</t>
  </si>
  <si>
    <t>Hollywood Police Dept. - AL</t>
  </si>
  <si>
    <t>Morenci Police Dept. - MI</t>
  </si>
  <si>
    <t>Pima Community College Dept. of Public Safety - AZ</t>
  </si>
  <si>
    <t>Sheridan County Sheriff's Office - NE</t>
  </si>
  <si>
    <t>Brockway Borough Police Dept.</t>
  </si>
  <si>
    <t>Lamar Police Dept. - SC</t>
  </si>
  <si>
    <t>Village Of Boonville Police Dept. - NY</t>
  </si>
  <si>
    <t>Bonney Lake Police Dept. - WA</t>
  </si>
  <si>
    <t>Maple Shade Police Dept - NJ</t>
  </si>
  <si>
    <t>La Grande Police Dept. - OR</t>
  </si>
  <si>
    <t>PE Municipalidad de Lima</t>
  </si>
  <si>
    <t>Thurston County Sheriff's Office - WA</t>
  </si>
  <si>
    <t>Towamencin Township Police Dept - PA</t>
  </si>
  <si>
    <t>Virginia Police Dept. - MN</t>
  </si>
  <si>
    <t>Berthold Police Dept. - ND</t>
  </si>
  <si>
    <t>Dickey County Sheriff's Dept. -ND</t>
  </si>
  <si>
    <t>Gallatin Police Dept - TN</t>
  </si>
  <si>
    <t>Hattiesburg Police Dept. - MS</t>
  </si>
  <si>
    <t>Morehead City Police Dept - NC</t>
  </si>
  <si>
    <t>Beech Mountain Police Dept. - NC</t>
  </si>
  <si>
    <t>Belleville Police Department - KS</t>
  </si>
  <si>
    <t>Mineral County Sheriff's Dept. - WV</t>
  </si>
  <si>
    <t>South Portland Police Dept - ME</t>
  </si>
  <si>
    <t>Alpharetta Dept. Of Public Safety - GA</t>
  </si>
  <si>
    <t>Beachwood Police Dept. - OH</t>
  </si>
  <si>
    <t>East Carbon Police Dept. - UT</t>
  </si>
  <si>
    <t>Hydro Police Dept. - OK</t>
  </si>
  <si>
    <t>Tualatin Police Dept. - OR</t>
  </si>
  <si>
    <t>Bee County Sheriff's Office - TX</t>
  </si>
  <si>
    <t>New Mexico Department of Corrections - NM</t>
  </si>
  <si>
    <t>Oak Ridge Police Dept. - TX</t>
  </si>
  <si>
    <t>Smith County Constable Pct 3</t>
  </si>
  <si>
    <t>Terminal Railroad Police Dept. -MO</t>
  </si>
  <si>
    <t>Glade Springs Police Dept. - VA</t>
  </si>
  <si>
    <t>MARYSVILLE POLICE DEPT. - MI</t>
  </si>
  <si>
    <t>Orangeburg County Sheriff's Office - SC</t>
  </si>
  <si>
    <t>Tower Grove Park - MO</t>
  </si>
  <si>
    <t>Utica Police Department - MI</t>
  </si>
  <si>
    <t>White Castle Police Department - LA</t>
  </si>
  <si>
    <t>Phillips County Sheriff's Office - CO</t>
  </si>
  <si>
    <t>Sedona Police Dept. - AZ</t>
  </si>
  <si>
    <t>Leachville Police Department - AR</t>
  </si>
  <si>
    <t>New Marlborough Police Dept. - MA</t>
  </si>
  <si>
    <t>Owyhee County Sheriff's Office - ID</t>
  </si>
  <si>
    <t>Office of Sheriff of New South Wales</t>
  </si>
  <si>
    <t>AU0115817</t>
  </si>
  <si>
    <t>Raisin Township Police Dept. - MI</t>
  </si>
  <si>
    <t>Clermont Police Dept.- FL</t>
  </si>
  <si>
    <t>Coulee Dam Police Dept. - WA</t>
  </si>
  <si>
    <t>Woods County Sheriff's Office - OK</t>
  </si>
  <si>
    <t>Bennington Police Department - NE</t>
  </si>
  <si>
    <t>Des Arc Police Dept. - AR</t>
  </si>
  <si>
    <t>Glenwood Police Department-MN-</t>
  </si>
  <si>
    <t>Roane County Sheriff's Office - TN</t>
  </si>
  <si>
    <t>Wolf Point Police Department - MT</t>
  </si>
  <si>
    <t>Brewster Police Dept. - WA</t>
  </si>
  <si>
    <t>Cumberland Police Department - KY</t>
  </si>
  <si>
    <t>Lyon County Sheriff's Office - NV</t>
  </si>
  <si>
    <t>Oakes Police Department - ND</t>
  </si>
  <si>
    <t>Trenton Police Dept. - MI</t>
  </si>
  <si>
    <t>Blackville Police Dept- SC</t>
  </si>
  <si>
    <t>Walton Police Dept. - NY</t>
  </si>
  <si>
    <t>Fayette County Constable Office District 3- KY</t>
  </si>
  <si>
    <t>Town of Narrows Police Dept. - VA</t>
  </si>
  <si>
    <t>Williamson Police Dept. - WV</t>
  </si>
  <si>
    <t>Dimmitt Police Dept. - TX</t>
  </si>
  <si>
    <t>Dunstable Police Dept - MA</t>
  </si>
  <si>
    <t>Clinton Police Department - MO</t>
  </si>
  <si>
    <t>Commercial Point Police Dept - OH</t>
  </si>
  <si>
    <t>CAVALIER COUNTY SHERIFF'S DEPT.-ND</t>
  </si>
  <si>
    <t>Lovelock Police Dept. - NV</t>
  </si>
  <si>
    <t>Gulf County Sheriff-FL</t>
  </si>
  <si>
    <t>Ransom County Sheriff's Office - ND</t>
  </si>
  <si>
    <t>Phelps County Sheriff's Office - NE</t>
  </si>
  <si>
    <t>Scottsville Police Dept. - VA</t>
  </si>
  <si>
    <t>VICKSBURG POLICE DEPT. - MI</t>
  </si>
  <si>
    <t>Hallettsville Police Dept. - TX</t>
  </si>
  <si>
    <t>Lake Placid Police Dept. - NY</t>
  </si>
  <si>
    <t>Bethlehem Police Dept. - NH</t>
  </si>
  <si>
    <t>Hochatown Police Department - OK</t>
  </si>
  <si>
    <t>MN DPS - Alcohol and Gambling Division - MN</t>
  </si>
  <si>
    <t>Bowman Police Dept. - ND</t>
  </si>
  <si>
    <t>City of Killdeer Police Department - ND</t>
  </si>
  <si>
    <t>Port of Beaumont Police Dept. - TX</t>
  </si>
  <si>
    <t>Saint Anthony Police Department - ID</t>
  </si>
  <si>
    <t>Caro Police Department - MI</t>
  </si>
  <si>
    <t>Deephaven Police Dept - MN</t>
  </si>
  <si>
    <t>Hinton Police Dept - OK</t>
  </si>
  <si>
    <t>Hogansville Police Dept.-GA</t>
  </si>
  <si>
    <t>Monterey County Parks Dept. - CA</t>
  </si>
  <si>
    <t>Spencer Police Dept. - WV</t>
  </si>
  <si>
    <t>Washington County Sheriff's Office - VT</t>
  </si>
  <si>
    <t>Windsor Police Dept. - VA</t>
  </si>
  <si>
    <t>Iowa City Police Dept. - IA</t>
  </si>
  <si>
    <t>Rutland Town Police Department - VT</t>
  </si>
  <si>
    <t>Wilmington Police Dept. - VT</t>
  </si>
  <si>
    <t>Abington Police Dept - MA</t>
  </si>
  <si>
    <t>Coeur d'Alene Police Dept. - ID</t>
  </si>
  <si>
    <t>Shiner Police Dept. - TX</t>
  </si>
  <si>
    <t>Spanish Fort Police Dept. - AL</t>
  </si>
  <si>
    <t>Shawnee County Park Police - KS</t>
  </si>
  <si>
    <t>Waukon Police Dept. - IA</t>
  </si>
  <si>
    <t>Buchanan Police Dept - MI</t>
  </si>
  <si>
    <t>Crafton Police Dept. - PA</t>
  </si>
  <si>
    <t>Camden County Sheriff's Office - NC</t>
  </si>
  <si>
    <t>Covert Township Police Department</t>
  </si>
  <si>
    <t>Fremont Police Department - MI</t>
  </si>
  <si>
    <t>Mineral County Sheriff's Office - MT</t>
  </si>
  <si>
    <t>Woodworth Police Department - LA</t>
  </si>
  <si>
    <t>Dunnellon Police Dept.-FL</t>
  </si>
  <si>
    <t>Evergreen State College Police Dept - WA</t>
  </si>
  <si>
    <t>North Berwick Police Dept - ME</t>
  </si>
  <si>
    <t>Ocilla Police Dept.- GA</t>
  </si>
  <si>
    <t>DeWitt Police Department - IA</t>
  </si>
  <si>
    <t>Perham Police Dept. - MN</t>
  </si>
  <si>
    <t>Berwick Police Dept. - LA</t>
  </si>
  <si>
    <t>Dundee Police Department - MI</t>
  </si>
  <si>
    <t>Jackson Marshal's Office - LA</t>
  </si>
  <si>
    <t>Mercyhurst Police Dept. - PA</t>
  </si>
  <si>
    <t>New Town Police Department - ND</t>
  </si>
  <si>
    <t>North Sioux City Police Department - SD</t>
  </si>
  <si>
    <t>Selbyville Police Dept - DE</t>
  </si>
  <si>
    <t>Talbot County Sheriff Office - GA</t>
  </si>
  <si>
    <t>Thomas Township Police Dept.</t>
  </si>
  <si>
    <t>University Park Police Dept. - MD</t>
  </si>
  <si>
    <t>Greene County Sheriff's Office - NY</t>
  </si>
  <si>
    <t>Hudson Valley Community College DPS - NY</t>
  </si>
  <si>
    <t>Indiana County Jail - PA</t>
  </si>
  <si>
    <t>Philomath Police Dept. - OR</t>
  </si>
  <si>
    <t>Wheatland County Sheriff's Office - MT</t>
  </si>
  <si>
    <t>Bridgton Police Department - ME</t>
  </si>
  <si>
    <t>Columbus Metro Airport Police Department - GA</t>
  </si>
  <si>
    <t>Darlington County Sheriff's Office - SC</t>
  </si>
  <si>
    <t>Somerville Police Dept. - NJ</t>
  </si>
  <si>
    <t>Strafford County Sheriff's Office - NH</t>
  </si>
  <si>
    <t>Cochran County Sheriff's - TX</t>
  </si>
  <si>
    <t>Delphi Police Dept.-IN</t>
  </si>
  <si>
    <t>England Police Department - AR</t>
  </si>
  <si>
    <t>Franklin Lakes Police Dept. - NJ</t>
  </si>
  <si>
    <t>Fulton Police Dept. - IL</t>
  </si>
  <si>
    <t>Buxton Police Dept. - ME</t>
  </si>
  <si>
    <t>Cheswold Police Dept - DE</t>
  </si>
  <si>
    <t>Newport Police Dept. - NC</t>
  </si>
  <si>
    <t>Weaver Police Dept. - AL</t>
  </si>
  <si>
    <t>Roane County Sheriff's Office - WV</t>
  </si>
  <si>
    <t>Roosevelt Park Police Dept. - MI</t>
  </si>
  <si>
    <t>Sweet Grass County Sheriff's Office - MT</t>
  </si>
  <si>
    <t>Flora Police Dept. - MS</t>
  </si>
  <si>
    <t>Upper Moreland Township Police Dept - PA</t>
  </si>
  <si>
    <t>Manor ISD</t>
  </si>
  <si>
    <t>Denton County Fire Marshal’s Office - TX</t>
  </si>
  <si>
    <t>South Heidelberg Township PD - PA</t>
  </si>
  <si>
    <t>Allegheny Township Police Dept. - PA</t>
  </si>
  <si>
    <t>Spring Lake Park Police Dept. - MN</t>
  </si>
  <si>
    <t>Texas A&amp;M University - San Antonio</t>
  </si>
  <si>
    <t>Aledo Police Department - IL</t>
  </si>
  <si>
    <t>Hinsdale Police Dept. - NH</t>
  </si>
  <si>
    <t>Rocky Ford Police Department - CO</t>
  </si>
  <si>
    <t>Arma Police Department - KS</t>
  </si>
  <si>
    <t>Chester Police Department - NH</t>
  </si>
  <si>
    <t>Colorado City Police Dept. - AZ</t>
  </si>
  <si>
    <t>Jackson County Sheriff's Office - TX</t>
  </si>
  <si>
    <t>McLoud Police Dept. - OK</t>
  </si>
  <si>
    <t>Union County Sheriff's Office - SD</t>
  </si>
  <si>
    <t>Chase City Police Dept. - VA</t>
  </si>
  <si>
    <t>Chattahoochee Hills Police Dept. -GA</t>
  </si>
  <si>
    <t>Duncanville Police Dept. - TX</t>
  </si>
  <si>
    <t>Eatonton Police Dept.- GA</t>
  </si>
  <si>
    <t>Fruitport Township Police Department - MI</t>
  </si>
  <si>
    <t>Thornton Police Dept. - IL</t>
  </si>
  <si>
    <t>Upper Saddle River Police Dept. - NJ</t>
  </si>
  <si>
    <t>Delanco Township Police Dept. - NJ</t>
  </si>
  <si>
    <t>Bremer County Sheriff's Office - IA</t>
  </si>
  <si>
    <t>Haddon Township Police Dept. - NJ</t>
  </si>
  <si>
    <t>Brockport Police Dept. - NY</t>
  </si>
  <si>
    <t>Franklin County Sheriff's Office - ID</t>
  </si>
  <si>
    <t>Royston Police Dept - GA</t>
  </si>
  <si>
    <t>Washington County Sheriff's Office - CO</t>
  </si>
  <si>
    <t>Blackwell Police Department - OK</t>
  </si>
  <si>
    <t>Chickasaw County Sheriff's Office - MS</t>
  </si>
  <si>
    <t>Clarkdale Police Dept. - AZ</t>
  </si>
  <si>
    <t>Alcona County Sheriff's Office - MI</t>
  </si>
  <si>
    <t>Berkeley County Sheriff's Office - SC</t>
  </si>
  <si>
    <t>Codington County Sheriff's Office - SD</t>
  </si>
  <si>
    <t>Crockett County Sheriff's Office - TX</t>
  </si>
  <si>
    <t>Middleton Police Department - ID</t>
  </si>
  <si>
    <t>Nash Police Dept. - TX</t>
  </si>
  <si>
    <t>Spokane Airport Police Dept - WA</t>
  </si>
  <si>
    <t>Black Diamond Police Dept. - WA</t>
  </si>
  <si>
    <t>Fairfield Police Dept. - IL</t>
  </si>
  <si>
    <t>Sweet Home Police Dept. - OR</t>
  </si>
  <si>
    <t>Troutman Police Dept. - NC</t>
  </si>
  <si>
    <t>Watseka Police Dept. - IL</t>
  </si>
  <si>
    <t>Boardman Police Dept. - OR</t>
  </si>
  <si>
    <t>Franklin County Sheriff's Office - IA</t>
  </si>
  <si>
    <t>Wayne State University Police - MI</t>
  </si>
  <si>
    <t>Hidalgo County Sheriff's Office - NM</t>
  </si>
  <si>
    <t>Keene Police Dept. - NH</t>
  </si>
  <si>
    <t>Lonoke Police Department - AR</t>
  </si>
  <si>
    <t>Rock Valley College Police - IL</t>
  </si>
  <si>
    <t>Cleveland Police Department - GA</t>
  </si>
  <si>
    <t>Itawamba County Sheriff's Office - MS</t>
  </si>
  <si>
    <t>Ogdensburg Police Dept. - NY</t>
  </si>
  <si>
    <t>Orchard Park Town Police Dept. - NY</t>
  </si>
  <si>
    <t>West Greenwich Police Dept - RI</t>
  </si>
  <si>
    <t>Lancaster Police Dept - CA</t>
  </si>
  <si>
    <t>Russellville Police Dept. - AR</t>
  </si>
  <si>
    <t>Flatwoods Police Dept. - KY</t>
  </si>
  <si>
    <t>Brunswick Hills Police Dept. - OH</t>
  </si>
  <si>
    <t>Barrington Police Department - NH</t>
  </si>
  <si>
    <t>Ludington Police Department - MI</t>
  </si>
  <si>
    <t>Mattawa Police Dept. - WA</t>
  </si>
  <si>
    <t>Varnell Police Dept.- GA</t>
  </si>
  <si>
    <t>Granby Police Dept. - CT</t>
  </si>
  <si>
    <t>Mount Vernon Police Dept. - IN</t>
  </si>
  <si>
    <t>Topsham Police Department - ME</t>
  </si>
  <si>
    <t>Western Washington University Police Dept. - WA</t>
  </si>
  <si>
    <t>Brookfield Zoo Police Department - IL</t>
  </si>
  <si>
    <t>Dallas County Constable Pct. 5 - TX</t>
  </si>
  <si>
    <t>Nelsonville Police Dept - OH</t>
  </si>
  <si>
    <t>San Joaquin Delta College Police Dept. - CA</t>
  </si>
  <si>
    <t>Sutherlin Police Dept. - OR</t>
  </si>
  <si>
    <t>Winchendon Police Dept - MA</t>
  </si>
  <si>
    <t>Chickasaw County Sheriff's Office - IA</t>
  </si>
  <si>
    <t>Livermore Falls Police Dept. - ME</t>
  </si>
  <si>
    <t>Idaho State University Public Safety - Pocatello - ID</t>
  </si>
  <si>
    <t>Douglas County Parole &amp; Probation - OR</t>
  </si>
  <si>
    <t>Mascoutah Police Dept. - IL</t>
  </si>
  <si>
    <t>South Beloit Police Dept. - IL</t>
  </si>
  <si>
    <t>Mahnomen County Sheriff's Office - MN</t>
  </si>
  <si>
    <t>The Dalles Police Dept. - OR</t>
  </si>
  <si>
    <t>Elsmere Police Dept. - KY</t>
  </si>
  <si>
    <t>Sheridan Police Dept. - IN</t>
  </si>
  <si>
    <t>Upper Providence Township Police Dept. - PA</t>
  </si>
  <si>
    <t>Allen Police Dept. - TX</t>
  </si>
  <si>
    <t>Bartow Police Dept. - FL</t>
  </si>
  <si>
    <t>Bloomfield Police Dept. - NM</t>
  </si>
  <si>
    <t>Clayton County Sheriff's Office - IA</t>
  </si>
  <si>
    <t>Lake Alfred Police Dept. - FL</t>
  </si>
  <si>
    <t>Mammoth Lakes Police Dept. - CA</t>
  </si>
  <si>
    <t>North Mankato Police Department - MN</t>
  </si>
  <si>
    <t>Delaware County Park Police - PA</t>
  </si>
  <si>
    <t>Lee County Sheriff's Office - FL</t>
  </si>
  <si>
    <t>Katy Police Dept. - TX</t>
  </si>
  <si>
    <t>College Place Police Dept. - WA</t>
  </si>
  <si>
    <t>Seneca Falls Police Dept. - NY</t>
  </si>
  <si>
    <t>West Richland Police Dept. - WA</t>
  </si>
  <si>
    <t>Charlotte Police Dept. - MI</t>
  </si>
  <si>
    <t>Upper Darby Township Police Dept. - PA</t>
  </si>
  <si>
    <t>Metropolis Police Dept. - IL</t>
  </si>
  <si>
    <t>Booneville Police Dept - MS</t>
  </si>
  <si>
    <t>Burkburnett Police Department - TX</t>
  </si>
  <si>
    <t>MARION COUNTY SHERIFF'S DEPT - AL</t>
  </si>
  <si>
    <t>North Adams Police Dept. - MA</t>
  </si>
  <si>
    <t>Smith County Sheriff's Dept. - MS</t>
  </si>
  <si>
    <t>Allen County Sheriff's Department-KS</t>
  </si>
  <si>
    <t>Breaux Bridge Police Dept. - LA</t>
  </si>
  <si>
    <t>McFarland Police Dept. - CA</t>
  </si>
  <si>
    <t>Pittsboro Police Dept. - NC</t>
  </si>
  <si>
    <t>Winthrop Harbor Police - IL</t>
  </si>
  <si>
    <t>Covington Police Dept. - VA</t>
  </si>
  <si>
    <t>Flat Rock Police Dept. - MI</t>
  </si>
  <si>
    <t>Beaver Police Dept - PA</t>
  </si>
  <si>
    <t>Green Oak Township Police Dept. - MI</t>
  </si>
  <si>
    <t>Monroe County Probation Dept - PA</t>
  </si>
  <si>
    <t>Chickasaw Police Department- AL</t>
  </si>
  <si>
    <t>Commerce Police Dept.-GA</t>
  </si>
  <si>
    <t>Kodiak Police Dept. - AK</t>
  </si>
  <si>
    <t>University of Wisconsin LaCrosse Police - WI</t>
  </si>
  <si>
    <t>Brown County Sheriff's Office - SD</t>
  </si>
  <si>
    <t>St. Helens Police Dept. - OR</t>
  </si>
  <si>
    <t>UTC-PUBLIC SAFETY</t>
  </si>
  <si>
    <t>Whiteville Police Dept. - NC</t>
  </si>
  <si>
    <t>Craig Police Department - CO</t>
  </si>
  <si>
    <t>Montgomery County Sheriff's Dept. - KS</t>
  </si>
  <si>
    <t>Mott Community College - MI</t>
  </si>
  <si>
    <t>Pleasant Hill Police Dept. - IA</t>
  </si>
  <si>
    <t>HOLMES BEACH POLICE DEPT</t>
  </si>
  <si>
    <t>St. Martinville Police Dept. - LA</t>
  </si>
  <si>
    <t>Texas Woman's University Police Dept. - TX</t>
  </si>
  <si>
    <t>Logan County Detention Center</t>
  </si>
  <si>
    <t>Lindale Police Dept. - TX</t>
  </si>
  <si>
    <t>Pine Hill Police Dept. - NJ</t>
  </si>
  <si>
    <t>Smithfield Police Dept. - VA</t>
  </si>
  <si>
    <t>Purcellville Police Dept. - VA</t>
  </si>
  <si>
    <t>Gering Police Department - NE</t>
  </si>
  <si>
    <t>Hutchins Police Dept. - TX</t>
  </si>
  <si>
    <t>Murray County Sheriff - GA</t>
  </si>
  <si>
    <t>Braidwood Police Department - IL</t>
  </si>
  <si>
    <t>Tremonton/Garland City Police Dept. - UT</t>
  </si>
  <si>
    <t>Austin County Sheriff's Office - TX</t>
  </si>
  <si>
    <t>Connecticut State Police Dept. - CT</t>
  </si>
  <si>
    <t>Huerfano County Sheriff's Office - CO</t>
  </si>
  <si>
    <t>Lafayette City Marshal's Office - LA</t>
  </si>
  <si>
    <t>East Hampton Village Police Dept. - NY</t>
  </si>
  <si>
    <t>Kingston Police Dept - MA</t>
  </si>
  <si>
    <t>Tucson Unified School District Safety Dept. - AZ</t>
  </si>
  <si>
    <t>Irvington Police Dept - NY</t>
  </si>
  <si>
    <t>Chester Police Dept. - SC</t>
  </si>
  <si>
    <t>Westover City Police Dept. - WV</t>
  </si>
  <si>
    <t>Exeter Police Dept. - CA</t>
  </si>
  <si>
    <t>Peculiar Police Dept - MO</t>
  </si>
  <si>
    <t>Westampton Twp Police Dept - NJ</t>
  </si>
  <si>
    <t>Jackson Police Dept -AL</t>
  </si>
  <si>
    <t>Town of Frankfort Police Dept. - NY</t>
  </si>
  <si>
    <t>Broussard Police Dept. - LA</t>
  </si>
  <si>
    <t>Pulaski Circuit County Court - AR</t>
  </si>
  <si>
    <t>Tooele City Police Dept. - UT</t>
  </si>
  <si>
    <t>Bladensburg Police Dept. - MD</t>
  </si>
  <si>
    <t>Herrin Police Dept. - IL</t>
  </si>
  <si>
    <t>Colma Police Dept. - CA</t>
  </si>
  <si>
    <t>Seagoville Police Dept. - TX</t>
  </si>
  <si>
    <t>Lee County Sheriff's Office - TX</t>
  </si>
  <si>
    <t>Logan Township Police Dept - PA</t>
  </si>
  <si>
    <t>Whiteside County Sheriff's Office - IL</t>
  </si>
  <si>
    <t>North Carolina General Assembly - NC</t>
  </si>
  <si>
    <t>Scotland County Sheriff's Office - NC</t>
  </si>
  <si>
    <t>Independence Police Department - OH</t>
  </si>
  <si>
    <t>Panola County Sheriff - MS</t>
  </si>
  <si>
    <t>Duncan Police Dept. - SC</t>
  </si>
  <si>
    <t>Port Richey Police Dept - FL</t>
  </si>
  <si>
    <t>Washington County Sheriff's Office - OK</t>
  </si>
  <si>
    <t>Centralia Police Department - WA</t>
  </si>
  <si>
    <t>Jersey Village Police Dept - TX</t>
  </si>
  <si>
    <t>Port Orange Police Dept - FL</t>
  </si>
  <si>
    <t>San Luis Obispo Police Dept. - CA</t>
  </si>
  <si>
    <t>Mantua Township Police Dept - NJ</t>
  </si>
  <si>
    <t>Sublette County Sheriff's Office - WY</t>
  </si>
  <si>
    <t>Warrenton Police Dept. - VA</t>
  </si>
  <si>
    <t>Grover Beach Police Dept. - CA</t>
  </si>
  <si>
    <t>Webster Police Dept. - NY</t>
  </si>
  <si>
    <t>Blaine Police Dept. - WA</t>
  </si>
  <si>
    <t>Kern High School Police Dept. - CA</t>
  </si>
  <si>
    <t>Lockhart Police Dept. - TX</t>
  </si>
  <si>
    <t>University of Texas at Dallas Police Dept. - TX</t>
  </si>
  <si>
    <t>Brandon Police Dept. - MS</t>
  </si>
  <si>
    <t>Mount Pleasant Police Dept. - SC</t>
  </si>
  <si>
    <t>Pendleton Police Dept. - OR</t>
  </si>
  <si>
    <t>Cottonwood Police Dept. - AZ</t>
  </si>
  <si>
    <t>Corning Police Dept. - NY</t>
  </si>
  <si>
    <t>North Reading Police Dept. - MA</t>
  </si>
  <si>
    <t>York Police Department - ME</t>
  </si>
  <si>
    <t>Maricopa County Adult Probation (BCB)  - AZ</t>
  </si>
  <si>
    <t>Cinnaminson Township Police - NJ</t>
  </si>
  <si>
    <t>Aransas Pass Police Dept. - TX</t>
  </si>
  <si>
    <t>Maplewood Police Department - MO</t>
  </si>
  <si>
    <t>Newburyport Police Dept. - MA</t>
  </si>
  <si>
    <t>Chino Valley Police Dept. - AZ</t>
  </si>
  <si>
    <t>Dixon Police Dept. - CA</t>
  </si>
  <si>
    <t>Old Westbury Village Police Dept. - NY</t>
  </si>
  <si>
    <t>Wenham Police Dept. - MA</t>
  </si>
  <si>
    <t>Kaufman County Constable Pct. 2 - TX</t>
  </si>
  <si>
    <t>Sausalito Police Dept. - CA</t>
  </si>
  <si>
    <t>Gloversville Police Department - NY</t>
  </si>
  <si>
    <t>Lantana Police Dept - FL</t>
  </si>
  <si>
    <t>Paulding County School District-GA</t>
  </si>
  <si>
    <t>Pembroke Police Dept. - MA</t>
  </si>
  <si>
    <t>Quincy Police Department - MA</t>
  </si>
  <si>
    <t>Franklin-Bingham Farms Police Department - MI</t>
  </si>
  <si>
    <t>Boerne Police Dept. - TX</t>
  </si>
  <si>
    <t>Bandera County Sheriff's Office - TX</t>
  </si>
  <si>
    <t>City of Seaford Police Dept. - DE</t>
  </si>
  <si>
    <t>Watertown Police Department - SD</t>
  </si>
  <si>
    <t>Lake County Forest District Police - IL</t>
  </si>
  <si>
    <t>Morgan County Sheriff - IN</t>
  </si>
  <si>
    <t>Morris Police Department - IL</t>
  </si>
  <si>
    <t>Loves Park Police Dept. - IL</t>
  </si>
  <si>
    <t>Selma Police Dept. - CA</t>
  </si>
  <si>
    <t>Fannin County Sheriff - GA</t>
  </si>
  <si>
    <t>Portsmouth Police Dept - RI</t>
  </si>
  <si>
    <t>Amsterdam Police Dept. - NY</t>
  </si>
  <si>
    <t>South Burlington Police Dept. - VT</t>
  </si>
  <si>
    <t>Town Of Pembroke Park-FL</t>
  </si>
  <si>
    <t>Sanger Police Dept. - CA</t>
  </si>
  <si>
    <t>Levy County Sheriff's Office - FL</t>
  </si>
  <si>
    <t>Cahokia Heights Police Department - IL</t>
  </si>
  <si>
    <t>Maple Heights Police Dept - OH</t>
  </si>
  <si>
    <t>Oakley Police Dept. - CA</t>
  </si>
  <si>
    <t>Miami Shores Police Dept - FL</t>
  </si>
  <si>
    <t>BPS Bainbridge Public Safety - GA</t>
  </si>
  <si>
    <t>Altoona Police Dept. - IA</t>
  </si>
  <si>
    <t>Desert Hot Springs Police Dept. - CA</t>
  </si>
  <si>
    <t>Elbert County Sheriff's Office - CO</t>
  </si>
  <si>
    <t>Eatontown Police Dept. - NJ</t>
  </si>
  <si>
    <t>Hillsborough County Sheriff's Office - NH</t>
  </si>
  <si>
    <t>Sapulpa Police Dept. - OK</t>
  </si>
  <si>
    <t>La Vista Police Dept - NE</t>
  </si>
  <si>
    <t>Dallas County Constable Pct. 2 - TX</t>
  </si>
  <si>
    <t>Munster Police Department - IN</t>
  </si>
  <si>
    <t>Pearl Police Dept. - MS</t>
  </si>
  <si>
    <t>Cornelius Police Department - NC</t>
  </si>
  <si>
    <t>North County Police Cooperative - MO</t>
  </si>
  <si>
    <t>Fort Worth Marshal's Office - TX</t>
  </si>
  <si>
    <t>Central Marin Police Authority - CA</t>
  </si>
  <si>
    <t>Hood County Sheriff's Office - TX</t>
  </si>
  <si>
    <t>Oakland Housing Authority Police Dept. - CA</t>
  </si>
  <si>
    <t>Zachary Police Department - LA</t>
  </si>
  <si>
    <t>Bryant Police Department - AR</t>
  </si>
  <si>
    <t>Sulphur Police Dept. - LA</t>
  </si>
  <si>
    <t>Norwegian National Police SEG</t>
  </si>
  <si>
    <t>SE0116328</t>
  </si>
  <si>
    <t>Ingham County Sheriff's Office - MI</t>
  </si>
  <si>
    <t>Scarborough Police Dept. - ME</t>
  </si>
  <si>
    <t>Roanoke Police Dept. - TX</t>
  </si>
  <si>
    <t>Acadia Parish Sheriff's Office - LA</t>
  </si>
  <si>
    <t>Auburndale Police Department - FL</t>
  </si>
  <si>
    <t>Hill-Finklea Detention Center - SC</t>
  </si>
  <si>
    <t>West Lafayette Police Dept - IN</t>
  </si>
  <si>
    <t>Takoma Park Police Dept. - MD</t>
  </si>
  <si>
    <t>Coronado Police Dept. - CA</t>
  </si>
  <si>
    <t>Canton Township Police Dept. - MI</t>
  </si>
  <si>
    <t>Green County Sheriff's Office - WI</t>
  </si>
  <si>
    <t>Puyallup Police Dept. - WA</t>
  </si>
  <si>
    <t>Branson Police Department - MO</t>
  </si>
  <si>
    <t>Ulster County Sheriff's Office - NY</t>
  </si>
  <si>
    <t>Ashland Police Dept.- KY</t>
  </si>
  <si>
    <t>Branford Police Dept. - CT</t>
  </si>
  <si>
    <t>Ceres Dept. of Public Safety - CA</t>
  </si>
  <si>
    <t>Chelan County Sheriff's Office - WA</t>
  </si>
  <si>
    <t>Sunny Isles Beach Police Dept. - FL</t>
  </si>
  <si>
    <t>Vernon Police Dept. - CT</t>
  </si>
  <si>
    <t>Los Banos Police Dept. - CA</t>
  </si>
  <si>
    <t>Sierra Vista Police Department - AZ</t>
  </si>
  <si>
    <t>Brentwood Police Department - TN</t>
  </si>
  <si>
    <t>Friendswood Police Dept. - TX</t>
  </si>
  <si>
    <t>Laurel Police Dept. - MD</t>
  </si>
  <si>
    <t>University of Arizona Police Dept. - AZ</t>
  </si>
  <si>
    <t>East Lansing Police Dept. - MI</t>
  </si>
  <si>
    <t>Yuma County Sheriff's Office - AZ</t>
  </si>
  <si>
    <t>Dartmouth Police Dept - MA</t>
  </si>
  <si>
    <t>Sweetwater County Sheriff's Office - WY</t>
  </si>
  <si>
    <t>Town of Groton Police Department - CT</t>
  </si>
  <si>
    <t>El Mirage Police Dept. - AZ</t>
  </si>
  <si>
    <t>Yuba City Police Dept. - CA</t>
  </si>
  <si>
    <t>Gallatin County Sheriff's Office - MT</t>
  </si>
  <si>
    <t>Killeen I.S.D. Police Department - TX</t>
  </si>
  <si>
    <t>Statesboro Police Department - GA</t>
  </si>
  <si>
    <t>Salem Police Dept - NH</t>
  </si>
  <si>
    <t>Kingston Police Dept. - NY</t>
  </si>
  <si>
    <t>Randolph Police Dept. - MA</t>
  </si>
  <si>
    <t>Lombard Police Dept - IL</t>
  </si>
  <si>
    <t>Council Bluffs Police Dept. - IA</t>
  </si>
  <si>
    <t>Fountain Valley Police Dept. - CA</t>
  </si>
  <si>
    <t>Waynesboro Police Dept. - VA</t>
  </si>
  <si>
    <t>Elizabethtown Police Dept.- KY</t>
  </si>
  <si>
    <t>Greenville Police Dept. - TX</t>
  </si>
  <si>
    <t>Tigard Police Dept. - OR</t>
  </si>
  <si>
    <t>DeSoto Police Dept. - TX</t>
  </si>
  <si>
    <t>Woodstock Police Service (ON)</t>
  </si>
  <si>
    <t>CA0115696</t>
  </si>
  <si>
    <t>Campbell Police Dept. - CA</t>
  </si>
  <si>
    <t>Oswego County Sheriff's Office - NY</t>
  </si>
  <si>
    <t>Douglas County Sheriffs Office - OR</t>
  </si>
  <si>
    <t>El Cajon Police Dept. - CA</t>
  </si>
  <si>
    <t>Manteca Police Dept. - CA</t>
  </si>
  <si>
    <t>Montgomery County Sheriff's Office - VA</t>
  </si>
  <si>
    <t>Delta Police Department - CAN</t>
  </si>
  <si>
    <t>CA0115648</t>
  </si>
  <si>
    <t>Harrisonburg Police Dept. - VA</t>
  </si>
  <si>
    <t>Chisago County Sheriff's Office - MN</t>
  </si>
  <si>
    <t>Virginia Commonwealth University Police - VA</t>
  </si>
  <si>
    <t>Daly City Police Department - CA</t>
  </si>
  <si>
    <t>Caldwell Police Dept. - ID</t>
  </si>
  <si>
    <t>Prince William County Sheriff's Office - VA</t>
  </si>
  <si>
    <t>Wyoming Department of Public Safety - MI</t>
  </si>
  <si>
    <t>Parker County Sheriff's Office - TX</t>
  </si>
  <si>
    <t>Redwood City Police Department - CA</t>
  </si>
  <si>
    <t>Mohave County Sheriff's Office - AZ</t>
  </si>
  <si>
    <t>Ohio Investigative Unit – DPS</t>
  </si>
  <si>
    <t>Enfield Police Department - CT</t>
  </si>
  <si>
    <t>Marin County Sheriff's Office - CA</t>
  </si>
  <si>
    <t>Liberty County Sheriff's Office - GA</t>
  </si>
  <si>
    <t>Louisa County Sheriff's Office - VA</t>
  </si>
  <si>
    <t>Pleasanton Police Dept. - CA</t>
  </si>
  <si>
    <t>Nashville Metro Airport Police Dept- TN</t>
  </si>
  <si>
    <t>Whitfield County Sheriff's Office - GA</t>
  </si>
  <si>
    <t>Burleson Police Dept. - TX</t>
  </si>
  <si>
    <t>Woodbury County Sheriff's Office - IA</t>
  </si>
  <si>
    <t>Chelsea Police Department - MA</t>
  </si>
  <si>
    <t>MNCP POLICE - Prince George's County Division</t>
  </si>
  <si>
    <t>Meriden Police Department - CT</t>
  </si>
  <si>
    <t>Riley County Police Dept.- KS</t>
  </si>
  <si>
    <t>Chatham County Police Department - GA</t>
  </si>
  <si>
    <t>Harrison County Sheriff's - MS</t>
  </si>
  <si>
    <t>The City of Medicine Hat</t>
  </si>
  <si>
    <t>CA0115537</t>
  </si>
  <si>
    <t>Guadalupe County Sheriff's Office - TX</t>
  </si>
  <si>
    <t>Colton Police Dept. - CA</t>
  </si>
  <si>
    <t>Euclid Police Dept. - OH</t>
  </si>
  <si>
    <t>Wilson County Sheriff's Office - NC</t>
  </si>
  <si>
    <t>Antioch Police Department - CA</t>
  </si>
  <si>
    <t>West Haven Police Dept - CT</t>
  </si>
  <si>
    <t>Aiken County Sheriff's Office - SC</t>
  </si>
  <si>
    <t>Nolensville Police Dept. - TN</t>
  </si>
  <si>
    <t>Alamance County Detention Center - NC</t>
  </si>
  <si>
    <t>Gainesville Police Department - GA</t>
  </si>
  <si>
    <t>Binghamton Police Dept. - NY</t>
  </si>
  <si>
    <t>Franklin Police Department - TN</t>
  </si>
  <si>
    <t>Spartanburg Police Department - SC</t>
  </si>
  <si>
    <t>Laurens County Sheriff's Office - SC</t>
  </si>
  <si>
    <t>Brazos County Sheriff's Office - TX</t>
  </si>
  <si>
    <t>Burlington County (NJ) Prosecutor's Office</t>
  </si>
  <si>
    <t>Montana Department of Corrections - MT</t>
  </si>
  <si>
    <t>Bloomington Police Dept. - IL</t>
  </si>
  <si>
    <t>Orange County Sheriff's Department - NC</t>
  </si>
  <si>
    <t>Champaign Police Dept. - IL</t>
  </si>
  <si>
    <t>Newton Police Department - MA</t>
  </si>
  <si>
    <t>El Monte Police Dept. - CA</t>
  </si>
  <si>
    <t>Reading Police Department - PA</t>
  </si>
  <si>
    <t>Redding Police Dept. - CA</t>
  </si>
  <si>
    <t>North Dakota Highway Patrol - ND</t>
  </si>
  <si>
    <t>Calvert County Sheriff's Office - MD</t>
  </si>
  <si>
    <t>Ogden Police Dept. - UT</t>
  </si>
  <si>
    <t>San Diego Unified Port District</t>
  </si>
  <si>
    <t>Whittier Police Dept. - CA</t>
  </si>
  <si>
    <t>Lynn Police Dept. - MA</t>
  </si>
  <si>
    <t>Des Moines Police Dept. - IA</t>
  </si>
  <si>
    <t>Chatham County Sheriff's Office - GA</t>
  </si>
  <si>
    <t>Brownsville Police Department - TX</t>
  </si>
  <si>
    <t>Camden County (NJ) Prosecutor's Office</t>
  </si>
  <si>
    <t>Indiana Dept of Nat Resources LE Div</t>
  </si>
  <si>
    <t>Penn State University Police Department - PA</t>
  </si>
  <si>
    <t>Plantation Police Dept. - FL</t>
  </si>
  <si>
    <t>Alabama Department of Corrections - AL</t>
  </si>
  <si>
    <t>Lewisville Police Dept. - TX</t>
  </si>
  <si>
    <t>Lowell Police Department - MA</t>
  </si>
  <si>
    <t>Hall County Sheriff's Office - GA</t>
  </si>
  <si>
    <t>Coral Gables Police Department</t>
  </si>
  <si>
    <t>Niagara County Sheriff's Office - NY</t>
  </si>
  <si>
    <t>Overland Park PD - KS</t>
  </si>
  <si>
    <t>West Palm Beach Police Dept. - FL</t>
  </si>
  <si>
    <t>Harford County Sheriff's Office - MD</t>
  </si>
  <si>
    <t>Guam Police Department - GU</t>
  </si>
  <si>
    <t>Laredo Police Dept. - TX</t>
  </si>
  <si>
    <t>Wilmington Police Dept. - DE</t>
  </si>
  <si>
    <t>East Baton Rouge Parish Sheriff's Dept. - LA</t>
  </si>
  <si>
    <t>New Haven Police Dept. - CT</t>
  </si>
  <si>
    <t>Clay County Sheriff's Office - FL</t>
  </si>
  <si>
    <t>Colorado Parks and Wildlife Headquarters - CO</t>
  </si>
  <si>
    <t>Anchorage Police Dept. - AK</t>
  </si>
  <si>
    <t>Georgia Department Of Corrections - GA</t>
  </si>
  <si>
    <t>Surrey Police Service</t>
  </si>
  <si>
    <t>CA0115786</t>
  </si>
  <si>
    <t>Greenville County Sheriff -SC</t>
  </si>
  <si>
    <t>Steele County Sheriff's Office - ND</t>
  </si>
  <si>
    <t>Utah Dept. of Corrections</t>
  </si>
  <si>
    <t>Newark Police Dept. - NJ</t>
  </si>
  <si>
    <t>Oregon State Police - OR</t>
  </si>
  <si>
    <t>Louisiana State Police - LA</t>
  </si>
  <si>
    <t>Cincinnati Police Dept. - OH</t>
  </si>
  <si>
    <t>Durant Police Dept. - OK</t>
  </si>
  <si>
    <t>Swedish Parliament House</t>
  </si>
  <si>
    <t>SE0116879</t>
  </si>
  <si>
    <t>University of Alabama - Birmingham - AL</t>
  </si>
  <si>
    <t>Van Zandt County Sheriff's - TX</t>
  </si>
  <si>
    <t>York County Sheriff's Office - ME</t>
  </si>
  <si>
    <t>Burnet Consolidated ISD - TX</t>
  </si>
  <si>
    <t>Groves Police Dept. - TX</t>
  </si>
  <si>
    <t>Seaside Police Department - OR</t>
  </si>
  <si>
    <t>Criminal Justice Training Commission - WA</t>
  </si>
  <si>
    <t>Hillsborough Community College - FL</t>
  </si>
  <si>
    <t>39th District Court - MI</t>
  </si>
  <si>
    <t>Arnold Police Dept. - MO</t>
  </si>
  <si>
    <t>Athens Police Dept. - TX</t>
  </si>
  <si>
    <t>ATTALA COUNTY SHERIFF'S OFFICE - MS</t>
  </si>
  <si>
    <t>Caddo County Sheriff's Office - OK</t>
  </si>
  <si>
    <t>Center Police Dept. - TX</t>
  </si>
  <si>
    <t>Chatfield Police Dept. - MN</t>
  </si>
  <si>
    <t>Coryell County Sheriff's Office - TX</t>
  </si>
  <si>
    <t>Dona Ana County Detention Center - NM</t>
  </si>
  <si>
    <t>El Portal Police Dept.-FL</t>
  </si>
  <si>
    <t>ELGIN POLICE DEPT. - OK</t>
  </si>
  <si>
    <t>Ellensburg Police Dept. - WA</t>
  </si>
  <si>
    <t>Fairmount Police Dept. - GA</t>
  </si>
  <si>
    <t>Fulton County Adult and Juvenile Probation Dept. - PA</t>
  </si>
  <si>
    <t>Gothenburg Police Department - NE</t>
  </si>
  <si>
    <t>Grant County Sheriff's Office - MN</t>
  </si>
  <si>
    <t>Kansas State University Police Dept. - KS</t>
  </si>
  <si>
    <t>Lincoln Police Department - ND</t>
  </si>
  <si>
    <t>Lisbon Police Dept. - ME</t>
  </si>
  <si>
    <t>Lisbon Police Dept. - NH</t>
  </si>
  <si>
    <t>Llano County Sheriff's - TX</t>
  </si>
  <si>
    <t>Manitoba Motor Carrier Enforcement</t>
  </si>
  <si>
    <t>CA0116095</t>
  </si>
  <si>
    <t>Maricopa Community College Police Dept - AZ</t>
  </si>
  <si>
    <t>Metropolitan Knoxville Airport Authority Police - TN</t>
  </si>
  <si>
    <t>Mineral Wells Police Dept.-TX</t>
  </si>
  <si>
    <t>Mosheim Police Department - TN</t>
  </si>
  <si>
    <t>Neosho Police Department - MO</t>
  </si>
  <si>
    <t>NEW LEBANON POLICE DEPT. - OH</t>
  </si>
  <si>
    <t>Norcross Police Dept. - GA</t>
  </si>
  <si>
    <t>Northwest Regional Airport Authority Police Department - MI</t>
  </si>
  <si>
    <t>Oneida County Sheriff's Office - WI</t>
  </si>
  <si>
    <t>Onslow County Sheriff's Office - NC</t>
  </si>
  <si>
    <t>Oregon Humane Law Enforcement -OR</t>
  </si>
  <si>
    <t>Peru Police Department - IL</t>
  </si>
  <si>
    <t>Piedmont Regional Jail, VA</t>
  </si>
  <si>
    <t>Portland Borough Police Department - PA</t>
  </si>
  <si>
    <t>Proctor Police Dept.- MN</t>
  </si>
  <si>
    <t>Rains County Sheriff's Office - TX</t>
  </si>
  <si>
    <t>Ronceverte City Police Dept. - WV</t>
  </si>
  <si>
    <t>Schulenburg Police Dept. - TX</t>
  </si>
  <si>
    <t>Starr County Constable Pct 4.</t>
  </si>
  <si>
    <t>Trophy Club Police Dept. - TX</t>
  </si>
  <si>
    <t>Troy Police Dept. - IL</t>
  </si>
  <si>
    <t>University of Massachusetts - Lowell</t>
  </si>
  <si>
    <t>Van Zandt County Constable Precinct 4</t>
  </si>
  <si>
    <t>Walnutport Police Dept - PA</t>
  </si>
  <si>
    <t>Warrensburg Police Department - MO</t>
  </si>
  <si>
    <t>Month</t>
  </si>
  <si>
    <t>Metric</t>
  </si>
  <si>
    <t>Value</t>
  </si>
  <si>
    <t>September</t>
  </si>
  <si>
    <t>Agency Count</t>
  </si>
  <si>
    <t>VR Licenses</t>
  </si>
  <si>
    <t>SIM Completions</t>
  </si>
  <si>
    <t>% Agencies Engaged</t>
  </si>
  <si>
    <t>Completions per License</t>
  </si>
  <si>
    <t>Completions per Agency</t>
  </si>
  <si>
    <t>October</t>
  </si>
  <si>
    <t>November</t>
  </si>
  <si>
    <t>Sum of T3 months / licenses</t>
  </si>
  <si>
    <t>T12 SIM completions / licenses (in mo 12)</t>
  </si>
  <si>
    <t>60% growth in T12 SIM adoption YoY across all SIM customers, from 250k to 400k by 11/30/2026</t>
  </si>
  <si>
    <t>90 Day Average</t>
  </si>
  <si>
    <t>T12 Completions per License</t>
  </si>
  <si>
    <t>Threshold</t>
  </si>
  <si>
    <t>APAP%</t>
  </si>
  <si>
    <t>T12 1.5x</t>
  </si>
  <si>
    <t>T12 2x</t>
  </si>
  <si>
    <t>T12 2x
OR
T3 300</t>
  </si>
  <si>
    <t>T12 2x
OR
T6 500</t>
  </si>
  <si>
    <t>T12 2x
OR
T12 1000</t>
  </si>
  <si>
    <t>T12 2x
OR
T3 0.75x for 550+ Agencies</t>
  </si>
  <si>
    <t xml:space="preserve">T12 2x
OR
T6 0.75x </t>
  </si>
  <si>
    <t>T12 2x
OR
T12 1x for 
550+ Agencies</t>
  </si>
  <si>
    <t>T12_SIM_Completions</t>
  </si>
  <si>
    <t>T6_SIM_Completions</t>
  </si>
  <si>
    <t>T3_SIM_Completions</t>
  </si>
  <si>
    <t>T12_SIM_Per_Person</t>
  </si>
  <si>
    <t>T6_SIM_Per_Person</t>
  </si>
  <si>
    <t>T3_SIM_Per_Person</t>
  </si>
  <si>
    <t>T6_Non_SIM_Completions</t>
  </si>
  <si>
    <t>2026 Cohort</t>
  </si>
  <si>
    <t>No Qualifier Adopting Points</t>
  </si>
  <si>
    <t>Majors Qualifier Adopting Points</t>
  </si>
  <si>
    <t>T6 0.75x Only</t>
  </si>
  <si>
    <t>18-24 Months</t>
  </si>
  <si>
    <t>12-18 Months</t>
  </si>
  <si>
    <t>Sum of Adopting Points</t>
  </si>
  <si>
    <t>50% Decrease from Nov'25 rates to account for low adoption likelihood for Q2 majors</t>
  </si>
  <si>
    <t>20% Decrease from Nov'25 adoption rates to be conservative</t>
  </si>
  <si>
    <t>Assume same rates as Nov '25 cohorts</t>
  </si>
  <si>
    <t>2026 Baseline</t>
  </si>
  <si>
    <t>High Confidence</t>
  </si>
  <si>
    <t>Actual</t>
  </si>
  <si>
    <t>Variance (pp)</t>
  </si>
  <si>
    <t>Hard Climb Variance (pp)</t>
  </si>
  <si>
    <t>High Confidence Variance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</si>
</sst>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1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i/>
      <sz val="12"/>
      <color theme="1"/>
      <name val="Calibri"/>
      <family val="2"/>
      <scheme val="minor"/>
    </font>
    <font>
      <i/>
      <sz val="11"/>
      <color rgb="FF242424"/>
      <name val="Aptos Narrow"/>
    </font>
    <font>
      <i/>
      <sz val="11"/>
      <color theme="1"/>
      <name val="Calibri"/>
      <family val="2"/>
      <scheme val="minor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  <font>
      <b/>
      <sz val="12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-0.249977111117893"/>
        <bgColor theme="4" tint="-0.249977111117893"/>
      </patternFill>
    </fill>
    <fill>
      <patternFill patternType="solid">
        <fgColor theme="4" tint="0.39997558519241921"/>
        <bgColor theme="4" tint="0.39997558519241921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EEECE1"/>
        <bgColor rgb="FF000000"/>
      </patternFill>
    </fill>
  </fills>
  <borders count="50">
    <border>
      <left/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194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164" fontId="0" fillId="0" borderId="0" xfId="2" applyNumberFormat="1" applyFont="1" applyAlignment="1">
      <alignment horizontal="center" vertical="center"/>
    </xf>
    <xf numFmtId="165" fontId="0" fillId="0" borderId="0" xfId="1" applyNumberFormat="1" applyFont="1" applyAlignment="1">
      <alignment horizontal="center" vertical="center"/>
    </xf>
    <xf numFmtId="0" fontId="1" fillId="0" borderId="0" xfId="0" applyFont="1" applyAlignment="1">
      <alignment vertical="center"/>
    </xf>
    <xf numFmtId="165" fontId="1" fillId="0" borderId="0" xfId="1" applyNumberFormat="1" applyFont="1"/>
    <xf numFmtId="0" fontId="1" fillId="0" borderId="0" xfId="0" applyFont="1" applyAlignment="1">
      <alignment vertical="center" wrapText="1"/>
    </xf>
    <xf numFmtId="1" fontId="0" fillId="0" borderId="0" xfId="0" applyNumberFormat="1" applyAlignment="1">
      <alignment horizontal="center" vertical="center"/>
    </xf>
    <xf numFmtId="165" fontId="0" fillId="0" borderId="0" xfId="1" applyNumberFormat="1" applyFont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 vertical="center"/>
    </xf>
    <xf numFmtId="164" fontId="0" fillId="0" borderId="1" xfId="0" applyNumberFormat="1" applyBorder="1"/>
    <xf numFmtId="164" fontId="0" fillId="0" borderId="3" xfId="0" applyNumberFormat="1" applyBorder="1"/>
    <xf numFmtId="165" fontId="0" fillId="0" borderId="0" xfId="0" applyNumberFormat="1"/>
    <xf numFmtId="0" fontId="0" fillId="0" borderId="0" xfId="0" pivotButton="1"/>
    <xf numFmtId="164" fontId="1" fillId="0" borderId="4" xfId="0" applyNumberFormat="1" applyFont="1" applyBorder="1"/>
    <xf numFmtId="164" fontId="0" fillId="6" borderId="0" xfId="2" applyNumberFormat="1" applyFont="1" applyFill="1" applyBorder="1"/>
    <xf numFmtId="0" fontId="0" fillId="0" borderId="6" xfId="0" applyBorder="1" applyAlignment="1">
      <alignment horizontal="left" indent="1"/>
    </xf>
    <xf numFmtId="165" fontId="3" fillId="3" borderId="8" xfId="0" applyNumberFormat="1" applyFont="1" applyFill="1" applyBorder="1"/>
    <xf numFmtId="165" fontId="3" fillId="3" borderId="5" xfId="0" applyNumberFormat="1" applyFont="1" applyFill="1" applyBorder="1"/>
    <xf numFmtId="164" fontId="3" fillId="3" borderId="5" xfId="2" applyNumberFormat="1" applyFont="1" applyFill="1" applyBorder="1"/>
    <xf numFmtId="0" fontId="3" fillId="3" borderId="13" xfId="0" applyFont="1" applyFill="1" applyBorder="1"/>
    <xf numFmtId="0" fontId="3" fillId="3" borderId="0" xfId="0" applyFont="1" applyFill="1"/>
    <xf numFmtId="0" fontId="3" fillId="3" borderId="14" xfId="0" applyFont="1" applyFill="1" applyBorder="1"/>
    <xf numFmtId="0" fontId="3" fillId="3" borderId="15" xfId="0" applyFont="1" applyFill="1" applyBorder="1"/>
    <xf numFmtId="164" fontId="0" fillId="6" borderId="16" xfId="2" applyNumberFormat="1" applyFont="1" applyFill="1" applyBorder="1"/>
    <xf numFmtId="164" fontId="0" fillId="0" borderId="16" xfId="2" applyNumberFormat="1" applyFont="1" applyBorder="1"/>
    <xf numFmtId="165" fontId="0" fillId="6" borderId="0" xfId="0" applyNumberFormat="1" applyFill="1"/>
    <xf numFmtId="9" fontId="0" fillId="0" borderId="16" xfId="0" applyNumberFormat="1" applyBorder="1"/>
    <xf numFmtId="164" fontId="0" fillId="0" borderId="16" xfId="0" applyNumberFormat="1" applyBorder="1"/>
    <xf numFmtId="2" fontId="0" fillId="0" borderId="0" xfId="0" applyNumberFormat="1"/>
    <xf numFmtId="0" fontId="0" fillId="0" borderId="8" xfId="0" applyBorder="1" applyAlignment="1">
      <alignment horizontal="left" indent="1"/>
    </xf>
    <xf numFmtId="164" fontId="0" fillId="0" borderId="18" xfId="0" applyNumberFormat="1" applyBorder="1"/>
    <xf numFmtId="164" fontId="0" fillId="0" borderId="0" xfId="2" applyNumberFormat="1" applyFont="1" applyFill="1" applyBorder="1"/>
    <xf numFmtId="164" fontId="5" fillId="5" borderId="1" xfId="0" applyNumberFormat="1" applyFont="1" applyFill="1" applyBorder="1"/>
    <xf numFmtId="164" fontId="5" fillId="5" borderId="21" xfId="0" applyNumberFormat="1" applyFont="1" applyFill="1" applyBorder="1"/>
    <xf numFmtId="164" fontId="5" fillId="5" borderId="3" xfId="0" applyNumberFormat="1" applyFont="1" applyFill="1" applyBorder="1"/>
    <xf numFmtId="164" fontId="5" fillId="5" borderId="17" xfId="0" applyNumberFormat="1" applyFont="1" applyFill="1" applyBorder="1"/>
    <xf numFmtId="0" fontId="8" fillId="0" borderId="0" xfId="0" applyFont="1"/>
    <xf numFmtId="2" fontId="8" fillId="0" borderId="0" xfId="0" applyNumberFormat="1" applyFont="1"/>
    <xf numFmtId="0" fontId="1" fillId="7" borderId="0" xfId="0" applyFont="1" applyFill="1" applyAlignment="1">
      <alignment vertical="center" wrapText="1"/>
    </xf>
    <xf numFmtId="164" fontId="0" fillId="7" borderId="0" xfId="2" applyNumberFormat="1" applyFont="1" applyFill="1" applyAlignment="1">
      <alignment horizontal="center" vertical="center"/>
    </xf>
    <xf numFmtId="1" fontId="0" fillId="7" borderId="0" xfId="0" applyNumberFormat="1" applyFill="1" applyAlignment="1">
      <alignment horizontal="center" vertical="center"/>
    </xf>
    <xf numFmtId="165" fontId="0" fillId="7" borderId="0" xfId="1" applyNumberFormat="1" applyFont="1" applyFill="1" applyAlignment="1">
      <alignment horizontal="center" vertical="center"/>
    </xf>
    <xf numFmtId="0" fontId="4" fillId="4" borderId="3" xfId="0" applyFont="1" applyFill="1" applyBorder="1"/>
    <xf numFmtId="0" fontId="4" fillId="4" borderId="1" xfId="0" applyFont="1" applyFill="1" applyBorder="1"/>
    <xf numFmtId="164" fontId="1" fillId="7" borderId="2" xfId="0" applyNumberFormat="1" applyFont="1" applyFill="1" applyBorder="1"/>
    <xf numFmtId="164" fontId="3" fillId="7" borderId="18" xfId="2" applyNumberFormat="1" applyFont="1" applyFill="1" applyBorder="1"/>
    <xf numFmtId="164" fontId="0" fillId="6" borderId="0" xfId="2" applyNumberFormat="1" applyFont="1" applyFill="1"/>
    <xf numFmtId="164" fontId="0" fillId="0" borderId="0" xfId="2" applyNumberFormat="1" applyFont="1"/>
    <xf numFmtId="0" fontId="10" fillId="0" borderId="0" xfId="0" applyFont="1"/>
    <xf numFmtId="0" fontId="10" fillId="0" borderId="0" xfId="0" applyFont="1" applyAlignment="1">
      <alignment horizontal="center"/>
    </xf>
    <xf numFmtId="0" fontId="4" fillId="4" borderId="26" xfId="0" applyFont="1" applyFill="1" applyBorder="1"/>
    <xf numFmtId="0" fontId="4" fillId="4" borderId="27" xfId="0" applyFont="1" applyFill="1" applyBorder="1"/>
    <xf numFmtId="164" fontId="1" fillId="0" borderId="0" xfId="0" applyNumberFormat="1" applyFont="1" applyAlignment="1">
      <alignment horizontal="center"/>
    </xf>
    <xf numFmtId="164" fontId="0" fillId="0" borderId="1" xfId="0" applyNumberFormat="1" applyBorder="1" applyAlignment="1">
      <alignment horizontal="center"/>
    </xf>
    <xf numFmtId="0" fontId="4" fillId="4" borderId="28" xfId="0" applyFont="1" applyFill="1" applyBorder="1"/>
    <xf numFmtId="164" fontId="0" fillId="0" borderId="3" xfId="0" applyNumberFormat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164" fontId="5" fillId="5" borderId="1" xfId="0" applyNumberFormat="1" applyFont="1" applyFill="1" applyBorder="1" applyAlignment="1">
      <alignment horizontal="center"/>
    </xf>
    <xf numFmtId="164" fontId="5" fillId="5" borderId="21" xfId="0" applyNumberFormat="1" applyFont="1" applyFill="1" applyBorder="1" applyAlignment="1">
      <alignment horizontal="center"/>
    </xf>
    <xf numFmtId="164" fontId="5" fillId="5" borderId="3" xfId="0" applyNumberFormat="1" applyFont="1" applyFill="1" applyBorder="1" applyAlignment="1">
      <alignment horizontal="center"/>
    </xf>
    <xf numFmtId="164" fontId="5" fillId="5" borderId="17" xfId="0" applyNumberFormat="1" applyFont="1" applyFill="1" applyBorder="1" applyAlignment="1">
      <alignment horizontal="center"/>
    </xf>
    <xf numFmtId="164" fontId="1" fillId="7" borderId="2" xfId="0" applyNumberFormat="1" applyFont="1" applyFill="1" applyBorder="1" applyAlignment="1">
      <alignment horizontal="center"/>
    </xf>
    <xf numFmtId="0" fontId="0" fillId="0" borderId="3" xfId="0" applyBorder="1" applyAlignment="1">
      <alignment horizontal="left" indent="1"/>
    </xf>
    <xf numFmtId="0" fontId="0" fillId="0" borderId="30" xfId="0" pivotButton="1" applyBorder="1"/>
    <xf numFmtId="0" fontId="0" fillId="0" borderId="30" xfId="0" applyBorder="1"/>
    <xf numFmtId="165" fontId="0" fillId="0" borderId="30" xfId="0" applyNumberFormat="1" applyBorder="1"/>
    <xf numFmtId="165" fontId="0" fillId="0" borderId="31" xfId="0" applyNumberFormat="1" applyBorder="1"/>
    <xf numFmtId="0" fontId="0" fillId="0" borderId="31" xfId="0" applyBorder="1"/>
    <xf numFmtId="10" fontId="0" fillId="0" borderId="0" xfId="0" applyNumberFormat="1"/>
    <xf numFmtId="165" fontId="0" fillId="6" borderId="37" xfId="0" applyNumberFormat="1" applyFill="1" applyBorder="1"/>
    <xf numFmtId="165" fontId="1" fillId="7" borderId="37" xfId="0" applyNumberFormat="1" applyFont="1" applyFill="1" applyBorder="1"/>
    <xf numFmtId="0" fontId="11" fillId="0" borderId="38" xfId="0" applyFont="1" applyBorder="1"/>
    <xf numFmtId="0" fontId="11" fillId="0" borderId="39" xfId="0" applyFont="1" applyBorder="1"/>
    <xf numFmtId="0" fontId="9" fillId="0" borderId="38" xfId="0" applyFont="1" applyBorder="1"/>
    <xf numFmtId="0" fontId="9" fillId="0" borderId="39" xfId="0" applyFont="1" applyBorder="1"/>
    <xf numFmtId="0" fontId="9" fillId="0" borderId="39" xfId="0" applyFont="1" applyBorder="1" applyAlignment="1">
      <alignment horizontal="center"/>
    </xf>
    <xf numFmtId="0" fontId="9" fillId="8" borderId="39" xfId="0" applyFont="1" applyFill="1" applyBorder="1"/>
    <xf numFmtId="0" fontId="1" fillId="2" borderId="38" xfId="0" applyFont="1" applyFill="1" applyBorder="1" applyAlignment="1">
      <alignment horizontal="center" vertical="top"/>
    </xf>
    <xf numFmtId="0" fontId="1" fillId="2" borderId="38" xfId="0" applyFont="1" applyFill="1" applyBorder="1" applyAlignment="1">
      <alignment horizontal="center" vertical="center"/>
    </xf>
    <xf numFmtId="0" fontId="1" fillId="0" borderId="24" xfId="0" applyFont="1" applyBorder="1"/>
    <xf numFmtId="9" fontId="1" fillId="0" borderId="22" xfId="0" applyNumberFormat="1" applyFont="1" applyBorder="1" applyAlignment="1">
      <alignment horizontal="center"/>
    </xf>
    <xf numFmtId="0" fontId="1" fillId="7" borderId="0" xfId="0" applyFont="1" applyFill="1" applyAlignment="1">
      <alignment horizontal="center" vertical="center"/>
    </xf>
    <xf numFmtId="0" fontId="1" fillId="7" borderId="0" xfId="0" applyFont="1" applyFill="1" applyAlignment="1">
      <alignment vertical="center"/>
    </xf>
    <xf numFmtId="0" fontId="0" fillId="7" borderId="0" xfId="0" applyFill="1" applyAlignment="1">
      <alignment horizontal="center" vertical="center"/>
    </xf>
    <xf numFmtId="2" fontId="0" fillId="2" borderId="0" xfId="0" applyNumberFormat="1" applyFill="1"/>
    <xf numFmtId="0" fontId="3" fillId="0" borderId="0" xfId="0" applyFont="1"/>
    <xf numFmtId="0" fontId="3" fillId="2" borderId="0" xfId="0" applyFont="1" applyFill="1"/>
    <xf numFmtId="0" fontId="10" fillId="0" borderId="25" xfId="0" applyFont="1" applyBorder="1"/>
    <xf numFmtId="0" fontId="10" fillId="0" borderId="26" xfId="0" applyFont="1" applyBorder="1"/>
    <xf numFmtId="0" fontId="10" fillId="0" borderId="27" xfId="0" applyFont="1" applyBorder="1"/>
    <xf numFmtId="0" fontId="10" fillId="0" borderId="29" xfId="0" applyFont="1" applyBorder="1"/>
    <xf numFmtId="0" fontId="10" fillId="0" borderId="20" xfId="0" applyFont="1" applyBorder="1"/>
    <xf numFmtId="3" fontId="10" fillId="0" borderId="16" xfId="0" applyNumberFormat="1" applyFont="1" applyBorder="1"/>
    <xf numFmtId="10" fontId="10" fillId="0" borderId="16" xfId="0" applyNumberFormat="1" applyFont="1" applyBorder="1"/>
    <xf numFmtId="0" fontId="10" fillId="0" borderId="16" xfId="0" applyFont="1" applyBorder="1"/>
    <xf numFmtId="0" fontId="10" fillId="0" borderId="5" xfId="0" applyFont="1" applyBorder="1"/>
    <xf numFmtId="0" fontId="10" fillId="0" borderId="18" xfId="0" applyFont="1" applyBorder="1"/>
    <xf numFmtId="0" fontId="9" fillId="0" borderId="0" xfId="0" applyFont="1"/>
    <xf numFmtId="10" fontId="9" fillId="7" borderId="1" xfId="0" applyNumberFormat="1" applyFont="1" applyFill="1" applyBorder="1"/>
    <xf numFmtId="2" fontId="9" fillId="7" borderId="1" xfId="0" applyNumberFormat="1" applyFont="1" applyFill="1" applyBorder="1"/>
    <xf numFmtId="0" fontId="9" fillId="0" borderId="34" xfId="0" applyFont="1" applyBorder="1"/>
    <xf numFmtId="0" fontId="9" fillId="7" borderId="2" xfId="0" applyFont="1" applyFill="1" applyBorder="1"/>
    <xf numFmtId="0" fontId="10" fillId="0" borderId="0" xfId="0" quotePrefix="1" applyFont="1" applyAlignment="1">
      <alignment horizontal="center"/>
    </xf>
    <xf numFmtId="9" fontId="0" fillId="0" borderId="18" xfId="0" applyNumberFormat="1" applyBorder="1"/>
    <xf numFmtId="0" fontId="4" fillId="0" borderId="0" xfId="0" applyFont="1"/>
    <xf numFmtId="164" fontId="0" fillId="0" borderId="0" xfId="0" applyNumberFormat="1" applyAlignment="1">
      <alignment horizontal="center"/>
    </xf>
    <xf numFmtId="164" fontId="5" fillId="0" borderId="0" xfId="0" applyNumberFormat="1" applyFont="1" applyAlignment="1">
      <alignment horizontal="center"/>
    </xf>
    <xf numFmtId="0" fontId="0" fillId="0" borderId="22" xfId="0" applyBorder="1"/>
    <xf numFmtId="165" fontId="0" fillId="0" borderId="22" xfId="0" applyNumberFormat="1" applyBorder="1"/>
    <xf numFmtId="165" fontId="0" fillId="0" borderId="43" xfId="0" applyNumberFormat="1" applyBorder="1"/>
    <xf numFmtId="0" fontId="4" fillId="4" borderId="44" xfId="0" applyFont="1" applyFill="1" applyBorder="1"/>
    <xf numFmtId="0" fontId="4" fillId="4" borderId="45" xfId="0" applyFont="1" applyFill="1" applyBorder="1"/>
    <xf numFmtId="164" fontId="0" fillId="0" borderId="46" xfId="0" applyNumberFormat="1" applyBorder="1" applyAlignment="1">
      <alignment horizontal="center"/>
    </xf>
    <xf numFmtId="164" fontId="0" fillId="0" borderId="47" xfId="0" applyNumberFormat="1" applyBorder="1" applyAlignment="1">
      <alignment horizontal="center"/>
    </xf>
    <xf numFmtId="164" fontId="5" fillId="5" borderId="46" xfId="0" applyNumberFormat="1" applyFont="1" applyFill="1" applyBorder="1" applyAlignment="1">
      <alignment horizontal="center"/>
    </xf>
    <xf numFmtId="164" fontId="5" fillId="5" borderId="47" xfId="0" applyNumberFormat="1" applyFont="1" applyFill="1" applyBorder="1" applyAlignment="1">
      <alignment horizontal="center"/>
    </xf>
    <xf numFmtId="164" fontId="0" fillId="0" borderId="48" xfId="0" applyNumberFormat="1" applyBorder="1" applyAlignment="1">
      <alignment horizontal="center"/>
    </xf>
    <xf numFmtId="164" fontId="1" fillId="7" borderId="49" xfId="0" applyNumberFormat="1" applyFont="1" applyFill="1" applyBorder="1" applyAlignment="1">
      <alignment horizontal="center"/>
    </xf>
    <xf numFmtId="0" fontId="3" fillId="0" borderId="36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13" fillId="0" borderId="6" xfId="0" applyFont="1" applyBorder="1" applyAlignment="1">
      <alignment horizontal="left" indent="1"/>
    </xf>
    <xf numFmtId="9" fontId="13" fillId="0" borderId="16" xfId="0" applyNumberFormat="1" applyFont="1" applyBorder="1"/>
    <xf numFmtId="0" fontId="13" fillId="0" borderId="3" xfId="0" applyFont="1" applyBorder="1" applyAlignment="1">
      <alignment horizontal="left" indent="1"/>
    </xf>
    <xf numFmtId="0" fontId="13" fillId="0" borderId="8" xfId="0" applyFont="1" applyBorder="1" applyAlignment="1">
      <alignment horizontal="left" indent="1"/>
    </xf>
    <xf numFmtId="9" fontId="13" fillId="0" borderId="18" xfId="0" applyNumberFormat="1" applyFont="1" applyBorder="1"/>
    <xf numFmtId="0" fontId="0" fillId="0" borderId="3" xfId="0" applyBorder="1" applyAlignment="1">
      <alignment horizontal="center" indent="1"/>
    </xf>
    <xf numFmtId="0" fontId="0" fillId="0" borderId="16" xfId="0" applyBorder="1" applyAlignment="1">
      <alignment horizontal="center" indent="1"/>
    </xf>
    <xf numFmtId="0" fontId="8" fillId="2" borderId="0" xfId="0" applyFont="1" applyFill="1" applyAlignment="1">
      <alignment horizontal="left" vertical="center"/>
    </xf>
    <xf numFmtId="0" fontId="0" fillId="0" borderId="17" xfId="0" applyBorder="1" applyAlignment="1">
      <alignment horizontal="center" indent="1"/>
    </xf>
    <xf numFmtId="0" fontId="0" fillId="0" borderId="18" xfId="0" applyBorder="1" applyAlignment="1">
      <alignment horizontal="center" indent="1"/>
    </xf>
    <xf numFmtId="0" fontId="0" fillId="0" borderId="17" xfId="0" applyBorder="1" applyAlignment="1">
      <alignment horizontal="left"/>
    </xf>
    <xf numFmtId="0" fontId="0" fillId="0" borderId="9" xfId="0" applyBorder="1" applyAlignment="1">
      <alignment horizontal="left"/>
    </xf>
    <xf numFmtId="0" fontId="7" fillId="2" borderId="3" xfId="0" applyFont="1" applyFill="1" applyBorder="1" applyAlignment="1">
      <alignment horizontal="left" vertical="center"/>
    </xf>
    <xf numFmtId="0" fontId="7" fillId="2" borderId="0" xfId="0" applyFont="1" applyFill="1" applyAlignment="1">
      <alignment horizontal="left" vertical="center"/>
    </xf>
    <xf numFmtId="0" fontId="0" fillId="6" borderId="3" xfId="0" applyFill="1" applyBorder="1" applyAlignment="1">
      <alignment horizontal="left"/>
    </xf>
    <xf numFmtId="0" fontId="0" fillId="6" borderId="16" xfId="0" applyFill="1" applyBorder="1" applyAlignment="1">
      <alignment horizontal="left"/>
    </xf>
    <xf numFmtId="0" fontId="3" fillId="6" borderId="6" xfId="0" applyFont="1" applyFill="1" applyBorder="1" applyAlignment="1">
      <alignment horizontal="center"/>
    </xf>
    <xf numFmtId="0" fontId="3" fillId="6" borderId="16" xfId="0" applyFont="1" applyFill="1" applyBorder="1" applyAlignment="1">
      <alignment horizontal="center"/>
    </xf>
    <xf numFmtId="0" fontId="8" fillId="2" borderId="3" xfId="0" applyFont="1" applyFill="1" applyBorder="1" applyAlignment="1">
      <alignment horizontal="left" vertical="center"/>
    </xf>
    <xf numFmtId="0" fontId="3" fillId="0" borderId="10" xfId="0" applyFont="1" applyBorder="1" applyAlignment="1">
      <alignment horizontal="center"/>
    </xf>
    <xf numFmtId="0" fontId="3" fillId="0" borderId="11" xfId="0" applyFont="1" applyBorder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35" xfId="0" applyFont="1" applyBorder="1" applyAlignment="1">
      <alignment horizontal="center" vertical="center"/>
    </xf>
    <xf numFmtId="0" fontId="3" fillId="0" borderId="36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3" xfId="0" applyBorder="1" applyAlignment="1">
      <alignment horizontal="left"/>
    </xf>
    <xf numFmtId="0" fontId="0" fillId="0" borderId="7" xfId="0" applyBorder="1" applyAlignment="1">
      <alignment horizontal="left"/>
    </xf>
    <xf numFmtId="0" fontId="0" fillId="6" borderId="19" xfId="0" applyFill="1" applyBorder="1" applyAlignment="1">
      <alignment horizontal="left"/>
    </xf>
    <xf numFmtId="0" fontId="0" fillId="6" borderId="20" xfId="0" applyFill="1" applyBorder="1" applyAlignment="1">
      <alignment horizontal="left"/>
    </xf>
    <xf numFmtId="0" fontId="12" fillId="9" borderId="6" xfId="0" applyFont="1" applyFill="1" applyBorder="1" applyAlignment="1">
      <alignment horizontal="center"/>
    </xf>
    <xf numFmtId="0" fontId="12" fillId="9" borderId="0" xfId="0" applyFont="1" applyFill="1" applyAlignment="1">
      <alignment horizontal="center"/>
    </xf>
    <xf numFmtId="0" fontId="8" fillId="2" borderId="0" xfId="0" applyFont="1" applyFill="1" applyAlignment="1">
      <alignment horizontal="center" vertical="center"/>
    </xf>
    <xf numFmtId="0" fontId="6" fillId="2" borderId="3" xfId="0" applyFont="1" applyFill="1" applyBorder="1" applyAlignment="1">
      <alignment horizontal="left" vertical="center"/>
    </xf>
    <xf numFmtId="0" fontId="6" fillId="2" borderId="0" xfId="0" applyFont="1" applyFill="1" applyAlignment="1">
      <alignment horizontal="left" vertical="center"/>
    </xf>
    <xf numFmtId="0" fontId="3" fillId="0" borderId="40" xfId="0" applyFont="1" applyBorder="1" applyAlignment="1">
      <alignment horizontal="center"/>
    </xf>
    <xf numFmtId="0" fontId="3" fillId="0" borderId="41" xfId="0" applyFont="1" applyBorder="1" applyAlignment="1">
      <alignment horizontal="center"/>
    </xf>
    <xf numFmtId="0" fontId="3" fillId="0" borderId="29" xfId="0" applyFont="1" applyBorder="1" applyAlignment="1">
      <alignment horizontal="center"/>
    </xf>
    <xf numFmtId="0" fontId="3" fillId="0" borderId="20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0" fillId="0" borderId="22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24" xfId="0" applyBorder="1" applyAlignment="1">
      <alignment horizontal="center"/>
    </xf>
    <xf numFmtId="0" fontId="6" fillId="0" borderId="3" xfId="0" applyFont="1" applyBorder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7" fillId="0" borderId="3" xfId="0" applyFont="1" applyBorder="1" applyAlignment="1">
      <alignment horizontal="left" vertical="center"/>
    </xf>
    <xf numFmtId="0" fontId="7" fillId="0" borderId="0" xfId="0" applyFont="1" applyAlignment="1">
      <alignment horizontal="left" vertical="center"/>
    </xf>
    <xf numFmtId="0" fontId="8" fillId="0" borderId="0" xfId="0" applyFont="1" applyAlignment="1">
      <alignment horizontal="left" vertical="center"/>
    </xf>
    <xf numFmtId="0" fontId="8" fillId="0" borderId="3" xfId="0" applyFont="1" applyBorder="1" applyAlignment="1">
      <alignment horizontal="left" vertical="center"/>
    </xf>
    <xf numFmtId="0" fontId="3" fillId="0" borderId="42" xfId="0" applyFont="1" applyBorder="1" applyAlignment="1">
      <alignment horizontal="center"/>
    </xf>
    <xf numFmtId="0" fontId="10" fillId="0" borderId="19" xfId="0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0" fontId="10" fillId="0" borderId="17" xfId="0" applyFont="1" applyBorder="1" applyAlignment="1">
      <alignment vertical="center"/>
    </xf>
    <xf numFmtId="0" fontId="9" fillId="0" borderId="32" xfId="0" applyFont="1" applyBorder="1" applyAlignment="1">
      <alignment vertical="center"/>
    </xf>
    <xf numFmtId="0" fontId="9" fillId="0" borderId="33" xfId="0" applyFont="1" applyBorder="1" applyAlignment="1">
      <alignment vertical="center"/>
    </xf>
    <xf numFmtId="0" fontId="0" fillId="0" borderId="25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7" xfId="0" applyBorder="1" applyAlignment="1">
      <alignment horizontal="center"/>
    </xf>
    <xf numFmtId="0" fontId="3" fillId="0" borderId="35" xfId="0" applyFont="1" applyBorder="1" applyAlignment="1">
      <alignment vertical="center"/>
    </xf>
    <xf numFmtId="0" fontId="3" fillId="0" borderId="3" xfId="0" applyFont="1" applyBorder="1" applyAlignment="1">
      <alignment vertic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9" fontId="13" fillId="0" borderId="16" xfId="0" applyNumberFormat="1" applyFont="1" applyBorder="1" applyAlignment="1">
      <alignment horizontal="center"/>
    </xf>
    <xf numFmtId="9" fontId="0" fillId="0" borderId="16" xfId="0" applyNumberFormat="1" applyBorder="1" applyAlignment="1">
      <alignment horizontal="center"/>
    </xf>
    <xf numFmtId="9" fontId="13" fillId="0" borderId="18" xfId="0" applyNumberFormat="1" applyFont="1" applyBorder="1" applyAlignment="1">
      <alignment horizontal="center"/>
    </xf>
    <xf numFmtId="9" fontId="0" fillId="0" borderId="18" xfId="0" applyNumberFormat="1" applyBorder="1" applyAlignment="1">
      <alignment horizontal="center"/>
    </xf>
    <xf numFmtId="0" fontId="12" fillId="9" borderId="0" xfId="0" applyFont="1" applyFill="1" applyBorder="1" applyAlignment="1">
      <alignment horizontal="center"/>
    </xf>
    <xf numFmtId="164" fontId="0" fillId="0" borderId="0" xfId="2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12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font>
        <b/>
      </font>
      <numFmt numFmtId="165" formatCode="_(* #,##0_);_(* \(#,##0\);_(* &quot;-&quot;??_);_(@_)"/>
    </dxf>
    <dxf>
      <font>
        <b/>
      </font>
      <numFmt numFmtId="165" formatCode="_(* #,##0_);_(* \(#,##0\);_(* &quot;-&quot;??_);_(@_)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5" formatCode="_(* #,##0_);_(* \(#,##0\);_(* &quot;-&quot;??_);_(@_)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</dxf>
    <dxf>
      <font>
        <b/>
      </font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numFmt numFmtId="165" formatCode="_(* #,##0_);_(* \(#,##0\);_(* &quot;-&quot;??_);_(@_)"/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  <dxf>
      <border outline="0">
        <left style="medium">
          <color rgb="FF000000"/>
        </left>
        <right style="medium">
          <color rgb="FF000000"/>
        </right>
        <top style="medium">
          <color rgb="FF000000"/>
        </top>
        <bottom style="medium">
          <color rgb="FF000000"/>
        </bottom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pivotCacheDefinition" Target="pivotCache/pivotCacheDefinition2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1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5.xml"/><Relationship Id="rId20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3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4.xml"/><Relationship Id="rId23" Type="http://schemas.openxmlformats.org/officeDocument/2006/relationships/customXml" Target="../customXml/item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3.xml"/><Relationship Id="rId22" Type="http://schemas.openxmlformats.org/officeDocument/2006/relationships/customXml" Target="../customXml/item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101849" createdVersion="8" refreshedVersion="8" minRefreshableVersion="3" recordCount="1282" xr:uid="{958B8B1A-2809-4443-AECA-0A186F64CE28}">
  <cacheSource type="worksheet">
    <worksheetSource ref="A1:P1284" sheet="Data"/>
  </cacheSource>
  <cacheFields count="16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101849" createdVersion="8" refreshedVersion="8" minRefreshableVersion="3" recordCount="1282" xr:uid="{84B58E86-1546-4761-BE3E-A1EF1428213D}">
  <cacheSource type="worksheet">
    <worksheetSource ref="A1:R1284" sheet="Data"/>
  </cacheSource>
  <cacheFields count="18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  <cacheField name="Majors Qualifier Adopting Points" numFmtId="0">
      <sharedItems containsString="0" containsBlank="1" containsNumber="1" containsInteger="1" minValue="0" maxValue="2325"/>
    </cacheField>
    <cacheField name="T6 0.75x Only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610" xr:uid="{BD8EA920-B4F5-46C0-A3BD-602F604985DA}">
  <cacheSource type="worksheet">
    <worksheetSource ref="A1:P611" sheet="v2 Data"/>
  </cacheSource>
  <cacheFields count="16">
    <cacheField name="AgencySlug" numFmtId="0">
      <sharedItems containsSemiMixedTypes="0" containsString="0" containsNumber="1" containsInteger="1" minValue="100239" maxValue="141491"/>
    </cacheField>
    <cacheField name="AgencyName" numFmtId="0">
      <sharedItems/>
    </cacheField>
    <cacheField name="AgencySize" numFmtId="0">
      <sharedItems containsSemiMixedTypes="0" containsString="0" containsNumber="1" containsInteger="1" minValue="0" maxValue="6053"/>
    </cacheField>
    <cacheField name="VR_Licenses" numFmtId="0">
      <sharedItems containsSemiMixedTypes="0" containsString="0" containsNumber="1" containsInteger="1" minValue="1" maxValue="4700"/>
    </cacheField>
    <cacheField name="Eligibility_Cohort" numFmtId="0">
      <sharedItems containsSemiMixedTypes="0" containsString="0" containsNumber="1" containsInteger="1" minValue="0" maxValue="60"/>
    </cacheField>
    <cacheField name="T12_SIM_Completions" numFmtId="0">
      <sharedItems containsSemiMixedTypes="0" containsString="0" containsNumber="1" containsInteger="1" minValue="0" maxValue="5270"/>
    </cacheField>
    <cacheField name="T6_SIM_Completions" numFmtId="0">
      <sharedItems containsSemiMixedTypes="0" containsString="0" containsNumber="1" containsInteger="1" minValue="0" maxValue="4598"/>
    </cacheField>
    <cacheField name="T3_SIM_Completions" numFmtId="0">
      <sharedItems containsSemiMixedTypes="0" containsString="0" containsNumber="1" containsInteger="1" minValue="0" maxValue="2890"/>
    </cacheField>
    <cacheField name="T12_SIM_Per_Person" numFmtId="0">
      <sharedItems containsSemiMixedTypes="0" containsString="0" containsNumber="1" minValue="0" maxValue="56.2"/>
    </cacheField>
    <cacheField name="T6_SIM_Per_Person" numFmtId="0">
      <sharedItems containsSemiMixedTypes="0" containsString="0" containsNumber="1" minValue="0" maxValue="36.6"/>
    </cacheField>
    <cacheField name="T3_SIM_Per_Person" numFmtId="0">
      <sharedItems containsSemiMixedTypes="0" containsString="0" containsNumber="1" minValue="0" maxValue="30.2"/>
    </cacheField>
    <cacheField name="T6_Non_SIM_Completions" numFmtId="0">
      <sharedItems containsSemiMixedTypes="0" containsString="0" containsNumber="1" containsInteger="1" minValue="0" maxValue="7055"/>
    </cacheField>
    <cacheField name="2025 Cohort" numFmtId="0">
      <sharedItems/>
    </cacheField>
    <cacheField name="2026 Cohort" numFmtId="0">
      <sharedItems/>
    </cacheField>
    <cacheField name="Line Size" numFmtId="0">
      <sharedItems count="3">
        <s v="T1200"/>
        <s v="Other"/>
        <s v="Major"/>
      </sharedItems>
    </cacheField>
    <cacheField name="No Qualifier Adopting Points" numFmtId="0">
      <sharedItems containsSemiMixedTypes="0" containsString="0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610" xr:uid="{4469096F-B3D2-4C4E-865C-254D263D0FF6}">
  <cacheSource type="worksheet">
    <worksheetSource ref="A1:P611" sheet="v1 Dataset"/>
  </cacheSource>
  <cacheFields count="16">
    <cacheField name="AgencySlug" numFmtId="0">
      <sharedItems containsMixedTypes="1" containsNumber="1" containsInteger="1" minValue="100239" maxValue="584550"/>
    </cacheField>
    <cacheField name="AgencyName" numFmtId="0">
      <sharedItems/>
    </cacheField>
    <cacheField name="AgencySize" numFmtId="0">
      <sharedItems containsSemiMixedTypes="0" containsString="0" containsNumber="1" containsInteger="1" minValue="0" maxValue="6053"/>
    </cacheField>
    <cacheField name="VR_Licenses" numFmtId="0">
      <sharedItems containsSemiMixedTypes="0" containsString="0" containsNumber="1" containsInteger="1" minValue="1" maxValue="4700"/>
    </cacheField>
    <cacheField name="Eligibility_Cohort" numFmtId="0">
      <sharedItems containsSemiMixedTypes="0" containsString="0" containsNumber="1" containsInteger="1" minValue="6" maxValue="60"/>
    </cacheField>
    <cacheField name="T12_SIM_Completions" numFmtId="0">
      <sharedItems containsSemiMixedTypes="0" containsString="0" containsNumber="1" containsInteger="1" minValue="0" maxValue="5270"/>
    </cacheField>
    <cacheField name="T6_SIM_Completions" numFmtId="0">
      <sharedItems containsSemiMixedTypes="0" containsString="0" containsNumber="1" containsInteger="1" minValue="0" maxValue="4598"/>
    </cacheField>
    <cacheField name="T3_SIM_Completions" numFmtId="0">
      <sharedItems containsSemiMixedTypes="0" containsString="0" containsNumber="1" containsInteger="1" minValue="0" maxValue="2890"/>
    </cacheField>
    <cacheField name="T12_SIM_Per_Person" numFmtId="2">
      <sharedItems containsSemiMixedTypes="0" containsString="0" containsNumber="1" minValue="0" maxValue="56.2"/>
    </cacheField>
    <cacheField name="T6_SIM_Per_Person" numFmtId="2">
      <sharedItems containsSemiMixedTypes="0" containsString="0" containsNumber="1" minValue="0" maxValue="36.6"/>
    </cacheField>
    <cacheField name="T3_SIM_Per_Person" numFmtId="2">
      <sharedItems containsSemiMixedTypes="0" containsString="0" containsNumber="1" minValue="0" maxValue="30.2"/>
    </cacheField>
    <cacheField name="T6_Non_SIM_Completions" numFmtId="0">
      <sharedItems containsSemiMixedTypes="0" containsString="0" containsNumber="1" containsInteger="1" minValue="0" maxValue="7055"/>
    </cacheField>
    <cacheField name="2025 Cohort" numFmtId="0">
      <sharedItems count="3">
        <s v="6-12 Months"/>
        <s v="24+ Months"/>
        <s v="12-24 Months"/>
      </sharedItems>
    </cacheField>
    <cacheField name="2026 Cohort" numFmtId="0">
      <sharedItems/>
    </cacheField>
    <cacheField name="Line Size" numFmtId="0">
      <sharedItems count="3">
        <s v="Major"/>
        <s v="T1200"/>
        <s v="Other"/>
      </sharedItems>
    </cacheField>
    <cacheField name="Adopting Points" numFmtId="0">
      <sharedItems containsSemiMixedTypes="0" containsString="0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07.526158333334" createdVersion="8" refreshedVersion="8" minRefreshableVersion="3" recordCount="1282" xr:uid="{4975FBDD-A683-4E65-AA70-2748A88CCD04}">
  <cacheSource type="worksheet">
    <worksheetSource ref="A1:Q1284" sheet="Data"/>
  </cacheSource>
  <cacheFields count="17">
    <cacheField name="AgencySlug" numFmtId="0">
      <sharedItems containsBlank="1" containsMixedTypes="1" containsNumber="1" containsInteger="1" minValue="100239" maxValue="611350"/>
    </cacheField>
    <cacheField name="AgencyName" numFmtId="0">
      <sharedItems containsBlank="1"/>
    </cacheField>
    <cacheField name="AgencySize" numFmtId="0">
      <sharedItems containsString="0" containsBlank="1" containsNumber="1" containsInteger="1" minValue="0" maxValue="6696"/>
    </cacheField>
    <cacheField name="VR_Licenses" numFmtId="0">
      <sharedItems containsString="0" containsBlank="1" containsNumber="1" containsInteger="1" minValue="1" maxValue="4700"/>
    </cacheField>
    <cacheField name="Eligibility_Cohort" numFmtId="0">
      <sharedItems containsString="0" containsBlank="1" containsNumber="1" containsInteger="1" minValue="0" maxValue="60"/>
    </cacheField>
    <cacheField name="T12_SIM_Completions" numFmtId="0">
      <sharedItems containsString="0" containsBlank="1" containsNumber="1" containsInteger="1" minValue="0" maxValue="5270"/>
    </cacheField>
    <cacheField name="T6_SIM_Completions" numFmtId="0">
      <sharedItems containsString="0" containsBlank="1" containsNumber="1" containsInteger="1" minValue="0" maxValue="4598"/>
    </cacheField>
    <cacheField name="T3_SIM_Completions" numFmtId="0">
      <sharedItems containsString="0" containsBlank="1" containsNumber="1" containsInteger="1" minValue="0" maxValue="2890"/>
    </cacheField>
    <cacheField name="T12_SIM_Per_Person" numFmtId="0">
      <sharedItems containsString="0" containsBlank="1" containsNumber="1" minValue="0" maxValue="288"/>
    </cacheField>
    <cacheField name="T6_SIM_Per_Person" numFmtId="0">
      <sharedItems containsString="0" containsBlank="1" containsNumber="1" minValue="0" maxValue="272"/>
    </cacheField>
    <cacheField name="T3_SIM_Per_Person" numFmtId="0">
      <sharedItems containsString="0" containsBlank="1" containsNumber="1" minValue="0" maxValue="272"/>
    </cacheField>
    <cacheField name="T6_Non_SIM_Completions" numFmtId="0">
      <sharedItems containsString="0" containsBlank="1" containsNumber="1" containsInteger="1" minValue="0" maxValue="7055"/>
    </cacheField>
    <cacheField name="2025 Cohort" numFmtId="0">
      <sharedItems containsBlank="1" count="7">
        <s v="24+ Months"/>
        <s v="12-24 Months"/>
        <s v="6-12 Months"/>
        <s v="0-6 Months"/>
        <m/>
        <s v="12-18 Months" u="1"/>
        <s v="18-24 Months" u="1"/>
      </sharedItems>
    </cacheField>
    <cacheField name="2026 Cohort" numFmtId="0">
      <sharedItems containsBlank="1"/>
    </cacheField>
    <cacheField name="Line Size" numFmtId="0">
      <sharedItems containsBlank="1" count="4">
        <s v="Other"/>
        <s v="T1200"/>
        <s v="Major"/>
        <m/>
      </sharedItems>
    </cacheField>
    <cacheField name="No Qualifier Adopting Points" numFmtId="0">
      <sharedItems containsString="0" containsBlank="1" containsNumber="1" containsInteger="1" minValue="0" maxValue="2325"/>
    </cacheField>
    <cacheField name="Majors Qualifier Adopting Points" numFmtId="0">
      <sharedItems containsString="0" containsBlank="1" containsNumber="1" containsInteger="1" minValue="0" maxValue="232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</r>
  <r>
    <m/>
    <m/>
    <m/>
    <m/>
    <m/>
    <m/>
    <m/>
    <m/>
    <m/>
    <m/>
    <m/>
    <m/>
    <x v="4"/>
    <m/>
    <x v="3"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  <n v="88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  <n v="0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  <n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  <n v="148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  <n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  <n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  <n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  <n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  <n v="0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  <n v="0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  <n v="0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  <n v="0"/>
    <n v="162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  <n v="0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  <n v="0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  <n v="0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  <n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  <n v="18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  <n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  <n v="29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  <n v="0"/>
    <n v="55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  <n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  <n v="58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  <n v="0"/>
    <n v="78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  <n v="105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  <n v="150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  <n v="0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  <n v="0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  <n v="0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  <n v="0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  <n v="1904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  <n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  <n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  <n v="140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  <n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  <n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  <n v="78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  <n v="85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  <n v="0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  <n v="0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  <n v="0"/>
    <n v="4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  <n v="0"/>
    <n v="31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  <n v="38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  <n v="0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  <n v="0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  <n v="0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  <n v="0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  <n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  <n v="0"/>
    <n v="75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  <n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  <n v="0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  <n v="152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  <n v="0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  <n v="0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  <n v="0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  <n v="1993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  <n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  <n v="17"/>
    <n v="0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  <n v="0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  <n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  <n v="0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  <n v="90"/>
    <n v="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  <n v="0"/>
    <n v="85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  <n v="0"/>
    <n v="198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  <n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  <n v="0"/>
    <n v="223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  <n v="0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  <n v="267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  <n v="0"/>
    <n v="344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  <n v="0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  <n v="0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  <n v="0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  <n v="0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  <n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  <n v="0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  <n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  <n v="0"/>
    <n v="52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  <n v="570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  <n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  <n v="46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  <n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  <n v="166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  <n v="0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  <n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  <n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  <n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  <n v="0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  <n v="0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  <n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  <n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  <n v="0"/>
    <n v="84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  <n v="375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  <n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  <n v="0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  <n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  <n v="0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  <n v="0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  <n v="151"/>
    <n v="0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  <n v="0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  <n v="0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  <n v="327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  <n v="0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  <n v="552"/>
    <n v="0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  <n v="0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  <n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  <n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  <n v="75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  <n v="0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  <n v="0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  <n v="247"/>
    <n v="0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  <n v="0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  <n v="0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  <n v="1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  <n v="0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  <n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  <n v="8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  <n v="0"/>
    <n v="25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  <n v="0"/>
    <n v="25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  <n v="73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  <n v="0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  <n v="0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  <n v="0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  <n v="0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  <n v="992"/>
    <n v="0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  <n v="0"/>
    <n v="18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  <n v="26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  <n v="0"/>
    <n v="377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  <n v="0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  <n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  <n v="0"/>
    <n v="36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  <n v="101"/>
    <n v="0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  <n v="0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  <n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  <n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  <n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  <n v="0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  <n v="0"/>
    <n v="183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  <n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  <n v="250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  <n v="0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  <n v="0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  <n v="0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  <n v="0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  <n v="0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  <n v="745"/>
    <n v="0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  <n v="0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  <n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  <n v="23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  <n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  <n v="0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  <n v="0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  <n v="0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  <n v="0"/>
    <n v="189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  <n v="0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  <n v="0"/>
    <n v="703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  <n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  <n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  <n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  <n v="0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  <n v="2200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  <n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  <n v="0"/>
    <n v="7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  <n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  <n v="16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  <n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  <n v="0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  <n v="13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  <n v="0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  <n v="0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  <n v="210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  <n v="0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  <n v="655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  <n v="0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  <n v="0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  <n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  <n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  <n v="14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  <n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  <n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  <n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  <n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  <n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  <n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  <n v="3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  <n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  <n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  <n v="0"/>
    <n v="4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  <n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  <n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  <n v="100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  <n v="105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  <n v="0"/>
    <n v="125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  <n v="0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  <n v="23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  <n v="0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  <n v="296"/>
    <n v="0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  <n v="314"/>
    <n v="0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  <n v="0"/>
    <n v="487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  <n v="950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  <n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  <n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  <n v="0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  <n v="3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  <n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  <n v="54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  <n v="0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  <n v="0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  <n v="0"/>
    <n v="14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  <n v="157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  <n v="0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  <n v="0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  <n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  <n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  <n v="17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  <n v="0"/>
    <n v="24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  <n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  <n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  <n v="0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  <n v="186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  <n v="0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  <n v="0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  <n v="600"/>
    <n v="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  <n v="0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  <n v="1"/>
    <n v="0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  <n v="2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  <n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  <n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  <n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  <n v="130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  <n v="327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  <n v="0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  <n v="6"/>
    <n v="0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  <n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  <n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  <n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  <n v="16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  <n v="322"/>
    <n v="0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  <n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  <n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  <n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  <n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  <n v="0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  <n v="0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  <n v="0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  <n v="0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  <n v="0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  <n v="505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  <n v="0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  <n v="0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  <n v="1079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  <n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  <n v="0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  <n v="0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  <n v="7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  <n v="14"/>
    <n v="0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  <n v="14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  <n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  <n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  <n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  <n v="0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  <n v="0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  <n v="8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  <n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  <n v="20"/>
    <n v="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  <n v="25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  <n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  <n v="0"/>
    <n v="48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  <n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  <n v="59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  <n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  <n v="112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  <n v="0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  <n v="0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  <n v="154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  <n v="164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  <n v="0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  <n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  <n v="2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  <n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  <n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  <n v="0"/>
    <n v="13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  <n v="15"/>
    <n v="0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  <n v="16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  <n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  <n v="20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  <n v="22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  <n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  <n v="38"/>
    <n v="0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  <n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  <n v="48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  <n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  <n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  <n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  <n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  <n v="91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  <n v="0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  <n v="115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  <n v="0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  <n v="0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  <n v="139"/>
    <n v="0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  <n v="0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  <n v="213"/>
    <n v="0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  <n v="255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  <n v="295"/>
    <n v="0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  <n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  <n v="0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  <n v="0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  <n v="0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  <n v="0"/>
    <n v="1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  <n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  <n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  <n v="12"/>
    <n v="0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  <n v="0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  <n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  <n v="17"/>
    <n v="0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  <n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  <n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  <n v="31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  <n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  <n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  <n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  <n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  <n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  <n v="63"/>
    <n v="0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  <n v="67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  <n v="75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  <n v="0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  <n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  <n v="0"/>
    <n v="8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  <n v="9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  <n v="104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  <n v="129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  <n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  <n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  <n v="0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  <n v="0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  <n v="0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  <n v="0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  <n v="0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  <n v="1240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  <n v="1328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  <n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  <n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  <n v="0"/>
    <n v="16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  <n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  <n v="24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  <n v="25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  <n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  <n v="3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  <n v="0"/>
    <n v="33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  <n v="0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  <n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  <n v="54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  <n v="58"/>
    <n v="0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  <n v="67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  <n v="0"/>
    <n v="8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  <n v="0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  <n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  <n v="84"/>
    <n v="0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  <n v="92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  <n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  <n v="0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  <n v="105"/>
    <n v="0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  <n v="106"/>
    <n v="0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  <n v="0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  <n v="136"/>
    <n v="0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  <n v="19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  <n v="20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  <n v="0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  <n v="0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  <n v="0"/>
    <n v="438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  <n v="558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  <n v="928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  <n v="0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  <n v="2325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  <n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  <n v="3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  <n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  <n v="14"/>
    <n v="0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  <n v="15"/>
    <n v="0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  <n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  <n v="0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  <n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  <n v="25"/>
    <n v="0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  <n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  <n v="25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  <n v="25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  <n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  <n v="35"/>
    <n v="0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  <n v="0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  <n v="47"/>
    <n v="0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  <n v="51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  <n v="51"/>
    <n v="0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  <n v="0"/>
    <n v="55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  <n v="58"/>
    <n v="0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  <n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  <n v="71"/>
    <n v="0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  <n v="82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  <n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  <n v="101"/>
    <n v="0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  <n v="0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  <n v="119"/>
    <n v="0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  <n v="0"/>
    <n v="128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  <n v="144"/>
    <n v="0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  <n v="0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  <n v="0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  <n v="0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  <n v="0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  <n v="206"/>
    <n v="0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  <n v="209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  <n v="0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  <n v="0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  <n v="0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  <n v="0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  <n v="236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  <n v="239"/>
    <n v="0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  <n v="248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  <n v="248"/>
    <n v="0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  <n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  <n v="255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  <n v="0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  <n v="565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  <n v="625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  <n v="896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  <n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  <n v="1335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  <n v="0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  <n v="2194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  <n v="2248"/>
    <n v="0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  <n v="0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  <n v="1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  <n v="1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  <n v="1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  <n v="0"/>
    <n v="1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  <n v="2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  <n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  <n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  <n v="5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  <n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  <n v="7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  <n v="8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  <n v="8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  <n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  <n v="9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  <n v="1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  <n v="12"/>
    <n v="0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  <n v="15"/>
    <n v="0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  <n v="15"/>
    <n v="0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  <n v="18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  <n v="19"/>
    <n v="0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  <n v="24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  <n v="29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  <n v="4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  <n v="4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  <n v="43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  <n v="49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  <n v="49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  <n v="5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  <n v="5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  <n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  <n v="0"/>
    <n v="61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  <n v="62"/>
    <n v="0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  <n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  <n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  <n v="7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  <n v="80"/>
    <n v="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  <n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  <n v="96"/>
    <n v="0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  <n v="98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  <n v="114"/>
    <n v="0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  <n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  <n v="117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  <n v="0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  <n v="123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  <n v="135"/>
    <n v="0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  <n v="0"/>
    <n v="15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  <n v="170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  <n v="0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  <n v="205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  <n v="335"/>
    <n v="0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  <n v="650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  <n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  <n v="1358"/>
    <n v="0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  <n v="1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  <n v="1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  <n v="1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  <n v="2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  <n v="2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  <n v="3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  <n v="3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  <n v="0"/>
    <n v="3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  <n v="5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  <n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  <n v="1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  <n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  <n v="0"/>
    <n v="23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  <n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  <n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  <n v="39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  <n v="43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  <n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  <n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  <n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  <n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  <n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  <n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  <n v="114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  <n v="152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  <n v="152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  <n v="0"/>
    <n v="162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  <n v="0"/>
    <n v="164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  <n v="0"/>
    <n v="187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  <n v="0"/>
    <n v="21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  <n v="0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  <n v="0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  <n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  <n v="2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  <n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  <n v="3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  <n v="3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  <n v="8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  <n v="0"/>
    <n v="1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  <n v="1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  <n v="15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  <n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  <n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  <n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  <n v="28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  <n v="0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  <n v="0"/>
    <n v="43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  <n v="45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  <n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  <n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  <n v="0"/>
    <n v="92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  <n v="120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  <n v="120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  <n v="0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  <n v="0"/>
    <n v="123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  <n v="147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  <n v="151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  <n v="0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  <n v="0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  <n v="0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  <n v="0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  <n v="690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  <n v="0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  <n v="0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  <n v="0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  <n v="0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  <n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  <n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  <n v="1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  <n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  <n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  <n v="0"/>
    <n v="1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  <n v="1"/>
    <n v="0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  <n v="1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  <n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  <n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  <n v="0"/>
    <n v="2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  <n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  <n v="2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  <n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  <n v="0"/>
    <n v="4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  <n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  <n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  <n v="4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  <n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  <n v="5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  <n v="5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  <n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  <n v="9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  <n v="1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  <n v="0"/>
    <n v="11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  <n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  <n v="14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  <n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  <n v="16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  <n v="16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  <n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  <n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  <n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  <n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  <n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  <n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  <n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  <n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  <n v="24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  <n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  <n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  <n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  <n v="32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  <n v="32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  <n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  <n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  <n v="0"/>
    <n v="4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  <n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  <n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  <n v="0"/>
    <n v="57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  <n v="0"/>
    <n v="65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  <n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  <n v="79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  <n v="105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  <n v="0"/>
    <n v="171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  <n v="0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  <n v="0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  <n v="464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  <n v="75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  <n v="1651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  <n v="0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  <n v="0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  <n v="0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  <n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  <n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  <n v="1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  <n v="0"/>
    <n v="1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  <n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  <n v="1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  <n v="0"/>
    <n v="2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  <n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  <n v="2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  <n v="3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  <n v="3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  <n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  <n v="5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  <n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  <n v="6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  <n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  <n v="7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  <n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  <n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  <n v="8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  <n v="9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  <n v="9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  <n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  <n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  <n v="1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  <n v="0"/>
    <n v="1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  <n v="0"/>
    <n v="11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  <n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  <n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  <n v="13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  <n v="13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  <n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  <n v="0"/>
    <n v="15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  <n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  <n v="16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  <n v="16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  <n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  <n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  <n v="0"/>
    <n v="2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  <n v="0"/>
    <n v="2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  <n v="0"/>
    <n v="2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  <n v="21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  <n v="23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  <n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  <n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  <n v="3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  <n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  <n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  <n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  <n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  <n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  <n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  <n v="0"/>
    <n v="51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  <n v="52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  <n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  <n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  <n v="0"/>
    <n v="68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  <n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  <n v="0"/>
    <n v="82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  <n v="0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  <n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  <n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  <n v="99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  <n v="0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  <n v="0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  <n v="0"/>
    <n v="123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  <n v="0"/>
    <n v="126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  <n v="155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  <n v="0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  <n v="0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  <n v="208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  <n v="0"/>
    <n v="373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  <n v="402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  <n v="0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  <n v="426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  <n v="0"/>
    <n v="80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  <n v="895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  <n v="0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  <n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  <n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  <n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  <n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  <n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  <n v="2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  <n v="0"/>
    <n v="3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  <n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  <n v="3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  <n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  <n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  <n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  <n v="4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  <n v="5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  <n v="0"/>
    <n v="5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  <n v="0"/>
    <n v="5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  <n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  <n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  <n v="0"/>
    <n v="6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  <n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  <n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  <n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  <n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  <n v="0"/>
    <n v="8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  <n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  <n v="0"/>
    <n v="1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  <n v="12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  <n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  <n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  <n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  <n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  <n v="14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  <n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  <n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  <n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  <n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  <n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  <n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  <n v="2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  <n v="21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  <n v="0"/>
    <n v="23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  <n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  <n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  <n v="0"/>
    <n v="25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  <n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  <n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  <n v="33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  <n v="0"/>
    <n v="33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  <n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  <n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  <n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  <n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  <n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  <n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  <n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  <n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  <n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  <n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  <n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  <n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  <n v="56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  <n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  <n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  <n v="7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  <n v="0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  <n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  <n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  <n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  <n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  <n v="0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  <n v="0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  <n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  <n v="117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  <n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  <n v="0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  <n v="0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  <n v="0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  <n v="0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  <n v="0"/>
    <n v="14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  <n v="0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  <n v="0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  <n v="0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  <n v="0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  <n v="0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  <n v="0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  <n v="0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  <n v="0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  <n v="0"/>
    <n v="1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  <n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  <n v="1"/>
    <n v="0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  <n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  <n v="1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  <n v="2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  <n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  <n v="2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  <n v="0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  <n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  <n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  <n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  <n v="4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  <n v="5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  <n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  <n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  <n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  <n v="7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  <n v="7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  <n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  <n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  <n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  <n v="8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  <n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  <n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  <n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  <n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  <n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  <n v="1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  <n v="1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  <n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  <n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  <n v="0"/>
    <n v="11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  <n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  <n v="12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  <n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  <n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  <n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  <n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  <n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  <n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  <n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  <n v="16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  <n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  <n v="0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  <n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  <n v="0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  <n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  <n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  <n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  <n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  <n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  <n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  <n v="0"/>
    <n v="22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  <n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  <n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  <n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  <n v="0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  <n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  <n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  <n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  <n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  <n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  <n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  <n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  <n v="0"/>
    <n v="32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  <n v="0"/>
    <n v="32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  <n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  <n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  <n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  <n v="52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  <n v="0"/>
    <n v="54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  <n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  <n v="6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  <n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  <n v="0"/>
    <n v="7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  <n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  <n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  <n v="82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  <n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  <n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  <n v="0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  <n v="0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  <n v="0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  <n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  <n v="150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  <n v="0"/>
    <n v="156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  <n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  <n v="0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  <n v="0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  <n v="220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  <n v="0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  <n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  <n v="0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  <n v="0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  <n v="0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  <n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  <n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  <n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  <n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  <n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  <n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  <n v="0"/>
    <n v="1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  <n v="1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  <n v="0"/>
    <n v="1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  <n v="0"/>
    <n v="1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  <n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  <n v="0"/>
    <n v="1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  <n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  <n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  <n v="2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  <n v="2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  <n v="2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  <n v="0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  <n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  <n v="2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  <n v="2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  <n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  <n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  <n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  <n v="0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  <n v="0"/>
    <n v="3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  <n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  <n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  <n v="0"/>
    <n v="4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  <n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  <n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  <n v="0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  <n v="0"/>
    <n v="5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  <n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  <n v="0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  <n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  <n v="5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  <n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  <n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  <n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  <n v="0"/>
    <n v="6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  <n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  <n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  <n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  <n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  <n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  <n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  <n v="8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  <n v="0"/>
    <n v="8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  <n v="8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  <n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  <n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  <n v="8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  <n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  <n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  <n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  <n v="9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  <n v="0"/>
    <n v="9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  <n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  <n v="0"/>
    <n v="1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  <n v="1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  <n v="1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  <n v="1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  <n v="11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  <n v="11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  <n v="0"/>
    <n v="11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  <n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  <n v="0"/>
    <n v="13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  <n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  <n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  <n v="14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  <n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  <n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  <n v="0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  <n v="0"/>
    <n v="14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  <n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  <n v="0"/>
    <n v="14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  <n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  <n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  <n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  <n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  <n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  <n v="0"/>
    <n v="16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  <n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  <n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  <n v="0"/>
    <n v="16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  <n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  <n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  <n v="18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  <n v="18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  <n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  <n v="0"/>
    <n v="18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  <n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  <n v="2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  <n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  <n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  <n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  <n v="0"/>
    <n v="22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  <n v="22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  <n v="0"/>
    <n v="22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  <n v="0"/>
    <n v="22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  <n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  <n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  <n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  <n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  <n v="0"/>
    <n v="28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  <n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  <n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  <n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  <n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  <n v="0"/>
    <n v="31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  <n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  <n v="0"/>
    <n v="33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  <n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  <n v="0"/>
    <n v="35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  <n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  <n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  <n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  <n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  <n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  <n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  <n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  <n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  <n v="0"/>
    <n v="48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  <n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  <n v="0"/>
    <n v="52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  <n v="55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  <n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  <n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  <n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  <n v="0"/>
    <n v="6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  <n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  <n v="0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  <n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  <n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  <n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  <n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  <n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  <n v="0"/>
    <n v="91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  <n v="0"/>
    <n v="98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  <n v="0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  <n v="0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  <n v="0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  <n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  <n v="0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  <n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  <n v="0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  <n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  <n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  <n v="0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  <n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  <n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  <n v="0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  <n v="0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  <n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  <n v="0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  <n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  <n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  <n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  <n v="1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  <n v="1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  <n v="0"/>
    <n v="1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  <n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  <n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  <n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  <n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  <n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  <n v="0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  <n v="2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  <n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  <n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  <n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  <n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  <n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  <n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  <n v="3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  <n v="3"/>
    <n v="0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  <n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  <n v="0"/>
    <n v="4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  <n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  <n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  <n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  <n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  <n v="0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  <n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  <n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  <n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  <n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  <n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  <n v="6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  <n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  <n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  <n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  <n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  <n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  <n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  <n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  <n v="8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  <n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  <n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  <n v="9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  <n v="1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  <n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  <n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  <n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  <n v="0"/>
    <n v="1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  <n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  <n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  <n v="12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  <n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  <n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  <n v="13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  <n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  <n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  <n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  <n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  <n v="14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  <n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  <n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  <n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  <n v="0"/>
    <n v="15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  <n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  <n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  <n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  <n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  <n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  <n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  <n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  <n v="0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  <n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  <n v="22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  <n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  <n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  <n v="0"/>
    <n v="23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  <n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  <n v="25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  <n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  <n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  <n v="26"/>
    <n v="0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  <n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  <n v="0"/>
    <n v="27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  <n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  <n v="0"/>
    <n v="28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  <n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  <n v="0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  <n v="0"/>
    <n v="3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  <n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  <n v="31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  <n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  <n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  <n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  <n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  <n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  <n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  <n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  <n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  <n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  <n v="47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  <n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  <n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  <n v="0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  <n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  <n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  <n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  <n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  <n v="75"/>
    <n v="0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  <n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  <n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  <n v="0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  <n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  <n v="0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  <n v="0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  <n v="0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  <n v="0"/>
    <n v="124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  <n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  <n v="0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  <n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  <n v="0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  <n v="0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  <n v="0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  <n v="0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  <n v="0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  <n v="0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  <n v="0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  <n v="0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  <n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  <n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  <n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  <n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  <n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  <n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  <n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  <n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  <n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  <n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  <n v="0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  <n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  <n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  <n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  <n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  <n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  <n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  <n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  <n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  <n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  <n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  <n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  <n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  <n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  <n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  <n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  <n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  <n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  <n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  <n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  <n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  <n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  <n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  <n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  <n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  <n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  <n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  <n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  <n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  <n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  <n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  <n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  <n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  <n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  <n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  <n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  <n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  <n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  <n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  <n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  <n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  <n v="2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  <n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  <n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  <n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  <n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  <n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  <n v="0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  <n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  <n v="0"/>
    <n v="5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  <n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  <n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  <n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  <n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  <n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  <n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  <n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  <n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  <n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  <n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  <n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  <n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  <n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  <n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  <n v="0"/>
    <n v="14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  <n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  <n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  <n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  <n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  <n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  <n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  <n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  <n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  <n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  <n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  <n v="0"/>
    <n v="19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  <n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  <n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  <n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  <n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  <n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  <n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  <n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  <n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  <n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  <n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  <n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  <n v="0"/>
    <n v="3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  <n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  <n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  <n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  <n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  <n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  <n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  <n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  <n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  <n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  <n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  <n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  <n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  <n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  <n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  <n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  <n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  <n v="0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  <n v="0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  <n v="0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  <n v="225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  <n v="0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  <n v="0"/>
    <n v="0"/>
  </r>
  <r>
    <m/>
    <m/>
    <m/>
    <m/>
    <m/>
    <m/>
    <m/>
    <m/>
    <m/>
    <m/>
    <m/>
    <m/>
    <x v="4"/>
    <m/>
    <x v="3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00239"/>
    <s v="Culver City Police Department - CA"/>
    <n v="100"/>
    <n v="100"/>
    <n v="11"/>
    <n v="133"/>
    <n v="0"/>
    <n v="0"/>
    <n v="1.33"/>
    <n v="0"/>
    <n v="0"/>
    <n v="0"/>
    <s v="6-12 Months"/>
    <s v="18-24 Months"/>
    <x v="0"/>
    <n v="0"/>
  </r>
  <r>
    <n v="105331"/>
    <s v="Glendale Police Dept. - AZ"/>
    <n v="480"/>
    <n v="487"/>
    <n v="40"/>
    <n v="6"/>
    <n v="0"/>
    <n v="0"/>
    <n v="0.01"/>
    <n v="0"/>
    <n v="0"/>
    <n v="0"/>
    <s v="24+ Months"/>
    <s v="24+ Months"/>
    <x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s v="24+ Months"/>
    <s v="24+ Months"/>
    <x v="1"/>
    <n v="0"/>
  </r>
  <r>
    <n v="105459"/>
    <s v="Gering Police Department - NE"/>
    <n v="23"/>
    <n v="21"/>
    <n v="0"/>
    <n v="0"/>
    <n v="0"/>
    <n v="0"/>
    <n v="0"/>
    <n v="0"/>
    <n v="0"/>
    <n v="0"/>
    <s v="0-6 Months"/>
    <s v="12-18 Months"/>
    <x v="1"/>
    <n v="0"/>
  </r>
  <r>
    <n v="105469"/>
    <s v="San Bernardino County Sheriff's Dept. - CA"/>
    <n v="950"/>
    <n v="1000"/>
    <n v="10"/>
    <n v="5114"/>
    <n v="664"/>
    <n v="211"/>
    <n v="5.1100000000000003"/>
    <n v="0.66"/>
    <n v="0.21"/>
    <n v="20"/>
    <s v="6-12 Months"/>
    <s v="18-24 Months"/>
    <x v="2"/>
    <n v="950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s v="12-24 Months"/>
    <s v="24+ Months"/>
    <x v="0"/>
    <n v="0"/>
  </r>
  <r>
    <n v="105516"/>
    <s v="Mesa Police Department"/>
    <n v="1079"/>
    <n v="720"/>
    <n v="16"/>
    <n v="762"/>
    <n v="623"/>
    <n v="538"/>
    <n v="1.06"/>
    <n v="0.87"/>
    <n v="0.75"/>
    <n v="8"/>
    <s v="12-24 Months"/>
    <s v="24+ Months"/>
    <x v="2"/>
    <n v="1079"/>
  </r>
  <r>
    <n v="105678"/>
    <s v="East Point Police Dept. - GA"/>
    <n v="90"/>
    <n v="115"/>
    <n v="42"/>
    <n v="265"/>
    <n v="63"/>
    <n v="58"/>
    <n v="2.2999999999999998"/>
    <n v="0.55000000000000004"/>
    <n v="0.5"/>
    <n v="256"/>
    <s v="24+ Months"/>
    <s v="24+ Months"/>
    <x v="0"/>
    <n v="90"/>
  </r>
  <r>
    <n v="105690"/>
    <s v="Laurens County Sheriff's Office - SC"/>
    <n v="140"/>
    <n v="100"/>
    <n v="0"/>
    <n v="3"/>
    <n v="3"/>
    <n v="3"/>
    <n v="0.03"/>
    <n v="0.03"/>
    <n v="0.03"/>
    <n v="0"/>
    <s v="0-6 Months"/>
    <s v="12-18 Months"/>
    <x v="0"/>
    <n v="0"/>
  </r>
  <r>
    <n v="105702"/>
    <s v="Tampa Police Department - FL"/>
    <n v="928"/>
    <n v="1000"/>
    <n v="11"/>
    <n v="1795"/>
    <n v="1068"/>
    <n v="99"/>
    <n v="1.8"/>
    <n v="1.07"/>
    <n v="0.1"/>
    <n v="63"/>
    <s v="6-12 Months"/>
    <s v="18-24 Months"/>
    <x v="2"/>
    <n v="928"/>
  </r>
  <r>
    <n v="105703"/>
    <s v="Yuma County Sheriff's Office - AZ"/>
    <n v="71"/>
    <n v="100"/>
    <n v="2"/>
    <n v="0"/>
    <n v="0"/>
    <n v="0"/>
    <n v="0"/>
    <n v="0"/>
    <n v="0"/>
    <n v="0"/>
    <s v="0-6 Months"/>
    <s v="12-18 Months"/>
    <x v="0"/>
    <n v="0"/>
  </r>
  <r>
    <n v="105706"/>
    <s v="Aurora Police Dept. - CO"/>
    <n v="760"/>
    <n v="778"/>
    <n v="34"/>
    <n v="66"/>
    <n v="26"/>
    <n v="20"/>
    <n v="0.08"/>
    <n v="0.03"/>
    <n v="0.03"/>
    <n v="807"/>
    <s v="24+ Months"/>
    <s v="24+ Months"/>
    <x v="2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s v="24+ Months"/>
    <s v="24+ Months"/>
    <x v="0"/>
    <n v="0"/>
  </r>
  <r>
    <n v="105730"/>
    <s v="Ogdensburg Police Dept. - NY"/>
    <n v="15"/>
    <n v="23"/>
    <n v="2"/>
    <n v="5"/>
    <n v="5"/>
    <n v="5"/>
    <n v="0.22"/>
    <n v="0.22"/>
    <n v="0.22"/>
    <n v="0"/>
    <s v="0-6 Months"/>
    <s v="12-18 Months"/>
    <x v="1"/>
    <n v="0"/>
  </r>
  <r>
    <n v="105751"/>
    <s v="Westminster Police Dept. - CO"/>
    <n v="248"/>
    <n v="205"/>
    <n v="10"/>
    <n v="478"/>
    <n v="204"/>
    <n v="104"/>
    <n v="2.33"/>
    <n v="1"/>
    <n v="0.51"/>
    <n v="39"/>
    <s v="6-12 Months"/>
    <s v="18-24 Months"/>
    <x v="0"/>
    <n v="248"/>
  </r>
  <r>
    <n v="105754"/>
    <s v="Corona Police Dept. - CA"/>
    <n v="228"/>
    <n v="166"/>
    <n v="21"/>
    <n v="0"/>
    <n v="0"/>
    <n v="0"/>
    <n v="0"/>
    <n v="0"/>
    <n v="0"/>
    <n v="0"/>
    <s v="12-24 Months"/>
    <s v="24+ Months"/>
    <x v="0"/>
    <n v="0"/>
  </r>
  <r>
    <n v="105756"/>
    <s v="Pueblo Police Department - CO"/>
    <n v="195"/>
    <n v="271"/>
    <n v="9"/>
    <n v="206"/>
    <n v="151"/>
    <n v="104"/>
    <n v="0.76"/>
    <n v="0.56000000000000005"/>
    <n v="0.38"/>
    <n v="130"/>
    <s v="6-12 Months"/>
    <s v="18-24 Months"/>
    <x v="0"/>
    <n v="0"/>
  </r>
  <r>
    <n v="105779"/>
    <s v="Amarillo Police Dept - TX"/>
    <n v="446"/>
    <n v="268"/>
    <n v="18"/>
    <n v="144"/>
    <n v="17"/>
    <n v="4"/>
    <n v="0.54"/>
    <n v="0.06"/>
    <n v="0.01"/>
    <n v="9"/>
    <s v="12-24 Months"/>
    <s v="24+ Months"/>
    <x v="0"/>
    <n v="0"/>
  </r>
  <r>
    <n v="105780"/>
    <s v="Homestead Police Dept.- FL"/>
    <n v="120"/>
    <n v="156"/>
    <n v="7"/>
    <n v="427"/>
    <n v="427"/>
    <n v="325"/>
    <n v="2.74"/>
    <n v="2.74"/>
    <n v="2.08"/>
    <n v="22"/>
    <s v="6-12 Months"/>
    <s v="18-24 Months"/>
    <x v="0"/>
    <n v="12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s v="24+ Months"/>
    <s v="24+ Months"/>
    <x v="2"/>
    <n v="1993"/>
  </r>
  <r>
    <n v="105904"/>
    <s v="University of Utah Police Dept. - UT"/>
    <n v="45"/>
    <n v="46"/>
    <n v="7"/>
    <n v="182"/>
    <n v="182"/>
    <n v="161"/>
    <n v="3.96"/>
    <n v="3.96"/>
    <n v="3.5"/>
    <n v="39"/>
    <s v="6-12 Months"/>
    <s v="18-24 Months"/>
    <x v="1"/>
    <n v="45"/>
  </r>
  <r>
    <n v="106000"/>
    <s v="Atlanta Police Dept. - GA"/>
    <n v="1800"/>
    <n v="2337"/>
    <n v="33"/>
    <n v="277"/>
    <n v="164"/>
    <n v="134"/>
    <n v="0.12"/>
    <n v="7.0000000000000007E-2"/>
    <n v="0.06"/>
    <n v="0"/>
    <s v="24+ Months"/>
    <s v="24+ Months"/>
    <x v="2"/>
    <n v="0"/>
  </r>
  <r>
    <n v="106051"/>
    <s v="Spring Lake Park Police Dept. - MN"/>
    <n v="12"/>
    <n v="11"/>
    <n v="1"/>
    <n v="23"/>
    <n v="23"/>
    <n v="23"/>
    <n v="2.09"/>
    <n v="2.09"/>
    <n v="2.09"/>
    <n v="0"/>
    <s v="0-6 Months"/>
    <s v="12-18 Months"/>
    <x v="1"/>
    <n v="12"/>
  </r>
  <r>
    <n v="106135"/>
    <s v="Commerce City Police Department - CO"/>
    <n v="92"/>
    <n v="145"/>
    <n v="11"/>
    <n v="417"/>
    <n v="375"/>
    <n v="23"/>
    <n v="2.88"/>
    <n v="2.59"/>
    <n v="0.16"/>
    <n v="4"/>
    <s v="6-12 Months"/>
    <s v="18-24 Months"/>
    <x v="0"/>
    <n v="92"/>
  </r>
  <r>
    <n v="106139"/>
    <s v="San Diego State Univ. PD CSU campus - CA"/>
    <n v="50"/>
    <n v="92"/>
    <n v="6"/>
    <n v="0"/>
    <n v="0"/>
    <n v="0"/>
    <n v="0"/>
    <n v="0"/>
    <n v="0"/>
    <n v="0"/>
    <s v="6-12 Months"/>
    <s v="18-24 Months"/>
    <x v="1"/>
    <n v="0"/>
  </r>
  <r>
    <n v="106155"/>
    <s v="Phoenix Police Dept. - AZ"/>
    <n v="3183"/>
    <n v="2850"/>
    <n v="22"/>
    <n v="1210"/>
    <n v="987"/>
    <n v="0"/>
    <n v="0.42"/>
    <n v="0.35"/>
    <n v="0"/>
    <n v="0"/>
    <s v="12-24 Months"/>
    <s v="24+ Months"/>
    <x v="2"/>
    <n v="0"/>
  </r>
  <r>
    <n v="106169"/>
    <s v="LOUISIANA STATE PENITENTIARY"/>
    <n v="1"/>
    <n v="20"/>
    <n v="26"/>
    <n v="16"/>
    <n v="0"/>
    <n v="0"/>
    <n v="0.8"/>
    <n v="0"/>
    <n v="0"/>
    <n v="0"/>
    <s v="24+ Months"/>
    <s v="24+ Months"/>
    <x v="1"/>
    <n v="0"/>
  </r>
  <r>
    <n v="106197"/>
    <s v="Town of Tonawanda Police Department - NY"/>
    <n v="100"/>
    <n v="100"/>
    <n v="11"/>
    <n v="9"/>
    <n v="9"/>
    <n v="9"/>
    <n v="0.09"/>
    <n v="0.09"/>
    <n v="0.09"/>
    <n v="14"/>
    <s v="6-12 Months"/>
    <s v="18-24 Months"/>
    <x v="0"/>
    <n v="0"/>
  </r>
  <r>
    <n v="106199"/>
    <s v="Greenburgh Police Dept. - NY"/>
    <n v="109"/>
    <n v="62"/>
    <n v="34"/>
    <n v="11"/>
    <n v="11"/>
    <n v="7"/>
    <n v="0.18"/>
    <n v="0.18"/>
    <n v="0.11"/>
    <n v="2"/>
    <s v="24+ Months"/>
    <s v="24+ Months"/>
    <x v="1"/>
    <n v="0"/>
  </r>
  <r>
    <n v="106262"/>
    <s v="Manteca Police Dept. - CA"/>
    <n v="96"/>
    <n v="82"/>
    <n v="4"/>
    <n v="1"/>
    <n v="1"/>
    <n v="0"/>
    <n v="0.01"/>
    <n v="0.01"/>
    <n v="0"/>
    <n v="1"/>
    <s v="0-6 Months"/>
    <s v="12-18 Months"/>
    <x v="1"/>
    <n v="0"/>
  </r>
  <r>
    <n v="106273"/>
    <s v="Waushara County Sheriff's Office  - WI"/>
    <n v="0"/>
    <n v="30"/>
    <n v="20"/>
    <n v="190"/>
    <n v="99"/>
    <n v="68"/>
    <n v="6.33"/>
    <n v="3.3"/>
    <n v="2.27"/>
    <n v="2"/>
    <s v="12-24 Months"/>
    <s v="24+ Months"/>
    <x v="1"/>
    <n v="0"/>
  </r>
  <r>
    <n v="106281"/>
    <s v="Laredo Police Dept. - TX"/>
    <n v="373"/>
    <n v="200"/>
    <n v="5"/>
    <n v="302"/>
    <n v="291"/>
    <n v="3"/>
    <n v="1.51"/>
    <n v="1.46"/>
    <n v="0.02"/>
    <n v="25"/>
    <s v="0-6 Months"/>
    <s v="12-18 Months"/>
    <x v="0"/>
    <n v="373"/>
  </r>
  <r>
    <n v="106297"/>
    <s v="Springfield Police Department - MO"/>
    <n v="296"/>
    <n v="235"/>
    <n v="21"/>
    <n v="523"/>
    <n v="26"/>
    <n v="0"/>
    <n v="2.23"/>
    <n v="0.11"/>
    <n v="0"/>
    <n v="136"/>
    <s v="12-24 Months"/>
    <s v="24+ Months"/>
    <x v="0"/>
    <n v="296"/>
  </r>
  <r>
    <n v="106304"/>
    <s v="Los Angeles County Sheriff's Dept. - HQ"/>
    <n v="6053"/>
    <n v="3197"/>
    <n v="19"/>
    <n v="372"/>
    <n v="47"/>
    <n v="24"/>
    <n v="0.12"/>
    <n v="0.01"/>
    <n v="0.01"/>
    <n v="108"/>
    <s v="12-24 Months"/>
    <s v="24+ Months"/>
    <x v="2"/>
    <n v="0"/>
  </r>
  <r>
    <n v="106338"/>
    <s v="Oregon State Police - OR"/>
    <n v="895"/>
    <n v="750"/>
    <n v="5"/>
    <n v="1657"/>
    <n v="1657"/>
    <n v="1014"/>
    <n v="2.21"/>
    <n v="2.21"/>
    <n v="1.35"/>
    <n v="212"/>
    <s v="0-6 Months"/>
    <s v="12-18 Months"/>
    <x v="2"/>
    <n v="895"/>
  </r>
  <r>
    <n v="106340"/>
    <s v="Amador County Sheriff's Office - CA"/>
    <n v="3"/>
    <n v="86"/>
    <n v="1"/>
    <n v="20"/>
    <n v="20"/>
    <n v="20"/>
    <n v="0.23"/>
    <n v="0.23"/>
    <n v="0.23"/>
    <n v="0"/>
    <s v="0-6 Months"/>
    <s v="12-18 Months"/>
    <x v="1"/>
    <n v="0"/>
  </r>
  <r>
    <n v="106346"/>
    <s v="Seattle Police Dept. - WA"/>
    <n v="1340"/>
    <n v="1200"/>
    <n v="47"/>
    <n v="644"/>
    <n v="33"/>
    <n v="11"/>
    <n v="0.54"/>
    <n v="0.03"/>
    <n v="0.01"/>
    <n v="17"/>
    <s v="24+ Months"/>
    <s v="24+ Months"/>
    <x v="2"/>
    <n v="0"/>
  </r>
  <r>
    <n v="106372"/>
    <s v="Minneapolis Police Dept. - MN"/>
    <n v="650"/>
    <n v="600"/>
    <n v="9"/>
    <n v="2895"/>
    <n v="2291"/>
    <n v="136"/>
    <n v="4.83"/>
    <n v="3.82"/>
    <n v="0.23"/>
    <n v="1"/>
    <s v="6-12 Months"/>
    <s v="18-24 Months"/>
    <x v="2"/>
    <n v="650"/>
  </r>
  <r>
    <n v="106394"/>
    <s v="Houston County Sheriff's Office - GA"/>
    <n v="3"/>
    <n v="142"/>
    <n v="2"/>
    <n v="28"/>
    <n v="28"/>
    <n v="28"/>
    <n v="0.2"/>
    <n v="0.2"/>
    <n v="0.2"/>
    <n v="3"/>
    <s v="0-6 Months"/>
    <s v="12-18 Months"/>
    <x v="0"/>
    <n v="0"/>
  </r>
  <r>
    <n v="106409"/>
    <s v="Morgan County Sheriff - IN"/>
    <n v="37"/>
    <n v="37"/>
    <n v="1"/>
    <n v="19"/>
    <n v="19"/>
    <n v="19"/>
    <n v="0.51"/>
    <n v="0.51"/>
    <n v="0.51"/>
    <n v="0"/>
    <s v="0-6 Months"/>
    <s v="12-18 Months"/>
    <x v="1"/>
    <n v="0"/>
  </r>
  <r>
    <n v="106418"/>
    <s v="Covina Police Department - CA"/>
    <n v="1"/>
    <n v="55"/>
    <n v="2"/>
    <n v="13"/>
    <n v="13"/>
    <n v="13"/>
    <n v="0.24"/>
    <n v="0.24"/>
    <n v="0.24"/>
    <n v="6"/>
    <s v="0-6 Months"/>
    <s v="12-18 Months"/>
    <x v="1"/>
    <n v="0"/>
  </r>
  <r>
    <n v="106436"/>
    <s v="North Palm Beach Police Department - FL"/>
    <n v="1"/>
    <n v="41"/>
    <n v="3"/>
    <n v="64"/>
    <n v="59"/>
    <n v="59"/>
    <n v="1.56"/>
    <n v="1.44"/>
    <n v="1.44"/>
    <n v="0"/>
    <s v="0-6 Months"/>
    <s v="12-18 Months"/>
    <x v="1"/>
    <n v="1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s v="0-6 Months"/>
    <s v="12-18 Months"/>
    <x v="1"/>
    <n v="18"/>
  </r>
  <r>
    <n v="106477"/>
    <s v="City of Rock Hill Police Dept - SC"/>
    <n v="158"/>
    <n v="156"/>
    <n v="45"/>
    <n v="29"/>
    <n v="27"/>
    <n v="27"/>
    <n v="0.19"/>
    <n v="0.17"/>
    <n v="0.17"/>
    <n v="0"/>
    <s v="24+ Months"/>
    <s v="24+ Months"/>
    <x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s v="12-24 Months"/>
    <s v="24+ Months"/>
    <x v="2"/>
    <n v="0"/>
  </r>
  <r>
    <n v="106509"/>
    <s v="Ontario Police Dept. - CA"/>
    <n v="341"/>
    <n v="330"/>
    <n v="33"/>
    <n v="9"/>
    <n v="10"/>
    <n v="10"/>
    <n v="0.03"/>
    <n v="0.03"/>
    <n v="0.03"/>
    <n v="0"/>
    <s v="24+ Months"/>
    <s v="24+ Months"/>
    <x v="0"/>
    <n v="0"/>
  </r>
  <r>
    <n v="106516"/>
    <s v="Farmers Branch Police Dept. - TX"/>
    <n v="101"/>
    <n v="80"/>
    <n v="26"/>
    <n v="167"/>
    <n v="33"/>
    <n v="29"/>
    <n v="2.09"/>
    <n v="0.41"/>
    <n v="0.36"/>
    <n v="57"/>
    <s v="24+ Months"/>
    <s v="24+ Months"/>
    <x v="1"/>
    <n v="101"/>
  </r>
  <r>
    <n v="106522"/>
    <s v="Hamilton County Sheriff's Office - OH"/>
    <n v="690"/>
    <n v="626"/>
    <n v="7"/>
    <n v="1780"/>
    <n v="1780"/>
    <n v="612"/>
    <n v="2.84"/>
    <n v="2.84"/>
    <n v="0.98"/>
    <n v="121"/>
    <s v="6-12 Months"/>
    <s v="18-24 Months"/>
    <x v="2"/>
    <n v="690"/>
  </r>
  <r>
    <n v="106524"/>
    <s v="Weld County Sheriff's Office - CO"/>
    <n v="335"/>
    <n v="329"/>
    <n v="9"/>
    <n v="1332"/>
    <n v="217"/>
    <n v="100"/>
    <n v="4.05"/>
    <n v="0.66"/>
    <n v="0.3"/>
    <n v="18"/>
    <s v="6-12 Months"/>
    <s v="18-24 Months"/>
    <x v="0"/>
    <n v="335"/>
  </r>
  <r>
    <n v="106525"/>
    <s v="Evergreen State College Police Dept - WA"/>
    <n v="9"/>
    <n v="9"/>
    <n v="3"/>
    <n v="6"/>
    <n v="6"/>
    <n v="6"/>
    <n v="0.67"/>
    <n v="0.67"/>
    <n v="0.67"/>
    <n v="5"/>
    <s v="0-6 Months"/>
    <s v="12-18 Months"/>
    <x v="1"/>
    <n v="0"/>
  </r>
  <r>
    <n v="106528"/>
    <s v="Port of Seattle Police Dept. - WA"/>
    <n v="120"/>
    <n v="150"/>
    <n v="7"/>
    <n v="554"/>
    <n v="529"/>
    <n v="456"/>
    <n v="3.69"/>
    <n v="3.53"/>
    <n v="3.04"/>
    <n v="179"/>
    <s v="6-12 Months"/>
    <s v="18-24 Months"/>
    <x v="0"/>
    <n v="120"/>
  </r>
  <r>
    <n v="106562"/>
    <s v="Cleveland Police Dept. - OH"/>
    <n v="1800"/>
    <n v="1200"/>
    <n v="10"/>
    <n v="0"/>
    <n v="0"/>
    <n v="0"/>
    <n v="0"/>
    <n v="0"/>
    <n v="0"/>
    <n v="0"/>
    <s v="6-12 Months"/>
    <s v="18-24 Months"/>
    <x v="2"/>
    <n v="0"/>
  </r>
  <r>
    <n v="106566"/>
    <s v="Eagan Police Dept. - MN"/>
    <n v="88"/>
    <n v="90"/>
    <n v="45"/>
    <n v="59"/>
    <n v="0"/>
    <n v="0"/>
    <n v="0.66"/>
    <n v="0"/>
    <n v="0"/>
    <n v="0"/>
    <s v="24+ Months"/>
    <s v="24+ Months"/>
    <x v="1"/>
    <n v="0"/>
  </r>
  <r>
    <n v="106569"/>
    <s v="Washoe County Sheriff's Office - NV"/>
    <n v="407"/>
    <n v="565"/>
    <n v="45"/>
    <n v="1091"/>
    <n v="217"/>
    <n v="0"/>
    <n v="1.93"/>
    <n v="0.38"/>
    <n v="0"/>
    <n v="89"/>
    <s v="24+ Months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s v="24+ Months"/>
    <s v="24+ Months"/>
    <x v="0"/>
    <n v="0"/>
  </r>
  <r>
    <n v="106576"/>
    <s v="Brown County Sheriff's Office - SD"/>
    <n v="21"/>
    <n v="2"/>
    <n v="5"/>
    <n v="38"/>
    <n v="38"/>
    <n v="0"/>
    <n v="19"/>
    <n v="19"/>
    <n v="0"/>
    <n v="0"/>
    <s v="0-6 Months"/>
    <s v="12-18 Months"/>
    <x v="1"/>
    <n v="21"/>
  </r>
  <r>
    <n v="106587"/>
    <s v="Titusville Police Dept - FL"/>
    <n v="114"/>
    <n v="112"/>
    <n v="9"/>
    <n v="449"/>
    <n v="21"/>
    <n v="0"/>
    <n v="4.01"/>
    <n v="0.19"/>
    <n v="0"/>
    <n v="0"/>
    <s v="6-12 Months"/>
    <s v="18-24 Months"/>
    <x v="0"/>
    <n v="114"/>
  </r>
  <r>
    <n v="106590"/>
    <s v="Appleton Police Department - WI"/>
    <n v="150"/>
    <n v="115"/>
    <n v="49"/>
    <n v="348"/>
    <n v="322"/>
    <n v="306"/>
    <n v="3.03"/>
    <n v="2.8"/>
    <n v="2.66"/>
    <n v="157"/>
    <s v="24+ Months"/>
    <s v="24+ Months"/>
    <x v="0"/>
    <n v="150"/>
  </r>
  <r>
    <n v="106603"/>
    <s v="Bernalillo County Sheriff's Dept. - NM"/>
    <n v="378"/>
    <n v="622"/>
    <n v="25"/>
    <n v="26"/>
    <n v="26"/>
    <n v="26"/>
    <n v="0.04"/>
    <n v="0.04"/>
    <n v="0.04"/>
    <n v="33"/>
    <s v="24+ Months"/>
    <s v="24+ Months"/>
    <x v="2"/>
    <n v="0"/>
  </r>
  <r>
    <n v="106616"/>
    <s v="Elk Grove Village Police Dept. - IL"/>
    <n v="4"/>
    <n v="92"/>
    <n v="30"/>
    <n v="25"/>
    <n v="1"/>
    <n v="1"/>
    <n v="0.27"/>
    <n v="0.01"/>
    <n v="0.01"/>
    <n v="40"/>
    <s v="24+ Months"/>
    <s v="24+ Months"/>
    <x v="1"/>
    <n v="0"/>
  </r>
  <r>
    <n v="106627"/>
    <s v="FINNEY COUNTY SHERIFF'S OFFICE- KS"/>
    <n v="80"/>
    <n v="40"/>
    <n v="11"/>
    <n v="51"/>
    <n v="34"/>
    <n v="8"/>
    <n v="1.28"/>
    <n v="0.85"/>
    <n v="0.2"/>
    <n v="21"/>
    <s v="6-12 Months"/>
    <s v="18-24 Months"/>
    <x v="1"/>
    <n v="80"/>
  </r>
  <r>
    <n v="106654"/>
    <s v="Dixon Police Dept. - CA"/>
    <n v="33"/>
    <n v="35"/>
    <n v="4"/>
    <n v="81"/>
    <n v="69"/>
    <n v="56"/>
    <n v="2.31"/>
    <n v="1.97"/>
    <n v="1.6"/>
    <n v="0"/>
    <s v="0-6 Months"/>
    <s v="12-18 Months"/>
    <x v="1"/>
    <n v="33"/>
  </r>
  <r>
    <n v="106657"/>
    <s v="Levy County Sheriff's Office - FL"/>
    <n v="40"/>
    <n v="40"/>
    <n v="3"/>
    <n v="2"/>
    <n v="2"/>
    <n v="2"/>
    <n v="0.05"/>
    <n v="0.05"/>
    <n v="0.05"/>
    <n v="0"/>
    <s v="0-6 Months"/>
    <s v="12-18 Months"/>
    <x v="1"/>
    <n v="0"/>
  </r>
  <r>
    <n v="106658"/>
    <s v="Mobile Police Department - AL"/>
    <n v="449"/>
    <n v="490"/>
    <n v="46"/>
    <n v="255"/>
    <n v="180"/>
    <n v="4"/>
    <n v="0.52"/>
    <n v="0.37"/>
    <n v="0.01"/>
    <n v="96"/>
    <s v="24+ Months"/>
    <s v="24+ Months"/>
    <x v="0"/>
    <n v="0"/>
  </r>
  <r>
    <n v="106669"/>
    <s v="Olmsted County Sheriff's Office - MN"/>
    <n v="200"/>
    <n v="83"/>
    <n v="11"/>
    <n v="958"/>
    <n v="237"/>
    <n v="181"/>
    <n v="11.54"/>
    <n v="2.86"/>
    <n v="2.1800000000000002"/>
    <n v="5"/>
    <s v="6-12 Months"/>
    <s v="18-24 Months"/>
    <x v="1"/>
    <n v="200"/>
  </r>
  <r>
    <n v="106698"/>
    <s v="Kent Police Dept. - WA"/>
    <n v="78"/>
    <n v="169"/>
    <n v="37"/>
    <n v="915"/>
    <n v="222"/>
    <n v="23"/>
    <n v="5.41"/>
    <n v="1.31"/>
    <n v="0.14000000000000001"/>
    <n v="274"/>
    <s v="24+ Months"/>
    <s v="24+ Months"/>
    <x v="0"/>
    <n v="78"/>
  </r>
  <r>
    <n v="106711"/>
    <s v="Columbia County Sheriff's Office - FL"/>
    <n v="171"/>
    <n v="270"/>
    <n v="6"/>
    <n v="525"/>
    <n v="523"/>
    <n v="65"/>
    <n v="1.94"/>
    <n v="1.94"/>
    <n v="0.24"/>
    <n v="4"/>
    <s v="6-12 Months"/>
    <s v="18-24 Months"/>
    <x v="0"/>
    <n v="171"/>
  </r>
  <r>
    <n v="106715"/>
    <s v="Terrebonne Parish Sheriff's Office - LA"/>
    <n v="186"/>
    <n v="136"/>
    <n v="19"/>
    <n v="1070"/>
    <n v="454"/>
    <n v="0"/>
    <n v="7.87"/>
    <n v="3.34"/>
    <n v="0"/>
    <n v="378"/>
    <s v="12-24 Months"/>
    <s v="24+ Months"/>
    <x v="0"/>
    <n v="186"/>
  </r>
  <r>
    <n v="106735"/>
    <s v="Iberville Parish Sheriff's Office - LA"/>
    <n v="0"/>
    <n v="65"/>
    <n v="19"/>
    <n v="32"/>
    <n v="32"/>
    <n v="15"/>
    <n v="0.49"/>
    <n v="0.49"/>
    <n v="0.23"/>
    <n v="1"/>
    <s v="12-24 Months"/>
    <s v="24+ Months"/>
    <x v="1"/>
    <n v="0"/>
  </r>
  <r>
    <n v="106743"/>
    <s v="Westminster Police Dept. - CA"/>
    <n v="122"/>
    <n v="125"/>
    <n v="13"/>
    <n v="18"/>
    <n v="18"/>
    <n v="0"/>
    <n v="0.14000000000000001"/>
    <n v="0.14000000000000001"/>
    <n v="0"/>
    <n v="0"/>
    <s v="12-24 Months"/>
    <s v="24+ Months"/>
    <x v="0"/>
    <n v="0"/>
  </r>
  <r>
    <n v="106750"/>
    <s v="Iberia Parish Sheriff's Office - LA"/>
    <n v="1"/>
    <n v="37"/>
    <n v="9"/>
    <n v="205"/>
    <n v="184"/>
    <n v="0"/>
    <n v="5.54"/>
    <n v="4.97"/>
    <n v="0"/>
    <n v="3"/>
    <s v="6-12 Months"/>
    <s v="18-24 Months"/>
    <x v="1"/>
    <n v="1"/>
  </r>
  <r>
    <n v="106752"/>
    <s v="Placentia Police Dept. - CA"/>
    <n v="55"/>
    <n v="81"/>
    <n v="13"/>
    <n v="55"/>
    <n v="55"/>
    <n v="14"/>
    <n v="0.68"/>
    <n v="0.68"/>
    <n v="0.17"/>
    <n v="7"/>
    <s v="12-24 Months"/>
    <s v="24+ Months"/>
    <x v="1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s v="0-6 Months"/>
    <s v="12-18 Months"/>
    <x v="1"/>
    <n v="4"/>
  </r>
  <r>
    <n v="106774"/>
    <s v="Tucson Police Dept - AZ"/>
    <n v="1018"/>
    <n v="998"/>
    <n v="25"/>
    <n v="189"/>
    <n v="104"/>
    <n v="73"/>
    <n v="0.19"/>
    <n v="0.1"/>
    <n v="7.0000000000000007E-2"/>
    <n v="85"/>
    <s v="24+ Months"/>
    <s v="24+ Months"/>
    <x v="2"/>
    <n v="0"/>
  </r>
  <r>
    <n v="106824"/>
    <s v="South Portland Police Dept - ME"/>
    <n v="4"/>
    <n v="57"/>
    <n v="4"/>
    <n v="0"/>
    <n v="0"/>
    <n v="0"/>
    <n v="0"/>
    <n v="0"/>
    <n v="0"/>
    <n v="0"/>
    <s v="0-6 Months"/>
    <s v="12-18 Months"/>
    <x v="1"/>
    <n v="0"/>
  </r>
  <r>
    <n v="106841"/>
    <s v="El Centro Police Dept. - CA"/>
    <n v="20"/>
    <n v="54"/>
    <n v="10"/>
    <n v="35"/>
    <n v="1"/>
    <n v="0"/>
    <n v="0.65"/>
    <n v="0.02"/>
    <n v="0"/>
    <n v="0"/>
    <s v="6-12 Months"/>
    <s v="18-24 Months"/>
    <x v="1"/>
    <n v="0"/>
  </r>
  <r>
    <n v="106844"/>
    <s v="Santa Fe Police Dept. - NM"/>
    <n v="456"/>
    <n v="193"/>
    <n v="49"/>
    <n v="0"/>
    <n v="0"/>
    <n v="0"/>
    <n v="0"/>
    <n v="0"/>
    <n v="0"/>
    <n v="5"/>
    <s v="24+ Months"/>
    <s v="24+ Months"/>
    <x v="0"/>
    <n v="0"/>
  </r>
  <r>
    <n v="106876"/>
    <s v="Oak Brook Police Dept. - IL"/>
    <n v="3"/>
    <n v="48"/>
    <n v="45"/>
    <n v="36"/>
    <n v="21"/>
    <n v="10"/>
    <n v="0.75"/>
    <n v="0.44"/>
    <n v="0.21"/>
    <n v="4"/>
    <s v="24+ Months"/>
    <s v="24+ Months"/>
    <x v="1"/>
    <n v="0"/>
  </r>
  <r>
    <n v="106879"/>
    <s v="El Mirage Police Dept. - AZ"/>
    <n v="73"/>
    <n v="76"/>
    <n v="1"/>
    <n v="36"/>
    <n v="36"/>
    <n v="36"/>
    <n v="0.47"/>
    <n v="0.47"/>
    <n v="0.47"/>
    <n v="127"/>
    <s v="0-6 Months"/>
    <s v="12-18 Months"/>
    <x v="1"/>
    <n v="0"/>
  </r>
  <r>
    <n v="106896"/>
    <s v="Fairfax County Police Dept. - VA"/>
    <n v="1515"/>
    <n v="1210"/>
    <n v="7"/>
    <n v="221"/>
    <n v="161"/>
    <n v="1"/>
    <n v="0.18"/>
    <n v="0.13"/>
    <n v="0"/>
    <n v="93"/>
    <s v="6-12 Months"/>
    <s v="18-24 Months"/>
    <x v="2"/>
    <n v="0"/>
  </r>
  <r>
    <n v="106916"/>
    <s v="Henrico County Police Dept. - VA"/>
    <n v="533"/>
    <n v="500"/>
    <n v="34"/>
    <n v="121"/>
    <n v="58"/>
    <n v="9"/>
    <n v="0.24"/>
    <n v="0.12"/>
    <n v="0.02"/>
    <n v="57"/>
    <s v="24+ Months"/>
    <s v="24+ Months"/>
    <x v="0"/>
    <n v="0"/>
  </r>
  <r>
    <n v="106938"/>
    <s v="Humboldt State University Police Dept (CSU). - CA"/>
    <n v="5"/>
    <n v="11"/>
    <n v="6"/>
    <n v="0"/>
    <n v="0"/>
    <n v="0"/>
    <n v="0"/>
    <n v="0"/>
    <n v="0"/>
    <n v="0"/>
    <s v="6-12 Months"/>
    <s v="18-24 Months"/>
    <x v="1"/>
    <n v="0"/>
  </r>
  <r>
    <n v="106945"/>
    <s v="Des Moines Police Dept. - IA"/>
    <n v="184"/>
    <n v="210"/>
    <n v="3"/>
    <n v="0"/>
    <n v="0"/>
    <n v="0"/>
    <n v="0"/>
    <n v="0"/>
    <n v="0"/>
    <n v="0"/>
    <s v="0-6 Months"/>
    <s v="12-18 Months"/>
    <x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s v="12-24 Months"/>
    <s v="24+ Months"/>
    <x v="1"/>
    <n v="0"/>
  </r>
  <r>
    <n v="106964"/>
    <s v="Centralia Police Department - WA"/>
    <n v="30"/>
    <n v="30"/>
    <n v="1"/>
    <n v="0"/>
    <n v="0"/>
    <n v="0"/>
    <n v="0"/>
    <n v="0"/>
    <n v="0"/>
    <n v="0"/>
    <s v="0-6 Months"/>
    <s v="12-18 Months"/>
    <x v="1"/>
    <n v="0"/>
  </r>
  <r>
    <n v="106976"/>
    <s v="Santa Monica Police Dept. - CA"/>
    <n v="350"/>
    <n v="242"/>
    <n v="7"/>
    <n v="286"/>
    <n v="13"/>
    <n v="3"/>
    <n v="1.18"/>
    <n v="0.05"/>
    <n v="0.01"/>
    <n v="19"/>
    <s v="6-12 Months"/>
    <s v="18-24 Months"/>
    <x v="0"/>
    <n v="0"/>
  </r>
  <r>
    <n v="106990"/>
    <s v="Chautauqua County Sheriff's Office - NY"/>
    <n v="88"/>
    <n v="84"/>
    <n v="9"/>
    <n v="76"/>
    <n v="47"/>
    <n v="0"/>
    <n v="0.9"/>
    <n v="0.56000000000000005"/>
    <n v="0"/>
    <n v="98"/>
    <s v="6-12 Months"/>
    <s v="18-24 Months"/>
    <x v="1"/>
    <n v="0"/>
  </r>
  <r>
    <n v="107020"/>
    <s v="Meriden Police Department - CT"/>
    <n v="123"/>
    <n v="130"/>
    <n v="5"/>
    <n v="120"/>
    <n v="120"/>
    <n v="4"/>
    <n v="0.92"/>
    <n v="0.92"/>
    <n v="0.03"/>
    <n v="124"/>
    <s v="0-6 Months"/>
    <s v="12-18 Months"/>
    <x v="0"/>
    <n v="123"/>
  </r>
  <r>
    <n v="107066"/>
    <s v="Laurel Police Dept. - MD"/>
    <n v="70"/>
    <n v="78"/>
    <n v="4"/>
    <n v="37"/>
    <n v="34"/>
    <n v="34"/>
    <n v="0.47"/>
    <n v="0.44"/>
    <n v="0.44"/>
    <n v="16"/>
    <s v="0-6 Months"/>
    <s v="12-18 Months"/>
    <x v="1"/>
    <n v="0"/>
  </r>
  <r>
    <n v="107092"/>
    <s v="Seminole County Sheriff's Office - FL"/>
    <n v="570"/>
    <n v="790"/>
    <n v="38"/>
    <n v="1470"/>
    <n v="1222"/>
    <n v="86"/>
    <n v="1.86"/>
    <n v="1.55"/>
    <n v="0.11"/>
    <n v="11"/>
    <s v="24+ Months"/>
    <s v="24+ Months"/>
    <x v="2"/>
    <n v="57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s v="0-6 Months"/>
    <s v="12-18 Months"/>
    <x v="0"/>
    <n v="220"/>
  </r>
  <r>
    <n v="107124"/>
    <s v="Lincoln Police Department - NE"/>
    <n v="327"/>
    <n v="364"/>
    <n v="34"/>
    <n v="999"/>
    <n v="335"/>
    <n v="113"/>
    <n v="2.74"/>
    <n v="0.92"/>
    <n v="0.31"/>
    <n v="411"/>
    <s v="24+ Months"/>
    <s v="24+ Months"/>
    <x v="0"/>
    <n v="327"/>
  </r>
  <r>
    <n v="107126"/>
    <s v="Flagstaff Police Dept. - AZ"/>
    <n v="129"/>
    <n v="120"/>
    <n v="36"/>
    <n v="96"/>
    <n v="83"/>
    <n v="58"/>
    <n v="0.8"/>
    <n v="0.69"/>
    <n v="0.48"/>
    <n v="1"/>
    <s v="24+ Months"/>
    <s v="24+ Months"/>
    <x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s v="6-12 Months"/>
    <s v="18-24 Months"/>
    <x v="1"/>
    <n v="0"/>
  </r>
  <r>
    <n v="107149"/>
    <s v="Redding Police Dept. - CA"/>
    <n v="162"/>
    <n v="55"/>
    <n v="3"/>
    <n v="9"/>
    <n v="9"/>
    <n v="9"/>
    <n v="0.16"/>
    <n v="0.16"/>
    <n v="0.16"/>
    <n v="0"/>
    <s v="0-6 Months"/>
    <s v="12-18 Months"/>
    <x v="1"/>
    <n v="0"/>
  </r>
  <r>
    <n v="107156"/>
    <s v="Margate Police Dept. - FL"/>
    <n v="123"/>
    <n v="123"/>
    <n v="7"/>
    <n v="116"/>
    <n v="116"/>
    <n v="5"/>
    <n v="0.94"/>
    <n v="0.94"/>
    <n v="0.04"/>
    <n v="30"/>
    <s v="6-12 Months"/>
    <s v="18-24 Months"/>
    <x v="0"/>
    <n v="123"/>
  </r>
  <r>
    <n v="107157"/>
    <s v="Greenville County Sheriff -SC"/>
    <n v="566"/>
    <n v="480"/>
    <n v="3"/>
    <n v="39"/>
    <n v="39"/>
    <n v="36"/>
    <n v="0.08"/>
    <n v="0.08"/>
    <n v="0.08"/>
    <n v="13"/>
    <s v="0-6 Months"/>
    <s v="12-18 Months"/>
    <x v="0"/>
    <n v="0"/>
  </r>
  <r>
    <n v="107160"/>
    <s v="Brunswick Police Department - GA"/>
    <n v="50"/>
    <n v="45"/>
    <n v="14"/>
    <n v="24"/>
    <n v="16"/>
    <n v="12"/>
    <n v="0.53"/>
    <n v="0.36"/>
    <n v="0.27"/>
    <n v="0"/>
    <s v="12-24 Months"/>
    <s v="24+ Months"/>
    <x v="1"/>
    <n v="0"/>
  </r>
  <r>
    <n v="107174"/>
    <s v="Columbia Heights Police Department - MN"/>
    <n v="34"/>
    <n v="38"/>
    <n v="38"/>
    <n v="20"/>
    <n v="1"/>
    <n v="0"/>
    <n v="0.53"/>
    <n v="0.03"/>
    <n v="0"/>
    <n v="7"/>
    <s v="24+ Months"/>
    <s v="24+ Months"/>
    <x v="1"/>
    <n v="0"/>
  </r>
  <r>
    <n v="107189"/>
    <s v="Wilmer Police Dept. - TX"/>
    <n v="16"/>
    <n v="25"/>
    <n v="11"/>
    <n v="27"/>
    <n v="21"/>
    <n v="0"/>
    <n v="1.08"/>
    <n v="0.84"/>
    <n v="0"/>
    <n v="0"/>
    <s v="6-12 Months"/>
    <s v="18-24 Months"/>
    <x v="1"/>
    <n v="16"/>
  </r>
  <r>
    <n v="107197"/>
    <s v="Washington State Patrol - District 1- WA"/>
    <n v="1202"/>
    <n v="1202"/>
    <n v="16"/>
    <n v="237"/>
    <n v="44"/>
    <n v="13"/>
    <n v="0.2"/>
    <n v="0.04"/>
    <n v="0.01"/>
    <n v="64"/>
    <s v="12-24 Months"/>
    <s v="24+ Months"/>
    <x v="2"/>
    <n v="0"/>
  </r>
  <r>
    <n v="107206"/>
    <s v="Long Beach Police Dept. - CA"/>
    <n v="896"/>
    <n v="859"/>
    <n v="10"/>
    <n v="657"/>
    <n v="649"/>
    <n v="594"/>
    <n v="0.76"/>
    <n v="0.76"/>
    <n v="0.69"/>
    <n v="46"/>
    <s v="6-12 Months"/>
    <s v="18-24 Months"/>
    <x v="2"/>
    <n v="896"/>
  </r>
  <r>
    <n v="107207"/>
    <s v="Yuba City Police Dept. - CA"/>
    <n v="73"/>
    <n v="20"/>
    <n v="0"/>
    <n v="0"/>
    <n v="0"/>
    <n v="0"/>
    <n v="0"/>
    <n v="0"/>
    <n v="0"/>
    <n v="0"/>
    <s v="0-6 Months"/>
    <s v="12-18 Months"/>
    <x v="1"/>
    <n v="0"/>
  </r>
  <r>
    <n v="107214"/>
    <s v="Asotin County Sheriff's Office-WA"/>
    <n v="7"/>
    <n v="20"/>
    <n v="9"/>
    <n v="19"/>
    <n v="7"/>
    <n v="0"/>
    <n v="0.95"/>
    <n v="0.35"/>
    <n v="0"/>
    <n v="0"/>
    <s v="6-12 Months"/>
    <s v="18-24 Months"/>
    <x v="1"/>
    <n v="0"/>
  </r>
  <r>
    <n v="107237"/>
    <s v="Whittier Police Dept. - CA"/>
    <n v="171"/>
    <n v="130"/>
    <n v="3"/>
    <n v="21"/>
    <n v="21"/>
    <n v="21"/>
    <n v="0.16"/>
    <n v="0.16"/>
    <n v="0.16"/>
    <n v="0"/>
    <s v="0-6 Months"/>
    <s v="12-18 Months"/>
    <x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s v="12-24 Months"/>
    <s v="24+ Months"/>
    <x v="0"/>
    <n v="130"/>
  </r>
  <r>
    <n v="107273"/>
    <s v="University of Arizona Police Dept. - AZ"/>
    <n v="70"/>
    <n v="65"/>
    <n v="4"/>
    <n v="0"/>
    <n v="0"/>
    <n v="0"/>
    <n v="0"/>
    <n v="0"/>
    <n v="0"/>
    <n v="0"/>
    <s v="0-6 Months"/>
    <s v="12-18 Months"/>
    <x v="1"/>
    <n v="0"/>
  </r>
  <r>
    <n v="107327"/>
    <s v="Ellensburg Police Dept. - WA"/>
    <n v="0"/>
    <n v="35"/>
    <n v="0"/>
    <n v="0"/>
    <n v="0"/>
    <n v="0"/>
    <n v="0"/>
    <n v="0"/>
    <n v="0"/>
    <n v="0"/>
    <s v="0-6 Months"/>
    <s v="12-18 Months"/>
    <x v="1"/>
    <n v="0"/>
  </r>
  <r>
    <n v="107368"/>
    <s v="Mount Pleasant Police Dept. - SC"/>
    <n v="31"/>
    <n v="167"/>
    <n v="5"/>
    <n v="500"/>
    <n v="500"/>
    <n v="394"/>
    <n v="2.99"/>
    <n v="2.99"/>
    <n v="2.36"/>
    <n v="79"/>
    <s v="0-6 Months"/>
    <s v="12-18 Months"/>
    <x v="0"/>
    <n v="31"/>
  </r>
  <r>
    <n v="107372"/>
    <s v="Kearney Police Dept. - NE"/>
    <n v="3"/>
    <n v="65"/>
    <n v="9"/>
    <n v="43"/>
    <n v="5"/>
    <n v="0"/>
    <n v="0.66"/>
    <n v="0.08"/>
    <n v="0"/>
    <n v="0"/>
    <s v="6-12 Months"/>
    <s v="18-24 Months"/>
    <x v="1"/>
    <n v="0"/>
  </r>
  <r>
    <n v="107396"/>
    <s v="Bradley County Sheriff's Office - TN"/>
    <n v="106"/>
    <n v="135"/>
    <n v="50"/>
    <n v="25"/>
    <n v="25"/>
    <n v="25"/>
    <n v="0.19"/>
    <n v="0.19"/>
    <n v="0.19"/>
    <n v="35"/>
    <s v="24+ Months"/>
    <s v="24+ Months"/>
    <x v="0"/>
    <n v="0"/>
  </r>
  <r>
    <n v="107397"/>
    <s v="Pasco Sheriff's Office - FL"/>
    <n v="673"/>
    <n v="857"/>
    <n v="37"/>
    <n v="96"/>
    <n v="19"/>
    <n v="16"/>
    <n v="0.11"/>
    <n v="0.02"/>
    <n v="0.02"/>
    <n v="37"/>
    <s v="24+ Months"/>
    <s v="24+ Months"/>
    <x v="2"/>
    <n v="0"/>
  </r>
  <r>
    <n v="107430"/>
    <s v="Firestone Police Department - CO"/>
    <n v="7"/>
    <n v="34"/>
    <n v="9"/>
    <n v="193"/>
    <n v="133"/>
    <n v="125"/>
    <n v="5.68"/>
    <n v="3.91"/>
    <n v="3.68"/>
    <n v="9"/>
    <s v="6-12 Months"/>
    <s v="18-24 Months"/>
    <x v="1"/>
    <n v="7"/>
  </r>
  <r>
    <n v="107448"/>
    <s v="Criminal Justice Training Commission - WA"/>
    <n v="0"/>
    <n v="32"/>
    <n v="5"/>
    <n v="471"/>
    <n v="471"/>
    <n v="430"/>
    <n v="14.72"/>
    <n v="14.72"/>
    <n v="13.44"/>
    <n v="203"/>
    <s v="0-6 Months"/>
    <s v="12-18 Months"/>
    <x v="1"/>
    <n v="0"/>
  </r>
  <r>
    <n v="107453"/>
    <s v="Bonney Lake Police Dept. - WA"/>
    <n v="3"/>
    <n v="34"/>
    <n v="0"/>
    <n v="0"/>
    <n v="0"/>
    <n v="0"/>
    <n v="0"/>
    <n v="0"/>
    <n v="0"/>
    <n v="0"/>
    <s v="0-6 Months"/>
    <s v="12-18 Months"/>
    <x v="1"/>
    <n v="0"/>
  </r>
  <r>
    <n v="107455"/>
    <s v="Marin County Sheriff's Office - CA"/>
    <n v="111"/>
    <n v="151"/>
    <n v="5"/>
    <n v="60"/>
    <n v="60"/>
    <n v="59"/>
    <n v="0.4"/>
    <n v="0.4"/>
    <n v="0.39"/>
    <n v="0"/>
    <s v="0-6 Months"/>
    <s v="12-18 Months"/>
    <x v="0"/>
    <n v="0"/>
  </r>
  <r>
    <n v="107593"/>
    <s v="Anchorage Police Dept. - AK"/>
    <n v="476"/>
    <n v="375"/>
    <n v="0"/>
    <n v="113"/>
    <n v="113"/>
    <n v="113"/>
    <n v="0.3"/>
    <n v="0.3"/>
    <n v="0.3"/>
    <n v="6"/>
    <s v="0-6 Months"/>
    <s v="12-18 Months"/>
    <x v="0"/>
    <n v="0"/>
  </r>
  <r>
    <n v="107619"/>
    <s v="Coral Springs Police Dept. - FL"/>
    <n v="255"/>
    <n v="255"/>
    <n v="13"/>
    <n v="753"/>
    <n v="454"/>
    <n v="193"/>
    <n v="2.95"/>
    <n v="1.78"/>
    <n v="0.76"/>
    <n v="22"/>
    <s v="12-24 Months"/>
    <s v="24+ Months"/>
    <x v="0"/>
    <n v="255"/>
  </r>
  <r>
    <n v="107741"/>
    <s v="Arizona Department of Corrections - AZ"/>
    <n v="1651"/>
    <n v="1466"/>
    <n v="6"/>
    <n v="1514"/>
    <n v="1514"/>
    <n v="517"/>
    <n v="1.03"/>
    <n v="1.03"/>
    <n v="0.35"/>
    <n v="168"/>
    <s v="6-12 Months"/>
    <s v="18-24 Months"/>
    <x v="2"/>
    <n v="1651"/>
  </r>
  <r>
    <n v="107747"/>
    <s v="Tualatin Police Dept. - OR"/>
    <n v="4"/>
    <n v="40"/>
    <n v="0"/>
    <n v="0"/>
    <n v="0"/>
    <n v="0"/>
    <n v="0"/>
    <n v="0"/>
    <n v="0"/>
    <n v="0"/>
    <s v="0-6 Months"/>
    <s v="12-18 Months"/>
    <x v="1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s v="24+ Months"/>
    <s v="24+ Months"/>
    <x v="2"/>
    <n v="745"/>
  </r>
  <r>
    <n v="107758"/>
    <s v="Black Diamond Police Dept. - WA"/>
    <n v="14"/>
    <n v="13"/>
    <n v="3"/>
    <n v="6"/>
    <n v="1"/>
    <n v="1"/>
    <n v="0.46"/>
    <n v="0.08"/>
    <n v="0.08"/>
    <n v="11"/>
    <s v="0-6 Months"/>
    <s v="12-18 Months"/>
    <x v="1"/>
    <n v="0"/>
  </r>
  <r>
    <n v="107781"/>
    <s v="Elbert County Sheriff's Office - CO"/>
    <n v="43"/>
    <n v="60"/>
    <n v="0"/>
    <n v="0"/>
    <n v="0"/>
    <n v="0"/>
    <n v="0"/>
    <n v="0"/>
    <n v="0"/>
    <n v="0"/>
    <s v="0-6 Months"/>
    <s v="12-18 Months"/>
    <x v="1"/>
    <n v="0"/>
  </r>
  <r>
    <n v="107787"/>
    <s v="Spokane County Sheriff's Office - WA"/>
    <n v="119"/>
    <n v="287"/>
    <n v="12"/>
    <n v="99"/>
    <n v="0"/>
    <n v="0"/>
    <n v="0.34"/>
    <n v="0"/>
    <n v="0"/>
    <n v="0"/>
    <s v="6-12 Months"/>
    <s v="18-24 Months"/>
    <x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s v="24+ Months"/>
    <s v="24+ Months"/>
    <x v="0"/>
    <n v="250"/>
  </r>
  <r>
    <n v="107824"/>
    <s v="Jefferson County Sheriff's Office - CO"/>
    <n v="565"/>
    <n v="505"/>
    <n v="10"/>
    <n v="1367"/>
    <n v="692"/>
    <n v="103"/>
    <n v="2.71"/>
    <n v="1.37"/>
    <n v="0.2"/>
    <n v="23"/>
    <s v="6-12 Months"/>
    <s v="18-24 Months"/>
    <x v="0"/>
    <n v="565"/>
  </r>
  <r>
    <n v="107826"/>
    <s v="Connecticut State Police Dept. - CT"/>
    <n v="25"/>
    <n v="1150"/>
    <n v="3"/>
    <n v="218"/>
    <n v="218"/>
    <n v="218"/>
    <n v="0.19"/>
    <n v="0.19"/>
    <n v="0.19"/>
    <n v="26"/>
    <s v="0-6 Months"/>
    <s v="12-18 Months"/>
    <x v="2"/>
    <n v="0"/>
  </r>
  <r>
    <n v="107831"/>
    <s v="East Baton Rouge Parish Sheriff's Dept. - LA"/>
    <n v="402"/>
    <n v="420"/>
    <n v="5"/>
    <n v="1133"/>
    <n v="1127"/>
    <n v="746"/>
    <n v="2.7"/>
    <n v="2.68"/>
    <n v="1.78"/>
    <n v="27"/>
    <s v="0-6 Months"/>
    <s v="12-18 Months"/>
    <x v="0"/>
    <n v="402"/>
  </r>
  <r>
    <n v="107871"/>
    <s v="McLoud Police Dept. - OK"/>
    <n v="12"/>
    <n v="20"/>
    <n v="0"/>
    <n v="7"/>
    <n v="7"/>
    <n v="7"/>
    <n v="0.35"/>
    <n v="0.35"/>
    <n v="0.35"/>
    <n v="0"/>
    <s v="0-6 Months"/>
    <s v="12-18 Months"/>
    <x v="1"/>
    <n v="0"/>
  </r>
  <r>
    <n v="107887"/>
    <s v="Memphis Police Department - TN"/>
    <n v="2281"/>
    <n v="2300"/>
    <n v="27"/>
    <n v="154"/>
    <n v="125"/>
    <n v="2"/>
    <n v="7.0000000000000007E-2"/>
    <n v="0.05"/>
    <n v="0"/>
    <n v="453"/>
    <s v="24+ Months"/>
    <s v="24+ Months"/>
    <x v="2"/>
    <n v="0"/>
  </r>
  <r>
    <n v="107894"/>
    <s v="Waynesboro Police Dept. - VA"/>
    <n v="82"/>
    <n v="4"/>
    <n v="2"/>
    <n v="1"/>
    <n v="1"/>
    <n v="1"/>
    <n v="0.25"/>
    <n v="0.25"/>
    <n v="0.25"/>
    <n v="0"/>
    <s v="0-6 Months"/>
    <s v="12-18 Months"/>
    <x v="1"/>
    <n v="0"/>
  </r>
  <r>
    <n v="107911"/>
    <s v="Louisville Metro Police Department"/>
    <n v="1312"/>
    <n v="1215"/>
    <n v="47"/>
    <n v="2"/>
    <n v="2"/>
    <n v="0"/>
    <n v="0"/>
    <n v="0"/>
    <n v="0"/>
    <n v="0"/>
    <s v="24+ Months"/>
    <s v="24+ Months"/>
    <x v="2"/>
    <n v="0"/>
  </r>
  <r>
    <n v="107916"/>
    <s v="Weaver Police Dept. - AL"/>
    <n v="11"/>
    <n v="8"/>
    <n v="1"/>
    <n v="0"/>
    <n v="0"/>
    <n v="0"/>
    <n v="0"/>
    <n v="0"/>
    <n v="0"/>
    <n v="0"/>
    <s v="0-6 Months"/>
    <s v="12-18 Months"/>
    <x v="1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s v="0-6 Months"/>
    <s v="12-18 Months"/>
    <x v="1"/>
    <n v="16"/>
  </r>
  <r>
    <n v="107920"/>
    <s v="Rialto Police Dept. - CA"/>
    <n v="150"/>
    <n v="140"/>
    <n v="9"/>
    <n v="109"/>
    <n v="109"/>
    <n v="108"/>
    <n v="0.78"/>
    <n v="0.78"/>
    <n v="0.77"/>
    <n v="0"/>
    <s v="6-12 Months"/>
    <s v="18-24 Months"/>
    <x v="0"/>
    <n v="150"/>
  </r>
  <r>
    <n v="107937"/>
    <s v="Winthrop Police Dept - MN"/>
    <n v="2"/>
    <n v="5"/>
    <n v="9"/>
    <n v="32"/>
    <n v="12"/>
    <n v="3"/>
    <n v="6.4"/>
    <n v="2.4"/>
    <n v="0.6"/>
    <n v="0"/>
    <s v="6-12 Months"/>
    <s v="18-24 Months"/>
    <x v="1"/>
    <n v="2"/>
  </r>
  <r>
    <n v="107969"/>
    <s v="Lower Merion Twp Police Dept. - PA"/>
    <n v="7"/>
    <n v="136"/>
    <n v="9"/>
    <n v="608"/>
    <n v="95"/>
    <n v="15"/>
    <n v="4.47"/>
    <n v="0.7"/>
    <n v="0.11"/>
    <n v="31"/>
    <s v="6-12 Months"/>
    <s v="18-24 Months"/>
    <x v="0"/>
    <n v="7"/>
  </r>
  <r>
    <n v="107984"/>
    <s v="West Richland Police Dept. - WA"/>
    <n v="18"/>
    <n v="18"/>
    <n v="0"/>
    <n v="8"/>
    <n v="8"/>
    <n v="8"/>
    <n v="0.44"/>
    <n v="0.44"/>
    <n v="0.44"/>
    <n v="0"/>
    <s v="0-6 Months"/>
    <s v="12-18 Months"/>
    <x v="1"/>
    <n v="0"/>
  </r>
  <r>
    <n v="107989"/>
    <s v="Ada County Sheriff's Office - ID"/>
    <n v="236"/>
    <n v="255"/>
    <n v="10"/>
    <n v="886"/>
    <n v="344"/>
    <n v="234"/>
    <n v="3.47"/>
    <n v="1.35"/>
    <n v="0.92"/>
    <n v="1"/>
    <s v="6-12 Months"/>
    <s v="18-24 Months"/>
    <x v="0"/>
    <n v="236"/>
  </r>
  <r>
    <n v="107991"/>
    <s v="Caldwell Police Dept. - ID"/>
    <n v="101"/>
    <n v="100"/>
    <n v="1"/>
    <n v="0"/>
    <n v="0"/>
    <n v="0"/>
    <n v="0"/>
    <n v="0"/>
    <n v="0"/>
    <n v="0"/>
    <s v="0-6 Months"/>
    <s v="12-18 Months"/>
    <x v="0"/>
    <n v="0"/>
  </r>
  <r>
    <n v="107993"/>
    <s v="Meridian Police Dept. - ID"/>
    <n v="157"/>
    <n v="151"/>
    <n v="20"/>
    <n v="523"/>
    <n v="291"/>
    <n v="290"/>
    <n v="3.46"/>
    <n v="1.93"/>
    <n v="1.92"/>
    <n v="7"/>
    <s v="12-24 Months"/>
    <s v="24+ Months"/>
    <x v="0"/>
    <n v="157"/>
  </r>
  <r>
    <n v="108003"/>
    <s v="East Bay Regional Park Police Dept. - CA"/>
    <n v="79"/>
    <n v="75"/>
    <n v="24"/>
    <n v="72"/>
    <n v="19"/>
    <n v="16"/>
    <n v="0.96"/>
    <n v="0.25"/>
    <n v="0.21"/>
    <n v="0"/>
    <s v="12-24 Months"/>
    <s v="24+ Months"/>
    <x v="1"/>
    <n v="0"/>
  </r>
  <r>
    <n v="108005"/>
    <s v="Sausalito Police Dept. - CA"/>
    <n v="34"/>
    <n v="15"/>
    <n v="3"/>
    <n v="8"/>
    <n v="8"/>
    <n v="8"/>
    <n v="0.53"/>
    <n v="0.53"/>
    <n v="0.53"/>
    <n v="0"/>
    <s v="0-6 Months"/>
    <s v="12-18 Months"/>
    <x v="1"/>
    <n v="0"/>
  </r>
  <r>
    <n v="108011"/>
    <s v="Adams County Sheriff's Office - CO"/>
    <n v="476"/>
    <n v="464"/>
    <n v="7"/>
    <n v="222"/>
    <n v="222"/>
    <n v="172"/>
    <n v="0.48"/>
    <n v="0.48"/>
    <n v="0.37"/>
    <n v="3"/>
    <s v="6-12 Months"/>
    <s v="18-24 Months"/>
    <x v="0"/>
    <n v="0"/>
  </r>
  <r>
    <n v="108014"/>
    <s v="Dothan Police Department - AL"/>
    <n v="157"/>
    <n v="250"/>
    <n v="49"/>
    <n v="64"/>
    <n v="59"/>
    <n v="12"/>
    <n v="0.26"/>
    <n v="0.24"/>
    <n v="0.05"/>
    <n v="262"/>
    <s v="24+ Months"/>
    <s v="24+ Months"/>
    <x v="0"/>
    <n v="0"/>
  </r>
  <r>
    <n v="108015"/>
    <s v="Birmingham Police Dept. - AL"/>
    <n v="775"/>
    <n v="768"/>
    <n v="28"/>
    <n v="3"/>
    <n v="3"/>
    <n v="0"/>
    <n v="0"/>
    <n v="0"/>
    <n v="0"/>
    <n v="210"/>
    <s v="24+ Months"/>
    <s v="24+ Months"/>
    <x v="2"/>
    <n v="0"/>
  </r>
  <r>
    <n v="108041"/>
    <s v="Douglas County Sheriffs Office - OR"/>
    <n v="91"/>
    <n v="77"/>
    <n v="2"/>
    <n v="76"/>
    <n v="76"/>
    <n v="76"/>
    <n v="0.99"/>
    <n v="0.99"/>
    <n v="0.99"/>
    <n v="38"/>
    <s v="0-6 Months"/>
    <s v="12-18 Months"/>
    <x v="1"/>
    <n v="91"/>
  </r>
  <r>
    <n v="108043"/>
    <s v="Tigard Police Dept. - OR"/>
    <n v="85"/>
    <n v="79"/>
    <n v="2"/>
    <n v="40"/>
    <n v="30"/>
    <n v="30"/>
    <n v="0.51"/>
    <n v="0.38"/>
    <n v="0.38"/>
    <n v="10"/>
    <s v="0-6 Months"/>
    <s v="12-18 Months"/>
    <x v="1"/>
    <n v="0"/>
  </r>
  <r>
    <n v="108050"/>
    <s v="Metro Nashville Police Department -TN"/>
    <n v="1400"/>
    <n v="1658"/>
    <n v="44"/>
    <n v="1517"/>
    <n v="202"/>
    <n v="72"/>
    <n v="0.91"/>
    <n v="0.12"/>
    <n v="0.04"/>
    <n v="169"/>
    <s v="24+ Months"/>
    <s v="24+ Months"/>
    <x v="2"/>
    <n v="0"/>
  </r>
  <r>
    <n v="108051"/>
    <s v="Franklin Police Department - TN"/>
    <n v="140"/>
    <n v="140"/>
    <n v="4"/>
    <n v="181"/>
    <n v="181"/>
    <n v="178"/>
    <n v="1.29"/>
    <n v="1.29"/>
    <n v="1.27"/>
    <n v="102"/>
    <s v="0-6 Months"/>
    <s v="12-18 Months"/>
    <x v="0"/>
    <n v="140"/>
  </r>
  <r>
    <n v="108053"/>
    <s v="Williamson County Sheriff's Office - TN"/>
    <n v="3"/>
    <n v="243"/>
    <n v="40"/>
    <n v="2113"/>
    <n v="1337"/>
    <n v="1177"/>
    <n v="8.6999999999999993"/>
    <n v="5.5"/>
    <n v="4.84"/>
    <n v="3"/>
    <s v="24+ Months"/>
    <s v="24+ Months"/>
    <x v="0"/>
    <n v="3"/>
  </r>
  <r>
    <n v="108060"/>
    <s v="Frederick Police Department - CO"/>
    <n v="31"/>
    <n v="45"/>
    <n v="46"/>
    <n v="64"/>
    <n v="38"/>
    <n v="0"/>
    <n v="1.42"/>
    <n v="0.84"/>
    <n v="0"/>
    <n v="97"/>
    <s v="24+ Months"/>
    <s v="24+ Months"/>
    <x v="1"/>
    <n v="31"/>
  </r>
  <r>
    <n v="108080"/>
    <s v="Waukesha Police Dept. - WI"/>
    <n v="152"/>
    <n v="120"/>
    <n v="45"/>
    <n v="258"/>
    <n v="161"/>
    <n v="123"/>
    <n v="2.15"/>
    <n v="1.34"/>
    <n v="1.03"/>
    <n v="46"/>
    <s v="24+ Months"/>
    <s v="24+ Months"/>
    <x v="0"/>
    <n v="152"/>
  </r>
  <r>
    <n v="108106"/>
    <s v="Greenbelt Police Dept. - MD"/>
    <n v="51"/>
    <n v="35"/>
    <n v="10"/>
    <n v="96"/>
    <n v="77"/>
    <n v="25"/>
    <n v="2.74"/>
    <n v="2.2000000000000002"/>
    <n v="0.71"/>
    <n v="80"/>
    <s v="6-12 Months"/>
    <s v="18-24 Months"/>
    <x v="1"/>
    <n v="51"/>
  </r>
  <r>
    <n v="108109"/>
    <s v="Newport News Police Dept. - VA"/>
    <n v="499"/>
    <n v="470"/>
    <n v="40"/>
    <n v="142"/>
    <n v="98"/>
    <n v="56"/>
    <n v="0.3"/>
    <n v="0.21"/>
    <n v="0.12"/>
    <n v="7"/>
    <s v="24+ Months"/>
    <s v="24+ Months"/>
    <x v="0"/>
    <n v="0"/>
  </r>
  <r>
    <n v="108149"/>
    <s v="Grant County Sheriff's Office - MN"/>
    <n v="0"/>
    <n v="11"/>
    <n v="0"/>
    <n v="0"/>
    <n v="0"/>
    <n v="0"/>
    <n v="0"/>
    <n v="0"/>
    <n v="0"/>
    <n v="0"/>
    <s v="0-6 Months"/>
    <s v="12-18 Months"/>
    <x v="1"/>
    <n v="0"/>
  </r>
  <r>
    <n v="108237"/>
    <s v="Pueblo County Sheriff's Office - CO"/>
    <n v="131"/>
    <n v="111"/>
    <n v="22"/>
    <n v="445"/>
    <n v="202"/>
    <n v="74"/>
    <n v="4.01"/>
    <n v="1.82"/>
    <n v="0.67"/>
    <n v="70"/>
    <s v="12-24 Months"/>
    <s v="24+ Months"/>
    <x v="0"/>
    <n v="131"/>
  </r>
  <r>
    <n v="108253"/>
    <s v="Cottonwood Police Dept. - AZ"/>
    <n v="32"/>
    <n v="42"/>
    <n v="2"/>
    <n v="4"/>
    <n v="4"/>
    <n v="4"/>
    <n v="0.1"/>
    <n v="0.1"/>
    <n v="0.1"/>
    <n v="0"/>
    <s v="0-6 Months"/>
    <s v="12-18 Months"/>
    <x v="1"/>
    <n v="0"/>
  </r>
  <r>
    <n v="108260"/>
    <s v="Clarksville Police Dept - IN"/>
    <n v="59"/>
    <n v="60"/>
    <n v="8"/>
    <n v="27"/>
    <n v="0"/>
    <n v="0"/>
    <n v="0.45"/>
    <n v="0"/>
    <n v="0"/>
    <n v="0"/>
    <s v="6-12 Months"/>
    <s v="18-24 Months"/>
    <x v="1"/>
    <n v="0"/>
  </r>
  <r>
    <n v="108263"/>
    <s v="Tell City Police Dept - IN"/>
    <n v="0"/>
    <n v="16"/>
    <n v="13"/>
    <n v="76"/>
    <n v="48"/>
    <n v="48"/>
    <n v="4.75"/>
    <n v="3"/>
    <n v="3"/>
    <n v="23"/>
    <s v="12-24 Months"/>
    <s v="24+ Months"/>
    <x v="1"/>
    <n v="0"/>
  </r>
  <r>
    <n v="108276"/>
    <s v="Jefferson County Sheriff's Office - WA"/>
    <n v="38"/>
    <n v="46"/>
    <n v="46"/>
    <n v="151"/>
    <n v="55"/>
    <n v="31"/>
    <n v="3.28"/>
    <n v="1.2"/>
    <n v="0.67"/>
    <n v="21"/>
    <s v="24+ Months"/>
    <s v="24+ Months"/>
    <x v="1"/>
    <n v="38"/>
  </r>
  <r>
    <n v="108283"/>
    <s v="Medina Police Dept. - MN"/>
    <n v="0"/>
    <n v="12"/>
    <n v="12"/>
    <n v="62"/>
    <n v="8"/>
    <n v="2"/>
    <n v="5.17"/>
    <n v="0.67"/>
    <n v="0.17"/>
    <n v="4"/>
    <s v="6-12 Months"/>
    <s v="18-24 Months"/>
    <x v="1"/>
    <n v="0"/>
  </r>
  <r>
    <n v="108291"/>
    <s v="North Mankato Police Department - MN"/>
    <n v="18"/>
    <n v="18"/>
    <n v="2"/>
    <n v="57"/>
    <n v="57"/>
    <n v="57"/>
    <n v="3.17"/>
    <n v="3.17"/>
    <n v="3.17"/>
    <n v="149"/>
    <s v="0-6 Months"/>
    <s v="12-18 Months"/>
    <x v="1"/>
    <n v="18"/>
  </r>
  <r>
    <n v="108333"/>
    <s v="Tooele City Police Dept. - UT"/>
    <n v="27"/>
    <n v="27"/>
    <n v="1"/>
    <n v="3"/>
    <n v="3"/>
    <n v="3"/>
    <n v="0.11"/>
    <n v="0.11"/>
    <n v="0.11"/>
    <n v="0"/>
    <s v="0-6 Months"/>
    <s v="12-18 Months"/>
    <x v="1"/>
    <n v="0"/>
  </r>
  <r>
    <n v="108339"/>
    <s v="Ogden Police Dept. - UT"/>
    <n v="168"/>
    <n v="112"/>
    <n v="1"/>
    <n v="0"/>
    <n v="0"/>
    <n v="0"/>
    <n v="0"/>
    <n v="0"/>
    <n v="0"/>
    <n v="0"/>
    <s v="0-6 Months"/>
    <s v="12-18 Months"/>
    <x v="0"/>
    <n v="0"/>
  </r>
  <r>
    <n v="108344"/>
    <s v="Sapulpa Police Dept. - OK"/>
    <n v="46"/>
    <n v="45"/>
    <n v="0"/>
    <n v="0"/>
    <n v="0"/>
    <n v="0"/>
    <n v="0"/>
    <n v="0"/>
    <n v="0"/>
    <n v="0"/>
    <s v="0-6 Months"/>
    <s v="12-18 Months"/>
    <x v="1"/>
    <n v="0"/>
  </r>
  <r>
    <n v="108354"/>
    <s v="Niceville Police Dept. - FL"/>
    <n v="35"/>
    <n v="35"/>
    <n v="10"/>
    <n v="182"/>
    <n v="18"/>
    <n v="1"/>
    <n v="5.2"/>
    <n v="0.51"/>
    <n v="0.03"/>
    <n v="45"/>
    <s v="6-12 Months"/>
    <s v="18-24 Months"/>
    <x v="1"/>
    <n v="35"/>
  </r>
  <r>
    <n v="108360"/>
    <s v="Minnesota State Patrol - MN"/>
    <n v="782"/>
    <n v="800"/>
    <n v="50"/>
    <n v="36"/>
    <n v="5"/>
    <n v="1"/>
    <n v="0.05"/>
    <n v="0.01"/>
    <n v="0"/>
    <n v="72"/>
    <s v="24+ Months"/>
    <s v="24+ Months"/>
    <x v="2"/>
    <n v="0"/>
  </r>
  <r>
    <n v="108362"/>
    <s v="Merced County Sheriff's Dept. - HQ"/>
    <n v="215"/>
    <n v="290"/>
    <n v="10"/>
    <n v="6"/>
    <n v="6"/>
    <n v="5"/>
    <n v="0.02"/>
    <n v="0.02"/>
    <n v="0.02"/>
    <n v="5"/>
    <s v="6-12 Months"/>
    <s v="18-24 Months"/>
    <x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s v="12-24 Months"/>
    <s v="24+ Months"/>
    <x v="0"/>
    <n v="0"/>
  </r>
  <r>
    <n v="108380"/>
    <s v="Ripon Police Dept. - CA"/>
    <n v="1"/>
    <n v="28"/>
    <n v="34"/>
    <n v="0"/>
    <n v="0"/>
    <n v="0"/>
    <n v="0"/>
    <n v="0"/>
    <n v="0"/>
    <n v="0"/>
    <s v="24+ Months"/>
    <s v="24+ Months"/>
    <x v="1"/>
    <n v="0"/>
  </r>
  <r>
    <n v="108381"/>
    <s v="Sanger Police Dept. - CA"/>
    <n v="40"/>
    <n v="40"/>
    <n v="1"/>
    <n v="0"/>
    <n v="0"/>
    <n v="0"/>
    <n v="0"/>
    <n v="0"/>
    <n v="0"/>
    <n v="0"/>
    <s v="0-6 Months"/>
    <s v="12-18 Months"/>
    <x v="1"/>
    <n v="0"/>
  </r>
  <r>
    <n v="108398"/>
    <s v="Evans Police Department - CO"/>
    <n v="38"/>
    <n v="40"/>
    <n v="15"/>
    <n v="49"/>
    <n v="0"/>
    <n v="0"/>
    <n v="1.23"/>
    <n v="0"/>
    <n v="0"/>
    <n v="0"/>
    <s v="12-24 Months"/>
    <s v="24+ Months"/>
    <x v="1"/>
    <n v="0"/>
  </r>
  <r>
    <n v="108403"/>
    <s v="Shawnee County Sheriff's Office - KS"/>
    <n v="121"/>
    <n v="109"/>
    <n v="9"/>
    <n v="62"/>
    <n v="21"/>
    <n v="1"/>
    <n v="0.56999999999999995"/>
    <n v="0.19"/>
    <n v="0.01"/>
    <n v="8"/>
    <s v="6-12 Months"/>
    <s v="18-24 Months"/>
    <x v="0"/>
    <n v="0"/>
  </r>
  <r>
    <n v="108406"/>
    <s v="Independence Police Department - MO"/>
    <n v="280"/>
    <n v="200"/>
    <n v="19"/>
    <n v="0"/>
    <n v="0"/>
    <n v="0"/>
    <n v="0"/>
    <n v="0"/>
    <n v="0"/>
    <n v="0"/>
    <s v="12-24 Months"/>
    <s v="24+ Months"/>
    <x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s v="24+ Months"/>
    <s v="24+ Months"/>
    <x v="0"/>
    <n v="0"/>
  </r>
  <r>
    <n v="108428"/>
    <s v="Upper Moreland Township Police Dept - PA"/>
    <n v="11"/>
    <n v="21"/>
    <n v="3"/>
    <n v="36"/>
    <n v="16"/>
    <n v="8"/>
    <n v="1.71"/>
    <n v="0.76"/>
    <n v="0.38"/>
    <n v="0"/>
    <s v="0-6 Months"/>
    <s v="12-18 Months"/>
    <x v="1"/>
    <n v="11"/>
  </r>
  <r>
    <n v="108453"/>
    <s v="Fox Valley Technical College - WI"/>
    <n v="2"/>
    <n v="30"/>
    <n v="2"/>
    <n v="26"/>
    <n v="19"/>
    <n v="19"/>
    <n v="0.87"/>
    <n v="0.63"/>
    <n v="0.63"/>
    <n v="70"/>
    <s v="0-6 Months"/>
    <s v="12-18 Months"/>
    <x v="1"/>
    <n v="0"/>
  </r>
  <r>
    <n v="108462"/>
    <s v="Englewood Police Department - OH"/>
    <n v="25"/>
    <n v="25"/>
    <n v="11"/>
    <n v="309"/>
    <n v="184"/>
    <n v="5"/>
    <n v="12.36"/>
    <n v="7.36"/>
    <n v="0.2"/>
    <n v="67"/>
    <s v="6-12 Months"/>
    <s v="18-24 Months"/>
    <x v="1"/>
    <n v="25"/>
  </r>
  <r>
    <n v="108467"/>
    <s v="Charlotte County Sheriff's Office - FL"/>
    <n v="230"/>
    <n v="488"/>
    <n v="6"/>
    <n v="2793"/>
    <n v="2694"/>
    <n v="2238"/>
    <n v="5.72"/>
    <n v="5.52"/>
    <n v="4.59"/>
    <n v="76"/>
    <s v="6-12 Months"/>
    <s v="18-24 Months"/>
    <x v="0"/>
    <n v="230"/>
  </r>
  <r>
    <n v="108481"/>
    <s v="Miami Dade Sheriff Office - FL"/>
    <n v="2000"/>
    <n v="4700"/>
    <n v="36"/>
    <n v="9"/>
    <n v="7"/>
    <n v="2"/>
    <n v="0"/>
    <n v="0"/>
    <n v="0"/>
    <n v="10"/>
    <s v="24+ Months"/>
    <s v="24+ Months"/>
    <x v="2"/>
    <n v="0"/>
  </r>
  <r>
    <n v="108484"/>
    <s v="Blount County Sheriffs Office - TN"/>
    <n v="218"/>
    <n v="150"/>
    <n v="16"/>
    <n v="16"/>
    <n v="3"/>
    <n v="1"/>
    <n v="0.11"/>
    <n v="0.02"/>
    <n v="0.01"/>
    <n v="0"/>
    <s v="12-24 Months"/>
    <s v="24+ Months"/>
    <x v="0"/>
    <n v="0"/>
  </r>
  <r>
    <n v="108490"/>
    <s v="HILLSBOROUGH CO SHERIFF'S OFFICE - FL"/>
    <n v="2088"/>
    <n v="2580"/>
    <n v="11"/>
    <n v="2047"/>
    <n v="33"/>
    <n v="0"/>
    <n v="0.79"/>
    <n v="0.01"/>
    <n v="0"/>
    <n v="5"/>
    <s v="6-12 Months"/>
    <s v="18-24 Months"/>
    <x v="2"/>
    <n v="0"/>
  </r>
  <r>
    <n v="108500"/>
    <s v="Sevier County Sheriff's Office - TN"/>
    <n v="59"/>
    <n v="92"/>
    <n v="14"/>
    <n v="270"/>
    <n v="192"/>
    <n v="154"/>
    <n v="2.93"/>
    <n v="2.09"/>
    <n v="1.67"/>
    <n v="0"/>
    <s v="12-24 Months"/>
    <s v="24+ Months"/>
    <x v="1"/>
    <n v="59"/>
  </r>
  <r>
    <n v="108523"/>
    <s v="Parker County Sheriff's Office - TX"/>
    <n v="105"/>
    <n v="85"/>
    <n v="1"/>
    <n v="1"/>
    <n v="1"/>
    <n v="1"/>
    <n v="0.01"/>
    <n v="0.01"/>
    <n v="0.01"/>
    <n v="0"/>
    <s v="0-6 Months"/>
    <s v="12-18 Months"/>
    <x v="1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s v="6-12 Months"/>
    <s v="18-24 Months"/>
    <x v="2"/>
    <n v="2325"/>
  </r>
  <r>
    <n v="108542"/>
    <s v="Trophy Club Police Dept. - TX"/>
    <n v="0"/>
    <n v="23"/>
    <n v="0"/>
    <n v="0"/>
    <n v="0"/>
    <n v="0"/>
    <n v="0"/>
    <n v="0"/>
    <n v="0"/>
    <n v="0"/>
    <s v="0-6 Months"/>
    <s v="12-18 Months"/>
    <x v="1"/>
    <n v="0"/>
  </r>
  <r>
    <n v="108558"/>
    <s v="Western Washington University Police Dept. - WA"/>
    <n v="16"/>
    <n v="14"/>
    <n v="1"/>
    <n v="0"/>
    <n v="0"/>
    <n v="0"/>
    <n v="0"/>
    <n v="0"/>
    <n v="0"/>
    <n v="0"/>
    <s v="0-6 Months"/>
    <s v="12-18 Months"/>
    <x v="1"/>
    <n v="0"/>
  </r>
  <r>
    <n v="108562"/>
    <s v="Puyallup Police Dept. - WA"/>
    <n v="56"/>
    <n v="80"/>
    <n v="4"/>
    <n v="0"/>
    <n v="0"/>
    <n v="0"/>
    <n v="0"/>
    <n v="0"/>
    <n v="0"/>
    <n v="0"/>
    <s v="0-6 Months"/>
    <s v="12-18 Months"/>
    <x v="1"/>
    <n v="0"/>
  </r>
  <r>
    <n v="108566"/>
    <s v="Collier County Sheriff's Office - FL"/>
    <n v="20"/>
    <n v="550"/>
    <n v="10"/>
    <n v="240"/>
    <n v="107"/>
    <n v="12"/>
    <n v="0.44"/>
    <n v="0.19"/>
    <n v="0.02"/>
    <n v="24"/>
    <s v="6-12 Months"/>
    <s v="18-24 Months"/>
    <x v="2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s v="12-24 Months"/>
    <s v="24+ Months"/>
    <x v="0"/>
    <n v="115"/>
  </r>
  <r>
    <n v="108600"/>
    <s v="MARION COUNTY SHERIFF'S DEPT - AL"/>
    <n v="20"/>
    <n v="20"/>
    <n v="2"/>
    <n v="95"/>
    <n v="95"/>
    <n v="95"/>
    <n v="4.75"/>
    <n v="4.75"/>
    <n v="4.75"/>
    <n v="0"/>
    <s v="0-6 Months"/>
    <s v="12-18 Months"/>
    <x v="1"/>
    <n v="20"/>
  </r>
  <r>
    <n v="108601"/>
    <s v="Biloxi Police Dept. - MS"/>
    <n v="58"/>
    <n v="135"/>
    <n v="49"/>
    <n v="409"/>
    <n v="407"/>
    <n v="7"/>
    <n v="3.03"/>
    <n v="3.01"/>
    <n v="0.05"/>
    <n v="16"/>
    <s v="24+ Months"/>
    <s v="24+ Months"/>
    <x v="0"/>
    <n v="58"/>
  </r>
  <r>
    <n v="108627"/>
    <s v="Payson Police Department - AZ"/>
    <n v="36"/>
    <n v="35"/>
    <n v="8"/>
    <n v="26"/>
    <n v="26"/>
    <n v="2"/>
    <n v="0.74"/>
    <n v="0.74"/>
    <n v="0.06"/>
    <n v="40"/>
    <s v="6-12 Months"/>
    <s v="18-24 Months"/>
    <x v="1"/>
    <n v="0"/>
  </r>
  <r>
    <n v="108630"/>
    <s v="Clarkdale Police Dept. - AZ"/>
    <n v="14"/>
    <n v="13"/>
    <n v="1"/>
    <n v="0"/>
    <n v="0"/>
    <n v="0"/>
    <n v="0"/>
    <n v="0"/>
    <n v="0"/>
    <n v="0"/>
    <s v="0-6 Months"/>
    <s v="12-18 Months"/>
    <x v="1"/>
    <n v="0"/>
  </r>
  <r>
    <n v="108635"/>
    <s v="Natrona County Sheriff's Office - WY"/>
    <n v="41"/>
    <n v="109"/>
    <n v="11"/>
    <n v="154"/>
    <n v="75"/>
    <n v="10"/>
    <n v="1.41"/>
    <n v="0.69"/>
    <n v="0.09"/>
    <n v="70"/>
    <s v="6-12 Months"/>
    <s v="18-24 Months"/>
    <x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s v="0-6 Months"/>
    <s v="12-18 Months"/>
    <x v="0"/>
    <n v="0"/>
  </r>
  <r>
    <n v="108658"/>
    <s v="Travis County Sheriff's Office - TX"/>
    <n v="1532"/>
    <n v="763"/>
    <n v="6"/>
    <n v="2499"/>
    <n v="2358"/>
    <n v="542"/>
    <n v="3.28"/>
    <n v="3.09"/>
    <n v="0.71"/>
    <n v="52"/>
    <s v="6-12 Months"/>
    <s v="18-24 Months"/>
    <x v="2"/>
    <n v="1532"/>
  </r>
  <r>
    <n v="108662"/>
    <s v="El Monte Police Dept. - CA"/>
    <n v="160"/>
    <n v="135"/>
    <n v="4"/>
    <n v="44"/>
    <n v="31"/>
    <n v="31"/>
    <n v="0.33"/>
    <n v="0.23"/>
    <n v="0.23"/>
    <n v="189"/>
    <s v="0-6 Months"/>
    <s v="12-18 Months"/>
    <x v="0"/>
    <n v="0"/>
  </r>
  <r>
    <n v="108696"/>
    <s v="Vernon Police Dept. - CT"/>
    <n v="65"/>
    <n v="48"/>
    <n v="1"/>
    <n v="0"/>
    <n v="0"/>
    <n v="0"/>
    <n v="0"/>
    <n v="0"/>
    <n v="0"/>
    <n v="0"/>
    <s v="0-6 Months"/>
    <s v="12-18 Months"/>
    <x v="1"/>
    <n v="0"/>
  </r>
  <r>
    <n v="108752"/>
    <s v="Hood County Sheriff's Office - TX"/>
    <n v="51"/>
    <n v="50"/>
    <n v="0"/>
    <n v="30"/>
    <n v="30"/>
    <n v="30"/>
    <n v="0.6"/>
    <n v="0.6"/>
    <n v="0.6"/>
    <n v="4"/>
    <s v="0-6 Months"/>
    <s v="12-18 Months"/>
    <x v="1"/>
    <n v="0"/>
  </r>
  <r>
    <n v="108758"/>
    <s v="Chatfield Police Dept. - MN"/>
    <n v="0"/>
    <n v="6"/>
    <n v="0"/>
    <n v="0"/>
    <n v="0"/>
    <n v="0"/>
    <n v="0"/>
    <n v="0"/>
    <n v="0"/>
    <n v="0"/>
    <s v="0-6 Months"/>
    <s v="12-18 Months"/>
    <x v="1"/>
    <n v="0"/>
  </r>
  <r>
    <n v="108763"/>
    <s v="Washington County Sheriff's Office - OK"/>
    <n v="29"/>
    <n v="35"/>
    <n v="0"/>
    <n v="23"/>
    <n v="23"/>
    <n v="23"/>
    <n v="0.66"/>
    <n v="0.66"/>
    <n v="0.66"/>
    <n v="22"/>
    <s v="0-6 Months"/>
    <s v="12-18 Months"/>
    <x v="1"/>
    <n v="0"/>
  </r>
  <r>
    <n v="108766"/>
    <s v="Sullivan Police Department - MO"/>
    <n v="24"/>
    <n v="19"/>
    <n v="11"/>
    <n v="51"/>
    <n v="22"/>
    <n v="0"/>
    <n v="2.68"/>
    <n v="1.1599999999999999"/>
    <n v="0"/>
    <n v="68"/>
    <s v="6-12 Months"/>
    <s v="18-24 Months"/>
    <x v="1"/>
    <n v="24"/>
  </r>
  <r>
    <n v="108767"/>
    <s v="Belton Police Department - MO"/>
    <n v="10"/>
    <n v="45"/>
    <n v="8"/>
    <n v="151"/>
    <n v="138"/>
    <n v="111"/>
    <n v="3.36"/>
    <n v="3.07"/>
    <n v="2.4700000000000002"/>
    <n v="73"/>
    <s v="6-12 Months"/>
    <s v="18-24 Months"/>
    <x v="1"/>
    <n v="10"/>
  </r>
  <r>
    <n v="108786"/>
    <s v="Phelps County Sheriff's Office - NE"/>
    <n v="7"/>
    <n v="7"/>
    <n v="3"/>
    <n v="27"/>
    <n v="27"/>
    <n v="27"/>
    <n v="3.86"/>
    <n v="3.86"/>
    <n v="3.86"/>
    <n v="0"/>
    <s v="0-6 Months"/>
    <s v="12-18 Months"/>
    <x v="1"/>
    <n v="7"/>
  </r>
  <r>
    <n v="108787"/>
    <s v="Omaha Police Dept - NE"/>
    <n v="718"/>
    <n v="645"/>
    <n v="12"/>
    <n v="869"/>
    <n v="3"/>
    <n v="3"/>
    <n v="1.35"/>
    <n v="0"/>
    <n v="0"/>
    <n v="3"/>
    <s v="6-12 Months"/>
    <s v="18-24 Months"/>
    <x v="2"/>
    <n v="0"/>
  </r>
  <r>
    <n v="108792"/>
    <s v="Sarpy County Sheriff's - NE"/>
    <n v="106"/>
    <n v="130"/>
    <n v="11"/>
    <n v="462"/>
    <n v="93"/>
    <n v="31"/>
    <n v="3.55"/>
    <n v="0.72"/>
    <n v="0.24"/>
    <n v="8"/>
    <s v="6-12 Months"/>
    <s v="18-24 Months"/>
    <x v="0"/>
    <n v="106"/>
  </r>
  <r>
    <n v="108869"/>
    <s v="Littleton Police Department - CO"/>
    <n v="85"/>
    <n v="97"/>
    <n v="41"/>
    <n v="184"/>
    <n v="184"/>
    <n v="184"/>
    <n v="1.9"/>
    <n v="1.9"/>
    <n v="1.9"/>
    <n v="23"/>
    <s v="24+ Months"/>
    <s v="24+ Months"/>
    <x v="1"/>
    <n v="85"/>
  </r>
  <r>
    <n v="108877"/>
    <s v="Westfield Police Department - IN"/>
    <n v="63"/>
    <n v="81"/>
    <n v="10"/>
    <n v="99"/>
    <n v="31"/>
    <n v="6"/>
    <n v="1.22"/>
    <n v="0.38"/>
    <n v="7.0000000000000007E-2"/>
    <n v="13"/>
    <s v="6-12 Months"/>
    <s v="18-24 Months"/>
    <x v="1"/>
    <n v="0"/>
  </r>
  <r>
    <n v="108880"/>
    <s v="Bloomington Police Dept. - IN"/>
    <n v="115"/>
    <n v="95"/>
    <n v="9"/>
    <n v="76"/>
    <n v="37"/>
    <n v="4"/>
    <n v="0.8"/>
    <n v="0.39"/>
    <n v="0.04"/>
    <n v="0"/>
    <s v="6-12 Months"/>
    <s v="18-24 Months"/>
    <x v="1"/>
    <n v="0"/>
  </r>
  <r>
    <n v="108939"/>
    <s v="Pendleton Police Dept. - OR"/>
    <n v="31"/>
    <n v="20"/>
    <n v="0"/>
    <n v="0"/>
    <n v="0"/>
    <n v="0"/>
    <n v="0"/>
    <n v="0"/>
    <n v="0"/>
    <n v="0"/>
    <s v="0-6 Months"/>
    <s v="12-18 Months"/>
    <x v="1"/>
    <n v="0"/>
  </r>
  <r>
    <n v="108982"/>
    <s v="Blaine Police Dept. - WA"/>
    <n v="30"/>
    <n v="14"/>
    <n v="0"/>
    <n v="21"/>
    <n v="21"/>
    <n v="21"/>
    <n v="1.5"/>
    <n v="1.5"/>
    <n v="1.5"/>
    <n v="0"/>
    <s v="0-6 Months"/>
    <s v="12-18 Months"/>
    <x v="1"/>
    <n v="30"/>
  </r>
  <r>
    <n v="109007"/>
    <s v="Ingham County Sheriff's Office - MI"/>
    <n v="54"/>
    <n v="80"/>
    <n v="3"/>
    <n v="90"/>
    <n v="66"/>
    <n v="65"/>
    <n v="1.1299999999999999"/>
    <n v="0.83"/>
    <n v="0.81"/>
    <n v="7"/>
    <s v="0-6 Months"/>
    <s v="12-18 Months"/>
    <x v="1"/>
    <n v="54"/>
  </r>
  <r>
    <n v="109011"/>
    <s v="Monroe Police Dept. - MI"/>
    <n v="40"/>
    <n v="38"/>
    <n v="9"/>
    <n v="150"/>
    <n v="95"/>
    <n v="23"/>
    <n v="3.95"/>
    <n v="2.5"/>
    <n v="0.61"/>
    <n v="227"/>
    <s v="6-12 Months"/>
    <s v="18-24 Months"/>
    <x v="1"/>
    <n v="40"/>
  </r>
  <r>
    <n v="109013"/>
    <s v="Hendry County Sheriff's Office - FL"/>
    <n v="80"/>
    <n v="145"/>
    <n v="11"/>
    <n v="28"/>
    <n v="7"/>
    <n v="7"/>
    <n v="0.19"/>
    <n v="0.05"/>
    <n v="0.05"/>
    <n v="2"/>
    <s v="6-12 Months"/>
    <s v="18-24 Months"/>
    <x v="0"/>
    <n v="0"/>
  </r>
  <r>
    <n v="109017"/>
    <s v="Boardman Police Dept. - OR"/>
    <n v="14"/>
    <n v="15"/>
    <n v="0"/>
    <n v="16"/>
    <n v="16"/>
    <n v="16"/>
    <n v="1.07"/>
    <n v="1.07"/>
    <n v="1.07"/>
    <n v="0"/>
    <s v="0-6 Months"/>
    <s v="12-18 Months"/>
    <x v="1"/>
    <n v="14"/>
  </r>
  <r>
    <n v="109037"/>
    <s v="Canton Township Police Dept. - MI"/>
    <n v="56"/>
    <n v="115"/>
    <n v="1"/>
    <n v="0"/>
    <n v="0"/>
    <n v="0"/>
    <n v="0"/>
    <n v="0"/>
    <n v="0"/>
    <n v="0"/>
    <s v="0-6 Months"/>
    <s v="12-18 Months"/>
    <x v="0"/>
    <n v="0"/>
  </r>
  <r>
    <n v="109079"/>
    <s v="Springfield Police Department - IL"/>
    <n v="280"/>
    <n v="274"/>
    <n v="34"/>
    <n v="496"/>
    <n v="46"/>
    <n v="1"/>
    <n v="1.81"/>
    <n v="0.17"/>
    <n v="0"/>
    <n v="0"/>
    <s v="24+ Months"/>
    <s v="24+ Months"/>
    <x v="0"/>
    <n v="0"/>
  </r>
  <r>
    <n v="109081"/>
    <s v="Braidwood Police Department - IL"/>
    <n v="24"/>
    <n v="20"/>
    <n v="4"/>
    <n v="0"/>
    <n v="0"/>
    <n v="0"/>
    <n v="0"/>
    <n v="0"/>
    <n v="0"/>
    <n v="0"/>
    <s v="0-6 Months"/>
    <s v="12-18 Months"/>
    <x v="1"/>
    <n v="0"/>
  </r>
  <r>
    <n v="109084"/>
    <s v="Coloma Township Police Department - MI"/>
    <n v="10"/>
    <n v="21"/>
    <n v="7"/>
    <n v="27"/>
    <n v="27"/>
    <n v="7"/>
    <n v="1.29"/>
    <n v="1.29"/>
    <n v="0.33"/>
    <n v="12"/>
    <s v="6-12 Months"/>
    <s v="18-24 Months"/>
    <x v="1"/>
    <n v="10"/>
  </r>
  <r>
    <n v="109085"/>
    <s v="Buchanan Police Dept - MI"/>
    <n v="9"/>
    <n v="8"/>
    <n v="1"/>
    <n v="0"/>
    <n v="0"/>
    <n v="0"/>
    <n v="0"/>
    <n v="0"/>
    <n v="0"/>
    <n v="0"/>
    <s v="0-6 Months"/>
    <s v="12-18 Months"/>
    <x v="1"/>
    <n v="0"/>
  </r>
  <r>
    <n v="109093"/>
    <s v="North Kansas City Police Dept. - MO"/>
    <n v="58"/>
    <n v="43"/>
    <n v="11"/>
    <n v="137"/>
    <n v="13"/>
    <n v="8"/>
    <n v="3.19"/>
    <n v="0.3"/>
    <n v="0.19"/>
    <n v="0"/>
    <s v="6-12 Months"/>
    <s v="18-24 Months"/>
    <x v="1"/>
    <n v="58"/>
  </r>
  <r>
    <n v="109105"/>
    <s v="Greenfield Police Dept. - CA"/>
    <n v="24"/>
    <n v="27"/>
    <n v="36"/>
    <n v="0"/>
    <n v="0"/>
    <n v="0"/>
    <n v="0"/>
    <n v="0"/>
    <n v="0"/>
    <n v="18"/>
    <s v="24+ Months"/>
    <s v="24+ Months"/>
    <x v="1"/>
    <n v="0"/>
  </r>
  <r>
    <n v="109148"/>
    <s v="Madison County Sheriffs Office - IL"/>
    <n v="92"/>
    <n v="85"/>
    <n v="7"/>
    <n v="144"/>
    <n v="144"/>
    <n v="77"/>
    <n v="1.69"/>
    <n v="1.69"/>
    <n v="0.91"/>
    <n v="38"/>
    <s v="6-12 Months"/>
    <s v="18-24 Months"/>
    <x v="1"/>
    <n v="92"/>
  </r>
  <r>
    <n v="109149"/>
    <s v="Madison Police Department - IL"/>
    <n v="14"/>
    <n v="14"/>
    <n v="10"/>
    <n v="71"/>
    <n v="0"/>
    <n v="0"/>
    <n v="5.07"/>
    <n v="0"/>
    <n v="0"/>
    <n v="0"/>
    <s v="6-12 Months"/>
    <s v="18-24 Months"/>
    <x v="1"/>
    <n v="14"/>
  </r>
  <r>
    <n v="109160"/>
    <s v="North Carolina State Highway Patrol - NC"/>
    <n v="120"/>
    <n v="1450"/>
    <n v="34"/>
    <n v="1320"/>
    <n v="432"/>
    <n v="72"/>
    <n v="0.91"/>
    <n v="0.3"/>
    <n v="0.05"/>
    <n v="146"/>
    <s v="24+ Months"/>
    <s v="24+ Months"/>
    <x v="2"/>
    <n v="0"/>
  </r>
  <r>
    <n v="109178"/>
    <s v="Yavapai County Sheriff's Office - AZ"/>
    <n v="165"/>
    <n v="193"/>
    <n v="15"/>
    <n v="304"/>
    <n v="94"/>
    <n v="0"/>
    <n v="1.58"/>
    <n v="0.49"/>
    <n v="0"/>
    <n v="0"/>
    <s v="12-24 Months"/>
    <s v="24+ Months"/>
    <x v="0"/>
    <n v="0"/>
  </r>
  <r>
    <n v="109197"/>
    <s v="Hialeah Police Dept. - FL"/>
    <n v="347"/>
    <n v="363"/>
    <n v="8"/>
    <n v="108"/>
    <n v="64"/>
    <n v="0"/>
    <n v="0.3"/>
    <n v="0.18"/>
    <n v="0"/>
    <n v="168"/>
    <s v="6-12 Months"/>
    <s v="18-24 Months"/>
    <x v="0"/>
    <n v="0"/>
  </r>
  <r>
    <n v="109200"/>
    <s v="Branson Police Department - MO"/>
    <n v="60"/>
    <n v="60"/>
    <n v="2"/>
    <n v="0"/>
    <n v="0"/>
    <n v="0"/>
    <n v="0"/>
    <n v="0"/>
    <n v="0"/>
    <n v="0"/>
    <s v="0-6 Months"/>
    <s v="12-18 Months"/>
    <x v="1"/>
    <n v="0"/>
  </r>
  <r>
    <n v="109205"/>
    <s v="Indian River County Sheriff's Office - FL"/>
    <n v="249"/>
    <n v="429"/>
    <n v="10"/>
    <n v="19"/>
    <n v="14"/>
    <n v="0"/>
    <n v="0.04"/>
    <n v="0.03"/>
    <n v="0"/>
    <n v="83"/>
    <s v="6-12 Months"/>
    <s v="18-24 Months"/>
    <x v="0"/>
    <n v="0"/>
  </r>
  <r>
    <n v="109207"/>
    <s v="Kissimmee Police Dept. - FL"/>
    <n v="162"/>
    <n v="166"/>
    <n v="50"/>
    <n v="313"/>
    <n v="227"/>
    <n v="143"/>
    <n v="1.89"/>
    <n v="1.37"/>
    <n v="0.86"/>
    <n v="139"/>
    <s v="24+ Months"/>
    <s v="24+ Months"/>
    <x v="0"/>
    <n v="162"/>
  </r>
  <r>
    <n v="109208"/>
    <s v="Orlando Police Dept. - FL"/>
    <n v="1200"/>
    <n v="1062"/>
    <n v="7"/>
    <n v="260"/>
    <n v="173"/>
    <n v="173"/>
    <n v="0.24"/>
    <n v="0.16"/>
    <n v="0.16"/>
    <n v="13"/>
    <s v="6-12 Months"/>
    <s v="18-24 Months"/>
    <x v="2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s v="0-6 Months"/>
    <s v="12-18 Months"/>
    <x v="0"/>
    <n v="0"/>
  </r>
  <r>
    <n v="109229"/>
    <s v="Greenville Police Dept. - SC"/>
    <n v="285"/>
    <n v="228"/>
    <n v="25"/>
    <n v="93"/>
    <n v="11"/>
    <n v="0"/>
    <n v="0.41"/>
    <n v="0.05"/>
    <n v="0"/>
    <n v="135"/>
    <s v="24+ Months"/>
    <s v="24+ Months"/>
    <x v="0"/>
    <n v="0"/>
  </r>
  <r>
    <n v="109232"/>
    <s v="Los Banos Police Dept. - CA"/>
    <n v="68"/>
    <n v="60"/>
    <n v="5"/>
    <n v="62"/>
    <n v="62"/>
    <n v="32"/>
    <n v="1.03"/>
    <n v="1.03"/>
    <n v="0.53"/>
    <n v="35"/>
    <s v="0-6 Months"/>
    <s v="12-18 Months"/>
    <x v="1"/>
    <n v="68"/>
  </r>
  <r>
    <n v="109245"/>
    <s v="Clay County Sheriff's Office - FL"/>
    <n v="426"/>
    <n v="350"/>
    <n v="5"/>
    <n v="2151"/>
    <n v="2151"/>
    <n v="316"/>
    <n v="6.15"/>
    <n v="6.15"/>
    <n v="0.9"/>
    <n v="77"/>
    <s v="0-6 Months"/>
    <s v="12-18 Months"/>
    <x v="0"/>
    <n v="426"/>
  </r>
  <r>
    <n v="109256"/>
    <s v="Seguin Police Dept. - TX"/>
    <n v="82"/>
    <n v="75"/>
    <n v="11"/>
    <n v="85"/>
    <n v="9"/>
    <n v="0"/>
    <n v="1.1299999999999999"/>
    <n v="0.12"/>
    <n v="0"/>
    <n v="0"/>
    <s v="6-12 Months"/>
    <s v="18-24 Months"/>
    <x v="1"/>
    <n v="0"/>
  </r>
  <r>
    <n v="109265"/>
    <s v="Arlington Police Dept. - VA"/>
    <n v="445"/>
    <n v="300"/>
    <n v="25"/>
    <n v="126"/>
    <n v="126"/>
    <n v="92"/>
    <n v="0.42"/>
    <n v="0.42"/>
    <n v="0.31"/>
    <n v="0"/>
    <s v="24+ Months"/>
    <s v="24+ Months"/>
    <x v="0"/>
    <n v="0"/>
  </r>
  <r>
    <n v="109267"/>
    <s v="Sumter County Sheriff - FL"/>
    <n v="55"/>
    <n v="252"/>
    <n v="49"/>
    <n v="358"/>
    <n v="233"/>
    <n v="196"/>
    <n v="1.42"/>
    <n v="0.92"/>
    <n v="0.78"/>
    <n v="4"/>
    <s v="24+ Months"/>
    <s v="24+ Months"/>
    <x v="0"/>
    <n v="55"/>
  </r>
  <r>
    <n v="109269"/>
    <s v="North Miami Police Dept - FL"/>
    <n v="140"/>
    <n v="120"/>
    <n v="48"/>
    <n v="637"/>
    <n v="609"/>
    <n v="231"/>
    <n v="5.31"/>
    <n v="5.08"/>
    <n v="1.93"/>
    <n v="10"/>
    <s v="24+ Months"/>
    <s v="24+ Months"/>
    <x v="0"/>
    <n v="140"/>
  </r>
  <r>
    <n v="109291"/>
    <s v="Boulder Police Dept. - CO"/>
    <n v="210"/>
    <n v="200"/>
    <n v="22"/>
    <n v="1070"/>
    <n v="1051"/>
    <n v="1051"/>
    <n v="5.35"/>
    <n v="5.26"/>
    <n v="5.26"/>
    <n v="1"/>
    <s v="12-24 Months"/>
    <s v="24+ Months"/>
    <x v="0"/>
    <n v="210"/>
  </r>
  <r>
    <n v="109294"/>
    <s v="KANABEC CO SHERIFF'S OFFICE-MN"/>
    <n v="62"/>
    <n v="26"/>
    <n v="9"/>
    <n v="221"/>
    <n v="14"/>
    <n v="6"/>
    <n v="8.5"/>
    <n v="0.54"/>
    <n v="0.23"/>
    <n v="0"/>
    <s v="6-12 Months"/>
    <s v="18-24 Months"/>
    <x v="1"/>
    <n v="62"/>
  </r>
  <r>
    <n v="109353"/>
    <s v="Surfside Police Dept.- FL"/>
    <n v="40"/>
    <n v="34"/>
    <n v="6"/>
    <n v="31"/>
    <n v="31"/>
    <n v="31"/>
    <n v="0.91"/>
    <n v="0.91"/>
    <n v="0.91"/>
    <n v="14"/>
    <s v="6-12 Months"/>
    <s v="18-24 Months"/>
    <x v="1"/>
    <n v="40"/>
  </r>
  <r>
    <n v="109356"/>
    <s v="Sunny Isles Beach Police Dept. - FL"/>
    <n v="64"/>
    <n v="67"/>
    <n v="0"/>
    <n v="24"/>
    <n v="24"/>
    <n v="24"/>
    <n v="0.36"/>
    <n v="0.36"/>
    <n v="0.36"/>
    <n v="37"/>
    <s v="0-6 Months"/>
    <s v="12-18 Months"/>
    <x v="1"/>
    <n v="0"/>
  </r>
  <r>
    <n v="109365"/>
    <s v="Seal Beach Police Dept. - CA"/>
    <n v="58"/>
    <n v="50"/>
    <n v="7"/>
    <n v="20"/>
    <n v="16"/>
    <n v="16"/>
    <n v="0.4"/>
    <n v="0.32"/>
    <n v="0.32"/>
    <n v="98"/>
    <s v="6-12 Months"/>
    <s v="18-24 Months"/>
    <x v="1"/>
    <n v="0"/>
  </r>
  <r>
    <n v="109369"/>
    <s v="Kalamazoo County Sheriff's Office - MI"/>
    <n v="94"/>
    <n v="86"/>
    <n v="40"/>
    <n v="60"/>
    <n v="60"/>
    <n v="45"/>
    <n v="0.7"/>
    <n v="0.7"/>
    <n v="0.52"/>
    <n v="54"/>
    <s v="24+ Months"/>
    <s v="24+ Months"/>
    <x v="1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s v="6-12 Months"/>
    <s v="18-24 Months"/>
    <x v="0"/>
    <n v="101"/>
  </r>
  <r>
    <n v="109378"/>
    <s v="Green County Sheriff's Office - WI"/>
    <n v="56"/>
    <n v="56"/>
    <n v="4"/>
    <n v="307"/>
    <n v="307"/>
    <n v="283"/>
    <n v="5.48"/>
    <n v="5.48"/>
    <n v="5.05"/>
    <n v="117"/>
    <s v="0-6 Months"/>
    <s v="12-18 Months"/>
    <x v="1"/>
    <n v="56"/>
  </r>
  <r>
    <n v="109391"/>
    <s v="East Lansing Police Dept. - MI"/>
    <n v="71"/>
    <n v="73"/>
    <n v="2"/>
    <n v="50"/>
    <n v="47"/>
    <n v="47"/>
    <n v="0.68"/>
    <n v="0.64"/>
    <n v="0.64"/>
    <n v="26"/>
    <s v="0-6 Months"/>
    <s v="12-18 Months"/>
    <x v="1"/>
    <n v="0"/>
  </r>
  <r>
    <n v="109414"/>
    <s v="Hall County Sheriff's Office - GA"/>
    <n v="248"/>
    <n v="291"/>
    <n v="4"/>
    <n v="79"/>
    <n v="18"/>
    <n v="1"/>
    <n v="0.27"/>
    <n v="0.06"/>
    <n v="0"/>
    <n v="25"/>
    <s v="0-6 Months"/>
    <s v="12-18 Months"/>
    <x v="0"/>
    <n v="0"/>
  </r>
  <r>
    <n v="109462"/>
    <s v="Alamance County Sheriff's Office - NC"/>
    <n v="3"/>
    <n v="140"/>
    <n v="3"/>
    <n v="21"/>
    <n v="21"/>
    <n v="21"/>
    <n v="0.15"/>
    <n v="0.15"/>
    <n v="0.15"/>
    <n v="0"/>
    <s v="0-6 Months"/>
    <s v="12-18 Months"/>
    <x v="0"/>
    <n v="0"/>
  </r>
  <r>
    <n v="109468"/>
    <s v="Colton Police Dept. - CA"/>
    <n v="126"/>
    <n v="75"/>
    <n v="1"/>
    <n v="4"/>
    <n v="4"/>
    <n v="4"/>
    <n v="0.05"/>
    <n v="0.05"/>
    <n v="0.05"/>
    <n v="1"/>
    <s v="0-6 Months"/>
    <s v="12-18 Months"/>
    <x v="1"/>
    <n v="0"/>
  </r>
  <r>
    <n v="109470"/>
    <s v="Chino Valley Police Dept. - AZ"/>
    <n v="33"/>
    <n v="34"/>
    <n v="4"/>
    <n v="32"/>
    <n v="30"/>
    <n v="0"/>
    <n v="0.94"/>
    <n v="0.88"/>
    <n v="0"/>
    <n v="5"/>
    <s v="0-6 Months"/>
    <s v="12-18 Months"/>
    <x v="1"/>
    <n v="33"/>
  </r>
  <r>
    <n v="109479"/>
    <s v="Naperville Police Dept. - IL"/>
    <n v="205"/>
    <n v="200"/>
    <n v="9"/>
    <n v="1534"/>
    <n v="154"/>
    <n v="35"/>
    <n v="7.67"/>
    <n v="0.77"/>
    <n v="0.18"/>
    <n v="382"/>
    <s v="6-12 Months"/>
    <s v="18-24 Months"/>
    <x v="0"/>
    <n v="205"/>
  </r>
  <r>
    <n v="109564"/>
    <s v="Central Marin Police Authority - CA"/>
    <n v="51"/>
    <n v="38"/>
    <n v="5"/>
    <n v="35"/>
    <n v="35"/>
    <n v="30"/>
    <n v="0.92"/>
    <n v="0.92"/>
    <n v="0.79"/>
    <n v="10"/>
    <s v="0-6 Months"/>
    <s v="12-18 Months"/>
    <x v="1"/>
    <n v="51"/>
  </r>
  <r>
    <n v="109566"/>
    <s v="Pleasanton Police Dept. - CA"/>
    <n v="114"/>
    <n v="93"/>
    <n v="0"/>
    <n v="0"/>
    <n v="0"/>
    <n v="0"/>
    <n v="0"/>
    <n v="0"/>
    <n v="0"/>
    <n v="0"/>
    <s v="0-6 Months"/>
    <s v="12-18 Months"/>
    <x v="1"/>
    <n v="0"/>
  </r>
  <r>
    <n v="109597"/>
    <s v="Wyoming Department of Public Safety - MI"/>
    <n v="103"/>
    <n v="103"/>
    <n v="2"/>
    <n v="3"/>
    <n v="0"/>
    <n v="0"/>
    <n v="0.03"/>
    <n v="0"/>
    <n v="0"/>
    <n v="0"/>
    <s v="0-6 Months"/>
    <s v="12-18 Months"/>
    <x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s v="24+ Months"/>
    <s v="24+ Months"/>
    <x v="0"/>
    <n v="0"/>
  </r>
  <r>
    <n v="109631"/>
    <s v="Lyon County Sheriff's Office - NV"/>
    <n v="6"/>
    <n v="93"/>
    <n v="2"/>
    <n v="8"/>
    <n v="8"/>
    <n v="8"/>
    <n v="0.09"/>
    <n v="0.09"/>
    <n v="0.09"/>
    <n v="0"/>
    <s v="0-6 Months"/>
    <s v="12-18 Months"/>
    <x v="1"/>
    <n v="0"/>
  </r>
  <r>
    <n v="109662"/>
    <s v="Chatham County Sheriff's Office - GA"/>
    <n v="188"/>
    <n v="410"/>
    <n v="4"/>
    <n v="0"/>
    <n v="0"/>
    <n v="0"/>
    <n v="0"/>
    <n v="0"/>
    <n v="0"/>
    <n v="0"/>
    <s v="0-6 Months"/>
    <s v="12-18 Months"/>
    <x v="0"/>
    <n v="0"/>
  </r>
  <r>
    <n v="109678"/>
    <s v="Richmond Police Dept. - CA"/>
    <n v="157"/>
    <n v="150"/>
    <n v="7"/>
    <n v="66"/>
    <n v="23"/>
    <n v="14"/>
    <n v="0.44"/>
    <n v="0.15"/>
    <n v="0.09"/>
    <n v="35"/>
    <s v="6-12 Months"/>
    <s v="18-24 Months"/>
    <x v="0"/>
    <n v="0"/>
  </r>
  <r>
    <n v="109685"/>
    <s v="Broomfield Police Dept. - CO"/>
    <n v="219"/>
    <n v="218"/>
    <n v="10"/>
    <n v="233"/>
    <n v="105"/>
    <n v="2"/>
    <n v="1.07"/>
    <n v="0.48"/>
    <n v="0.01"/>
    <n v="0"/>
    <s v="6-12 Months"/>
    <s v="18-24 Months"/>
    <x v="0"/>
    <n v="0"/>
  </r>
  <r>
    <n v="109686"/>
    <s v="Surprise Police Dept. - AZ"/>
    <n v="165"/>
    <n v="171"/>
    <n v="24"/>
    <n v="4"/>
    <n v="0"/>
    <n v="0"/>
    <n v="0.02"/>
    <n v="0"/>
    <n v="0"/>
    <n v="0"/>
    <s v="12-24 Months"/>
    <s v="24+ Months"/>
    <x v="0"/>
    <n v="0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s v="12-24 Months"/>
    <s v="24+ Months"/>
    <x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s v="0-6 Months"/>
    <s v="12-18 Months"/>
    <x v="0"/>
    <n v="0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s v="0-6 Months"/>
    <s v="12-18 Months"/>
    <x v="2"/>
    <n v="0"/>
  </r>
  <r>
    <n v="109719"/>
    <s v="University of Colorado - Boulder - CO"/>
    <n v="85"/>
    <n v="61"/>
    <n v="12"/>
    <n v="37"/>
    <n v="14"/>
    <n v="0"/>
    <n v="0.61"/>
    <n v="0.23"/>
    <n v="0"/>
    <n v="9"/>
    <s v="6-12 Months"/>
    <s v="18-24 Months"/>
    <x v="1"/>
    <n v="0"/>
  </r>
  <r>
    <n v="109720"/>
    <s v="Washington County Sheriff's Office - CO"/>
    <n v="13"/>
    <n v="12"/>
    <n v="0"/>
    <n v="3"/>
    <n v="3"/>
    <n v="3"/>
    <n v="0.25"/>
    <n v="0.25"/>
    <n v="0.25"/>
    <n v="0"/>
    <s v="0-6 Months"/>
    <s v="12-18 Months"/>
    <x v="1"/>
    <n v="0"/>
  </r>
  <r>
    <n v="109722"/>
    <s v="Lombard Police Dept - IL"/>
    <n v="80"/>
    <n v="75"/>
    <n v="2"/>
    <n v="40"/>
    <n v="40"/>
    <n v="40"/>
    <n v="0.53"/>
    <n v="0.53"/>
    <n v="0.53"/>
    <n v="16"/>
    <s v="0-6 Months"/>
    <s v="12-18 Months"/>
    <x v="1"/>
    <n v="0"/>
  </r>
  <r>
    <n v="109735"/>
    <s v="St. Mary's County Sheriff's Office - MD"/>
    <n v="162"/>
    <n v="166"/>
    <n v="33"/>
    <n v="19"/>
    <n v="19"/>
    <n v="19"/>
    <n v="0.11"/>
    <n v="0.11"/>
    <n v="0.11"/>
    <n v="33"/>
    <s v="24+ Months"/>
    <s v="24+ Months"/>
    <x v="0"/>
    <n v="0"/>
  </r>
  <r>
    <n v="109740"/>
    <s v="Alliance Police Dept - OH"/>
    <n v="40"/>
    <n v="10"/>
    <n v="12"/>
    <n v="14"/>
    <n v="5"/>
    <n v="2"/>
    <n v="1.4"/>
    <n v="0.5"/>
    <n v="0.2"/>
    <n v="1"/>
    <s v="6-12 Months"/>
    <s v="18-24 Months"/>
    <x v="1"/>
    <n v="0"/>
  </r>
  <r>
    <n v="109744"/>
    <s v="Orange County Sheriff's Office - FL"/>
    <n v="1571"/>
    <n v="1962"/>
    <n v="10"/>
    <n v="72"/>
    <n v="16"/>
    <n v="6"/>
    <n v="0.04"/>
    <n v="0.01"/>
    <n v="0"/>
    <n v="5"/>
    <s v="6-12 Months"/>
    <s v="18-24 Months"/>
    <x v="2"/>
    <n v="0"/>
  </r>
  <r>
    <n v="109762"/>
    <s v="Mauston Police Department - WI"/>
    <n v="0"/>
    <n v="10"/>
    <n v="21"/>
    <n v="9"/>
    <n v="0"/>
    <n v="0"/>
    <n v="0.9"/>
    <n v="0"/>
    <n v="0"/>
    <n v="0"/>
    <s v="12-24 Months"/>
    <s v="24+ Months"/>
    <x v="1"/>
    <n v="0"/>
  </r>
  <r>
    <n v="109765"/>
    <s v="Skagit County Sheriff's Office - WA"/>
    <n v="67"/>
    <n v="66"/>
    <n v="14"/>
    <n v="97"/>
    <n v="39"/>
    <n v="18"/>
    <n v="1.47"/>
    <n v="0.59"/>
    <n v="0.27"/>
    <n v="14"/>
    <s v="12-24 Months"/>
    <s v="24+ Months"/>
    <x v="1"/>
    <n v="0"/>
  </r>
  <r>
    <n v="109785"/>
    <s v="Vallejo Police Dept. - CA"/>
    <n v="141"/>
    <n v="115"/>
    <n v="13"/>
    <n v="219"/>
    <n v="16"/>
    <n v="0"/>
    <n v="1.9"/>
    <n v="0.14000000000000001"/>
    <n v="0"/>
    <n v="0"/>
    <s v="12-24 Months"/>
    <s v="24+ Months"/>
    <x v="0"/>
    <n v="0"/>
  </r>
  <r>
    <n v="109806"/>
    <s v="Downers Grove Police Dept. - IL"/>
    <n v="75"/>
    <n v="71"/>
    <n v="33"/>
    <n v="228"/>
    <n v="219"/>
    <n v="219"/>
    <n v="3.21"/>
    <n v="3.08"/>
    <n v="3.08"/>
    <n v="0"/>
    <s v="24+ Months"/>
    <s v="24+ Months"/>
    <x v="1"/>
    <n v="75"/>
  </r>
  <r>
    <n v="109818"/>
    <s v="Maplewood Police Department - MO"/>
    <n v="33"/>
    <n v="33"/>
    <n v="2"/>
    <n v="30"/>
    <n v="30"/>
    <n v="30"/>
    <n v="0.91"/>
    <n v="0.91"/>
    <n v="0.91"/>
    <n v="0"/>
    <s v="0-6 Months"/>
    <s v="12-18 Months"/>
    <x v="1"/>
    <n v="33"/>
  </r>
  <r>
    <n v="109834"/>
    <s v="Brockport Police Dept. - NY"/>
    <n v="13"/>
    <n v="1"/>
    <n v="5"/>
    <n v="2"/>
    <n v="2"/>
    <n v="0"/>
    <n v="2"/>
    <n v="2"/>
    <n v="0"/>
    <n v="42"/>
    <s v="0-6 Months"/>
    <s v="12-18 Months"/>
    <x v="1"/>
    <n v="13"/>
  </r>
  <r>
    <n v="109867"/>
    <s v="Manatee County Sheriff's Office - FL"/>
    <n v="558"/>
    <n v="830"/>
    <n v="11"/>
    <n v="1461"/>
    <n v="1461"/>
    <n v="1304"/>
    <n v="1.76"/>
    <n v="1.76"/>
    <n v="1.57"/>
    <n v="74"/>
    <s v="6-12 Months"/>
    <s v="18-24 Months"/>
    <x v="2"/>
    <n v="558"/>
  </r>
  <r>
    <n v="109892"/>
    <s v="Oswego City Police Dept. - NY"/>
    <n v="51"/>
    <n v="54"/>
    <n v="21"/>
    <n v="34"/>
    <n v="6"/>
    <n v="0"/>
    <n v="0.63"/>
    <n v="0.11"/>
    <n v="0"/>
    <n v="0"/>
    <s v="12-24 Months"/>
    <s v="24+ Months"/>
    <x v="1"/>
    <n v="0"/>
  </r>
  <r>
    <n v="109924"/>
    <s v="Desert Hot Springs Police Dept. - CA"/>
    <n v="43"/>
    <n v="40"/>
    <n v="2"/>
    <n v="19"/>
    <n v="19"/>
    <n v="19"/>
    <n v="0.48"/>
    <n v="0.48"/>
    <n v="0.48"/>
    <n v="0"/>
    <s v="0-6 Months"/>
    <s v="12-18 Months"/>
    <x v="1"/>
    <n v="0"/>
  </r>
  <r>
    <n v="109930"/>
    <s v="Acadia Parish Sheriff's Office - LA"/>
    <n v="55"/>
    <n v="70"/>
    <n v="1"/>
    <n v="46"/>
    <n v="46"/>
    <n v="46"/>
    <n v="0.66"/>
    <n v="0.66"/>
    <n v="0.66"/>
    <n v="65"/>
    <s v="0-6 Months"/>
    <s v="12-18 Months"/>
    <x v="1"/>
    <n v="0"/>
  </r>
  <r>
    <n v="109937"/>
    <s v="Cahokia Heights Police Department - IL"/>
    <n v="40"/>
    <n v="40"/>
    <n v="4"/>
    <n v="0"/>
    <n v="0"/>
    <n v="0"/>
    <n v="0"/>
    <n v="0"/>
    <n v="0"/>
    <n v="0"/>
    <s v="0-6 Months"/>
    <s v="12-18 Months"/>
    <x v="1"/>
    <n v="0"/>
  </r>
  <r>
    <n v="109944"/>
    <s v="Troy Police Dept. - IL"/>
    <n v="0"/>
    <n v="25"/>
    <n v="0"/>
    <n v="0"/>
    <n v="0"/>
    <n v="0"/>
    <n v="0"/>
    <n v="0"/>
    <n v="0"/>
    <n v="0"/>
    <s v="0-6 Months"/>
    <s v="12-18 Months"/>
    <x v="1"/>
    <n v="0"/>
  </r>
  <r>
    <n v="109947"/>
    <s v="Bethalto Police Dept. - IL"/>
    <n v="15"/>
    <n v="12"/>
    <n v="13"/>
    <n v="24"/>
    <n v="7"/>
    <n v="0"/>
    <n v="2"/>
    <n v="0.57999999999999996"/>
    <n v="0"/>
    <n v="0"/>
    <s v="12-24 Months"/>
    <s v="24+ Months"/>
    <x v="1"/>
    <n v="15"/>
  </r>
  <r>
    <n v="109962"/>
    <s v="Sedona Police Dept. - AZ"/>
    <n v="5"/>
    <n v="39"/>
    <n v="3"/>
    <n v="148"/>
    <n v="148"/>
    <n v="148"/>
    <n v="3.79"/>
    <n v="3.79"/>
    <n v="3.79"/>
    <n v="0"/>
    <s v="0-6 Months"/>
    <s v="12-18 Months"/>
    <x v="1"/>
    <n v="5"/>
  </r>
  <r>
    <n v="109968"/>
    <s v="Hutchins Police Dept. - TX"/>
    <n v="24"/>
    <n v="24"/>
    <n v="1"/>
    <n v="0"/>
    <n v="0"/>
    <n v="0"/>
    <n v="0"/>
    <n v="0"/>
    <n v="0"/>
    <n v="0"/>
    <s v="0-6 Months"/>
    <s v="12-18 Months"/>
    <x v="1"/>
    <n v="0"/>
  </r>
  <r>
    <n v="109969"/>
    <s v="Corning Police Dept. - NY"/>
    <n v="32"/>
    <n v="21"/>
    <n v="3"/>
    <n v="5"/>
    <n v="5"/>
    <n v="5"/>
    <n v="0.24"/>
    <n v="0.24"/>
    <n v="0.24"/>
    <n v="8"/>
    <s v="0-6 Months"/>
    <s v="12-18 Months"/>
    <x v="1"/>
    <n v="0"/>
  </r>
  <r>
    <n v="109997"/>
    <s v="Middletown Police Dept. - CT"/>
    <n v="119"/>
    <n v="125"/>
    <n v="50"/>
    <n v="29"/>
    <n v="28"/>
    <n v="24"/>
    <n v="0.23"/>
    <n v="0.22"/>
    <n v="0.19"/>
    <n v="27"/>
    <s v="24+ Months"/>
    <s v="24+ Months"/>
    <x v="0"/>
    <n v="0"/>
  </r>
  <r>
    <n v="110012"/>
    <s v="Philomath Police Dept. - OR"/>
    <n v="10"/>
    <n v="10"/>
    <n v="2"/>
    <n v="9"/>
    <n v="1"/>
    <n v="1"/>
    <n v="0.9"/>
    <n v="0.1"/>
    <n v="0.1"/>
    <n v="3"/>
    <s v="0-6 Months"/>
    <s v="12-18 Months"/>
    <x v="1"/>
    <n v="0"/>
  </r>
  <r>
    <n v="110080"/>
    <s v="Flat Rock Police Dept. - MI"/>
    <n v="20"/>
    <n v="20"/>
    <n v="4"/>
    <n v="0"/>
    <n v="0"/>
    <n v="0"/>
    <n v="0"/>
    <n v="0"/>
    <n v="0"/>
    <n v="0"/>
    <s v="0-6 Months"/>
    <s v="12-18 Months"/>
    <x v="1"/>
    <n v="0"/>
  </r>
  <r>
    <n v="110104"/>
    <s v="Lake Hamilton Police Dept.- FL"/>
    <n v="1"/>
    <n v="12"/>
    <n v="50"/>
    <n v="22"/>
    <n v="0"/>
    <n v="0"/>
    <n v="1.83"/>
    <n v="0"/>
    <n v="0"/>
    <n v="0"/>
    <s v="24+ Months"/>
    <s v="24+ Months"/>
    <x v="1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s v="12-24 Months"/>
    <s v="24+ Months"/>
    <x v="0"/>
    <n v="0"/>
  </r>
  <r>
    <n v="110147"/>
    <s v="Codington County Sheriff's Office - SD"/>
    <n v="14"/>
    <n v="14"/>
    <n v="2"/>
    <n v="37"/>
    <n v="27"/>
    <n v="27"/>
    <n v="2.64"/>
    <n v="1.93"/>
    <n v="1.93"/>
    <n v="0"/>
    <s v="0-6 Months"/>
    <s v="12-18 Months"/>
    <x v="1"/>
    <n v="14"/>
  </r>
  <r>
    <n v="110173"/>
    <s v="Richmond Hill Police Dept. - GA"/>
    <n v="43"/>
    <n v="41"/>
    <n v="8"/>
    <n v="352"/>
    <n v="320"/>
    <n v="232"/>
    <n v="8.59"/>
    <n v="7.8"/>
    <n v="5.66"/>
    <n v="87"/>
    <s v="6-12 Months"/>
    <s v="18-24 Months"/>
    <x v="1"/>
    <n v="43"/>
  </r>
  <r>
    <n v="110248"/>
    <s v="Texas Christian University Police Dept. - TX"/>
    <n v="4"/>
    <n v="48"/>
    <n v="6"/>
    <n v="58"/>
    <n v="58"/>
    <n v="58"/>
    <n v="1.21"/>
    <n v="1.21"/>
    <n v="1.21"/>
    <n v="5"/>
    <s v="6-12 Months"/>
    <s v="18-24 Months"/>
    <x v="1"/>
    <n v="4"/>
  </r>
  <r>
    <n v="110252"/>
    <s v="Maumee Police Division - OH"/>
    <n v="41"/>
    <n v="41"/>
    <n v="12"/>
    <n v="29"/>
    <n v="20"/>
    <n v="20"/>
    <n v="0.71"/>
    <n v="0.49"/>
    <n v="0.49"/>
    <n v="8"/>
    <s v="6-12 Months"/>
    <s v="18-24 Months"/>
    <x v="1"/>
    <n v="0"/>
  </r>
  <r>
    <n v="110264"/>
    <s v="Craig Police Department - CO"/>
    <n v="22"/>
    <n v="23"/>
    <n v="2"/>
    <n v="31"/>
    <n v="31"/>
    <n v="31"/>
    <n v="1.35"/>
    <n v="1.35"/>
    <n v="1.35"/>
    <n v="1"/>
    <s v="0-6 Months"/>
    <s v="12-18 Months"/>
    <x v="1"/>
    <n v="22"/>
  </r>
  <r>
    <n v="110274"/>
    <s v="Florence County Sheriff's Office - SC"/>
    <n v="223"/>
    <n v="160"/>
    <n v="40"/>
    <n v="180"/>
    <n v="160"/>
    <n v="159"/>
    <n v="1.1299999999999999"/>
    <n v="1"/>
    <n v="0.99"/>
    <n v="43"/>
    <s v="24+ Months"/>
    <s v="24+ Months"/>
    <x v="0"/>
    <n v="223"/>
  </r>
  <r>
    <n v="110284"/>
    <s v="Springfield Police Department - MN"/>
    <n v="1"/>
    <n v="5"/>
    <n v="5"/>
    <n v="37"/>
    <n v="37"/>
    <n v="19"/>
    <n v="7.4"/>
    <n v="7.4"/>
    <n v="3.8"/>
    <n v="17"/>
    <s v="0-6 Months"/>
    <s v="12-18 Months"/>
    <x v="1"/>
    <n v="1"/>
  </r>
  <r>
    <n v="110305"/>
    <s v="Lee County Sheriff's Office - FL"/>
    <n v="18"/>
    <n v="522"/>
    <n v="3"/>
    <n v="33"/>
    <n v="26"/>
    <n v="26"/>
    <n v="0.06"/>
    <n v="0.05"/>
    <n v="0.05"/>
    <n v="0"/>
    <s v="0-6 Months"/>
    <s v="12-18 Months"/>
    <x v="0"/>
    <n v="0"/>
  </r>
  <r>
    <n v="110308"/>
    <s v="Kansas City Police Dept. - KS"/>
    <n v="11"/>
    <n v="215"/>
    <n v="7"/>
    <n v="438"/>
    <n v="354"/>
    <n v="180"/>
    <n v="2.04"/>
    <n v="1.65"/>
    <n v="0.84"/>
    <n v="371"/>
    <s v="6-12 Months"/>
    <s v="18-24 Months"/>
    <x v="0"/>
    <n v="11"/>
  </r>
  <r>
    <n v="110318"/>
    <s v="Volusia Sheriff's Office - FL"/>
    <n v="533"/>
    <n v="312"/>
    <n v="25"/>
    <n v="89"/>
    <n v="19"/>
    <n v="5"/>
    <n v="0.28999999999999998"/>
    <n v="0.06"/>
    <n v="0.02"/>
    <n v="0"/>
    <s v="24+ Months"/>
    <s v="24+ Months"/>
    <x v="0"/>
    <n v="0"/>
  </r>
  <r>
    <n v="110342"/>
    <s v="Hinsdale Police Dept. - NH"/>
    <n v="12"/>
    <n v="11"/>
    <n v="3"/>
    <n v="30"/>
    <n v="22"/>
    <n v="3"/>
    <n v="2.73"/>
    <n v="2"/>
    <n v="0.27"/>
    <n v="9"/>
    <s v="0-6 Months"/>
    <s v="12-18 Months"/>
    <x v="1"/>
    <n v="12"/>
  </r>
  <r>
    <n v="110348"/>
    <s v="Munster Police Department - IN"/>
    <n v="48"/>
    <n v="50"/>
    <n v="2"/>
    <n v="76"/>
    <n v="76"/>
    <n v="76"/>
    <n v="1.52"/>
    <n v="1.52"/>
    <n v="1.52"/>
    <n v="0"/>
    <s v="0-6 Months"/>
    <s v="12-18 Months"/>
    <x v="1"/>
    <n v="48"/>
  </r>
  <r>
    <n v="110360"/>
    <s v="Tracy Police Dept. - CA"/>
    <n v="85"/>
    <n v="133"/>
    <n v="20"/>
    <n v="49"/>
    <n v="3"/>
    <n v="0"/>
    <n v="0.37"/>
    <n v="0.02"/>
    <n v="0"/>
    <n v="2"/>
    <s v="12-24 Months"/>
    <s v="24+ Months"/>
    <x v="0"/>
    <n v="0"/>
  </r>
  <r>
    <n v="110380"/>
    <s v="Germantown Police Department - WI"/>
    <n v="36"/>
    <n v="43"/>
    <n v="22"/>
    <n v="20"/>
    <n v="20"/>
    <n v="11"/>
    <n v="0.47"/>
    <n v="0.47"/>
    <n v="0.26"/>
    <n v="20"/>
    <s v="12-24 Months"/>
    <s v="24+ Months"/>
    <x v="1"/>
    <n v="0"/>
  </r>
  <r>
    <n v="110385"/>
    <s v="Downingtown Police Dept - PA"/>
    <n v="9"/>
    <n v="23"/>
    <n v="9"/>
    <n v="9"/>
    <n v="0"/>
    <n v="0"/>
    <n v="0.39"/>
    <n v="0"/>
    <n v="0"/>
    <n v="0"/>
    <s v="6-12 Months"/>
    <s v="18-24 Months"/>
    <x v="1"/>
    <n v="0"/>
  </r>
  <r>
    <n v="110404"/>
    <s v="Boca Raton Police Dept - FL"/>
    <n v="248"/>
    <n v="227"/>
    <n v="10"/>
    <n v="522"/>
    <n v="72"/>
    <n v="35"/>
    <n v="2.2999999999999998"/>
    <n v="0.32"/>
    <n v="0.15"/>
    <n v="3"/>
    <s v="6-12 Months"/>
    <s v="18-24 Months"/>
    <x v="0"/>
    <n v="248"/>
  </r>
  <r>
    <n v="110423"/>
    <s v="Wayne State University Police - MI"/>
    <n v="14"/>
    <n v="62"/>
    <n v="0"/>
    <n v="3"/>
    <n v="3"/>
    <n v="3"/>
    <n v="0.05"/>
    <n v="0.05"/>
    <n v="0.05"/>
    <n v="0"/>
    <s v="0-6 Months"/>
    <s v="12-18 Months"/>
    <x v="1"/>
    <n v="0"/>
  </r>
  <r>
    <n v="110456"/>
    <s v="Brighton Police Department - CO"/>
    <n v="78"/>
    <n v="91"/>
    <n v="51"/>
    <n v="0"/>
    <n v="0"/>
    <n v="0"/>
    <n v="0"/>
    <n v="0"/>
    <n v="0"/>
    <n v="0"/>
    <s v="24+ Months"/>
    <s v="24+ Months"/>
    <x v="1"/>
    <n v="0"/>
  </r>
  <r>
    <n v="110479"/>
    <s v="San Marcos Police Dept. - TX"/>
    <n v="103"/>
    <n v="170"/>
    <n v="24"/>
    <n v="12"/>
    <n v="0"/>
    <n v="0"/>
    <n v="7.0000000000000007E-2"/>
    <n v="0"/>
    <n v="0"/>
    <n v="120"/>
    <s v="12-24 Months"/>
    <s v="24+ Months"/>
    <x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s v="6-12 Months"/>
    <s v="18-24 Months"/>
    <x v="1"/>
    <n v="0"/>
  </r>
  <r>
    <n v="110485"/>
    <s v="Sleepy Eye Police Dept - MN"/>
    <n v="0"/>
    <n v="7"/>
    <n v="15"/>
    <n v="52"/>
    <n v="6"/>
    <n v="0"/>
    <n v="7.43"/>
    <n v="0.86"/>
    <n v="0"/>
    <n v="4"/>
    <s v="12-24 Months"/>
    <s v="24+ Months"/>
    <x v="1"/>
    <n v="0"/>
  </r>
  <r>
    <n v="110487"/>
    <s v="Port St. Lucie Police Dept - FL"/>
    <n v="296"/>
    <n v="175"/>
    <n v="7"/>
    <n v="39"/>
    <n v="39"/>
    <n v="39"/>
    <n v="0.22"/>
    <n v="0.22"/>
    <n v="0.22"/>
    <n v="7"/>
    <s v="6-12 Months"/>
    <s v="18-24 Months"/>
    <x v="0"/>
    <n v="0"/>
  </r>
  <r>
    <n v="110505"/>
    <s v="Sweet Grass County Sheriff's Office - MT"/>
    <n v="11"/>
    <n v="11"/>
    <n v="2"/>
    <n v="27"/>
    <n v="13"/>
    <n v="13"/>
    <n v="2.4500000000000002"/>
    <n v="1.18"/>
    <n v="1.18"/>
    <n v="0"/>
    <s v="0-6 Months"/>
    <s v="12-18 Months"/>
    <x v="1"/>
    <n v="11"/>
  </r>
  <r>
    <n v="110526"/>
    <s v="Wilson Police Department - NC"/>
    <n v="119"/>
    <n v="125"/>
    <n v="10"/>
    <n v="407"/>
    <n v="37"/>
    <n v="20"/>
    <n v="3.26"/>
    <n v="0.3"/>
    <n v="0.16"/>
    <n v="354"/>
    <s v="6-12 Months"/>
    <s v="18-24 Months"/>
    <x v="0"/>
    <n v="119"/>
  </r>
  <r>
    <n v="110540"/>
    <s v="Daly City Police Department - CA"/>
    <n v="100"/>
    <n v="112"/>
    <n v="3"/>
    <n v="38"/>
    <n v="0"/>
    <n v="0"/>
    <n v="0.34"/>
    <n v="0"/>
    <n v="0"/>
    <n v="31"/>
    <s v="0-6 Months"/>
    <s v="12-18 Months"/>
    <x v="0"/>
    <n v="0"/>
  </r>
  <r>
    <n v="110545"/>
    <s v="Hammond Police Dept. - IN"/>
    <n v="198"/>
    <n v="250"/>
    <n v="34"/>
    <n v="3"/>
    <n v="0"/>
    <n v="0"/>
    <n v="0.01"/>
    <n v="0"/>
    <n v="0"/>
    <n v="0"/>
    <s v="24+ Months"/>
    <s v="24+ Months"/>
    <x v="0"/>
    <n v="0"/>
  </r>
  <r>
    <n v="110554"/>
    <s v="England Police Department - AR"/>
    <n v="10"/>
    <n v="7"/>
    <n v="5"/>
    <n v="0"/>
    <n v="0"/>
    <n v="0"/>
    <n v="0"/>
    <n v="0"/>
    <n v="0"/>
    <n v="0"/>
    <s v="0-6 Months"/>
    <s v="12-18 Months"/>
    <x v="1"/>
    <n v="0"/>
  </r>
  <r>
    <n v="110571"/>
    <s v="Cornelius Police Department - NC"/>
    <n v="49"/>
    <n v="10"/>
    <n v="4"/>
    <n v="0"/>
    <n v="0"/>
    <n v="0"/>
    <n v="0"/>
    <n v="0"/>
    <n v="0"/>
    <n v="0"/>
    <s v="0-6 Months"/>
    <s v="12-18 Months"/>
    <x v="1"/>
    <n v="0"/>
  </r>
  <r>
    <n v="110580"/>
    <s v="University of Illinois at Chicago Police Dept."/>
    <n v="1"/>
    <n v="70"/>
    <n v="9"/>
    <n v="0"/>
    <n v="0"/>
    <n v="0"/>
    <n v="0"/>
    <n v="0"/>
    <n v="0"/>
    <n v="0"/>
    <s v="6-12 Months"/>
    <s v="18-24 Months"/>
    <x v="1"/>
    <n v="0"/>
  </r>
  <r>
    <n v="110594"/>
    <s v="Tallahassee Police Dept.-FL"/>
    <n v="399"/>
    <n v="385"/>
    <n v="6"/>
    <n v="195"/>
    <n v="195"/>
    <n v="150"/>
    <n v="0.51"/>
    <n v="0.51"/>
    <n v="0.39"/>
    <n v="310"/>
    <s v="6-12 Months"/>
    <s v="18-24 Months"/>
    <x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s v="6-12 Months"/>
    <s v="18-24 Months"/>
    <x v="0"/>
    <n v="255"/>
  </r>
  <r>
    <n v="110619"/>
    <s v="Joliet Police Dept. - IL"/>
    <n v="375"/>
    <n v="286"/>
    <n v="35"/>
    <n v="1893"/>
    <n v="1296"/>
    <n v="973"/>
    <n v="6.62"/>
    <n v="4.53"/>
    <n v="3.4"/>
    <n v="174"/>
    <s v="24+ Months"/>
    <s v="24+ Months"/>
    <x v="0"/>
    <n v="375"/>
  </r>
  <r>
    <n v="110628"/>
    <s v="Rensselaer County Sheriff's Office - NY"/>
    <n v="3"/>
    <n v="40"/>
    <n v="8"/>
    <n v="259"/>
    <n v="203"/>
    <n v="3"/>
    <n v="6.48"/>
    <n v="5.08"/>
    <n v="0.08"/>
    <n v="90"/>
    <s v="6-12 Months"/>
    <s v="18-24 Months"/>
    <x v="1"/>
    <n v="3"/>
  </r>
  <r>
    <n v="110631"/>
    <s v="Oakland Housing Authority Police Dept. - CA"/>
    <n v="52"/>
    <n v="30"/>
    <n v="1"/>
    <n v="0"/>
    <n v="0"/>
    <n v="0"/>
    <n v="0"/>
    <n v="0"/>
    <n v="0"/>
    <n v="0"/>
    <s v="0-6 Months"/>
    <s v="12-18 Months"/>
    <x v="1"/>
    <n v="0"/>
  </r>
  <r>
    <n v="110634"/>
    <s v="Port Orange Police Dept - FL"/>
    <n v="30"/>
    <n v="106"/>
    <n v="1"/>
    <n v="4"/>
    <n v="4"/>
    <n v="4"/>
    <n v="0.04"/>
    <n v="0.04"/>
    <n v="0.04"/>
    <n v="0"/>
    <s v="0-6 Months"/>
    <s v="12-18 Months"/>
    <x v="0"/>
    <n v="0"/>
  </r>
  <r>
    <n v="110637"/>
    <s v="Shreveport Police Dept - LA"/>
    <n v="505"/>
    <n v="480"/>
    <n v="16"/>
    <n v="1670"/>
    <n v="875"/>
    <n v="761"/>
    <n v="3.48"/>
    <n v="1.82"/>
    <n v="1.59"/>
    <n v="61"/>
    <s v="12-24 Months"/>
    <s v="24+ Months"/>
    <x v="0"/>
    <n v="505"/>
  </r>
  <r>
    <n v="110673"/>
    <s v="Do√±a Ana County Sheriff's Dept. - NM"/>
    <n v="190"/>
    <n v="150"/>
    <n v="28"/>
    <n v="7"/>
    <n v="9"/>
    <n v="9"/>
    <n v="0.05"/>
    <n v="0.06"/>
    <n v="0.06"/>
    <n v="5"/>
    <s v="24+ Months"/>
    <s v="24+ Months"/>
    <x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s v="12-24 Months"/>
    <s v="24+ Months"/>
    <x v="0"/>
    <n v="0"/>
  </r>
  <r>
    <n v="110737"/>
    <s v="Farmington Hills Police Dept. - MI"/>
    <n v="138"/>
    <n v="120"/>
    <n v="20"/>
    <n v="0"/>
    <n v="0"/>
    <n v="0"/>
    <n v="0"/>
    <n v="0"/>
    <n v="0"/>
    <n v="0"/>
    <s v="12-24 Months"/>
    <s v="24+ Months"/>
    <x v="0"/>
    <n v="0"/>
  </r>
  <r>
    <n v="110771"/>
    <s v="Albany County Sheriff's Office - NY"/>
    <n v="406"/>
    <n v="140"/>
    <n v="31"/>
    <n v="0"/>
    <n v="0"/>
    <n v="0"/>
    <n v="0"/>
    <n v="0"/>
    <n v="0"/>
    <n v="46"/>
    <s v="24+ Months"/>
    <s v="24+ Months"/>
    <x v="0"/>
    <n v="0"/>
  </r>
  <r>
    <n v="110777"/>
    <s v="Greene County Sheriff's Office - NY"/>
    <n v="10"/>
    <n v="39"/>
    <n v="2"/>
    <n v="55"/>
    <n v="52"/>
    <n v="52"/>
    <n v="1.41"/>
    <n v="1.33"/>
    <n v="1.33"/>
    <n v="25"/>
    <s v="0-6 Months"/>
    <s v="12-18 Months"/>
    <x v="1"/>
    <n v="10"/>
  </r>
  <r>
    <n v="110825"/>
    <s v="Perham Police Dept. - MN"/>
    <n v="9"/>
    <n v="8"/>
    <n v="5"/>
    <n v="53"/>
    <n v="53"/>
    <n v="32"/>
    <n v="6.63"/>
    <n v="6.63"/>
    <n v="4"/>
    <n v="11"/>
    <s v="0-6 Months"/>
    <s v="12-18 Months"/>
    <x v="1"/>
    <n v="9"/>
  </r>
  <r>
    <n v="110838"/>
    <s v="North Sioux City Police Department - SD"/>
    <n v="10"/>
    <n v="10"/>
    <n v="1"/>
    <n v="61"/>
    <n v="48"/>
    <n v="48"/>
    <n v="6.1"/>
    <n v="4.8"/>
    <n v="4.8"/>
    <n v="1"/>
    <s v="0-6 Months"/>
    <s v="12-18 Months"/>
    <x v="1"/>
    <n v="10"/>
  </r>
  <r>
    <n v="110842"/>
    <s v="Bloomington Police Dept. - IL"/>
    <n v="152"/>
    <n v="133"/>
    <n v="0"/>
    <n v="0"/>
    <n v="0"/>
    <n v="0"/>
    <n v="0"/>
    <n v="0"/>
    <n v="0"/>
    <n v="0"/>
    <s v="0-6 Months"/>
    <s v="12-18 Months"/>
    <x v="0"/>
    <n v="0"/>
  </r>
  <r>
    <n v="110851"/>
    <s v="El Cajon Police Dept. - CA"/>
    <n v="96"/>
    <n v="126"/>
    <n v="4"/>
    <n v="99"/>
    <n v="67"/>
    <n v="19"/>
    <n v="0.79"/>
    <n v="0.53"/>
    <n v="0.15"/>
    <n v="12"/>
    <s v="0-6 Months"/>
    <s v="12-18 Months"/>
    <x v="0"/>
    <n v="0"/>
  </r>
  <r>
    <n v="110870"/>
    <s v="The Dalles Police Dept. - OR"/>
    <n v="17"/>
    <n v="27"/>
    <n v="3"/>
    <n v="0"/>
    <n v="0"/>
    <n v="0"/>
    <n v="0"/>
    <n v="0"/>
    <n v="0"/>
    <n v="0"/>
    <s v="0-6 Months"/>
    <s v="12-18 Months"/>
    <x v="1"/>
    <n v="0"/>
  </r>
  <r>
    <n v="110914"/>
    <s v="Coeur d'Alene Police Dept. - ID"/>
    <n v="8"/>
    <n v="10"/>
    <n v="4"/>
    <n v="0"/>
    <n v="0"/>
    <n v="0"/>
    <n v="0"/>
    <n v="0"/>
    <n v="0"/>
    <n v="0"/>
    <s v="0-6 Months"/>
    <s v="12-18 Months"/>
    <x v="1"/>
    <n v="0"/>
  </r>
  <r>
    <n v="110958"/>
    <s v="Walton County Sheriff's Office - GA"/>
    <n v="5"/>
    <n v="250"/>
    <n v="9"/>
    <n v="1429"/>
    <n v="920"/>
    <n v="253"/>
    <n v="5.72"/>
    <n v="3.68"/>
    <n v="1.01"/>
    <n v="16"/>
    <s v="6-12 Months"/>
    <s v="18-24 Months"/>
    <x v="0"/>
    <n v="5"/>
  </r>
  <r>
    <n v="110959"/>
    <s v="Athens Police Dept. - TX"/>
    <n v="0"/>
    <n v="25"/>
    <n v="0"/>
    <n v="0"/>
    <n v="0"/>
    <n v="0"/>
    <n v="0"/>
    <n v="0"/>
    <n v="0"/>
    <n v="0"/>
    <s v="0-6 Months"/>
    <s v="12-18 Months"/>
    <x v="1"/>
    <n v="0"/>
  </r>
  <r>
    <n v="111020"/>
    <s v="Durango Police Department - CO"/>
    <n v="67"/>
    <n v="70"/>
    <n v="11"/>
    <n v="173"/>
    <n v="147"/>
    <n v="17"/>
    <n v="2.4700000000000002"/>
    <n v="2.1"/>
    <n v="0.24"/>
    <n v="46"/>
    <s v="6-12 Months"/>
    <s v="18-24 Months"/>
    <x v="1"/>
    <n v="67"/>
  </r>
  <r>
    <n v="111040"/>
    <s v="Gallatin Police Dept - TN"/>
    <n v="4"/>
    <n v="4"/>
    <n v="2"/>
    <n v="2"/>
    <n v="2"/>
    <n v="2"/>
    <n v="0.5"/>
    <n v="0.5"/>
    <n v="0.5"/>
    <n v="0"/>
    <s v="0-6 Months"/>
    <s v="12-18 Months"/>
    <x v="1"/>
    <n v="0"/>
  </r>
  <r>
    <n v="111064"/>
    <s v="Lake County Sheriff's Office - FL"/>
    <n v="327"/>
    <n v="515"/>
    <n v="18"/>
    <n v="1627"/>
    <n v="1380"/>
    <n v="1250"/>
    <n v="3.16"/>
    <n v="2.68"/>
    <n v="2.4300000000000002"/>
    <n v="0"/>
    <s v="12-24 Months"/>
    <s v="24+ Months"/>
    <x v="0"/>
    <n v="327"/>
  </r>
  <r>
    <n v="111065"/>
    <s v="Boynton Beach Police Dept. - FL"/>
    <n v="160"/>
    <n v="828"/>
    <n v="19"/>
    <n v="308"/>
    <n v="284"/>
    <n v="20"/>
    <n v="0.37"/>
    <n v="0.34"/>
    <n v="0.02"/>
    <n v="623"/>
    <s v="12-24 Months"/>
    <s v="24+ Months"/>
    <x v="2"/>
    <n v="0"/>
  </r>
  <r>
    <n v="111124"/>
    <s v="Leander Police Dept. - TX"/>
    <n v="88"/>
    <n v="87"/>
    <n v="60"/>
    <n v="558"/>
    <n v="468"/>
    <n v="221"/>
    <n v="6.41"/>
    <n v="5.38"/>
    <n v="2.54"/>
    <n v="5"/>
    <s v="24+ Months"/>
    <s v="24+ Months"/>
    <x v="1"/>
    <n v="88"/>
  </r>
  <r>
    <n v="111138"/>
    <s v="Chaffee County Sheriff's Office - CO"/>
    <n v="24"/>
    <n v="28"/>
    <n v="19"/>
    <n v="21"/>
    <n v="21"/>
    <n v="0"/>
    <n v="0.75"/>
    <n v="0.75"/>
    <n v="0"/>
    <n v="2"/>
    <s v="12-24 Months"/>
    <s v="24+ Months"/>
    <x v="1"/>
    <n v="24"/>
  </r>
  <r>
    <n v="111152"/>
    <s v="Federal Way Police Dept. - WA"/>
    <n v="130"/>
    <n v="150"/>
    <n v="50"/>
    <n v="0"/>
    <n v="0"/>
    <n v="0"/>
    <n v="0"/>
    <n v="0"/>
    <n v="0"/>
    <n v="3"/>
    <s v="24+ Months"/>
    <s v="24+ Months"/>
    <x v="0"/>
    <n v="0"/>
  </r>
  <r>
    <n v="111178"/>
    <s v="St. Charles Police Dept. - MO"/>
    <n v="105"/>
    <n v="145"/>
    <n v="6"/>
    <n v="1154"/>
    <n v="1154"/>
    <n v="292"/>
    <n v="7.96"/>
    <n v="7.96"/>
    <n v="2.0099999999999998"/>
    <n v="10"/>
    <s v="6-12 Months"/>
    <s v="18-24 Months"/>
    <x v="0"/>
    <n v="105"/>
  </r>
  <r>
    <n v="111195"/>
    <s v="MARYSVILLE POLICE DEPT. - MI"/>
    <n v="5"/>
    <n v="16"/>
    <n v="2"/>
    <n v="17"/>
    <n v="17"/>
    <n v="17"/>
    <n v="1.06"/>
    <n v="1.06"/>
    <n v="1.06"/>
    <n v="1"/>
    <s v="0-6 Months"/>
    <s v="12-18 Months"/>
    <x v="1"/>
    <n v="5"/>
  </r>
  <r>
    <n v="111999"/>
    <s v="Kodiak Police Dept. - AK"/>
    <n v="21"/>
    <n v="20"/>
    <n v="2"/>
    <n v="4"/>
    <n v="4"/>
    <n v="0"/>
    <n v="0.2"/>
    <n v="0.2"/>
    <n v="0"/>
    <n v="0"/>
    <s v="0-6 Months"/>
    <s v="12-18 Months"/>
    <x v="1"/>
    <n v="0"/>
  </r>
  <r>
    <n v="112009"/>
    <s v="Euclid Police Dept. - OH"/>
    <n v="126"/>
    <n v="107"/>
    <n v="5"/>
    <n v="101"/>
    <n v="101"/>
    <n v="23"/>
    <n v="0.94"/>
    <n v="0.94"/>
    <n v="0.21"/>
    <n v="31"/>
    <s v="0-6 Months"/>
    <s v="12-18 Months"/>
    <x v="0"/>
    <n v="126"/>
  </r>
  <r>
    <n v="112044"/>
    <s v="Kauai Police Dept. - HI"/>
    <n v="162"/>
    <n v="150"/>
    <n v="8"/>
    <n v="216"/>
    <n v="128"/>
    <n v="64"/>
    <n v="1.44"/>
    <n v="0.85"/>
    <n v="0.43"/>
    <n v="95"/>
    <s v="6-12 Months"/>
    <s v="18-24 Months"/>
    <x v="0"/>
    <n v="162"/>
  </r>
  <r>
    <n v="112053"/>
    <s v="Jefferson Parish Sheriff's Office - LA"/>
    <n v="870"/>
    <n v="900"/>
    <n v="50"/>
    <n v="165"/>
    <n v="86"/>
    <n v="0"/>
    <n v="0.18"/>
    <n v="0.1"/>
    <n v="0"/>
    <n v="118"/>
    <s v="24+ Months"/>
    <s v="24+ Months"/>
    <x v="2"/>
    <n v="0"/>
  </r>
  <r>
    <n v="112069"/>
    <s v="Harahan Police Department - LA"/>
    <n v="32"/>
    <n v="42"/>
    <n v="18"/>
    <n v="0"/>
    <n v="0"/>
    <n v="0"/>
    <n v="0"/>
    <n v="0"/>
    <n v="0"/>
    <n v="0"/>
    <s v="12-24 Months"/>
    <s v="24+ Months"/>
    <x v="1"/>
    <n v="0"/>
  </r>
  <r>
    <n v="112088"/>
    <s v="Texas Parks and Wildlife Dept. - TX"/>
    <n v="1"/>
    <n v="702"/>
    <n v="2"/>
    <n v="0"/>
    <n v="0"/>
    <n v="0"/>
    <n v="0"/>
    <n v="0"/>
    <n v="0"/>
    <n v="0"/>
    <s v="0-6 Months"/>
    <s v="12-18 Months"/>
    <x v="2"/>
    <n v="0"/>
  </r>
  <r>
    <n v="112101"/>
    <s v="Heber City Police Department - UT"/>
    <n v="2"/>
    <n v="25"/>
    <n v="2"/>
    <n v="12"/>
    <n v="12"/>
    <n v="12"/>
    <n v="0.48"/>
    <n v="0.48"/>
    <n v="0.48"/>
    <n v="21"/>
    <s v="0-6 Months"/>
    <s v="12-18 Months"/>
    <x v="1"/>
    <n v="0"/>
  </r>
  <r>
    <n v="112123"/>
    <s v="Shiloh Police Dept. - IL"/>
    <n v="27"/>
    <n v="23"/>
    <n v="15"/>
    <n v="17"/>
    <n v="0"/>
    <n v="0"/>
    <n v="0.74"/>
    <n v="0"/>
    <n v="0"/>
    <n v="0"/>
    <s v="12-24 Months"/>
    <s v="24+ Months"/>
    <x v="1"/>
    <n v="0"/>
  </r>
  <r>
    <n v="112129"/>
    <s v="Leon County Sheriff's Dept. - FL"/>
    <n v="538"/>
    <n v="473"/>
    <n v="25"/>
    <n v="875"/>
    <n v="334"/>
    <n v="334"/>
    <n v="1.85"/>
    <n v="0.71"/>
    <n v="0.71"/>
    <n v="40"/>
    <s v="24+ Months"/>
    <s v="24+ Months"/>
    <x v="0"/>
    <n v="0"/>
  </r>
  <r>
    <n v="112152"/>
    <s v="San Benito County Sheriff's Office - CA"/>
    <n v="60"/>
    <n v="60"/>
    <n v="25"/>
    <n v="57"/>
    <n v="36"/>
    <n v="36"/>
    <n v="0.95"/>
    <n v="0.6"/>
    <n v="0.6"/>
    <n v="4"/>
    <s v="24+ Months"/>
    <s v="24+ Months"/>
    <x v="1"/>
    <n v="0"/>
  </r>
  <r>
    <n v="112177"/>
    <s v="Wilkes-Barre City Police Dept - PA"/>
    <n v="78"/>
    <n v="5"/>
    <n v="47"/>
    <n v="281"/>
    <n v="183"/>
    <n v="151"/>
    <n v="56.2"/>
    <n v="36.6"/>
    <n v="30.2"/>
    <n v="1"/>
    <s v="24+ Months"/>
    <s v="24+ Months"/>
    <x v="1"/>
    <n v="78"/>
  </r>
  <r>
    <n v="112209"/>
    <s v="Wauwatosa Police Dept. - WI"/>
    <n v="123"/>
    <n v="75"/>
    <n v="9"/>
    <n v="301"/>
    <n v="299"/>
    <n v="0"/>
    <n v="4.01"/>
    <n v="3.99"/>
    <n v="0"/>
    <n v="51"/>
    <s v="6-12 Months"/>
    <s v="18-24 Months"/>
    <x v="1"/>
    <n v="123"/>
  </r>
  <r>
    <n v="112223"/>
    <s v="Coral Gables Police Department"/>
    <n v="270"/>
    <n v="253"/>
    <n v="3"/>
    <n v="29"/>
    <n v="29"/>
    <n v="18"/>
    <n v="0.11"/>
    <n v="0.11"/>
    <n v="7.0000000000000007E-2"/>
    <n v="175"/>
    <s v="0-6 Months"/>
    <s v="12-18 Months"/>
    <x v="0"/>
    <n v="0"/>
  </r>
  <r>
    <n v="112305"/>
    <s v="Virginia Beach Police Dept. - VA"/>
    <n v="888"/>
    <n v="508"/>
    <n v="52"/>
    <n v="647"/>
    <n v="65"/>
    <n v="12"/>
    <n v="1.27"/>
    <n v="0.13"/>
    <n v="0.02"/>
    <n v="36"/>
    <s v="24+ Months"/>
    <s v="24+ Months"/>
    <x v="0"/>
    <n v="0"/>
  </r>
  <r>
    <n v="112309"/>
    <s v="Selbyville Police Dept - DE"/>
    <n v="10"/>
    <n v="10"/>
    <n v="1"/>
    <n v="0"/>
    <n v="0"/>
    <n v="0"/>
    <n v="0"/>
    <n v="0"/>
    <n v="0"/>
    <n v="0"/>
    <s v="0-6 Months"/>
    <s v="12-18 Months"/>
    <x v="1"/>
    <n v="0"/>
  </r>
  <r>
    <n v="112324"/>
    <s v="Harford County Sheriff's Office - MD"/>
    <n v="357"/>
    <n v="565"/>
    <n v="1"/>
    <n v="0"/>
    <n v="0"/>
    <n v="0"/>
    <n v="0"/>
    <n v="0"/>
    <n v="0"/>
    <n v="0"/>
    <s v="0-6 Months"/>
    <s v="12-18 Months"/>
    <x v="2"/>
    <n v="0"/>
  </r>
  <r>
    <n v="112331"/>
    <s v="Oneida County Sheriff's Office - WI"/>
    <n v="0"/>
    <n v="15"/>
    <n v="0"/>
    <n v="0"/>
    <n v="0"/>
    <n v="0"/>
    <n v="0"/>
    <n v="0"/>
    <n v="0"/>
    <n v="0"/>
    <s v="0-6 Months"/>
    <s v="12-18 Months"/>
    <x v="1"/>
    <n v="0"/>
  </r>
  <r>
    <n v="112348"/>
    <s v="Orleans County Sheriff's Dept. - NY"/>
    <n v="0"/>
    <n v="40"/>
    <n v="21"/>
    <n v="24"/>
    <n v="16"/>
    <n v="6"/>
    <n v="0.6"/>
    <n v="0.4"/>
    <n v="0.15"/>
    <n v="2"/>
    <s v="12-24 Months"/>
    <s v="24+ Months"/>
    <x v="1"/>
    <n v="0"/>
  </r>
  <r>
    <n v="112359"/>
    <s v="VICKSBURG POLICE DEPT. - MI"/>
    <n v="7"/>
    <n v="7"/>
    <n v="3"/>
    <n v="93"/>
    <n v="93"/>
    <n v="84"/>
    <n v="13.29"/>
    <n v="13.29"/>
    <n v="12"/>
    <n v="11"/>
    <s v="0-6 Months"/>
    <s v="12-18 Months"/>
    <x v="1"/>
    <n v="7"/>
  </r>
  <r>
    <n v="112375"/>
    <s v="DuPage County Sheriff's Office"/>
    <n v="189"/>
    <n v="174"/>
    <n v="24"/>
    <n v="168"/>
    <n v="148"/>
    <n v="71"/>
    <n v="0.97"/>
    <n v="0.85"/>
    <n v="0.41"/>
    <n v="2"/>
    <s v="12-24 Months"/>
    <s v="24+ Months"/>
    <x v="0"/>
    <n v="189"/>
  </r>
  <r>
    <n v="112396"/>
    <s v="Chelan County Sheriff's Office - WA"/>
    <n v="61"/>
    <n v="66"/>
    <n v="3"/>
    <n v="0"/>
    <n v="0"/>
    <n v="0"/>
    <n v="0"/>
    <n v="0"/>
    <n v="0"/>
    <n v="0"/>
    <s v="0-6 Months"/>
    <s v="12-18 Months"/>
    <x v="1"/>
    <n v="0"/>
  </r>
  <r>
    <n v="112436"/>
    <s v="Arnold Police Dept. - MO"/>
    <n v="0"/>
    <n v="52"/>
    <n v="0"/>
    <n v="46"/>
    <n v="46"/>
    <n v="46"/>
    <n v="0.88"/>
    <n v="0.88"/>
    <n v="0.88"/>
    <n v="63"/>
    <s v="0-6 Months"/>
    <s v="12-18 Months"/>
    <x v="1"/>
    <n v="0"/>
  </r>
  <r>
    <n v="112441"/>
    <s v="Chisago County Sheriff's Office - MN"/>
    <n v="99"/>
    <n v="52"/>
    <n v="5"/>
    <n v="0"/>
    <n v="0"/>
    <n v="0"/>
    <n v="0"/>
    <n v="0"/>
    <n v="0"/>
    <n v="0"/>
    <s v="0-6 Months"/>
    <s v="12-18 Months"/>
    <x v="1"/>
    <n v="0"/>
  </r>
  <r>
    <n v="112461"/>
    <s v="Pekin Police Dept.- IL"/>
    <n v="29"/>
    <n v="57"/>
    <n v="49"/>
    <n v="141"/>
    <n v="75"/>
    <n v="41"/>
    <n v="2.4700000000000002"/>
    <n v="1.32"/>
    <n v="0.72"/>
    <n v="173"/>
    <s v="24+ Months"/>
    <s v="24+ Months"/>
    <x v="1"/>
    <n v="29"/>
  </r>
  <r>
    <n v="112474"/>
    <s v="Pinellas County Sheriff's Office - FL"/>
    <n v="950"/>
    <n v="1110"/>
    <n v="21"/>
    <n v="1647"/>
    <n v="1048"/>
    <n v="529"/>
    <n v="1.48"/>
    <n v="0.94"/>
    <n v="0.48"/>
    <n v="1331"/>
    <s v="12-24 Months"/>
    <s v="24+ Months"/>
    <x v="2"/>
    <n v="950"/>
  </r>
  <r>
    <n v="112487"/>
    <s v="Monterey County Parks Dept. - CA"/>
    <n v="8"/>
    <n v="8"/>
    <n v="2"/>
    <n v="0"/>
    <n v="0"/>
    <n v="0"/>
    <n v="0"/>
    <n v="0"/>
    <n v="0"/>
    <n v="0"/>
    <s v="0-6 Months"/>
    <s v="12-18 Months"/>
    <x v="1"/>
    <n v="0"/>
  </r>
  <r>
    <n v="112511"/>
    <s v="Coppell Police Dept - TX"/>
    <n v="129"/>
    <n v="73"/>
    <n v="12"/>
    <n v="206"/>
    <n v="173"/>
    <n v="17"/>
    <n v="2.82"/>
    <n v="2.37"/>
    <n v="0.23"/>
    <n v="148"/>
    <s v="6-12 Months"/>
    <s v="18-24 Months"/>
    <x v="1"/>
    <n v="129"/>
  </r>
  <r>
    <n v="112545"/>
    <s v="Eagle Point Police Dept. - OR"/>
    <n v="25"/>
    <n v="15"/>
    <n v="10"/>
    <n v="185"/>
    <n v="6"/>
    <n v="2"/>
    <n v="12.33"/>
    <n v="0.4"/>
    <n v="0.13"/>
    <n v="0"/>
    <s v="6-12 Months"/>
    <s v="18-24 Months"/>
    <x v="1"/>
    <n v="25"/>
  </r>
  <r>
    <n v="112546"/>
    <s v="Mooresville Police Dept. - NC"/>
    <n v="82"/>
    <n v="130"/>
    <n v="10"/>
    <n v="369"/>
    <n v="346"/>
    <n v="344"/>
    <n v="2.84"/>
    <n v="2.66"/>
    <n v="2.65"/>
    <n v="78"/>
    <s v="6-12 Months"/>
    <s v="18-24 Months"/>
    <x v="0"/>
    <n v="82"/>
  </r>
  <r>
    <n v="112563"/>
    <s v="Jackson County Sheriff's Office - TX"/>
    <n v="12"/>
    <n v="23"/>
    <n v="0"/>
    <n v="0"/>
    <n v="0"/>
    <n v="0"/>
    <n v="0"/>
    <n v="0"/>
    <n v="0"/>
    <n v="0"/>
    <s v="0-6 Months"/>
    <s v="12-18 Months"/>
    <x v="1"/>
    <n v="0"/>
  </r>
  <r>
    <n v="112577"/>
    <s v="Sparks Police Dept. - NV"/>
    <n v="202"/>
    <n v="134"/>
    <n v="10"/>
    <n v="94"/>
    <n v="49"/>
    <n v="2"/>
    <n v="0.7"/>
    <n v="0.37"/>
    <n v="0.01"/>
    <n v="7"/>
    <s v="6-12 Months"/>
    <s v="18-24 Months"/>
    <x v="0"/>
    <n v="0"/>
  </r>
  <r>
    <n v="112596"/>
    <s v="Statesville Police Department - NC"/>
    <n v="3"/>
    <n v="90"/>
    <n v="8"/>
    <n v="157"/>
    <n v="12"/>
    <n v="0"/>
    <n v="1.74"/>
    <n v="0.13"/>
    <n v="0"/>
    <n v="0"/>
    <s v="6-12 Months"/>
    <s v="18-24 Months"/>
    <x v="1"/>
    <n v="0"/>
  </r>
  <r>
    <n v="112610"/>
    <s v="City of Bend, Police Dept -OR"/>
    <n v="144"/>
    <n v="126"/>
    <n v="10"/>
    <n v="279"/>
    <n v="37"/>
    <n v="8"/>
    <n v="2.21"/>
    <n v="0.28999999999999998"/>
    <n v="0.06"/>
    <n v="6"/>
    <s v="6-12 Months"/>
    <s v="18-24 Months"/>
    <x v="0"/>
    <n v="144"/>
  </r>
  <r>
    <n v="112627"/>
    <s v="Birmingham Police Dept. - MI"/>
    <n v="71"/>
    <n v="35"/>
    <n v="10"/>
    <n v="90"/>
    <n v="4"/>
    <n v="0"/>
    <n v="2.57"/>
    <n v="0.11"/>
    <n v="0"/>
    <n v="0"/>
    <s v="6-12 Months"/>
    <s v="18-24 Months"/>
    <x v="1"/>
    <n v="71"/>
  </r>
  <r>
    <n v="112630"/>
    <s v="Clay Twp. Police Dept. - MI"/>
    <n v="0"/>
    <n v="20"/>
    <n v="21"/>
    <n v="13"/>
    <n v="13"/>
    <n v="6"/>
    <n v="0.65"/>
    <n v="0.65"/>
    <n v="0.3"/>
    <n v="0"/>
    <s v="12-24 Months"/>
    <s v="24+ Months"/>
    <x v="1"/>
    <n v="0"/>
  </r>
  <r>
    <n v="112636"/>
    <s v="Royal Oak Police Dept.- MI"/>
    <n v="85"/>
    <n v="76"/>
    <n v="47"/>
    <n v="336"/>
    <n v="336"/>
    <n v="105"/>
    <n v="4.42"/>
    <n v="4.42"/>
    <n v="1.38"/>
    <n v="8"/>
    <s v="24+ Months"/>
    <s v="24+ Months"/>
    <x v="1"/>
    <n v="85"/>
  </r>
  <r>
    <n v="112666"/>
    <s v="Tulsa County Sheriff's Office - OK"/>
    <n v="145"/>
    <n v="62"/>
    <n v="19"/>
    <n v="0"/>
    <n v="0"/>
    <n v="0"/>
    <n v="0"/>
    <n v="0"/>
    <n v="0"/>
    <n v="0"/>
    <s v="12-24 Months"/>
    <s v="24+ Months"/>
    <x v="1"/>
    <n v="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s v="0-6 Months"/>
    <s v="12-18 Months"/>
    <x v="1"/>
    <n v="21"/>
  </r>
  <r>
    <n v="112742"/>
    <s v="Campbell Police Dept. - CA"/>
    <n v="90"/>
    <n v="49"/>
    <n v="3"/>
    <n v="6"/>
    <n v="6"/>
    <n v="0"/>
    <n v="0.12"/>
    <n v="0.12"/>
    <n v="0"/>
    <n v="1"/>
    <s v="0-6 Months"/>
    <s v="12-18 Months"/>
    <x v="1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s v="24+ Months"/>
    <s v="24+ Months"/>
    <x v="1"/>
    <n v="46"/>
  </r>
  <r>
    <n v="112780"/>
    <s v="California State University Police - Fullerton"/>
    <n v="37"/>
    <n v="24"/>
    <n v="6"/>
    <n v="8"/>
    <n v="8"/>
    <n v="8"/>
    <n v="0.33"/>
    <n v="0.33"/>
    <n v="0.33"/>
    <n v="27"/>
    <s v="6-12 Months"/>
    <s v="18-24 Months"/>
    <x v="1"/>
    <n v="0"/>
  </r>
  <r>
    <n v="112815"/>
    <s v="Moore County Sheriff's Office - NC"/>
    <n v="2"/>
    <n v="100"/>
    <n v="1"/>
    <n v="0"/>
    <n v="0"/>
    <n v="0"/>
    <n v="0"/>
    <n v="0"/>
    <n v="0"/>
    <n v="0"/>
    <s v="0-6 Months"/>
    <s v="12-18 Months"/>
    <x v="0"/>
    <n v="0"/>
  </r>
  <r>
    <n v="112959"/>
    <s v="Council Bluffs Police Dept. - IA"/>
    <n v="80"/>
    <n v="80"/>
    <n v="4"/>
    <n v="0"/>
    <n v="0"/>
    <n v="0"/>
    <n v="0"/>
    <n v="0"/>
    <n v="0"/>
    <n v="0"/>
    <s v="0-6 Months"/>
    <s v="12-18 Months"/>
    <x v="1"/>
    <n v="0"/>
  </r>
  <r>
    <n v="112966"/>
    <s v="Missoula Police Dept. - MT"/>
    <n v="2"/>
    <n v="118"/>
    <n v="11"/>
    <n v="375"/>
    <n v="14"/>
    <n v="0"/>
    <n v="3.18"/>
    <n v="0.12"/>
    <n v="0"/>
    <n v="0"/>
    <s v="6-12 Months"/>
    <s v="18-24 Months"/>
    <x v="0"/>
    <n v="2"/>
  </r>
  <r>
    <n v="112987"/>
    <s v="Saint Croix Falls Police Department - WI"/>
    <n v="9"/>
    <n v="16"/>
    <n v="6"/>
    <n v="3"/>
    <n v="3"/>
    <n v="0"/>
    <n v="0.19"/>
    <n v="0.19"/>
    <n v="0"/>
    <n v="2"/>
    <s v="6-12 Months"/>
    <s v="18-24 Months"/>
    <x v="1"/>
    <n v="0"/>
  </r>
  <r>
    <n v="112992"/>
    <s v="Buckley Police Dept. - WA"/>
    <n v="14"/>
    <n v="12"/>
    <n v="15"/>
    <n v="59"/>
    <n v="1"/>
    <n v="1"/>
    <n v="4.92"/>
    <n v="0.08"/>
    <n v="0.08"/>
    <n v="0"/>
    <s v="12-24 Months"/>
    <s v="24+ Months"/>
    <x v="1"/>
    <n v="14"/>
  </r>
  <r>
    <n v="113004"/>
    <s v="Aiken County Sheriff's Office - SC"/>
    <n v="136"/>
    <n v="105"/>
    <n v="2"/>
    <n v="2"/>
    <n v="2"/>
    <n v="0"/>
    <n v="0.02"/>
    <n v="0.02"/>
    <n v="0"/>
    <n v="0"/>
    <s v="0-6 Months"/>
    <s v="12-18 Months"/>
    <x v="0"/>
    <n v="0"/>
  </r>
  <r>
    <n v="113074"/>
    <s v="Durant Police Dept. - OK"/>
    <n v="0"/>
    <n v="35"/>
    <n v="1"/>
    <n v="0"/>
    <n v="0"/>
    <n v="0"/>
    <n v="0"/>
    <n v="0"/>
    <n v="0"/>
    <n v="0"/>
    <s v="0-6 Months"/>
    <s v="12-18 Months"/>
    <x v="1"/>
    <n v="0"/>
  </r>
  <r>
    <n v="113111"/>
    <s v="Pinellas Park Police Dept - FL"/>
    <n v="117"/>
    <n v="115"/>
    <n v="9"/>
    <n v="794"/>
    <n v="777"/>
    <n v="22"/>
    <n v="6.9"/>
    <n v="6.76"/>
    <n v="0.19"/>
    <n v="115"/>
    <s v="6-12 Months"/>
    <s v="18-24 Months"/>
    <x v="0"/>
    <n v="117"/>
  </r>
  <r>
    <n v="113118"/>
    <s v="Oklahoma City Police Dept. - OK"/>
    <n v="1458"/>
    <n v="700"/>
    <n v="49"/>
    <n v="2046"/>
    <n v="539"/>
    <n v="18"/>
    <n v="2.92"/>
    <n v="0.77"/>
    <n v="0.03"/>
    <n v="4"/>
    <s v="24+ Months"/>
    <s v="24+ Months"/>
    <x v="2"/>
    <n v="1458"/>
  </r>
  <r>
    <n v="113133"/>
    <s v="Buxton Police Dept. - ME"/>
    <n v="10"/>
    <n v="12"/>
    <n v="0"/>
    <n v="0"/>
    <n v="0"/>
    <n v="0"/>
    <n v="0"/>
    <n v="0"/>
    <n v="0"/>
    <n v="0"/>
    <s v="0-6 Months"/>
    <s v="12-18 Months"/>
    <x v="1"/>
    <n v="0"/>
  </r>
  <r>
    <n v="113139"/>
    <s v="York County Sheriff's Office - ME"/>
    <n v="0"/>
    <n v="100"/>
    <n v="1"/>
    <n v="0"/>
    <n v="0"/>
    <n v="0"/>
    <n v="0"/>
    <n v="0"/>
    <n v="0"/>
    <n v="0"/>
    <s v="0-6 Months"/>
    <s v="12-18 Months"/>
    <x v="0"/>
    <n v="0"/>
  </r>
  <r>
    <n v="113145"/>
    <s v="Groves Police Dept. - TX"/>
    <n v="0"/>
    <n v="21"/>
    <n v="2"/>
    <n v="0"/>
    <n v="0"/>
    <n v="0"/>
    <n v="0"/>
    <n v="0"/>
    <n v="0"/>
    <n v="0"/>
    <s v="0-6 Months"/>
    <s v="12-18 Months"/>
    <x v="1"/>
    <n v="0"/>
  </r>
  <r>
    <n v="113149"/>
    <s v="Hailey Police Department - ID"/>
    <n v="16"/>
    <n v="12"/>
    <n v="6"/>
    <n v="37"/>
    <n v="37"/>
    <n v="20"/>
    <n v="3.08"/>
    <n v="3.08"/>
    <n v="1.67"/>
    <n v="0"/>
    <s v="6-12 Months"/>
    <s v="18-24 Months"/>
    <x v="1"/>
    <n v="16"/>
  </r>
  <r>
    <n v="113153"/>
    <s v="La Grande Police Dept. - OR"/>
    <n v="4"/>
    <n v="4"/>
    <n v="1"/>
    <n v="0"/>
    <n v="0"/>
    <n v="0"/>
    <n v="0"/>
    <n v="0"/>
    <n v="0"/>
    <n v="0"/>
    <s v="0-6 Months"/>
    <s v="12-18 Months"/>
    <x v="1"/>
    <n v="0"/>
  </r>
  <r>
    <n v="113214"/>
    <s v="Coronado Police Dept. - CA"/>
    <n v="55"/>
    <n v="62"/>
    <n v="5"/>
    <n v="0"/>
    <n v="0"/>
    <n v="0"/>
    <n v="0"/>
    <n v="0"/>
    <n v="0"/>
    <n v="0"/>
    <s v="0-6 Months"/>
    <s v="12-18 Months"/>
    <x v="1"/>
    <n v="0"/>
  </r>
  <r>
    <n v="113219"/>
    <s v="South Burlington Police Dept. - VT"/>
    <n v="39"/>
    <n v="40"/>
    <n v="4"/>
    <n v="4"/>
    <n v="4"/>
    <n v="0"/>
    <n v="0.1"/>
    <n v="0.1"/>
    <n v="0"/>
    <n v="2"/>
    <s v="0-6 Months"/>
    <s v="12-18 Months"/>
    <x v="1"/>
    <n v="0"/>
  </r>
  <r>
    <n v="113228"/>
    <s v="San Mateo County Sheriff's Office - HQ"/>
    <n v="580"/>
    <n v="645"/>
    <n v="20"/>
    <n v="0"/>
    <n v="0"/>
    <n v="0"/>
    <n v="0"/>
    <n v="0"/>
    <n v="0"/>
    <n v="0"/>
    <s v="12-24 Months"/>
    <s v="24+ Months"/>
    <x v="2"/>
    <n v="0"/>
  </r>
  <r>
    <n v="113258"/>
    <s v="Valley Police Department - NE"/>
    <n v="2"/>
    <n v="2"/>
    <n v="0"/>
    <n v="0"/>
    <n v="0"/>
    <n v="0"/>
    <n v="0"/>
    <n v="0"/>
    <n v="0"/>
    <n v="0"/>
    <s v="0-6 Months"/>
    <s v="12-18 Months"/>
    <x v="1"/>
    <n v="0"/>
  </r>
  <r>
    <n v="113326"/>
    <s v="Huerfano County Sheriff's Office - CO"/>
    <n v="25"/>
    <n v="22"/>
    <n v="3"/>
    <n v="8"/>
    <n v="8"/>
    <n v="8"/>
    <n v="0.36"/>
    <n v="0.36"/>
    <n v="0.36"/>
    <n v="1"/>
    <s v="0-6 Months"/>
    <s v="12-18 Months"/>
    <x v="1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s v="6-12 Months"/>
    <s v="18-24 Months"/>
    <x v="1"/>
    <n v="84"/>
  </r>
  <r>
    <n v="113358"/>
    <s v="Apopka Police Dept.-FL"/>
    <n v="6"/>
    <n v="150"/>
    <n v="8"/>
    <n v="490"/>
    <n v="419"/>
    <n v="13"/>
    <n v="3.27"/>
    <n v="2.79"/>
    <n v="0.09"/>
    <n v="105"/>
    <s v="6-12 Months"/>
    <s v="18-24 Months"/>
    <x v="0"/>
    <n v="6"/>
  </r>
  <r>
    <n v="113387"/>
    <s v="Modesto Police Dept. - CA"/>
    <n v="267"/>
    <n v="255"/>
    <n v="21"/>
    <n v="2"/>
    <n v="0"/>
    <n v="0"/>
    <n v="0.01"/>
    <n v="0"/>
    <n v="0"/>
    <n v="9"/>
    <s v="12-24 Months"/>
    <s v="24+ Months"/>
    <x v="0"/>
    <n v="0"/>
  </r>
  <r>
    <n v="113390"/>
    <s v="Santa Cruz Police Dept. - CA"/>
    <n v="120"/>
    <n v="180"/>
    <n v="7"/>
    <n v="183"/>
    <n v="19"/>
    <n v="3"/>
    <n v="1.02"/>
    <n v="0.11"/>
    <n v="0.02"/>
    <n v="0"/>
    <s v="6-12 Months"/>
    <s v="18-24 Months"/>
    <x v="0"/>
    <n v="0"/>
  </r>
  <r>
    <n v="113397"/>
    <s v="Niagara Falls Police Dept - NY"/>
    <n v="93"/>
    <n v="145"/>
    <n v="45"/>
    <n v="2"/>
    <n v="2"/>
    <n v="0"/>
    <n v="0.01"/>
    <n v="0.01"/>
    <n v="0"/>
    <n v="2"/>
    <s v="24+ Months"/>
    <s v="24+ Months"/>
    <x v="0"/>
    <n v="0"/>
  </r>
  <r>
    <n v="113399"/>
    <s v="Cheektowaga Police Dept - NY"/>
    <n v="125"/>
    <n v="100"/>
    <n v="21"/>
    <n v="139"/>
    <n v="139"/>
    <n v="122"/>
    <n v="1.39"/>
    <n v="1.39"/>
    <n v="1.22"/>
    <n v="8"/>
    <s v="12-24 Months"/>
    <s v="24+ Months"/>
    <x v="0"/>
    <n v="125"/>
  </r>
  <r>
    <n v="113410"/>
    <s v="Anaheim Police Dept. - CA"/>
    <n v="552"/>
    <n v="457"/>
    <n v="34"/>
    <n v="2301"/>
    <n v="256"/>
    <n v="222"/>
    <n v="5.04"/>
    <n v="0.56000000000000005"/>
    <n v="0.49"/>
    <n v="0"/>
    <s v="24+ Months"/>
    <s v="24+ Months"/>
    <x v="0"/>
    <n v="552"/>
  </r>
  <r>
    <n v="113444"/>
    <s v="Alachua Police Dept.- FL"/>
    <n v="2"/>
    <n v="34"/>
    <n v="10"/>
    <n v="8"/>
    <n v="0"/>
    <n v="0"/>
    <n v="0.24"/>
    <n v="0"/>
    <n v="0"/>
    <n v="0"/>
    <s v="6-12 Months"/>
    <s v="18-24 Months"/>
    <x v="1"/>
    <n v="0"/>
  </r>
  <r>
    <n v="113455"/>
    <s v="Atwater Police Dept. - CA"/>
    <n v="42"/>
    <n v="35"/>
    <n v="38"/>
    <n v="0"/>
    <n v="0"/>
    <n v="0"/>
    <n v="0"/>
    <n v="0"/>
    <n v="0"/>
    <n v="0"/>
    <s v="24+ Months"/>
    <s v="24+ Months"/>
    <x v="1"/>
    <n v="0"/>
  </r>
  <r>
    <n v="113500"/>
    <s v="Fremont Police Department - MI"/>
    <n v="9"/>
    <n v="10"/>
    <n v="2"/>
    <n v="0"/>
    <n v="0"/>
    <n v="0"/>
    <n v="0"/>
    <n v="0"/>
    <n v="0"/>
    <n v="0"/>
    <s v="0-6 Months"/>
    <s v="12-18 Months"/>
    <x v="1"/>
    <n v="0"/>
  </r>
  <r>
    <n v="113502"/>
    <s v="Coconut Creek Police Dept - FL"/>
    <n v="145"/>
    <n v="128"/>
    <n v="10"/>
    <n v="6"/>
    <n v="0"/>
    <n v="0"/>
    <n v="0.05"/>
    <n v="0"/>
    <n v="0"/>
    <n v="0"/>
    <s v="6-12 Months"/>
    <s v="18-24 Months"/>
    <x v="0"/>
    <n v="0"/>
  </r>
  <r>
    <n v="113552"/>
    <s v="Lake Stevens Police Dept. - WA"/>
    <n v="50"/>
    <n v="45"/>
    <n v="9"/>
    <n v="294"/>
    <n v="293"/>
    <n v="233"/>
    <n v="6.53"/>
    <n v="6.51"/>
    <n v="5.18"/>
    <n v="79"/>
    <s v="6-12 Months"/>
    <s v="18-24 Months"/>
    <x v="1"/>
    <n v="50"/>
  </r>
  <r>
    <n v="113553"/>
    <s v="St. Helens Police Dept. - OR"/>
    <n v="22"/>
    <n v="14"/>
    <n v="1"/>
    <n v="32"/>
    <n v="32"/>
    <n v="32"/>
    <n v="2.29"/>
    <n v="2.29"/>
    <n v="2.29"/>
    <n v="61"/>
    <s v="0-6 Months"/>
    <s v="12-18 Months"/>
    <x v="1"/>
    <n v="22"/>
  </r>
  <r>
    <n v="113592"/>
    <s v="Monroe County Sheriff's Dept. - NY"/>
    <n v="22"/>
    <n v="320"/>
    <n v="11"/>
    <n v="419"/>
    <n v="372"/>
    <n v="309"/>
    <n v="1.31"/>
    <n v="1.1599999999999999"/>
    <n v="0.97"/>
    <n v="120"/>
    <s v="6-12 Months"/>
    <s v="18-24 Months"/>
    <x v="0"/>
    <n v="22"/>
  </r>
  <r>
    <n v="113599"/>
    <s v="City of Wichita Police Department"/>
    <n v="655"/>
    <n v="650"/>
    <n v="22"/>
    <n v="2551"/>
    <n v="1474"/>
    <n v="749"/>
    <n v="3.92"/>
    <n v="2.27"/>
    <n v="1.1499999999999999"/>
    <n v="48"/>
    <s v="12-24 Months"/>
    <s v="24+ Months"/>
    <x v="2"/>
    <n v="655"/>
  </r>
  <r>
    <n v="114037"/>
    <s v="Mineral Wells Police Dept.-TX"/>
    <n v="0"/>
    <n v="38"/>
    <n v="0"/>
    <n v="0"/>
    <n v="0"/>
    <n v="0"/>
    <n v="0"/>
    <n v="0"/>
    <n v="0"/>
    <n v="0"/>
    <s v="0-6 Months"/>
    <s v="12-18 Months"/>
    <x v="1"/>
    <n v="0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s v="0-6 Months"/>
    <s v="12-18 Months"/>
    <x v="1"/>
    <n v="2"/>
  </r>
  <r>
    <n v="114073"/>
    <s v="Texas Department of Public Safety - TX"/>
    <n v="1328"/>
    <n v="2750"/>
    <n v="12"/>
    <n v="4255"/>
    <n v="3335"/>
    <n v="2387"/>
    <n v="1.55"/>
    <n v="1.21"/>
    <n v="0.87"/>
    <n v="174"/>
    <s v="6-12 Months"/>
    <s v="18-24 Months"/>
    <x v="2"/>
    <n v="1328"/>
  </r>
  <r>
    <n v="114136"/>
    <s v="Logan Township Police Dept - PA"/>
    <n v="28"/>
    <n v="16"/>
    <n v="2"/>
    <n v="2"/>
    <n v="2"/>
    <n v="2"/>
    <n v="0.13"/>
    <n v="0.13"/>
    <n v="0.13"/>
    <n v="0"/>
    <s v="0-6 Months"/>
    <s v="12-18 Months"/>
    <x v="1"/>
    <n v="0"/>
  </r>
  <r>
    <n v="114232"/>
    <s v="San Francisco State Univ. (CSU campus) - CA"/>
    <n v="57"/>
    <n v="12"/>
    <n v="6"/>
    <n v="12"/>
    <n v="12"/>
    <n v="12"/>
    <n v="1"/>
    <n v="1"/>
    <n v="1"/>
    <n v="0"/>
    <s v="6-12 Months"/>
    <s v="18-24 Months"/>
    <x v="1"/>
    <n v="57"/>
  </r>
  <r>
    <n v="114245"/>
    <s v="Nelsonville Police Dept - OH"/>
    <n v="16"/>
    <n v="12"/>
    <n v="2"/>
    <n v="6"/>
    <n v="6"/>
    <n v="6"/>
    <n v="0.5"/>
    <n v="0.5"/>
    <n v="0.5"/>
    <n v="0"/>
    <s v="0-6 Months"/>
    <s v="12-18 Months"/>
    <x v="1"/>
    <n v="0"/>
  </r>
  <r>
    <n v="114248"/>
    <s v="DeSoto Police Dept. - TX"/>
    <n v="85"/>
    <n v="90"/>
    <n v="3"/>
    <n v="15"/>
    <n v="15"/>
    <n v="15"/>
    <n v="0.17"/>
    <n v="0.17"/>
    <n v="0.17"/>
    <n v="82"/>
    <s v="0-6 Months"/>
    <s v="12-18 Months"/>
    <x v="1"/>
    <n v="0"/>
  </r>
  <r>
    <n v="114264"/>
    <s v="Catoosa County Sheriff's Office - GA"/>
    <n v="3"/>
    <n v="90"/>
    <n v="11"/>
    <n v="149"/>
    <n v="34"/>
    <n v="4"/>
    <n v="1.66"/>
    <n v="0.38"/>
    <n v="0.04"/>
    <n v="10"/>
    <s v="6-12 Months"/>
    <s v="18-24 Months"/>
    <x v="1"/>
    <n v="0"/>
  </r>
  <r>
    <n v="114269"/>
    <s v="Sublette County Sheriff's Office - WY"/>
    <n v="30"/>
    <n v="30"/>
    <n v="2"/>
    <n v="3"/>
    <n v="3"/>
    <n v="3"/>
    <n v="0.1"/>
    <n v="0.1"/>
    <n v="0.1"/>
    <n v="0"/>
    <s v="0-6 Months"/>
    <s v="12-18 Months"/>
    <x v="1"/>
    <n v="0"/>
  </r>
  <r>
    <n v="114398"/>
    <s v="Bloomfield Police Dept. - NM"/>
    <n v="18"/>
    <n v="20"/>
    <n v="2"/>
    <n v="0"/>
    <n v="0"/>
    <n v="0"/>
    <n v="0"/>
    <n v="0"/>
    <n v="0"/>
    <n v="0"/>
    <s v="0-6 Months"/>
    <s v="12-18 Months"/>
    <x v="1"/>
    <n v="0"/>
  </r>
  <r>
    <n v="114425"/>
    <s v="Towamencin Township Police Dept - PA"/>
    <n v="4"/>
    <n v="10"/>
    <n v="1"/>
    <n v="0"/>
    <n v="0"/>
    <n v="0"/>
    <n v="0"/>
    <n v="0"/>
    <n v="0"/>
    <n v="0"/>
    <s v="0-6 Months"/>
    <s v="12-18 Months"/>
    <x v="1"/>
    <n v="0"/>
  </r>
  <r>
    <n v="114454"/>
    <s v="Takoma Park Police Dept. - MD"/>
    <n v="55"/>
    <n v="39"/>
    <n v="4"/>
    <n v="3"/>
    <n v="3"/>
    <n v="3"/>
    <n v="0.08"/>
    <n v="0.08"/>
    <n v="0.08"/>
    <n v="0"/>
    <s v="0-6 Months"/>
    <s v="12-18 Months"/>
    <x v="1"/>
    <n v="0"/>
  </r>
  <r>
    <n v="114486"/>
    <s v="California State Polytechnic PD (CSU) SLO"/>
    <n v="19"/>
    <n v="20"/>
    <n v="6"/>
    <n v="0"/>
    <n v="0"/>
    <n v="0"/>
    <n v="0"/>
    <n v="0"/>
    <n v="0"/>
    <n v="0"/>
    <s v="6-12 Months"/>
    <s v="18-24 Months"/>
    <x v="1"/>
    <n v="0"/>
  </r>
  <r>
    <n v="114556"/>
    <s v="Knox County Sheriff's Office - TN"/>
    <n v="414"/>
    <n v="450"/>
    <n v="49"/>
    <n v="18"/>
    <n v="16"/>
    <n v="0"/>
    <n v="0.04"/>
    <n v="0.04"/>
    <n v="0"/>
    <n v="34"/>
    <s v="24+ Months"/>
    <s v="24+ Months"/>
    <x v="0"/>
    <n v="0"/>
  </r>
  <r>
    <n v="114564"/>
    <s v="Melissa Police Dept. - TX"/>
    <n v="30"/>
    <n v="32"/>
    <n v="21"/>
    <n v="97"/>
    <n v="97"/>
    <n v="96"/>
    <n v="3.03"/>
    <n v="3.03"/>
    <n v="3"/>
    <n v="4"/>
    <s v="12-24 Months"/>
    <s v="24+ Months"/>
    <x v="1"/>
    <n v="30"/>
  </r>
  <r>
    <n v="114568"/>
    <s v="Burleson Police Dept. - TX"/>
    <n v="118"/>
    <n v="100"/>
    <n v="1"/>
    <n v="17"/>
    <n v="17"/>
    <n v="17"/>
    <n v="0.17"/>
    <n v="0.17"/>
    <n v="0.17"/>
    <n v="18"/>
    <s v="0-6 Months"/>
    <s v="12-18 Months"/>
    <x v="0"/>
    <n v="0"/>
  </r>
  <r>
    <n v="114578"/>
    <s v="Chelsea Police Department - MA"/>
    <n v="120"/>
    <n v="75"/>
    <n v="4"/>
    <n v="4"/>
    <n v="0"/>
    <n v="0"/>
    <n v="0.05"/>
    <n v="0"/>
    <n v="0"/>
    <n v="0"/>
    <s v="0-6 Months"/>
    <s v="12-18 Months"/>
    <x v="1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s v="6-12 Months"/>
    <s v="18-24 Months"/>
    <x v="2"/>
    <n v="2194"/>
  </r>
  <r>
    <n v="114678"/>
    <s v="Pittsylvania County Sheriff's Office - VA"/>
    <n v="3"/>
    <n v="35"/>
    <n v="2"/>
    <n v="56"/>
    <n v="56"/>
    <n v="56"/>
    <n v="1.6"/>
    <n v="1.6"/>
    <n v="1.6"/>
    <n v="42"/>
    <s v="0-6 Months"/>
    <s v="12-18 Months"/>
    <x v="1"/>
    <n v="3"/>
  </r>
  <r>
    <n v="114759"/>
    <s v="Williams County Sheriff's Office - ND"/>
    <n v="51"/>
    <n v="67"/>
    <n v="10"/>
    <n v="298"/>
    <n v="29"/>
    <n v="26"/>
    <n v="4.45"/>
    <n v="0.43"/>
    <n v="0.39"/>
    <n v="13"/>
    <s v="6-12 Months"/>
    <s v="18-24 Months"/>
    <x v="1"/>
    <n v="51"/>
  </r>
  <r>
    <n v="114763"/>
    <s v="Manor Police Dept - TX"/>
    <n v="54"/>
    <n v="45"/>
    <n v="11"/>
    <n v="183"/>
    <n v="63"/>
    <n v="18"/>
    <n v="4.07"/>
    <n v="1.4"/>
    <n v="0.4"/>
    <n v="16"/>
    <s v="6-12 Months"/>
    <s v="18-24 Months"/>
    <x v="1"/>
    <n v="54"/>
  </r>
  <r>
    <n v="114821"/>
    <s v="Eatonton Police Dept.- GA"/>
    <n v="13"/>
    <n v="14"/>
    <n v="1"/>
    <n v="31"/>
    <n v="15"/>
    <n v="15"/>
    <n v="2.21"/>
    <n v="1.07"/>
    <n v="1.07"/>
    <n v="0"/>
    <s v="0-6 Months"/>
    <s v="12-18 Months"/>
    <x v="1"/>
    <n v="13"/>
  </r>
  <r>
    <n v="114833"/>
    <s v="Juneau County Sheriff's Office - WI"/>
    <n v="50"/>
    <n v="34"/>
    <n v="9"/>
    <n v="215"/>
    <n v="204"/>
    <n v="0"/>
    <n v="6.32"/>
    <n v="6"/>
    <n v="0"/>
    <n v="35"/>
    <s v="6-12 Months"/>
    <s v="18-24 Months"/>
    <x v="1"/>
    <n v="50"/>
  </r>
  <r>
    <n v="114873"/>
    <s v="Hayward Police Dept. - CA"/>
    <n v="216"/>
    <n v="216"/>
    <n v="22"/>
    <n v="19"/>
    <n v="0"/>
    <n v="0"/>
    <n v="0.09"/>
    <n v="0"/>
    <n v="0"/>
    <n v="4"/>
    <s v="12-24 Months"/>
    <s v="24+ Months"/>
    <x v="0"/>
    <n v="0"/>
  </r>
  <r>
    <n v="114913"/>
    <s v="Fernandina Beach Police Dept. - FL"/>
    <n v="1"/>
    <n v="43"/>
    <n v="1"/>
    <n v="124"/>
    <n v="124"/>
    <n v="124"/>
    <n v="2.88"/>
    <n v="2.88"/>
    <n v="2.88"/>
    <n v="69"/>
    <s v="0-6 Months"/>
    <s v="12-18 Months"/>
    <x v="1"/>
    <n v="1"/>
  </r>
  <r>
    <n v="114947"/>
    <s v="Bethlehem Police Dept. - NH"/>
    <n v="7"/>
    <n v="6"/>
    <n v="5"/>
    <n v="14"/>
    <n v="14"/>
    <n v="5"/>
    <n v="2.33"/>
    <n v="2.33"/>
    <n v="0.83"/>
    <n v="1"/>
    <s v="0-6 Months"/>
    <s v="12-18 Months"/>
    <x v="1"/>
    <n v="7"/>
  </r>
  <r>
    <n v="114954"/>
    <s v="North Reading Police Dept. - MA"/>
    <n v="32"/>
    <n v="32"/>
    <n v="3"/>
    <n v="29"/>
    <n v="29"/>
    <n v="29"/>
    <n v="0.91"/>
    <n v="0.91"/>
    <n v="0.91"/>
    <n v="11"/>
    <s v="0-6 Months"/>
    <s v="12-18 Months"/>
    <x v="1"/>
    <n v="32"/>
  </r>
  <r>
    <n v="114970"/>
    <s v="Dickey County Sheriff's Dept. -ND"/>
    <n v="4"/>
    <n v="4"/>
    <n v="2"/>
    <n v="3"/>
    <n v="3"/>
    <n v="3"/>
    <n v="0.75"/>
    <n v="0.75"/>
    <n v="0.75"/>
    <n v="0"/>
    <s v="0-6 Months"/>
    <s v="12-18 Months"/>
    <x v="1"/>
    <n v="4"/>
  </r>
  <r>
    <n v="114973"/>
    <s v="Lennon Police Dept. - MI"/>
    <n v="3"/>
    <n v="5"/>
    <n v="1"/>
    <n v="0"/>
    <n v="0"/>
    <n v="0"/>
    <n v="0"/>
    <n v="0"/>
    <n v="0"/>
    <n v="0"/>
    <s v="0-6 Months"/>
    <s v="12-18 Months"/>
    <x v="1"/>
    <n v="0"/>
  </r>
  <r>
    <n v="115080"/>
    <s v="North Adams Police Dept. - MA"/>
    <n v="20"/>
    <n v="20"/>
    <n v="2"/>
    <n v="2"/>
    <n v="2"/>
    <n v="2"/>
    <n v="0.1"/>
    <n v="0.1"/>
    <n v="0.1"/>
    <n v="0"/>
    <s v="0-6 Months"/>
    <s v="12-18 Months"/>
    <x v="1"/>
    <n v="0"/>
  </r>
  <r>
    <n v="115086"/>
    <s v="Reading Police Department - PA"/>
    <n v="160"/>
    <n v="178"/>
    <n v="5"/>
    <n v="0"/>
    <n v="0"/>
    <n v="0"/>
    <n v="0"/>
    <n v="0"/>
    <n v="0"/>
    <n v="0"/>
    <s v="0-6 Months"/>
    <s v="12-18 Months"/>
    <x v="0"/>
    <n v="0"/>
  </r>
  <r>
    <n v="115092"/>
    <s v="NEW HAVEN POLICE DEPT. - MO"/>
    <n v="2"/>
    <n v="6"/>
    <n v="2"/>
    <n v="38"/>
    <n v="26"/>
    <n v="26"/>
    <n v="6.33"/>
    <n v="4.33"/>
    <n v="4.33"/>
    <n v="52"/>
    <s v="0-6 Months"/>
    <s v="12-18 Months"/>
    <x v="1"/>
    <n v="2"/>
  </r>
  <r>
    <n v="115132"/>
    <s v="Paradise Valley Police Dept. - AZ"/>
    <n v="39"/>
    <n v="69"/>
    <n v="47"/>
    <n v="10"/>
    <n v="0"/>
    <n v="0"/>
    <n v="0.14000000000000001"/>
    <n v="0"/>
    <n v="0"/>
    <n v="0"/>
    <s v="24+ Months"/>
    <s v="24+ Months"/>
    <x v="1"/>
    <n v="0"/>
  </r>
  <r>
    <n v="115150"/>
    <s v="Harrison County Sheriff's - MS"/>
    <n v="125"/>
    <n v="125"/>
    <n v="2"/>
    <n v="7"/>
    <n v="7"/>
    <n v="7"/>
    <n v="0.06"/>
    <n v="0.06"/>
    <n v="0.06"/>
    <n v="0"/>
    <s v="0-6 Months"/>
    <s v="12-18 Months"/>
    <x v="0"/>
    <n v="0"/>
  </r>
  <r>
    <n v="115212"/>
    <s v="Chickasaw County Sheriff's Office - MS"/>
    <n v="14"/>
    <n v="14"/>
    <n v="1"/>
    <n v="96"/>
    <n v="56"/>
    <n v="56"/>
    <n v="6.86"/>
    <n v="4"/>
    <n v="4"/>
    <n v="56"/>
    <s v="0-6 Months"/>
    <s v="12-18 Months"/>
    <x v="1"/>
    <n v="14"/>
  </r>
  <r>
    <n v="115241"/>
    <s v="Richmond Police Dept. - TX"/>
    <n v="2"/>
    <n v="40"/>
    <n v="0"/>
    <n v="0"/>
    <n v="0"/>
    <n v="0"/>
    <n v="0"/>
    <n v="0"/>
    <n v="0"/>
    <n v="1"/>
    <s v="0-6 Months"/>
    <s v="12-18 Months"/>
    <x v="1"/>
    <n v="0"/>
  </r>
  <r>
    <n v="115267"/>
    <s v="Winchester Police Dept. - NH"/>
    <n v="2"/>
    <n v="7"/>
    <n v="1"/>
    <n v="14"/>
    <n v="14"/>
    <n v="14"/>
    <n v="2"/>
    <n v="2"/>
    <n v="2"/>
    <n v="22"/>
    <s v="0-6 Months"/>
    <s v="12-18 Months"/>
    <x v="1"/>
    <n v="2"/>
  </r>
  <r>
    <n v="115272"/>
    <s v="Enfield Police Department - CT"/>
    <n v="109"/>
    <n v="102"/>
    <n v="1"/>
    <n v="0"/>
    <n v="0"/>
    <n v="0"/>
    <n v="0"/>
    <n v="0"/>
    <n v="0"/>
    <n v="0"/>
    <s v="0-6 Months"/>
    <s v="12-18 Months"/>
    <x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s v="0-6 Months"/>
    <s v="12-18 Months"/>
    <x v="1"/>
    <n v="0"/>
  </r>
  <r>
    <n v="115314"/>
    <s v="Jefferson County Sheriff's Office - AL"/>
    <n v="487"/>
    <n v="450"/>
    <n v="21"/>
    <n v="802"/>
    <n v="347"/>
    <n v="305"/>
    <n v="1.78"/>
    <n v="0.77"/>
    <n v="0.68"/>
    <n v="0"/>
    <s v="12-24 Months"/>
    <s v="24+ Months"/>
    <x v="0"/>
    <n v="487"/>
  </r>
  <r>
    <n v="115373"/>
    <s v="Union County Sheriff's Office - SD"/>
    <n v="12"/>
    <n v="13"/>
    <n v="0"/>
    <n v="0"/>
    <n v="0"/>
    <n v="0"/>
    <n v="0"/>
    <n v="0"/>
    <n v="0"/>
    <n v="0"/>
    <s v="0-6 Months"/>
    <s v="12-18 Months"/>
    <x v="1"/>
    <n v="0"/>
  </r>
  <r>
    <n v="115379"/>
    <s v="Smith County Sheriff's Dept. - MS"/>
    <n v="20"/>
    <n v="20"/>
    <n v="2"/>
    <n v="0"/>
    <n v="0"/>
    <n v="0"/>
    <n v="0"/>
    <n v="0"/>
    <n v="0"/>
    <n v="0"/>
    <s v="0-6 Months"/>
    <s v="12-18 Months"/>
    <x v="1"/>
    <n v="0"/>
  </r>
  <r>
    <n v="115403"/>
    <s v="South Beloit Police Dept. - IL"/>
    <n v="16"/>
    <n v="15"/>
    <n v="5"/>
    <n v="4"/>
    <n v="4"/>
    <n v="0"/>
    <n v="0.27"/>
    <n v="0.27"/>
    <n v="0"/>
    <n v="0"/>
    <s v="0-6 Months"/>
    <s v="12-18 Months"/>
    <x v="1"/>
    <n v="0"/>
  </r>
  <r>
    <n v="115433"/>
    <s v="Morro Bay Police Dept. - CA"/>
    <n v="2"/>
    <n v="20"/>
    <n v="4"/>
    <n v="9"/>
    <n v="9"/>
    <n v="9"/>
    <n v="0.45"/>
    <n v="0.45"/>
    <n v="0.45"/>
    <n v="8"/>
    <s v="0-6 Months"/>
    <s v="12-18 Months"/>
    <x v="1"/>
    <n v="0"/>
  </r>
  <r>
    <n v="115480"/>
    <s v="Darlington County Sheriff's Office - SC"/>
    <n v="10"/>
    <n v="15"/>
    <n v="3"/>
    <n v="0"/>
    <n v="0"/>
    <n v="0"/>
    <n v="0"/>
    <n v="0"/>
    <n v="0"/>
    <n v="0"/>
    <s v="0-6 Months"/>
    <s v="12-18 Months"/>
    <x v="1"/>
    <n v="0"/>
  </r>
  <r>
    <n v="115574"/>
    <s v="Chester Police Dept. - SC"/>
    <n v="25"/>
    <n v="15"/>
    <n v="0"/>
    <n v="0"/>
    <n v="0"/>
    <n v="0"/>
    <n v="0"/>
    <n v="0"/>
    <n v="0"/>
    <n v="0"/>
    <s v="0-6 Months"/>
    <s v="12-18 Months"/>
    <x v="1"/>
    <n v="0"/>
  </r>
  <r>
    <n v="115592"/>
    <s v="Utica Police Department - MI"/>
    <n v="5"/>
    <n v="4"/>
    <n v="2"/>
    <n v="0"/>
    <n v="0"/>
    <n v="0"/>
    <n v="0"/>
    <n v="0"/>
    <n v="0"/>
    <n v="0"/>
    <s v="0-6 Months"/>
    <s v="12-18 Months"/>
    <x v="1"/>
    <n v="0"/>
  </r>
  <r>
    <n v="115621"/>
    <s v="Ceres Dept. of Public Safety - CA"/>
    <n v="61"/>
    <n v="60"/>
    <n v="2"/>
    <n v="7"/>
    <n v="7"/>
    <n v="7"/>
    <n v="0.12"/>
    <n v="0.12"/>
    <n v="0.12"/>
    <n v="23"/>
    <s v="0-6 Months"/>
    <s v="12-18 Months"/>
    <x v="1"/>
    <n v="0"/>
  </r>
  <r>
    <n v="115661"/>
    <s v="Napa County Sheriff's Office - CA"/>
    <n v="107"/>
    <n v="125"/>
    <n v="11"/>
    <n v="50"/>
    <n v="9"/>
    <n v="0"/>
    <n v="0.4"/>
    <n v="7.0000000000000007E-2"/>
    <n v="0"/>
    <n v="0"/>
    <s v="6-12 Months"/>
    <s v="18-24 Months"/>
    <x v="0"/>
    <n v="0"/>
  </r>
  <r>
    <n v="115693"/>
    <s v="Aledo Police Department - IL"/>
    <n v="12"/>
    <n v="11"/>
    <n v="2"/>
    <n v="0"/>
    <n v="0"/>
    <n v="0"/>
    <n v="0"/>
    <n v="0"/>
    <n v="0"/>
    <n v="0"/>
    <s v="0-6 Months"/>
    <s v="12-18 Months"/>
    <x v="1"/>
    <n v="0"/>
  </r>
  <r>
    <n v="115736"/>
    <s v="Shalimar Police Dept - FL"/>
    <n v="2"/>
    <n v="4"/>
    <n v="2"/>
    <n v="21"/>
    <n v="14"/>
    <n v="14"/>
    <n v="5.25"/>
    <n v="3.5"/>
    <n v="3.5"/>
    <n v="0"/>
    <s v="0-6 Months"/>
    <s v="12-18 Months"/>
    <x v="1"/>
    <n v="2"/>
  </r>
  <r>
    <n v="115752"/>
    <s v="Muscogee County Sheriff's Office - GA"/>
    <n v="60"/>
    <n v="130"/>
    <n v="39"/>
    <n v="0"/>
    <n v="0"/>
    <n v="0"/>
    <n v="0"/>
    <n v="0"/>
    <n v="0"/>
    <n v="0"/>
    <s v="24+ Months"/>
    <s v="24+ Months"/>
    <x v="0"/>
    <n v="0"/>
  </r>
  <r>
    <n v="115798"/>
    <s v="Pleasant Hill Police Dept. - IA"/>
    <n v="22"/>
    <n v="20"/>
    <n v="2"/>
    <n v="47"/>
    <n v="47"/>
    <n v="47"/>
    <n v="2.35"/>
    <n v="2.35"/>
    <n v="2.35"/>
    <n v="2"/>
    <s v="0-6 Months"/>
    <s v="12-18 Months"/>
    <x v="1"/>
    <n v="22"/>
  </r>
  <r>
    <n v="115809"/>
    <s v="Mount Horeb Police Department"/>
    <n v="0"/>
    <n v="15"/>
    <n v="21"/>
    <n v="3"/>
    <n v="0"/>
    <n v="0"/>
    <n v="0.2"/>
    <n v="0"/>
    <n v="0"/>
    <n v="0"/>
    <s v="12-24 Months"/>
    <s v="24+ Months"/>
    <x v="1"/>
    <n v="0"/>
  </r>
  <r>
    <n v="115901"/>
    <s v="Mesquite Police Department - NV"/>
    <n v="48"/>
    <n v="45"/>
    <n v="14"/>
    <n v="82"/>
    <n v="82"/>
    <n v="46"/>
    <n v="1.82"/>
    <n v="1.82"/>
    <n v="1.02"/>
    <n v="5"/>
    <s v="12-24 Months"/>
    <s v="24+ Months"/>
    <x v="1"/>
    <n v="48"/>
  </r>
  <r>
    <n v="115904"/>
    <s v="Irvington Police Dept - NY"/>
    <n v="25"/>
    <n v="10"/>
    <n v="5"/>
    <n v="3"/>
    <n v="3"/>
    <n v="3"/>
    <n v="0.3"/>
    <n v="0.3"/>
    <n v="0.3"/>
    <n v="0"/>
    <s v="0-6 Months"/>
    <s v="12-18 Months"/>
    <x v="1"/>
    <n v="0"/>
  </r>
  <r>
    <n v="115913"/>
    <s v="Peculiar Police Dept - MO"/>
    <n v="26"/>
    <n v="14"/>
    <n v="1"/>
    <n v="0"/>
    <n v="0"/>
    <n v="0"/>
    <n v="0"/>
    <n v="0"/>
    <n v="0"/>
    <n v="0"/>
    <s v="0-6 Months"/>
    <s v="12-18 Months"/>
    <x v="1"/>
    <n v="0"/>
  </r>
  <r>
    <n v="115929"/>
    <s v="Sarasota Police Dept - FL"/>
    <n v="187"/>
    <n v="205"/>
    <n v="8"/>
    <n v="260"/>
    <n v="154"/>
    <n v="18"/>
    <n v="1.27"/>
    <n v="0.75"/>
    <n v="0.09"/>
    <n v="270"/>
    <s v="6-12 Months"/>
    <s v="18-24 Months"/>
    <x v="0"/>
    <n v="187"/>
  </r>
  <r>
    <n v="115965"/>
    <s v="Framingham Police Department - MA"/>
    <n v="151"/>
    <n v="140"/>
    <n v="22"/>
    <n v="0"/>
    <n v="0"/>
    <n v="0"/>
    <n v="0"/>
    <n v="0"/>
    <n v="0"/>
    <n v="2"/>
    <s v="12-24 Months"/>
    <s v="24+ Months"/>
    <x v="0"/>
    <n v="0"/>
  </r>
  <r>
    <n v="116046"/>
    <s v="Cary Police Department - NC"/>
    <n v="242"/>
    <n v="220"/>
    <n v="16"/>
    <n v="210"/>
    <n v="69"/>
    <n v="48"/>
    <n v="0.95"/>
    <n v="0.31"/>
    <n v="0.22"/>
    <n v="0"/>
    <s v="12-24 Months"/>
    <s v="24+ Months"/>
    <x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s v="0-6 Months"/>
    <s v="12-18 Months"/>
    <x v="2"/>
    <n v="150"/>
  </r>
  <r>
    <n v="116126"/>
    <s v="Sutherlin Police Dept. - OR"/>
    <n v="16"/>
    <n v="17"/>
    <n v="2"/>
    <n v="1"/>
    <n v="1"/>
    <n v="1"/>
    <n v="0.06"/>
    <n v="0.06"/>
    <n v="0.06"/>
    <n v="0"/>
    <s v="0-6 Months"/>
    <s v="12-18 Months"/>
    <x v="1"/>
    <n v="0"/>
  </r>
  <r>
    <n v="116147"/>
    <s v="Elk Grove Police Dept. - CA"/>
    <n v="128"/>
    <n v="190"/>
    <n v="10"/>
    <n v="250"/>
    <n v="202"/>
    <n v="0"/>
    <n v="1.32"/>
    <n v="1.06"/>
    <n v="0"/>
    <n v="42"/>
    <s v="6-12 Months"/>
    <s v="18-24 Months"/>
    <x v="0"/>
    <n v="128"/>
  </r>
  <r>
    <n v="116150"/>
    <s v="Wilmington Police Dept. - DE"/>
    <n v="381"/>
    <n v="300"/>
    <n v="0"/>
    <n v="30"/>
    <n v="30"/>
    <n v="30"/>
    <n v="0.1"/>
    <n v="0.1"/>
    <n v="0.1"/>
    <n v="0"/>
    <s v="0-6 Months"/>
    <s v="12-18 Months"/>
    <x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s v="24+ Months"/>
    <s v="24+ Months"/>
    <x v="1"/>
    <n v="0"/>
  </r>
  <r>
    <n v="116180"/>
    <s v="Burlington Police Dept. - VT"/>
    <n v="213"/>
    <n v="87"/>
    <n v="13"/>
    <n v="198"/>
    <n v="0"/>
    <n v="0"/>
    <n v="2.2799999999999998"/>
    <n v="0"/>
    <n v="0"/>
    <n v="0"/>
    <s v="12-24 Months"/>
    <s v="24+ Months"/>
    <x v="1"/>
    <n v="213"/>
  </r>
  <r>
    <n v="116203"/>
    <s v="Morton Police Dept. - IL"/>
    <n v="22"/>
    <n v="27"/>
    <n v="13"/>
    <n v="75"/>
    <n v="24"/>
    <n v="7"/>
    <n v="2.78"/>
    <n v="0.89"/>
    <n v="0.26"/>
    <n v="67"/>
    <s v="12-24 Months"/>
    <s v="24+ Months"/>
    <x v="1"/>
    <n v="22"/>
  </r>
  <r>
    <n v="116208"/>
    <s v="Sunland Park Police Dept. - NM"/>
    <n v="3"/>
    <n v="30"/>
    <n v="7"/>
    <n v="115"/>
    <n v="115"/>
    <n v="86"/>
    <n v="3.83"/>
    <n v="3.83"/>
    <n v="2.87"/>
    <n v="26"/>
    <s v="6-12 Months"/>
    <s v="18-24 Months"/>
    <x v="1"/>
    <n v="3"/>
  </r>
  <r>
    <n v="116337"/>
    <s v="Mascoutah Police Dept. - IL"/>
    <n v="16"/>
    <n v="8"/>
    <n v="5"/>
    <n v="47"/>
    <n v="47"/>
    <n v="47"/>
    <n v="5.88"/>
    <n v="5.88"/>
    <n v="5.88"/>
    <n v="0"/>
    <s v="0-6 Months"/>
    <s v="12-18 Months"/>
    <x v="1"/>
    <n v="16"/>
  </r>
  <r>
    <n v="116353"/>
    <s v="Town of Carmel Police Department - NY"/>
    <n v="72"/>
    <n v="72"/>
    <n v="6"/>
    <n v="0"/>
    <n v="0"/>
    <n v="0"/>
    <n v="0"/>
    <n v="0"/>
    <n v="0"/>
    <n v="0"/>
    <s v="6-12 Months"/>
    <s v="18-24 Months"/>
    <x v="1"/>
    <n v="0"/>
  </r>
  <r>
    <n v="116393"/>
    <s v="Tremonton/Garland City Police Dept. - UT"/>
    <n v="25"/>
    <n v="25"/>
    <n v="1"/>
    <n v="50"/>
    <n v="50"/>
    <n v="50"/>
    <n v="2"/>
    <n v="2"/>
    <n v="2"/>
    <n v="122"/>
    <s v="0-6 Months"/>
    <s v="12-18 Months"/>
    <x v="1"/>
    <n v="25"/>
  </r>
  <r>
    <n v="116419"/>
    <s v="Prince William County Sheriff's Office - VA"/>
    <n v="101"/>
    <n v="111"/>
    <n v="4"/>
    <n v="23"/>
    <n v="23"/>
    <n v="23"/>
    <n v="0.21"/>
    <n v="0.21"/>
    <n v="0.21"/>
    <n v="19"/>
    <s v="0-6 Months"/>
    <s v="12-18 Months"/>
    <x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s v="6-12 Months"/>
    <s v="18-24 Months"/>
    <x v="2"/>
    <n v="1335"/>
  </r>
  <r>
    <n v="116783"/>
    <s v="Altoona Police Dept. - IA"/>
    <n v="42"/>
    <n v="50"/>
    <n v="5"/>
    <n v="2"/>
    <n v="2"/>
    <n v="2"/>
    <n v="0.04"/>
    <n v="0.04"/>
    <n v="0.04"/>
    <n v="16"/>
    <s v="0-6 Months"/>
    <s v="12-18 Months"/>
    <x v="1"/>
    <n v="0"/>
  </r>
  <r>
    <n v="117129"/>
    <s v="Lockhart Police Dept. - TX"/>
    <n v="31"/>
    <n v="31"/>
    <n v="1"/>
    <n v="100"/>
    <n v="100"/>
    <n v="100"/>
    <n v="3.23"/>
    <n v="3.23"/>
    <n v="3.23"/>
    <n v="0"/>
    <s v="0-6 Months"/>
    <s v="12-18 Months"/>
    <x v="1"/>
    <n v="31"/>
  </r>
  <r>
    <n v="117408"/>
    <s v="Addison Police Department - IL"/>
    <n v="25"/>
    <n v="65"/>
    <n v="30"/>
    <n v="103"/>
    <n v="69"/>
    <n v="0"/>
    <n v="1.58"/>
    <n v="1.06"/>
    <n v="0"/>
    <n v="10"/>
    <s v="24+ Months"/>
    <s v="24+ Months"/>
    <x v="1"/>
    <n v="25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s v="6-12 Months"/>
    <s v="18-24 Months"/>
    <x v="1"/>
    <n v="90"/>
  </r>
  <r>
    <n v="117857"/>
    <s v="CADDO PARISH SHERIFF'S OFFICE - LA"/>
    <n v="38"/>
    <n v="230"/>
    <n v="10"/>
    <n v="56"/>
    <n v="34"/>
    <n v="11"/>
    <n v="0.24"/>
    <n v="0.15"/>
    <n v="0.05"/>
    <n v="5"/>
    <s v="6-12 Months"/>
    <s v="18-24 Months"/>
    <x v="0"/>
    <n v="0"/>
  </r>
  <r>
    <n v="118223"/>
    <s v="Lynchburg Police Department - VA"/>
    <n v="183"/>
    <n v="186"/>
    <n v="25"/>
    <n v="284"/>
    <n v="275"/>
    <n v="5"/>
    <n v="1.53"/>
    <n v="1.48"/>
    <n v="0.03"/>
    <n v="0"/>
    <s v="24+ Months"/>
    <s v="24+ Months"/>
    <x v="0"/>
    <n v="183"/>
  </r>
  <r>
    <n v="118351"/>
    <s v="SLC Unified Police Dept. - UT"/>
    <n v="325"/>
    <n v="371"/>
    <n v="50"/>
    <n v="17"/>
    <n v="11"/>
    <n v="11"/>
    <n v="0.05"/>
    <n v="0.03"/>
    <n v="0.03"/>
    <n v="0"/>
    <s v="24+ Months"/>
    <s v="24+ Months"/>
    <x v="0"/>
    <n v="0"/>
  </r>
  <r>
    <n v="118387"/>
    <s v="Montgomery County Sheriff's Dept. - KS"/>
    <n v="22"/>
    <n v="20"/>
    <n v="2"/>
    <n v="34"/>
    <n v="34"/>
    <n v="34"/>
    <n v="1.7"/>
    <n v="1.7"/>
    <n v="1.7"/>
    <n v="0"/>
    <s v="0-6 Months"/>
    <s v="12-18 Months"/>
    <x v="1"/>
    <n v="22"/>
  </r>
  <r>
    <n v="119244"/>
    <s v="Mills County Sheriff's Dept. - TX"/>
    <n v="1"/>
    <n v="18"/>
    <n v="5"/>
    <n v="22"/>
    <n v="22"/>
    <n v="0"/>
    <n v="1.22"/>
    <n v="1.22"/>
    <n v="0"/>
    <n v="10"/>
    <s v="0-6 Months"/>
    <s v="12-18 Months"/>
    <x v="1"/>
    <n v="1"/>
  </r>
  <r>
    <n v="119697"/>
    <s v="Pasadena Police Dept. - TX"/>
    <n v="3"/>
    <n v="225"/>
    <n v="8"/>
    <n v="479"/>
    <n v="473"/>
    <n v="286"/>
    <n v="2.13"/>
    <n v="2.1"/>
    <n v="1.27"/>
    <n v="188"/>
    <s v="6-12 Months"/>
    <s v="18-24 Months"/>
    <x v="0"/>
    <n v="3"/>
  </r>
  <r>
    <n v="119729"/>
    <s v="Fountain Valley Police Dept. - CA"/>
    <n v="81"/>
    <n v="70"/>
    <n v="3"/>
    <n v="0"/>
    <n v="0"/>
    <n v="0"/>
    <n v="0"/>
    <n v="0"/>
    <n v="0"/>
    <n v="0"/>
    <s v="0-6 Months"/>
    <s v="12-18 Months"/>
    <x v="1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s v="6-12 Months"/>
    <s v="18-24 Months"/>
    <x v="1"/>
    <n v="24"/>
  </r>
  <r>
    <n v="119874"/>
    <s v="Franklin-Bingham Farms Police Department - MI"/>
    <n v="35"/>
    <n v="24"/>
    <n v="6"/>
    <n v="0"/>
    <n v="0"/>
    <n v="0"/>
    <n v="0"/>
    <n v="0"/>
    <n v="0"/>
    <n v="0"/>
    <s v="6-12 Months"/>
    <s v="18-24 Months"/>
    <x v="1"/>
    <n v="0"/>
  </r>
  <r>
    <n v="119937"/>
    <s v="New Castle County Police Dept. - DE"/>
    <n v="377"/>
    <n v="385"/>
    <n v="27"/>
    <n v="577"/>
    <n v="292"/>
    <n v="263"/>
    <n v="1.5"/>
    <n v="0.76"/>
    <n v="0.68"/>
    <n v="1434"/>
    <s v="24+ Months"/>
    <s v="24+ Months"/>
    <x v="0"/>
    <n v="377"/>
  </r>
  <r>
    <n v="119959"/>
    <s v="Kanab Police Department - UT"/>
    <n v="1"/>
    <n v="10"/>
    <n v="1"/>
    <n v="25"/>
    <n v="25"/>
    <n v="25"/>
    <n v="2.5"/>
    <n v="2.5"/>
    <n v="2.5"/>
    <n v="0"/>
    <s v="0-6 Months"/>
    <s v="12-18 Months"/>
    <x v="1"/>
    <n v="1"/>
  </r>
  <r>
    <n v="119976"/>
    <s v="Hollywood Police Dept. - AL"/>
    <n v="3"/>
    <n v="6"/>
    <n v="4"/>
    <n v="7"/>
    <n v="7"/>
    <n v="0"/>
    <n v="1.17"/>
    <n v="1.17"/>
    <n v="0"/>
    <n v="14"/>
    <s v="0-6 Months"/>
    <s v="12-18 Months"/>
    <x v="1"/>
    <n v="3"/>
  </r>
  <r>
    <n v="120026"/>
    <s v="West Haven Police Dept - CT"/>
    <n v="135"/>
    <n v="126"/>
    <n v="1"/>
    <n v="48"/>
    <n v="48"/>
    <n v="48"/>
    <n v="0.38"/>
    <n v="0.38"/>
    <n v="0.38"/>
    <n v="39"/>
    <s v="0-6 Months"/>
    <s v="12-18 Months"/>
    <x v="0"/>
    <n v="0"/>
  </r>
  <r>
    <n v="120176"/>
    <s v="Thornton Police Dept. - IL"/>
    <n v="13"/>
    <n v="6"/>
    <n v="2"/>
    <n v="11"/>
    <n v="11"/>
    <n v="11"/>
    <n v="1.83"/>
    <n v="1.83"/>
    <n v="1.83"/>
    <n v="0"/>
    <s v="0-6 Months"/>
    <s v="12-18 Months"/>
    <x v="1"/>
    <n v="13"/>
  </r>
  <r>
    <n v="120210"/>
    <s v="California State University Police - Stanislaus"/>
    <n v="15"/>
    <n v="15"/>
    <n v="6"/>
    <n v="10"/>
    <n v="10"/>
    <n v="10"/>
    <n v="0.67"/>
    <n v="0.67"/>
    <n v="0.67"/>
    <n v="0"/>
    <s v="6-12 Months"/>
    <s v="18-24 Months"/>
    <x v="1"/>
    <n v="0"/>
  </r>
  <r>
    <n v="120234"/>
    <s v="Lower Gwynedd Twp Police Dept - PA"/>
    <n v="1"/>
    <n v="22"/>
    <n v="8"/>
    <n v="52"/>
    <n v="18"/>
    <n v="2"/>
    <n v="2.36"/>
    <n v="0.82"/>
    <n v="0.09"/>
    <n v="8"/>
    <s v="6-12 Months"/>
    <s v="18-24 Months"/>
    <x v="1"/>
    <n v="1"/>
  </r>
  <r>
    <n v="121102"/>
    <s v="Surf City Police Department - NC"/>
    <n v="25"/>
    <n v="20"/>
    <n v="14"/>
    <n v="284"/>
    <n v="97"/>
    <n v="40"/>
    <n v="14.2"/>
    <n v="4.8499999999999996"/>
    <n v="2"/>
    <n v="25"/>
    <s v="12-24 Months"/>
    <s v="24+ Months"/>
    <x v="1"/>
    <n v="25"/>
  </r>
  <r>
    <n v="121105"/>
    <s v="Sunset Police Dept. - UT"/>
    <n v="8"/>
    <n v="20"/>
    <n v="44"/>
    <n v="1"/>
    <n v="1"/>
    <n v="0"/>
    <n v="0.05"/>
    <n v="0.05"/>
    <n v="0"/>
    <n v="0"/>
    <s v="24+ Months"/>
    <s v="24+ Months"/>
    <x v="1"/>
    <n v="0"/>
  </r>
  <r>
    <n v="121316"/>
    <s v="Sierra Vista Police Department - AZ"/>
    <n v="70"/>
    <n v="76"/>
    <n v="1"/>
    <n v="2"/>
    <n v="2"/>
    <n v="2"/>
    <n v="0.03"/>
    <n v="0.03"/>
    <n v="0.03"/>
    <n v="0"/>
    <s v="0-6 Months"/>
    <s v="12-18 Months"/>
    <x v="1"/>
    <n v="0"/>
  </r>
  <r>
    <n v="121372"/>
    <s v="Calvert County Sheriff's Office - MD"/>
    <n v="167"/>
    <n v="129"/>
    <n v="2"/>
    <n v="0"/>
    <n v="0"/>
    <n v="0"/>
    <n v="0"/>
    <n v="0"/>
    <n v="0"/>
    <n v="0"/>
    <s v="0-6 Months"/>
    <s v="12-18 Months"/>
    <x v="0"/>
    <n v="0"/>
  </r>
  <r>
    <n v="121983"/>
    <s v="Gainesville Police Department - GA"/>
    <n v="138"/>
    <n v="113"/>
    <n v="4"/>
    <n v="9"/>
    <n v="6"/>
    <n v="6"/>
    <n v="0.08"/>
    <n v="0.05"/>
    <n v="0.05"/>
    <n v="5"/>
    <s v="0-6 Months"/>
    <s v="12-18 Months"/>
    <x v="0"/>
    <n v="0"/>
  </r>
  <r>
    <n v="122506"/>
    <s v="Fruitland Park Police Dept.-FL"/>
    <n v="25"/>
    <n v="24"/>
    <n v="10"/>
    <n v="1"/>
    <n v="0"/>
    <n v="0"/>
    <n v="0.04"/>
    <n v="0"/>
    <n v="0"/>
    <n v="0"/>
    <s v="6-12 Months"/>
    <s v="18-24 Months"/>
    <x v="1"/>
    <n v="0"/>
  </r>
  <r>
    <n v="122797"/>
    <s v="Liberty County Sheriff's Office - GA"/>
    <n v="112"/>
    <n v="86"/>
    <n v="0"/>
    <n v="0"/>
    <n v="0"/>
    <n v="0"/>
    <n v="0"/>
    <n v="0"/>
    <n v="0"/>
    <n v="0"/>
    <s v="0-6 Months"/>
    <s v="12-18 Months"/>
    <x v="1"/>
    <n v="0"/>
  </r>
  <r>
    <n v="122943"/>
    <s v="Lantana Police Dept - FL"/>
    <n v="35"/>
    <n v="38"/>
    <n v="2"/>
    <n v="32"/>
    <n v="32"/>
    <n v="32"/>
    <n v="0.84"/>
    <n v="0.84"/>
    <n v="0.84"/>
    <n v="45"/>
    <s v="0-6 Months"/>
    <s v="12-18 Months"/>
    <x v="1"/>
    <n v="35"/>
  </r>
  <r>
    <n v="123145"/>
    <s v="Troutman Police Dept. - NC"/>
    <n v="14"/>
    <n v="26"/>
    <n v="4"/>
    <n v="18"/>
    <n v="18"/>
    <n v="4"/>
    <n v="0.69"/>
    <n v="0.69"/>
    <n v="0.15"/>
    <n v="8"/>
    <s v="0-6 Months"/>
    <s v="12-18 Months"/>
    <x v="1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s v="0-6 Months"/>
    <s v="12-18 Months"/>
    <x v="0"/>
    <n v="117"/>
  </r>
  <r>
    <n v="123323"/>
    <s v="California State University (CSU)  Police - Chico"/>
    <n v="21"/>
    <n v="20"/>
    <n v="6"/>
    <n v="0"/>
    <n v="0"/>
    <n v="0"/>
    <n v="0"/>
    <n v="0"/>
    <n v="0"/>
    <n v="0"/>
    <s v="6-12 Months"/>
    <s v="18-24 Months"/>
    <x v="1"/>
    <n v="0"/>
  </r>
  <r>
    <n v="123688"/>
    <s v="Montgomery County Sheriff's Office - VA"/>
    <n v="98"/>
    <n v="110"/>
    <n v="2"/>
    <n v="98"/>
    <n v="98"/>
    <n v="98"/>
    <n v="0.89"/>
    <n v="0.89"/>
    <n v="0.89"/>
    <n v="74"/>
    <s v="0-6 Months"/>
    <s v="12-18 Months"/>
    <x v="0"/>
    <n v="98"/>
  </r>
  <r>
    <n v="124098"/>
    <s v="Kingston Police Dept - MA"/>
    <n v="25"/>
    <n v="28"/>
    <n v="4"/>
    <n v="9"/>
    <n v="9"/>
    <n v="9"/>
    <n v="0.32"/>
    <n v="0.32"/>
    <n v="0.32"/>
    <n v="5"/>
    <s v="0-6 Months"/>
    <s v="12-18 Months"/>
    <x v="1"/>
    <n v="0"/>
  </r>
  <r>
    <n v="124198"/>
    <s v="Town of Groton Police Department - CT"/>
    <n v="72"/>
    <n v="144"/>
    <n v="4"/>
    <n v="61"/>
    <n v="34"/>
    <n v="0"/>
    <n v="0.42"/>
    <n v="0.24"/>
    <n v="0"/>
    <n v="0"/>
    <s v="0-6 Months"/>
    <s v="12-18 Months"/>
    <x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s v="0-6 Months"/>
    <s v="12-18 Months"/>
    <x v="1"/>
    <n v="0"/>
  </r>
  <r>
    <n v="124496"/>
    <s v="Pittsburgh Bureau of Police - PA"/>
    <n v="992"/>
    <n v="900"/>
    <n v="28"/>
    <n v="2105"/>
    <n v="147"/>
    <n v="14"/>
    <n v="2.34"/>
    <n v="0.16"/>
    <n v="0.02"/>
    <n v="858"/>
    <s v="24+ Months"/>
    <s v="24+ Months"/>
    <x v="2"/>
    <n v="992"/>
  </r>
  <r>
    <n v="124527"/>
    <s v="Vail Police Dept. - CO"/>
    <n v="50"/>
    <n v="37"/>
    <n v="13"/>
    <n v="9"/>
    <n v="3"/>
    <n v="0"/>
    <n v="0.24"/>
    <n v="0.08"/>
    <n v="0"/>
    <n v="21"/>
    <s v="12-24 Months"/>
    <s v="24+ Months"/>
    <x v="1"/>
    <n v="0"/>
  </r>
  <r>
    <n v="124583"/>
    <s v="Louisiana State Police - LA"/>
    <n v="1150"/>
    <n v="150"/>
    <n v="4"/>
    <n v="50"/>
    <n v="32"/>
    <n v="1"/>
    <n v="0.33"/>
    <n v="0.21"/>
    <n v="0.01"/>
    <n v="4"/>
    <s v="0-6 Months"/>
    <s v="12-18 Months"/>
    <x v="0"/>
    <n v="0"/>
  </r>
  <r>
    <n v="124615"/>
    <s v="Auburn Police Dept - AL"/>
    <n v="148"/>
    <n v="120"/>
    <n v="51"/>
    <n v="1656"/>
    <n v="1209"/>
    <n v="710"/>
    <n v="13.8"/>
    <n v="10.08"/>
    <n v="5.92"/>
    <n v="8"/>
    <s v="24+ Months"/>
    <s v="24+ Months"/>
    <x v="0"/>
    <n v="148"/>
  </r>
  <r>
    <n v="124863"/>
    <s v="Hoffman Estates Police Dept. - IL"/>
    <n v="114"/>
    <n v="100"/>
    <n v="8"/>
    <n v="233"/>
    <n v="231"/>
    <n v="1"/>
    <n v="2.33"/>
    <n v="2.31"/>
    <n v="0.01"/>
    <n v="160"/>
    <s v="6-12 Months"/>
    <s v="18-24 Months"/>
    <x v="0"/>
    <n v="114"/>
  </r>
  <r>
    <n v="125102"/>
    <s v="Lafayette City Marshal's Office - LA"/>
    <n v="25"/>
    <n v="25"/>
    <n v="3"/>
    <n v="4"/>
    <n v="4"/>
    <n v="4"/>
    <n v="0.16"/>
    <n v="0.16"/>
    <n v="0.16"/>
    <n v="0"/>
    <s v="0-6 Months"/>
    <s v="12-18 Months"/>
    <x v="1"/>
    <n v="0"/>
  </r>
  <r>
    <n v="125123"/>
    <s v="Woodbury County Sheriff's Office - IA"/>
    <n v="119"/>
    <n v="135"/>
    <n v="0"/>
    <n v="0"/>
    <n v="0"/>
    <n v="0"/>
    <n v="0"/>
    <n v="0"/>
    <n v="0"/>
    <n v="0"/>
    <s v="0-6 Months"/>
    <s v="12-18 Months"/>
    <x v="0"/>
    <n v="0"/>
  </r>
  <r>
    <n v="125270"/>
    <s v="BPS Bainbridge Public Safety - GA"/>
    <n v="41"/>
    <n v="40"/>
    <n v="0"/>
    <n v="0"/>
    <n v="0"/>
    <n v="0"/>
    <n v="0"/>
    <n v="0"/>
    <n v="0"/>
    <n v="0"/>
    <s v="0-6 Months"/>
    <s v="12-18 Months"/>
    <x v="1"/>
    <n v="0"/>
  </r>
  <r>
    <n v="125286"/>
    <s v="Ocilla Police Dept.- GA"/>
    <n v="9"/>
    <n v="9"/>
    <n v="3"/>
    <n v="0"/>
    <n v="0"/>
    <n v="0"/>
    <n v="0"/>
    <n v="0"/>
    <n v="0"/>
    <n v="0"/>
    <s v="0-6 Months"/>
    <s v="12-18 Months"/>
    <x v="1"/>
    <n v="0"/>
  </r>
  <r>
    <n v="126094"/>
    <s v="Old Town Police Dept. - ME"/>
    <n v="36"/>
    <n v="32"/>
    <n v="26"/>
    <n v="52"/>
    <n v="45"/>
    <n v="45"/>
    <n v="1.63"/>
    <n v="1.41"/>
    <n v="1.41"/>
    <n v="12"/>
    <s v="24+ Months"/>
    <s v="24+ Months"/>
    <x v="1"/>
    <n v="36"/>
  </r>
  <r>
    <n v="126651"/>
    <s v="Thomas Township Police Dept."/>
    <n v="10"/>
    <n v="10"/>
    <n v="1"/>
    <n v="0"/>
    <n v="0"/>
    <n v="0"/>
    <n v="0"/>
    <n v="0"/>
    <n v="0"/>
    <n v="0"/>
    <s v="0-6 Months"/>
    <s v="12-18 Months"/>
    <x v="1"/>
    <n v="0"/>
  </r>
  <r>
    <n v="126706"/>
    <s v="Inyo County Sheriff's Office - CA"/>
    <n v="41"/>
    <n v="35"/>
    <n v="16"/>
    <n v="2"/>
    <n v="2"/>
    <n v="2"/>
    <n v="0.06"/>
    <n v="0.06"/>
    <n v="0.06"/>
    <n v="9"/>
    <s v="12-24 Months"/>
    <s v="24+ Months"/>
    <x v="1"/>
    <n v="0"/>
  </r>
  <r>
    <n v="126746"/>
    <s v="Mississippi Highway Patrol - MS"/>
    <n v="0"/>
    <n v="516"/>
    <n v="13"/>
    <n v="557"/>
    <n v="84"/>
    <n v="78"/>
    <n v="1.08"/>
    <n v="0.16"/>
    <n v="0.15"/>
    <n v="3"/>
    <s v="12-24 Months"/>
    <s v="24+ Months"/>
    <x v="0"/>
    <n v="0"/>
  </r>
  <r>
    <n v="127119"/>
    <s v="Castle Shannon Police Dept. - PA"/>
    <n v="14"/>
    <n v="14"/>
    <n v="21"/>
    <n v="144"/>
    <n v="85"/>
    <n v="71"/>
    <n v="10.29"/>
    <n v="6.07"/>
    <n v="5.07"/>
    <n v="21"/>
    <s v="12-24 Months"/>
    <s v="24+ Months"/>
    <x v="1"/>
    <n v="14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s v="6-12 Months"/>
    <s v="18-24 Months"/>
    <x v="0"/>
    <n v="625"/>
  </r>
  <r>
    <n v="127392"/>
    <s v="Greenville Police Dept. - TX"/>
    <n v="82"/>
    <n v="80"/>
    <n v="5"/>
    <n v="116"/>
    <n v="116"/>
    <n v="0"/>
    <n v="1.45"/>
    <n v="1.45"/>
    <n v="0"/>
    <n v="69"/>
    <s v="0-6 Months"/>
    <s v="12-18 Months"/>
    <x v="1"/>
    <n v="82"/>
  </r>
  <r>
    <n v="127414"/>
    <s v="Champaign County Sheriff's Office - IL"/>
    <n v="59"/>
    <n v="70"/>
    <n v="9"/>
    <n v="91"/>
    <n v="20"/>
    <n v="17"/>
    <n v="1.3"/>
    <n v="0.28999999999999998"/>
    <n v="0.24"/>
    <n v="0"/>
    <s v="6-12 Months"/>
    <s v="18-24 Months"/>
    <x v="1"/>
    <n v="0"/>
  </r>
  <r>
    <n v="127501"/>
    <s v="Tavares Police Department - FL"/>
    <n v="33"/>
    <n v="28"/>
    <n v="11"/>
    <n v="49"/>
    <n v="28"/>
    <n v="0"/>
    <n v="1.75"/>
    <n v="1"/>
    <n v="0"/>
    <n v="0"/>
    <s v="6-12 Months"/>
    <s v="18-24 Months"/>
    <x v="1"/>
    <n v="33"/>
  </r>
  <r>
    <n v="128005"/>
    <s v="Somervell County Sheriff's Office - TX"/>
    <n v="3"/>
    <n v="3"/>
    <n v="1"/>
    <n v="0"/>
    <n v="0"/>
    <n v="0"/>
    <n v="0"/>
    <n v="0"/>
    <n v="0"/>
    <n v="0"/>
    <s v="0-6 Months"/>
    <s v="12-18 Months"/>
    <x v="1"/>
    <n v="0"/>
  </r>
  <r>
    <n v="128220"/>
    <s v="Rockdale Police Dept. - IL"/>
    <n v="14"/>
    <n v="11"/>
    <n v="15"/>
    <n v="31"/>
    <n v="24"/>
    <n v="10"/>
    <n v="2.82"/>
    <n v="2.1800000000000002"/>
    <n v="0.91"/>
    <n v="0"/>
    <s v="12-24 Months"/>
    <s v="24+ Months"/>
    <x v="1"/>
    <n v="14"/>
  </r>
  <r>
    <n v="128243"/>
    <s v="Winnfield Police Dept. - LA"/>
    <n v="1"/>
    <n v="20"/>
    <n v="50"/>
    <n v="0"/>
    <n v="0"/>
    <n v="0"/>
    <n v="0"/>
    <n v="0"/>
    <n v="0"/>
    <n v="0"/>
    <s v="24+ Months"/>
    <s v="24+ Months"/>
    <x v="1"/>
    <n v="0"/>
  </r>
  <r>
    <n v="128428"/>
    <s v="Onslow County Sheriff's Office - NC"/>
    <n v="0"/>
    <n v="135"/>
    <n v="0"/>
    <n v="0"/>
    <n v="0"/>
    <n v="0"/>
    <n v="0"/>
    <n v="0"/>
    <n v="0"/>
    <n v="0"/>
    <s v="0-6 Months"/>
    <s v="12-18 Months"/>
    <x v="0"/>
    <n v="0"/>
  </r>
  <r>
    <n v="128688"/>
    <s v="Napa Police Dept. - CA"/>
    <n v="89"/>
    <n v="89"/>
    <n v="23"/>
    <n v="11"/>
    <n v="11"/>
    <n v="0"/>
    <n v="0.12"/>
    <n v="0.12"/>
    <n v="0"/>
    <n v="0"/>
    <s v="12-24 Months"/>
    <s v="24+ Months"/>
    <x v="1"/>
    <n v="0"/>
  </r>
  <r>
    <n v="128761"/>
    <s v="West Lafayette Police Dept - IN"/>
    <n v="55"/>
    <n v="50"/>
    <n v="2"/>
    <n v="241"/>
    <n v="241"/>
    <n v="241"/>
    <n v="4.82"/>
    <n v="4.82"/>
    <n v="4.82"/>
    <n v="49"/>
    <s v="0-6 Months"/>
    <s v="12-18 Months"/>
    <x v="1"/>
    <n v="55"/>
  </r>
  <r>
    <n v="128775"/>
    <s v="Brevard County Sheriff's Office - FL"/>
    <n v="12"/>
    <n v="586"/>
    <n v="12"/>
    <n v="1030"/>
    <n v="435"/>
    <n v="86"/>
    <n v="1.76"/>
    <n v="0.74"/>
    <n v="0.15"/>
    <n v="284"/>
    <s v="6-12 Months"/>
    <s v="18-24 Months"/>
    <x v="2"/>
    <n v="0"/>
  </r>
  <r>
    <n v="128823"/>
    <s v="Webster Police Dept. - NY"/>
    <n v="30"/>
    <n v="30"/>
    <n v="4"/>
    <n v="3"/>
    <n v="3"/>
    <n v="0"/>
    <n v="0.1"/>
    <n v="0.1"/>
    <n v="0"/>
    <n v="0"/>
    <s v="0-6 Months"/>
    <s v="12-18 Months"/>
    <x v="1"/>
    <n v="0"/>
  </r>
  <r>
    <n v="128946"/>
    <s v="Maricopa County Adult Probation (BCB)  - AZ"/>
    <n v="32"/>
    <n v="27"/>
    <n v="5"/>
    <n v="0"/>
    <n v="0"/>
    <n v="0"/>
    <n v="0"/>
    <n v="0"/>
    <n v="0"/>
    <n v="0"/>
    <s v="0-6 Months"/>
    <s v="12-18 Months"/>
    <x v="1"/>
    <n v="0"/>
  </r>
  <r>
    <n v="129030"/>
    <s v="Itawamba County Sheriff's Office - MS"/>
    <n v="15"/>
    <n v="15"/>
    <n v="2"/>
    <n v="2"/>
    <n v="2"/>
    <n v="2"/>
    <n v="0.13"/>
    <n v="0.13"/>
    <n v="0.13"/>
    <n v="0"/>
    <s v="0-6 Months"/>
    <s v="12-18 Months"/>
    <x v="1"/>
    <n v="0"/>
  </r>
  <r>
    <n v="129050"/>
    <s v="College Place Police Dept. - WA"/>
    <n v="18"/>
    <n v="19"/>
    <n v="0"/>
    <n v="0"/>
    <n v="0"/>
    <n v="0"/>
    <n v="0"/>
    <n v="0"/>
    <n v="0"/>
    <n v="0"/>
    <s v="0-6 Months"/>
    <s v="12-18 Months"/>
    <x v="1"/>
    <n v="0"/>
  </r>
  <r>
    <n v="129179"/>
    <s v="Mamaroneck Village Police Dept. - NY"/>
    <n v="12"/>
    <n v="52"/>
    <n v="9"/>
    <n v="447"/>
    <n v="30"/>
    <n v="0"/>
    <n v="8.6"/>
    <n v="0.57999999999999996"/>
    <n v="0"/>
    <n v="0"/>
    <s v="6-12 Months"/>
    <s v="18-24 Months"/>
    <x v="1"/>
    <n v="12"/>
  </r>
  <r>
    <n v="129200"/>
    <s v="Frederick County Sheriff's Office - MD"/>
    <n v="216"/>
    <n v="210"/>
    <n v="33"/>
    <n v="138"/>
    <n v="85"/>
    <n v="8"/>
    <n v="0.66"/>
    <n v="0.4"/>
    <n v="0.04"/>
    <n v="5"/>
    <s v="24+ Months"/>
    <s v="24+ Months"/>
    <x v="0"/>
    <n v="0"/>
  </r>
  <r>
    <n v="129206"/>
    <s v="Hidalgo County Sheriff's Office - NM"/>
    <n v="15"/>
    <n v="1"/>
    <n v="1"/>
    <n v="0"/>
    <n v="0"/>
    <n v="0"/>
    <n v="0"/>
    <n v="0"/>
    <n v="0"/>
    <n v="0"/>
    <s v="0-6 Months"/>
    <s v="12-18 Months"/>
    <x v="1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s v="6-12 Months"/>
    <s v="18-24 Months"/>
    <x v="2"/>
    <n v="0"/>
  </r>
  <r>
    <n v="129364"/>
    <s v="Denton Police Dept. - TX"/>
    <n v="209"/>
    <n v="233"/>
    <n v="10"/>
    <n v="1767"/>
    <n v="1695"/>
    <n v="1468"/>
    <n v="7.58"/>
    <n v="7.27"/>
    <n v="6.3"/>
    <n v="62"/>
    <s v="6-12 Months"/>
    <s v="18-24 Months"/>
    <x v="0"/>
    <n v="209"/>
  </r>
  <r>
    <n v="129372"/>
    <s v="Winthrop Harbor Police - IL"/>
    <n v="20"/>
    <n v="17"/>
    <n v="3"/>
    <n v="0"/>
    <n v="0"/>
    <n v="0"/>
    <n v="0"/>
    <n v="0"/>
    <n v="0"/>
    <n v="0"/>
    <s v="0-6 Months"/>
    <s v="12-18 Months"/>
    <x v="1"/>
    <n v="0"/>
  </r>
  <r>
    <n v="130140"/>
    <s v="Orofino Police Dept - ID"/>
    <n v="7"/>
    <n v="7"/>
    <n v="22"/>
    <n v="10"/>
    <n v="10"/>
    <n v="0"/>
    <n v="1.43"/>
    <n v="1.43"/>
    <n v="0"/>
    <n v="3"/>
    <s v="12-24 Months"/>
    <s v="24+ Months"/>
    <x v="1"/>
    <n v="7"/>
  </r>
  <r>
    <n v="130683"/>
    <s v="Corson County Sheriff's Office - SD"/>
    <n v="2"/>
    <n v="5"/>
    <n v="2"/>
    <n v="73"/>
    <n v="45"/>
    <n v="45"/>
    <n v="14.6"/>
    <n v="9"/>
    <n v="9"/>
    <n v="61"/>
    <s v="0-6 Months"/>
    <s v="12-18 Months"/>
    <x v="1"/>
    <n v="2"/>
  </r>
  <r>
    <n v="130859"/>
    <s v="Miami Shores Police Dept - FL"/>
    <n v="41"/>
    <n v="39"/>
    <n v="2"/>
    <n v="0"/>
    <n v="0"/>
    <n v="0"/>
    <n v="0"/>
    <n v="0"/>
    <n v="0"/>
    <n v="0"/>
    <s v="0-6 Months"/>
    <s v="12-18 Months"/>
    <x v="1"/>
    <n v="0"/>
  </r>
  <r>
    <n v="130931"/>
    <s v="Jackson Police Dept -AL"/>
    <n v="26"/>
    <n v="23"/>
    <n v="2"/>
    <n v="8"/>
    <n v="8"/>
    <n v="8"/>
    <n v="0.35"/>
    <n v="0.35"/>
    <n v="0.35"/>
    <n v="6"/>
    <s v="0-6 Months"/>
    <s v="12-18 Months"/>
    <x v="1"/>
    <n v="0"/>
  </r>
  <r>
    <n v="131884"/>
    <s v="Putnam County Sheriff's Office - NY"/>
    <n v="82"/>
    <n v="95"/>
    <n v="10"/>
    <n v="89"/>
    <n v="0"/>
    <n v="0"/>
    <n v="0.94"/>
    <n v="0"/>
    <n v="0"/>
    <n v="0"/>
    <s v="6-12 Months"/>
    <s v="18-24 Months"/>
    <x v="1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s v="24+ Months"/>
    <s v="24+ Months"/>
    <x v="0"/>
    <n v="0"/>
  </r>
  <r>
    <n v="132097"/>
    <s v="Ventura County Sheriff's Office - CA"/>
    <n v="377"/>
    <n v="785"/>
    <n v="12"/>
    <n v="49"/>
    <n v="12"/>
    <n v="0"/>
    <n v="0.06"/>
    <n v="0.02"/>
    <n v="0"/>
    <n v="0"/>
    <s v="6-12 Months"/>
    <s v="18-24 Months"/>
    <x v="2"/>
    <n v="0"/>
  </r>
  <r>
    <n v="132109"/>
    <s v="Port Richey Police Dept - FL"/>
    <n v="29"/>
    <n v="19"/>
    <n v="0"/>
    <n v="0"/>
    <n v="0"/>
    <n v="0"/>
    <n v="0"/>
    <n v="0"/>
    <n v="0"/>
    <n v="0"/>
    <s v="0-6 Months"/>
    <s v="12-18 Months"/>
    <x v="1"/>
    <n v="0"/>
  </r>
  <r>
    <n v="132173"/>
    <s v="Scarborough Police Dept. - ME"/>
    <n v="54"/>
    <n v="50"/>
    <n v="3"/>
    <n v="0"/>
    <n v="0"/>
    <n v="0"/>
    <n v="0"/>
    <n v="0"/>
    <n v="0"/>
    <n v="3"/>
    <s v="0-6 Months"/>
    <s v="12-18 Months"/>
    <x v="1"/>
    <n v="0"/>
  </r>
  <r>
    <n v="132232"/>
    <s v="Howard County Police Dept. - MD"/>
    <n v="300"/>
    <n v="499"/>
    <n v="22"/>
    <n v="234"/>
    <n v="108"/>
    <n v="24"/>
    <n v="0.47"/>
    <n v="0.22"/>
    <n v="0.05"/>
    <n v="141"/>
    <s v="12-24 Months"/>
    <s v="24+ Months"/>
    <x v="0"/>
    <n v="0"/>
  </r>
  <r>
    <n v="132522"/>
    <s v="East Hampton Village Police Dept. - NY"/>
    <n v="25"/>
    <n v="25"/>
    <n v="4"/>
    <n v="30"/>
    <n v="30"/>
    <n v="30"/>
    <n v="1.2"/>
    <n v="1.2"/>
    <n v="1.2"/>
    <n v="0"/>
    <s v="0-6 Months"/>
    <s v="12-18 Months"/>
    <x v="1"/>
    <n v="25"/>
  </r>
  <r>
    <n v="132962"/>
    <s v="Bolingbrook Police Dept. - IL"/>
    <n v="123"/>
    <n v="120"/>
    <n v="14"/>
    <n v="204"/>
    <n v="39"/>
    <n v="10"/>
    <n v="1.7"/>
    <n v="0.33"/>
    <n v="0.08"/>
    <n v="45"/>
    <s v="12-24 Months"/>
    <s v="24+ Months"/>
    <x v="0"/>
    <n v="0"/>
  </r>
  <r>
    <n v="132998"/>
    <s v="New London Police Department - CT"/>
    <n v="82"/>
    <n v="80"/>
    <n v="8"/>
    <n v="71"/>
    <n v="5"/>
    <n v="5"/>
    <n v="0.89"/>
    <n v="0.06"/>
    <n v="0.06"/>
    <n v="4"/>
    <s v="6-12 Months"/>
    <s v="18-24 Months"/>
    <x v="1"/>
    <n v="0"/>
  </r>
  <r>
    <n v="133163"/>
    <s v="Virginia Police Dept. - MN"/>
    <n v="4"/>
    <n v="25"/>
    <n v="1"/>
    <n v="0"/>
    <n v="0"/>
    <n v="0"/>
    <n v="0"/>
    <n v="0"/>
    <n v="0"/>
    <n v="0"/>
    <s v="0-6 Months"/>
    <s v="12-18 Months"/>
    <x v="1"/>
    <n v="0"/>
  </r>
  <r>
    <n v="133348"/>
    <s v="Niagara County Sheriff's Office - NY"/>
    <n v="280"/>
    <n v="15"/>
    <n v="2"/>
    <n v="0"/>
    <n v="0"/>
    <n v="0"/>
    <n v="0"/>
    <n v="0"/>
    <n v="0"/>
    <n v="0"/>
    <s v="0-6 Months"/>
    <s v="12-18 Months"/>
    <x v="1"/>
    <n v="0"/>
  </r>
  <r>
    <n v="133567"/>
    <s v="San Francisco County Sheriff's Dept. - CA"/>
    <n v="463"/>
    <n v="340"/>
    <n v="12"/>
    <n v="75"/>
    <n v="0"/>
    <n v="0"/>
    <n v="0.22"/>
    <n v="0"/>
    <n v="0"/>
    <n v="0"/>
    <s v="6-12 Months"/>
    <s v="18-24 Months"/>
    <x v="0"/>
    <n v="0"/>
  </r>
  <r>
    <n v="133873"/>
    <s v="Faulk County Sheriff's Office - SD"/>
    <n v="3"/>
    <n v="5"/>
    <n v="3"/>
    <n v="0"/>
    <n v="0"/>
    <n v="0"/>
    <n v="0"/>
    <n v="0"/>
    <n v="0"/>
    <n v="0"/>
    <s v="0-6 Months"/>
    <s v="12-18 Months"/>
    <x v="1"/>
    <n v="0"/>
  </r>
  <r>
    <n v="134271"/>
    <s v="San Luis Obispo Police Dept. - CA"/>
    <n v="30"/>
    <n v="15"/>
    <n v="1"/>
    <n v="13"/>
    <n v="13"/>
    <n v="13"/>
    <n v="0.87"/>
    <n v="0.87"/>
    <n v="0.87"/>
    <n v="0"/>
    <s v="0-6 Months"/>
    <s v="12-18 Months"/>
    <x v="1"/>
    <n v="30"/>
  </r>
  <r>
    <n v="134938"/>
    <s v="Greeley Police Dept. - CO"/>
    <n v="204"/>
    <n v="193"/>
    <n v="10"/>
    <n v="40"/>
    <n v="10"/>
    <n v="10"/>
    <n v="0.21"/>
    <n v="0.05"/>
    <n v="0.05"/>
    <n v="0"/>
    <s v="6-12 Months"/>
    <s v="18-24 Months"/>
    <x v="0"/>
    <n v="0"/>
  </r>
  <r>
    <n v="134990"/>
    <s v="Pima Community College Dept. of Public Safety - AZ"/>
    <n v="3"/>
    <n v="33"/>
    <n v="4"/>
    <n v="15"/>
    <n v="15"/>
    <n v="15"/>
    <n v="0.45"/>
    <n v="0.45"/>
    <n v="0.45"/>
    <n v="0"/>
    <s v="0-6 Months"/>
    <s v="12-18 Months"/>
    <x v="1"/>
    <n v="0"/>
  </r>
  <r>
    <n v="135021"/>
    <s v="Coulee Dam Police Dept. - WA"/>
    <n v="5"/>
    <n v="6"/>
    <n v="0"/>
    <n v="10"/>
    <n v="10"/>
    <n v="10"/>
    <n v="1.67"/>
    <n v="1.67"/>
    <n v="1.67"/>
    <n v="0"/>
    <s v="0-6 Months"/>
    <s v="12-18 Months"/>
    <x v="1"/>
    <n v="5"/>
  </r>
  <r>
    <n v="135100"/>
    <s v="Roy City Police Dept. - UT"/>
    <n v="4"/>
    <n v="43"/>
    <n v="49"/>
    <n v="6"/>
    <n v="0"/>
    <n v="0"/>
    <n v="0.14000000000000001"/>
    <n v="0"/>
    <n v="0"/>
    <n v="0"/>
    <s v="24+ Months"/>
    <s v="24+ Months"/>
    <x v="1"/>
    <n v="0"/>
  </r>
  <r>
    <n v="135122"/>
    <s v="Anne Arundel County Police Dept. - MD"/>
    <n v="862"/>
    <n v="800"/>
    <n v="28"/>
    <n v="39"/>
    <n v="5"/>
    <n v="1"/>
    <n v="0.05"/>
    <n v="0.01"/>
    <n v="0"/>
    <n v="923"/>
    <s v="24+ Months"/>
    <s v="24+ Months"/>
    <x v="2"/>
    <n v="0"/>
  </r>
  <r>
    <n v="135343"/>
    <s v="Valdosta Police Department - GA"/>
    <n v="3"/>
    <n v="109"/>
    <n v="7"/>
    <n v="328"/>
    <n v="313"/>
    <n v="4"/>
    <n v="3.01"/>
    <n v="2.87"/>
    <n v="0.04"/>
    <n v="33"/>
    <s v="6-12 Months"/>
    <s v="18-24 Months"/>
    <x v="0"/>
    <n v="3"/>
  </r>
  <r>
    <n v="135368"/>
    <s v="Simi Valley Police Dept. - CA"/>
    <n v="139"/>
    <n v="129"/>
    <n v="13"/>
    <n v="119"/>
    <n v="25"/>
    <n v="11"/>
    <n v="0.92"/>
    <n v="0.19"/>
    <n v="0.09"/>
    <n v="12"/>
    <s v="12-24 Months"/>
    <s v="24+ Months"/>
    <x v="0"/>
    <n v="0"/>
  </r>
  <r>
    <n v="135461"/>
    <s v="Whiteville Police Dept. - NC"/>
    <n v="22"/>
    <n v="20"/>
    <n v="1"/>
    <n v="12"/>
    <n v="12"/>
    <n v="12"/>
    <n v="0.6"/>
    <n v="0.6"/>
    <n v="0.6"/>
    <n v="0"/>
    <s v="0-6 Months"/>
    <s v="12-18 Months"/>
    <x v="1"/>
    <n v="0"/>
  </r>
  <r>
    <n v="135923"/>
    <s v="Harrisonburg Police Dept. - VA"/>
    <n v="98"/>
    <n v="114"/>
    <n v="5"/>
    <n v="5"/>
    <n v="5"/>
    <n v="5"/>
    <n v="0.04"/>
    <n v="0.04"/>
    <n v="0.04"/>
    <n v="0"/>
    <s v="0-6 Months"/>
    <s v="12-18 Months"/>
    <x v="0"/>
    <n v="0"/>
  </r>
  <r>
    <n v="136308"/>
    <s v="Deephaven Police Dept - MN"/>
    <n v="8"/>
    <n v="8"/>
    <n v="2"/>
    <n v="4"/>
    <n v="4"/>
    <n v="4"/>
    <n v="0.5"/>
    <n v="0.5"/>
    <n v="0.5"/>
    <n v="6"/>
    <s v="0-6 Months"/>
    <s v="12-18 Months"/>
    <x v="1"/>
    <n v="0"/>
  </r>
  <r>
    <n v="136506"/>
    <s v="Jackson County Sheriff's Office - GA"/>
    <n v="2"/>
    <n v="192"/>
    <n v="2"/>
    <n v="50"/>
    <n v="50"/>
    <n v="50"/>
    <n v="0.26"/>
    <n v="0.26"/>
    <n v="0.26"/>
    <n v="68"/>
    <s v="0-6 Months"/>
    <s v="12-18 Months"/>
    <x v="0"/>
    <n v="0"/>
  </r>
  <r>
    <n v="137418"/>
    <s v="Whiteside County Sheriff's Office - IL"/>
    <n v="28"/>
    <n v="22"/>
    <n v="2"/>
    <n v="23"/>
    <n v="23"/>
    <n v="23"/>
    <n v="1.05"/>
    <n v="1.05"/>
    <n v="1.05"/>
    <n v="17"/>
    <s v="0-6 Months"/>
    <s v="12-18 Months"/>
    <x v="1"/>
    <n v="28"/>
  </r>
  <r>
    <n v="137813"/>
    <s v="Bellevue Police Dept. - WA"/>
    <n v="274"/>
    <n v="220"/>
    <n v="23"/>
    <n v="41"/>
    <n v="10"/>
    <n v="0"/>
    <n v="0.19"/>
    <n v="0.05"/>
    <n v="0"/>
    <n v="37"/>
    <s v="12-24 Months"/>
    <s v="24+ Months"/>
    <x v="0"/>
    <n v="0"/>
  </r>
  <r>
    <n v="138516"/>
    <s v="North Port Police Dept. - FL"/>
    <n v="140"/>
    <n v="168"/>
    <n v="20"/>
    <n v="298"/>
    <n v="267"/>
    <n v="218"/>
    <n v="1.77"/>
    <n v="1.59"/>
    <n v="1.3"/>
    <n v="0"/>
    <s v="12-24 Months"/>
    <s v="24+ Months"/>
    <x v="0"/>
    <n v="140"/>
  </r>
  <r>
    <n v="139047"/>
    <s v="Statesboro Police Department - GA"/>
    <n v="75"/>
    <n v="68"/>
    <n v="1"/>
    <n v="165"/>
    <n v="47"/>
    <n v="47"/>
    <n v="2.4300000000000002"/>
    <n v="0.69"/>
    <n v="0.69"/>
    <n v="0"/>
    <s v="0-6 Months"/>
    <s v="12-18 Months"/>
    <x v="1"/>
    <n v="75"/>
  </r>
  <r>
    <n v="140147"/>
    <s v="Allen County Sheriff's Department-KS"/>
    <n v="20"/>
    <n v="30"/>
    <n v="3"/>
    <n v="0"/>
    <n v="0"/>
    <n v="0"/>
    <n v="0"/>
    <n v="0"/>
    <n v="0"/>
    <n v="0"/>
    <s v="0-6 Months"/>
    <s v="12-18 Months"/>
    <x v="1"/>
    <n v="0"/>
  </r>
  <r>
    <n v="140244"/>
    <s v="Mineral County Sheriff's Office - MT"/>
    <n v="9"/>
    <n v="8"/>
    <n v="2"/>
    <n v="0"/>
    <n v="0"/>
    <n v="0"/>
    <n v="0"/>
    <n v="0"/>
    <n v="0"/>
    <n v="0"/>
    <s v="0-6 Months"/>
    <s v="12-18 Months"/>
    <x v="1"/>
    <n v="0"/>
  </r>
  <r>
    <n v="140280"/>
    <s v="Wilson County Sheriff's Office - NC"/>
    <n v="130"/>
    <n v="130"/>
    <n v="4"/>
    <n v="15"/>
    <n v="15"/>
    <n v="15"/>
    <n v="0.12"/>
    <n v="0.12"/>
    <n v="0.12"/>
    <n v="67"/>
    <s v="0-6 Months"/>
    <s v="12-18 Months"/>
    <x v="0"/>
    <n v="0"/>
  </r>
  <r>
    <n v="140442"/>
    <s v="Elkhart County Sheriff's Office - IN"/>
    <n v="4"/>
    <n v="189"/>
    <n v="46"/>
    <n v="303"/>
    <n v="198"/>
    <n v="151"/>
    <n v="1.6"/>
    <n v="1.05"/>
    <n v="0.8"/>
    <n v="67"/>
    <s v="24+ Months"/>
    <s v="24+ Months"/>
    <x v="0"/>
    <n v="4"/>
  </r>
  <r>
    <n v="140885"/>
    <s v="Mohave County Sheriff's Office - AZ"/>
    <n v="107"/>
    <n v="100"/>
    <n v="2"/>
    <n v="8"/>
    <n v="8"/>
    <n v="8"/>
    <n v="0.08"/>
    <n v="0.08"/>
    <n v="0.08"/>
    <n v="0"/>
    <s v="0-6 Months"/>
    <s v="12-18 Months"/>
    <x v="0"/>
    <n v="0"/>
  </r>
  <r>
    <n v="141269"/>
    <s v="Grand Rapids Police Dept. - MI"/>
    <n v="314"/>
    <n v="300"/>
    <n v="21"/>
    <n v="962"/>
    <n v="24"/>
    <n v="15"/>
    <n v="3.21"/>
    <n v="0.08"/>
    <n v="0.05"/>
    <n v="3"/>
    <s v="12-24 Months"/>
    <s v="24+ Months"/>
    <x v="0"/>
    <n v="314"/>
  </r>
  <r>
    <n v="141491"/>
    <s v="Binghamton Police Dept. - NY"/>
    <n v="140"/>
    <n v="140"/>
    <n v="2"/>
    <n v="0"/>
    <n v="0"/>
    <n v="0"/>
    <n v="0"/>
    <n v="0"/>
    <n v="0"/>
    <n v="0"/>
    <s v="0-6 Months"/>
    <s v="12-18 Months"/>
    <x v="0"/>
    <n v="0"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10">
  <r>
    <n v="114601"/>
    <s v="Baltimore County Police Dept. - MD"/>
    <n v="2194"/>
    <n v="1703"/>
    <n v="10"/>
    <n v="5270"/>
    <n v="4598"/>
    <n v="1829"/>
    <n v="3.0945390487375199"/>
    <n v="2.699941280093952"/>
    <n v="1.0739870816206689"/>
    <n v="7055"/>
    <x v="0"/>
    <s v="18-24 Months"/>
    <x v="0"/>
    <n v="2194"/>
  </r>
  <r>
    <n v="105469"/>
    <s v="San Bernardino County Sheriff's Dept. - CA"/>
    <n v="950"/>
    <n v="1000"/>
    <n v="10"/>
    <n v="5114"/>
    <n v="664"/>
    <n v="211"/>
    <n v="5.1139999999999999"/>
    <n v="0.66400000000000003"/>
    <n v="0.21099999999999999"/>
    <n v="20"/>
    <x v="0"/>
    <s v="18-24 Months"/>
    <x v="0"/>
    <n v="950"/>
  </r>
  <r>
    <n v="105785"/>
    <s v="Fort Worth Police Department - TX"/>
    <n v="1993"/>
    <n v="3486"/>
    <n v="45"/>
    <n v="4534"/>
    <n v="4054"/>
    <n v="2890"/>
    <n v="1.300631095811819"/>
    <n v="1.1629374641422829"/>
    <n v="0.8290304073436604"/>
    <n v="114"/>
    <x v="1"/>
    <s v="24+ Months"/>
    <x v="0"/>
    <n v="1993"/>
  </r>
  <r>
    <n v="114073"/>
    <s v="Texas Department of Public Safety - TX"/>
    <n v="1328"/>
    <n v="2750"/>
    <n v="12"/>
    <n v="4255"/>
    <n v="3335"/>
    <n v="2387"/>
    <n v="1.5472727272727269"/>
    <n v="1.2127272727272731"/>
    <n v="0.86799999999999999"/>
    <n v="174"/>
    <x v="0"/>
    <s v="18-24 Months"/>
    <x v="0"/>
    <n v="1328"/>
  </r>
  <r>
    <n v="116660"/>
    <s v="Albuquerque Police Dept. - NM"/>
    <n v="1335"/>
    <n v="1300"/>
    <n v="10"/>
    <n v="3299"/>
    <n v="2288"/>
    <n v="347"/>
    <n v="2.5376923076923079"/>
    <n v="1.76"/>
    <n v="0.26692307692307687"/>
    <n v="3361"/>
    <x v="0"/>
    <s v="18-24 Months"/>
    <x v="0"/>
    <n v="1335"/>
  </r>
  <r>
    <n v="108541"/>
    <s v="Maryland State Police - MD"/>
    <n v="2325"/>
    <n v="750"/>
    <n v="11"/>
    <n v="3080"/>
    <n v="1544"/>
    <n v="304"/>
    <n v="4.1066666666666656"/>
    <n v="2.0586666666666669"/>
    <n v="0.40533333333333332"/>
    <n v="1733"/>
    <x v="0"/>
    <s v="18-24 Months"/>
    <x v="0"/>
    <n v="2325"/>
  </r>
  <r>
    <n v="106372"/>
    <s v="Minneapolis Police Dept. - MN"/>
    <n v="650"/>
    <n v="600"/>
    <n v="9"/>
    <n v="2895"/>
    <n v="2291"/>
    <n v="136"/>
    <n v="4.8250000000000002"/>
    <n v="3.8183333333333329"/>
    <n v="0.22666666666666671"/>
    <n v="1"/>
    <x v="0"/>
    <s v="18-24 Months"/>
    <x v="0"/>
    <n v="650"/>
  </r>
  <r>
    <n v="108467"/>
    <s v="Charlotte County Sheriff's Office - FL"/>
    <n v="230"/>
    <n v="488"/>
    <n v="6"/>
    <n v="2793"/>
    <n v="2694"/>
    <n v="2238"/>
    <n v="5.7233606557377046"/>
    <n v="5.5204918032786887"/>
    <n v="4.5860655737704921"/>
    <n v="76"/>
    <x v="0"/>
    <s v="18-24 Months"/>
    <x v="1"/>
    <n v="230"/>
  </r>
  <r>
    <n v="175721"/>
    <s v="Boston Police Dept. - MA"/>
    <n v="2200"/>
    <n v="1570"/>
    <n v="23"/>
    <n v="2726"/>
    <n v="1271"/>
    <n v="367"/>
    <n v="1.736305732484076"/>
    <n v="0.80955414012738858"/>
    <n v="0.23375796178343949"/>
    <n v="792"/>
    <x v="2"/>
    <s v="24+ Months"/>
    <x v="0"/>
    <n v="2200"/>
  </r>
  <r>
    <n v="113599"/>
    <s v="City of Wichita Police Department"/>
    <n v="655"/>
    <n v="650"/>
    <n v="22"/>
    <n v="2551"/>
    <n v="1474"/>
    <n v="749"/>
    <n v="3.9246153846153851"/>
    <n v="2.2676923076923079"/>
    <n v="1.152307692307692"/>
    <n v="48"/>
    <x v="2"/>
    <s v="24+ Months"/>
    <x v="0"/>
    <n v="655"/>
  </r>
  <r>
    <n v="108658"/>
    <s v="Travis County Sheriff's Office - TX"/>
    <n v="1532"/>
    <n v="763"/>
    <n v="6"/>
    <n v="2499"/>
    <n v="2358"/>
    <n v="542"/>
    <n v="3.2752293577981648"/>
    <n v="3.0904325032765398"/>
    <n v="0.71035386631716912"/>
    <n v="52"/>
    <x v="0"/>
    <s v="18-24 Months"/>
    <x v="0"/>
    <n v="1532"/>
  </r>
  <r>
    <n v="113410"/>
    <s v="Anaheim Police Dept. - CA"/>
    <n v="552"/>
    <n v="457"/>
    <n v="34"/>
    <n v="2301"/>
    <n v="256"/>
    <n v="222"/>
    <n v="5.0350109409190376"/>
    <n v="0.56017505470459517"/>
    <n v="0.48577680525164108"/>
    <n v="0"/>
    <x v="1"/>
    <s v="24+ Months"/>
    <x v="1"/>
    <n v="552"/>
  </r>
  <r>
    <n v="107750"/>
    <s v="New Mexico Dept. of Public Safety - NM"/>
    <n v="745"/>
    <n v="715"/>
    <n v="25"/>
    <n v="2181"/>
    <n v="119"/>
    <n v="89"/>
    <n v="3.0503496503496499"/>
    <n v="0.16643356643356641"/>
    <n v="0.1244755244755245"/>
    <n v="236"/>
    <x v="1"/>
    <s v="24+ Months"/>
    <x v="0"/>
    <n v="745"/>
  </r>
  <r>
    <n v="108053"/>
    <s v="Williamson County Sheriff's Office - TN"/>
    <n v="3"/>
    <n v="243"/>
    <n v="40"/>
    <n v="2113"/>
    <n v="1337"/>
    <n v="1177"/>
    <n v="8.6954732510288064"/>
    <n v="5.5020576131687244"/>
    <n v="4.8436213991769543"/>
    <n v="3"/>
    <x v="1"/>
    <s v="24+ Months"/>
    <x v="1"/>
    <n v="3"/>
  </r>
  <r>
    <n v="124496"/>
    <s v="Pittsburgh Bureau of Police - PA"/>
    <n v="992"/>
    <n v="900"/>
    <n v="28"/>
    <n v="2105"/>
    <n v="147"/>
    <n v="14"/>
    <n v="2.338888888888889"/>
    <n v="0.1633333333333333"/>
    <n v="1.555555555555556E-2"/>
    <n v="858"/>
    <x v="1"/>
    <s v="24+ Months"/>
    <x v="0"/>
    <n v="992"/>
  </r>
  <r>
    <n v="108490"/>
    <s v="HILLSBOROUGH CO SHERIFF'S OFFICE - FL"/>
    <n v="2088"/>
    <n v="2580"/>
    <n v="11"/>
    <n v="2047"/>
    <n v="33"/>
    <n v="0"/>
    <n v="0.79341085271317835"/>
    <n v="1.2790697674418599E-2"/>
    <n v="0"/>
    <n v="5"/>
    <x v="0"/>
    <s v="18-24 Months"/>
    <x v="0"/>
    <n v="0"/>
  </r>
  <r>
    <n v="113118"/>
    <s v="Oklahoma City Police Dept. - OK"/>
    <n v="1458"/>
    <n v="700"/>
    <n v="49"/>
    <n v="2046"/>
    <n v="539"/>
    <n v="18"/>
    <n v="2.922857142857143"/>
    <n v="0.77"/>
    <n v="2.571428571428571E-2"/>
    <n v="4"/>
    <x v="1"/>
    <s v="24+ Months"/>
    <x v="0"/>
    <n v="1458"/>
  </r>
  <r>
    <n v="110619"/>
    <s v="Joliet Police Dept. - IL"/>
    <n v="375"/>
    <n v="286"/>
    <n v="35"/>
    <n v="1893"/>
    <n v="1296"/>
    <n v="973"/>
    <n v="6.6188811188811192"/>
    <n v="4.5314685314685317"/>
    <n v="3.4020979020979021"/>
    <n v="174"/>
    <x v="1"/>
    <s v="24+ Months"/>
    <x v="1"/>
    <n v="375"/>
  </r>
  <r>
    <n v="105702"/>
    <s v="Tampa Police Department - FL"/>
    <n v="928"/>
    <n v="1000"/>
    <n v="11"/>
    <n v="1795"/>
    <n v="1068"/>
    <n v="99"/>
    <n v="1.7949999999999999"/>
    <n v="1.0680000000000001"/>
    <n v="9.9000000000000005E-2"/>
    <n v="63"/>
    <x v="0"/>
    <s v="18-24 Months"/>
    <x v="0"/>
    <n v="928"/>
  </r>
  <r>
    <n v="106522"/>
    <s v="Hamilton County Sheriff's Office - OH"/>
    <n v="690"/>
    <n v="626"/>
    <n v="7"/>
    <n v="1780"/>
    <n v="1780"/>
    <n v="612"/>
    <n v="2.8434504792332271"/>
    <n v="2.8434504792332271"/>
    <n v="0.97763578274760388"/>
    <n v="121"/>
    <x v="0"/>
    <s v="18-24 Months"/>
    <x v="0"/>
    <n v="690"/>
  </r>
  <r>
    <n v="129364"/>
    <s v="Denton Police Dept. - TX"/>
    <n v="209"/>
    <n v="233"/>
    <n v="10"/>
    <n v="1767"/>
    <n v="1695"/>
    <n v="1468"/>
    <n v="7.5836909871244638"/>
    <n v="7.2746781115879831"/>
    <n v="6.3004291845493574"/>
    <n v="62"/>
    <x v="0"/>
    <s v="18-24 Months"/>
    <x v="1"/>
    <n v="209"/>
  </r>
  <r>
    <n v="302836"/>
    <s v="San Bernardino County Probation Dept. - CA"/>
    <n v="8"/>
    <n v="505"/>
    <n v="7"/>
    <n v="1749"/>
    <n v="1749"/>
    <n v="750"/>
    <n v="3.4633663366336629"/>
    <n v="3.4633663366336629"/>
    <n v="1.4851485148514849"/>
    <n v="109"/>
    <x v="0"/>
    <s v="18-24 Months"/>
    <x v="1"/>
    <n v="8"/>
  </r>
  <r>
    <n v="110637"/>
    <s v="Shreveport Police Dept - LA"/>
    <n v="505"/>
    <n v="480"/>
    <n v="16"/>
    <n v="1670"/>
    <n v="875"/>
    <n v="761"/>
    <n v="3.479166666666667"/>
    <n v="1.822916666666667"/>
    <n v="1.5854166666666669"/>
    <n v="61"/>
    <x v="2"/>
    <s v="24+ Months"/>
    <x v="1"/>
    <n v="505"/>
  </r>
  <r>
    <n v="124615"/>
    <s v="Auburn Police Dept - AL"/>
    <n v="148"/>
    <n v="120"/>
    <n v="51"/>
    <n v="1656"/>
    <n v="1209"/>
    <n v="710"/>
    <n v="13.8"/>
    <n v="10.074999999999999"/>
    <n v="5.916666666666667"/>
    <n v="8"/>
    <x v="1"/>
    <s v="24+ Months"/>
    <x v="1"/>
    <n v="148"/>
  </r>
  <r>
    <n v="112474"/>
    <s v="Pinellas County Sheriff's Office - FL"/>
    <n v="950"/>
    <n v="1110"/>
    <n v="21"/>
    <n v="1647"/>
    <n v="1048"/>
    <n v="529"/>
    <n v="1.4837837837837839"/>
    <n v="0.94414414414414416"/>
    <n v="0.47657657657657659"/>
    <n v="1331"/>
    <x v="2"/>
    <s v="24+ Months"/>
    <x v="0"/>
    <n v="950"/>
  </r>
  <r>
    <n v="111064"/>
    <s v="Lake County Sheriff's Office - FL"/>
    <n v="327"/>
    <n v="515"/>
    <n v="18"/>
    <n v="1627"/>
    <n v="1380"/>
    <n v="1250"/>
    <n v="3.1592233009708739"/>
    <n v="2.679611650485437"/>
    <n v="2.4271844660194168"/>
    <n v="0"/>
    <x v="2"/>
    <s v="24+ Months"/>
    <x v="1"/>
    <n v="327"/>
  </r>
  <r>
    <n v="323664"/>
    <s v="Louisiana Department of Corrections - LA"/>
    <n v="1240"/>
    <n v="1335"/>
    <n v="12"/>
    <n v="1542"/>
    <n v="1152"/>
    <n v="106"/>
    <n v="1.155056179775281"/>
    <n v="0.86292134831460676"/>
    <n v="7.9400749063670409E-2"/>
    <n v="614"/>
    <x v="0"/>
    <s v="18-24 Months"/>
    <x v="0"/>
    <n v="1240"/>
  </r>
  <r>
    <n v="109479"/>
    <s v="Naperville Police Dept. - IL"/>
    <n v="205"/>
    <n v="200"/>
    <n v="9"/>
    <n v="1534"/>
    <n v="154"/>
    <n v="35"/>
    <n v="7.67"/>
    <n v="0.77"/>
    <n v="0.17499999999999999"/>
    <n v="382"/>
    <x v="0"/>
    <s v="18-24 Months"/>
    <x v="1"/>
    <n v="205"/>
  </r>
  <r>
    <n v="108050"/>
    <s v="Metro Nashville Police Department -TN"/>
    <n v="1400"/>
    <n v="1658"/>
    <n v="44"/>
    <n v="1517"/>
    <n v="202"/>
    <n v="72"/>
    <n v="0.91495778045838361"/>
    <n v="0.12183353437876961"/>
    <n v="4.3425814234016889E-2"/>
    <n v="169"/>
    <x v="1"/>
    <s v="24+ Months"/>
    <x v="0"/>
    <n v="0"/>
  </r>
  <r>
    <n v="107741"/>
    <s v="Arizona Department of Corrections - AZ"/>
    <n v="1651"/>
    <n v="1466"/>
    <n v="6"/>
    <n v="1514"/>
    <n v="1514"/>
    <n v="517"/>
    <n v="1.032742155525239"/>
    <n v="1.032742155525239"/>
    <n v="0.35266030013642558"/>
    <n v="168"/>
    <x v="0"/>
    <s v="18-24 Months"/>
    <x v="0"/>
    <n v="1651"/>
  </r>
  <r>
    <n v="328079"/>
    <s v="Detroit Police Dept. - MI"/>
    <n v="96"/>
    <n v="2700"/>
    <n v="22"/>
    <n v="1504"/>
    <n v="218"/>
    <n v="50"/>
    <n v="0.557037037037037"/>
    <n v="8.0740740740740738E-2"/>
    <n v="1.8518518518518521E-2"/>
    <n v="113"/>
    <x v="2"/>
    <s v="24+ Months"/>
    <x v="0"/>
    <n v="0"/>
  </r>
  <r>
    <n v="107092"/>
    <s v="Seminole County Sheriff's Office - FL"/>
    <n v="570"/>
    <n v="790"/>
    <n v="38"/>
    <n v="1470"/>
    <n v="1222"/>
    <n v="86"/>
    <n v="1.860759493670886"/>
    <n v="1.5468354430379749"/>
    <n v="0.1088607594936709"/>
    <n v="11"/>
    <x v="1"/>
    <s v="24+ Months"/>
    <x v="0"/>
    <n v="570"/>
  </r>
  <r>
    <n v="109867"/>
    <s v="Manatee County Sheriff's Office - FL"/>
    <n v="558"/>
    <n v="830"/>
    <n v="11"/>
    <n v="1461"/>
    <n v="1461"/>
    <n v="1304"/>
    <n v="1.7602409638554219"/>
    <n v="1.7602409638554219"/>
    <n v="1.5710843373493979"/>
    <n v="74"/>
    <x v="0"/>
    <s v="18-24 Months"/>
    <x v="0"/>
    <n v="558"/>
  </r>
  <r>
    <n v="110958"/>
    <s v="Walton County Sheriff's Office - GA"/>
    <n v="5"/>
    <n v="250"/>
    <n v="9"/>
    <n v="1429"/>
    <n v="920"/>
    <n v="253"/>
    <n v="5.7160000000000002"/>
    <n v="3.68"/>
    <n v="1.012"/>
    <n v="16"/>
    <x v="0"/>
    <s v="18-24 Months"/>
    <x v="1"/>
    <n v="5"/>
  </r>
  <r>
    <n v="107824"/>
    <s v="Jefferson County Sheriff's Office - CO"/>
    <n v="565"/>
    <n v="505"/>
    <n v="10"/>
    <n v="1367"/>
    <n v="692"/>
    <n v="103"/>
    <n v="2.7069306930693071"/>
    <n v="1.37029702970297"/>
    <n v="0.20396039603960389"/>
    <n v="23"/>
    <x v="0"/>
    <s v="18-24 Months"/>
    <x v="1"/>
    <n v="565"/>
  </r>
  <r>
    <n v="106524"/>
    <s v="Weld County Sheriff's Office - CO"/>
    <n v="335"/>
    <n v="329"/>
    <n v="9"/>
    <n v="1332"/>
    <n v="217"/>
    <n v="100"/>
    <n v="4.0486322188449844"/>
    <n v="0.65957446808510634"/>
    <n v="0.303951367781155"/>
    <n v="18"/>
    <x v="0"/>
    <s v="18-24 Months"/>
    <x v="1"/>
    <n v="335"/>
  </r>
  <r>
    <n v="109160"/>
    <s v="North Carolina State Highway Patrol - NC"/>
    <n v="120"/>
    <n v="1450"/>
    <n v="34"/>
    <n v="1320"/>
    <n v="432"/>
    <n v="72"/>
    <n v="0.91034482758620694"/>
    <n v="0.29793103448275859"/>
    <n v="4.9655172413793101E-2"/>
    <n v="146"/>
    <x v="1"/>
    <s v="24+ Months"/>
    <x v="0"/>
    <n v="0"/>
  </r>
  <r>
    <n v="106155"/>
    <s v="Phoenix Police Dept. - AZ"/>
    <n v="3183"/>
    <n v="2850"/>
    <n v="22"/>
    <n v="1210"/>
    <n v="987"/>
    <n v="0"/>
    <n v="0.42456140350877192"/>
    <n v="0.34631578947368419"/>
    <n v="0"/>
    <n v="0"/>
    <x v="2"/>
    <s v="24+ Months"/>
    <x v="0"/>
    <n v="0"/>
  </r>
  <r>
    <n v="111178"/>
    <s v="St. Charles Police Dept. - MO"/>
    <n v="105"/>
    <n v="145"/>
    <n v="6"/>
    <n v="1154"/>
    <n v="1154"/>
    <n v="292"/>
    <n v="7.9586206896551728"/>
    <n v="7.9586206896551728"/>
    <n v="2.0137931034482759"/>
    <n v="10"/>
    <x v="0"/>
    <s v="18-24 Months"/>
    <x v="1"/>
    <n v="105"/>
  </r>
  <r>
    <n v="313790"/>
    <s v="Tuscaloosa Police Dept. - AL"/>
    <n v="295"/>
    <n v="150"/>
    <n v="13"/>
    <n v="1107"/>
    <n v="48"/>
    <n v="30"/>
    <n v="7.38"/>
    <n v="0.32"/>
    <n v="0.2"/>
    <n v="0"/>
    <x v="2"/>
    <s v="24+ Months"/>
    <x v="1"/>
    <n v="295"/>
  </r>
  <r>
    <n v="106569"/>
    <s v="Washoe County Sheriff's Office - NV"/>
    <n v="407"/>
    <n v="565"/>
    <n v="45"/>
    <n v="1091"/>
    <n v="217"/>
    <n v="0"/>
    <n v="1.9309734513274339"/>
    <n v="0.384070796460177"/>
    <n v="0"/>
    <n v="89"/>
    <x v="1"/>
    <s v="24+ Months"/>
    <x v="0"/>
    <n v="0"/>
  </r>
  <r>
    <n v="109291"/>
    <s v="Boulder Police Dept. - CO"/>
    <n v="210"/>
    <n v="200"/>
    <n v="22"/>
    <n v="1070"/>
    <n v="1051"/>
    <n v="1051"/>
    <n v="5.35"/>
    <n v="5.2549999999999999"/>
    <n v="5.2549999999999999"/>
    <n v="1"/>
    <x v="2"/>
    <s v="24+ Months"/>
    <x v="1"/>
    <n v="210"/>
  </r>
  <r>
    <n v="106715"/>
    <s v="Terrebonne Parish Sheriff's Office - LA"/>
    <n v="186"/>
    <n v="136"/>
    <n v="19"/>
    <n v="1070"/>
    <n v="454"/>
    <n v="0"/>
    <n v="7.867647058823529"/>
    <n v="3.3382352941176472"/>
    <n v="0"/>
    <n v="378"/>
    <x v="2"/>
    <s v="24+ Months"/>
    <x v="1"/>
    <n v="186"/>
  </r>
  <r>
    <n v="511036"/>
    <s v="Will County Sheriff Office Enforcement - IL"/>
    <n v="231"/>
    <n v="240"/>
    <n v="21"/>
    <n v="1056"/>
    <n v="1037"/>
    <n v="43"/>
    <n v="4.4000000000000004"/>
    <n v="4.3208333333333337"/>
    <n v="0.1791666666666667"/>
    <n v="10"/>
    <x v="2"/>
    <s v="24+ Months"/>
    <x v="1"/>
    <n v="231"/>
  </r>
  <r>
    <n v="325338"/>
    <s v="Lee County Sheriff's Office - AL"/>
    <n v="20"/>
    <n v="180"/>
    <n v="13"/>
    <n v="1043"/>
    <n v="927"/>
    <n v="824"/>
    <n v="5.7944444444444443"/>
    <n v="5.15"/>
    <n v="4.5777777777777784"/>
    <n v="12"/>
    <x v="2"/>
    <s v="24+ Months"/>
    <x v="1"/>
    <n v="20"/>
  </r>
  <r>
    <n v="128775"/>
    <s v="Brevard County Sheriff's Office - FL"/>
    <n v="12"/>
    <n v="586"/>
    <n v="12"/>
    <n v="1030"/>
    <n v="435"/>
    <n v="86"/>
    <n v="1.757679180887372"/>
    <n v="0.74232081911262804"/>
    <n v="0.14675767918088739"/>
    <n v="284"/>
    <x v="0"/>
    <s v="18-24 Months"/>
    <x v="0"/>
    <n v="0"/>
  </r>
  <r>
    <n v="107124"/>
    <s v="Lincoln Police Department - NE"/>
    <n v="327"/>
    <n v="364"/>
    <n v="34"/>
    <n v="999"/>
    <n v="335"/>
    <n v="113"/>
    <n v="2.744505494505495"/>
    <n v="0.92032967032967028"/>
    <n v="0.31043956043956039"/>
    <n v="411"/>
    <x v="1"/>
    <s v="24+ Months"/>
    <x v="1"/>
    <n v="327"/>
  </r>
  <r>
    <n v="141269"/>
    <s v="Grand Rapids Police Dept. - MI"/>
    <n v="314"/>
    <n v="300"/>
    <n v="21"/>
    <n v="962"/>
    <n v="24"/>
    <n v="15"/>
    <n v="3.206666666666667"/>
    <n v="0.08"/>
    <n v="0.05"/>
    <n v="3"/>
    <x v="2"/>
    <s v="24+ Months"/>
    <x v="1"/>
    <n v="314"/>
  </r>
  <r>
    <n v="106669"/>
    <s v="Olmsted County Sheriff's Office - MN"/>
    <n v="200"/>
    <n v="83"/>
    <n v="11"/>
    <n v="958"/>
    <n v="237"/>
    <n v="181"/>
    <n v="11.542168674698789"/>
    <n v="2.8554216867469879"/>
    <n v="2.1807228915662651"/>
    <n v="5"/>
    <x v="0"/>
    <s v="18-24 Months"/>
    <x v="2"/>
    <n v="200"/>
  </r>
  <r>
    <n v="197700"/>
    <s v="Roswell Police Dept. - GA"/>
    <n v="170"/>
    <n v="168"/>
    <n v="9"/>
    <n v="955"/>
    <n v="808"/>
    <n v="37"/>
    <n v="5.6845238095238093"/>
    <n v="4.8095238095238093"/>
    <n v="0.22023809523809521"/>
    <n v="38"/>
    <x v="0"/>
    <s v="18-24 Months"/>
    <x v="1"/>
    <n v="170"/>
  </r>
  <r>
    <n v="127250"/>
    <s v="Bakersfield Police Dept. - CA"/>
    <n v="625"/>
    <n v="470"/>
    <n v="10"/>
    <n v="945"/>
    <n v="866"/>
    <n v="267"/>
    <n v="2.0106382978723398"/>
    <n v="1.842553191489362"/>
    <n v="0.56808510638297871"/>
    <n v="29"/>
    <x v="0"/>
    <s v="18-24 Months"/>
    <x v="1"/>
    <n v="625"/>
  </r>
  <r>
    <n v="106698"/>
    <s v="Kent Police Dept. - WA"/>
    <n v="78"/>
    <n v="169"/>
    <n v="37"/>
    <n v="915"/>
    <n v="222"/>
    <n v="23"/>
    <n v="5.4142011834319526"/>
    <n v="1.3136094674556209"/>
    <n v="0.13609467455621299"/>
    <n v="274"/>
    <x v="1"/>
    <s v="24+ Months"/>
    <x v="1"/>
    <n v="78"/>
  </r>
  <r>
    <n v="107989"/>
    <s v="Ada County Sheriff's Office - ID"/>
    <n v="236"/>
    <n v="255"/>
    <n v="10"/>
    <n v="886"/>
    <n v="344"/>
    <n v="234"/>
    <n v="3.4745098039215692"/>
    <n v="1.3490196078431369"/>
    <n v="0.91764705882352937"/>
    <n v="1"/>
    <x v="0"/>
    <s v="18-24 Months"/>
    <x v="1"/>
    <n v="236"/>
  </r>
  <r>
    <n v="112129"/>
    <s v="Leon County Sheriff's Dept. - FL"/>
    <n v="538"/>
    <n v="473"/>
    <n v="25"/>
    <n v="875"/>
    <n v="334"/>
    <n v="334"/>
    <n v="1.8498942917547569"/>
    <n v="0.70613107822410148"/>
    <n v="0.70613107822410148"/>
    <n v="40"/>
    <x v="1"/>
    <s v="24+ Months"/>
    <x v="1"/>
    <n v="0"/>
  </r>
  <r>
    <n v="108787"/>
    <s v="Omaha Police Dept - NE"/>
    <n v="718"/>
    <n v="645"/>
    <n v="12"/>
    <n v="869"/>
    <n v="3"/>
    <n v="3"/>
    <n v="1.3472868217054259"/>
    <n v="4.6511627906976744E-3"/>
    <n v="4.6511627906976744E-3"/>
    <n v="3"/>
    <x v="0"/>
    <s v="18-24 Months"/>
    <x v="0"/>
    <n v="0"/>
  </r>
  <r>
    <n v="309995"/>
    <s v="Huntsville Police Department - AL"/>
    <n v="458"/>
    <n v="450"/>
    <n v="10"/>
    <n v="868"/>
    <n v="113"/>
    <n v="4"/>
    <n v="1.9288888888888891"/>
    <n v="0.25111111111111112"/>
    <n v="8.8888888888888889E-3"/>
    <n v="73"/>
    <x v="0"/>
    <s v="18-24 Months"/>
    <x v="1"/>
    <n v="0"/>
  </r>
  <r>
    <n v="471191"/>
    <s v="Saint John Parish Sheriff's Office - LA"/>
    <n v="239"/>
    <n v="190"/>
    <n v="10"/>
    <n v="827"/>
    <n v="83"/>
    <n v="38"/>
    <n v="4.3526315789473689"/>
    <n v="0.43684210526315792"/>
    <n v="0.2"/>
    <n v="75"/>
    <x v="0"/>
    <s v="18-24 Months"/>
    <x v="1"/>
    <n v="239"/>
  </r>
  <r>
    <n v="115314"/>
    <s v="Jefferson County Sheriff's Office - AL"/>
    <n v="487"/>
    <n v="450"/>
    <n v="21"/>
    <n v="802"/>
    <n v="347"/>
    <n v="305"/>
    <n v="1.7822222222222219"/>
    <n v="0.77111111111111108"/>
    <n v="0.67777777777777781"/>
    <n v="0"/>
    <x v="2"/>
    <s v="24+ Months"/>
    <x v="1"/>
    <n v="0"/>
  </r>
  <r>
    <n v="113111"/>
    <s v="Pinellas Park Police Dept - FL"/>
    <n v="117"/>
    <n v="115"/>
    <n v="9"/>
    <n v="794"/>
    <n v="777"/>
    <n v="22"/>
    <n v="6.9043478260869566"/>
    <n v="6.7565217391304344"/>
    <n v="0.19130434782608699"/>
    <n v="115"/>
    <x v="0"/>
    <s v="18-24 Months"/>
    <x v="1"/>
    <n v="117"/>
  </r>
  <r>
    <n v="451087"/>
    <s v="Richardson Police Department - TX"/>
    <n v="191"/>
    <n v="180"/>
    <n v="11"/>
    <n v="777"/>
    <n v="467"/>
    <n v="291"/>
    <n v="4.3166666666666664"/>
    <n v="2.594444444444445"/>
    <n v="1.6166666666666669"/>
    <n v="1"/>
    <x v="0"/>
    <s v="18-24 Months"/>
    <x v="1"/>
    <n v="191"/>
  </r>
  <r>
    <n v="187670"/>
    <s v="Pender County Sheriff's Office - NC"/>
    <n v="75"/>
    <n v="105"/>
    <n v="12"/>
    <n v="768"/>
    <n v="383"/>
    <n v="68"/>
    <n v="7.3142857142857141"/>
    <n v="3.647619047619048"/>
    <n v="0.64761904761904765"/>
    <n v="140"/>
    <x v="0"/>
    <s v="18-24 Months"/>
    <x v="1"/>
    <n v="75"/>
  </r>
  <r>
    <n v="186872"/>
    <s v="Pasco Police Dept. - WA"/>
    <n v="98"/>
    <n v="98"/>
    <n v="9"/>
    <n v="766"/>
    <n v="118"/>
    <n v="48"/>
    <n v="7.8163265306122449"/>
    <n v="1.204081632653061"/>
    <n v="0.48979591836734693"/>
    <n v="84"/>
    <x v="0"/>
    <s v="18-24 Months"/>
    <x v="2"/>
    <n v="98"/>
  </r>
  <r>
    <n v="105516"/>
    <s v="Mesa Police Department"/>
    <n v="1079"/>
    <n v="720"/>
    <n v="16"/>
    <n v="762"/>
    <n v="623"/>
    <n v="538"/>
    <n v="1.0583333333333329"/>
    <n v="0.86527777777777781"/>
    <n v="0.74722222222222223"/>
    <n v="8"/>
    <x v="2"/>
    <s v="24+ Months"/>
    <x v="0"/>
    <n v="1079"/>
  </r>
  <r>
    <n v="107619"/>
    <s v="Coral Springs Police Dept. - FL"/>
    <n v="255"/>
    <n v="255"/>
    <n v="13"/>
    <n v="753"/>
    <n v="454"/>
    <n v="193"/>
    <n v="2.952941176470588"/>
    <n v="1.780392156862745"/>
    <n v="0.75686274509803919"/>
    <n v="22"/>
    <x v="2"/>
    <s v="24+ Months"/>
    <x v="1"/>
    <n v="255"/>
  </r>
  <r>
    <n v="303223"/>
    <s v="Michigan Department of Natural Resources"/>
    <n v="247"/>
    <n v="232"/>
    <n v="33"/>
    <n v="745"/>
    <n v="166"/>
    <n v="140"/>
    <n v="3.2112068965517242"/>
    <n v="0.71551724137931039"/>
    <n v="0.60344827586206895"/>
    <n v="36"/>
    <x v="1"/>
    <s v="24+ Months"/>
    <x v="1"/>
    <n v="247"/>
  </r>
  <r>
    <s v="CA0115465"/>
    <s v="Barrie Police Service"/>
    <n v="322"/>
    <n v="155"/>
    <n v="17"/>
    <n v="742"/>
    <n v="52"/>
    <n v="30"/>
    <n v="4.7870967741935484"/>
    <n v="0.33548387096774201"/>
    <n v="0.19354838709677419"/>
    <n v="125"/>
    <x v="2"/>
    <s v="24+ Months"/>
    <x v="1"/>
    <n v="322"/>
  </r>
  <r>
    <n v="107794"/>
    <s v="Metropolitan Transit Authority of Harris County - TX"/>
    <n v="250"/>
    <n v="274"/>
    <n v="25"/>
    <n v="741"/>
    <n v="433"/>
    <n v="93"/>
    <n v="2.7043795620437958"/>
    <n v="1.5802919708029199"/>
    <n v="0.33941605839416061"/>
    <n v="0"/>
    <x v="1"/>
    <s v="24+ Months"/>
    <x v="1"/>
    <n v="250"/>
  </r>
  <r>
    <n v="321833"/>
    <s v="Fort Collins Police Services - CO"/>
    <n v="206"/>
    <n v="250"/>
    <n v="10"/>
    <n v="729"/>
    <n v="65"/>
    <n v="65"/>
    <n v="2.9159999999999999"/>
    <n v="0.26"/>
    <n v="0.26"/>
    <n v="0"/>
    <x v="0"/>
    <s v="18-24 Months"/>
    <x v="1"/>
    <n v="206"/>
  </r>
  <r>
    <n v="497705"/>
    <s v="Ohio Dept of Rehabilitation and Correction"/>
    <n v="5115"/>
    <n v="1834"/>
    <n v="6"/>
    <n v="728"/>
    <n v="284"/>
    <n v="197"/>
    <n v="0.39694656488549618"/>
    <n v="0.15485278080697931"/>
    <n v="0.1074154852780807"/>
    <n v="4"/>
    <x v="0"/>
    <s v="18-24 Months"/>
    <x v="0"/>
    <n v="0"/>
  </r>
  <r>
    <n v="155263"/>
    <s v="Burbank Police Dept. - CA"/>
    <n v="154"/>
    <n v="178"/>
    <n v="14"/>
    <n v="727"/>
    <n v="547"/>
    <n v="279"/>
    <n v="4.084269662921348"/>
    <n v="3.0730337078651679"/>
    <n v="1.567415730337079"/>
    <n v="84"/>
    <x v="2"/>
    <s v="24+ Months"/>
    <x v="1"/>
    <n v="154"/>
  </r>
  <r>
    <n v="327797"/>
    <s v="Philadelphia Police Dept. - PA"/>
    <n v="4184"/>
    <n v="4500"/>
    <n v="10"/>
    <n v="711"/>
    <n v="450"/>
    <n v="253"/>
    <n v="0.158"/>
    <n v="0.1"/>
    <n v="5.6222222222222222E-2"/>
    <n v="568"/>
    <x v="0"/>
    <s v="18-24 Months"/>
    <x v="0"/>
    <n v="0"/>
  </r>
  <r>
    <n v="532247"/>
    <s v="National Commissioner of the Icelandic Police"/>
    <n v="703"/>
    <n v="480"/>
    <n v="24"/>
    <n v="681"/>
    <n v="362"/>
    <n v="327"/>
    <n v="1.41875"/>
    <n v="0.75416666666666665"/>
    <n v="0.68125000000000002"/>
    <n v="6"/>
    <x v="2"/>
    <s v="24+ Months"/>
    <x v="1"/>
    <n v="0"/>
  </r>
  <r>
    <n v="157071"/>
    <s v="Bloomington Police Dept. - MN"/>
    <n v="151"/>
    <n v="140"/>
    <n v="34"/>
    <n v="674"/>
    <n v="35"/>
    <n v="27"/>
    <n v="4.8142857142857141"/>
    <n v="0.25"/>
    <n v="0.19285714285714289"/>
    <n v="0"/>
    <x v="1"/>
    <s v="24+ Months"/>
    <x v="1"/>
    <n v="151"/>
  </r>
  <r>
    <n v="305896"/>
    <s v="Scranton Police Dept. - PA"/>
    <n v="152"/>
    <n v="130"/>
    <n v="8"/>
    <n v="669"/>
    <n v="434"/>
    <n v="327"/>
    <n v="5.1461538461538474"/>
    <n v="3.338461538461539"/>
    <n v="2.5153846153846149"/>
    <n v="19"/>
    <x v="0"/>
    <s v="18-24 Months"/>
    <x v="1"/>
    <n v="152"/>
  </r>
  <r>
    <n v="107206"/>
    <s v="Long Beach Police Dept. - CA"/>
    <n v="896"/>
    <n v="859"/>
    <n v="10"/>
    <n v="657"/>
    <n v="649"/>
    <n v="594"/>
    <n v="0.76484284051222351"/>
    <n v="0.75552968568102441"/>
    <n v="0.69150174621653082"/>
    <n v="46"/>
    <x v="0"/>
    <s v="18-24 Months"/>
    <x v="0"/>
    <n v="896"/>
  </r>
  <r>
    <n v="110600"/>
    <s v="Flagler County Sheriff's Office - FL"/>
    <n v="255"/>
    <n v="262"/>
    <n v="10"/>
    <n v="650"/>
    <n v="545"/>
    <n v="10"/>
    <n v="2.4809160305343512"/>
    <n v="2.0801526717557248"/>
    <n v="3.8167938931297711E-2"/>
    <n v="140"/>
    <x v="0"/>
    <s v="18-24 Months"/>
    <x v="1"/>
    <n v="255"/>
  </r>
  <r>
    <n v="112305"/>
    <s v="Virginia Beach Police Dept. - VA"/>
    <n v="888"/>
    <n v="508"/>
    <n v="52"/>
    <n v="647"/>
    <n v="65"/>
    <n v="12"/>
    <n v="1.273622047244094"/>
    <n v="0.12795275590551181"/>
    <n v="2.3622047244094491E-2"/>
    <n v="36"/>
    <x v="1"/>
    <s v="24+ Months"/>
    <x v="1"/>
    <n v="0"/>
  </r>
  <r>
    <n v="106346"/>
    <s v="Seattle Police Dept. - WA"/>
    <n v="1340"/>
    <n v="1200"/>
    <n v="47"/>
    <n v="644"/>
    <n v="33"/>
    <n v="11"/>
    <n v="0.53666666666666663"/>
    <n v="2.75E-2"/>
    <n v="9.1666666666666667E-3"/>
    <n v="17"/>
    <x v="1"/>
    <s v="24+ Months"/>
    <x v="0"/>
    <n v="0"/>
  </r>
  <r>
    <n v="109269"/>
    <s v="North Miami Police Dept - FL"/>
    <n v="140"/>
    <n v="120"/>
    <n v="48"/>
    <n v="637"/>
    <n v="609"/>
    <n v="231"/>
    <n v="5.3083333333333336"/>
    <n v="5.0750000000000002"/>
    <n v="1.925"/>
    <n v="10"/>
    <x v="1"/>
    <s v="24+ Months"/>
    <x v="1"/>
    <n v="140"/>
  </r>
  <r>
    <n v="107969"/>
    <s v="Lower Merion Twp Police Dept. - PA"/>
    <n v="7"/>
    <n v="136"/>
    <n v="9"/>
    <n v="608"/>
    <n v="95"/>
    <n v="15"/>
    <n v="4.4705882352941178"/>
    <n v="0.69852941176470584"/>
    <n v="0.11029411764705881"/>
    <n v="31"/>
    <x v="0"/>
    <s v="18-24 Months"/>
    <x v="1"/>
    <n v="7"/>
  </r>
  <r>
    <n v="446518"/>
    <s v="Spokane Police Dept. - WA"/>
    <n v="344"/>
    <n v="343"/>
    <n v="40"/>
    <n v="600"/>
    <n v="531"/>
    <n v="464"/>
    <n v="1.749271137026239"/>
    <n v="1.5481049562682221"/>
    <n v="1.352769679300291"/>
    <n v="0"/>
    <x v="1"/>
    <s v="24+ Months"/>
    <x v="1"/>
    <n v="0"/>
  </r>
  <r>
    <n v="107272"/>
    <s v="Lincoln County Sheriff's Office - NC"/>
    <n v="130"/>
    <n v="240"/>
    <n v="18"/>
    <n v="599"/>
    <n v="585"/>
    <n v="166"/>
    <n v="2.4958333333333331"/>
    <n v="2.4375"/>
    <n v="0.69166666666666665"/>
    <n v="9"/>
    <x v="2"/>
    <s v="24+ Months"/>
    <x v="1"/>
    <n v="130"/>
  </r>
  <r>
    <n v="119937"/>
    <s v="New Castle County Police Dept. - DE"/>
    <n v="377"/>
    <n v="385"/>
    <n v="27"/>
    <n v="577"/>
    <n v="292"/>
    <n v="263"/>
    <n v="1.4987012987012991"/>
    <n v="0.75844155844155847"/>
    <n v="0.68311688311688312"/>
    <n v="1434"/>
    <x v="1"/>
    <s v="24+ Months"/>
    <x v="1"/>
    <n v="0"/>
  </r>
  <r>
    <n v="111124"/>
    <s v="Leander Police Dept. - TX"/>
    <n v="88"/>
    <n v="87"/>
    <n v="60"/>
    <n v="558"/>
    <n v="468"/>
    <n v="221"/>
    <n v="6.4137931034482758"/>
    <n v="5.3793103448275863"/>
    <n v="2.5402298850574709"/>
    <n v="5"/>
    <x v="1"/>
    <s v="24+ Months"/>
    <x v="2"/>
    <n v="88"/>
  </r>
  <r>
    <n v="126746"/>
    <s v="Mississippi Highway Patrol - MS"/>
    <n v="0"/>
    <n v="516"/>
    <n v="13"/>
    <n v="557"/>
    <n v="84"/>
    <n v="78"/>
    <n v="1.079457364341085"/>
    <n v="0.16279069767441859"/>
    <n v="0.15116279069767441"/>
    <n v="3"/>
    <x v="2"/>
    <s v="24+ Months"/>
    <x v="1"/>
    <n v="0"/>
  </r>
  <r>
    <n v="106528"/>
    <s v="Port of Seattle Police Dept. - WA"/>
    <n v="120"/>
    <n v="150"/>
    <n v="7"/>
    <n v="554"/>
    <n v="529"/>
    <n v="456"/>
    <n v="3.6933333333333329"/>
    <n v="3.5266666666666668"/>
    <n v="3.04"/>
    <n v="179"/>
    <x v="0"/>
    <s v="18-24 Months"/>
    <x v="1"/>
    <n v="120"/>
  </r>
  <r>
    <n v="365837"/>
    <s v="Ohio Dept of Natural Resources - OH"/>
    <n v="0"/>
    <n v="23"/>
    <n v="24"/>
    <n v="536"/>
    <n v="253"/>
    <n v="228"/>
    <n v="23.304347826086961"/>
    <n v="11"/>
    <n v="9.9130434782608692"/>
    <n v="12"/>
    <x v="2"/>
    <s v="24+ Months"/>
    <x v="2"/>
    <n v="0"/>
  </r>
  <r>
    <n v="306038"/>
    <s v="Redmond Police Dept. - WA"/>
    <n v="105"/>
    <n v="90"/>
    <n v="49"/>
    <n v="526"/>
    <n v="472"/>
    <n v="231"/>
    <n v="5.8444444444444441"/>
    <n v="5.2444444444444436"/>
    <n v="2.5666666666666669"/>
    <n v="10"/>
    <x v="1"/>
    <s v="24+ Months"/>
    <x v="2"/>
    <n v="105"/>
  </r>
  <r>
    <n v="106711"/>
    <s v="Columbia County Sheriff's Office - FL"/>
    <n v="171"/>
    <n v="270"/>
    <n v="6"/>
    <n v="525"/>
    <n v="523"/>
    <n v="65"/>
    <n v="1.944444444444444"/>
    <n v="1.9370370370370369"/>
    <n v="0.2407407407407407"/>
    <n v="4"/>
    <x v="0"/>
    <s v="18-24 Months"/>
    <x v="1"/>
    <n v="0"/>
  </r>
  <r>
    <n v="106297"/>
    <s v="Springfield Police Department - MO"/>
    <n v="296"/>
    <n v="235"/>
    <n v="21"/>
    <n v="523"/>
    <n v="26"/>
    <n v="0"/>
    <n v="2.225531914893617"/>
    <n v="0.1106382978723404"/>
    <n v="0"/>
    <n v="136"/>
    <x v="2"/>
    <s v="24+ Months"/>
    <x v="1"/>
    <n v="296"/>
  </r>
  <r>
    <n v="107993"/>
    <s v="Meridian Police Dept. - ID"/>
    <n v="157"/>
    <n v="151"/>
    <n v="20"/>
    <n v="523"/>
    <n v="291"/>
    <n v="290"/>
    <n v="3.4635761589403971"/>
    <n v="1.927152317880795"/>
    <n v="1.9205298013245029"/>
    <n v="7"/>
    <x v="2"/>
    <s v="24+ Months"/>
    <x v="1"/>
    <n v="157"/>
  </r>
  <r>
    <n v="110404"/>
    <s v="Boca Raton Police Dept - FL"/>
    <n v="248"/>
    <n v="227"/>
    <n v="10"/>
    <n v="522"/>
    <n v="72"/>
    <n v="35"/>
    <n v="2.2995594713656389"/>
    <n v="0.31718061674008807"/>
    <n v="0.1541850220264317"/>
    <n v="3"/>
    <x v="0"/>
    <s v="18-24 Months"/>
    <x v="1"/>
    <n v="248"/>
  </r>
  <r>
    <n v="109079"/>
    <s v="Springfield Police Department - IL"/>
    <n v="280"/>
    <n v="274"/>
    <n v="34"/>
    <n v="496"/>
    <n v="46"/>
    <n v="1"/>
    <n v="1.81021897810219"/>
    <n v="0.16788321167883211"/>
    <n v="3.6496350364963498E-3"/>
    <n v="0"/>
    <x v="1"/>
    <s v="24+ Months"/>
    <x v="1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0"/>
    <s v="18-24 Months"/>
    <x v="1"/>
    <n v="101"/>
  </r>
  <r>
    <n v="467119"/>
    <s v="Minneapolis-St Paul Airport Police Dept -MN"/>
    <n v="164"/>
    <n v="140"/>
    <n v="14"/>
    <n v="492"/>
    <n v="377"/>
    <n v="340"/>
    <n v="3.5142857142857138"/>
    <n v="2.6928571428571431"/>
    <n v="2.4285714285714279"/>
    <n v="301"/>
    <x v="2"/>
    <s v="24+ Months"/>
    <x v="1"/>
    <n v="164"/>
  </r>
  <r>
    <n v="113358"/>
    <s v="Apopka Police Dept.-FL"/>
    <n v="6"/>
    <n v="150"/>
    <n v="8"/>
    <n v="490"/>
    <n v="419"/>
    <n v="13"/>
    <n v="3.2666666666666671"/>
    <n v="2.793333333333333"/>
    <n v="8.666666666666667E-2"/>
    <n v="105"/>
    <x v="0"/>
    <s v="18-24 Months"/>
    <x v="1"/>
    <n v="6"/>
  </r>
  <r>
    <n v="149220"/>
    <s v="Hemet Police Department - CA"/>
    <n v="103"/>
    <n v="100"/>
    <n v="7"/>
    <n v="489"/>
    <n v="478"/>
    <n v="77"/>
    <n v="4.8899999999999997"/>
    <n v="4.78"/>
    <n v="0.77"/>
    <n v="271"/>
    <x v="0"/>
    <s v="18-24 Months"/>
    <x v="1"/>
    <n v="103"/>
  </r>
  <r>
    <n v="149220"/>
    <s v="Hemet Police Department - CA"/>
    <n v="0"/>
    <n v="100"/>
    <n v="7"/>
    <n v="489"/>
    <n v="478"/>
    <n v="77"/>
    <n v="4.8899999999999997"/>
    <n v="4.78"/>
    <n v="0.77"/>
    <n v="271"/>
    <x v="0"/>
    <s v="18-24 Months"/>
    <x v="1"/>
    <n v="0"/>
  </r>
  <r>
    <n v="119697"/>
    <s v="Pasadena Police Dept. - TX"/>
    <n v="3"/>
    <n v="225"/>
    <n v="8"/>
    <n v="479"/>
    <n v="473"/>
    <n v="286"/>
    <n v="2.1288888888888891"/>
    <n v="2.1022222222222222"/>
    <n v="1.2711111111111111"/>
    <n v="188"/>
    <x v="0"/>
    <s v="18-24 Months"/>
    <x v="1"/>
    <n v="3"/>
  </r>
  <r>
    <n v="105751"/>
    <s v="Westminster Police Dept. - CO"/>
    <n v="248"/>
    <n v="205"/>
    <n v="10"/>
    <n v="478"/>
    <n v="204"/>
    <n v="104"/>
    <n v="2.331707317073171"/>
    <n v="0.99512195121951219"/>
    <n v="0.50731707317073171"/>
    <n v="39"/>
    <x v="0"/>
    <s v="18-24 Months"/>
    <x v="1"/>
    <n v="248"/>
  </r>
  <r>
    <n v="108792"/>
    <s v="Sarpy County Sheriff's - NE"/>
    <n v="106"/>
    <n v="130"/>
    <n v="11"/>
    <n v="462"/>
    <n v="93"/>
    <n v="31"/>
    <n v="3.5538461538461541"/>
    <n v="0.7153846153846154"/>
    <n v="0.2384615384615385"/>
    <n v="8"/>
    <x v="0"/>
    <s v="18-24 Months"/>
    <x v="1"/>
    <n v="106"/>
  </r>
  <r>
    <n v="484843"/>
    <s v="California Department of Parks and Recreation"/>
    <n v="111"/>
    <n v="675"/>
    <n v="16"/>
    <n v="461"/>
    <n v="294"/>
    <n v="266"/>
    <n v="0.68296296296296299"/>
    <n v="0.43555555555555547"/>
    <n v="0.39407407407407408"/>
    <n v="167"/>
    <x v="2"/>
    <s v="24+ Months"/>
    <x v="0"/>
    <n v="0"/>
  </r>
  <r>
    <n v="106587"/>
    <s v="Titusville Police Dept - FL"/>
    <n v="114"/>
    <n v="112"/>
    <n v="9"/>
    <n v="449"/>
    <n v="21"/>
    <n v="0"/>
    <n v="4.0089285714285712"/>
    <n v="0.1875"/>
    <n v="0"/>
    <n v="0"/>
    <x v="0"/>
    <s v="18-24 Months"/>
    <x v="1"/>
    <n v="114"/>
  </r>
  <r>
    <n v="129179"/>
    <s v="Mamaroneck Village Police Dept. - NY"/>
    <n v="12"/>
    <n v="52"/>
    <n v="9"/>
    <n v="447"/>
    <n v="30"/>
    <n v="0"/>
    <n v="8.5961538461538467"/>
    <n v="0.57692307692307687"/>
    <n v="0"/>
    <n v="0"/>
    <x v="0"/>
    <s v="18-24 Months"/>
    <x v="2"/>
    <n v="12"/>
  </r>
  <r>
    <n v="108237"/>
    <s v="Pueblo County Sheriff's Office - CO"/>
    <n v="131"/>
    <n v="111"/>
    <n v="22"/>
    <n v="445"/>
    <n v="202"/>
    <n v="74"/>
    <n v="4.0090090090090094"/>
    <n v="1.8198198198198201"/>
    <n v="0.66666666666666663"/>
    <n v="70"/>
    <x v="2"/>
    <s v="24+ Months"/>
    <x v="1"/>
    <n v="131"/>
  </r>
  <r>
    <n v="110308"/>
    <s v="Kansas City Police Dept. - KS"/>
    <n v="11"/>
    <n v="215"/>
    <n v="7"/>
    <n v="438"/>
    <n v="354"/>
    <n v="180"/>
    <n v="2.0372093023255808"/>
    <n v="1.6465116279069769"/>
    <n v="0.83720930232558144"/>
    <n v="371"/>
    <x v="0"/>
    <s v="18-24 Months"/>
    <x v="1"/>
    <n v="11"/>
  </r>
  <r>
    <n v="105780"/>
    <s v="Homestead Police Dept.- FL"/>
    <n v="120"/>
    <n v="156"/>
    <n v="7"/>
    <n v="427"/>
    <n v="427"/>
    <n v="325"/>
    <n v="2.7371794871794868"/>
    <n v="2.7371794871794868"/>
    <n v="2.083333333333333"/>
    <n v="22"/>
    <x v="0"/>
    <s v="18-24 Months"/>
    <x v="1"/>
    <n v="120"/>
  </r>
  <r>
    <n v="113592"/>
    <s v="Monroe County Sheriff's Dept. - NY"/>
    <n v="22"/>
    <n v="320"/>
    <n v="11"/>
    <n v="419"/>
    <n v="372"/>
    <n v="309"/>
    <n v="1.309375"/>
    <n v="1.1625000000000001"/>
    <n v="0.96562499999999996"/>
    <n v="120"/>
    <x v="0"/>
    <s v="18-24 Months"/>
    <x v="1"/>
    <n v="0"/>
  </r>
  <r>
    <n v="106135"/>
    <s v="Commerce City Police Department - CO"/>
    <n v="92"/>
    <n v="145"/>
    <n v="11"/>
    <n v="417"/>
    <n v="375"/>
    <n v="23"/>
    <n v="2.875862068965517"/>
    <n v="2.5862068965517242"/>
    <n v="0.1586206896551724"/>
    <n v="4"/>
    <x v="0"/>
    <s v="18-24 Months"/>
    <x v="1"/>
    <n v="92"/>
  </r>
  <r>
    <n v="108601"/>
    <s v="Biloxi Police Dept. - MS"/>
    <n v="58"/>
    <n v="135"/>
    <n v="49"/>
    <n v="409"/>
    <n v="407"/>
    <n v="7"/>
    <n v="3.0296296296296301"/>
    <n v="3.0148148148148151"/>
    <n v="5.185185185185185E-2"/>
    <n v="16"/>
    <x v="1"/>
    <s v="24+ Months"/>
    <x v="1"/>
    <n v="58"/>
  </r>
  <r>
    <n v="110526"/>
    <s v="Wilson Police Department - NC"/>
    <n v="119"/>
    <n v="125"/>
    <n v="10"/>
    <n v="407"/>
    <n v="37"/>
    <n v="20"/>
    <n v="3.2559999999999998"/>
    <n v="0.29599999999999999"/>
    <n v="0.16"/>
    <n v="354"/>
    <x v="0"/>
    <s v="18-24 Months"/>
    <x v="1"/>
    <n v="119"/>
  </r>
  <r>
    <n v="466491"/>
    <s v="Chicopee Police Department - MA"/>
    <n v="3"/>
    <n v="135"/>
    <n v="9"/>
    <n v="391"/>
    <n v="7"/>
    <n v="4"/>
    <n v="2.8962962962962959"/>
    <n v="5.185185185185185E-2"/>
    <n v="2.9629629629629631E-2"/>
    <n v="3"/>
    <x v="0"/>
    <s v="18-24 Months"/>
    <x v="1"/>
    <n v="3"/>
  </r>
  <r>
    <n v="112966"/>
    <s v="Missoula Police Dept. - MT"/>
    <n v="2"/>
    <n v="118"/>
    <n v="11"/>
    <n v="375"/>
    <n v="14"/>
    <n v="0"/>
    <n v="3.1779661016949148"/>
    <n v="0.1186440677966102"/>
    <n v="0"/>
    <n v="0"/>
    <x v="0"/>
    <s v="18-24 Months"/>
    <x v="1"/>
    <n v="2"/>
  </r>
  <r>
    <n v="117733"/>
    <s v="Lawrenceville Police Dept. - GA"/>
    <n v="90"/>
    <n v="90"/>
    <n v="12"/>
    <n v="373"/>
    <n v="205"/>
    <n v="205"/>
    <n v="4.1444444444444448"/>
    <n v="2.2777777777777781"/>
    <n v="2.2777777777777781"/>
    <n v="0"/>
    <x v="0"/>
    <s v="18-24 Months"/>
    <x v="2"/>
    <n v="90"/>
  </r>
  <r>
    <n v="179811"/>
    <s v="Walker Police Dept. - MI"/>
    <n v="48"/>
    <n v="43"/>
    <n v="13"/>
    <n v="373"/>
    <n v="61"/>
    <n v="22"/>
    <n v="8.6744186046511622"/>
    <n v="1.418604651162791"/>
    <n v="0.51162790697674421"/>
    <n v="20"/>
    <x v="2"/>
    <s v="24+ Months"/>
    <x v="2"/>
    <n v="48"/>
  </r>
  <r>
    <n v="106304"/>
    <s v="Los Angeles County Sheriff's Dept. - HQ"/>
    <n v="6053"/>
    <n v="3197"/>
    <n v="19"/>
    <n v="372"/>
    <n v="47"/>
    <n v="24"/>
    <n v="0.1163590866437285"/>
    <n v="1.4701282452299029E-2"/>
    <n v="7.507037847982484E-3"/>
    <n v="108"/>
    <x v="2"/>
    <s v="24+ Months"/>
    <x v="0"/>
    <n v="0"/>
  </r>
  <r>
    <n v="106478"/>
    <s v="Fresno Police Dept. - CA"/>
    <n v="1286"/>
    <n v="800"/>
    <n v="16"/>
    <n v="371"/>
    <n v="356"/>
    <n v="56"/>
    <n v="0.46375"/>
    <n v="0.44500000000000001"/>
    <n v="7.0000000000000007E-2"/>
    <n v="269"/>
    <x v="2"/>
    <s v="24+ Months"/>
    <x v="0"/>
    <n v="0"/>
  </r>
  <r>
    <n v="113335"/>
    <s v="Jeffersonville Police Department - IN"/>
    <n v="84"/>
    <n v="90"/>
    <n v="11"/>
    <n v="370"/>
    <n v="28"/>
    <n v="17"/>
    <n v="4.1111111111111107"/>
    <n v="0.31111111111111112"/>
    <n v="0.18888888888888891"/>
    <n v="74"/>
    <x v="0"/>
    <s v="18-24 Months"/>
    <x v="2"/>
    <n v="84"/>
  </r>
  <r>
    <n v="112546"/>
    <s v="Mooresville Police Dept. - NC"/>
    <n v="82"/>
    <n v="130"/>
    <n v="10"/>
    <n v="369"/>
    <n v="346"/>
    <n v="344"/>
    <n v="2.838461538461539"/>
    <n v="2.661538461538461"/>
    <n v="2.6461538461538461"/>
    <n v="78"/>
    <x v="0"/>
    <s v="18-24 Months"/>
    <x v="1"/>
    <n v="82"/>
  </r>
  <r>
    <s v="CA0115409"/>
    <s v="Peel Regional Police Service - CAN"/>
    <n v="2119"/>
    <n v="750"/>
    <n v="7"/>
    <n v="366"/>
    <n v="366"/>
    <n v="208"/>
    <n v="0.48799999999999999"/>
    <n v="0.48799999999999999"/>
    <n v="0.27733333333333332"/>
    <n v="1969"/>
    <x v="0"/>
    <s v="18-24 Months"/>
    <x v="0"/>
    <n v="0"/>
  </r>
  <r>
    <n v="223835"/>
    <s v="Kentwood Police Department - MI"/>
    <n v="147"/>
    <n v="80"/>
    <n v="7"/>
    <n v="366"/>
    <n v="366"/>
    <n v="306"/>
    <n v="4.5750000000000002"/>
    <n v="4.5750000000000002"/>
    <n v="3.8250000000000002"/>
    <n v="69"/>
    <x v="0"/>
    <s v="18-24 Months"/>
    <x v="2"/>
    <n v="147"/>
  </r>
  <r>
    <n v="167139"/>
    <s v="Fort Mill Police Dept. - SC"/>
    <n v="160"/>
    <n v="99"/>
    <n v="17"/>
    <n v="360"/>
    <n v="332"/>
    <n v="29"/>
    <n v="3.6363636363636358"/>
    <n v="3.3535353535353529"/>
    <n v="0.29292929292929287"/>
    <n v="5"/>
    <x v="2"/>
    <s v="24+ Months"/>
    <x v="2"/>
    <n v="160"/>
  </r>
  <r>
    <n v="150938"/>
    <s v="Suffolk Police Dept. - VA"/>
    <n v="185"/>
    <n v="230"/>
    <n v="22"/>
    <n v="359"/>
    <n v="145"/>
    <n v="55"/>
    <n v="1.560869565217391"/>
    <n v="0.63043478260869568"/>
    <n v="0.2391304347826087"/>
    <n v="162"/>
    <x v="2"/>
    <s v="24+ Months"/>
    <x v="1"/>
    <n v="0"/>
  </r>
  <r>
    <n v="109267"/>
    <s v="Sumter County Sheriff - FL"/>
    <n v="55"/>
    <n v="252"/>
    <n v="49"/>
    <n v="358"/>
    <n v="233"/>
    <n v="196"/>
    <n v="1.4206349206349209"/>
    <n v="0.92460317460317465"/>
    <n v="0.77777777777777779"/>
    <n v="4"/>
    <x v="1"/>
    <s v="24+ Months"/>
    <x v="1"/>
    <n v="0"/>
  </r>
  <r>
    <n v="110173"/>
    <s v="Richmond Hill Police Dept. - GA"/>
    <n v="43"/>
    <n v="41"/>
    <n v="8"/>
    <n v="352"/>
    <n v="320"/>
    <n v="232"/>
    <n v="8.5853658536585371"/>
    <n v="7.8048780487804876"/>
    <n v="5.6585365853658534"/>
    <n v="87"/>
    <x v="0"/>
    <s v="18-24 Months"/>
    <x v="2"/>
    <n v="43"/>
  </r>
  <r>
    <n v="106590"/>
    <s v="Appleton Police Department - WI"/>
    <n v="150"/>
    <n v="115"/>
    <n v="49"/>
    <n v="348"/>
    <n v="322"/>
    <n v="306"/>
    <n v="3.026086956521739"/>
    <n v="2.8"/>
    <n v="2.660869565217391"/>
    <n v="157"/>
    <x v="1"/>
    <s v="24+ Months"/>
    <x v="1"/>
    <n v="150"/>
  </r>
  <r>
    <n v="195409"/>
    <s v="Jackson Police Dept. - WY"/>
    <n v="39"/>
    <n v="41"/>
    <n v="8"/>
    <n v="346"/>
    <n v="346"/>
    <n v="346"/>
    <n v="8.4390243902439028"/>
    <n v="8.4390243902439028"/>
    <n v="8.4390243902439028"/>
    <n v="34"/>
    <x v="0"/>
    <s v="18-24 Months"/>
    <x v="2"/>
    <n v="39"/>
  </r>
  <r>
    <n v="198611"/>
    <s v="Malden Police Department - MA"/>
    <n v="105"/>
    <n v="105"/>
    <n v="11"/>
    <n v="345"/>
    <n v="34"/>
    <n v="10"/>
    <n v="3.285714285714286"/>
    <n v="0.32380952380952382"/>
    <n v="9.5238095238095233E-2"/>
    <n v="0"/>
    <x v="0"/>
    <s v="18-24 Months"/>
    <x v="1"/>
    <n v="105"/>
  </r>
  <r>
    <n v="459269"/>
    <s v="Brookhaven Police Department - GA"/>
    <n v="104"/>
    <n v="10"/>
    <n v="12"/>
    <n v="345"/>
    <n v="265"/>
    <n v="22"/>
    <n v="34.5"/>
    <n v="26.5"/>
    <n v="2.2000000000000002"/>
    <n v="9"/>
    <x v="0"/>
    <s v="18-24 Months"/>
    <x v="2"/>
    <n v="104"/>
  </r>
  <r>
    <n v="112636"/>
    <s v="Royal Oak Police Dept.- MI"/>
    <n v="85"/>
    <n v="76"/>
    <n v="47"/>
    <n v="336"/>
    <n v="336"/>
    <n v="105"/>
    <n v="4.4210526315789478"/>
    <n v="4.4210526315789478"/>
    <n v="1.381578947368421"/>
    <n v="8"/>
    <x v="1"/>
    <s v="24+ Months"/>
    <x v="2"/>
    <n v="85"/>
  </r>
  <r>
    <n v="172686"/>
    <s v="Holly Springs Police Dept. - NC"/>
    <n v="1"/>
    <n v="73"/>
    <n v="9"/>
    <n v="331"/>
    <n v="296"/>
    <n v="123"/>
    <n v="4.5342465753424657"/>
    <n v="4.0547945205479454"/>
    <n v="1.6849315068493149"/>
    <n v="11"/>
    <x v="0"/>
    <s v="18-24 Months"/>
    <x v="2"/>
    <n v="1"/>
  </r>
  <r>
    <n v="154313"/>
    <s v="Marion County Sheriff's Office - IL"/>
    <n v="24"/>
    <n v="40"/>
    <n v="9"/>
    <n v="329"/>
    <n v="284"/>
    <n v="38"/>
    <n v="8.2249999999999996"/>
    <n v="7.1"/>
    <n v="0.95"/>
    <n v="21"/>
    <x v="0"/>
    <s v="18-24 Months"/>
    <x v="2"/>
    <n v="24"/>
  </r>
  <r>
    <n v="135343"/>
    <s v="Valdosta Police Department - GA"/>
    <n v="3"/>
    <n v="109"/>
    <n v="7"/>
    <n v="328"/>
    <n v="313"/>
    <n v="4"/>
    <n v="3.0091743119266061"/>
    <n v="2.8715596330275228"/>
    <n v="3.669724770642202E-2"/>
    <n v="33"/>
    <x v="0"/>
    <s v="18-24 Months"/>
    <x v="1"/>
    <n v="3"/>
  </r>
  <r>
    <n v="454367"/>
    <s v="Louisville Metro Department of Corrections - KY"/>
    <n v="403"/>
    <n v="400"/>
    <n v="12"/>
    <n v="326"/>
    <n v="53"/>
    <n v="52"/>
    <n v="0.81499999999999995"/>
    <n v="0.13250000000000001"/>
    <n v="0.13"/>
    <n v="2"/>
    <x v="0"/>
    <s v="18-24 Months"/>
    <x v="1"/>
    <n v="0"/>
  </r>
  <r>
    <n v="185357"/>
    <s v="St. Cloud Police Dept. - FL"/>
    <n v="100"/>
    <n v="241"/>
    <n v="43"/>
    <n v="323"/>
    <n v="69"/>
    <n v="44"/>
    <n v="1.340248962655602"/>
    <n v="0.2863070539419087"/>
    <n v="0.18257261410788381"/>
    <n v="0"/>
    <x v="1"/>
    <s v="24+ Months"/>
    <x v="1"/>
    <n v="0"/>
  </r>
  <r>
    <n v="205360"/>
    <s v="Monterey County Sheriffs Office - CA"/>
    <n v="356"/>
    <n v="320"/>
    <n v="14"/>
    <n v="320"/>
    <n v="32"/>
    <n v="1"/>
    <n v="1"/>
    <n v="0.1"/>
    <n v="3.1250000000000002E-3"/>
    <n v="1"/>
    <x v="2"/>
    <s v="24+ Months"/>
    <x v="1"/>
    <n v="0"/>
  </r>
  <r>
    <n v="109207"/>
    <s v="Kissimmee Police Dept. - FL"/>
    <n v="162"/>
    <n v="166"/>
    <n v="50"/>
    <n v="313"/>
    <n v="227"/>
    <n v="143"/>
    <n v="1.8855421686746989"/>
    <n v="1.367469879518072"/>
    <n v="0.86144578313253017"/>
    <n v="139"/>
    <x v="1"/>
    <s v="24+ Months"/>
    <x v="1"/>
    <n v="0"/>
  </r>
  <r>
    <n v="108462"/>
    <s v="Englewood Police Department - OH"/>
    <n v="25"/>
    <n v="25"/>
    <n v="11"/>
    <n v="309"/>
    <n v="184"/>
    <n v="5"/>
    <n v="12.36"/>
    <n v="7.36"/>
    <n v="0.2"/>
    <n v="67"/>
    <x v="0"/>
    <s v="18-24 Months"/>
    <x v="2"/>
    <n v="25"/>
  </r>
  <r>
    <n v="111065"/>
    <s v="Boynton Beach Police Dept. - FL"/>
    <n v="160"/>
    <n v="828"/>
    <n v="19"/>
    <n v="308"/>
    <n v="284"/>
    <n v="20"/>
    <n v="0.3719806763285024"/>
    <n v="0.34299516908212557"/>
    <n v="2.415458937198068E-2"/>
    <n v="623"/>
    <x v="2"/>
    <s v="24+ Months"/>
    <x v="0"/>
    <n v="0"/>
  </r>
  <r>
    <n v="149335"/>
    <s v="Decatur County Sheriff's Office - IN"/>
    <n v="47"/>
    <n v="42"/>
    <n v="10"/>
    <n v="307"/>
    <n v="3"/>
    <n v="3"/>
    <n v="7.3095238095238093"/>
    <n v="7.1428571428571425E-2"/>
    <n v="7.1428571428571425E-2"/>
    <n v="0"/>
    <x v="0"/>
    <s v="18-24 Months"/>
    <x v="2"/>
    <n v="47"/>
  </r>
  <r>
    <n v="109178"/>
    <s v="Yavapai County Sheriff's Office - AZ"/>
    <n v="165"/>
    <n v="193"/>
    <n v="15"/>
    <n v="304"/>
    <n v="94"/>
    <n v="0"/>
    <n v="1.575129533678757"/>
    <n v="0.48704663212435229"/>
    <n v="0"/>
    <n v="0"/>
    <x v="2"/>
    <s v="24+ Months"/>
    <x v="1"/>
    <n v="0"/>
  </r>
  <r>
    <n v="140442"/>
    <s v="Elkhart County Sheriff's Office - IN"/>
    <n v="4"/>
    <n v="189"/>
    <n v="46"/>
    <n v="303"/>
    <n v="198"/>
    <n v="151"/>
    <n v="1.603174603174603"/>
    <n v="1.0476190476190479"/>
    <n v="0.79894179894179895"/>
    <n v="67"/>
    <x v="1"/>
    <s v="24+ Months"/>
    <x v="1"/>
    <n v="0"/>
  </r>
  <r>
    <n v="112209"/>
    <s v="Wauwatosa Police Dept. - WI"/>
    <n v="123"/>
    <n v="75"/>
    <n v="9"/>
    <n v="301"/>
    <n v="299"/>
    <n v="0"/>
    <n v="4.0133333333333336"/>
    <n v="3.9866666666666668"/>
    <n v="0"/>
    <n v="51"/>
    <x v="0"/>
    <s v="18-24 Months"/>
    <x v="2"/>
    <n v="123"/>
  </r>
  <r>
    <n v="320923"/>
    <s v="Peachtree City Police Dept - GA"/>
    <n v="67"/>
    <n v="80"/>
    <n v="12"/>
    <n v="300"/>
    <n v="94"/>
    <n v="41"/>
    <n v="3.75"/>
    <n v="1.175"/>
    <n v="0.51249999999999996"/>
    <n v="0"/>
    <x v="0"/>
    <s v="18-24 Months"/>
    <x v="2"/>
    <n v="67"/>
  </r>
  <r>
    <n v="138516"/>
    <s v="North Port Police Dept. - FL"/>
    <n v="140"/>
    <n v="168"/>
    <n v="20"/>
    <n v="298"/>
    <n v="267"/>
    <n v="218"/>
    <n v="1.7738095238095239"/>
    <n v="1.589285714285714"/>
    <n v="1.2976190476190479"/>
    <n v="0"/>
    <x v="2"/>
    <s v="24+ Months"/>
    <x v="1"/>
    <n v="0"/>
  </r>
  <r>
    <n v="114759"/>
    <s v="Williams County Sheriff's Office - ND"/>
    <n v="51"/>
    <n v="67"/>
    <n v="10"/>
    <n v="298"/>
    <n v="29"/>
    <n v="26"/>
    <n v="4.4477611940298507"/>
    <n v="0.43283582089552242"/>
    <n v="0.38805970149253732"/>
    <n v="13"/>
    <x v="0"/>
    <s v="18-24 Months"/>
    <x v="2"/>
    <n v="51"/>
  </r>
  <r>
    <n v="466044"/>
    <s v="Pigeon Forge Police Dept. - TN"/>
    <n v="70"/>
    <n v="82"/>
    <n v="9"/>
    <n v="297"/>
    <n v="282"/>
    <n v="115"/>
    <n v="3.6219512195121948"/>
    <n v="3.4390243902439019"/>
    <n v="1.402439024390244"/>
    <n v="98"/>
    <x v="0"/>
    <s v="18-24 Months"/>
    <x v="2"/>
    <n v="70"/>
  </r>
  <r>
    <n v="185176"/>
    <s v="Lafayette Police Department - CO"/>
    <n v="49"/>
    <n v="53"/>
    <n v="9"/>
    <n v="297"/>
    <n v="297"/>
    <n v="219"/>
    <n v="5.6037735849056602"/>
    <n v="5.6037735849056602"/>
    <n v="4.132075471698113"/>
    <n v="53"/>
    <x v="0"/>
    <s v="18-24 Months"/>
    <x v="2"/>
    <n v="49"/>
  </r>
  <r>
    <n v="155646"/>
    <s v="Centralia Police Dept. - IL"/>
    <n v="29"/>
    <n v="26"/>
    <n v="9"/>
    <n v="297"/>
    <n v="246"/>
    <n v="40"/>
    <n v="11.42307692307692"/>
    <n v="9.4615384615384617"/>
    <n v="1.538461538461539"/>
    <n v="58"/>
    <x v="0"/>
    <s v="18-24 Months"/>
    <x v="2"/>
    <n v="29"/>
  </r>
  <r>
    <n v="113552"/>
    <s v="Lake Stevens Police Dept. - WA"/>
    <n v="50"/>
    <n v="45"/>
    <n v="9"/>
    <n v="294"/>
    <n v="293"/>
    <n v="233"/>
    <n v="6.5333333333333332"/>
    <n v="6.5111111111111111"/>
    <n v="5.177777777777778"/>
    <n v="79"/>
    <x v="0"/>
    <s v="18-24 Months"/>
    <x v="2"/>
    <n v="50"/>
  </r>
  <r>
    <n v="154340"/>
    <s v="Bartow County Sheriff's Office - GA"/>
    <n v="0"/>
    <n v="180"/>
    <n v="16"/>
    <n v="289"/>
    <n v="73"/>
    <n v="17"/>
    <n v="1.6055555555555561"/>
    <n v="0.40555555555555561"/>
    <n v="9.4444444444444442E-2"/>
    <n v="18"/>
    <x v="2"/>
    <s v="24+ Months"/>
    <x v="1"/>
    <n v="0"/>
  </r>
  <r>
    <n v="106976"/>
    <s v="Santa Monica Police Dept. - CA"/>
    <n v="350"/>
    <n v="242"/>
    <n v="7"/>
    <n v="286"/>
    <n v="13"/>
    <n v="3"/>
    <n v="1.1818181818181821"/>
    <n v="5.3719008264462811E-2"/>
    <n v="1.239669421487603E-2"/>
    <n v="19"/>
    <x v="0"/>
    <s v="18-24 Months"/>
    <x v="1"/>
    <n v="0"/>
  </r>
  <r>
    <n v="118223"/>
    <s v="Lynchburg Police Department - VA"/>
    <n v="183"/>
    <n v="186"/>
    <n v="25"/>
    <n v="284"/>
    <n v="275"/>
    <n v="5"/>
    <n v="1.5268817204301079"/>
    <n v="1.478494623655914"/>
    <n v="2.6881720430107531E-2"/>
    <n v="0"/>
    <x v="1"/>
    <s v="24+ Months"/>
    <x v="1"/>
    <n v="0"/>
  </r>
  <r>
    <n v="121102"/>
    <s v="Surf City Police Department - NC"/>
    <n v="25"/>
    <n v="20"/>
    <n v="14"/>
    <n v="284"/>
    <n v="97"/>
    <n v="40"/>
    <n v="14.2"/>
    <n v="4.8499999999999996"/>
    <n v="2"/>
    <n v="25"/>
    <x v="2"/>
    <s v="24+ Months"/>
    <x v="2"/>
    <n v="25"/>
  </r>
  <r>
    <n v="112177"/>
    <s v="Wilkes-Barre City Police Dept - PA"/>
    <n v="78"/>
    <n v="5"/>
    <n v="47"/>
    <n v="281"/>
    <n v="183"/>
    <n v="151"/>
    <n v="56.2"/>
    <n v="36.6"/>
    <n v="30.2"/>
    <n v="1"/>
    <x v="1"/>
    <s v="24+ Months"/>
    <x v="2"/>
    <n v="78"/>
  </r>
  <r>
    <n v="112610"/>
    <s v="City of Bend, Police Dept -OR"/>
    <n v="144"/>
    <n v="126"/>
    <n v="10"/>
    <n v="279"/>
    <n v="37"/>
    <n v="8"/>
    <n v="2.214285714285714"/>
    <n v="0.29365079365079372"/>
    <n v="6.3492063492063489E-2"/>
    <n v="6"/>
    <x v="0"/>
    <s v="18-24 Months"/>
    <x v="1"/>
    <n v="144"/>
  </r>
  <r>
    <n v="106000"/>
    <s v="Atlanta Police Dept. - GA"/>
    <n v="1800"/>
    <n v="2337"/>
    <n v="33"/>
    <n v="277"/>
    <n v="164"/>
    <n v="134"/>
    <n v="0.118528027385537"/>
    <n v="7.0175438596491224E-2"/>
    <n v="5.7338468121523323E-2"/>
    <n v="0"/>
    <x v="1"/>
    <s v="24+ Months"/>
    <x v="0"/>
    <n v="0"/>
  </r>
  <r>
    <n v="478409"/>
    <s v="Pennsylvania DOC and Parole"/>
    <n v="0"/>
    <n v="25"/>
    <n v="19"/>
    <n v="276"/>
    <n v="17"/>
    <n v="9"/>
    <n v="11.04"/>
    <n v="0.68"/>
    <n v="0.36"/>
    <n v="2"/>
    <x v="2"/>
    <s v="24+ Months"/>
    <x v="2"/>
    <n v="0"/>
  </r>
  <r>
    <n v="108500"/>
    <s v="Sevier County Sheriff's Office - TN"/>
    <n v="59"/>
    <n v="92"/>
    <n v="14"/>
    <n v="270"/>
    <n v="192"/>
    <n v="154"/>
    <n v="2.9347826086956519"/>
    <n v="2.0869565217391299"/>
    <n v="1.673913043478261"/>
    <n v="0"/>
    <x v="2"/>
    <s v="24+ Months"/>
    <x v="2"/>
    <n v="59"/>
  </r>
  <r>
    <n v="300074"/>
    <s v="State of Hawai'i, Dept. of Law Enforcement"/>
    <n v="1"/>
    <n v="200"/>
    <n v="12"/>
    <n v="270"/>
    <n v="247"/>
    <n v="88"/>
    <n v="1.35"/>
    <n v="1.2350000000000001"/>
    <n v="0.44"/>
    <n v="73"/>
    <x v="0"/>
    <s v="18-24 Months"/>
    <x v="1"/>
    <n v="0"/>
  </r>
  <r>
    <n v="105678"/>
    <s v="East Point Police Dept. - GA"/>
    <n v="90"/>
    <n v="115"/>
    <n v="42"/>
    <n v="265"/>
    <n v="63"/>
    <n v="58"/>
    <n v="2.304347826086957"/>
    <n v="0.54782608695652169"/>
    <n v="0.5043478260869565"/>
    <n v="256"/>
    <x v="1"/>
    <s v="24+ Months"/>
    <x v="1"/>
    <n v="90"/>
  </r>
  <r>
    <n v="310911"/>
    <s v="Lockport Police Dept. - NY"/>
    <n v="58"/>
    <n v="51"/>
    <n v="10"/>
    <n v="263"/>
    <n v="26"/>
    <n v="0"/>
    <n v="5.1568627450980404"/>
    <n v="0.50980392156862742"/>
    <n v="0"/>
    <n v="0"/>
    <x v="0"/>
    <s v="18-24 Months"/>
    <x v="2"/>
    <n v="58"/>
  </r>
  <r>
    <n v="109208"/>
    <s v="Orlando Police Dept. - FL"/>
    <n v="1200"/>
    <n v="1062"/>
    <n v="7"/>
    <n v="260"/>
    <n v="173"/>
    <n v="173"/>
    <n v="0.2448210922787194"/>
    <n v="0.16290018832391709"/>
    <n v="0.16290018832391709"/>
    <n v="13"/>
    <x v="0"/>
    <s v="18-24 Months"/>
    <x v="0"/>
    <n v="0"/>
  </r>
  <r>
    <n v="115929"/>
    <s v="Sarasota Police Dept - FL"/>
    <n v="187"/>
    <n v="205"/>
    <n v="8"/>
    <n v="260"/>
    <n v="154"/>
    <n v="18"/>
    <n v="1.2682926829268291"/>
    <n v="0.75121951219512195"/>
    <n v="8.7804878048780483E-2"/>
    <n v="270"/>
    <x v="0"/>
    <s v="18-24 Months"/>
    <x v="1"/>
    <n v="0"/>
  </r>
  <r>
    <n v="110628"/>
    <s v="Rensselaer County Sheriff's Office - NY"/>
    <n v="3"/>
    <n v="40"/>
    <n v="8"/>
    <n v="259"/>
    <n v="203"/>
    <n v="3"/>
    <n v="6.4749999999999996"/>
    <n v="5.0750000000000002"/>
    <n v="7.4999999999999997E-2"/>
    <n v="90"/>
    <x v="0"/>
    <s v="18-24 Months"/>
    <x v="2"/>
    <n v="3"/>
  </r>
  <r>
    <n v="108080"/>
    <s v="Waukesha Police Dept. - WI"/>
    <n v="152"/>
    <n v="120"/>
    <n v="45"/>
    <n v="258"/>
    <n v="161"/>
    <n v="123"/>
    <n v="2.15"/>
    <n v="1.341666666666667"/>
    <n v="1.0249999999999999"/>
    <n v="46"/>
    <x v="1"/>
    <s v="24+ Months"/>
    <x v="1"/>
    <n v="152"/>
  </r>
  <r>
    <n v="499976"/>
    <s v="City of South Fulton Police Department - GA"/>
    <n v="266"/>
    <n v="236"/>
    <n v="11"/>
    <n v="257"/>
    <n v="7"/>
    <n v="1"/>
    <n v="1.0889830508474581"/>
    <n v="2.966101694915254E-2"/>
    <n v="4.2372881355932203E-3"/>
    <n v="13"/>
    <x v="0"/>
    <s v="18-24 Months"/>
    <x v="1"/>
    <n v="0"/>
  </r>
  <r>
    <n v="106658"/>
    <s v="Mobile Police Department - AL"/>
    <n v="449"/>
    <n v="490"/>
    <n v="46"/>
    <n v="255"/>
    <n v="180"/>
    <n v="4"/>
    <n v="0.52040816326530615"/>
    <n v="0.36734693877551022"/>
    <n v="8.1632653061224497E-3"/>
    <n v="96"/>
    <x v="1"/>
    <s v="24+ Months"/>
    <x v="1"/>
    <n v="0"/>
  </r>
  <r>
    <n v="216820"/>
    <s v="Grapevine Police Dept. - TX"/>
    <n v="100"/>
    <n v="115"/>
    <n v="21"/>
    <n v="254"/>
    <n v="220"/>
    <n v="196"/>
    <n v="2.2086956521739132"/>
    <n v="1.9130434782608701"/>
    <n v="1.704347826086956"/>
    <n v="4"/>
    <x v="2"/>
    <s v="24+ Months"/>
    <x v="1"/>
    <n v="100"/>
  </r>
  <r>
    <n v="157831"/>
    <s v="Minnetonka Police Department - MN"/>
    <n v="5"/>
    <n v="70"/>
    <n v="9"/>
    <n v="251"/>
    <n v="0"/>
    <n v="0"/>
    <n v="3.5857142857142859"/>
    <n v="0"/>
    <n v="0"/>
    <n v="0"/>
    <x v="0"/>
    <s v="18-24 Months"/>
    <x v="2"/>
    <n v="5"/>
  </r>
  <r>
    <n v="116147"/>
    <s v="Elk Grove Police Dept. - CA"/>
    <n v="128"/>
    <n v="190"/>
    <n v="10"/>
    <n v="250"/>
    <n v="202"/>
    <n v="0"/>
    <n v="1.3157894736842111"/>
    <n v="1.0631578947368421"/>
    <n v="0"/>
    <n v="42"/>
    <x v="0"/>
    <s v="18-24 Months"/>
    <x v="1"/>
    <n v="0"/>
  </r>
  <r>
    <n v="141887"/>
    <s v="St. Charles Parish Sheriff's Office - LA"/>
    <n v="276"/>
    <n v="365"/>
    <n v="46"/>
    <n v="242"/>
    <n v="218"/>
    <n v="119"/>
    <n v="0.66301369863013704"/>
    <n v="0.59726027397260273"/>
    <n v="0.32602739726027402"/>
    <n v="379"/>
    <x v="1"/>
    <s v="24+ Months"/>
    <x v="1"/>
    <n v="0"/>
  </r>
  <r>
    <n v="108566"/>
    <s v="Collier County Sheriff's Office - FL"/>
    <n v="20"/>
    <n v="550"/>
    <n v="10"/>
    <n v="240"/>
    <n v="107"/>
    <n v="12"/>
    <n v="0.43636363636363629"/>
    <n v="0.19454545454545449"/>
    <n v="2.181818181818182E-2"/>
    <n v="24"/>
    <x v="0"/>
    <s v="18-24 Months"/>
    <x v="0"/>
    <n v="0"/>
  </r>
  <r>
    <n v="107197"/>
    <s v="Washington State Patrol - District 1- WA"/>
    <n v="1202"/>
    <n v="1202"/>
    <n v="16"/>
    <n v="237"/>
    <n v="44"/>
    <n v="13"/>
    <n v="0.197171381031614"/>
    <n v="3.6605657237936767E-2"/>
    <n v="1.08153078202995E-2"/>
    <n v="64"/>
    <x v="2"/>
    <s v="24+ Months"/>
    <x v="0"/>
    <n v="0"/>
  </r>
  <r>
    <n v="147636"/>
    <s v="Winter Haven Police Dept. - FL"/>
    <n v="91"/>
    <n v="97"/>
    <n v="13"/>
    <n v="237"/>
    <n v="89"/>
    <n v="63"/>
    <n v="2.4432989690721651"/>
    <n v="0.91752577319587625"/>
    <n v="0.64948453608247425"/>
    <n v="73"/>
    <x v="2"/>
    <s v="24+ Months"/>
    <x v="2"/>
    <n v="91"/>
  </r>
  <r>
    <n v="132232"/>
    <s v="Howard County Police Dept. - MD"/>
    <n v="300"/>
    <n v="499"/>
    <n v="22"/>
    <n v="234"/>
    <n v="108"/>
    <n v="24"/>
    <n v="0.46893787575150297"/>
    <n v="0.21643286573146289"/>
    <n v="4.8096192384769539E-2"/>
    <n v="141"/>
    <x v="2"/>
    <s v="24+ Months"/>
    <x v="1"/>
    <n v="0"/>
  </r>
  <r>
    <n v="109685"/>
    <s v="Broomfield Police Dept. - CO"/>
    <n v="219"/>
    <n v="218"/>
    <n v="10"/>
    <n v="233"/>
    <n v="105"/>
    <n v="2"/>
    <n v="1.068807339449541"/>
    <n v="0.48165137614678899"/>
    <n v="9.1743119266055051E-3"/>
    <n v="0"/>
    <x v="0"/>
    <s v="18-24 Months"/>
    <x v="1"/>
    <n v="0"/>
  </r>
  <r>
    <n v="124863"/>
    <s v="Hoffman Estates Police Dept. - IL"/>
    <n v="114"/>
    <n v="100"/>
    <n v="8"/>
    <n v="233"/>
    <n v="231"/>
    <n v="1"/>
    <n v="2.33"/>
    <n v="2.31"/>
    <n v="0.01"/>
    <n v="160"/>
    <x v="0"/>
    <s v="18-24 Months"/>
    <x v="1"/>
    <n v="114"/>
  </r>
  <r>
    <n v="112745"/>
    <s v="Mandeville Police Dept. - LA"/>
    <n v="46"/>
    <n v="47"/>
    <n v="37"/>
    <n v="230"/>
    <n v="230"/>
    <n v="230"/>
    <n v="4.8936170212765946"/>
    <n v="4.8936170212765946"/>
    <n v="4.8936170212765946"/>
    <n v="0"/>
    <x v="1"/>
    <s v="24+ Months"/>
    <x v="2"/>
    <n v="46"/>
  </r>
  <r>
    <n v="316716"/>
    <s v="BUFFALO CITY POLICE DEPT. - NY"/>
    <n v="724"/>
    <n v="580"/>
    <n v="28"/>
    <n v="229"/>
    <n v="174"/>
    <n v="57"/>
    <n v="0.39482758620689662"/>
    <n v="0.3"/>
    <n v="9.8275862068965519E-2"/>
    <n v="1048"/>
    <x v="1"/>
    <s v="24+ Months"/>
    <x v="0"/>
    <n v="0"/>
  </r>
  <r>
    <n v="109806"/>
    <s v="Downers Grove Police Dept. - IL"/>
    <n v="75"/>
    <n v="71"/>
    <n v="33"/>
    <n v="228"/>
    <n v="219"/>
    <n v="219"/>
    <n v="3.211267605633803"/>
    <n v="3.084507042253521"/>
    <n v="3.084507042253521"/>
    <n v="0"/>
    <x v="1"/>
    <s v="24+ Months"/>
    <x v="2"/>
    <n v="75"/>
  </r>
  <r>
    <n v="108570"/>
    <s v="San Leandro Police Dept. - CA"/>
    <n v="115"/>
    <n v="100"/>
    <n v="13"/>
    <n v="226"/>
    <n v="175"/>
    <n v="17"/>
    <n v="2.2599999999999998"/>
    <n v="1.75"/>
    <n v="0.17"/>
    <n v="34"/>
    <x v="2"/>
    <s v="24+ Months"/>
    <x v="1"/>
    <n v="115"/>
  </r>
  <r>
    <n v="108011"/>
    <s v="Adams County Sheriff's Office - CO"/>
    <n v="476"/>
    <n v="464"/>
    <n v="7"/>
    <n v="222"/>
    <n v="222"/>
    <n v="172"/>
    <n v="0.47844827586206901"/>
    <n v="0.47844827586206901"/>
    <n v="0.37068965517241381"/>
    <n v="3"/>
    <x v="0"/>
    <s v="18-24 Months"/>
    <x v="1"/>
    <n v="0"/>
  </r>
  <r>
    <n v="309704"/>
    <s v="Saratoga County Sheriff's Office - NY"/>
    <n v="198"/>
    <n v="157"/>
    <n v="41"/>
    <n v="222"/>
    <n v="222"/>
    <n v="143"/>
    <n v="1.4140127388535031"/>
    <n v="1.4140127388535031"/>
    <n v="0.91082802547770703"/>
    <n v="18"/>
    <x v="1"/>
    <s v="24+ Months"/>
    <x v="1"/>
    <n v="0"/>
  </r>
  <r>
    <n v="106896"/>
    <s v="Fairfax County Police Dept. - VA"/>
    <n v="1515"/>
    <n v="1210"/>
    <n v="7"/>
    <n v="221"/>
    <n v="161"/>
    <n v="1"/>
    <n v="0.18264462809917359"/>
    <n v="0.1330578512396694"/>
    <n v="8.2644628099173552E-4"/>
    <n v="93"/>
    <x v="0"/>
    <s v="18-24 Months"/>
    <x v="0"/>
    <n v="0"/>
  </r>
  <r>
    <n v="109294"/>
    <s v="KANABEC CO SHERIFF'S OFFICE-MN"/>
    <n v="62"/>
    <n v="26"/>
    <n v="9"/>
    <n v="221"/>
    <n v="14"/>
    <n v="6"/>
    <n v="8.5"/>
    <n v="0.53846153846153844"/>
    <n v="0.23076923076923081"/>
    <n v="0"/>
    <x v="0"/>
    <s v="18-24 Months"/>
    <x v="2"/>
    <n v="62"/>
  </r>
  <r>
    <n v="478812"/>
    <s v="Union Pacific Railroad Police Dept. - NE"/>
    <n v="164"/>
    <n v="135"/>
    <n v="8"/>
    <n v="219"/>
    <n v="114"/>
    <n v="42"/>
    <n v="1.622222222222222"/>
    <n v="0.84444444444444444"/>
    <n v="0.31111111111111112"/>
    <n v="203"/>
    <x v="0"/>
    <s v="18-24 Months"/>
    <x v="1"/>
    <n v="0"/>
  </r>
  <r>
    <n v="109785"/>
    <s v="Vallejo Police Dept. - CA"/>
    <n v="141"/>
    <n v="115"/>
    <n v="13"/>
    <n v="219"/>
    <n v="16"/>
    <n v="0"/>
    <n v="1.9043478260869571"/>
    <n v="0.1391304347826087"/>
    <n v="0"/>
    <n v="0"/>
    <x v="2"/>
    <s v="24+ Months"/>
    <x v="1"/>
    <n v="0"/>
  </r>
  <r>
    <n v="112044"/>
    <s v="Kauai Police Dept. - HI"/>
    <n v="162"/>
    <n v="150"/>
    <n v="8"/>
    <n v="216"/>
    <n v="128"/>
    <n v="64"/>
    <n v="1.44"/>
    <n v="0.85333333333333339"/>
    <n v="0.42666666666666669"/>
    <n v="95"/>
    <x v="0"/>
    <s v="18-24 Months"/>
    <x v="1"/>
    <n v="0"/>
  </r>
  <r>
    <n v="144320"/>
    <s v="Ontario County Sheriff's Office - NY"/>
    <n v="148"/>
    <n v="126"/>
    <n v="14"/>
    <n v="215"/>
    <n v="80"/>
    <n v="74"/>
    <n v="1.7063492063492061"/>
    <n v="0.63492063492063489"/>
    <n v="0.58730158730158732"/>
    <n v="1"/>
    <x v="2"/>
    <s v="24+ Months"/>
    <x v="1"/>
    <n v="0"/>
  </r>
  <r>
    <n v="114833"/>
    <s v="Juneau County Sheriff's Office - WI"/>
    <n v="50"/>
    <n v="34"/>
    <n v="9"/>
    <n v="215"/>
    <n v="204"/>
    <n v="0"/>
    <n v="6.3235294117647056"/>
    <n v="6"/>
    <n v="0"/>
    <n v="35"/>
    <x v="0"/>
    <s v="18-24 Months"/>
    <x v="2"/>
    <n v="50"/>
  </r>
  <r>
    <n v="508779"/>
    <s v="Menifee Police Dept. - CA"/>
    <n v="79"/>
    <n v="106"/>
    <n v="6"/>
    <n v="213"/>
    <n v="213"/>
    <n v="195"/>
    <n v="2.0094339622641511"/>
    <n v="2.0094339622641511"/>
    <n v="1.8396226415094341"/>
    <n v="96"/>
    <x v="0"/>
    <s v="18-24 Months"/>
    <x v="1"/>
    <n v="79"/>
  </r>
  <r>
    <n v="116046"/>
    <s v="Cary Police Department - NC"/>
    <n v="242"/>
    <n v="220"/>
    <n v="16"/>
    <n v="210"/>
    <n v="69"/>
    <n v="48"/>
    <n v="0.95454545454545459"/>
    <n v="0.31363636363636371"/>
    <n v="0.2181818181818182"/>
    <n v="0"/>
    <x v="2"/>
    <s v="24+ Months"/>
    <x v="1"/>
    <n v="0"/>
  </r>
  <r>
    <n v="105756"/>
    <s v="Pueblo Police Department - CO"/>
    <n v="195"/>
    <n v="271"/>
    <n v="9"/>
    <n v="206"/>
    <n v="151"/>
    <n v="104"/>
    <n v="0.76014760147601479"/>
    <n v="0.55719557195571956"/>
    <n v="0.3837638376383764"/>
    <n v="130"/>
    <x v="0"/>
    <s v="18-24 Months"/>
    <x v="1"/>
    <n v="0"/>
  </r>
  <r>
    <n v="112511"/>
    <s v="Coppell Police Dept - TX"/>
    <n v="129"/>
    <n v="73"/>
    <n v="12"/>
    <n v="206"/>
    <n v="173"/>
    <n v="17"/>
    <n v="2.8219178082191778"/>
    <n v="2.3698630136986298"/>
    <n v="0.23287671232876711"/>
    <n v="148"/>
    <x v="0"/>
    <s v="18-24 Months"/>
    <x v="2"/>
    <n v="129"/>
  </r>
  <r>
    <n v="106750"/>
    <s v="Iberia Parish Sheriff's Office - LA"/>
    <n v="1"/>
    <n v="37"/>
    <n v="9"/>
    <n v="205"/>
    <n v="184"/>
    <n v="0"/>
    <n v="5.5405405405405403"/>
    <n v="4.9729729729729728"/>
    <n v="0"/>
    <n v="3"/>
    <x v="0"/>
    <s v="18-24 Months"/>
    <x v="2"/>
    <n v="1"/>
  </r>
  <r>
    <n v="132962"/>
    <s v="Bolingbrook Police Dept. - IL"/>
    <n v="123"/>
    <n v="120"/>
    <n v="14"/>
    <n v="204"/>
    <n v="39"/>
    <n v="10"/>
    <n v="1.7"/>
    <n v="0.32500000000000001"/>
    <n v="8.3333333333333329E-2"/>
    <n v="45"/>
    <x v="2"/>
    <s v="24+ Months"/>
    <x v="1"/>
    <n v="0"/>
  </r>
  <r>
    <n v="105506"/>
    <s v="Chandler Police Dept. - AZ"/>
    <n v="394"/>
    <n v="364"/>
    <n v="13"/>
    <n v="201"/>
    <n v="116"/>
    <n v="52"/>
    <n v="0.55219780219780223"/>
    <n v="0.31868131868131871"/>
    <n v="0.14285714285714279"/>
    <n v="38"/>
    <x v="2"/>
    <s v="24+ Months"/>
    <x v="1"/>
    <n v="0"/>
  </r>
  <r>
    <n v="116180"/>
    <s v="Burlington Police Dept. - VT"/>
    <n v="213"/>
    <n v="87"/>
    <n v="13"/>
    <n v="198"/>
    <n v="0"/>
    <n v="0"/>
    <n v="2.2758620689655169"/>
    <n v="0"/>
    <n v="0"/>
    <n v="0"/>
    <x v="2"/>
    <s v="24+ Months"/>
    <x v="2"/>
    <n v="213"/>
  </r>
  <r>
    <n v="145461"/>
    <s v="Mauldin Police Dept. - SC"/>
    <n v="54"/>
    <n v="64"/>
    <n v="20"/>
    <n v="196"/>
    <n v="180"/>
    <n v="0"/>
    <n v="3.0625"/>
    <n v="2.8125"/>
    <n v="0"/>
    <n v="159"/>
    <x v="2"/>
    <s v="24+ Months"/>
    <x v="2"/>
    <n v="54"/>
  </r>
  <r>
    <n v="110594"/>
    <s v="Tallahassee Police Dept.-FL"/>
    <n v="399"/>
    <n v="385"/>
    <n v="6"/>
    <n v="195"/>
    <n v="195"/>
    <n v="150"/>
    <n v="0.50649350649350644"/>
    <n v="0.50649350649350644"/>
    <n v="0.38961038961038957"/>
    <n v="310"/>
    <x v="0"/>
    <s v="18-24 Months"/>
    <x v="1"/>
    <n v="0"/>
  </r>
  <r>
    <n v="305997"/>
    <s v="California State University Police - Fresno"/>
    <n v="32"/>
    <n v="27"/>
    <n v="6"/>
    <n v="193"/>
    <n v="170"/>
    <n v="0"/>
    <n v="7.1481481481481479"/>
    <n v="6.2962962962962967"/>
    <n v="0"/>
    <n v="8"/>
    <x v="0"/>
    <s v="18-24 Months"/>
    <x v="2"/>
    <n v="32"/>
  </r>
  <r>
    <n v="107430"/>
    <s v="Firestone Police Department - CO"/>
    <n v="7"/>
    <n v="34"/>
    <n v="9"/>
    <n v="193"/>
    <n v="133"/>
    <n v="125"/>
    <n v="5.6764705882352944"/>
    <n v="3.9117647058823528"/>
    <n v="3.6764705882352939"/>
    <n v="9"/>
    <x v="0"/>
    <s v="18-24 Months"/>
    <x v="2"/>
    <n v="7"/>
  </r>
  <r>
    <n v="106273"/>
    <s v="Waushara County Sheriff's Office  - WI"/>
    <n v="0"/>
    <n v="30"/>
    <n v="20"/>
    <n v="190"/>
    <n v="99"/>
    <n v="68"/>
    <n v="6.333333333333333"/>
    <n v="3.3"/>
    <n v="2.2666666666666671"/>
    <n v="2"/>
    <x v="2"/>
    <s v="24+ Months"/>
    <x v="2"/>
    <n v="0"/>
  </r>
  <r>
    <n v="106774"/>
    <s v="Tucson Police Dept - AZ"/>
    <n v="1018"/>
    <n v="998"/>
    <n v="25"/>
    <n v="189"/>
    <n v="104"/>
    <n v="73"/>
    <n v="0.18937875751503011"/>
    <n v="0.1042084168336673"/>
    <n v="7.3146292585170344E-2"/>
    <n v="85"/>
    <x v="1"/>
    <s v="24+ Months"/>
    <x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0"/>
    <s v="18-24 Months"/>
    <x v="2"/>
    <n v="1358"/>
  </r>
  <r>
    <n v="112545"/>
    <s v="Eagle Point Police Dept. - OR"/>
    <n v="25"/>
    <n v="15"/>
    <n v="10"/>
    <n v="185"/>
    <n v="6"/>
    <n v="2"/>
    <n v="12.33333333333333"/>
    <n v="0.4"/>
    <n v="0.1333333333333333"/>
    <n v="0"/>
    <x v="0"/>
    <s v="18-24 Months"/>
    <x v="2"/>
    <n v="25"/>
  </r>
  <r>
    <n v="108869"/>
    <s v="Littleton Police Department - CO"/>
    <n v="85"/>
    <n v="97"/>
    <n v="41"/>
    <n v="184"/>
    <n v="184"/>
    <n v="184"/>
    <n v="1.8969072164948451"/>
    <n v="1.8969072164948451"/>
    <n v="1.8969072164948451"/>
    <n v="23"/>
    <x v="1"/>
    <s v="24+ Months"/>
    <x v="2"/>
    <n v="0"/>
  </r>
  <r>
    <n v="156561"/>
    <s v="Northampton Township Police Dept - PA"/>
    <n v="49"/>
    <n v="37"/>
    <n v="9"/>
    <n v="184"/>
    <n v="177"/>
    <n v="130"/>
    <n v="4.9729729729729728"/>
    <n v="4.7837837837837842"/>
    <n v="3.513513513513514"/>
    <n v="4"/>
    <x v="0"/>
    <s v="18-24 Months"/>
    <x v="2"/>
    <n v="49"/>
  </r>
  <r>
    <n v="113390"/>
    <s v="Santa Cruz Police Dept. - CA"/>
    <n v="120"/>
    <n v="180"/>
    <n v="7"/>
    <n v="183"/>
    <n v="19"/>
    <n v="3"/>
    <n v="1.0166666666666671"/>
    <n v="0.1055555555555556"/>
    <n v="1.666666666666667E-2"/>
    <n v="0"/>
    <x v="0"/>
    <s v="18-24 Months"/>
    <x v="1"/>
    <n v="0"/>
  </r>
  <r>
    <n v="114763"/>
    <s v="Manor Police Dept - TX"/>
    <n v="54"/>
    <n v="45"/>
    <n v="11"/>
    <n v="183"/>
    <n v="63"/>
    <n v="18"/>
    <n v="4.0666666666666664"/>
    <n v="1.4"/>
    <n v="0.4"/>
    <n v="16"/>
    <x v="0"/>
    <s v="18-24 Months"/>
    <x v="2"/>
    <n v="54"/>
  </r>
  <r>
    <n v="105904"/>
    <s v="University of Utah Police Dept. - UT"/>
    <n v="45"/>
    <n v="46"/>
    <n v="7"/>
    <n v="182"/>
    <n v="182"/>
    <n v="161"/>
    <n v="3.956521739130435"/>
    <n v="3.956521739130435"/>
    <n v="3.5"/>
    <n v="39"/>
    <x v="0"/>
    <s v="18-24 Months"/>
    <x v="2"/>
    <n v="45"/>
  </r>
  <r>
    <n v="108354"/>
    <s v="Niceville Police Dept. - FL"/>
    <n v="35"/>
    <n v="35"/>
    <n v="10"/>
    <n v="182"/>
    <n v="18"/>
    <n v="1"/>
    <n v="5.2"/>
    <n v="0.51428571428571423"/>
    <n v="2.8571428571428571E-2"/>
    <n v="45"/>
    <x v="0"/>
    <s v="18-24 Months"/>
    <x v="2"/>
    <n v="35"/>
  </r>
  <r>
    <n v="465977"/>
    <s v="Braintree Police Dept. - MA"/>
    <n v="1"/>
    <n v="90"/>
    <n v="18"/>
    <n v="181"/>
    <n v="55"/>
    <n v="55"/>
    <n v="2.0111111111111111"/>
    <n v="0.61111111111111116"/>
    <n v="0.61111111111111116"/>
    <n v="0"/>
    <x v="2"/>
    <s v="24+ Months"/>
    <x v="2"/>
    <n v="1"/>
  </r>
  <r>
    <s v="CA0115746"/>
    <s v="CPKC Railway Police Service"/>
    <n v="0"/>
    <n v="42"/>
    <n v="21"/>
    <n v="181"/>
    <n v="135"/>
    <n v="82"/>
    <n v="4.3095238095238093"/>
    <n v="3.214285714285714"/>
    <n v="1.9523809523809521"/>
    <n v="0"/>
    <x v="2"/>
    <s v="24+ Months"/>
    <x v="2"/>
    <n v="0"/>
  </r>
  <r>
    <n v="110274"/>
    <s v="Florence County Sheriff's Office - SC"/>
    <n v="223"/>
    <n v="160"/>
    <n v="40"/>
    <n v="180"/>
    <n v="160"/>
    <n v="159"/>
    <n v="1.125"/>
    <n v="1"/>
    <n v="0.99375000000000002"/>
    <n v="43"/>
    <x v="1"/>
    <s v="24+ Months"/>
    <x v="1"/>
    <n v="0"/>
  </r>
  <r>
    <n v="111020"/>
    <s v="Durango Police Department - CO"/>
    <n v="67"/>
    <n v="70"/>
    <n v="11"/>
    <n v="173"/>
    <n v="147"/>
    <n v="17"/>
    <n v="2.471428571428572"/>
    <n v="2.1"/>
    <n v="0.24285714285714291"/>
    <n v="46"/>
    <x v="0"/>
    <s v="18-24 Months"/>
    <x v="2"/>
    <n v="67"/>
  </r>
  <r>
    <n v="474623"/>
    <s v="Nevada Dept of Motor Vehicles"/>
    <n v="16"/>
    <n v="31"/>
    <n v="22"/>
    <n v="173"/>
    <n v="76"/>
    <n v="38"/>
    <n v="5.580645161290323"/>
    <n v="2.4516129032258061"/>
    <n v="1.225806451612903"/>
    <n v="12"/>
    <x v="2"/>
    <s v="24+ Months"/>
    <x v="2"/>
    <n v="16"/>
  </r>
  <r>
    <n v="112375"/>
    <s v="DuPage County Sheriff's Office"/>
    <n v="189"/>
    <n v="174"/>
    <n v="24"/>
    <n v="168"/>
    <n v="148"/>
    <n v="71"/>
    <n v="0.96551724137931039"/>
    <n v="0.85057471264367812"/>
    <n v="0.40804597701149431"/>
    <n v="2"/>
    <x v="2"/>
    <s v="24+ Months"/>
    <x v="1"/>
    <n v="0"/>
  </r>
  <r>
    <n v="106516"/>
    <s v="Farmers Branch Police Dept. - TX"/>
    <n v="101"/>
    <n v="80"/>
    <n v="26"/>
    <n v="167"/>
    <n v="33"/>
    <n v="29"/>
    <n v="2.0874999999999999"/>
    <n v="0.41249999999999998"/>
    <n v="0.36249999999999999"/>
    <n v="57"/>
    <x v="1"/>
    <s v="24+ Months"/>
    <x v="2"/>
    <n v="101"/>
  </r>
  <r>
    <n v="112053"/>
    <s v="Jefferson Parish Sheriff's Office - LA"/>
    <n v="870"/>
    <n v="900"/>
    <n v="50"/>
    <n v="165"/>
    <n v="86"/>
    <n v="0"/>
    <n v="0.18333333333333329"/>
    <n v="9.555555555555556E-2"/>
    <n v="0"/>
    <n v="118"/>
    <x v="1"/>
    <s v="24+ Months"/>
    <x v="0"/>
    <n v="0"/>
  </r>
  <r>
    <n v="169787"/>
    <s v="Cobb County Sheriff's Office - GA"/>
    <n v="515"/>
    <n v="549"/>
    <n v="46"/>
    <n v="165"/>
    <n v="58"/>
    <n v="13"/>
    <n v="0.30054644808743169"/>
    <n v="0.1056466302367942"/>
    <n v="2.367941712204007E-2"/>
    <n v="128"/>
    <x v="1"/>
    <s v="24+ Months"/>
    <x v="1"/>
    <n v="0"/>
  </r>
  <r>
    <n v="320631"/>
    <s v="Amherst County Sheriff's Office - VA"/>
    <n v="0"/>
    <n v="63"/>
    <n v="12"/>
    <n v="163"/>
    <n v="23"/>
    <n v="8"/>
    <n v="2.587301587301587"/>
    <n v="0.36507936507936511"/>
    <n v="0.126984126984127"/>
    <n v="28"/>
    <x v="0"/>
    <s v="18-24 Months"/>
    <x v="2"/>
    <n v="0"/>
  </r>
  <r>
    <n v="551353"/>
    <s v="University of Rochester"/>
    <n v="85"/>
    <n v="85"/>
    <n v="12"/>
    <n v="159"/>
    <n v="159"/>
    <n v="47"/>
    <n v="1.8705882352941181"/>
    <n v="1.8705882352941181"/>
    <n v="0.55294117647058827"/>
    <n v="29"/>
    <x v="0"/>
    <s v="18-24 Months"/>
    <x v="2"/>
    <n v="0"/>
  </r>
  <r>
    <n v="112596"/>
    <s v="Statesville Police Department - NC"/>
    <n v="3"/>
    <n v="90"/>
    <n v="8"/>
    <n v="157"/>
    <n v="12"/>
    <n v="0"/>
    <n v="1.744444444444444"/>
    <n v="0.1333333333333333"/>
    <n v="0"/>
    <n v="0"/>
    <x v="0"/>
    <s v="18-24 Months"/>
    <x v="2"/>
    <n v="0"/>
  </r>
  <r>
    <n v="132066"/>
    <s v="North Richland Hills Police Dept. - TX"/>
    <n v="133"/>
    <n v="140"/>
    <n v="25"/>
    <n v="156"/>
    <n v="91"/>
    <n v="32"/>
    <n v="1.1142857142857141"/>
    <n v="0.65"/>
    <n v="0.22857142857142859"/>
    <n v="0"/>
    <x v="1"/>
    <s v="24+ Months"/>
    <x v="1"/>
    <n v="0"/>
  </r>
  <r>
    <n v="470672"/>
    <s v="Harris County Constable Pct. 8 - TX"/>
    <n v="0"/>
    <n v="73"/>
    <n v="28"/>
    <n v="156"/>
    <n v="87"/>
    <n v="87"/>
    <n v="2.1369863013698631"/>
    <n v="1.1917808219178081"/>
    <n v="1.1917808219178081"/>
    <n v="0"/>
    <x v="1"/>
    <s v="24+ Months"/>
    <x v="2"/>
    <n v="0"/>
  </r>
  <r>
    <s v="CA0115604"/>
    <s v="Manitoba First Nations Police Service"/>
    <n v="1"/>
    <n v="57"/>
    <n v="31"/>
    <n v="155"/>
    <n v="67"/>
    <n v="0"/>
    <n v="2.7192982456140351"/>
    <n v="1.1754385964912279"/>
    <n v="0"/>
    <n v="24"/>
    <x v="1"/>
    <s v="24+ Months"/>
    <x v="2"/>
    <n v="1"/>
  </r>
  <r>
    <n v="107887"/>
    <s v="Memphis Police Department - TN"/>
    <n v="2281"/>
    <n v="2300"/>
    <n v="27"/>
    <n v="154"/>
    <n v="125"/>
    <n v="2"/>
    <n v="6.6956521739130428E-2"/>
    <n v="5.434782608695652E-2"/>
    <n v="8.6956521739130438E-4"/>
    <n v="453"/>
    <x v="1"/>
    <s v="24+ Months"/>
    <x v="0"/>
    <n v="0"/>
  </r>
  <r>
    <n v="108635"/>
    <s v="Natrona County Sheriff's Office - WY"/>
    <n v="41"/>
    <n v="109"/>
    <n v="11"/>
    <n v="154"/>
    <n v="75"/>
    <n v="10"/>
    <n v="1.4128440366972479"/>
    <n v="0.68807339449541283"/>
    <n v="9.1743119266055051E-2"/>
    <n v="70"/>
    <x v="0"/>
    <s v="18-24 Months"/>
    <x v="1"/>
    <n v="0"/>
  </r>
  <r>
    <n v="160259"/>
    <s v="University Of Kentucky Police Department - KY"/>
    <n v="84"/>
    <n v="77"/>
    <n v="35"/>
    <n v="153"/>
    <n v="135"/>
    <n v="0"/>
    <n v="1.9870129870129869"/>
    <n v="1.7532467532467531"/>
    <n v="0"/>
    <n v="12"/>
    <x v="1"/>
    <s v="24+ Months"/>
    <x v="2"/>
    <n v="0"/>
  </r>
  <r>
    <n v="173528"/>
    <s v="Elyria Police Department - OH"/>
    <n v="75"/>
    <n v="82"/>
    <n v="45"/>
    <n v="153"/>
    <n v="124"/>
    <n v="123"/>
    <n v="1.865853658536585"/>
    <n v="1.51219512195122"/>
    <n v="1.5"/>
    <n v="6"/>
    <x v="1"/>
    <s v="24+ Months"/>
    <x v="2"/>
    <n v="0"/>
  </r>
  <r>
    <n v="108276"/>
    <s v="Jefferson County Sheriff's Office - WA"/>
    <n v="38"/>
    <n v="46"/>
    <n v="46"/>
    <n v="151"/>
    <n v="55"/>
    <n v="31"/>
    <n v="3.2826086956521738"/>
    <n v="1.195652173913043"/>
    <n v="0.67391304347826086"/>
    <n v="21"/>
    <x v="1"/>
    <s v="24+ Months"/>
    <x v="2"/>
    <n v="38"/>
  </r>
  <r>
    <n v="108767"/>
    <s v="Belton Police Department - MO"/>
    <n v="10"/>
    <n v="45"/>
    <n v="8"/>
    <n v="151"/>
    <n v="138"/>
    <n v="111"/>
    <n v="3.3555555555555561"/>
    <n v="3.0666666666666669"/>
    <n v="2.4666666666666668"/>
    <n v="73"/>
    <x v="0"/>
    <s v="18-24 Months"/>
    <x v="2"/>
    <n v="10"/>
  </r>
  <r>
    <n v="109011"/>
    <s v="Monroe Police Dept. - MI"/>
    <n v="40"/>
    <n v="38"/>
    <n v="9"/>
    <n v="150"/>
    <n v="95"/>
    <n v="23"/>
    <n v="3.947368421052631"/>
    <n v="2.5"/>
    <n v="0.60526315789473684"/>
    <n v="227"/>
    <x v="0"/>
    <s v="18-24 Months"/>
    <x v="2"/>
    <n v="40"/>
  </r>
  <r>
    <n v="114264"/>
    <s v="Catoosa County Sheriff's Office - GA"/>
    <n v="3"/>
    <n v="90"/>
    <n v="11"/>
    <n v="149"/>
    <n v="34"/>
    <n v="4"/>
    <n v="1.655555555555555"/>
    <n v="0.37777777777777782"/>
    <n v="4.4444444444444453E-2"/>
    <n v="10"/>
    <x v="0"/>
    <s v="18-24 Months"/>
    <x v="2"/>
    <n v="0"/>
  </r>
  <r>
    <n v="129244"/>
    <s v="Cuyahoga County Sheriff's Office - OH"/>
    <n v="215"/>
    <n v="1050"/>
    <n v="10"/>
    <n v="147"/>
    <n v="70"/>
    <n v="70"/>
    <n v="0.14000000000000001"/>
    <n v="6.6666666666666666E-2"/>
    <n v="6.6666666666666666E-2"/>
    <n v="134"/>
    <x v="0"/>
    <s v="18-24 Months"/>
    <x v="0"/>
    <n v="0"/>
  </r>
  <r>
    <n v="105779"/>
    <s v="Amarillo Police Dept - TX"/>
    <n v="446"/>
    <n v="268"/>
    <n v="18"/>
    <n v="144"/>
    <n v="17"/>
    <n v="4"/>
    <n v="0.53731343283582089"/>
    <n v="6.3432835820895525E-2"/>
    <n v="1.492537313432836E-2"/>
    <n v="9"/>
    <x v="2"/>
    <s v="24+ Months"/>
    <x v="1"/>
    <n v="0"/>
  </r>
  <r>
    <n v="109148"/>
    <s v="Madison County Sheriffs Office - IL"/>
    <n v="92"/>
    <n v="85"/>
    <n v="7"/>
    <n v="144"/>
    <n v="144"/>
    <n v="77"/>
    <n v="1.6941176470588239"/>
    <n v="1.6941176470588239"/>
    <n v="0.90588235294117647"/>
    <n v="38"/>
    <x v="0"/>
    <s v="18-24 Months"/>
    <x v="2"/>
    <n v="0"/>
  </r>
  <r>
    <n v="127119"/>
    <s v="Castle Shannon Police Dept. - PA"/>
    <n v="14"/>
    <n v="14"/>
    <n v="21"/>
    <n v="144"/>
    <n v="85"/>
    <n v="71"/>
    <n v="10.28571428571429"/>
    <n v="6.0714285714285712"/>
    <n v="5.0714285714285712"/>
    <n v="21"/>
    <x v="2"/>
    <s v="24+ Months"/>
    <x v="2"/>
    <n v="14"/>
  </r>
  <r>
    <n v="108109"/>
    <s v="Newport News Police Dept. - VA"/>
    <n v="499"/>
    <n v="470"/>
    <n v="40"/>
    <n v="142"/>
    <n v="98"/>
    <n v="56"/>
    <n v="0.30212765957446808"/>
    <n v="0.20851063829787231"/>
    <n v="0.1191489361702128"/>
    <n v="7"/>
    <x v="1"/>
    <s v="24+ Months"/>
    <x v="1"/>
    <n v="0"/>
  </r>
  <r>
    <n v="112461"/>
    <s v="Pekin Police Dept.- IL"/>
    <n v="29"/>
    <n v="57"/>
    <n v="49"/>
    <n v="141"/>
    <n v="75"/>
    <n v="41"/>
    <n v="2.4736842105263159"/>
    <n v="1.3157894736842111"/>
    <n v="0.7192982456140351"/>
    <n v="173"/>
    <x v="1"/>
    <s v="24+ Months"/>
    <x v="2"/>
    <n v="29"/>
  </r>
  <r>
    <n v="113399"/>
    <s v="Cheektowaga Police Dept - NY"/>
    <n v="125"/>
    <n v="100"/>
    <n v="21"/>
    <n v="139"/>
    <n v="139"/>
    <n v="122"/>
    <n v="1.39"/>
    <n v="1.39"/>
    <n v="1.22"/>
    <n v="8"/>
    <x v="2"/>
    <s v="24+ Months"/>
    <x v="1"/>
    <n v="0"/>
  </r>
  <r>
    <n v="129200"/>
    <s v="Frederick County Sheriff's Office - MD"/>
    <n v="216"/>
    <n v="210"/>
    <n v="33"/>
    <n v="138"/>
    <n v="85"/>
    <n v="8"/>
    <n v="0.65714285714285714"/>
    <n v="0.40476190476190482"/>
    <n v="3.8095238095238099E-2"/>
    <n v="5"/>
    <x v="1"/>
    <s v="24+ Months"/>
    <x v="1"/>
    <n v="0"/>
  </r>
  <r>
    <n v="109610"/>
    <s v="Calcasieu Parish Sheriff's Office - LA"/>
    <n v="38"/>
    <n v="300"/>
    <n v="38"/>
    <n v="138"/>
    <n v="125"/>
    <n v="100"/>
    <n v="0.46"/>
    <n v="0.41666666666666669"/>
    <n v="0.33333333333333331"/>
    <n v="86"/>
    <x v="1"/>
    <s v="24+ Months"/>
    <x v="1"/>
    <n v="0"/>
  </r>
  <r>
    <n v="477587"/>
    <s v="Winhall Police and Rescue - VT"/>
    <n v="10"/>
    <n v="10"/>
    <n v="9"/>
    <n v="138"/>
    <n v="38"/>
    <n v="34"/>
    <n v="13.8"/>
    <n v="3.8"/>
    <n v="3.4"/>
    <n v="31"/>
    <x v="0"/>
    <s v="18-24 Months"/>
    <x v="2"/>
    <n v="10"/>
  </r>
  <r>
    <n v="109093"/>
    <s v="North Kansas City Police Dept. - MO"/>
    <n v="58"/>
    <n v="43"/>
    <n v="11"/>
    <n v="137"/>
    <n v="13"/>
    <n v="8"/>
    <n v="3.1860465116279069"/>
    <n v="0.30232558139534882"/>
    <n v="0.186046511627907"/>
    <n v="0"/>
    <x v="0"/>
    <s v="18-24 Months"/>
    <x v="2"/>
    <n v="58"/>
  </r>
  <r>
    <n v="100239"/>
    <s v="Culver City Police Department - CA"/>
    <n v="100"/>
    <n v="100"/>
    <n v="11"/>
    <n v="133"/>
    <n v="0"/>
    <n v="0"/>
    <n v="1.33"/>
    <n v="0"/>
    <n v="0"/>
    <n v="0"/>
    <x v="0"/>
    <s v="18-24 Months"/>
    <x v="1"/>
    <n v="0"/>
  </r>
  <r>
    <n v="230607"/>
    <s v="Franklin Police Dept - MA"/>
    <n v="2"/>
    <n v="116"/>
    <n v="6"/>
    <n v="133"/>
    <n v="99"/>
    <n v="96"/>
    <n v="1.146551724137931"/>
    <n v="0.85344827586206895"/>
    <n v="0.82758620689655171"/>
    <n v="21"/>
    <x v="0"/>
    <s v="18-24 Months"/>
    <x v="1"/>
    <n v="0"/>
  </r>
  <r>
    <n v="491705"/>
    <s v="Regional Transportation District Police - CO"/>
    <n v="226"/>
    <n v="140"/>
    <n v="10"/>
    <n v="131"/>
    <n v="78"/>
    <n v="31"/>
    <n v="0.93571428571428572"/>
    <n v="0.55714285714285716"/>
    <n v="0.22142857142857139"/>
    <n v="229"/>
    <x v="0"/>
    <s v="18-24 Months"/>
    <x v="1"/>
    <n v="0"/>
  </r>
  <r>
    <n v="462933"/>
    <s v="Indianapolis Metro Police Dept. - IN"/>
    <n v="151"/>
    <n v="5"/>
    <n v="7"/>
    <n v="128"/>
    <n v="128"/>
    <n v="118"/>
    <n v="25.6"/>
    <n v="25.6"/>
    <n v="23.6"/>
    <n v="53"/>
    <x v="0"/>
    <s v="18-24 Months"/>
    <x v="2"/>
    <n v="151"/>
  </r>
  <r>
    <n v="109265"/>
    <s v="Arlington Police Dept. - VA"/>
    <n v="445"/>
    <n v="300"/>
    <n v="25"/>
    <n v="126"/>
    <n v="126"/>
    <n v="92"/>
    <n v="0.42"/>
    <n v="0.42"/>
    <n v="0.30666666666666659"/>
    <n v="0"/>
    <x v="1"/>
    <s v="24+ Months"/>
    <x v="1"/>
    <n v="0"/>
  </r>
  <r>
    <s v="CA0115761"/>
    <s v="The City of Edmonton"/>
    <n v="1800"/>
    <n v="280"/>
    <n v="16"/>
    <n v="125"/>
    <n v="68"/>
    <n v="53"/>
    <n v="0.44642857142857151"/>
    <n v="0.24285714285714291"/>
    <n v="0.18928571428571431"/>
    <n v="9"/>
    <x v="2"/>
    <s v="24+ Months"/>
    <x v="1"/>
    <n v="0"/>
  </r>
  <r>
    <n v="106916"/>
    <s v="Henrico County Police Dept. - VA"/>
    <n v="533"/>
    <n v="500"/>
    <n v="34"/>
    <n v="121"/>
    <n v="58"/>
    <n v="9"/>
    <n v="0.24199999999999999"/>
    <n v="0.11600000000000001"/>
    <n v="1.7999999999999999E-2"/>
    <n v="57"/>
    <x v="1"/>
    <s v="24+ Months"/>
    <x v="1"/>
    <n v="0"/>
  </r>
  <r>
    <n v="119803"/>
    <s v="California State Univ (CSU campus) Police - Long Beach"/>
    <n v="24"/>
    <n v="32"/>
    <n v="6"/>
    <n v="121"/>
    <n v="112"/>
    <n v="107"/>
    <n v="3.78125"/>
    <n v="3.5"/>
    <n v="3.34375"/>
    <n v="121"/>
    <x v="0"/>
    <s v="18-24 Months"/>
    <x v="2"/>
    <n v="24"/>
  </r>
  <r>
    <n v="135368"/>
    <s v="Simi Valley Police Dept. - CA"/>
    <n v="139"/>
    <n v="129"/>
    <n v="13"/>
    <n v="119"/>
    <n v="25"/>
    <n v="11"/>
    <n v="0.92248062015503873"/>
    <n v="0.19379844961240311"/>
    <n v="8.5271317829457363E-2"/>
    <n v="12"/>
    <x v="2"/>
    <s v="24+ Months"/>
    <x v="1"/>
    <n v="0"/>
  </r>
  <r>
    <n v="324163"/>
    <s v="Black Hawk County Sheriff Dept - IA"/>
    <n v="2"/>
    <n v="44"/>
    <n v="8"/>
    <n v="117"/>
    <n v="69"/>
    <n v="0"/>
    <n v="2.6590909090909092"/>
    <n v="1.5681818181818179"/>
    <n v="0"/>
    <n v="0"/>
    <x v="0"/>
    <s v="18-24 Months"/>
    <x v="2"/>
    <n v="2"/>
  </r>
  <r>
    <n v="301506"/>
    <s v="Muskogee County Sheriff's Office - OK"/>
    <n v="0"/>
    <n v="20"/>
    <n v="14"/>
    <n v="117"/>
    <n v="0"/>
    <n v="0"/>
    <n v="5.85"/>
    <n v="0"/>
    <n v="0"/>
    <n v="0"/>
    <x v="2"/>
    <s v="24+ Months"/>
    <x v="2"/>
    <n v="0"/>
  </r>
  <r>
    <n v="107156"/>
    <s v="Margate Police Dept. - FL"/>
    <n v="123"/>
    <n v="123"/>
    <n v="7"/>
    <n v="116"/>
    <n v="116"/>
    <n v="5"/>
    <n v="0.94308943089430897"/>
    <n v="0.94308943089430897"/>
    <n v="4.065040650406504E-2"/>
    <n v="30"/>
    <x v="0"/>
    <s v="18-24 Months"/>
    <x v="1"/>
    <n v="0"/>
  </r>
  <r>
    <n v="116208"/>
    <s v="Sunland Park Police Dept. - NM"/>
    <n v="3"/>
    <n v="30"/>
    <n v="7"/>
    <n v="115"/>
    <n v="115"/>
    <n v="86"/>
    <n v="3.833333333333333"/>
    <n v="3.833333333333333"/>
    <n v="2.8666666666666671"/>
    <n v="26"/>
    <x v="0"/>
    <s v="18-24 Months"/>
    <x v="2"/>
    <n v="3"/>
  </r>
  <r>
    <n v="107920"/>
    <s v="Rialto Police Dept. - CA"/>
    <n v="150"/>
    <n v="140"/>
    <n v="9"/>
    <n v="109"/>
    <n v="109"/>
    <n v="108"/>
    <n v="0.77857142857142858"/>
    <n v="0.77857142857142858"/>
    <n v="0.77142857142857146"/>
    <n v="0"/>
    <x v="0"/>
    <s v="18-24 Months"/>
    <x v="1"/>
    <n v="0"/>
  </r>
  <r>
    <n v="109197"/>
    <s v="Hialeah Police Dept. - FL"/>
    <n v="347"/>
    <n v="363"/>
    <n v="8"/>
    <n v="108"/>
    <n v="64"/>
    <n v="0"/>
    <n v="0.2975206611570248"/>
    <n v="0.17630853994490359"/>
    <n v="0"/>
    <n v="168"/>
    <x v="0"/>
    <s v="18-24 Months"/>
    <x v="1"/>
    <n v="0"/>
  </r>
  <r>
    <n v="164977"/>
    <s v="Harrisonville Police Department - MO"/>
    <n v="5"/>
    <n v="22"/>
    <n v="8"/>
    <n v="108"/>
    <n v="96"/>
    <n v="37"/>
    <n v="4.9090909090909092"/>
    <n v="4.3636363636363633"/>
    <n v="1.6818181818181821"/>
    <n v="25"/>
    <x v="0"/>
    <s v="18-24 Months"/>
    <x v="2"/>
    <n v="5"/>
  </r>
  <r>
    <n v="109708"/>
    <s v="Kalamazoo Department of Public Safety - MI"/>
    <n v="236"/>
    <n v="135"/>
    <n v="19"/>
    <n v="107"/>
    <n v="83"/>
    <n v="75"/>
    <n v="0.79259259259259263"/>
    <n v="0.61481481481481481"/>
    <n v="0.55555555555555558"/>
    <n v="11"/>
    <x v="2"/>
    <s v="24+ Months"/>
    <x v="1"/>
    <n v="0"/>
  </r>
  <r>
    <n v="570556"/>
    <s v="MBTA Transit Police Department - MA"/>
    <n v="3"/>
    <n v="35"/>
    <n v="10"/>
    <n v="104"/>
    <n v="85"/>
    <n v="0"/>
    <n v="2.971428571428572"/>
    <n v="2.4285714285714279"/>
    <n v="0"/>
    <n v="0"/>
    <x v="0"/>
    <s v="18-24 Months"/>
    <x v="2"/>
    <n v="3"/>
  </r>
  <r>
    <n v="117408"/>
    <s v="Addison Police Department - IL"/>
    <n v="25"/>
    <n v="65"/>
    <n v="30"/>
    <n v="103"/>
    <n v="69"/>
    <n v="0"/>
    <n v="1.584615384615385"/>
    <n v="1.061538461538462"/>
    <n v="0"/>
    <n v="10"/>
    <x v="1"/>
    <s v="24+ Months"/>
    <x v="2"/>
    <n v="0"/>
  </r>
  <r>
    <n v="201477"/>
    <s v="Laconia Police Dept. - NH"/>
    <n v="52"/>
    <n v="55"/>
    <n v="38"/>
    <n v="101"/>
    <n v="101"/>
    <n v="100"/>
    <n v="1.836363636363636"/>
    <n v="1.836363636363636"/>
    <n v="1.8181818181818179"/>
    <n v="36"/>
    <x v="1"/>
    <s v="24+ Months"/>
    <x v="2"/>
    <n v="0"/>
  </r>
  <r>
    <n v="141725"/>
    <s v="Randall County Sheriff's Office - TX"/>
    <n v="1"/>
    <n v="50"/>
    <n v="9"/>
    <n v="101"/>
    <n v="101"/>
    <n v="101"/>
    <n v="2.02"/>
    <n v="2.02"/>
    <n v="2.02"/>
    <n v="1"/>
    <x v="0"/>
    <s v="18-24 Months"/>
    <x v="2"/>
    <n v="1"/>
  </r>
  <r>
    <n v="319698"/>
    <s v="THE PORT AUTHORITY OF NEW YORK / NEW JERSEY"/>
    <n v="2037"/>
    <n v="400"/>
    <n v="6"/>
    <n v="100"/>
    <n v="5"/>
    <n v="5"/>
    <n v="0.25"/>
    <n v="1.2500000000000001E-2"/>
    <n v="1.2500000000000001E-2"/>
    <n v="1"/>
    <x v="0"/>
    <s v="18-24 Months"/>
    <x v="1"/>
    <n v="0"/>
  </r>
  <r>
    <n v="307831"/>
    <s v="Glynn County School Police Department - GA"/>
    <n v="28"/>
    <n v="28"/>
    <n v="7"/>
    <n v="100"/>
    <n v="100"/>
    <n v="6"/>
    <n v="3.5714285714285721"/>
    <n v="3.5714285714285721"/>
    <n v="0.2142857142857143"/>
    <n v="169"/>
    <x v="0"/>
    <s v="18-24 Months"/>
    <x v="2"/>
    <n v="28"/>
  </r>
  <r>
    <n v="107787"/>
    <s v="Spokane County Sheriff's Office - WA"/>
    <n v="119"/>
    <n v="287"/>
    <n v="12"/>
    <n v="99"/>
    <n v="0"/>
    <n v="0"/>
    <n v="0.34494773519163757"/>
    <n v="0"/>
    <n v="0"/>
    <n v="0"/>
    <x v="0"/>
    <s v="18-24 Months"/>
    <x v="1"/>
    <n v="0"/>
  </r>
  <r>
    <n v="108877"/>
    <s v="Westfield Police Department - IN"/>
    <n v="63"/>
    <n v="81"/>
    <n v="10"/>
    <n v="99"/>
    <n v="31"/>
    <n v="6"/>
    <n v="1.2222222222222221"/>
    <n v="0.38271604938271597"/>
    <n v="7.407407407407407E-2"/>
    <n v="13"/>
    <x v="0"/>
    <s v="18-24 Months"/>
    <x v="2"/>
    <n v="0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0"/>
    <s v="18-24 Months"/>
    <x v="2"/>
    <n v="19"/>
  </r>
  <r>
    <n v="109765"/>
    <s v="Skagit County Sheriff's Office - WA"/>
    <n v="67"/>
    <n v="66"/>
    <n v="14"/>
    <n v="97"/>
    <n v="39"/>
    <n v="18"/>
    <n v="1.4696969696969699"/>
    <n v="0.59090909090909094"/>
    <n v="0.27272727272727271"/>
    <n v="14"/>
    <x v="2"/>
    <s v="24+ Months"/>
    <x v="2"/>
    <n v="0"/>
  </r>
  <r>
    <n v="143651"/>
    <s v="Duquesne University Police Department - PA"/>
    <n v="40"/>
    <n v="30"/>
    <n v="9"/>
    <n v="97"/>
    <n v="72"/>
    <n v="48"/>
    <n v="3.2333333333333329"/>
    <n v="2.4"/>
    <n v="1.6"/>
    <n v="52"/>
    <x v="0"/>
    <s v="18-24 Months"/>
    <x v="2"/>
    <n v="40"/>
  </r>
  <r>
    <n v="114564"/>
    <s v="Melissa Police Dept. - TX"/>
    <n v="30"/>
    <n v="32"/>
    <n v="21"/>
    <n v="97"/>
    <n v="97"/>
    <n v="96"/>
    <n v="3.03125"/>
    <n v="3.03125"/>
    <n v="3"/>
    <n v="4"/>
    <x v="2"/>
    <s v="24+ Months"/>
    <x v="2"/>
    <n v="30"/>
  </r>
  <r>
    <n v="107397"/>
    <s v="Pasco Sheriff's Office - FL"/>
    <n v="673"/>
    <n v="857"/>
    <n v="37"/>
    <n v="96"/>
    <n v="19"/>
    <n v="16"/>
    <n v="0.1120186697782964"/>
    <n v="2.2170361726954489E-2"/>
    <n v="1.8669778296382729E-2"/>
    <n v="37"/>
    <x v="1"/>
    <s v="24+ Months"/>
    <x v="0"/>
    <n v="0"/>
  </r>
  <r>
    <n v="107126"/>
    <s v="Flagstaff Police Dept. - AZ"/>
    <n v="129"/>
    <n v="120"/>
    <n v="36"/>
    <n v="96"/>
    <n v="83"/>
    <n v="58"/>
    <n v="0.8"/>
    <n v="0.69166666666666665"/>
    <n v="0.48333333333333328"/>
    <n v="1"/>
    <x v="1"/>
    <s v="24+ Months"/>
    <x v="1"/>
    <n v="0"/>
  </r>
  <r>
    <n v="108106"/>
    <s v="Greenbelt Police Dept. - MD"/>
    <n v="51"/>
    <n v="35"/>
    <n v="10"/>
    <n v="96"/>
    <n v="77"/>
    <n v="25"/>
    <n v="2.7428571428571429"/>
    <n v="2.2000000000000002"/>
    <n v="0.7142857142857143"/>
    <n v="80"/>
    <x v="0"/>
    <s v="18-24 Months"/>
    <x v="2"/>
    <n v="51"/>
  </r>
  <r>
    <n v="112577"/>
    <s v="Sparks Police Dept. - NV"/>
    <n v="202"/>
    <n v="134"/>
    <n v="10"/>
    <n v="94"/>
    <n v="49"/>
    <n v="2"/>
    <n v="0.70149253731343286"/>
    <n v="0.36567164179104478"/>
    <n v="1.492537313432836E-2"/>
    <n v="7"/>
    <x v="0"/>
    <s v="18-24 Months"/>
    <x v="1"/>
    <n v="0"/>
  </r>
  <r>
    <n v="109229"/>
    <s v="Greenville Police Dept. - SC"/>
    <n v="285"/>
    <n v="228"/>
    <n v="25"/>
    <n v="93"/>
    <n v="11"/>
    <n v="0"/>
    <n v="0.40789473684210531"/>
    <n v="4.8245614035087717E-2"/>
    <n v="0"/>
    <n v="135"/>
    <x v="1"/>
    <s v="24+ Months"/>
    <x v="1"/>
    <n v="0"/>
  </r>
  <r>
    <n v="127414"/>
    <s v="Champaign County Sheriff's Office - IL"/>
    <n v="59"/>
    <n v="70"/>
    <n v="9"/>
    <n v="91"/>
    <n v="20"/>
    <n v="17"/>
    <n v="1.3"/>
    <n v="0.2857142857142857"/>
    <n v="0.24285714285714291"/>
    <n v="0"/>
    <x v="0"/>
    <s v="18-24 Months"/>
    <x v="2"/>
    <n v="0"/>
  </r>
  <r>
    <n v="112627"/>
    <s v="Birmingham Police Dept. - MI"/>
    <n v="71"/>
    <n v="35"/>
    <n v="10"/>
    <n v="90"/>
    <n v="4"/>
    <n v="0"/>
    <n v="2.5714285714285721"/>
    <n v="0.1142857142857143"/>
    <n v="0"/>
    <n v="0"/>
    <x v="0"/>
    <s v="18-24 Months"/>
    <x v="2"/>
    <n v="71"/>
  </r>
  <r>
    <n v="110318"/>
    <s v="Volusia Sheriff's Office - FL"/>
    <n v="533"/>
    <n v="312"/>
    <n v="25"/>
    <n v="89"/>
    <n v="19"/>
    <n v="5"/>
    <n v="0.28525641025641019"/>
    <n v="6.0897435897435903E-2"/>
    <n v="1.6025641025641021E-2"/>
    <n v="0"/>
    <x v="1"/>
    <s v="24+ Months"/>
    <x v="1"/>
    <n v="0"/>
  </r>
  <r>
    <n v="131884"/>
    <s v="Putnam County Sheriff's Office - NY"/>
    <n v="82"/>
    <n v="95"/>
    <n v="10"/>
    <n v="89"/>
    <n v="0"/>
    <n v="0"/>
    <n v="0.93684210526315792"/>
    <n v="0"/>
    <n v="0"/>
    <n v="0"/>
    <x v="0"/>
    <s v="18-24 Months"/>
    <x v="2"/>
    <n v="0"/>
  </r>
  <r>
    <n v="109256"/>
    <s v="Seguin Police Dept. - TX"/>
    <n v="82"/>
    <n v="75"/>
    <n v="11"/>
    <n v="85"/>
    <n v="9"/>
    <n v="0"/>
    <n v="1.1333333333333331"/>
    <n v="0.12"/>
    <n v="0"/>
    <n v="0"/>
    <x v="0"/>
    <s v="18-24 Months"/>
    <x v="2"/>
    <n v="0"/>
  </r>
  <r>
    <n v="156843"/>
    <s v="Benicia Police Dept. - CA"/>
    <n v="43"/>
    <n v="36"/>
    <n v="9"/>
    <n v="85"/>
    <n v="55"/>
    <n v="0"/>
    <n v="2.3611111111111112"/>
    <n v="1.5277777777777779"/>
    <n v="0"/>
    <n v="0"/>
    <x v="0"/>
    <s v="18-24 Months"/>
    <x v="2"/>
    <n v="43"/>
  </r>
  <r>
    <n v="322638"/>
    <s v="South Dakota Highway Patrol - SD"/>
    <n v="10"/>
    <n v="225"/>
    <n v="19"/>
    <n v="85"/>
    <n v="30"/>
    <n v="27"/>
    <n v="0.37777777777777782"/>
    <n v="0.1333333333333333"/>
    <n v="0.12"/>
    <n v="81"/>
    <x v="2"/>
    <s v="24+ Months"/>
    <x v="1"/>
    <n v="0"/>
  </r>
  <r>
    <n v="307838"/>
    <s v="Village Of Montgomery Police - NY"/>
    <n v="10"/>
    <n v="32"/>
    <n v="6"/>
    <n v="83"/>
    <n v="83"/>
    <n v="83"/>
    <n v="2.59375"/>
    <n v="2.59375"/>
    <n v="2.59375"/>
    <n v="14"/>
    <x v="0"/>
    <s v="18-24 Months"/>
    <x v="2"/>
    <n v="10"/>
  </r>
  <r>
    <n v="488116"/>
    <s v="Newport Police Department- DE"/>
    <n v="8"/>
    <n v="8"/>
    <n v="9"/>
    <n v="83"/>
    <n v="80"/>
    <n v="77"/>
    <n v="10.375"/>
    <n v="10"/>
    <n v="9.625"/>
    <n v="19"/>
    <x v="0"/>
    <s v="18-24 Months"/>
    <x v="2"/>
    <n v="8"/>
  </r>
  <r>
    <n v="193540"/>
    <s v="San Rafael Police Dept. - CA"/>
    <n v="80"/>
    <n v="70"/>
    <n v="16"/>
    <n v="82"/>
    <n v="0"/>
    <n v="0"/>
    <n v="1.171428571428571"/>
    <n v="0"/>
    <n v="0"/>
    <n v="0"/>
    <x v="2"/>
    <s v="24+ Months"/>
    <x v="2"/>
    <n v="0"/>
  </r>
  <r>
    <n v="115901"/>
    <s v="Mesquite Police Department - NV"/>
    <n v="48"/>
    <n v="45"/>
    <n v="14"/>
    <n v="82"/>
    <n v="82"/>
    <n v="46"/>
    <n v="1.822222222222222"/>
    <n v="1.822222222222222"/>
    <n v="1.0222222222222219"/>
    <n v="5"/>
    <x v="2"/>
    <s v="24+ Months"/>
    <x v="2"/>
    <n v="0"/>
  </r>
  <r>
    <n v="543347"/>
    <s v="CSX Railroad Police - FL"/>
    <n v="28"/>
    <n v="104"/>
    <n v="20"/>
    <n v="80"/>
    <n v="38"/>
    <n v="0"/>
    <n v="0.76923076923076927"/>
    <n v="0.36538461538461542"/>
    <n v="0"/>
    <n v="0"/>
    <x v="2"/>
    <s v="24+ Months"/>
    <x v="1"/>
    <n v="0"/>
  </r>
  <r>
    <n v="164112"/>
    <s v="Shaler Township Police Dept. - PA"/>
    <n v="27"/>
    <n v="56"/>
    <n v="7"/>
    <n v="80"/>
    <n v="28"/>
    <n v="24"/>
    <n v="1.428571428571429"/>
    <n v="0.5"/>
    <n v="0.42857142857142849"/>
    <n v="0"/>
    <x v="0"/>
    <s v="18-24 Months"/>
    <x v="2"/>
    <n v="0"/>
  </r>
  <r>
    <s v="CA0115498"/>
    <s v="Fredericton Police Force"/>
    <n v="139"/>
    <n v="30"/>
    <n v="13"/>
    <n v="78"/>
    <n v="4"/>
    <n v="4"/>
    <n v="2.6"/>
    <n v="0.1333333333333333"/>
    <n v="0.1333333333333333"/>
    <n v="3"/>
    <x v="2"/>
    <s v="24+ Months"/>
    <x v="2"/>
    <n v="139"/>
  </r>
  <r>
    <n v="108880"/>
    <s v="Bloomington Police Dept. - IN"/>
    <n v="115"/>
    <n v="95"/>
    <n v="9"/>
    <n v="76"/>
    <n v="37"/>
    <n v="4"/>
    <n v="0.8"/>
    <n v="0.38947368421052631"/>
    <n v="4.2105263157894743E-2"/>
    <n v="0"/>
    <x v="0"/>
    <s v="18-24 Months"/>
    <x v="2"/>
    <n v="0"/>
  </r>
  <r>
    <n v="106990"/>
    <s v="Chautauqua County Sheriff's Office - NY"/>
    <n v="88"/>
    <n v="84"/>
    <n v="9"/>
    <n v="76"/>
    <n v="47"/>
    <n v="0"/>
    <n v="0.90476190476190477"/>
    <n v="0.55952380952380953"/>
    <n v="0"/>
    <n v="98"/>
    <x v="0"/>
    <s v="18-24 Months"/>
    <x v="2"/>
    <n v="0"/>
  </r>
  <r>
    <n v="108263"/>
    <s v="Tell City Police Dept - IN"/>
    <n v="0"/>
    <n v="16"/>
    <n v="13"/>
    <n v="76"/>
    <n v="48"/>
    <n v="48"/>
    <n v="4.75"/>
    <n v="3"/>
    <n v="3"/>
    <n v="23"/>
    <x v="2"/>
    <s v="24+ Months"/>
    <x v="2"/>
    <n v="0"/>
  </r>
  <r>
    <n v="133567"/>
    <s v="San Francisco County Sheriff's Dept. - CA"/>
    <n v="463"/>
    <n v="340"/>
    <n v="12"/>
    <n v="75"/>
    <n v="0"/>
    <n v="0"/>
    <n v="0.22058823529411761"/>
    <n v="0"/>
    <n v="0"/>
    <n v="0"/>
    <x v="0"/>
    <s v="18-24 Months"/>
    <x v="1"/>
    <n v="0"/>
  </r>
  <r>
    <n v="116203"/>
    <s v="Morton Police Dept. - IL"/>
    <n v="22"/>
    <n v="27"/>
    <n v="13"/>
    <n v="75"/>
    <n v="24"/>
    <n v="7"/>
    <n v="2.7777777777777781"/>
    <n v="0.88888888888888884"/>
    <n v="0.25925925925925919"/>
    <n v="67"/>
    <x v="2"/>
    <s v="24+ Months"/>
    <x v="2"/>
    <n v="22"/>
  </r>
  <r>
    <n v="579148"/>
    <s v="Hallsville Police Department - TX"/>
    <n v="1"/>
    <n v="6"/>
    <n v="8"/>
    <n v="74"/>
    <n v="74"/>
    <n v="0"/>
    <n v="12.33333333333333"/>
    <n v="12.33333333333333"/>
    <n v="0"/>
    <n v="84"/>
    <x v="0"/>
    <s v="18-24 Months"/>
    <x v="2"/>
    <n v="1"/>
  </r>
  <r>
    <n v="109744"/>
    <s v="Orange County Sheriff's Office - FL"/>
    <n v="1571"/>
    <n v="1962"/>
    <n v="10"/>
    <n v="72"/>
    <n v="16"/>
    <n v="6"/>
    <n v="3.669724770642202E-2"/>
    <n v="8.1549439347604492E-3"/>
    <n v="3.0581039755351678E-3"/>
    <n v="5"/>
    <x v="0"/>
    <s v="18-24 Months"/>
    <x v="0"/>
    <n v="0"/>
  </r>
  <r>
    <n v="108003"/>
    <s v="East Bay Regional Park Police Dept. - CA"/>
    <n v="79"/>
    <n v="75"/>
    <n v="24"/>
    <n v="72"/>
    <n v="19"/>
    <n v="16"/>
    <n v="0.96"/>
    <n v="0.25333333333333341"/>
    <n v="0.21333333333333329"/>
    <n v="0"/>
    <x v="2"/>
    <s v="24+ Months"/>
    <x v="2"/>
    <n v="0"/>
  </r>
  <r>
    <n v="132998"/>
    <s v="New London Police Department - CT"/>
    <n v="82"/>
    <n v="80"/>
    <n v="8"/>
    <n v="71"/>
    <n v="5"/>
    <n v="5"/>
    <n v="0.88749999999999996"/>
    <n v="6.25E-2"/>
    <n v="6.25E-2"/>
    <n v="4"/>
    <x v="0"/>
    <s v="18-24 Months"/>
    <x v="2"/>
    <n v="0"/>
  </r>
  <r>
    <n v="109149"/>
    <s v="Madison Police Department - IL"/>
    <n v="14"/>
    <n v="14"/>
    <n v="10"/>
    <n v="71"/>
    <n v="0"/>
    <n v="0"/>
    <n v="5.0714285714285712"/>
    <n v="0"/>
    <n v="0"/>
    <n v="0"/>
    <x v="0"/>
    <s v="18-24 Months"/>
    <x v="2"/>
    <n v="14"/>
  </r>
  <r>
    <n v="521948"/>
    <s v="Delaware State Fire Marshal's Office"/>
    <n v="25"/>
    <n v="17"/>
    <n v="10"/>
    <n v="70"/>
    <n v="65"/>
    <n v="65"/>
    <n v="4.117647058823529"/>
    <n v="3.8235294117647061"/>
    <n v="3.8235294117647061"/>
    <n v="2"/>
    <x v="0"/>
    <s v="18-24 Months"/>
    <x v="2"/>
    <n v="25"/>
  </r>
  <r>
    <n v="328024"/>
    <s v="Newark Police Department - CA"/>
    <n v="85"/>
    <n v="64"/>
    <n v="17"/>
    <n v="69"/>
    <n v="0"/>
    <n v="0"/>
    <n v="1.078125"/>
    <n v="0"/>
    <n v="0"/>
    <n v="0"/>
    <x v="2"/>
    <s v="24+ Months"/>
    <x v="2"/>
    <n v="0"/>
  </r>
  <r>
    <n v="493856"/>
    <s v="Erie School District Police Dept - PA"/>
    <n v="25"/>
    <n v="2"/>
    <n v="10"/>
    <n v="68"/>
    <n v="48"/>
    <n v="0"/>
    <n v="34"/>
    <n v="24"/>
    <n v="0"/>
    <n v="41"/>
    <x v="0"/>
    <s v="18-24 Months"/>
    <x v="2"/>
    <n v="25"/>
  </r>
  <r>
    <n v="462647"/>
    <s v="Ramsey Police Dept. - NJ"/>
    <n v="2"/>
    <n v="32"/>
    <n v="6"/>
    <n v="68"/>
    <n v="68"/>
    <n v="46"/>
    <n v="2.125"/>
    <n v="2.125"/>
    <n v="1.4375"/>
    <n v="80"/>
    <x v="0"/>
    <s v="18-24 Months"/>
    <x v="2"/>
    <n v="2"/>
  </r>
  <r>
    <n v="164536"/>
    <s v="Erie Police Dept. - PA"/>
    <n v="196"/>
    <n v="195"/>
    <n v="25"/>
    <n v="67"/>
    <n v="8"/>
    <n v="2"/>
    <n v="0.34358974358974359"/>
    <n v="4.1025641025641033E-2"/>
    <n v="1.025641025641026E-2"/>
    <n v="7"/>
    <x v="1"/>
    <s v="24+ Months"/>
    <x v="1"/>
    <n v="0"/>
  </r>
  <r>
    <n v="105706"/>
    <s v="Aurora Police Dept. - CO"/>
    <n v="760"/>
    <n v="778"/>
    <n v="34"/>
    <n v="66"/>
    <n v="26"/>
    <n v="20"/>
    <n v="8.4832904884318772E-2"/>
    <n v="3.3419023136246777E-2"/>
    <n v="2.570694087403599E-2"/>
    <n v="807"/>
    <x v="1"/>
    <s v="24+ Months"/>
    <x v="0"/>
    <n v="0"/>
  </r>
  <r>
    <n v="228700"/>
    <s v="DEPT. OF HOMELESS SERVICES POLICE DEPT. - NY"/>
    <n v="608"/>
    <n v="550"/>
    <n v="16"/>
    <n v="66"/>
    <n v="21"/>
    <n v="7"/>
    <n v="0.12"/>
    <n v="3.8181818181818178E-2"/>
    <n v="1.2727272727272729E-2"/>
    <n v="15"/>
    <x v="2"/>
    <s v="24+ Months"/>
    <x v="0"/>
    <n v="0"/>
  </r>
  <r>
    <n v="158258"/>
    <s v="Oneida County Sheriff's Office - NY"/>
    <n v="250"/>
    <n v="223"/>
    <n v="40"/>
    <n v="66"/>
    <n v="66"/>
    <n v="25"/>
    <n v="0.29596412556053808"/>
    <n v="0.29596412556053808"/>
    <n v="0.1121076233183857"/>
    <n v="106"/>
    <x v="1"/>
    <s v="24+ Months"/>
    <x v="1"/>
    <n v="0"/>
  </r>
  <r>
    <n v="109678"/>
    <s v="Richmond Police Dept. - CA"/>
    <n v="157"/>
    <n v="150"/>
    <n v="7"/>
    <n v="66"/>
    <n v="23"/>
    <n v="14"/>
    <n v="0.44"/>
    <n v="0.15333333333333329"/>
    <n v="9.3333333333333338E-2"/>
    <n v="35"/>
    <x v="0"/>
    <s v="18-24 Months"/>
    <x v="1"/>
    <n v="0"/>
  </r>
  <r>
    <n v="336327"/>
    <s v="Ocoee Police Dept. - FL"/>
    <n v="82"/>
    <n v="119"/>
    <n v="12"/>
    <n v="66"/>
    <n v="33"/>
    <n v="1"/>
    <n v="0.55462184873949583"/>
    <n v="0.27731092436974791"/>
    <n v="8.4033613445378148E-3"/>
    <n v="6"/>
    <x v="0"/>
    <s v="18-24 Months"/>
    <x v="1"/>
    <n v="0"/>
  </r>
  <r>
    <n v="148303"/>
    <s v="Wright State University Police Dept. - OH"/>
    <n v="15"/>
    <n v="11"/>
    <n v="7"/>
    <n v="66"/>
    <n v="59"/>
    <n v="45"/>
    <n v="6"/>
    <n v="5.3636363636363633"/>
    <n v="4.0909090909090908"/>
    <n v="35"/>
    <x v="0"/>
    <s v="18-24 Months"/>
    <x v="2"/>
    <n v="15"/>
  </r>
  <r>
    <n v="156030"/>
    <s v="Stone Mountain Park Dept. of Public Safety - GA"/>
    <n v="38"/>
    <n v="25"/>
    <n v="13"/>
    <n v="65"/>
    <n v="10"/>
    <n v="0"/>
    <n v="2.6"/>
    <n v="0.4"/>
    <n v="0"/>
    <n v="0"/>
    <x v="2"/>
    <s v="24+ Months"/>
    <x v="2"/>
    <n v="38"/>
  </r>
  <r>
    <n v="552247"/>
    <s v="Syracuse Regional Airport Authority Police Department"/>
    <n v="30"/>
    <n v="25"/>
    <n v="11"/>
    <n v="65"/>
    <n v="27"/>
    <n v="11"/>
    <n v="2.6"/>
    <n v="1.08"/>
    <n v="0.44"/>
    <n v="11"/>
    <x v="0"/>
    <s v="18-24 Months"/>
    <x v="2"/>
    <n v="30"/>
  </r>
  <r>
    <n v="108014"/>
    <s v="Dothan Police Department - AL"/>
    <n v="157"/>
    <n v="250"/>
    <n v="49"/>
    <n v="64"/>
    <n v="59"/>
    <n v="12"/>
    <n v="0.25600000000000001"/>
    <n v="0.23599999999999999"/>
    <n v="4.8000000000000001E-2"/>
    <n v="262"/>
    <x v="1"/>
    <s v="24+ Months"/>
    <x v="1"/>
    <n v="0"/>
  </r>
  <r>
    <n v="108060"/>
    <s v="Frederick Police Department - CO"/>
    <n v="31"/>
    <n v="45"/>
    <n v="46"/>
    <n v="64"/>
    <n v="38"/>
    <n v="0"/>
    <n v="1.4222222222222221"/>
    <n v="0.84444444444444444"/>
    <n v="0"/>
    <n v="97"/>
    <x v="1"/>
    <s v="24+ Months"/>
    <x v="2"/>
    <n v="0"/>
  </r>
  <r>
    <n v="108403"/>
    <s v="Shawnee County Sheriff's Office - KS"/>
    <n v="121"/>
    <n v="109"/>
    <n v="9"/>
    <n v="62"/>
    <n v="21"/>
    <n v="1"/>
    <n v="0.56880733944954132"/>
    <n v="0.19266055045871561"/>
    <n v="9.1743119266055051E-3"/>
    <n v="8"/>
    <x v="0"/>
    <s v="18-24 Months"/>
    <x v="1"/>
    <n v="0"/>
  </r>
  <r>
    <n v="448278"/>
    <s v="Elwood Police Dept. - IL"/>
    <n v="2"/>
    <n v="13"/>
    <n v="13"/>
    <n v="62"/>
    <n v="25"/>
    <n v="25"/>
    <n v="4.7692307692307692"/>
    <n v="1.9230769230769229"/>
    <n v="1.9230769230769229"/>
    <n v="18"/>
    <x v="2"/>
    <s v="24+ Months"/>
    <x v="2"/>
    <n v="2"/>
  </r>
  <r>
    <n v="108283"/>
    <s v="Medina Police Dept. - MN"/>
    <n v="0"/>
    <n v="12"/>
    <n v="12"/>
    <n v="62"/>
    <n v="8"/>
    <n v="2"/>
    <n v="5.166666666666667"/>
    <n v="0.66666666666666663"/>
    <n v="0.16666666666666671"/>
    <n v="4"/>
    <x v="0"/>
    <s v="18-24 Months"/>
    <x v="2"/>
    <n v="0"/>
  </r>
  <r>
    <n v="156634"/>
    <s v="Aitkin Police Department-MN"/>
    <n v="8"/>
    <n v="7"/>
    <n v="9"/>
    <n v="61"/>
    <n v="9"/>
    <n v="0"/>
    <n v="8.7142857142857135"/>
    <n v="1.285714285714286"/>
    <n v="0"/>
    <n v="0"/>
    <x v="0"/>
    <s v="18-24 Months"/>
    <x v="2"/>
    <n v="8"/>
  </r>
  <r>
    <n v="109369"/>
    <s v="Kalamazoo County Sheriff's Office - MI"/>
    <n v="94"/>
    <n v="86"/>
    <n v="40"/>
    <n v="60"/>
    <n v="60"/>
    <n v="45"/>
    <n v="0.69767441860465118"/>
    <n v="0.69767441860465118"/>
    <n v="0.52325581395348841"/>
    <n v="54"/>
    <x v="1"/>
    <s v="24+ Months"/>
    <x v="2"/>
    <n v="0"/>
  </r>
  <r>
    <n v="106566"/>
    <s v="Eagan Police Dept. - MN"/>
    <n v="88"/>
    <n v="90"/>
    <n v="45"/>
    <n v="59"/>
    <n v="0"/>
    <n v="0"/>
    <n v="0.65555555555555556"/>
    <n v="0"/>
    <n v="0"/>
    <n v="0"/>
    <x v="1"/>
    <s v="24+ Months"/>
    <x v="2"/>
    <n v="0"/>
  </r>
  <r>
    <n v="204302"/>
    <s v="Carteret County Sheriff's Office - NC"/>
    <n v="55"/>
    <n v="50"/>
    <n v="10"/>
    <n v="59"/>
    <n v="45"/>
    <n v="2"/>
    <n v="1.18"/>
    <n v="0.9"/>
    <n v="0.04"/>
    <n v="0"/>
    <x v="0"/>
    <s v="18-24 Months"/>
    <x v="2"/>
    <n v="0"/>
  </r>
  <r>
    <n v="112992"/>
    <s v="Buckley Police Dept. - WA"/>
    <n v="14"/>
    <n v="12"/>
    <n v="15"/>
    <n v="59"/>
    <n v="1"/>
    <n v="1"/>
    <n v="4.916666666666667"/>
    <n v="8.3333333333333329E-2"/>
    <n v="8.3333333333333329E-2"/>
    <n v="0"/>
    <x v="2"/>
    <s v="24+ Months"/>
    <x v="2"/>
    <n v="14"/>
  </r>
  <r>
    <n v="452290"/>
    <s v="Sherman Police Dept. - IL"/>
    <n v="2"/>
    <n v="10"/>
    <n v="7"/>
    <n v="59"/>
    <n v="13"/>
    <n v="10"/>
    <n v="5.9"/>
    <n v="1.3"/>
    <n v="1"/>
    <n v="4"/>
    <x v="0"/>
    <s v="18-24 Months"/>
    <x v="2"/>
    <n v="2"/>
  </r>
  <r>
    <n v="108379"/>
    <s v="San Joaquin County Sheriff's Office - CA"/>
    <n v="461"/>
    <n v="368"/>
    <n v="13"/>
    <n v="58"/>
    <n v="58"/>
    <n v="39"/>
    <n v="0.15760869565217389"/>
    <n v="0.15760869565217389"/>
    <n v="0.1059782608695652"/>
    <n v="133"/>
    <x v="2"/>
    <s v="24+ Months"/>
    <x v="1"/>
    <n v="0"/>
  </r>
  <r>
    <n v="110248"/>
    <s v="Texas Christian University Police Dept. - TX"/>
    <n v="4"/>
    <n v="48"/>
    <n v="6"/>
    <n v="58"/>
    <n v="58"/>
    <n v="58"/>
    <n v="1.208333333333333"/>
    <n v="1.208333333333333"/>
    <n v="1.208333333333333"/>
    <n v="5"/>
    <x v="0"/>
    <s v="18-24 Months"/>
    <x v="2"/>
    <n v="0"/>
  </r>
  <r>
    <n v="326240"/>
    <s v="Williamsport Police Dept - PA"/>
    <n v="0"/>
    <n v="54"/>
    <n v="19"/>
    <n v="58"/>
    <n v="24"/>
    <n v="1"/>
    <n v="1.074074074074074"/>
    <n v="0.44444444444444442"/>
    <n v="1.8518518518518521E-2"/>
    <n v="2"/>
    <x v="2"/>
    <s v="24+ Months"/>
    <x v="2"/>
    <n v="0"/>
  </r>
  <r>
    <n v="112152"/>
    <s v="San Benito County Sheriff's Office - CA"/>
    <n v="60"/>
    <n v="60"/>
    <n v="25"/>
    <n v="57"/>
    <n v="36"/>
    <n v="36"/>
    <n v="0.95"/>
    <n v="0.6"/>
    <n v="0.6"/>
    <n v="4"/>
    <x v="1"/>
    <s v="24+ Months"/>
    <x v="2"/>
    <n v="0"/>
  </r>
  <r>
    <n v="117857"/>
    <s v="CADDO PARISH SHERIFF'S OFFICE - LA"/>
    <n v="38"/>
    <n v="230"/>
    <n v="10"/>
    <n v="56"/>
    <n v="34"/>
    <n v="11"/>
    <n v="0.2434782608695652"/>
    <n v="0.14782608695652169"/>
    <n v="4.7826086956521741E-2"/>
    <n v="5"/>
    <x v="0"/>
    <s v="18-24 Months"/>
    <x v="1"/>
    <n v="0"/>
  </r>
  <r>
    <n v="322803"/>
    <s v="Sullivan's Island Police Dept - SC"/>
    <n v="31"/>
    <n v="12"/>
    <n v="12"/>
    <n v="56"/>
    <n v="10"/>
    <n v="0"/>
    <n v="4.666666666666667"/>
    <n v="0.83333333333333337"/>
    <n v="0"/>
    <n v="11"/>
    <x v="0"/>
    <s v="18-24 Months"/>
    <x v="2"/>
    <n v="31"/>
  </r>
  <r>
    <n v="308856"/>
    <s v="Orleans Parish Sheriff's Dept. - LA"/>
    <n v="275"/>
    <n v="350"/>
    <n v="11"/>
    <n v="55"/>
    <n v="23"/>
    <n v="10"/>
    <n v="0.15714285714285711"/>
    <n v="6.5714285714285711E-2"/>
    <n v="2.8571428571428571E-2"/>
    <n v="36"/>
    <x v="0"/>
    <s v="18-24 Months"/>
    <x v="1"/>
    <n v="0"/>
  </r>
  <r>
    <n v="106752"/>
    <s v="Placentia Police Dept. - CA"/>
    <n v="55"/>
    <n v="81"/>
    <n v="13"/>
    <n v="55"/>
    <n v="55"/>
    <n v="14"/>
    <n v="0.67901234567901236"/>
    <n v="0.67901234567901236"/>
    <n v="0.1728395061728395"/>
    <n v="7"/>
    <x v="2"/>
    <s v="24+ Months"/>
    <x v="2"/>
    <n v="0"/>
  </r>
  <r>
    <n v="324380"/>
    <s v="Artesia Police Dept. - NM"/>
    <n v="43"/>
    <n v="41"/>
    <n v="7"/>
    <n v="55"/>
    <n v="41"/>
    <n v="17"/>
    <n v="1.341463414634146"/>
    <n v="1"/>
    <n v="0.41463414634146339"/>
    <n v="262"/>
    <x v="0"/>
    <s v="18-24 Months"/>
    <x v="2"/>
    <n v="0"/>
  </r>
  <r>
    <n v="441034"/>
    <s v="Monmouth County Sheriff's Office - NJ"/>
    <n v="210"/>
    <n v="40"/>
    <n v="8"/>
    <n v="54"/>
    <n v="37"/>
    <n v="36"/>
    <n v="1.35"/>
    <n v="0.92500000000000004"/>
    <n v="0.9"/>
    <n v="0"/>
    <x v="0"/>
    <s v="18-24 Months"/>
    <x v="2"/>
    <n v="0"/>
  </r>
  <r>
    <n v="482999"/>
    <s v="Town of Mead Police Department - CO"/>
    <n v="18"/>
    <n v="16"/>
    <n v="49"/>
    <n v="54"/>
    <n v="54"/>
    <n v="47"/>
    <n v="3.375"/>
    <n v="3.375"/>
    <n v="2.9375"/>
    <n v="33"/>
    <x v="1"/>
    <s v="24+ Months"/>
    <x v="2"/>
    <n v="18"/>
  </r>
  <r>
    <n v="512912"/>
    <s v="Louisville Police Department - CO"/>
    <n v="0"/>
    <n v="40"/>
    <n v="21"/>
    <n v="54"/>
    <n v="38"/>
    <n v="0"/>
    <n v="1.35"/>
    <n v="0.95"/>
    <n v="0"/>
    <n v="52"/>
    <x v="2"/>
    <s v="24+ Months"/>
    <x v="2"/>
    <n v="0"/>
  </r>
  <r>
    <n v="313924"/>
    <s v="Prairie Village Police Department - KS"/>
    <n v="61"/>
    <n v="46"/>
    <n v="9"/>
    <n v="52"/>
    <n v="52"/>
    <n v="52"/>
    <n v="1.130434782608696"/>
    <n v="1.130434782608696"/>
    <n v="1.130434782608696"/>
    <n v="0"/>
    <x v="0"/>
    <s v="18-24 Months"/>
    <x v="2"/>
    <n v="0"/>
  </r>
  <r>
    <n v="126094"/>
    <s v="Old Town Police Dept. - ME"/>
    <n v="36"/>
    <n v="32"/>
    <n v="26"/>
    <n v="52"/>
    <n v="45"/>
    <n v="45"/>
    <n v="1.625"/>
    <n v="1.40625"/>
    <n v="1.40625"/>
    <n v="12"/>
    <x v="1"/>
    <s v="24+ Months"/>
    <x v="2"/>
    <n v="0"/>
  </r>
  <r>
    <n v="120234"/>
    <s v="Lower Gwynedd Twp Police Dept - PA"/>
    <n v="1"/>
    <n v="22"/>
    <n v="8"/>
    <n v="52"/>
    <n v="18"/>
    <n v="2"/>
    <n v="2.3636363636363642"/>
    <n v="0.81818181818181823"/>
    <n v="9.0909090909090912E-2"/>
    <n v="8"/>
    <x v="0"/>
    <s v="18-24 Months"/>
    <x v="2"/>
    <n v="1"/>
  </r>
  <r>
    <n v="110485"/>
    <s v="Sleepy Eye Police Dept - MN"/>
    <n v="0"/>
    <n v="7"/>
    <n v="15"/>
    <n v="52"/>
    <n v="6"/>
    <n v="0"/>
    <n v="7.4285714285714288"/>
    <n v="0.8571428571428571"/>
    <n v="0"/>
    <n v="4"/>
    <x v="2"/>
    <s v="24+ Months"/>
    <x v="2"/>
    <n v="0"/>
  </r>
  <r>
    <n v="106627"/>
    <s v="FINNEY COUNTY SHERIFF'S OFFICE- KS"/>
    <n v="80"/>
    <n v="40"/>
    <n v="11"/>
    <n v="51"/>
    <n v="34"/>
    <n v="8"/>
    <n v="1.2749999999999999"/>
    <n v="0.85"/>
    <n v="0.2"/>
    <n v="21"/>
    <x v="0"/>
    <s v="18-24 Months"/>
    <x v="2"/>
    <n v="0"/>
  </r>
  <r>
    <n v="108766"/>
    <s v="Sullivan Police Department - MO"/>
    <n v="24"/>
    <n v="19"/>
    <n v="11"/>
    <n v="51"/>
    <n v="22"/>
    <n v="0"/>
    <n v="2.6842105263157889"/>
    <n v="1.1578947368421051"/>
    <n v="0"/>
    <n v="68"/>
    <x v="0"/>
    <s v="18-24 Months"/>
    <x v="2"/>
    <n v="24"/>
  </r>
  <r>
    <n v="115661"/>
    <s v="Napa County Sheriff's Office - CA"/>
    <n v="107"/>
    <n v="125"/>
    <n v="11"/>
    <n v="50"/>
    <n v="9"/>
    <n v="0"/>
    <n v="0.4"/>
    <n v="7.1999999999999995E-2"/>
    <n v="0"/>
    <n v="0"/>
    <x v="0"/>
    <s v="18-24 Months"/>
    <x v="1"/>
    <n v="0"/>
  </r>
  <r>
    <n v="132097"/>
    <s v="Ventura County Sheriff's Office - CA"/>
    <n v="377"/>
    <n v="785"/>
    <n v="12"/>
    <n v="49"/>
    <n v="12"/>
    <n v="0"/>
    <n v="6.2420382165605102E-2"/>
    <n v="1.528662420382166E-2"/>
    <n v="0"/>
    <n v="0"/>
    <x v="0"/>
    <s v="18-24 Months"/>
    <x v="0"/>
    <n v="0"/>
  </r>
  <r>
    <n v="110360"/>
    <s v="Tracy Police Dept. - CA"/>
    <n v="85"/>
    <n v="133"/>
    <n v="20"/>
    <n v="49"/>
    <n v="3"/>
    <n v="0"/>
    <n v="0.36842105263157893"/>
    <n v="2.2556390977443611E-2"/>
    <n v="0"/>
    <n v="2"/>
    <x v="2"/>
    <s v="24+ Months"/>
    <x v="1"/>
    <n v="0"/>
  </r>
  <r>
    <n v="108398"/>
    <s v="Evans Police Department - CO"/>
    <n v="38"/>
    <n v="40"/>
    <n v="15"/>
    <n v="49"/>
    <n v="0"/>
    <n v="0"/>
    <n v="1.2250000000000001"/>
    <n v="0"/>
    <n v="0"/>
    <n v="0"/>
    <x v="2"/>
    <s v="24+ Months"/>
    <x v="2"/>
    <n v="0"/>
  </r>
  <r>
    <n v="127501"/>
    <s v="Tavares Police Department - FL"/>
    <n v="33"/>
    <n v="28"/>
    <n v="11"/>
    <n v="49"/>
    <n v="28"/>
    <n v="0"/>
    <n v="1.75"/>
    <n v="1"/>
    <n v="0"/>
    <n v="0"/>
    <x v="0"/>
    <s v="18-24 Months"/>
    <x v="2"/>
    <n v="0"/>
  </r>
  <r>
    <n v="311450"/>
    <s v="Ogden Police Dept. - NY"/>
    <n v="17"/>
    <n v="14"/>
    <n v="12"/>
    <n v="49"/>
    <n v="6"/>
    <n v="0"/>
    <n v="3.5"/>
    <n v="0.42857142857142849"/>
    <n v="0"/>
    <n v="0"/>
    <x v="0"/>
    <s v="18-24 Months"/>
    <x v="2"/>
    <n v="17"/>
  </r>
  <r>
    <n v="305996"/>
    <s v="California State University Police - East Bay"/>
    <n v="16"/>
    <n v="12"/>
    <n v="6"/>
    <n v="48"/>
    <n v="48"/>
    <n v="48"/>
    <n v="4"/>
    <n v="4"/>
    <n v="4"/>
    <n v="62"/>
    <x v="0"/>
    <s v="18-24 Months"/>
    <x v="2"/>
    <n v="16"/>
  </r>
  <r>
    <n v="146835"/>
    <s v="Davie Police Dept - FL"/>
    <n v="198"/>
    <n v="210"/>
    <n v="24"/>
    <n v="46"/>
    <n v="7"/>
    <n v="4"/>
    <n v="0.21904761904761899"/>
    <n v="3.3333333333333333E-2"/>
    <n v="1.9047619047619049E-2"/>
    <n v="28"/>
    <x v="2"/>
    <s v="24+ Months"/>
    <x v="1"/>
    <n v="0"/>
  </r>
  <r>
    <n v="494655"/>
    <s v="West Lampeter Township Police Dept - PA"/>
    <n v="17"/>
    <n v="15"/>
    <n v="44"/>
    <n v="46"/>
    <n v="0"/>
    <n v="0"/>
    <n v="3.0666666666666669"/>
    <n v="0"/>
    <n v="0"/>
    <n v="0"/>
    <x v="1"/>
    <s v="24+ Months"/>
    <x v="2"/>
    <n v="17"/>
  </r>
  <r>
    <n v="321467"/>
    <s v="Clinton County Sheriff's Office - NY"/>
    <n v="9"/>
    <n v="36"/>
    <n v="8"/>
    <n v="46"/>
    <n v="25"/>
    <n v="6"/>
    <n v="1.2777777777777779"/>
    <n v="0.69444444444444442"/>
    <n v="0.16666666666666671"/>
    <n v="78"/>
    <x v="0"/>
    <s v="18-24 Months"/>
    <x v="2"/>
    <n v="0"/>
  </r>
  <r>
    <n v="315428"/>
    <s v="Hardeeville Police Department - SC"/>
    <n v="28"/>
    <n v="48"/>
    <n v="13"/>
    <n v="43"/>
    <n v="6"/>
    <n v="0"/>
    <n v="0.89583333333333337"/>
    <n v="0.125"/>
    <n v="0"/>
    <n v="12"/>
    <x v="2"/>
    <s v="24+ Months"/>
    <x v="2"/>
    <n v="0"/>
  </r>
  <r>
    <n v="204311"/>
    <s v="Stallings Police Department - NC"/>
    <n v="26"/>
    <n v="20"/>
    <n v="27"/>
    <n v="43"/>
    <n v="30"/>
    <n v="2"/>
    <n v="2.15"/>
    <n v="1.5"/>
    <n v="0.1"/>
    <n v="13"/>
    <x v="1"/>
    <s v="24+ Months"/>
    <x v="2"/>
    <n v="26"/>
  </r>
  <r>
    <n v="107372"/>
    <s v="Kearney Police Dept. - NE"/>
    <n v="3"/>
    <n v="65"/>
    <n v="9"/>
    <n v="43"/>
    <n v="5"/>
    <n v="0"/>
    <n v="0.66153846153846152"/>
    <n v="7.6923076923076927E-2"/>
    <n v="0"/>
    <n v="0"/>
    <x v="0"/>
    <s v="18-24 Months"/>
    <x v="2"/>
    <n v="0"/>
  </r>
  <r>
    <n v="493927"/>
    <s v="Fairfield Glade Police Dept. - TN"/>
    <n v="17"/>
    <n v="17"/>
    <n v="19"/>
    <n v="42"/>
    <n v="42"/>
    <n v="42"/>
    <n v="2.4705882352941182"/>
    <n v="2.4705882352941182"/>
    <n v="2.4705882352941182"/>
    <n v="0"/>
    <x v="2"/>
    <s v="24+ Months"/>
    <x v="2"/>
    <n v="17"/>
  </r>
  <r>
    <n v="158519"/>
    <s v="Sonoma State Univ Police Dept. (CSU campus)- CA"/>
    <n v="14"/>
    <n v="13"/>
    <n v="6"/>
    <n v="42"/>
    <n v="42"/>
    <n v="42"/>
    <n v="3.2307692307692308"/>
    <n v="3.2307692307692308"/>
    <n v="3.2307692307692308"/>
    <n v="12"/>
    <x v="0"/>
    <s v="18-24 Months"/>
    <x v="2"/>
    <n v="14"/>
  </r>
  <r>
    <n v="137813"/>
    <s v="Bellevue Police Dept. - WA"/>
    <n v="274"/>
    <n v="220"/>
    <n v="23"/>
    <n v="41"/>
    <n v="10"/>
    <n v="0"/>
    <n v="0.1863636363636364"/>
    <n v="4.5454545454545463E-2"/>
    <n v="0"/>
    <n v="37"/>
    <x v="2"/>
    <s v="24+ Months"/>
    <x v="1"/>
    <n v="0"/>
  </r>
  <r>
    <n v="134938"/>
    <s v="Greeley Police Dept. - CO"/>
    <n v="204"/>
    <n v="193"/>
    <n v="10"/>
    <n v="40"/>
    <n v="10"/>
    <n v="10"/>
    <n v="0.20725388601036271"/>
    <n v="5.181347150259067E-2"/>
    <n v="5.181347150259067E-2"/>
    <n v="0"/>
    <x v="0"/>
    <s v="18-24 Months"/>
    <x v="1"/>
    <n v="0"/>
  </r>
  <r>
    <n v="219125"/>
    <s v="Breezy Point Police Dept. - MN"/>
    <n v="9"/>
    <n v="8"/>
    <n v="9"/>
    <n v="40"/>
    <n v="15"/>
    <n v="0"/>
    <n v="5"/>
    <n v="1.875"/>
    <n v="0"/>
    <n v="30"/>
    <x v="0"/>
    <s v="18-24 Months"/>
    <x v="2"/>
    <n v="9"/>
  </r>
  <r>
    <n v="135122"/>
    <s v="Anne Arundel County Police Dept. - MD"/>
    <n v="862"/>
    <n v="800"/>
    <n v="28"/>
    <n v="39"/>
    <n v="5"/>
    <n v="1"/>
    <n v="4.8750000000000002E-2"/>
    <n v="6.2500000000000003E-3"/>
    <n v="1.25E-3"/>
    <n v="923"/>
    <x v="1"/>
    <s v="24+ Months"/>
    <x v="0"/>
    <n v="0"/>
  </r>
  <r>
    <n v="110487"/>
    <s v="Port St. Lucie Police Dept - FL"/>
    <n v="296"/>
    <n v="175"/>
    <n v="7"/>
    <n v="39"/>
    <n v="39"/>
    <n v="39"/>
    <n v="0.22285714285714289"/>
    <n v="0.22285714285714289"/>
    <n v="0.22285714285714289"/>
    <n v="7"/>
    <x v="0"/>
    <s v="18-24 Months"/>
    <x v="1"/>
    <n v="0"/>
  </r>
  <r>
    <n v="486478"/>
    <s v="PR Policia de Puerto Rico"/>
    <n v="155"/>
    <n v="350"/>
    <n v="15"/>
    <n v="39"/>
    <n v="39"/>
    <n v="5"/>
    <n v="0.1114285714285714"/>
    <n v="0.1114285714285714"/>
    <n v="1.428571428571429E-2"/>
    <n v="155"/>
    <x v="2"/>
    <s v="24+ Months"/>
    <x v="1"/>
    <n v="0"/>
  </r>
  <r>
    <n v="510427"/>
    <s v="Queen Creek Police Department - AZ"/>
    <n v="78"/>
    <n v="40"/>
    <n v="49"/>
    <n v="39"/>
    <n v="36"/>
    <n v="36"/>
    <n v="0.97499999999999998"/>
    <n v="0.9"/>
    <n v="0.9"/>
    <n v="4"/>
    <x v="1"/>
    <s v="24+ Months"/>
    <x v="2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2"/>
    <s v="24+ Months"/>
    <x v="1"/>
    <n v="0"/>
  </r>
  <r>
    <n v="108412"/>
    <s v="Tuscaloosa County Sheriff's Office - AL"/>
    <n v="93"/>
    <n v="205"/>
    <n v="34"/>
    <n v="38"/>
    <n v="11"/>
    <n v="4"/>
    <n v="0.18536585365853661"/>
    <n v="5.3658536585365853E-2"/>
    <n v="1.9512195121951219E-2"/>
    <n v="39"/>
    <x v="1"/>
    <s v="24+ Months"/>
    <x v="1"/>
    <n v="0"/>
  </r>
  <r>
    <n v="205183"/>
    <s v="Divide County Sheriff's Office - ND"/>
    <n v="5"/>
    <n v="10"/>
    <n v="6"/>
    <n v="38"/>
    <n v="38"/>
    <n v="0"/>
    <n v="3.8"/>
    <n v="3.8"/>
    <n v="0"/>
    <n v="0"/>
    <x v="0"/>
    <s v="18-24 Months"/>
    <x v="2"/>
    <n v="5"/>
  </r>
  <r>
    <n v="470907"/>
    <s v="Stowe Township Police Department - PA"/>
    <n v="2"/>
    <n v="15"/>
    <n v="8"/>
    <n v="38"/>
    <n v="22"/>
    <n v="21"/>
    <n v="2.5333333333333332"/>
    <n v="1.466666666666667"/>
    <n v="1.4"/>
    <n v="70"/>
    <x v="0"/>
    <s v="18-24 Months"/>
    <x v="2"/>
    <n v="2"/>
  </r>
  <r>
    <n v="109719"/>
    <s v="University of Colorado - Boulder - CO"/>
    <n v="85"/>
    <n v="61"/>
    <n v="12"/>
    <n v="37"/>
    <n v="14"/>
    <n v="0"/>
    <n v="0.60655737704918034"/>
    <n v="0.22950819672131151"/>
    <n v="0"/>
    <n v="9"/>
    <x v="0"/>
    <s v="18-24 Months"/>
    <x v="2"/>
    <n v="0"/>
  </r>
  <r>
    <n v="113149"/>
    <s v="Hailey Police Department - ID"/>
    <n v="16"/>
    <n v="12"/>
    <n v="6"/>
    <n v="37"/>
    <n v="37"/>
    <n v="20"/>
    <n v="3.083333333333333"/>
    <n v="3.083333333333333"/>
    <n v="1.666666666666667"/>
    <n v="0"/>
    <x v="0"/>
    <s v="18-24 Months"/>
    <x v="2"/>
    <n v="16"/>
  </r>
  <r>
    <n v="108360"/>
    <s v="Minnesota State Patrol - MN"/>
    <n v="782"/>
    <n v="800"/>
    <n v="50"/>
    <n v="36"/>
    <n v="5"/>
    <n v="1"/>
    <n v="4.4999999999999998E-2"/>
    <n v="6.2500000000000003E-3"/>
    <n v="1.25E-3"/>
    <n v="72"/>
    <x v="1"/>
    <s v="24+ Months"/>
    <x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0"/>
    <s v="18-24 Months"/>
    <x v="2"/>
    <n v="0"/>
  </r>
  <r>
    <n v="493451"/>
    <s v="Hesperia Recreation &amp; Park District Rangers - CA"/>
    <n v="5"/>
    <n v="8"/>
    <n v="6"/>
    <n v="36"/>
    <n v="9"/>
    <n v="0"/>
    <n v="4.5"/>
    <n v="1.125"/>
    <n v="0"/>
    <n v="26"/>
    <x v="0"/>
    <s v="18-24 Months"/>
    <x v="2"/>
    <n v="5"/>
  </r>
  <r>
    <n v="106876"/>
    <s v="Oak Brook Police Dept. - IL"/>
    <n v="3"/>
    <n v="48"/>
    <n v="45"/>
    <n v="36"/>
    <n v="21"/>
    <n v="10"/>
    <n v="0.75"/>
    <n v="0.4375"/>
    <n v="0.20833333333333329"/>
    <n v="4"/>
    <x v="1"/>
    <s v="24+ Months"/>
    <x v="2"/>
    <n v="0"/>
  </r>
  <r>
    <n v="189441"/>
    <s v="Jasper County Sheriff's Office - SC"/>
    <n v="50"/>
    <n v="82"/>
    <n v="37"/>
    <n v="35"/>
    <n v="9"/>
    <n v="5"/>
    <n v="0.42682926829268292"/>
    <n v="0.1097560975609756"/>
    <n v="6.097560975609756E-2"/>
    <n v="18"/>
    <x v="1"/>
    <s v="24+ Months"/>
    <x v="2"/>
    <n v="0"/>
  </r>
  <r>
    <n v="106950"/>
    <s v="Hurricane Police Department - UT"/>
    <n v="30"/>
    <n v="35"/>
    <n v="21"/>
    <n v="35"/>
    <n v="20"/>
    <n v="8"/>
    <n v="1"/>
    <n v="0.5714285714285714"/>
    <n v="0.22857142857142859"/>
    <n v="5"/>
    <x v="2"/>
    <s v="24+ Months"/>
    <x v="2"/>
    <n v="0"/>
  </r>
  <r>
    <n v="106841"/>
    <s v="El Centro Police Dept. - CA"/>
    <n v="20"/>
    <n v="54"/>
    <n v="10"/>
    <n v="35"/>
    <n v="1"/>
    <n v="0"/>
    <n v="0.64814814814814814"/>
    <n v="1.8518518518518521E-2"/>
    <n v="0"/>
    <n v="0"/>
    <x v="0"/>
    <s v="18-24 Months"/>
    <x v="2"/>
    <n v="0"/>
  </r>
  <r>
    <n v="107137"/>
    <s v="Rosemont Department of Public Safety - IL"/>
    <n v="255"/>
    <n v="64"/>
    <n v="12"/>
    <n v="34"/>
    <n v="26"/>
    <n v="11"/>
    <n v="0.53125"/>
    <n v="0.40625"/>
    <n v="0.171875"/>
    <n v="0"/>
    <x v="0"/>
    <s v="18-24 Months"/>
    <x v="2"/>
    <n v="0"/>
  </r>
  <r>
    <n v="109892"/>
    <s v="Oswego City Police Dept. - NY"/>
    <n v="51"/>
    <n v="54"/>
    <n v="21"/>
    <n v="34"/>
    <n v="6"/>
    <n v="0"/>
    <n v="0.62962962962962965"/>
    <n v="0.1111111111111111"/>
    <n v="0"/>
    <n v="0"/>
    <x v="2"/>
    <s v="24+ Months"/>
    <x v="2"/>
    <n v="0"/>
  </r>
  <r>
    <n v="293426"/>
    <s v="Tonkawa Police Dept."/>
    <n v="8"/>
    <n v="16"/>
    <n v="30"/>
    <n v="34"/>
    <n v="25"/>
    <n v="0"/>
    <n v="2.125"/>
    <n v="1.5625"/>
    <n v="0"/>
    <n v="34"/>
    <x v="1"/>
    <s v="24+ Months"/>
    <x v="2"/>
    <n v="8"/>
  </r>
  <r>
    <n v="458721"/>
    <s v="Ward County Sheriff's Office - TX"/>
    <n v="23"/>
    <n v="46"/>
    <n v="7"/>
    <n v="33"/>
    <n v="17"/>
    <n v="0"/>
    <n v="0.71739130434782605"/>
    <n v="0.36956521739130432"/>
    <n v="0"/>
    <n v="38"/>
    <x v="0"/>
    <s v="18-24 Months"/>
    <x v="2"/>
    <n v="0"/>
  </r>
  <r>
    <n v="465304"/>
    <s v="York City School Police Dept - PA"/>
    <n v="18"/>
    <n v="24"/>
    <n v="27"/>
    <n v="33"/>
    <n v="26"/>
    <n v="0"/>
    <n v="1.375"/>
    <n v="1.083333333333333"/>
    <n v="0"/>
    <n v="3"/>
    <x v="1"/>
    <s v="24+ Months"/>
    <x v="2"/>
    <n v="0"/>
  </r>
  <r>
    <n v="479509"/>
    <s v="Mashpee Wampanoag Police Dept. - MA"/>
    <n v="8"/>
    <n v="7"/>
    <n v="14"/>
    <n v="33"/>
    <n v="27"/>
    <n v="20"/>
    <n v="4.7142857142857144"/>
    <n v="3.8571428571428572"/>
    <n v="2.8571428571428572"/>
    <n v="1"/>
    <x v="2"/>
    <s v="24+ Months"/>
    <x v="2"/>
    <n v="8"/>
  </r>
  <r>
    <n v="316023"/>
    <s v="Fremont County Sheriff's Office - ID"/>
    <n v="28"/>
    <n v="26"/>
    <n v="11"/>
    <n v="32"/>
    <n v="7"/>
    <n v="0"/>
    <n v="1.2307692307692311"/>
    <n v="0.26923076923076922"/>
    <n v="0"/>
    <n v="0"/>
    <x v="0"/>
    <s v="18-24 Months"/>
    <x v="2"/>
    <n v="0"/>
  </r>
  <r>
    <n v="461977"/>
    <s v="West Lake Hills Police Dept. - TX"/>
    <n v="18"/>
    <n v="10"/>
    <n v="9"/>
    <n v="32"/>
    <n v="13"/>
    <n v="0"/>
    <n v="3.2"/>
    <n v="1.3"/>
    <n v="0"/>
    <n v="0"/>
    <x v="0"/>
    <s v="18-24 Months"/>
    <x v="2"/>
    <n v="18"/>
  </r>
  <r>
    <n v="485670"/>
    <s v="Monahans Police Dept. - TX"/>
    <n v="18"/>
    <n v="32"/>
    <n v="49"/>
    <n v="32"/>
    <n v="9"/>
    <n v="9"/>
    <n v="1"/>
    <n v="0.28125"/>
    <n v="0.28125"/>
    <n v="0"/>
    <x v="1"/>
    <s v="24+ Months"/>
    <x v="2"/>
    <n v="0"/>
  </r>
  <r>
    <n v="107937"/>
    <s v="Winthrop Police Dept - MN"/>
    <n v="2"/>
    <n v="5"/>
    <n v="9"/>
    <n v="32"/>
    <n v="12"/>
    <n v="3"/>
    <n v="6.4"/>
    <n v="2.4"/>
    <n v="0.6"/>
    <n v="0"/>
    <x v="0"/>
    <s v="18-24 Months"/>
    <x v="2"/>
    <n v="2"/>
  </r>
  <r>
    <n v="106735"/>
    <s v="Iberville Parish Sheriff's Office - LA"/>
    <n v="0"/>
    <n v="65"/>
    <n v="19"/>
    <n v="32"/>
    <n v="32"/>
    <n v="15"/>
    <n v="0.49230769230769228"/>
    <n v="0.49230769230769228"/>
    <n v="0.23076923076923081"/>
    <n v="1"/>
    <x v="2"/>
    <s v="24+ Months"/>
    <x v="2"/>
    <n v="0"/>
  </r>
  <r>
    <n v="109353"/>
    <s v="Surfside Police Dept.- FL"/>
    <n v="40"/>
    <n v="34"/>
    <n v="6"/>
    <n v="31"/>
    <n v="31"/>
    <n v="31"/>
    <n v="0.91176470588235292"/>
    <n v="0.91176470588235292"/>
    <n v="0.91176470588235292"/>
    <n v="14"/>
    <x v="0"/>
    <s v="18-24 Months"/>
    <x v="2"/>
    <n v="0"/>
  </r>
  <r>
    <n v="480877"/>
    <s v="South Carolina State University - SC"/>
    <n v="15"/>
    <n v="15"/>
    <n v="10"/>
    <n v="31"/>
    <n v="3"/>
    <n v="3"/>
    <n v="2.0666666666666669"/>
    <n v="0.2"/>
    <n v="0.2"/>
    <n v="5"/>
    <x v="0"/>
    <s v="18-24 Months"/>
    <x v="2"/>
    <n v="15"/>
  </r>
  <r>
    <n v="128220"/>
    <s v="Rockdale Police Dept. - IL"/>
    <n v="14"/>
    <n v="11"/>
    <n v="15"/>
    <n v="31"/>
    <n v="24"/>
    <n v="10"/>
    <n v="2.8181818181818179"/>
    <n v="2.1818181818181821"/>
    <n v="0.90909090909090906"/>
    <n v="0"/>
    <x v="2"/>
    <s v="24+ Months"/>
    <x v="2"/>
    <n v="14"/>
  </r>
  <r>
    <n v="110142"/>
    <s v="Miami Beach Police Dept. - FL"/>
    <n v="482"/>
    <n v="437"/>
    <n v="13"/>
    <n v="30"/>
    <n v="18"/>
    <n v="18"/>
    <n v="6.8649885583524028E-2"/>
    <n v="4.1189931350114423E-2"/>
    <n v="4.1189931350114423E-2"/>
    <n v="0"/>
    <x v="2"/>
    <s v="24+ Months"/>
    <x v="1"/>
    <n v="0"/>
  </r>
  <r>
    <n v="300687"/>
    <s v="Metra Police Department - IL"/>
    <n v="120"/>
    <n v="175"/>
    <n v="46"/>
    <n v="30"/>
    <n v="23"/>
    <n v="12"/>
    <n v="0.1714285714285714"/>
    <n v="0.13142857142857139"/>
    <n v="6.8571428571428575E-2"/>
    <n v="12"/>
    <x v="1"/>
    <s v="24+ Months"/>
    <x v="1"/>
    <n v="0"/>
  </r>
  <r>
    <n v="465967"/>
    <s v="Forest Preserves of Cook County Police Dept. - IL"/>
    <n v="109"/>
    <n v="125"/>
    <n v="10"/>
    <n v="30"/>
    <n v="0"/>
    <n v="0"/>
    <n v="0.24"/>
    <n v="0"/>
    <n v="0"/>
    <n v="2"/>
    <x v="0"/>
    <s v="18-24 Months"/>
    <x v="1"/>
    <n v="0"/>
  </r>
  <r>
    <n v="479807"/>
    <s v="El Dorado County Probation Dept. - CA"/>
    <n v="63"/>
    <n v="60"/>
    <n v="21"/>
    <n v="30"/>
    <n v="30"/>
    <n v="0"/>
    <n v="0.5"/>
    <n v="0.5"/>
    <n v="0"/>
    <n v="0"/>
    <x v="2"/>
    <s v="24+ Months"/>
    <x v="2"/>
    <n v="0"/>
  </r>
  <r>
    <n v="304016"/>
    <s v="Pulaski County Sheriff's Dept. - IL"/>
    <n v="15"/>
    <n v="5"/>
    <n v="9"/>
    <n v="30"/>
    <n v="0"/>
    <n v="0"/>
    <n v="6"/>
    <n v="0"/>
    <n v="0"/>
    <n v="0"/>
    <x v="0"/>
    <s v="18-24 Months"/>
    <x v="2"/>
    <n v="15"/>
  </r>
  <r>
    <n v="106477"/>
    <s v="City of Rock Hill Police Dept - SC"/>
    <n v="158"/>
    <n v="156"/>
    <n v="45"/>
    <n v="29"/>
    <n v="27"/>
    <n v="27"/>
    <n v="0.1858974358974359"/>
    <n v="0.1730769230769231"/>
    <n v="0.1730769230769231"/>
    <n v="0"/>
    <x v="1"/>
    <s v="24+ Months"/>
    <x v="1"/>
    <n v="0"/>
  </r>
  <r>
    <n v="109997"/>
    <s v="Middletown Police Dept. - CT"/>
    <n v="119"/>
    <n v="125"/>
    <n v="50"/>
    <n v="29"/>
    <n v="28"/>
    <n v="24"/>
    <n v="0.23200000000000001"/>
    <n v="0.224"/>
    <n v="0.192"/>
    <n v="27"/>
    <x v="1"/>
    <s v="24+ Months"/>
    <x v="1"/>
    <n v="0"/>
  </r>
  <r>
    <n v="310479"/>
    <s v="Ferguson Police Dept. - MO"/>
    <n v="44"/>
    <n v="45"/>
    <n v="8"/>
    <n v="29"/>
    <n v="13"/>
    <n v="13"/>
    <n v="0.64444444444444449"/>
    <n v="0.28888888888888892"/>
    <n v="0.28888888888888892"/>
    <n v="30"/>
    <x v="0"/>
    <s v="18-24 Months"/>
    <x v="2"/>
    <n v="0"/>
  </r>
  <r>
    <n v="110252"/>
    <s v="Maumee Police Division - OH"/>
    <n v="41"/>
    <n v="41"/>
    <n v="12"/>
    <n v="29"/>
    <n v="20"/>
    <n v="20"/>
    <n v="0.70731707317073167"/>
    <n v="0.48780487804878048"/>
    <n v="0.48780487804878048"/>
    <n v="8"/>
    <x v="0"/>
    <s v="18-24 Months"/>
    <x v="2"/>
    <n v="0"/>
  </r>
  <r>
    <n v="465602"/>
    <s v="Duck Police Dept. - NC"/>
    <n v="13"/>
    <n v="15"/>
    <n v="13"/>
    <n v="29"/>
    <n v="21"/>
    <n v="21"/>
    <n v="1.9333333333333329"/>
    <n v="1.4"/>
    <n v="1.4"/>
    <n v="2"/>
    <x v="2"/>
    <s v="24+ Months"/>
    <x v="2"/>
    <n v="0"/>
  </r>
  <r>
    <n v="109013"/>
    <s v="Hendry County Sheriff's Office - FL"/>
    <n v="80"/>
    <n v="145"/>
    <n v="11"/>
    <n v="28"/>
    <n v="7"/>
    <n v="7"/>
    <n v="0.19310344827586209"/>
    <n v="4.8275862068965517E-2"/>
    <n v="4.8275862068965517E-2"/>
    <n v="2"/>
    <x v="0"/>
    <s v="18-24 Months"/>
    <x v="1"/>
    <n v="0"/>
  </r>
  <r>
    <n v="183987"/>
    <s v="San Jose State Univ, (CSU campus) - CA"/>
    <n v="65"/>
    <n v="27"/>
    <n v="6"/>
    <n v="28"/>
    <n v="28"/>
    <n v="28"/>
    <n v="1.037037037037037"/>
    <n v="1.037037037037037"/>
    <n v="1.037037037037037"/>
    <n v="15"/>
    <x v="0"/>
    <s v="18-24 Months"/>
    <x v="2"/>
    <n v="0"/>
  </r>
  <r>
    <n v="156114"/>
    <s v="Hampton Police Dept. - GA"/>
    <n v="47"/>
    <n v="25"/>
    <n v="11"/>
    <n v="28"/>
    <n v="0"/>
    <n v="0"/>
    <n v="1.1200000000000001"/>
    <n v="0"/>
    <n v="0"/>
    <n v="0"/>
    <x v="0"/>
    <s v="18-24 Months"/>
    <x v="2"/>
    <n v="0"/>
  </r>
  <r>
    <n v="241689"/>
    <s v="FARMER CITY POLICE DEPT - IL"/>
    <n v="1"/>
    <n v="6"/>
    <n v="8"/>
    <n v="28"/>
    <n v="28"/>
    <n v="9"/>
    <n v="4.666666666666667"/>
    <n v="4.666666666666667"/>
    <n v="1.5"/>
    <n v="84"/>
    <x v="0"/>
    <s v="18-24 Months"/>
    <x v="2"/>
    <n v="1"/>
  </r>
  <r>
    <n v="157441"/>
    <s v="Fresno County Sheriff's Office - CA"/>
    <n v="650"/>
    <n v="250"/>
    <n v="6"/>
    <n v="27"/>
    <n v="27"/>
    <n v="27"/>
    <n v="0.108"/>
    <n v="0.108"/>
    <n v="0.108"/>
    <n v="64"/>
    <x v="0"/>
    <s v="18-24 Months"/>
    <x v="1"/>
    <n v="0"/>
  </r>
  <r>
    <n v="108260"/>
    <s v="Clarksville Police Dept - IN"/>
    <n v="59"/>
    <n v="60"/>
    <n v="8"/>
    <n v="27"/>
    <n v="0"/>
    <n v="0"/>
    <n v="0.45"/>
    <n v="0"/>
    <n v="0"/>
    <n v="0"/>
    <x v="0"/>
    <s v="18-24 Months"/>
    <x v="2"/>
    <n v="0"/>
  </r>
  <r>
    <n v="107189"/>
    <s v="Wilmer Police Dept. - TX"/>
    <n v="16"/>
    <n v="25"/>
    <n v="11"/>
    <n v="27"/>
    <n v="21"/>
    <n v="0"/>
    <n v="1.08"/>
    <n v="0.84"/>
    <n v="0"/>
    <n v="0"/>
    <x v="0"/>
    <s v="18-24 Months"/>
    <x v="2"/>
    <n v="0"/>
  </r>
  <r>
    <n v="109084"/>
    <s v="Coloma Township Police Department - MI"/>
    <n v="10"/>
    <n v="21"/>
    <n v="7"/>
    <n v="27"/>
    <n v="27"/>
    <n v="7"/>
    <n v="1.285714285714286"/>
    <n v="1.285714285714286"/>
    <n v="0.33333333333333331"/>
    <n v="12"/>
    <x v="0"/>
    <s v="18-24 Months"/>
    <x v="2"/>
    <n v="0"/>
  </r>
  <r>
    <n v="551150"/>
    <s v="Neptune Township Police Dept - NJ"/>
    <n v="3"/>
    <n v="18"/>
    <n v="8"/>
    <n v="27"/>
    <n v="27"/>
    <n v="0"/>
    <n v="1.5"/>
    <n v="1.5"/>
    <n v="0"/>
    <n v="0"/>
    <x v="0"/>
    <s v="18-24 Months"/>
    <x v="2"/>
    <n v="0"/>
  </r>
  <r>
    <n v="106603"/>
    <s v="Bernalillo County Sheriff's Dept. - NM"/>
    <n v="378"/>
    <n v="622"/>
    <n v="25"/>
    <n v="26"/>
    <n v="26"/>
    <n v="26"/>
    <n v="4.1800643086816719E-2"/>
    <n v="4.1800643086816719E-2"/>
    <n v="4.1800643086816719E-2"/>
    <n v="33"/>
    <x v="1"/>
    <s v="24+ Months"/>
    <x v="0"/>
    <n v="0"/>
  </r>
  <r>
    <n v="108627"/>
    <s v="Payson Police Department - AZ"/>
    <n v="36"/>
    <n v="35"/>
    <n v="8"/>
    <n v="26"/>
    <n v="26"/>
    <n v="2"/>
    <n v="0.74285714285714288"/>
    <n v="0.74285714285714288"/>
    <n v="5.7142857142857141E-2"/>
    <n v="40"/>
    <x v="0"/>
    <s v="18-24 Months"/>
    <x v="2"/>
    <n v="0"/>
  </r>
  <r>
    <n v="317638"/>
    <s v="Hopewell City Sheriff's Office - VA"/>
    <n v="23"/>
    <n v="23"/>
    <n v="8"/>
    <n v="26"/>
    <n v="26"/>
    <n v="0"/>
    <n v="1.130434782608696"/>
    <n v="1.130434782608696"/>
    <n v="0"/>
    <n v="32"/>
    <x v="0"/>
    <s v="18-24 Months"/>
    <x v="2"/>
    <n v="0"/>
  </r>
  <r>
    <n v="107396"/>
    <s v="Bradley County Sheriff's Office - TN"/>
    <n v="106"/>
    <n v="135"/>
    <n v="50"/>
    <n v="25"/>
    <n v="25"/>
    <n v="25"/>
    <n v="0.1851851851851852"/>
    <n v="0.1851851851851852"/>
    <n v="0.1851851851851852"/>
    <n v="35"/>
    <x v="1"/>
    <s v="24+ Months"/>
    <x v="1"/>
    <n v="0"/>
  </r>
  <r>
    <n v="222038"/>
    <s v="Genoa Police Dept. - IL"/>
    <n v="11"/>
    <n v="20"/>
    <n v="6"/>
    <n v="25"/>
    <n v="22"/>
    <n v="2"/>
    <n v="1.25"/>
    <n v="1.1000000000000001"/>
    <n v="0.1"/>
    <n v="10"/>
    <x v="0"/>
    <s v="18-24 Months"/>
    <x v="2"/>
    <n v="0"/>
  </r>
  <r>
    <n v="106616"/>
    <s v="Elk Grove Village Police Dept. - IL"/>
    <n v="4"/>
    <n v="92"/>
    <n v="30"/>
    <n v="25"/>
    <n v="1"/>
    <n v="1"/>
    <n v="0.27173913043478259"/>
    <n v="1.0869565217391301E-2"/>
    <n v="1.0869565217391301E-2"/>
    <n v="40"/>
    <x v="1"/>
    <s v="24+ Months"/>
    <x v="2"/>
    <n v="0"/>
  </r>
  <r>
    <n v="107160"/>
    <s v="Brunswick Police Department - GA"/>
    <n v="50"/>
    <n v="45"/>
    <n v="14"/>
    <n v="24"/>
    <n v="16"/>
    <n v="12"/>
    <n v="0.53333333333333333"/>
    <n v="0.35555555555555562"/>
    <n v="0.26666666666666672"/>
    <n v="0"/>
    <x v="2"/>
    <s v="24+ Months"/>
    <x v="2"/>
    <n v="0"/>
  </r>
  <r>
    <n v="109947"/>
    <s v="Bethalto Police Dept. - IL"/>
    <n v="15"/>
    <n v="12"/>
    <n v="13"/>
    <n v="24"/>
    <n v="7"/>
    <n v="0"/>
    <n v="2"/>
    <n v="0.58333333333333337"/>
    <n v="0"/>
    <n v="0"/>
    <x v="2"/>
    <s v="24+ Months"/>
    <x v="2"/>
    <n v="15"/>
  </r>
  <r>
    <n v="112348"/>
    <s v="Orleans County Sheriff's Dept. - NY"/>
    <n v="0"/>
    <n v="40"/>
    <n v="21"/>
    <n v="24"/>
    <n v="16"/>
    <n v="6"/>
    <n v="0.6"/>
    <n v="0.4"/>
    <n v="0.15"/>
    <n v="2"/>
    <x v="2"/>
    <s v="24+ Months"/>
    <x v="2"/>
    <n v="0"/>
  </r>
  <r>
    <n v="174235"/>
    <s v="Hampton University Police Dept. - VA"/>
    <n v="44"/>
    <n v="40"/>
    <n v="33"/>
    <n v="23"/>
    <n v="15"/>
    <n v="0"/>
    <n v="0.57499999999999996"/>
    <n v="0.375"/>
    <n v="0"/>
    <n v="22"/>
    <x v="1"/>
    <s v="24+ Months"/>
    <x v="2"/>
    <n v="0"/>
  </r>
  <r>
    <n v="549754"/>
    <s v="CapMetro Transit Police Dept - TX"/>
    <n v="16"/>
    <n v="25"/>
    <n v="12"/>
    <n v="22"/>
    <n v="10"/>
    <n v="1"/>
    <n v="0.88"/>
    <n v="0.4"/>
    <n v="0.04"/>
    <n v="1"/>
    <x v="0"/>
    <s v="18-24 Months"/>
    <x v="2"/>
    <n v="0"/>
  </r>
  <r>
    <n v="110104"/>
    <s v="Lake Hamilton Police Dept.- FL"/>
    <n v="1"/>
    <n v="12"/>
    <n v="50"/>
    <n v="22"/>
    <n v="0"/>
    <n v="0"/>
    <n v="1.833333333333333"/>
    <n v="0"/>
    <n v="0"/>
    <n v="0"/>
    <x v="1"/>
    <s v="24+ Months"/>
    <x v="2"/>
    <n v="0"/>
  </r>
  <r>
    <n v="157734"/>
    <s v="Hanford Police Dept. - CA"/>
    <n v="68"/>
    <n v="73"/>
    <n v="15"/>
    <n v="21"/>
    <n v="19"/>
    <n v="4"/>
    <n v="0.28767123287671231"/>
    <n v="0.26027397260273971"/>
    <n v="5.4794520547945202E-2"/>
    <n v="6"/>
    <x v="2"/>
    <s v="24+ Months"/>
    <x v="2"/>
    <n v="0"/>
  </r>
  <r>
    <n v="116153"/>
    <s v="Smyrna Police Dept. - DE"/>
    <n v="37"/>
    <n v="36"/>
    <n v="35"/>
    <n v="21"/>
    <n v="21"/>
    <n v="21"/>
    <n v="0.58333333333333337"/>
    <n v="0.58333333333333337"/>
    <n v="0.58333333333333337"/>
    <n v="3"/>
    <x v="1"/>
    <s v="24+ Months"/>
    <x v="2"/>
    <n v="0"/>
  </r>
  <r>
    <n v="111138"/>
    <s v="Chaffee County Sheriff's Office - CO"/>
    <n v="24"/>
    <n v="28"/>
    <n v="19"/>
    <n v="21"/>
    <n v="21"/>
    <n v="0"/>
    <n v="0.75"/>
    <n v="0.75"/>
    <n v="0"/>
    <n v="2"/>
    <x v="2"/>
    <s v="24+ Months"/>
    <x v="2"/>
    <n v="0"/>
  </r>
  <r>
    <n v="500453"/>
    <s v="Madison Police Department - NE"/>
    <n v="4"/>
    <n v="4"/>
    <n v="6"/>
    <n v="21"/>
    <n v="20"/>
    <n v="14"/>
    <n v="5.25"/>
    <n v="5"/>
    <n v="3.5"/>
    <n v="34"/>
    <x v="0"/>
    <s v="18-24 Months"/>
    <x v="2"/>
    <n v="4"/>
  </r>
  <r>
    <n v="157728"/>
    <s v="Shafter Police Dept. - CA"/>
    <n v="95"/>
    <n v="45"/>
    <n v="8"/>
    <n v="20"/>
    <n v="14"/>
    <n v="0"/>
    <n v="0.44444444444444442"/>
    <n v="0.31111111111111112"/>
    <n v="0"/>
    <n v="0"/>
    <x v="0"/>
    <s v="18-24 Months"/>
    <x v="2"/>
    <n v="0"/>
  </r>
  <r>
    <n v="109365"/>
    <s v="Seal Beach Police Dept. - CA"/>
    <n v="58"/>
    <n v="50"/>
    <n v="7"/>
    <n v="20"/>
    <n v="16"/>
    <n v="16"/>
    <n v="0.4"/>
    <n v="0.32"/>
    <n v="0.32"/>
    <n v="98"/>
    <x v="0"/>
    <s v="18-24 Months"/>
    <x v="2"/>
    <n v="0"/>
  </r>
  <r>
    <n v="110380"/>
    <s v="Germantown Police Department - WI"/>
    <n v="36"/>
    <n v="43"/>
    <n v="22"/>
    <n v="20"/>
    <n v="20"/>
    <n v="11"/>
    <n v="0.46511627906976738"/>
    <n v="0.46511627906976738"/>
    <n v="0.2558139534883721"/>
    <n v="20"/>
    <x v="2"/>
    <s v="24+ Months"/>
    <x v="2"/>
    <n v="0"/>
  </r>
  <r>
    <n v="442850"/>
    <s v="Crawford County Sheriff's Office - KS"/>
    <n v="36"/>
    <n v="51"/>
    <n v="21"/>
    <n v="20"/>
    <n v="19"/>
    <n v="19"/>
    <n v="0.39215686274509798"/>
    <n v="0.37254901960784309"/>
    <n v="0.37254901960784309"/>
    <n v="0"/>
    <x v="2"/>
    <s v="24+ Months"/>
    <x v="2"/>
    <n v="0"/>
  </r>
  <r>
    <n v="107174"/>
    <s v="Columbia Heights Police Department - MN"/>
    <n v="34"/>
    <n v="38"/>
    <n v="38"/>
    <n v="20"/>
    <n v="1"/>
    <n v="0"/>
    <n v="0.52631578947368418"/>
    <n v="2.6315789473684209E-2"/>
    <n v="0"/>
    <n v="7"/>
    <x v="1"/>
    <s v="24+ Months"/>
    <x v="2"/>
    <n v="0"/>
  </r>
  <r>
    <n v="212348"/>
    <s v="Tarrant County College Police Academy - TX"/>
    <n v="32"/>
    <n v="5"/>
    <n v="6"/>
    <n v="20"/>
    <n v="7"/>
    <n v="0"/>
    <n v="4"/>
    <n v="1.4"/>
    <n v="0"/>
    <n v="25"/>
    <x v="0"/>
    <s v="18-24 Months"/>
    <x v="2"/>
    <n v="32"/>
  </r>
  <r>
    <n v="542060"/>
    <s v="Bedford County Probation - PA"/>
    <n v="2"/>
    <n v="9"/>
    <n v="18"/>
    <n v="20"/>
    <n v="14"/>
    <n v="14"/>
    <n v="2.2222222222222219"/>
    <n v="1.555555555555556"/>
    <n v="1.555555555555556"/>
    <n v="4"/>
    <x v="2"/>
    <s v="24+ Months"/>
    <x v="2"/>
    <n v="2"/>
  </r>
  <r>
    <n v="109205"/>
    <s v="Indian River County Sheriff's Office - FL"/>
    <n v="249"/>
    <n v="429"/>
    <n v="10"/>
    <n v="19"/>
    <n v="14"/>
    <n v="0"/>
    <n v="4.4289044289044288E-2"/>
    <n v="3.2634032634032632E-2"/>
    <n v="0"/>
    <n v="83"/>
    <x v="0"/>
    <s v="18-24 Months"/>
    <x v="1"/>
    <n v="0"/>
  </r>
  <r>
    <n v="114873"/>
    <s v="Hayward Police Dept. - CA"/>
    <n v="216"/>
    <n v="216"/>
    <n v="22"/>
    <n v="19"/>
    <n v="0"/>
    <n v="0"/>
    <n v="8.7962962962962965E-2"/>
    <n v="0"/>
    <n v="0"/>
    <n v="4"/>
    <x v="2"/>
    <s v="24+ Months"/>
    <x v="1"/>
    <n v="0"/>
  </r>
  <r>
    <n v="109735"/>
    <s v="St. Mary's County Sheriff's Office - MD"/>
    <n v="162"/>
    <n v="166"/>
    <n v="33"/>
    <n v="19"/>
    <n v="19"/>
    <n v="19"/>
    <n v="0.1144578313253012"/>
    <n v="0.1144578313253012"/>
    <n v="0.1144578313253012"/>
    <n v="33"/>
    <x v="1"/>
    <s v="24+ Months"/>
    <x v="1"/>
    <n v="0"/>
  </r>
  <r>
    <n v="107214"/>
    <s v="Asotin County Sheriff's Office-WA"/>
    <n v="7"/>
    <n v="20"/>
    <n v="9"/>
    <n v="19"/>
    <n v="7"/>
    <n v="0"/>
    <n v="0.95"/>
    <n v="0.35"/>
    <n v="0"/>
    <n v="0"/>
    <x v="0"/>
    <s v="18-24 Months"/>
    <x v="2"/>
    <n v="0"/>
  </r>
  <r>
    <n v="512879"/>
    <s v="Sacramento County Sheriff's Dept. - CA"/>
    <n v="1841"/>
    <n v="300"/>
    <n v="7"/>
    <n v="18"/>
    <n v="18"/>
    <n v="3"/>
    <n v="0.06"/>
    <n v="0.06"/>
    <n v="0.01"/>
    <n v="22"/>
    <x v="0"/>
    <s v="18-24 Months"/>
    <x v="1"/>
    <n v="0"/>
  </r>
  <r>
    <n v="114556"/>
    <s v="Knox County Sheriff's Office - TN"/>
    <n v="414"/>
    <n v="450"/>
    <n v="49"/>
    <n v="18"/>
    <n v="16"/>
    <n v="0"/>
    <n v="0.04"/>
    <n v="3.5555555555555562E-2"/>
    <n v="0"/>
    <n v="34"/>
    <x v="1"/>
    <s v="24+ Months"/>
    <x v="1"/>
    <n v="0"/>
  </r>
  <r>
    <n v="105721"/>
    <s v="San Mateo Police Dept. - CA"/>
    <n v="142"/>
    <n v="132"/>
    <n v="36"/>
    <n v="18"/>
    <n v="9"/>
    <n v="9"/>
    <n v="0.13636363636363641"/>
    <n v="6.8181818181818177E-2"/>
    <n v="6.8181818181818177E-2"/>
    <n v="51"/>
    <x v="1"/>
    <s v="24+ Months"/>
    <x v="1"/>
    <n v="0"/>
  </r>
  <r>
    <n v="106743"/>
    <s v="Westminster Police Dept. - CA"/>
    <n v="122"/>
    <n v="125"/>
    <n v="13"/>
    <n v="18"/>
    <n v="18"/>
    <n v="0"/>
    <n v="0.14399999999999999"/>
    <n v="0.14399999999999999"/>
    <n v="0"/>
    <n v="0"/>
    <x v="2"/>
    <s v="24+ Months"/>
    <x v="1"/>
    <n v="0"/>
  </r>
  <r>
    <n v="118351"/>
    <s v="SLC Unified Police Dept. - UT"/>
    <n v="325"/>
    <n v="371"/>
    <n v="50"/>
    <n v="17"/>
    <n v="11"/>
    <n v="11"/>
    <n v="4.5822102425876012E-2"/>
    <n v="2.964959568733154E-2"/>
    <n v="2.964959568733154E-2"/>
    <n v="0"/>
    <x v="1"/>
    <s v="24+ Months"/>
    <x v="1"/>
    <n v="0"/>
  </r>
  <r>
    <n v="464691"/>
    <s v="St. Clair County Sheriff's Office - AL"/>
    <n v="66"/>
    <n v="20"/>
    <n v="9"/>
    <n v="17"/>
    <n v="13"/>
    <n v="0"/>
    <n v="0.85"/>
    <n v="0.65"/>
    <n v="0"/>
    <n v="14"/>
    <x v="0"/>
    <s v="18-24 Months"/>
    <x v="2"/>
    <n v="0"/>
  </r>
  <r>
    <n v="112123"/>
    <s v="Shiloh Police Dept. - IL"/>
    <n v="27"/>
    <n v="23"/>
    <n v="15"/>
    <n v="17"/>
    <n v="0"/>
    <n v="0"/>
    <n v="0.73913043478260865"/>
    <n v="0"/>
    <n v="0"/>
    <n v="0"/>
    <x v="2"/>
    <s v="24+ Months"/>
    <x v="2"/>
    <n v="0"/>
  </r>
  <r>
    <n v="547648"/>
    <s v="Boston University Police Dept - MA"/>
    <n v="0"/>
    <n v="100"/>
    <n v="13"/>
    <n v="17"/>
    <n v="0"/>
    <n v="0"/>
    <n v="0.17"/>
    <n v="0"/>
    <n v="0"/>
    <n v="5"/>
    <x v="2"/>
    <s v="24+ Months"/>
    <x v="1"/>
    <n v="0"/>
  </r>
  <r>
    <n v="108484"/>
    <s v="Blount County Sheriffs Office - TN"/>
    <n v="218"/>
    <n v="150"/>
    <n v="16"/>
    <n v="16"/>
    <n v="3"/>
    <n v="1"/>
    <n v="0.1066666666666667"/>
    <n v="0.02"/>
    <n v="6.6666666666666671E-3"/>
    <n v="0"/>
    <x v="2"/>
    <s v="24+ Months"/>
    <x v="1"/>
    <n v="0"/>
  </r>
  <r>
    <n v="106169"/>
    <s v="LOUISIANA STATE PENITENTIARY"/>
    <n v="1"/>
    <n v="20"/>
    <n v="26"/>
    <n v="16"/>
    <n v="0"/>
    <n v="0"/>
    <n v="0.8"/>
    <n v="0"/>
    <n v="0"/>
    <n v="0"/>
    <x v="1"/>
    <s v="24+ Months"/>
    <x v="2"/>
    <n v="0"/>
  </r>
  <r>
    <n v="476910"/>
    <s v="Amber Police Department - OK"/>
    <n v="1"/>
    <n v="4"/>
    <n v="6"/>
    <n v="16"/>
    <n v="0"/>
    <n v="0"/>
    <n v="4"/>
    <n v="0"/>
    <n v="0"/>
    <n v="0"/>
    <x v="0"/>
    <s v="18-24 Months"/>
    <x v="2"/>
    <n v="1"/>
  </r>
  <r>
    <n v="152571"/>
    <s v="Rye Brook Police Dept. - NY"/>
    <n v="1"/>
    <n v="60"/>
    <n v="6"/>
    <n v="16"/>
    <n v="16"/>
    <n v="14"/>
    <n v="0.26666666666666672"/>
    <n v="0.26666666666666672"/>
    <n v="0.23333333333333331"/>
    <n v="0"/>
    <x v="0"/>
    <s v="18-24 Months"/>
    <x v="2"/>
    <n v="0"/>
  </r>
  <r>
    <n v="470994"/>
    <s v="Bannockburn Police Dept. - IL"/>
    <n v="18"/>
    <n v="16"/>
    <n v="14"/>
    <n v="15"/>
    <n v="0"/>
    <n v="0"/>
    <n v="0.9375"/>
    <n v="0"/>
    <n v="0"/>
    <n v="0"/>
    <x v="2"/>
    <s v="24+ Months"/>
    <x v="2"/>
    <n v="0"/>
  </r>
  <r>
    <n v="105389"/>
    <s v="Bensalem Township Police Dept. - PA"/>
    <n v="111"/>
    <n v="92"/>
    <n v="48"/>
    <n v="14"/>
    <n v="8"/>
    <n v="6"/>
    <n v="0.1521739130434783"/>
    <n v="8.6956521739130432E-2"/>
    <n v="6.5217391304347824E-2"/>
    <n v="5"/>
    <x v="1"/>
    <s v="24+ Months"/>
    <x v="2"/>
    <n v="0"/>
  </r>
  <r>
    <n v="109740"/>
    <s v="Alliance Police Dept - OH"/>
    <n v="40"/>
    <n v="10"/>
    <n v="12"/>
    <n v="14"/>
    <n v="5"/>
    <n v="2"/>
    <n v="1.4"/>
    <n v="0.5"/>
    <n v="0.2"/>
    <n v="1"/>
    <x v="0"/>
    <s v="18-24 Months"/>
    <x v="2"/>
    <n v="0"/>
  </r>
  <r>
    <n v="318425"/>
    <s v="Youngsville Police Dept. - LA"/>
    <n v="25"/>
    <n v="40"/>
    <n v="25"/>
    <n v="14"/>
    <n v="0"/>
    <n v="0"/>
    <n v="0.35"/>
    <n v="0"/>
    <n v="0"/>
    <n v="0"/>
    <x v="1"/>
    <s v="24+ Months"/>
    <x v="2"/>
    <n v="0"/>
  </r>
  <r>
    <n v="210852"/>
    <s v="Liberty Hill Police Dept. - TX"/>
    <n v="21"/>
    <n v="24"/>
    <n v="24"/>
    <n v="14"/>
    <n v="5"/>
    <n v="0"/>
    <n v="0.58333333333333337"/>
    <n v="0.20833333333333329"/>
    <n v="0"/>
    <n v="0"/>
    <x v="2"/>
    <s v="24+ Months"/>
    <x v="2"/>
    <n v="0"/>
  </r>
  <r>
    <n v="321168"/>
    <s v="University of Southern California DPS - CA"/>
    <n v="36"/>
    <n v="115"/>
    <n v="7"/>
    <n v="13"/>
    <n v="13"/>
    <n v="0"/>
    <n v="0.11304347826086961"/>
    <n v="0.11304347826086961"/>
    <n v="0"/>
    <n v="17"/>
    <x v="0"/>
    <s v="18-24 Months"/>
    <x v="1"/>
    <n v="0"/>
  </r>
  <r>
    <n v="143994"/>
    <s v="North Bay Village Police Dept. - FL"/>
    <n v="31"/>
    <n v="35"/>
    <n v="8"/>
    <n v="13"/>
    <n v="0"/>
    <n v="0"/>
    <n v="0.37142857142857139"/>
    <n v="0"/>
    <n v="0"/>
    <n v="0"/>
    <x v="0"/>
    <s v="18-24 Months"/>
    <x v="2"/>
    <n v="0"/>
  </r>
  <r>
    <n v="313325"/>
    <s v="Fairfield County Municipal Court - OH"/>
    <n v="1"/>
    <n v="6"/>
    <n v="6"/>
    <n v="13"/>
    <n v="13"/>
    <n v="5"/>
    <n v="2.166666666666667"/>
    <n v="2.166666666666667"/>
    <n v="0.83333333333333337"/>
    <n v="10"/>
    <x v="0"/>
    <s v="18-24 Months"/>
    <x v="2"/>
    <n v="1"/>
  </r>
  <r>
    <n v="112630"/>
    <s v="Clay Twp. Police Dept. - MI"/>
    <n v="0"/>
    <n v="20"/>
    <n v="21"/>
    <n v="13"/>
    <n v="13"/>
    <n v="6"/>
    <n v="0.65"/>
    <n v="0.65"/>
    <n v="0.3"/>
    <n v="0"/>
    <x v="2"/>
    <s v="24+ Months"/>
    <x v="2"/>
    <n v="0"/>
  </r>
  <r>
    <n v="110479"/>
    <s v="San Marcos Police Dept. - TX"/>
    <n v="103"/>
    <n v="170"/>
    <n v="24"/>
    <n v="12"/>
    <n v="0"/>
    <n v="0"/>
    <n v="7.0588235294117646E-2"/>
    <n v="0"/>
    <n v="0"/>
    <n v="120"/>
    <x v="2"/>
    <s v="24+ Months"/>
    <x v="1"/>
    <n v="0"/>
  </r>
  <r>
    <n v="114232"/>
    <s v="San Francisco State Univ. (CSU campus) - CA"/>
    <n v="57"/>
    <n v="12"/>
    <n v="6"/>
    <n v="12"/>
    <n v="12"/>
    <n v="12"/>
    <n v="1"/>
    <n v="1"/>
    <n v="1"/>
    <n v="0"/>
    <x v="0"/>
    <s v="18-24 Months"/>
    <x v="2"/>
    <n v="0"/>
  </r>
  <r>
    <n v="518257"/>
    <s v="Lathrop Police Department - CA"/>
    <n v="44"/>
    <n v="65"/>
    <n v="47"/>
    <n v="12"/>
    <n v="12"/>
    <n v="12"/>
    <n v="0.1846153846153846"/>
    <n v="0.1846153846153846"/>
    <n v="0.1846153846153846"/>
    <n v="10"/>
    <x v="1"/>
    <s v="24+ Months"/>
    <x v="2"/>
    <n v="0"/>
  </r>
  <r>
    <n v="198139"/>
    <s v="Black Mountain Police Dept. - NC"/>
    <n v="25"/>
    <n v="16"/>
    <n v="29"/>
    <n v="12"/>
    <n v="12"/>
    <n v="12"/>
    <n v="0.75"/>
    <n v="0.75"/>
    <n v="0.75"/>
    <n v="4"/>
    <x v="1"/>
    <s v="24+ Months"/>
    <x v="2"/>
    <n v="0"/>
  </r>
  <r>
    <n v="172684"/>
    <s v="Virginia Peninsula Regional Jail - VA"/>
    <n v="20"/>
    <n v="15"/>
    <n v="11"/>
    <n v="12"/>
    <n v="4"/>
    <n v="4"/>
    <n v="0.8"/>
    <n v="0.26666666666666672"/>
    <n v="0.26666666666666672"/>
    <n v="0"/>
    <x v="0"/>
    <s v="18-24 Months"/>
    <x v="2"/>
    <n v="0"/>
  </r>
  <r>
    <n v="166614"/>
    <s v="California State Univ (CSU campus) Police - San Marcos"/>
    <n v="19"/>
    <n v="18"/>
    <n v="6"/>
    <n v="12"/>
    <n v="8"/>
    <n v="8"/>
    <n v="0.66666666666666663"/>
    <n v="0.44444444444444442"/>
    <n v="0.44444444444444442"/>
    <n v="62"/>
    <x v="0"/>
    <s v="18-24 Months"/>
    <x v="2"/>
    <n v="0"/>
  </r>
  <r>
    <n v="515108"/>
    <s v="Mountain Park Police Dept - OK"/>
    <n v="15"/>
    <n v="3"/>
    <n v="9"/>
    <n v="12"/>
    <n v="0"/>
    <n v="0"/>
    <n v="4"/>
    <n v="0"/>
    <n v="0"/>
    <n v="0"/>
    <x v="0"/>
    <s v="18-24 Months"/>
    <x v="2"/>
    <n v="15"/>
  </r>
  <r>
    <n v="461758"/>
    <s v="California Maritime Academy Police Dept. (CSU) - CA"/>
    <n v="9"/>
    <n v="5"/>
    <n v="6"/>
    <n v="12"/>
    <n v="12"/>
    <n v="12"/>
    <n v="2.4"/>
    <n v="2.4"/>
    <n v="2.4"/>
    <n v="18"/>
    <x v="0"/>
    <s v="18-24 Months"/>
    <x v="2"/>
    <n v="9"/>
  </r>
  <r>
    <n v="477467"/>
    <s v="Ore City Police Dept. - TX"/>
    <n v="6"/>
    <n v="6"/>
    <n v="17"/>
    <n v="12"/>
    <n v="0"/>
    <n v="0"/>
    <n v="2"/>
    <n v="0"/>
    <n v="0"/>
    <n v="0"/>
    <x v="2"/>
    <s v="24+ Months"/>
    <x v="2"/>
    <n v="6"/>
  </r>
  <r>
    <n v="475512"/>
    <s v="Georgetown Police Department - IL"/>
    <n v="1"/>
    <n v="10"/>
    <n v="6"/>
    <n v="12"/>
    <n v="12"/>
    <n v="0"/>
    <n v="1.2"/>
    <n v="1.2"/>
    <n v="0"/>
    <n v="0"/>
    <x v="0"/>
    <s v="18-24 Months"/>
    <x v="2"/>
    <n v="0"/>
  </r>
  <r>
    <n v="106199"/>
    <s v="Greenburgh Police Dept. - NY"/>
    <n v="109"/>
    <n v="62"/>
    <n v="34"/>
    <n v="11"/>
    <n v="11"/>
    <n v="7"/>
    <n v="0.17741935483870969"/>
    <n v="0.17741935483870969"/>
    <n v="0.1129032258064516"/>
    <n v="2"/>
    <x v="1"/>
    <s v="24+ Months"/>
    <x v="2"/>
    <n v="0"/>
  </r>
  <r>
    <n v="128688"/>
    <s v="Napa Police Dept. - CA"/>
    <n v="89"/>
    <n v="89"/>
    <n v="23"/>
    <n v="11"/>
    <n v="11"/>
    <n v="0"/>
    <n v="0.1235955056179775"/>
    <n v="0.1235955056179775"/>
    <n v="0"/>
    <n v="0"/>
    <x v="2"/>
    <s v="24+ Months"/>
    <x v="2"/>
    <n v="0"/>
  </r>
  <r>
    <n v="237422"/>
    <s v="Brentwood Borough Police Dept. - PA"/>
    <n v="15"/>
    <n v="16"/>
    <n v="7"/>
    <n v="11"/>
    <n v="6"/>
    <n v="6"/>
    <n v="0.6875"/>
    <n v="0.375"/>
    <n v="0.375"/>
    <n v="4"/>
    <x v="0"/>
    <s v="18-24 Months"/>
    <x v="2"/>
    <n v="0"/>
  </r>
  <r>
    <n v="468524"/>
    <s v="Moody County Sheriff's Office - SD"/>
    <n v="8"/>
    <n v="7"/>
    <n v="10"/>
    <n v="11"/>
    <n v="0"/>
    <n v="0"/>
    <n v="1.571428571428571"/>
    <n v="0"/>
    <n v="0"/>
    <n v="0"/>
    <x v="0"/>
    <s v="18-24 Months"/>
    <x v="2"/>
    <n v="0"/>
  </r>
  <r>
    <n v="502025"/>
    <s v="New Harmony Police Dept. - IN"/>
    <n v="1"/>
    <n v="1"/>
    <n v="6"/>
    <n v="11"/>
    <n v="10"/>
    <n v="6"/>
    <n v="11"/>
    <n v="10"/>
    <n v="6"/>
    <n v="19"/>
    <x v="0"/>
    <s v="18-24 Months"/>
    <x v="2"/>
    <n v="1"/>
  </r>
  <r>
    <n v="328240"/>
    <s v="Prescott Police Department - AZ"/>
    <n v="88"/>
    <n v="92"/>
    <n v="13"/>
    <n v="10"/>
    <n v="0"/>
    <n v="0"/>
    <n v="0.108695652173913"/>
    <n v="0"/>
    <n v="0"/>
    <n v="0"/>
    <x v="2"/>
    <s v="24+ Months"/>
    <x v="2"/>
    <n v="0"/>
  </r>
  <r>
    <n v="115132"/>
    <s v="Paradise Valley Police Dept. - AZ"/>
    <n v="39"/>
    <n v="69"/>
    <n v="47"/>
    <n v="10"/>
    <n v="0"/>
    <n v="0"/>
    <n v="0.14492753623188409"/>
    <n v="0"/>
    <n v="0"/>
    <n v="0"/>
    <x v="1"/>
    <s v="24+ Months"/>
    <x v="2"/>
    <n v="0"/>
  </r>
  <r>
    <n v="472299"/>
    <s v="Flagler Beach Police Dept. - FL"/>
    <n v="20"/>
    <n v="36"/>
    <n v="6"/>
    <n v="10"/>
    <n v="10"/>
    <n v="8"/>
    <n v="0.27777777777777779"/>
    <n v="0.27777777777777779"/>
    <n v="0.22222222222222221"/>
    <n v="34"/>
    <x v="0"/>
    <s v="18-24 Months"/>
    <x v="2"/>
    <n v="0"/>
  </r>
  <r>
    <n v="120210"/>
    <s v="California State University Police - Stanislaus"/>
    <n v="15"/>
    <n v="15"/>
    <n v="6"/>
    <n v="10"/>
    <n v="10"/>
    <n v="10"/>
    <n v="0.66666666666666663"/>
    <n v="0.66666666666666663"/>
    <n v="0.66666666666666663"/>
    <n v="0"/>
    <x v="0"/>
    <s v="18-24 Months"/>
    <x v="2"/>
    <n v="0"/>
  </r>
  <r>
    <n v="130140"/>
    <s v="Orofino Police Dept - ID"/>
    <n v="7"/>
    <n v="7"/>
    <n v="22"/>
    <n v="10"/>
    <n v="10"/>
    <n v="0"/>
    <n v="1.428571428571429"/>
    <n v="1.428571428571429"/>
    <n v="0"/>
    <n v="3"/>
    <x v="2"/>
    <s v="24+ Months"/>
    <x v="2"/>
    <n v="0"/>
  </r>
  <r>
    <n v="491098"/>
    <s v="Atlanta Technical College Police Dept.- GA"/>
    <n v="0"/>
    <n v="15"/>
    <n v="21"/>
    <n v="10"/>
    <n v="4"/>
    <n v="1"/>
    <n v="0.66666666666666663"/>
    <n v="0.26666666666666672"/>
    <n v="6.6666666666666666E-2"/>
    <n v="0"/>
    <x v="2"/>
    <s v="24+ Months"/>
    <x v="2"/>
    <n v="0"/>
  </r>
  <r>
    <n v="108481"/>
    <s v="Miami Dade Sheriff Office - FL"/>
    <n v="2000"/>
    <n v="4700"/>
    <n v="36"/>
    <n v="9"/>
    <n v="7"/>
    <n v="2"/>
    <n v="1.9148936170212761E-3"/>
    <n v="1.4893617021276601E-3"/>
    <n v="4.2553191489361702E-4"/>
    <n v="10"/>
    <x v="1"/>
    <s v="24+ Months"/>
    <x v="0"/>
    <n v="0"/>
  </r>
  <r>
    <n v="106509"/>
    <s v="Ontario Police Dept. - CA"/>
    <n v="341"/>
    <n v="330"/>
    <n v="33"/>
    <n v="9"/>
    <n v="10"/>
    <n v="10"/>
    <n v="2.7272727272727271E-2"/>
    <n v="3.03030303030303E-2"/>
    <n v="3.03030303030303E-2"/>
    <n v="0"/>
    <x v="1"/>
    <s v="24+ Months"/>
    <x v="1"/>
    <n v="0"/>
  </r>
  <r>
    <n v="163211"/>
    <s v="Washtenaw County Sheriff's Office - MI"/>
    <n v="200"/>
    <n v="560"/>
    <n v="49"/>
    <n v="9"/>
    <n v="2"/>
    <n v="0"/>
    <n v="1.607142857142857E-2"/>
    <n v="3.5714285714285709E-3"/>
    <n v="0"/>
    <n v="1"/>
    <x v="1"/>
    <s v="24+ Months"/>
    <x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0"/>
    <s v="18-24 Months"/>
    <x v="1"/>
    <n v="0"/>
  </r>
  <r>
    <n v="124527"/>
    <s v="Vail Police Dept. - CO"/>
    <n v="50"/>
    <n v="37"/>
    <n v="13"/>
    <n v="9"/>
    <n v="3"/>
    <n v="0"/>
    <n v="0.24324324324324331"/>
    <n v="8.1081081081081086E-2"/>
    <n v="0"/>
    <n v="21"/>
    <x v="2"/>
    <s v="24+ Months"/>
    <x v="2"/>
    <n v="0"/>
  </r>
  <r>
    <n v="166224"/>
    <s v="Moab City Police Dept. - UT"/>
    <n v="22"/>
    <n v="24"/>
    <n v="33"/>
    <n v="9"/>
    <n v="4"/>
    <n v="1"/>
    <n v="0.375"/>
    <n v="0.16666666666666671"/>
    <n v="4.1666666666666657E-2"/>
    <n v="7"/>
    <x v="1"/>
    <s v="24+ Months"/>
    <x v="2"/>
    <n v="0"/>
  </r>
  <r>
    <n v="110482"/>
    <s v="California State University Police - Monterey Bay"/>
    <n v="22"/>
    <n v="13"/>
    <n v="6"/>
    <n v="9"/>
    <n v="9"/>
    <n v="9"/>
    <n v="0.69230769230769229"/>
    <n v="0.69230769230769229"/>
    <n v="0.69230769230769229"/>
    <n v="1"/>
    <x v="0"/>
    <s v="18-24 Months"/>
    <x v="2"/>
    <n v="0"/>
  </r>
  <r>
    <n v="442328"/>
    <s v="Braselton Police Dept. - GA"/>
    <n v="18"/>
    <n v="25"/>
    <n v="13"/>
    <n v="9"/>
    <n v="3"/>
    <n v="1"/>
    <n v="0.36"/>
    <n v="0.12"/>
    <n v="0.04"/>
    <n v="8"/>
    <x v="2"/>
    <s v="24+ Months"/>
    <x v="2"/>
    <n v="0"/>
  </r>
  <r>
    <n v="110385"/>
    <s v="Downingtown Police Dept - PA"/>
    <n v="9"/>
    <n v="23"/>
    <n v="9"/>
    <n v="9"/>
    <n v="0"/>
    <n v="0"/>
    <n v="0.39130434782608697"/>
    <n v="0"/>
    <n v="0"/>
    <n v="0"/>
    <x v="0"/>
    <s v="18-24 Months"/>
    <x v="2"/>
    <n v="0"/>
  </r>
  <r>
    <n v="109762"/>
    <s v="Mauston Police Department - WI"/>
    <n v="0"/>
    <n v="10"/>
    <n v="21"/>
    <n v="9"/>
    <n v="0"/>
    <n v="0"/>
    <n v="0.9"/>
    <n v="0"/>
    <n v="0"/>
    <n v="0"/>
    <x v="2"/>
    <s v="24+ Months"/>
    <x v="2"/>
    <n v="0"/>
  </r>
  <r>
    <n v="145570"/>
    <s v="Clark County Sheriff's Office - WA"/>
    <n v="189"/>
    <n v="153"/>
    <n v="26"/>
    <n v="8"/>
    <n v="8"/>
    <n v="8"/>
    <n v="5.2287581699346407E-2"/>
    <n v="5.2287581699346407E-2"/>
    <n v="5.2287581699346407E-2"/>
    <n v="15"/>
    <x v="1"/>
    <s v="24+ Months"/>
    <x v="1"/>
    <n v="0"/>
  </r>
  <r>
    <n v="112780"/>
    <s v="California State University Police - Fullerton"/>
    <n v="37"/>
    <n v="24"/>
    <n v="6"/>
    <n v="8"/>
    <n v="8"/>
    <n v="8"/>
    <n v="0.33333333333333331"/>
    <n v="0.33333333333333331"/>
    <n v="0.33333333333333331"/>
    <n v="27"/>
    <x v="0"/>
    <s v="18-24 Months"/>
    <x v="2"/>
    <n v="0"/>
  </r>
  <r>
    <n v="217880"/>
    <s v="Grady County Sheriff - GA"/>
    <n v="21"/>
    <n v="25"/>
    <n v="16"/>
    <n v="8"/>
    <n v="8"/>
    <n v="0"/>
    <n v="0.32"/>
    <n v="0.32"/>
    <n v="0"/>
    <n v="0"/>
    <x v="2"/>
    <s v="24+ Months"/>
    <x v="2"/>
    <n v="0"/>
  </r>
  <r>
    <n v="302987"/>
    <s v="Brush Police Department - CO"/>
    <n v="16"/>
    <n v="28"/>
    <n v="50"/>
    <n v="8"/>
    <n v="1"/>
    <n v="0"/>
    <n v="0.2857142857142857"/>
    <n v="3.5714285714285712E-2"/>
    <n v="0"/>
    <n v="0"/>
    <x v="1"/>
    <s v="24+ Months"/>
    <x v="2"/>
    <n v="0"/>
  </r>
  <r>
    <n v="113444"/>
    <s v="Alachua Police Dept.- FL"/>
    <n v="2"/>
    <n v="34"/>
    <n v="10"/>
    <n v="8"/>
    <n v="0"/>
    <n v="0"/>
    <n v="0.23529411764705879"/>
    <n v="0"/>
    <n v="0"/>
    <n v="0"/>
    <x v="0"/>
    <s v="18-24 Months"/>
    <x v="2"/>
    <n v="0"/>
  </r>
  <r>
    <n v="110673"/>
    <s v="Do√±a Ana County Sheriff's Dept. - NM"/>
    <n v="190"/>
    <n v="150"/>
    <n v="28"/>
    <n v="7"/>
    <n v="9"/>
    <n v="9"/>
    <n v="4.6666666666666669E-2"/>
    <n v="0.06"/>
    <n v="0.06"/>
    <n v="5"/>
    <x v="1"/>
    <s v="24+ Months"/>
    <x v="1"/>
    <n v="0"/>
  </r>
  <r>
    <n v="110715"/>
    <s v="Mountain View Police Dept. - CA"/>
    <n v="117"/>
    <n v="107"/>
    <n v="16"/>
    <n v="7"/>
    <n v="7"/>
    <n v="0"/>
    <n v="6.5420560747663545E-2"/>
    <n v="6.5420560747663545E-2"/>
    <n v="0"/>
    <n v="0"/>
    <x v="2"/>
    <s v="24+ Months"/>
    <x v="1"/>
    <n v="0"/>
  </r>
  <r>
    <n v="327053"/>
    <s v="Yuma Police Department - CO"/>
    <n v="10"/>
    <n v="10"/>
    <n v="18"/>
    <n v="7"/>
    <n v="3"/>
    <n v="0"/>
    <n v="0.7"/>
    <n v="0.3"/>
    <n v="0"/>
    <n v="0"/>
    <x v="2"/>
    <s v="24+ Months"/>
    <x v="2"/>
    <n v="0"/>
  </r>
  <r>
    <n v="325652"/>
    <s v="Richmond County Sheriff's Office - GA"/>
    <n v="7"/>
    <n v="320"/>
    <n v="45"/>
    <n v="7"/>
    <n v="7"/>
    <n v="7"/>
    <n v="2.1874999999999999E-2"/>
    <n v="2.1874999999999999E-2"/>
    <n v="2.1874999999999999E-2"/>
    <n v="9"/>
    <x v="1"/>
    <s v="24+ Months"/>
    <x v="1"/>
    <n v="0"/>
  </r>
  <r>
    <n v="304056"/>
    <s v="Vass Police Dept. - NC"/>
    <n v="1"/>
    <n v="5"/>
    <n v="9"/>
    <n v="7"/>
    <n v="7"/>
    <n v="7"/>
    <n v="1.4"/>
    <n v="1.4"/>
    <n v="1.4"/>
    <n v="0"/>
    <x v="0"/>
    <s v="18-24 Months"/>
    <x v="2"/>
    <n v="0"/>
  </r>
  <r>
    <n v="513921"/>
    <s v="Shelby County Sheriff's Office - TN"/>
    <n v="649"/>
    <n v="470"/>
    <n v="8"/>
    <n v="6"/>
    <n v="6"/>
    <n v="0"/>
    <n v="1.276595744680851E-2"/>
    <n v="1.276595744680851E-2"/>
    <n v="0"/>
    <n v="6"/>
    <x v="0"/>
    <s v="18-24 Months"/>
    <x v="1"/>
    <n v="0"/>
  </r>
  <r>
    <n v="105331"/>
    <s v="Glendale Police Dept. - AZ"/>
    <n v="480"/>
    <n v="487"/>
    <n v="40"/>
    <n v="6"/>
    <n v="0"/>
    <n v="0"/>
    <n v="1.232032854209446E-2"/>
    <n v="0"/>
    <n v="0"/>
    <n v="0"/>
    <x v="1"/>
    <s v="24+ Months"/>
    <x v="1"/>
    <n v="0"/>
  </r>
  <r>
    <n v="108362"/>
    <s v="Merced County Sheriff's Dept. - HQ"/>
    <n v="215"/>
    <n v="290"/>
    <n v="10"/>
    <n v="6"/>
    <n v="6"/>
    <n v="5"/>
    <n v="2.0689655172413789E-2"/>
    <n v="2.0689655172413789E-2"/>
    <n v="1.7241379310344831E-2"/>
    <n v="5"/>
    <x v="0"/>
    <s v="18-24 Months"/>
    <x v="1"/>
    <n v="0"/>
  </r>
  <r>
    <n v="113502"/>
    <s v="Coconut Creek Police Dept - FL"/>
    <n v="145"/>
    <n v="128"/>
    <n v="10"/>
    <n v="6"/>
    <n v="0"/>
    <n v="0"/>
    <n v="4.6875E-2"/>
    <n v="0"/>
    <n v="0"/>
    <n v="0"/>
    <x v="0"/>
    <s v="18-24 Months"/>
    <x v="1"/>
    <n v="0"/>
  </r>
  <r>
    <n v="148367"/>
    <s v="Middletown Police Dept. - RI"/>
    <n v="46"/>
    <n v="47"/>
    <n v="13"/>
    <n v="6"/>
    <n v="0"/>
    <n v="0"/>
    <n v="0.1276595744680851"/>
    <n v="0"/>
    <n v="0"/>
    <n v="0"/>
    <x v="2"/>
    <s v="24+ Months"/>
    <x v="2"/>
    <n v="0"/>
  </r>
  <r>
    <n v="467660"/>
    <s v="California Poly State Univ Police (CSU campus) - Pomona"/>
    <n v="26"/>
    <n v="19"/>
    <n v="6"/>
    <n v="6"/>
    <n v="6"/>
    <n v="6"/>
    <n v="0.31578947368421051"/>
    <n v="0.31578947368421051"/>
    <n v="0.31578947368421051"/>
    <n v="4"/>
    <x v="0"/>
    <s v="18-24 Months"/>
    <x v="2"/>
    <n v="0"/>
  </r>
  <r>
    <n v="135100"/>
    <s v="Roy City Police Dept. - UT"/>
    <n v="4"/>
    <n v="43"/>
    <n v="49"/>
    <n v="6"/>
    <n v="0"/>
    <n v="0"/>
    <n v="0.1395348837209302"/>
    <n v="0"/>
    <n v="0"/>
    <n v="0"/>
    <x v="1"/>
    <s v="24+ Months"/>
    <x v="2"/>
    <n v="0"/>
  </r>
  <r>
    <n v="193887"/>
    <s v="Mount Vernon Municipal Court - OH"/>
    <n v="0"/>
    <n v="8"/>
    <n v="12"/>
    <n v="6"/>
    <n v="0"/>
    <n v="0"/>
    <n v="0.75"/>
    <n v="0"/>
    <n v="0"/>
    <n v="0"/>
    <x v="0"/>
    <s v="18-24 Months"/>
    <x v="2"/>
    <n v="0"/>
  </r>
  <r>
    <n v="315176"/>
    <s v="Melrose Park Police Dept.- IL"/>
    <n v="83"/>
    <n v="64"/>
    <n v="13"/>
    <n v="5"/>
    <n v="0"/>
    <n v="0"/>
    <n v="7.8125E-2"/>
    <n v="0"/>
    <n v="0"/>
    <n v="0"/>
    <x v="2"/>
    <s v="24+ Months"/>
    <x v="2"/>
    <n v="0"/>
  </r>
  <r>
    <n v="177293"/>
    <s v="Middletown Police Dept. - DE"/>
    <n v="46"/>
    <n v="44"/>
    <n v="36"/>
    <n v="5"/>
    <n v="5"/>
    <n v="5"/>
    <n v="0.1136363636363636"/>
    <n v="0.1136363636363636"/>
    <n v="0.1136363636363636"/>
    <n v="25"/>
    <x v="1"/>
    <s v="24+ Months"/>
    <x v="2"/>
    <n v="0"/>
  </r>
  <r>
    <n v="325495"/>
    <s v="Ottawa Police Dept. - IL"/>
    <n v="45"/>
    <n v="37"/>
    <n v="14"/>
    <n v="5"/>
    <n v="5"/>
    <n v="5"/>
    <n v="0.13513513513513509"/>
    <n v="0.13513513513513509"/>
    <n v="0.13513513513513509"/>
    <n v="1"/>
    <x v="2"/>
    <s v="24+ Months"/>
    <x v="2"/>
    <n v="0"/>
  </r>
  <r>
    <n v="512963"/>
    <s v="Escalon Police Dept. - CA"/>
    <n v="30"/>
    <n v="32"/>
    <n v="37"/>
    <n v="5"/>
    <n v="0"/>
    <n v="0"/>
    <n v="0.15625"/>
    <n v="0"/>
    <n v="0"/>
    <n v="0"/>
    <x v="1"/>
    <s v="24+ Months"/>
    <x v="2"/>
    <n v="0"/>
  </r>
  <r>
    <n v="451492"/>
    <s v="Smith County Constable Precinct 5 - TX"/>
    <n v="1"/>
    <n v="8"/>
    <n v="6"/>
    <n v="5"/>
    <n v="5"/>
    <n v="0"/>
    <n v="0.625"/>
    <n v="0.625"/>
    <n v="0"/>
    <n v="0"/>
    <x v="0"/>
    <s v="18-24 Months"/>
    <x v="2"/>
    <n v="0"/>
  </r>
  <r>
    <n v="164535"/>
    <s v="Oscoda Township Police Department - MI"/>
    <n v="0"/>
    <n v="13"/>
    <n v="12"/>
    <n v="5"/>
    <n v="0"/>
    <n v="0"/>
    <n v="0.38461538461538458"/>
    <n v="0"/>
    <n v="0"/>
    <n v="0"/>
    <x v="0"/>
    <s v="18-24 Months"/>
    <x v="2"/>
    <n v="0"/>
  </r>
  <r>
    <n v="109686"/>
    <s v="Surprise Police Dept. - AZ"/>
    <n v="165"/>
    <n v="171"/>
    <n v="24"/>
    <n v="4"/>
    <n v="0"/>
    <n v="0"/>
    <n v="2.3391812865497071E-2"/>
    <n v="0"/>
    <n v="0"/>
    <n v="0"/>
    <x v="2"/>
    <s v="24+ Months"/>
    <x v="1"/>
    <n v="0"/>
  </r>
  <r>
    <n v="141788"/>
    <s v="Rio Arriba County Sheriff's Office - NM"/>
    <n v="72"/>
    <n v="35"/>
    <n v="8"/>
    <n v="4"/>
    <n v="4"/>
    <n v="4"/>
    <n v="0.1142857142857143"/>
    <n v="0.1142857142857143"/>
    <n v="0.1142857142857143"/>
    <n v="7"/>
    <x v="0"/>
    <s v="18-24 Months"/>
    <x v="2"/>
    <n v="0"/>
  </r>
  <r>
    <n v="170384"/>
    <s v="Ridgefield Police Department - WA"/>
    <n v="20"/>
    <n v="18"/>
    <n v="8"/>
    <n v="4"/>
    <n v="0"/>
    <n v="0"/>
    <n v="0.22222222222222221"/>
    <n v="0"/>
    <n v="0"/>
    <n v="0"/>
    <x v="0"/>
    <s v="18-24 Months"/>
    <x v="2"/>
    <n v="0"/>
  </r>
  <r>
    <n v="321757"/>
    <s v="Kalkaska Police Department - MI"/>
    <n v="12"/>
    <n v="6"/>
    <n v="6"/>
    <n v="4"/>
    <n v="0"/>
    <n v="0"/>
    <n v="0.66666666666666663"/>
    <n v="0"/>
    <n v="0"/>
    <n v="0"/>
    <x v="0"/>
    <s v="18-24 Months"/>
    <x v="2"/>
    <n v="0"/>
  </r>
  <r>
    <n v="480485"/>
    <s v="Cotter Police Dept. - AR"/>
    <n v="4"/>
    <n v="4"/>
    <n v="22"/>
    <n v="4"/>
    <n v="2"/>
    <n v="0"/>
    <n v="1"/>
    <n v="0.5"/>
    <n v="0"/>
    <n v="2"/>
    <x v="2"/>
    <s v="24+ Months"/>
    <x v="2"/>
    <n v="0"/>
  </r>
  <r>
    <n v="500661"/>
    <s v="Belt Railway Police Dept. - IL"/>
    <n v="2"/>
    <n v="9"/>
    <n v="9"/>
    <n v="4"/>
    <n v="0"/>
    <n v="0"/>
    <n v="0.44444444444444442"/>
    <n v="0"/>
    <n v="0"/>
    <n v="0"/>
    <x v="0"/>
    <s v="18-24 Months"/>
    <x v="2"/>
    <n v="0"/>
  </r>
  <r>
    <n v="252871"/>
    <s v="Ninety Six Police Dept. - SC"/>
    <n v="1"/>
    <n v="6"/>
    <n v="6"/>
    <n v="4"/>
    <n v="4"/>
    <n v="0"/>
    <n v="0.66666666666666663"/>
    <n v="0.66666666666666663"/>
    <n v="0"/>
    <n v="3"/>
    <x v="0"/>
    <s v="18-24 Months"/>
    <x v="2"/>
    <n v="0"/>
  </r>
  <r>
    <n v="108015"/>
    <s v="Birmingham Police Dept. - AL"/>
    <n v="775"/>
    <n v="768"/>
    <n v="28"/>
    <n v="3"/>
    <n v="3"/>
    <n v="0"/>
    <n v="3.90625E-3"/>
    <n v="3.90625E-3"/>
    <n v="0"/>
    <n v="210"/>
    <x v="1"/>
    <s v="24+ Months"/>
    <x v="0"/>
    <n v="0"/>
  </r>
  <r>
    <n v="110545"/>
    <s v="Hammond Police Dept. - IN"/>
    <n v="198"/>
    <n v="250"/>
    <n v="34"/>
    <n v="3"/>
    <n v="0"/>
    <n v="0"/>
    <n v="1.2E-2"/>
    <n v="0"/>
    <n v="0"/>
    <n v="0"/>
    <x v="1"/>
    <s v="24+ Months"/>
    <x v="1"/>
    <n v="0"/>
  </r>
  <r>
    <n v="213659"/>
    <s v="Highfill Police Department - AR"/>
    <n v="13"/>
    <n v="5"/>
    <n v="43"/>
    <n v="3"/>
    <n v="3"/>
    <n v="0"/>
    <n v="0.6"/>
    <n v="0.6"/>
    <n v="0"/>
    <n v="0"/>
    <x v="1"/>
    <s v="24+ Months"/>
    <x v="2"/>
    <n v="0"/>
  </r>
  <r>
    <s v="UK0115453"/>
    <s v="College of Policing"/>
    <n v="10"/>
    <n v="2"/>
    <n v="13"/>
    <n v="3"/>
    <n v="1"/>
    <n v="0"/>
    <n v="1.5"/>
    <n v="0.5"/>
    <n v="0"/>
    <n v="2"/>
    <x v="2"/>
    <s v="24+ Months"/>
    <x v="2"/>
    <n v="0"/>
  </r>
  <r>
    <n v="112987"/>
    <s v="Saint Croix Falls Police Department - WI"/>
    <n v="9"/>
    <n v="16"/>
    <n v="6"/>
    <n v="3"/>
    <n v="3"/>
    <n v="0"/>
    <n v="0.1875"/>
    <n v="0.1875"/>
    <n v="0"/>
    <n v="2"/>
    <x v="0"/>
    <s v="18-24 Months"/>
    <x v="2"/>
    <n v="0"/>
  </r>
  <r>
    <n v="557455"/>
    <s v="Webb County Sheriff's Office - TX"/>
    <n v="0"/>
    <n v="68"/>
    <n v="12"/>
    <n v="3"/>
    <n v="0"/>
    <n v="0"/>
    <n v="4.4117647058823532E-2"/>
    <n v="0"/>
    <n v="0"/>
    <n v="0"/>
    <x v="0"/>
    <s v="18-24 Months"/>
    <x v="2"/>
    <n v="0"/>
  </r>
  <r>
    <n v="115809"/>
    <s v="Mount Horeb Police Department"/>
    <n v="0"/>
    <n v="15"/>
    <n v="21"/>
    <n v="3"/>
    <n v="0"/>
    <n v="0"/>
    <n v="0.2"/>
    <n v="0"/>
    <n v="0"/>
    <n v="0"/>
    <x v="2"/>
    <s v="24+ Months"/>
    <x v="2"/>
    <n v="0"/>
  </r>
  <r>
    <n v="107911"/>
    <s v="Louisville Metro Police Department"/>
    <n v="1312"/>
    <n v="1215"/>
    <n v="47"/>
    <n v="2"/>
    <n v="2"/>
    <n v="0"/>
    <n v="1.6460905349794241E-3"/>
    <n v="1.6460905349794241E-3"/>
    <n v="0"/>
    <n v="0"/>
    <x v="1"/>
    <s v="24+ Months"/>
    <x v="0"/>
    <n v="0"/>
  </r>
  <r>
    <n v="143890"/>
    <s v="Norfolk Police Dept. - VA"/>
    <n v="670"/>
    <n v="550"/>
    <n v="39"/>
    <n v="2"/>
    <n v="0"/>
    <n v="0"/>
    <n v="3.6363636363636359E-3"/>
    <n v="0"/>
    <n v="0"/>
    <n v="0"/>
    <x v="1"/>
    <s v="24+ Months"/>
    <x v="0"/>
    <n v="0"/>
  </r>
  <r>
    <n v="113387"/>
    <s v="Modesto Police Dept. - CA"/>
    <n v="267"/>
    <n v="255"/>
    <n v="21"/>
    <n v="2"/>
    <n v="0"/>
    <n v="0"/>
    <n v="7.8431372549019607E-3"/>
    <n v="0"/>
    <n v="0"/>
    <n v="9"/>
    <x v="2"/>
    <s v="24+ Months"/>
    <x v="1"/>
    <n v="0"/>
  </r>
  <r>
    <n v="113397"/>
    <s v="Niagara Falls Police Dept - NY"/>
    <n v="93"/>
    <n v="145"/>
    <n v="45"/>
    <n v="2"/>
    <n v="2"/>
    <n v="0"/>
    <n v="1.379310344827586E-2"/>
    <n v="1.379310344827586E-2"/>
    <n v="0"/>
    <n v="2"/>
    <x v="1"/>
    <s v="24+ Months"/>
    <x v="1"/>
    <n v="0"/>
  </r>
  <r>
    <n v="158758"/>
    <s v="Winchester Police Department - KY"/>
    <n v="53"/>
    <n v="80"/>
    <n v="7"/>
    <n v="2"/>
    <n v="2"/>
    <n v="1"/>
    <n v="2.5000000000000001E-2"/>
    <n v="2.5000000000000001E-2"/>
    <n v="1.2500000000000001E-2"/>
    <n v="0"/>
    <x v="0"/>
    <s v="18-24 Months"/>
    <x v="2"/>
    <n v="0"/>
  </r>
  <r>
    <n v="126706"/>
    <s v="Inyo County Sheriff's Office - CA"/>
    <n v="41"/>
    <n v="35"/>
    <n v="16"/>
    <n v="2"/>
    <n v="2"/>
    <n v="2"/>
    <n v="5.7142857142857141E-2"/>
    <n v="5.7142857142857141E-2"/>
    <n v="5.7142857142857141E-2"/>
    <n v="9"/>
    <x v="2"/>
    <s v="24+ Months"/>
    <x v="2"/>
    <n v="0"/>
  </r>
  <r>
    <n v="193186"/>
    <s v="Trousdale County Sheriff's Office - TN"/>
    <n v="0"/>
    <n v="25"/>
    <n v="12"/>
    <n v="2"/>
    <n v="0"/>
    <n v="0"/>
    <n v="0.08"/>
    <n v="0"/>
    <n v="0"/>
    <n v="0"/>
    <x v="0"/>
    <s v="18-24 Months"/>
    <x v="2"/>
    <n v="0"/>
  </r>
  <r>
    <n v="158327"/>
    <s v="Gainesville Police Dept. -FL"/>
    <n v="323"/>
    <n v="263"/>
    <n v="12"/>
    <n v="1"/>
    <n v="0"/>
    <n v="0"/>
    <n v="3.8022813688212932E-3"/>
    <n v="0"/>
    <n v="0"/>
    <n v="0"/>
    <x v="0"/>
    <s v="18-24 Months"/>
    <x v="1"/>
    <n v="0"/>
  </r>
  <r>
    <n v="122506"/>
    <s v="Fruitland Park Police Dept.-FL"/>
    <n v="25"/>
    <n v="24"/>
    <n v="10"/>
    <n v="1"/>
    <n v="0"/>
    <n v="0"/>
    <n v="4.1666666666666657E-2"/>
    <n v="0"/>
    <n v="0"/>
    <n v="0"/>
    <x v="0"/>
    <s v="18-24 Months"/>
    <x v="2"/>
    <n v="0"/>
  </r>
  <r>
    <n v="206457"/>
    <s v="Hillsboro Beach Police Dept.-FL"/>
    <n v="18"/>
    <n v="20"/>
    <n v="50"/>
    <n v="1"/>
    <n v="1"/>
    <n v="0"/>
    <n v="0.05"/>
    <n v="0.05"/>
    <n v="0"/>
    <n v="0"/>
    <x v="1"/>
    <s v="24+ Months"/>
    <x v="2"/>
    <n v="0"/>
  </r>
  <r>
    <n v="153711"/>
    <s v="Justin Police Dept. - TX"/>
    <n v="15"/>
    <n v="16"/>
    <n v="20"/>
    <n v="1"/>
    <n v="0"/>
    <n v="0"/>
    <n v="6.25E-2"/>
    <n v="0"/>
    <n v="0"/>
    <n v="0"/>
    <x v="2"/>
    <s v="24+ Months"/>
    <x v="2"/>
    <n v="0"/>
  </r>
  <r>
    <n v="142059"/>
    <s v="Medina Police Dept.- WA"/>
    <n v="10"/>
    <n v="9"/>
    <n v="17"/>
    <n v="1"/>
    <n v="0"/>
    <n v="0"/>
    <n v="0.1111111111111111"/>
    <n v="0"/>
    <n v="0"/>
    <n v="0"/>
    <x v="2"/>
    <s v="24+ Months"/>
    <x v="2"/>
    <n v="0"/>
  </r>
  <r>
    <n v="121105"/>
    <s v="Sunset Police Dept. - UT"/>
    <n v="8"/>
    <n v="20"/>
    <n v="44"/>
    <n v="1"/>
    <n v="1"/>
    <n v="0"/>
    <n v="0.05"/>
    <n v="0.05"/>
    <n v="0"/>
    <n v="0"/>
    <x v="1"/>
    <s v="24+ Months"/>
    <x v="2"/>
    <n v="0"/>
  </r>
  <r>
    <n v="310328"/>
    <s v="Conrad Police Dept. - MT"/>
    <n v="3"/>
    <n v="12"/>
    <n v="6"/>
    <n v="1"/>
    <n v="1"/>
    <n v="0"/>
    <n v="8.3333333333333329E-2"/>
    <n v="8.3333333333333329E-2"/>
    <n v="0"/>
    <n v="9"/>
    <x v="0"/>
    <s v="18-24 Months"/>
    <x v="2"/>
    <n v="0"/>
  </r>
  <r>
    <n v="461447"/>
    <s v="Seligman Police Department - MO"/>
    <n v="1"/>
    <n v="2"/>
    <n v="7"/>
    <n v="1"/>
    <n v="1"/>
    <n v="0"/>
    <n v="0.5"/>
    <n v="0.5"/>
    <n v="0"/>
    <n v="0"/>
    <x v="0"/>
    <s v="18-24 Months"/>
    <x v="2"/>
    <n v="0"/>
  </r>
  <r>
    <n v="584550"/>
    <s v="German Valley Police Department"/>
    <n v="1"/>
    <n v="2"/>
    <n v="6"/>
    <n v="1"/>
    <n v="1"/>
    <n v="1"/>
    <n v="0.5"/>
    <n v="0.5"/>
    <n v="0.5"/>
    <n v="0"/>
    <x v="0"/>
    <s v="18-24 Months"/>
    <x v="2"/>
    <n v="0"/>
  </r>
  <r>
    <n v="515162"/>
    <s v="Golden West College Criminal Justice - Training Center"/>
    <n v="0"/>
    <n v="6"/>
    <n v="25"/>
    <n v="1"/>
    <n v="0"/>
    <n v="0"/>
    <n v="0.16666666666666671"/>
    <n v="0"/>
    <n v="0"/>
    <n v="0"/>
    <x v="1"/>
    <s v="24+ Months"/>
    <x v="2"/>
    <n v="0"/>
  </r>
  <r>
    <n v="309455"/>
    <s v="Moniteau County Sheriff's Dept. - MO"/>
    <n v="0"/>
    <n v="10"/>
    <n v="23"/>
    <n v="1"/>
    <n v="1"/>
    <n v="1"/>
    <n v="0.1"/>
    <n v="0.1"/>
    <n v="0.1"/>
    <n v="2"/>
    <x v="2"/>
    <s v="24+ Months"/>
    <x v="2"/>
    <n v="0"/>
  </r>
  <r>
    <n v="106562"/>
    <s v="Cleveland Police Dept. - OH"/>
    <n v="1800"/>
    <n v="1200"/>
    <n v="10"/>
    <n v="0"/>
    <n v="0"/>
    <n v="0"/>
    <n v="0"/>
    <n v="0"/>
    <n v="0"/>
    <n v="0"/>
    <x v="0"/>
    <s v="18-24 Months"/>
    <x v="0"/>
    <n v="0"/>
  </r>
  <r>
    <n v="154518"/>
    <s v="Tennessee Highway Patrol - TN"/>
    <n v="899"/>
    <n v="201"/>
    <n v="9"/>
    <n v="0"/>
    <n v="0"/>
    <n v="0"/>
    <n v="0"/>
    <n v="0"/>
    <n v="0"/>
    <n v="0"/>
    <x v="0"/>
    <s v="18-24 Months"/>
    <x v="1"/>
    <n v="0"/>
  </r>
  <r>
    <n v="113228"/>
    <s v="San Mateo County Sheriff's Office - HQ"/>
    <n v="580"/>
    <n v="645"/>
    <n v="20"/>
    <n v="0"/>
    <n v="0"/>
    <n v="0"/>
    <n v="0"/>
    <n v="0"/>
    <n v="0"/>
    <n v="0"/>
    <x v="2"/>
    <s v="24+ Months"/>
    <x v="0"/>
    <n v="0"/>
  </r>
  <r>
    <n v="106844"/>
    <s v="Santa Fe Police Dept. - NM"/>
    <n v="456"/>
    <n v="193"/>
    <n v="49"/>
    <n v="0"/>
    <n v="0"/>
    <n v="0"/>
    <n v="0"/>
    <n v="0"/>
    <n v="0"/>
    <n v="5"/>
    <x v="1"/>
    <s v="24+ Months"/>
    <x v="1"/>
    <n v="0"/>
  </r>
  <r>
    <n v="110771"/>
    <s v="Albany County Sheriff's Office - NY"/>
    <n v="406"/>
    <n v="140"/>
    <n v="31"/>
    <n v="0"/>
    <n v="0"/>
    <n v="0"/>
    <n v="0"/>
    <n v="0"/>
    <n v="0"/>
    <n v="46"/>
    <x v="1"/>
    <s v="24+ Months"/>
    <x v="1"/>
    <n v="0"/>
  </r>
  <r>
    <n v="108406"/>
    <s v="Independence Police Department - MO"/>
    <n v="280"/>
    <n v="200"/>
    <n v="19"/>
    <n v="0"/>
    <n v="0"/>
    <n v="0"/>
    <n v="0"/>
    <n v="0"/>
    <n v="0"/>
    <n v="0"/>
    <x v="2"/>
    <s v="24+ Months"/>
    <x v="1"/>
    <n v="0"/>
  </r>
  <r>
    <n v="105754"/>
    <s v="Corona Police Dept. - CA"/>
    <n v="228"/>
    <n v="166"/>
    <n v="21"/>
    <n v="0"/>
    <n v="0"/>
    <n v="0"/>
    <n v="0"/>
    <n v="0"/>
    <n v="0"/>
    <n v="0"/>
    <x v="2"/>
    <s v="24+ Months"/>
    <x v="1"/>
    <n v="0"/>
  </r>
  <r>
    <n v="115965"/>
    <s v="Framingham Police Department - MA"/>
    <n v="151"/>
    <n v="140"/>
    <n v="22"/>
    <n v="0"/>
    <n v="0"/>
    <n v="0"/>
    <n v="0"/>
    <n v="0"/>
    <n v="0"/>
    <n v="2"/>
    <x v="2"/>
    <s v="24+ Months"/>
    <x v="1"/>
    <n v="0"/>
  </r>
  <r>
    <n v="210651"/>
    <s v="Doral Police Dept. - FL"/>
    <n v="150"/>
    <n v="180"/>
    <n v="10"/>
    <n v="0"/>
    <n v="0"/>
    <n v="0"/>
    <n v="0"/>
    <n v="0"/>
    <n v="0"/>
    <n v="0"/>
    <x v="0"/>
    <s v="18-24 Months"/>
    <x v="1"/>
    <n v="0"/>
  </r>
  <r>
    <n v="112666"/>
    <s v="Tulsa County Sheriff's Office - OK"/>
    <n v="145"/>
    <n v="62"/>
    <n v="19"/>
    <n v="0"/>
    <n v="0"/>
    <n v="0"/>
    <n v="0"/>
    <n v="0"/>
    <n v="0"/>
    <n v="0"/>
    <x v="2"/>
    <s v="24+ Months"/>
    <x v="2"/>
    <n v="0"/>
  </r>
  <r>
    <n v="106575"/>
    <s v="Carmel Police Department - IN"/>
    <n v="142"/>
    <n v="166"/>
    <n v="34"/>
    <n v="0"/>
    <n v="0"/>
    <n v="0"/>
    <n v="0"/>
    <n v="0"/>
    <n v="0"/>
    <n v="0"/>
    <x v="1"/>
    <s v="24+ Months"/>
    <x v="1"/>
    <n v="0"/>
  </r>
  <r>
    <n v="110737"/>
    <s v="Farmington Hills Police Dept. - MI"/>
    <n v="138"/>
    <n v="120"/>
    <n v="20"/>
    <n v="0"/>
    <n v="0"/>
    <n v="0"/>
    <n v="0"/>
    <n v="0"/>
    <n v="0"/>
    <n v="0"/>
    <x v="2"/>
    <s v="24+ Months"/>
    <x v="1"/>
    <n v="0"/>
  </r>
  <r>
    <n v="111152"/>
    <s v="Federal Way Police Dept. - WA"/>
    <n v="130"/>
    <n v="150"/>
    <n v="50"/>
    <n v="0"/>
    <n v="0"/>
    <n v="0"/>
    <n v="0"/>
    <n v="0"/>
    <n v="0"/>
    <n v="3"/>
    <x v="1"/>
    <s v="24+ Months"/>
    <x v="1"/>
    <n v="0"/>
  </r>
  <r>
    <n v="110456"/>
    <s v="Brighton Police Department - CO"/>
    <n v="78"/>
    <n v="91"/>
    <n v="51"/>
    <n v="0"/>
    <n v="0"/>
    <n v="0"/>
    <n v="0"/>
    <n v="0"/>
    <n v="0"/>
    <n v="0"/>
    <x v="1"/>
    <s v="24+ Months"/>
    <x v="2"/>
    <n v="0"/>
  </r>
  <r>
    <n v="116353"/>
    <s v="Town of Carmel Police Department - NY"/>
    <n v="72"/>
    <n v="72"/>
    <n v="6"/>
    <n v="0"/>
    <n v="0"/>
    <n v="0"/>
    <n v="0"/>
    <n v="0"/>
    <n v="0"/>
    <n v="0"/>
    <x v="0"/>
    <s v="18-24 Months"/>
    <x v="2"/>
    <n v="0"/>
  </r>
  <r>
    <n v="115752"/>
    <s v="Muscogee County Sheriff's Office - GA"/>
    <n v="60"/>
    <n v="130"/>
    <n v="39"/>
    <n v="0"/>
    <n v="0"/>
    <n v="0"/>
    <n v="0"/>
    <n v="0"/>
    <n v="0"/>
    <n v="0"/>
    <x v="1"/>
    <s v="24+ Months"/>
    <x v="1"/>
    <n v="0"/>
  </r>
  <r>
    <n v="315246"/>
    <s v="Glenn Heights Police Dept. - TX"/>
    <n v="57"/>
    <n v="27"/>
    <n v="49"/>
    <n v="0"/>
    <n v="0"/>
    <n v="0"/>
    <n v="0"/>
    <n v="0"/>
    <n v="0"/>
    <n v="0"/>
    <x v="1"/>
    <s v="24+ Months"/>
    <x v="2"/>
    <n v="0"/>
  </r>
  <r>
    <n v="106139"/>
    <s v="San Diego State Univ. PD CSU campus - CA"/>
    <n v="50"/>
    <n v="92"/>
    <n v="6"/>
    <n v="0"/>
    <n v="0"/>
    <n v="0"/>
    <n v="0"/>
    <n v="0"/>
    <n v="0"/>
    <n v="0"/>
    <x v="0"/>
    <s v="18-24 Months"/>
    <x v="2"/>
    <n v="0"/>
  </r>
  <r>
    <n v="328070"/>
    <s v="Canton Police Dept. - GA"/>
    <n v="45"/>
    <n v="50"/>
    <n v="48"/>
    <n v="0"/>
    <n v="0"/>
    <n v="0"/>
    <n v="0"/>
    <n v="0"/>
    <n v="0"/>
    <n v="0"/>
    <x v="1"/>
    <s v="24+ Months"/>
    <x v="2"/>
    <n v="0"/>
  </r>
  <r>
    <n v="459683"/>
    <s v="James Madison University Police Dept. - VA"/>
    <n v="45"/>
    <n v="40"/>
    <n v="18"/>
    <n v="0"/>
    <n v="0"/>
    <n v="0"/>
    <n v="0"/>
    <n v="0"/>
    <n v="0"/>
    <n v="0"/>
    <x v="2"/>
    <s v="24+ Months"/>
    <x v="2"/>
    <n v="0"/>
  </r>
  <r>
    <n v="113455"/>
    <s v="Atwater Police Dept. - CA"/>
    <n v="42"/>
    <n v="35"/>
    <n v="38"/>
    <n v="0"/>
    <n v="0"/>
    <n v="0"/>
    <n v="0"/>
    <n v="0"/>
    <n v="0"/>
    <n v="0"/>
    <x v="1"/>
    <s v="24+ Months"/>
    <x v="2"/>
    <n v="0"/>
  </r>
  <r>
    <n v="112069"/>
    <s v="Harahan Police Department - LA"/>
    <n v="32"/>
    <n v="42"/>
    <n v="18"/>
    <n v="0"/>
    <n v="0"/>
    <n v="0"/>
    <n v="0"/>
    <n v="0"/>
    <n v="0"/>
    <n v="0"/>
    <x v="2"/>
    <s v="24+ Months"/>
    <x v="2"/>
    <n v="0"/>
  </r>
  <r>
    <n v="475505"/>
    <s v="Savannah Airport Commission Police - GA"/>
    <n v="31"/>
    <n v="31"/>
    <n v="12"/>
    <n v="0"/>
    <n v="0"/>
    <n v="0"/>
    <n v="0"/>
    <n v="0"/>
    <n v="0"/>
    <n v="3"/>
    <x v="0"/>
    <s v="18-24 Months"/>
    <x v="2"/>
    <n v="0"/>
  </r>
  <r>
    <n v="305999"/>
    <s v="California State University Police - Northridge"/>
    <n v="28"/>
    <n v="24"/>
    <n v="6"/>
    <n v="0"/>
    <n v="0"/>
    <n v="0"/>
    <n v="0"/>
    <n v="0"/>
    <n v="0"/>
    <n v="0"/>
    <x v="0"/>
    <s v="18-24 Months"/>
    <x v="2"/>
    <n v="0"/>
  </r>
  <r>
    <n v="306001"/>
    <s v="California State University Police - Sacramento"/>
    <n v="25"/>
    <n v="20"/>
    <n v="6"/>
    <n v="0"/>
    <n v="0"/>
    <n v="0"/>
    <n v="0"/>
    <n v="0"/>
    <n v="0"/>
    <n v="0"/>
    <x v="0"/>
    <s v="18-24 Months"/>
    <x v="2"/>
    <n v="0"/>
  </r>
  <r>
    <n v="109105"/>
    <s v="Greenfield Police Dept. - CA"/>
    <n v="24"/>
    <n v="27"/>
    <n v="36"/>
    <n v="0"/>
    <n v="0"/>
    <n v="0"/>
    <n v="0"/>
    <n v="0"/>
    <n v="0"/>
    <n v="18"/>
    <x v="1"/>
    <s v="24+ Months"/>
    <x v="2"/>
    <n v="0"/>
  </r>
  <r>
    <n v="481940"/>
    <s v="DuBois City Police Department - PA"/>
    <n v="23"/>
    <n v="24"/>
    <n v="21"/>
    <n v="0"/>
    <n v="0"/>
    <n v="0"/>
    <n v="0"/>
    <n v="0"/>
    <n v="0"/>
    <n v="0"/>
    <x v="2"/>
    <s v="24+ Months"/>
    <x v="2"/>
    <n v="0"/>
  </r>
  <r>
    <n v="513206"/>
    <s v="Marshall Police Dept. - MO"/>
    <n v="22"/>
    <n v="14"/>
    <n v="10"/>
    <n v="0"/>
    <n v="0"/>
    <n v="0"/>
    <n v="0"/>
    <n v="0"/>
    <n v="0"/>
    <n v="0"/>
    <x v="0"/>
    <s v="18-24 Months"/>
    <x v="2"/>
    <n v="0"/>
  </r>
  <r>
    <n v="123323"/>
    <s v="California State University (CSU)  Police - Chico"/>
    <n v="21"/>
    <n v="20"/>
    <n v="6"/>
    <n v="0"/>
    <n v="0"/>
    <n v="0"/>
    <n v="0"/>
    <n v="0"/>
    <n v="0"/>
    <n v="0"/>
    <x v="0"/>
    <s v="18-24 Months"/>
    <x v="2"/>
    <n v="0"/>
  </r>
  <r>
    <n v="306000"/>
    <s v="California State University Police-San Bernardino"/>
    <n v="20"/>
    <n v="17"/>
    <n v="6"/>
    <n v="0"/>
    <n v="0"/>
    <n v="0"/>
    <n v="0"/>
    <n v="0"/>
    <n v="0"/>
    <n v="0"/>
    <x v="0"/>
    <s v="18-24 Months"/>
    <x v="2"/>
    <n v="0"/>
  </r>
  <r>
    <n v="114486"/>
    <s v="California State Polytechnic PD (CSU) SLO"/>
    <n v="19"/>
    <n v="20"/>
    <n v="6"/>
    <n v="0"/>
    <n v="0"/>
    <n v="0"/>
    <n v="0"/>
    <n v="0"/>
    <n v="0"/>
    <n v="0"/>
    <x v="0"/>
    <s v="18-24 Months"/>
    <x v="2"/>
    <n v="0"/>
  </r>
  <r>
    <n v="313390"/>
    <s v="California State University Police-Channel Islands"/>
    <n v="18"/>
    <n v="12"/>
    <n v="6"/>
    <n v="0"/>
    <n v="0"/>
    <n v="0"/>
    <n v="0"/>
    <n v="0"/>
    <n v="0"/>
    <n v="0"/>
    <x v="0"/>
    <s v="18-24 Months"/>
    <x v="2"/>
    <n v="0"/>
  </r>
  <r>
    <n v="305998"/>
    <s v="California State University Police - Bakersfield"/>
    <n v="17"/>
    <n v="17"/>
    <n v="6"/>
    <n v="0"/>
    <n v="0"/>
    <n v="0"/>
    <n v="0"/>
    <n v="0"/>
    <n v="0"/>
    <n v="0"/>
    <x v="0"/>
    <s v="18-24 Months"/>
    <x v="2"/>
    <n v="0"/>
  </r>
  <r>
    <n v="478423"/>
    <s v="Orange Police Dept. - MA"/>
    <n v="14"/>
    <n v="14"/>
    <n v="21"/>
    <n v="0"/>
    <n v="0"/>
    <n v="0"/>
    <n v="0"/>
    <n v="0"/>
    <n v="0"/>
    <n v="0"/>
    <x v="2"/>
    <s v="24+ Months"/>
    <x v="2"/>
    <n v="0"/>
  </r>
  <r>
    <n v="157301"/>
    <s v="Inman Police Dept. - SC"/>
    <n v="13"/>
    <n v="15"/>
    <n v="19"/>
    <n v="0"/>
    <n v="0"/>
    <n v="0"/>
    <n v="0"/>
    <n v="0"/>
    <n v="0"/>
    <n v="0"/>
    <x v="2"/>
    <s v="24+ Months"/>
    <x v="2"/>
    <n v="0"/>
  </r>
  <r>
    <n v="488474"/>
    <s v="Pine Plains Police Dept - NY"/>
    <n v="8"/>
    <n v="7"/>
    <n v="36"/>
    <n v="0"/>
    <n v="0"/>
    <n v="0"/>
    <n v="0"/>
    <n v="0"/>
    <n v="0"/>
    <n v="0"/>
    <x v="1"/>
    <s v="24+ Months"/>
    <x v="2"/>
    <n v="0"/>
  </r>
  <r>
    <n v="277916"/>
    <s v="Fenwick Island Police Dept. - DE"/>
    <n v="7"/>
    <n v="7"/>
    <n v="22"/>
    <n v="0"/>
    <n v="0"/>
    <n v="0"/>
    <n v="0"/>
    <n v="0"/>
    <n v="0"/>
    <n v="0"/>
    <x v="2"/>
    <s v="24+ Months"/>
    <x v="2"/>
    <n v="0"/>
  </r>
  <r>
    <n v="323066"/>
    <s v="Haskell County Sheriff's Office - TX"/>
    <n v="6"/>
    <n v="4"/>
    <n v="11"/>
    <n v="0"/>
    <n v="0"/>
    <n v="0"/>
    <n v="0"/>
    <n v="0"/>
    <n v="0"/>
    <n v="0"/>
    <x v="0"/>
    <s v="18-24 Months"/>
    <x v="2"/>
    <n v="0"/>
  </r>
  <r>
    <n v="556953"/>
    <s v="Okawville Police Dept. - IL"/>
    <n v="6"/>
    <n v="5"/>
    <n v="13"/>
    <n v="0"/>
    <n v="0"/>
    <n v="0"/>
    <n v="0"/>
    <n v="0"/>
    <n v="0"/>
    <n v="0"/>
    <x v="2"/>
    <s v="24+ Months"/>
    <x v="2"/>
    <n v="0"/>
  </r>
  <r>
    <n v="498161"/>
    <s v="Rawlins County Sheriff Office - KS"/>
    <n v="6"/>
    <n v="4"/>
    <n v="16"/>
    <n v="0"/>
    <n v="0"/>
    <n v="0"/>
    <n v="0"/>
    <n v="0"/>
    <n v="0"/>
    <n v="0"/>
    <x v="2"/>
    <s v="24+ Months"/>
    <x v="2"/>
    <n v="0"/>
  </r>
  <r>
    <n v="106938"/>
    <s v="Humboldt State University Police Dept (CSU). - CA"/>
    <n v="5"/>
    <n v="11"/>
    <n v="6"/>
    <n v="0"/>
    <n v="0"/>
    <n v="0"/>
    <n v="0"/>
    <n v="0"/>
    <n v="0"/>
    <n v="0"/>
    <x v="0"/>
    <s v="18-24 Months"/>
    <x v="2"/>
    <n v="0"/>
  </r>
  <r>
    <n v="305270"/>
    <s v="Tilden Twp Police Dept. - PA"/>
    <n v="4"/>
    <n v="4"/>
    <n v="20"/>
    <n v="0"/>
    <n v="0"/>
    <n v="0"/>
    <n v="0"/>
    <n v="0"/>
    <n v="0"/>
    <n v="0"/>
    <x v="2"/>
    <s v="24+ Months"/>
    <x v="2"/>
    <n v="0"/>
  </r>
  <r>
    <n v="462439"/>
    <s v="California State University Police - Los Angeles"/>
    <n v="4"/>
    <n v="23"/>
    <n v="6"/>
    <n v="0"/>
    <n v="0"/>
    <n v="0"/>
    <n v="0"/>
    <n v="0"/>
    <n v="0"/>
    <n v="0"/>
    <x v="0"/>
    <s v="18-24 Months"/>
    <x v="2"/>
    <n v="0"/>
  </r>
  <r>
    <n v="305994"/>
    <s v="California State University Police - Dominguez Hills"/>
    <n v="4"/>
    <n v="18"/>
    <n v="6"/>
    <n v="0"/>
    <n v="0"/>
    <n v="0"/>
    <n v="0"/>
    <n v="0"/>
    <n v="0"/>
    <n v="0"/>
    <x v="0"/>
    <s v="18-24 Months"/>
    <x v="2"/>
    <n v="0"/>
  </r>
  <r>
    <n v="321548"/>
    <s v="Douglas County Sheriff - IL"/>
    <n v="2"/>
    <n v="10"/>
    <n v="6"/>
    <n v="0"/>
    <n v="0"/>
    <n v="0"/>
    <n v="0"/>
    <n v="0"/>
    <n v="0"/>
    <n v="0"/>
    <x v="0"/>
    <s v="18-24 Months"/>
    <x v="2"/>
    <n v="0"/>
  </r>
  <r>
    <n v="213641"/>
    <s v="Yoakum County Sheriff's Office - TX"/>
    <n v="2"/>
    <n v="20"/>
    <n v="6"/>
    <n v="0"/>
    <n v="0"/>
    <n v="0"/>
    <n v="0"/>
    <n v="0"/>
    <n v="0"/>
    <n v="0"/>
    <x v="0"/>
    <s v="18-24 Months"/>
    <x v="2"/>
    <n v="0"/>
  </r>
  <r>
    <n v="454236"/>
    <s v="Village Of North Syracuse Police - NY"/>
    <n v="2"/>
    <n v="36"/>
    <n v="7"/>
    <n v="0"/>
    <n v="0"/>
    <n v="0"/>
    <n v="0"/>
    <n v="0"/>
    <n v="0"/>
    <n v="0"/>
    <x v="0"/>
    <s v="18-24 Months"/>
    <x v="2"/>
    <n v="0"/>
  </r>
  <r>
    <n v="128243"/>
    <s v="Winnfield Police Dept. - LA"/>
    <n v="1"/>
    <n v="20"/>
    <n v="50"/>
    <n v="0"/>
    <n v="0"/>
    <n v="0"/>
    <n v="0"/>
    <n v="0"/>
    <n v="0"/>
    <n v="0"/>
    <x v="1"/>
    <s v="24+ Months"/>
    <x v="2"/>
    <n v="0"/>
  </r>
  <r>
    <n v="456328"/>
    <s v="Lower Saucon Police Dept. - PA"/>
    <n v="1"/>
    <n v="40"/>
    <n v="6"/>
    <n v="0"/>
    <n v="0"/>
    <n v="0"/>
    <n v="0"/>
    <n v="0"/>
    <n v="0"/>
    <n v="0"/>
    <x v="0"/>
    <s v="18-24 Months"/>
    <x v="2"/>
    <n v="0"/>
  </r>
  <r>
    <n v="110580"/>
    <s v="University of Illinois at Chicago Police Dept."/>
    <n v="1"/>
    <n v="70"/>
    <n v="9"/>
    <n v="0"/>
    <n v="0"/>
    <n v="0"/>
    <n v="0"/>
    <n v="0"/>
    <n v="0"/>
    <n v="0"/>
    <x v="0"/>
    <s v="18-24 Months"/>
    <x v="2"/>
    <n v="0"/>
  </r>
  <r>
    <n v="471807"/>
    <s v="Markle Police Dept. - IN"/>
    <n v="1"/>
    <n v="4"/>
    <n v="13"/>
    <n v="0"/>
    <n v="0"/>
    <n v="0"/>
    <n v="0"/>
    <n v="0"/>
    <n v="0"/>
    <n v="0"/>
    <x v="2"/>
    <s v="24+ Months"/>
    <x v="2"/>
    <n v="0"/>
  </r>
  <r>
    <n v="485188"/>
    <s v="Eastville Police Department - VA"/>
    <n v="1"/>
    <n v="6"/>
    <n v="21"/>
    <n v="0"/>
    <n v="0"/>
    <n v="0"/>
    <n v="0"/>
    <n v="0"/>
    <n v="0"/>
    <n v="0"/>
    <x v="2"/>
    <s v="24+ Months"/>
    <x v="2"/>
    <n v="0"/>
  </r>
  <r>
    <n v="108380"/>
    <s v="Ripon Police Dept. - CA"/>
    <n v="1"/>
    <n v="28"/>
    <n v="34"/>
    <n v="0"/>
    <n v="0"/>
    <n v="0"/>
    <n v="0"/>
    <n v="0"/>
    <n v="0"/>
    <n v="0"/>
    <x v="1"/>
    <s v="24+ Months"/>
    <x v="2"/>
    <n v="0"/>
  </r>
  <r>
    <n v="551261"/>
    <s v="Rhode Island Department of Corrections - RI"/>
    <n v="0"/>
    <n v="50"/>
    <n v="17"/>
    <n v="0"/>
    <n v="0"/>
    <n v="0"/>
    <n v="0"/>
    <n v="0"/>
    <n v="0"/>
    <n v="0"/>
    <x v="2"/>
    <s v="24+ Months"/>
    <x v="2"/>
    <n v="0"/>
  </r>
  <r>
    <s v="SE0116533"/>
    <s v="National Police (Politie Uitrusting) SEG"/>
    <n v="0"/>
    <n v="100"/>
    <n v="6"/>
    <n v="0"/>
    <n v="0"/>
    <n v="0"/>
    <n v="0"/>
    <n v="0"/>
    <n v="0"/>
    <n v="0"/>
    <x v="0"/>
    <s v="18-24 Months"/>
    <x v="1"/>
    <n v="0"/>
  </r>
  <r>
    <s v="SE0115985"/>
    <s v="Bundespolizeipraesidium"/>
    <n v="0"/>
    <n v="250"/>
    <n v="8"/>
    <n v="0"/>
    <n v="0"/>
    <n v="0"/>
    <n v="0"/>
    <n v="0"/>
    <n v="0"/>
    <n v="0"/>
    <x v="0"/>
    <s v="18-24 Months"/>
    <x v="1"/>
    <n v="0"/>
  </r>
  <r>
    <s v="SE0115985"/>
    <s v="Bundespolizeipraesidium"/>
    <n v="0"/>
    <n v="250"/>
    <n v="8"/>
    <n v="0"/>
    <n v="0"/>
    <n v="0"/>
    <n v="0"/>
    <n v="0"/>
    <n v="0"/>
    <n v="0"/>
    <x v="0"/>
    <s v="18-24 Months"/>
    <x v="1"/>
    <n v="0"/>
  </r>
  <r>
    <n v="458279"/>
    <s v="Chesapeake Bay Bridge-Tunnel Police Dept. - VA"/>
    <n v="0"/>
    <n v="30"/>
    <n v="20"/>
    <n v="0"/>
    <n v="0"/>
    <n v="0"/>
    <n v="0"/>
    <n v="0"/>
    <n v="0"/>
    <n v="0"/>
    <x v="2"/>
    <s v="24+ Months"/>
    <x v="2"/>
    <n v="0"/>
  </r>
  <r>
    <n v="323651"/>
    <s v="Early County Sheriff Office - GA"/>
    <n v="0"/>
    <n v="20"/>
    <n v="12"/>
    <n v="0"/>
    <n v="0"/>
    <n v="0"/>
    <n v="0"/>
    <n v="0"/>
    <n v="0"/>
    <n v="0"/>
    <x v="0"/>
    <s v="18-24 Months"/>
    <x v="2"/>
    <n v="0"/>
  </r>
  <r>
    <n v="319013"/>
    <s v="Crockett Police Dept. - TX"/>
    <n v="0"/>
    <n v="16"/>
    <n v="23"/>
    <n v="0"/>
    <n v="0"/>
    <n v="0"/>
    <n v="0"/>
    <n v="0"/>
    <n v="0"/>
    <n v="0"/>
    <x v="2"/>
    <s v="24+ Months"/>
    <x v="2"/>
    <n v="0"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282">
  <r>
    <n v="111124"/>
    <s v="Leander Police Dept. - TX"/>
    <n v="88"/>
    <n v="87"/>
    <n v="60"/>
    <n v="558"/>
    <n v="468"/>
    <n v="221"/>
    <n v="6.41"/>
    <n v="5.38"/>
    <n v="2.54"/>
    <n v="5"/>
    <x v="0"/>
    <s v="24+ Months"/>
    <x v="0"/>
    <n v="88"/>
    <n v="88"/>
  </r>
  <r>
    <n v="112305"/>
    <s v="Virginia Beach Police Dept. - VA"/>
    <n v="888"/>
    <n v="508"/>
    <n v="52"/>
    <n v="647"/>
    <n v="65"/>
    <n v="12"/>
    <n v="1.27"/>
    <n v="0.13"/>
    <n v="0.02"/>
    <n v="36"/>
    <x v="0"/>
    <s v="24+ Months"/>
    <x v="1"/>
    <n v="0"/>
    <n v="0"/>
  </r>
  <r>
    <n v="110456"/>
    <s v="Brighton Police Department - CO"/>
    <n v="78"/>
    <n v="91"/>
    <n v="51"/>
    <n v="0"/>
    <n v="0"/>
    <n v="0"/>
    <n v="0"/>
    <n v="0"/>
    <n v="0"/>
    <n v="0"/>
    <x v="0"/>
    <s v="24+ Months"/>
    <x v="0"/>
    <n v="0"/>
    <n v="0"/>
  </r>
  <r>
    <n v="124615"/>
    <s v="Auburn Police Dept - AL"/>
    <n v="148"/>
    <n v="120"/>
    <n v="51"/>
    <n v="1656"/>
    <n v="1209"/>
    <n v="710"/>
    <n v="13.8"/>
    <n v="10.08"/>
    <n v="5.92"/>
    <n v="8"/>
    <x v="0"/>
    <s v="24+ Months"/>
    <x v="1"/>
    <n v="148"/>
    <n v="148"/>
  </r>
  <r>
    <n v="110104"/>
    <s v="Lake Hamilton Police Dept.- FL"/>
    <n v="1"/>
    <n v="12"/>
    <n v="50"/>
    <n v="22"/>
    <n v="0"/>
    <n v="0"/>
    <n v="1.83"/>
    <n v="0"/>
    <n v="0"/>
    <n v="0"/>
    <x v="0"/>
    <s v="24+ Months"/>
    <x v="0"/>
    <n v="0"/>
    <n v="0"/>
  </r>
  <r>
    <n v="128243"/>
    <s v="Winnfield Police Dept. - LA"/>
    <n v="1"/>
    <n v="20"/>
    <n v="50"/>
    <n v="0"/>
    <n v="0"/>
    <n v="0"/>
    <n v="0"/>
    <n v="0"/>
    <n v="0"/>
    <n v="0"/>
    <x v="0"/>
    <s v="24+ Months"/>
    <x v="0"/>
    <n v="0"/>
    <n v="0"/>
  </r>
  <r>
    <n v="302987"/>
    <s v="Brush Police Department - CO"/>
    <n v="16"/>
    <n v="28"/>
    <n v="50"/>
    <n v="8"/>
    <n v="1"/>
    <n v="0"/>
    <n v="0.28999999999999998"/>
    <n v="0.04"/>
    <n v="0"/>
    <n v="0"/>
    <x v="0"/>
    <s v="24+ Months"/>
    <x v="0"/>
    <n v="0"/>
    <n v="0"/>
  </r>
  <r>
    <n v="206457"/>
    <s v="Hillsboro Beach Police Dept.-FL"/>
    <n v="18"/>
    <n v="20"/>
    <n v="50"/>
    <n v="1"/>
    <n v="1"/>
    <n v="0"/>
    <n v="0.05"/>
    <n v="0.05"/>
    <n v="0"/>
    <n v="0"/>
    <x v="0"/>
    <s v="24+ Months"/>
    <x v="0"/>
    <n v="0"/>
    <n v="0"/>
  </r>
  <r>
    <n v="107396"/>
    <s v="Bradley County Sheriff's Office - TN"/>
    <n v="106"/>
    <n v="130"/>
    <n v="50"/>
    <n v="25"/>
    <n v="25"/>
    <n v="25"/>
    <n v="0.19"/>
    <n v="0.19"/>
    <n v="0.19"/>
    <n v="35"/>
    <x v="0"/>
    <s v="24+ Months"/>
    <x v="1"/>
    <n v="0"/>
    <n v="0"/>
  </r>
  <r>
    <n v="109997"/>
    <s v="Middletown Police Dept. - CT"/>
    <n v="119"/>
    <n v="125"/>
    <n v="50"/>
    <n v="29"/>
    <n v="28"/>
    <n v="24"/>
    <n v="0.23"/>
    <n v="0.22"/>
    <n v="0.19"/>
    <n v="27"/>
    <x v="0"/>
    <s v="24+ Months"/>
    <x v="1"/>
    <n v="0"/>
    <n v="0"/>
  </r>
  <r>
    <n v="111152"/>
    <s v="Federal Way Police Dept. - WA"/>
    <n v="130"/>
    <n v="150"/>
    <n v="50"/>
    <n v="0"/>
    <n v="0"/>
    <n v="0"/>
    <n v="0"/>
    <n v="0"/>
    <n v="0"/>
    <n v="3"/>
    <x v="0"/>
    <s v="24+ Months"/>
    <x v="1"/>
    <n v="0"/>
    <n v="0"/>
  </r>
  <r>
    <n v="109207"/>
    <s v="Kissimmee Police Dept. - FL"/>
    <n v="162"/>
    <n v="166"/>
    <n v="50"/>
    <n v="313"/>
    <n v="227"/>
    <n v="143"/>
    <n v="1.89"/>
    <n v="1.37"/>
    <n v="0.86"/>
    <n v="139"/>
    <x v="0"/>
    <s v="24+ Months"/>
    <x v="1"/>
    <n v="162"/>
    <n v="0"/>
  </r>
  <r>
    <n v="118351"/>
    <s v="SLC Unified Police Dept. - UT"/>
    <n v="325"/>
    <n v="196"/>
    <n v="50"/>
    <n v="17"/>
    <n v="11"/>
    <n v="11"/>
    <n v="0.05"/>
    <n v="0.03"/>
    <n v="0.03"/>
    <n v="0"/>
    <x v="0"/>
    <s v="24+ Months"/>
    <x v="1"/>
    <n v="0"/>
    <n v="0"/>
  </r>
  <r>
    <n v="108360"/>
    <s v="Minnesota State Patrol - MN"/>
    <n v="782"/>
    <n v="800"/>
    <n v="50"/>
    <n v="36"/>
    <n v="5"/>
    <n v="1"/>
    <n v="0.05"/>
    <n v="0.01"/>
    <n v="0"/>
    <n v="72"/>
    <x v="0"/>
    <s v="24+ Months"/>
    <x v="2"/>
    <n v="0"/>
    <n v="0"/>
  </r>
  <r>
    <n v="112053"/>
    <s v="Jefferson Parish Sheriff's Office - LA"/>
    <n v="870"/>
    <n v="900"/>
    <n v="50"/>
    <n v="165"/>
    <n v="86"/>
    <n v="0"/>
    <n v="0.18"/>
    <n v="0.1"/>
    <n v="0"/>
    <n v="118"/>
    <x v="0"/>
    <s v="24+ Months"/>
    <x v="2"/>
    <n v="0"/>
    <n v="0"/>
  </r>
  <r>
    <n v="135100"/>
    <s v="Roy City Police Dept. - UT"/>
    <n v="4"/>
    <n v="43"/>
    <n v="49"/>
    <n v="6"/>
    <n v="0"/>
    <n v="0"/>
    <n v="0.14000000000000001"/>
    <n v="0"/>
    <n v="0"/>
    <n v="0"/>
    <x v="0"/>
    <s v="24+ Months"/>
    <x v="0"/>
    <n v="0"/>
    <n v="0"/>
  </r>
  <r>
    <n v="482999"/>
    <s v="Town of Mead Police Department - CO"/>
    <n v="18"/>
    <n v="16"/>
    <n v="49"/>
    <n v="54"/>
    <n v="54"/>
    <n v="47"/>
    <n v="3.38"/>
    <n v="3.38"/>
    <n v="2.94"/>
    <n v="33"/>
    <x v="0"/>
    <s v="24+ Months"/>
    <x v="0"/>
    <n v="18"/>
    <n v="18"/>
  </r>
  <r>
    <n v="485670"/>
    <s v="Monahans Police Dept. - TX"/>
    <n v="18"/>
    <n v="16"/>
    <n v="49"/>
    <n v="32"/>
    <n v="9"/>
    <n v="9"/>
    <n v="1"/>
    <n v="0.28000000000000003"/>
    <n v="0.28000000000000003"/>
    <n v="0"/>
    <x v="0"/>
    <s v="24+ Months"/>
    <x v="0"/>
    <n v="0"/>
    <n v="0"/>
  </r>
  <r>
    <n v="112461"/>
    <s v="Pekin Police Dept.- IL"/>
    <n v="29"/>
    <n v="57"/>
    <n v="49"/>
    <n v="141"/>
    <n v="75"/>
    <n v="41"/>
    <n v="2.4700000000000002"/>
    <n v="1.32"/>
    <n v="0.72"/>
    <n v="173"/>
    <x v="0"/>
    <s v="24+ Months"/>
    <x v="0"/>
    <n v="29"/>
    <n v="29"/>
  </r>
  <r>
    <n v="109267"/>
    <s v="Sumter County Sheriff - FL"/>
    <n v="55"/>
    <n v="252"/>
    <n v="49"/>
    <n v="358"/>
    <n v="233"/>
    <n v="196"/>
    <n v="1.42"/>
    <n v="0.92"/>
    <n v="0.78"/>
    <n v="4"/>
    <x v="0"/>
    <s v="24+ Months"/>
    <x v="1"/>
    <n v="55"/>
    <n v="0"/>
  </r>
  <r>
    <n v="315246"/>
    <s v="Glenn Heights Police Dept. - TX"/>
    <n v="57"/>
    <n v="27"/>
    <n v="49"/>
    <n v="0"/>
    <n v="0"/>
    <n v="0"/>
    <n v="0"/>
    <n v="0"/>
    <n v="0"/>
    <n v="0"/>
    <x v="0"/>
    <s v="24+ Months"/>
    <x v="0"/>
    <n v="0"/>
    <n v="0"/>
  </r>
  <r>
    <n v="108601"/>
    <s v="Biloxi Police Dept. - MS"/>
    <n v="58"/>
    <n v="135"/>
    <n v="49"/>
    <n v="409"/>
    <n v="407"/>
    <n v="7"/>
    <n v="3.03"/>
    <n v="3.01"/>
    <n v="0.05"/>
    <n v="16"/>
    <x v="0"/>
    <s v="24+ Months"/>
    <x v="1"/>
    <n v="58"/>
    <n v="58"/>
  </r>
  <r>
    <n v="510427"/>
    <s v="Queen Creek Police Department - AZ"/>
    <n v="78"/>
    <n v="40"/>
    <n v="49"/>
    <n v="39"/>
    <n v="36"/>
    <n v="36"/>
    <n v="0.98"/>
    <n v="0.9"/>
    <n v="0.9"/>
    <n v="4"/>
    <x v="0"/>
    <s v="24+ Months"/>
    <x v="0"/>
    <n v="78"/>
    <n v="0"/>
  </r>
  <r>
    <n v="306038"/>
    <s v="Redmond Police Dept. - WA"/>
    <n v="105"/>
    <n v="90"/>
    <n v="49"/>
    <n v="526"/>
    <n v="472"/>
    <n v="231"/>
    <n v="5.84"/>
    <n v="5.24"/>
    <n v="2.57"/>
    <n v="10"/>
    <x v="0"/>
    <s v="24+ Months"/>
    <x v="0"/>
    <n v="105"/>
    <n v="105"/>
  </r>
  <r>
    <n v="106590"/>
    <s v="Appleton Police Department - WI"/>
    <n v="150"/>
    <n v="115"/>
    <n v="49"/>
    <n v="348"/>
    <n v="322"/>
    <n v="306"/>
    <n v="3.03"/>
    <n v="2.8"/>
    <n v="2.66"/>
    <n v="157"/>
    <x v="0"/>
    <s v="24+ Months"/>
    <x v="1"/>
    <n v="150"/>
    <n v="150"/>
  </r>
  <r>
    <n v="108014"/>
    <s v="Dothan Police Department - AL"/>
    <n v="157"/>
    <n v="250"/>
    <n v="49"/>
    <n v="64"/>
    <n v="59"/>
    <n v="12"/>
    <n v="0.26"/>
    <n v="0.24"/>
    <n v="0.05"/>
    <n v="262"/>
    <x v="0"/>
    <s v="24+ Months"/>
    <x v="1"/>
    <n v="0"/>
    <n v="0"/>
  </r>
  <r>
    <n v="163211"/>
    <s v="Washtenaw County Sheriff's Office - MI"/>
    <n v="200"/>
    <n v="380"/>
    <n v="49"/>
    <n v="9"/>
    <n v="2"/>
    <n v="0"/>
    <n v="0.02"/>
    <n v="0"/>
    <n v="0"/>
    <n v="1"/>
    <x v="0"/>
    <s v="24+ Months"/>
    <x v="2"/>
    <n v="0"/>
    <n v="0"/>
  </r>
  <r>
    <n v="106844"/>
    <s v="Santa Fe Police Dept. - NM"/>
    <n v="234"/>
    <n v="193"/>
    <n v="49"/>
    <n v="0"/>
    <n v="0"/>
    <n v="0"/>
    <n v="0"/>
    <n v="0"/>
    <n v="0"/>
    <n v="5"/>
    <x v="0"/>
    <s v="24+ Months"/>
    <x v="1"/>
    <n v="0"/>
    <n v="0"/>
  </r>
  <r>
    <n v="114556"/>
    <s v="Knox County Sheriff's Office - TN"/>
    <n v="414"/>
    <n v="450"/>
    <n v="49"/>
    <n v="18"/>
    <n v="16"/>
    <n v="0"/>
    <n v="0.04"/>
    <n v="0.04"/>
    <n v="0"/>
    <n v="34"/>
    <x v="0"/>
    <s v="24+ Months"/>
    <x v="1"/>
    <n v="0"/>
    <n v="0"/>
  </r>
  <r>
    <n v="113118"/>
    <s v="Oklahoma City Police Dept. - OK"/>
    <n v="1904"/>
    <n v="700"/>
    <n v="49"/>
    <n v="2046"/>
    <n v="539"/>
    <n v="18"/>
    <n v="2.92"/>
    <n v="0.77"/>
    <n v="0.03"/>
    <n v="4"/>
    <x v="0"/>
    <s v="24+ Months"/>
    <x v="2"/>
    <n v="1904"/>
    <n v="1904"/>
  </r>
  <r>
    <n v="328070"/>
    <s v="Canton Police Dept. - GA"/>
    <n v="45"/>
    <n v="50"/>
    <n v="48"/>
    <n v="0"/>
    <n v="0"/>
    <n v="0"/>
    <n v="0"/>
    <n v="0"/>
    <n v="0"/>
    <n v="0"/>
    <x v="0"/>
    <s v="24+ Months"/>
    <x v="0"/>
    <n v="0"/>
    <n v="0"/>
  </r>
  <r>
    <n v="105389"/>
    <s v="Bensalem Township Police Dept. - PA"/>
    <n v="111"/>
    <n v="92"/>
    <n v="48"/>
    <n v="14"/>
    <n v="8"/>
    <n v="6"/>
    <n v="0.15"/>
    <n v="0.09"/>
    <n v="7.0000000000000007E-2"/>
    <n v="5"/>
    <x v="0"/>
    <s v="24+ Months"/>
    <x v="0"/>
    <n v="0"/>
    <n v="0"/>
  </r>
  <r>
    <n v="109269"/>
    <s v="North Miami Police Dept - FL"/>
    <n v="140"/>
    <n v="120"/>
    <n v="48"/>
    <n v="637"/>
    <n v="609"/>
    <n v="231"/>
    <n v="5.31"/>
    <n v="5.08"/>
    <n v="1.93"/>
    <n v="10"/>
    <x v="0"/>
    <s v="24+ Months"/>
    <x v="1"/>
    <n v="140"/>
    <n v="140"/>
  </r>
  <r>
    <n v="115132"/>
    <s v="Paradise Valley Police Dept. - AZ"/>
    <n v="39"/>
    <n v="69"/>
    <n v="47"/>
    <n v="10"/>
    <n v="0"/>
    <n v="0"/>
    <n v="0.14000000000000001"/>
    <n v="0"/>
    <n v="0"/>
    <n v="0"/>
    <x v="0"/>
    <s v="24+ Months"/>
    <x v="0"/>
    <n v="0"/>
    <n v="0"/>
  </r>
  <r>
    <n v="518257"/>
    <s v="Lathrop Police Department - CA"/>
    <n v="44"/>
    <n v="65"/>
    <n v="47"/>
    <n v="12"/>
    <n v="12"/>
    <n v="12"/>
    <n v="0.18"/>
    <n v="0.18"/>
    <n v="0.18"/>
    <n v="10"/>
    <x v="0"/>
    <s v="24+ Months"/>
    <x v="0"/>
    <n v="0"/>
    <n v="0"/>
  </r>
  <r>
    <n v="112177"/>
    <s v="Wilkes-Barre City Police Dept - PA"/>
    <n v="78"/>
    <n v="5"/>
    <n v="47"/>
    <n v="281"/>
    <n v="183"/>
    <n v="151"/>
    <n v="56.2"/>
    <n v="36.6"/>
    <n v="30.2"/>
    <n v="1"/>
    <x v="0"/>
    <s v="24+ Months"/>
    <x v="0"/>
    <n v="78"/>
    <n v="78"/>
  </r>
  <r>
    <n v="112636"/>
    <s v="Royal Oak Police Dept.- MI"/>
    <n v="85"/>
    <n v="76"/>
    <n v="47"/>
    <n v="336"/>
    <n v="336"/>
    <n v="105"/>
    <n v="4.42"/>
    <n v="4.42"/>
    <n v="1.38"/>
    <n v="8"/>
    <x v="0"/>
    <s v="24+ Months"/>
    <x v="0"/>
    <n v="85"/>
    <n v="85"/>
  </r>
  <r>
    <n v="107911"/>
    <s v="Louisville Metro Police Department"/>
    <n v="1312"/>
    <n v="1215"/>
    <n v="47"/>
    <n v="2"/>
    <n v="2"/>
    <n v="0"/>
    <n v="0"/>
    <n v="0"/>
    <n v="0"/>
    <n v="0"/>
    <x v="0"/>
    <s v="24+ Months"/>
    <x v="2"/>
    <n v="0"/>
    <n v="0"/>
  </r>
  <r>
    <n v="106346"/>
    <s v="Seattle Police Dept. - WA"/>
    <n v="1340"/>
    <n v="1200"/>
    <n v="47"/>
    <n v="644"/>
    <n v="33"/>
    <n v="11"/>
    <n v="0.54"/>
    <n v="0.03"/>
    <n v="0.01"/>
    <n v="17"/>
    <x v="0"/>
    <s v="24+ Months"/>
    <x v="2"/>
    <n v="0"/>
    <n v="0"/>
  </r>
  <r>
    <n v="140442"/>
    <s v="Elkhart County Sheriff's Office - IN"/>
    <n v="4"/>
    <n v="189"/>
    <n v="46"/>
    <n v="303"/>
    <n v="198"/>
    <n v="151"/>
    <n v="1.6"/>
    <n v="1.05"/>
    <n v="0.8"/>
    <n v="67"/>
    <x v="0"/>
    <s v="24+ Months"/>
    <x v="1"/>
    <n v="4"/>
    <n v="0"/>
  </r>
  <r>
    <n v="108060"/>
    <s v="Frederick Police Department - CO"/>
    <n v="31"/>
    <n v="45"/>
    <n v="46"/>
    <n v="64"/>
    <n v="38"/>
    <n v="0"/>
    <n v="1.42"/>
    <n v="0.84"/>
    <n v="0"/>
    <n v="97"/>
    <x v="0"/>
    <s v="24+ Months"/>
    <x v="0"/>
    <n v="31"/>
    <n v="0"/>
  </r>
  <r>
    <n v="108276"/>
    <s v="Jefferson County Sheriff's Office - WA"/>
    <n v="38"/>
    <n v="46"/>
    <n v="46"/>
    <n v="151"/>
    <n v="55"/>
    <n v="31"/>
    <n v="3.28"/>
    <n v="1.2"/>
    <n v="0.67"/>
    <n v="21"/>
    <x v="0"/>
    <s v="24+ Months"/>
    <x v="0"/>
    <n v="38"/>
    <n v="38"/>
  </r>
  <r>
    <n v="300687"/>
    <s v="Metra Police Department - IL"/>
    <n v="120"/>
    <n v="175"/>
    <n v="46"/>
    <n v="30"/>
    <n v="23"/>
    <n v="12"/>
    <n v="0.17"/>
    <n v="0.13"/>
    <n v="7.0000000000000007E-2"/>
    <n v="12"/>
    <x v="0"/>
    <s v="24+ Months"/>
    <x v="1"/>
    <n v="0"/>
    <n v="0"/>
  </r>
  <r>
    <n v="141887"/>
    <s v="St. Charles Parish Sheriff's Office - LA"/>
    <n v="276"/>
    <n v="365"/>
    <n v="46"/>
    <n v="242"/>
    <n v="218"/>
    <n v="119"/>
    <n v="0.66"/>
    <n v="0.6"/>
    <n v="0.33"/>
    <n v="379"/>
    <x v="0"/>
    <s v="24+ Months"/>
    <x v="1"/>
    <n v="0"/>
    <n v="0"/>
  </r>
  <r>
    <n v="106658"/>
    <s v="Mobile Police Department - AL"/>
    <n v="449"/>
    <n v="490"/>
    <n v="46"/>
    <n v="255"/>
    <n v="180"/>
    <n v="4"/>
    <n v="0.52"/>
    <n v="0.37"/>
    <n v="0.01"/>
    <n v="96"/>
    <x v="0"/>
    <s v="24+ Months"/>
    <x v="1"/>
    <n v="0"/>
    <n v="0"/>
  </r>
  <r>
    <n v="169787"/>
    <s v="Cobb County Sheriff's Office - GA"/>
    <n v="515"/>
    <n v="549"/>
    <n v="46"/>
    <n v="165"/>
    <n v="58"/>
    <n v="13"/>
    <n v="0.3"/>
    <n v="0.11"/>
    <n v="0.02"/>
    <n v="128"/>
    <x v="0"/>
    <s v="24+ Months"/>
    <x v="1"/>
    <n v="0"/>
    <n v="0"/>
  </r>
  <r>
    <n v="106876"/>
    <s v="Oak Brook Police Dept. - IL"/>
    <n v="3"/>
    <n v="48"/>
    <n v="45"/>
    <n v="36"/>
    <n v="21"/>
    <n v="10"/>
    <n v="0.75"/>
    <n v="0.44"/>
    <n v="0.21"/>
    <n v="4"/>
    <x v="0"/>
    <s v="24+ Months"/>
    <x v="0"/>
    <n v="0"/>
    <n v="0"/>
  </r>
  <r>
    <n v="173528"/>
    <s v="Elyria Police Department - OH"/>
    <n v="75"/>
    <n v="82"/>
    <n v="45"/>
    <n v="153"/>
    <n v="124"/>
    <n v="123"/>
    <n v="1.87"/>
    <n v="1.51"/>
    <n v="1.5"/>
    <n v="6"/>
    <x v="0"/>
    <s v="24+ Months"/>
    <x v="0"/>
    <n v="75"/>
    <n v="0"/>
  </r>
  <r>
    <n v="106566"/>
    <s v="Eagan Police Dept. - MN"/>
    <n v="88"/>
    <n v="90"/>
    <n v="45"/>
    <n v="59"/>
    <n v="0"/>
    <n v="0"/>
    <n v="0.66"/>
    <n v="0"/>
    <n v="0"/>
    <n v="0"/>
    <x v="0"/>
    <s v="24+ Months"/>
    <x v="0"/>
    <n v="0"/>
    <n v="0"/>
  </r>
  <r>
    <n v="113397"/>
    <s v="Niagara Falls Police Dept - NY"/>
    <n v="93"/>
    <n v="145"/>
    <n v="45"/>
    <n v="2"/>
    <n v="2"/>
    <n v="0"/>
    <n v="0.01"/>
    <n v="0.01"/>
    <n v="0"/>
    <n v="2"/>
    <x v="0"/>
    <s v="24+ Months"/>
    <x v="1"/>
    <n v="0"/>
    <n v="0"/>
  </r>
  <r>
    <n v="108080"/>
    <s v="Waukesha Police Dept. - WI"/>
    <n v="152"/>
    <n v="120"/>
    <n v="45"/>
    <n v="258"/>
    <n v="161"/>
    <n v="123"/>
    <n v="2.15"/>
    <n v="1.34"/>
    <n v="1.03"/>
    <n v="46"/>
    <x v="0"/>
    <s v="24+ Months"/>
    <x v="1"/>
    <n v="152"/>
    <n v="152"/>
  </r>
  <r>
    <n v="106477"/>
    <s v="City of Rock Hill Police Dept - SC"/>
    <n v="158"/>
    <n v="156"/>
    <n v="45"/>
    <n v="29"/>
    <n v="27"/>
    <n v="27"/>
    <n v="0.19"/>
    <n v="0.17"/>
    <n v="0.17"/>
    <n v="0"/>
    <x v="0"/>
    <s v="24+ Months"/>
    <x v="1"/>
    <n v="0"/>
    <n v="0"/>
  </r>
  <r>
    <n v="106569"/>
    <s v="Washoe County Sheriff's Office - NV"/>
    <n v="407"/>
    <n v="565"/>
    <n v="45"/>
    <n v="1091"/>
    <n v="217"/>
    <n v="0"/>
    <n v="1.93"/>
    <n v="0.38"/>
    <n v="0"/>
    <n v="89"/>
    <x v="0"/>
    <s v="24+ Months"/>
    <x v="2"/>
    <n v="0"/>
    <n v="0"/>
  </r>
  <r>
    <n v="325652"/>
    <s v="Richmond County Sheriff's Office - GA"/>
    <n v="428"/>
    <n v="320"/>
    <n v="45"/>
    <n v="7"/>
    <n v="7"/>
    <n v="7"/>
    <n v="0.02"/>
    <n v="0.02"/>
    <n v="0.02"/>
    <n v="9"/>
    <x v="0"/>
    <s v="24+ Months"/>
    <x v="1"/>
    <n v="0"/>
    <n v="0"/>
  </r>
  <r>
    <n v="105785"/>
    <s v="Fort Worth Police Department - TX"/>
    <n v="1993"/>
    <n v="3486"/>
    <n v="45"/>
    <n v="4534"/>
    <n v="4054"/>
    <n v="2890"/>
    <n v="1.3"/>
    <n v="1.1599999999999999"/>
    <n v="0.83"/>
    <n v="114"/>
    <x v="0"/>
    <s v="24+ Months"/>
    <x v="2"/>
    <n v="1993"/>
    <n v="1993"/>
  </r>
  <r>
    <n v="121105"/>
    <s v="Sunset Police Dept. - UT"/>
    <n v="8"/>
    <n v="10"/>
    <n v="44"/>
    <n v="1"/>
    <n v="1"/>
    <n v="0"/>
    <n v="0.05"/>
    <n v="0.05"/>
    <n v="0"/>
    <n v="0"/>
    <x v="0"/>
    <s v="24+ Months"/>
    <x v="0"/>
    <n v="0"/>
    <n v="0"/>
  </r>
  <r>
    <n v="494655"/>
    <s v="West Lampeter Township Police Dept - PA"/>
    <n v="17"/>
    <n v="15"/>
    <n v="44"/>
    <n v="46"/>
    <n v="0"/>
    <n v="0"/>
    <n v="3.07"/>
    <n v="0"/>
    <n v="0"/>
    <n v="0"/>
    <x v="0"/>
    <s v="24+ Months"/>
    <x v="0"/>
    <n v="17"/>
    <n v="17"/>
  </r>
  <r>
    <n v="108050"/>
    <s v="Metro Nashville Police Department -TN"/>
    <n v="1780"/>
    <n v="1658"/>
    <n v="44"/>
    <n v="1517"/>
    <n v="202"/>
    <n v="72"/>
    <n v="0.91"/>
    <n v="0.12"/>
    <n v="0.04"/>
    <n v="169"/>
    <x v="0"/>
    <s v="24+ Months"/>
    <x v="2"/>
    <n v="0"/>
    <n v="0"/>
  </r>
  <r>
    <n v="213659"/>
    <s v="Highfill Police Department - AR"/>
    <n v="13"/>
    <n v="5"/>
    <n v="43"/>
    <n v="3"/>
    <n v="3"/>
    <n v="0"/>
    <n v="0.6"/>
    <n v="0.6"/>
    <n v="0"/>
    <n v="0"/>
    <x v="0"/>
    <s v="24+ Months"/>
    <x v="0"/>
    <n v="0"/>
    <n v="0"/>
  </r>
  <r>
    <n v="185357"/>
    <s v="St. Cloud Police Dept. - FL"/>
    <n v="100"/>
    <n v="241"/>
    <n v="43"/>
    <n v="323"/>
    <n v="69"/>
    <n v="44"/>
    <n v="1.34"/>
    <n v="0.28999999999999998"/>
    <n v="0.18"/>
    <n v="0"/>
    <x v="0"/>
    <s v="24+ Months"/>
    <x v="1"/>
    <n v="0"/>
    <n v="0"/>
  </r>
  <r>
    <n v="105678"/>
    <s v="East Point Police Dept. - GA"/>
    <n v="90"/>
    <n v="125"/>
    <n v="42"/>
    <n v="265"/>
    <n v="63"/>
    <n v="58"/>
    <n v="2.2999999999999998"/>
    <n v="0.55000000000000004"/>
    <n v="0.5"/>
    <n v="256"/>
    <x v="0"/>
    <s v="24+ Months"/>
    <x v="1"/>
    <n v="90"/>
    <n v="90"/>
  </r>
  <r>
    <n v="108869"/>
    <s v="Littleton Police Department - CO"/>
    <n v="85"/>
    <n v="97"/>
    <n v="41"/>
    <n v="184"/>
    <n v="184"/>
    <n v="184"/>
    <n v="1.9"/>
    <n v="1.9"/>
    <n v="1.9"/>
    <n v="23"/>
    <x v="0"/>
    <s v="24+ Months"/>
    <x v="0"/>
    <n v="85"/>
    <n v="0"/>
  </r>
  <r>
    <n v="309704"/>
    <s v="Saratoga County Sheriff's Office - NY"/>
    <n v="198"/>
    <n v="157"/>
    <n v="41"/>
    <n v="222"/>
    <n v="222"/>
    <n v="143"/>
    <n v="1.41"/>
    <n v="1.41"/>
    <n v="0.91"/>
    <n v="18"/>
    <x v="0"/>
    <s v="24+ Months"/>
    <x v="1"/>
    <n v="198"/>
    <n v="0"/>
  </r>
  <r>
    <n v="109369"/>
    <s v="Kalamazoo County Sheriff's Office - MI"/>
    <n v="94"/>
    <n v="86"/>
    <n v="40"/>
    <n v="60"/>
    <n v="60"/>
    <n v="45"/>
    <n v="0.7"/>
    <n v="0.7"/>
    <n v="0.52"/>
    <n v="54"/>
    <x v="0"/>
    <s v="24+ Months"/>
    <x v="0"/>
    <n v="0"/>
    <n v="0"/>
  </r>
  <r>
    <n v="110274"/>
    <s v="Florence County Sheriff's Office - SC"/>
    <n v="223"/>
    <n v="160"/>
    <n v="40"/>
    <n v="180"/>
    <n v="160"/>
    <n v="159"/>
    <n v="1.1299999999999999"/>
    <n v="1"/>
    <n v="0.99"/>
    <n v="43"/>
    <x v="0"/>
    <s v="24+ Months"/>
    <x v="1"/>
    <n v="223"/>
    <n v="0"/>
  </r>
  <r>
    <n v="158258"/>
    <s v="Oneida County Sheriff's Office - NY"/>
    <n v="250"/>
    <n v="223"/>
    <n v="40"/>
    <n v="66"/>
    <n v="66"/>
    <n v="25"/>
    <n v="0.3"/>
    <n v="0.3"/>
    <n v="0.11"/>
    <n v="106"/>
    <x v="0"/>
    <s v="24+ Months"/>
    <x v="1"/>
    <n v="0"/>
    <n v="0"/>
  </r>
  <r>
    <n v="108053"/>
    <s v="Williamson County Sheriff's Office - TN"/>
    <n v="267"/>
    <n v="243"/>
    <n v="40"/>
    <n v="2113"/>
    <n v="1337"/>
    <n v="1177"/>
    <n v="8.6999999999999993"/>
    <n v="5.5"/>
    <n v="4.84"/>
    <n v="3"/>
    <x v="0"/>
    <s v="24+ Months"/>
    <x v="1"/>
    <n v="267"/>
    <n v="267"/>
  </r>
  <r>
    <n v="446518"/>
    <s v="Spokane Police Dept. - WA"/>
    <n v="344"/>
    <n v="343"/>
    <n v="40"/>
    <n v="600"/>
    <n v="531"/>
    <n v="464"/>
    <n v="1.75"/>
    <n v="1.55"/>
    <n v="1.35"/>
    <n v="0"/>
    <x v="0"/>
    <s v="24+ Months"/>
    <x v="1"/>
    <n v="344"/>
    <n v="0"/>
  </r>
  <r>
    <n v="105331"/>
    <s v="Glendale Police Dept. - AZ"/>
    <n v="480"/>
    <n v="487"/>
    <n v="40"/>
    <n v="6"/>
    <n v="0"/>
    <n v="0"/>
    <n v="0.01"/>
    <n v="0"/>
    <n v="0"/>
    <n v="0"/>
    <x v="0"/>
    <s v="24+ Months"/>
    <x v="1"/>
    <n v="0"/>
    <n v="0"/>
  </r>
  <r>
    <n v="108109"/>
    <s v="Newport News Police Dept. - VA"/>
    <n v="499"/>
    <n v="470"/>
    <n v="40"/>
    <n v="142"/>
    <n v="98"/>
    <n v="56"/>
    <n v="0.3"/>
    <n v="0.21"/>
    <n v="0.12"/>
    <n v="7"/>
    <x v="0"/>
    <s v="24+ Months"/>
    <x v="1"/>
    <n v="0"/>
    <n v="0"/>
  </r>
  <r>
    <n v="115752"/>
    <s v="Muscogee County Sheriff's Office - GA"/>
    <n v="60"/>
    <n v="130"/>
    <n v="39"/>
    <n v="0"/>
    <n v="0"/>
    <n v="0"/>
    <n v="0"/>
    <n v="0"/>
    <n v="0"/>
    <n v="0"/>
    <x v="0"/>
    <s v="24+ Months"/>
    <x v="1"/>
    <n v="0"/>
    <n v="0"/>
  </r>
  <r>
    <n v="143890"/>
    <s v="Norfolk Police Dept. - VA"/>
    <n v="670"/>
    <n v="550"/>
    <n v="39"/>
    <n v="2"/>
    <n v="0"/>
    <n v="0"/>
    <n v="0"/>
    <n v="0"/>
    <n v="0"/>
    <n v="0"/>
    <x v="0"/>
    <s v="24+ Months"/>
    <x v="2"/>
    <n v="0"/>
    <n v="0"/>
  </r>
  <r>
    <n v="107174"/>
    <s v="Columbia Heights Police Department - MN"/>
    <n v="34"/>
    <n v="38"/>
    <n v="38"/>
    <n v="20"/>
    <n v="1"/>
    <n v="0"/>
    <n v="0.53"/>
    <n v="0.03"/>
    <n v="0"/>
    <n v="7"/>
    <x v="0"/>
    <s v="24+ Months"/>
    <x v="0"/>
    <n v="0"/>
    <n v="0"/>
  </r>
  <r>
    <n v="109610"/>
    <s v="Calcasieu Parish Sheriff's Office - LA"/>
    <n v="38"/>
    <n v="300"/>
    <n v="38"/>
    <n v="138"/>
    <n v="125"/>
    <n v="100"/>
    <n v="0.46"/>
    <n v="0.42"/>
    <n v="0.33"/>
    <n v="86"/>
    <x v="0"/>
    <s v="24+ Months"/>
    <x v="1"/>
    <n v="0"/>
    <n v="0"/>
  </r>
  <r>
    <n v="113455"/>
    <s v="Atwater Police Dept. - CA"/>
    <n v="42"/>
    <n v="35"/>
    <n v="38"/>
    <n v="0"/>
    <n v="0"/>
    <n v="0"/>
    <n v="0"/>
    <n v="0"/>
    <n v="0"/>
    <n v="0"/>
    <x v="0"/>
    <s v="24+ Months"/>
    <x v="0"/>
    <n v="0"/>
    <n v="0"/>
  </r>
  <r>
    <n v="201477"/>
    <s v="Laconia Police Dept. - NH"/>
    <n v="52"/>
    <n v="55"/>
    <n v="38"/>
    <n v="101"/>
    <n v="101"/>
    <n v="100"/>
    <n v="1.84"/>
    <n v="1.84"/>
    <n v="1.82"/>
    <n v="36"/>
    <x v="0"/>
    <s v="24+ Months"/>
    <x v="0"/>
    <n v="52"/>
    <n v="0"/>
  </r>
  <r>
    <n v="107092"/>
    <s v="Seminole County Sheriff's Office - FL"/>
    <n v="570"/>
    <n v="790"/>
    <n v="38"/>
    <n v="1470"/>
    <n v="1222"/>
    <n v="86"/>
    <n v="1.86"/>
    <n v="1.55"/>
    <n v="0.11"/>
    <n v="11"/>
    <x v="0"/>
    <s v="24+ Months"/>
    <x v="2"/>
    <n v="570"/>
    <n v="570"/>
  </r>
  <r>
    <n v="512963"/>
    <s v="Escalon Police Dept. - CA"/>
    <n v="30"/>
    <n v="16"/>
    <n v="37"/>
    <n v="5"/>
    <n v="0"/>
    <n v="0"/>
    <n v="0.16"/>
    <n v="0"/>
    <n v="0"/>
    <n v="0"/>
    <x v="0"/>
    <s v="24+ Months"/>
    <x v="0"/>
    <n v="0"/>
    <n v="0"/>
  </r>
  <r>
    <n v="112745"/>
    <s v="Mandeville Police Dept. - LA"/>
    <n v="46"/>
    <n v="47"/>
    <n v="37"/>
    <n v="230"/>
    <n v="230"/>
    <n v="230"/>
    <n v="4.8899999999999997"/>
    <n v="4.8899999999999997"/>
    <n v="4.8899999999999997"/>
    <n v="0"/>
    <x v="0"/>
    <s v="24+ Months"/>
    <x v="0"/>
    <n v="46"/>
    <n v="46"/>
  </r>
  <r>
    <n v="189441"/>
    <s v="Jasper County Sheriff's Office - SC"/>
    <n v="50"/>
    <n v="82"/>
    <n v="37"/>
    <n v="35"/>
    <n v="9"/>
    <n v="5"/>
    <n v="0.43"/>
    <n v="0.11"/>
    <n v="0.06"/>
    <n v="18"/>
    <x v="0"/>
    <s v="24+ Months"/>
    <x v="0"/>
    <n v="0"/>
    <n v="0"/>
  </r>
  <r>
    <n v="106698"/>
    <s v="Kent Police Dept. - WA"/>
    <n v="166"/>
    <n v="169"/>
    <n v="37"/>
    <n v="915"/>
    <n v="222"/>
    <n v="23"/>
    <n v="5.41"/>
    <n v="1.31"/>
    <n v="0.14000000000000001"/>
    <n v="274"/>
    <x v="0"/>
    <s v="24+ Months"/>
    <x v="1"/>
    <n v="166"/>
    <n v="166"/>
  </r>
  <r>
    <n v="107397"/>
    <s v="Pasco Sheriff's Office - FL"/>
    <n v="673"/>
    <n v="857"/>
    <n v="37"/>
    <n v="96"/>
    <n v="19"/>
    <n v="16"/>
    <n v="0.11"/>
    <n v="0.02"/>
    <n v="0.02"/>
    <n v="37"/>
    <x v="0"/>
    <s v="24+ Months"/>
    <x v="2"/>
    <n v="0"/>
    <n v="0"/>
  </r>
  <r>
    <n v="488474"/>
    <s v="Pine Plains Police Dept - NY"/>
    <n v="8"/>
    <n v="7"/>
    <n v="36"/>
    <n v="0"/>
    <n v="0"/>
    <n v="0"/>
    <n v="0"/>
    <n v="0"/>
    <n v="0"/>
    <n v="0"/>
    <x v="0"/>
    <s v="24+ Months"/>
    <x v="0"/>
    <n v="0"/>
    <n v="0"/>
  </r>
  <r>
    <n v="109105"/>
    <s v="Greenfield Police Dept. - CA"/>
    <n v="24"/>
    <n v="27"/>
    <n v="36"/>
    <n v="0"/>
    <n v="0"/>
    <n v="0"/>
    <n v="0"/>
    <n v="0"/>
    <n v="0"/>
    <n v="18"/>
    <x v="0"/>
    <s v="24+ Months"/>
    <x v="0"/>
    <n v="0"/>
    <n v="0"/>
  </r>
  <r>
    <n v="177293"/>
    <s v="Middletown Police Dept. - DE"/>
    <n v="46"/>
    <n v="44"/>
    <n v="36"/>
    <n v="5"/>
    <n v="5"/>
    <n v="5"/>
    <n v="0.11"/>
    <n v="0.11"/>
    <n v="0.11"/>
    <n v="25"/>
    <x v="0"/>
    <s v="24+ Months"/>
    <x v="0"/>
    <n v="0"/>
    <n v="0"/>
  </r>
  <r>
    <n v="107126"/>
    <s v="Flagstaff Police Dept. - AZ"/>
    <n v="129"/>
    <n v="120"/>
    <n v="36"/>
    <n v="96"/>
    <n v="83"/>
    <n v="58"/>
    <n v="0.8"/>
    <n v="0.69"/>
    <n v="0.48"/>
    <n v="1"/>
    <x v="0"/>
    <s v="24+ Months"/>
    <x v="1"/>
    <n v="0"/>
    <n v="0"/>
  </r>
  <r>
    <n v="105721"/>
    <s v="San Mateo Police Dept. - CA"/>
    <n v="142"/>
    <n v="132"/>
    <n v="36"/>
    <n v="18"/>
    <n v="9"/>
    <n v="9"/>
    <n v="0.14000000000000001"/>
    <n v="7.0000000000000007E-2"/>
    <n v="7.0000000000000007E-2"/>
    <n v="51"/>
    <x v="0"/>
    <s v="24+ Months"/>
    <x v="1"/>
    <n v="0"/>
    <n v="0"/>
  </r>
  <r>
    <n v="108481"/>
    <s v="Miami Dade Sheriff Office - FL"/>
    <n v="2000"/>
    <n v="4700"/>
    <n v="36"/>
    <n v="9"/>
    <n v="7"/>
    <n v="2"/>
    <n v="0"/>
    <n v="0"/>
    <n v="0"/>
    <n v="10"/>
    <x v="0"/>
    <s v="24+ Months"/>
    <x v="2"/>
    <n v="0"/>
    <n v="0"/>
  </r>
  <r>
    <n v="116153"/>
    <s v="Smyrna Police Dept. - DE"/>
    <n v="37"/>
    <n v="36"/>
    <n v="35"/>
    <n v="21"/>
    <n v="21"/>
    <n v="21"/>
    <n v="0.57999999999999996"/>
    <n v="0.57999999999999996"/>
    <n v="0.57999999999999996"/>
    <n v="3"/>
    <x v="0"/>
    <s v="24+ Months"/>
    <x v="0"/>
    <n v="0"/>
    <n v="0"/>
  </r>
  <r>
    <n v="160259"/>
    <s v="University Of Kentucky Police Department - KY"/>
    <n v="84"/>
    <n v="77"/>
    <n v="35"/>
    <n v="153"/>
    <n v="135"/>
    <n v="0"/>
    <n v="1.99"/>
    <n v="1.75"/>
    <n v="0"/>
    <n v="12"/>
    <x v="0"/>
    <s v="24+ Months"/>
    <x v="0"/>
    <n v="84"/>
    <n v="0"/>
  </r>
  <r>
    <n v="110619"/>
    <s v="Joliet Police Dept. - IL"/>
    <n v="375"/>
    <n v="286"/>
    <n v="35"/>
    <n v="1893"/>
    <n v="1296"/>
    <n v="973"/>
    <n v="6.62"/>
    <n v="4.53"/>
    <n v="3.4"/>
    <n v="174"/>
    <x v="0"/>
    <s v="24+ Months"/>
    <x v="1"/>
    <n v="375"/>
    <n v="375"/>
  </r>
  <r>
    <n v="108380"/>
    <s v="Ripon Police Dept. - CA"/>
    <n v="1"/>
    <n v="26"/>
    <n v="34"/>
    <n v="0"/>
    <n v="0"/>
    <n v="0"/>
    <n v="0"/>
    <n v="0"/>
    <n v="0"/>
    <n v="0"/>
    <x v="0"/>
    <s v="24+ Months"/>
    <x v="0"/>
    <n v="0"/>
    <n v="0"/>
  </r>
  <r>
    <n v="108412"/>
    <s v="Tuscaloosa County Sheriff's Office - AL"/>
    <n v="93"/>
    <n v="205"/>
    <n v="34"/>
    <n v="38"/>
    <n v="11"/>
    <n v="4"/>
    <n v="0.19"/>
    <n v="0.05"/>
    <n v="0.02"/>
    <n v="39"/>
    <x v="0"/>
    <s v="24+ Months"/>
    <x v="1"/>
    <n v="0"/>
    <n v="0"/>
  </r>
  <r>
    <n v="106199"/>
    <s v="Greenburgh Police Dept. - NY"/>
    <n v="109"/>
    <n v="62"/>
    <n v="34"/>
    <n v="11"/>
    <n v="11"/>
    <n v="7"/>
    <n v="0.18"/>
    <n v="0.18"/>
    <n v="0.11"/>
    <n v="2"/>
    <x v="0"/>
    <s v="24+ Months"/>
    <x v="0"/>
    <n v="0"/>
    <n v="0"/>
  </r>
  <r>
    <n v="109160"/>
    <s v="North Carolina State Highway Patrol - NC"/>
    <n v="120"/>
    <n v="1450"/>
    <n v="34"/>
    <n v="1320"/>
    <n v="432"/>
    <n v="72"/>
    <n v="0.91"/>
    <n v="0.3"/>
    <n v="0.05"/>
    <n v="146"/>
    <x v="0"/>
    <s v="24+ Months"/>
    <x v="2"/>
    <n v="0"/>
    <n v="0"/>
  </r>
  <r>
    <n v="106575"/>
    <s v="Carmel Police Department - IN"/>
    <n v="142"/>
    <n v="166"/>
    <n v="34"/>
    <n v="0"/>
    <n v="0"/>
    <n v="0"/>
    <n v="0"/>
    <n v="0"/>
    <n v="0"/>
    <n v="0"/>
    <x v="0"/>
    <s v="24+ Months"/>
    <x v="1"/>
    <n v="0"/>
    <n v="0"/>
  </r>
  <r>
    <n v="157071"/>
    <s v="Bloomington Police Dept. - MN"/>
    <n v="151"/>
    <n v="140"/>
    <n v="34"/>
    <n v="674"/>
    <n v="35"/>
    <n v="27"/>
    <n v="4.8099999999999996"/>
    <n v="0.25"/>
    <n v="0.19"/>
    <n v="0"/>
    <x v="0"/>
    <s v="24+ Months"/>
    <x v="1"/>
    <n v="151"/>
    <n v="151"/>
  </r>
  <r>
    <n v="110545"/>
    <s v="Hammond Police Dept. - IN"/>
    <n v="198"/>
    <n v="230"/>
    <n v="34"/>
    <n v="3"/>
    <n v="0"/>
    <n v="0"/>
    <n v="0.01"/>
    <n v="0"/>
    <n v="0"/>
    <n v="0"/>
    <x v="0"/>
    <s v="24+ Months"/>
    <x v="1"/>
    <n v="0"/>
    <n v="0"/>
  </r>
  <r>
    <n v="109079"/>
    <s v="Springfield Police Department - IL"/>
    <n v="280"/>
    <n v="274"/>
    <n v="34"/>
    <n v="496"/>
    <n v="46"/>
    <n v="1"/>
    <n v="1.81"/>
    <n v="0.17"/>
    <n v="0"/>
    <n v="0"/>
    <x v="0"/>
    <s v="24+ Months"/>
    <x v="1"/>
    <n v="0"/>
    <n v="0"/>
  </r>
  <r>
    <n v="107124"/>
    <s v="Lincoln Police Department - NE"/>
    <n v="327"/>
    <n v="347"/>
    <n v="34"/>
    <n v="999"/>
    <n v="335"/>
    <n v="113"/>
    <n v="2.74"/>
    <n v="0.92"/>
    <n v="0.31"/>
    <n v="411"/>
    <x v="0"/>
    <s v="24+ Months"/>
    <x v="1"/>
    <n v="327"/>
    <n v="327"/>
  </r>
  <r>
    <n v="106916"/>
    <s v="Henrico County Police Dept. - VA"/>
    <n v="533"/>
    <n v="500"/>
    <n v="34"/>
    <n v="121"/>
    <n v="58"/>
    <n v="9"/>
    <n v="0.24"/>
    <n v="0.12"/>
    <n v="0.02"/>
    <n v="57"/>
    <x v="0"/>
    <s v="24+ Months"/>
    <x v="1"/>
    <n v="0"/>
    <n v="0"/>
  </r>
  <r>
    <n v="113410"/>
    <s v="Anaheim Police Dept. - CA"/>
    <n v="552"/>
    <n v="457"/>
    <n v="34"/>
    <n v="2301"/>
    <n v="256"/>
    <n v="222"/>
    <n v="5.04"/>
    <n v="0.56000000000000005"/>
    <n v="0.49"/>
    <n v="0"/>
    <x v="0"/>
    <s v="24+ Months"/>
    <x v="1"/>
    <n v="552"/>
    <n v="552"/>
  </r>
  <r>
    <n v="105706"/>
    <s v="Aurora Police Dept. - CO"/>
    <n v="760"/>
    <n v="778"/>
    <n v="34"/>
    <n v="66"/>
    <n v="26"/>
    <n v="20"/>
    <n v="0.08"/>
    <n v="0.03"/>
    <n v="0.03"/>
    <n v="807"/>
    <x v="0"/>
    <s v="24+ Months"/>
    <x v="2"/>
    <n v="0"/>
    <n v="0"/>
  </r>
  <r>
    <n v="166224"/>
    <s v="Moab City Police Dept. - UT"/>
    <n v="22"/>
    <n v="24"/>
    <n v="33"/>
    <n v="9"/>
    <n v="4"/>
    <n v="1"/>
    <n v="0.38"/>
    <n v="0.17"/>
    <n v="0.04"/>
    <n v="7"/>
    <x v="0"/>
    <s v="24+ Months"/>
    <x v="0"/>
    <n v="0"/>
    <n v="0"/>
  </r>
  <r>
    <n v="174235"/>
    <s v="Hampton University Police Dept. - VA"/>
    <n v="44"/>
    <n v="40"/>
    <n v="33"/>
    <n v="23"/>
    <n v="15"/>
    <n v="0"/>
    <n v="0.57999999999999996"/>
    <n v="0.38"/>
    <n v="0"/>
    <n v="22"/>
    <x v="0"/>
    <s v="24+ Months"/>
    <x v="0"/>
    <n v="0"/>
    <n v="0"/>
  </r>
  <r>
    <n v="109806"/>
    <s v="Downers Grove Police Dept. - IL"/>
    <n v="75"/>
    <n v="71"/>
    <n v="33"/>
    <n v="228"/>
    <n v="219"/>
    <n v="219"/>
    <n v="3.21"/>
    <n v="3.08"/>
    <n v="3.08"/>
    <n v="0"/>
    <x v="0"/>
    <s v="24+ Months"/>
    <x v="0"/>
    <n v="75"/>
    <n v="75"/>
  </r>
  <r>
    <n v="109735"/>
    <s v="St. Mary's County Sheriff's Office - MD"/>
    <n v="162"/>
    <n v="166"/>
    <n v="33"/>
    <n v="19"/>
    <n v="19"/>
    <n v="19"/>
    <n v="0.11"/>
    <n v="0.11"/>
    <n v="0.11"/>
    <n v="33"/>
    <x v="0"/>
    <s v="24+ Months"/>
    <x v="1"/>
    <n v="0"/>
    <n v="0"/>
  </r>
  <r>
    <n v="129200"/>
    <s v="Frederick County Sheriff's Office - MD"/>
    <n v="216"/>
    <n v="210"/>
    <n v="33"/>
    <n v="138"/>
    <n v="85"/>
    <n v="8"/>
    <n v="0.66"/>
    <n v="0.4"/>
    <n v="0.04"/>
    <n v="5"/>
    <x v="0"/>
    <s v="24+ Months"/>
    <x v="1"/>
    <n v="0"/>
    <n v="0"/>
  </r>
  <r>
    <n v="303223"/>
    <s v="Michigan Department of Natural Resources"/>
    <n v="247"/>
    <n v="232"/>
    <n v="33"/>
    <n v="745"/>
    <n v="166"/>
    <n v="140"/>
    <n v="3.21"/>
    <n v="0.72"/>
    <n v="0.6"/>
    <n v="36"/>
    <x v="0"/>
    <s v="24+ Months"/>
    <x v="1"/>
    <n v="247"/>
    <n v="247"/>
  </r>
  <r>
    <n v="106509"/>
    <s v="Ontario Police Dept. - CA"/>
    <n v="341"/>
    <n v="330"/>
    <n v="33"/>
    <n v="9"/>
    <n v="10"/>
    <n v="10"/>
    <n v="0.03"/>
    <n v="0.03"/>
    <n v="0.03"/>
    <n v="0"/>
    <x v="0"/>
    <s v="24+ Months"/>
    <x v="1"/>
    <n v="0"/>
    <n v="0"/>
  </r>
  <r>
    <n v="106000"/>
    <s v="Atlanta Police Dept. - GA"/>
    <n v="2337"/>
    <n v="2337"/>
    <n v="33"/>
    <n v="277"/>
    <n v="164"/>
    <n v="134"/>
    <n v="0.12"/>
    <n v="7.0000000000000007E-2"/>
    <n v="0.06"/>
    <n v="0"/>
    <x v="0"/>
    <s v="24+ Months"/>
    <x v="2"/>
    <n v="0"/>
    <n v="0"/>
  </r>
  <r>
    <s v="CA0115604"/>
    <s v="Manitoba First Nations Police Service"/>
    <n v="1"/>
    <n v="57"/>
    <n v="31"/>
    <n v="155"/>
    <n v="67"/>
    <n v="0"/>
    <n v="2.72"/>
    <n v="1.18"/>
    <n v="0"/>
    <n v="24"/>
    <x v="0"/>
    <s v="24+ Months"/>
    <x v="0"/>
    <n v="1"/>
    <n v="1"/>
  </r>
  <r>
    <n v="110771"/>
    <s v="Albany County Sheriff's Office - NY"/>
    <n v="406"/>
    <n v="140"/>
    <n v="31"/>
    <n v="0"/>
    <n v="0"/>
    <n v="0"/>
    <n v="0"/>
    <n v="0"/>
    <n v="0"/>
    <n v="46"/>
    <x v="0"/>
    <s v="24+ Months"/>
    <x v="1"/>
    <n v="0"/>
    <n v="0"/>
  </r>
  <r>
    <n v="106616"/>
    <s v="Elk Grove Village Police Dept. - IL"/>
    <n v="4"/>
    <n v="92"/>
    <n v="30"/>
    <n v="25"/>
    <n v="1"/>
    <n v="1"/>
    <n v="0.27"/>
    <n v="0.01"/>
    <n v="0.01"/>
    <n v="40"/>
    <x v="0"/>
    <s v="24+ Months"/>
    <x v="0"/>
    <n v="0"/>
    <n v="0"/>
  </r>
  <r>
    <n v="293426"/>
    <s v="Tonkawa Police Dept."/>
    <n v="8"/>
    <n v="16"/>
    <n v="30"/>
    <n v="34"/>
    <n v="25"/>
    <n v="0"/>
    <n v="2.13"/>
    <n v="1.56"/>
    <n v="0"/>
    <n v="34"/>
    <x v="0"/>
    <s v="24+ Months"/>
    <x v="0"/>
    <n v="8"/>
    <n v="8"/>
  </r>
  <r>
    <n v="117408"/>
    <s v="Addison Police Department - IL"/>
    <n v="25"/>
    <n v="66"/>
    <n v="30"/>
    <n v="103"/>
    <n v="69"/>
    <n v="0"/>
    <n v="1.58"/>
    <n v="1.06"/>
    <n v="0"/>
    <n v="10"/>
    <x v="0"/>
    <s v="24+ Months"/>
    <x v="0"/>
    <n v="25"/>
    <n v="0"/>
  </r>
  <r>
    <n v="198139"/>
    <s v="Black Mountain Police Dept. - NC"/>
    <n v="25"/>
    <n v="16"/>
    <n v="29"/>
    <n v="12"/>
    <n v="12"/>
    <n v="12"/>
    <n v="0.75"/>
    <n v="0.75"/>
    <n v="0.75"/>
    <n v="4"/>
    <x v="0"/>
    <s v="24+ Months"/>
    <x v="0"/>
    <n v="25"/>
    <n v="0"/>
  </r>
  <r>
    <n v="470672"/>
    <s v="Harris County Constable Pct. 8 - TX"/>
    <n v="73"/>
    <n v="73"/>
    <n v="28"/>
    <n v="156"/>
    <n v="87"/>
    <n v="87"/>
    <n v="2.14"/>
    <n v="1.19"/>
    <n v="1.19"/>
    <n v="0"/>
    <x v="0"/>
    <s v="24+ Months"/>
    <x v="0"/>
    <n v="73"/>
    <n v="73"/>
  </r>
  <r>
    <n v="110673"/>
    <s v="Do√±a Ana County Sheriff's Dept. - NM"/>
    <n v="190"/>
    <n v="150"/>
    <n v="28"/>
    <n v="7"/>
    <n v="9"/>
    <n v="9"/>
    <n v="0.05"/>
    <n v="0.06"/>
    <n v="0.06"/>
    <n v="5"/>
    <x v="0"/>
    <s v="24+ Months"/>
    <x v="1"/>
    <n v="0"/>
    <n v="0"/>
  </r>
  <r>
    <n v="316716"/>
    <s v="BUFFALO CITY POLICE DEPT. - NY"/>
    <n v="724"/>
    <n v="580"/>
    <n v="28"/>
    <n v="229"/>
    <n v="174"/>
    <n v="57"/>
    <n v="0.39"/>
    <n v="0.3"/>
    <n v="0.1"/>
    <n v="1048"/>
    <x v="0"/>
    <s v="24+ Months"/>
    <x v="2"/>
    <n v="0"/>
    <n v="0"/>
  </r>
  <r>
    <n v="108015"/>
    <s v="Birmingham Police Dept. - AL"/>
    <n v="775"/>
    <n v="768"/>
    <n v="28"/>
    <n v="3"/>
    <n v="3"/>
    <n v="0"/>
    <n v="0"/>
    <n v="0"/>
    <n v="0"/>
    <n v="210"/>
    <x v="0"/>
    <s v="24+ Months"/>
    <x v="2"/>
    <n v="0"/>
    <n v="0"/>
  </r>
  <r>
    <n v="135122"/>
    <s v="Anne Arundel County Police Dept. - MD"/>
    <n v="862"/>
    <n v="800"/>
    <n v="28"/>
    <n v="39"/>
    <n v="5"/>
    <n v="1"/>
    <n v="0.05"/>
    <n v="0.01"/>
    <n v="0"/>
    <n v="923"/>
    <x v="0"/>
    <s v="24+ Months"/>
    <x v="2"/>
    <n v="0"/>
    <n v="0"/>
  </r>
  <r>
    <n v="124496"/>
    <s v="Pittsburgh Bureau of Police - PA"/>
    <n v="992"/>
    <n v="900"/>
    <n v="28"/>
    <n v="2105"/>
    <n v="147"/>
    <n v="14"/>
    <n v="2.34"/>
    <n v="0.16"/>
    <n v="0.02"/>
    <n v="858"/>
    <x v="0"/>
    <s v="24+ Months"/>
    <x v="2"/>
    <n v="992"/>
    <n v="992"/>
  </r>
  <r>
    <n v="465304"/>
    <s v="York City School Police Dept - PA"/>
    <n v="18"/>
    <n v="24"/>
    <n v="27"/>
    <n v="33"/>
    <n v="26"/>
    <n v="0"/>
    <n v="1.38"/>
    <n v="1.08"/>
    <n v="0"/>
    <n v="3"/>
    <x v="0"/>
    <s v="24+ Months"/>
    <x v="0"/>
    <n v="18"/>
    <n v="0"/>
  </r>
  <r>
    <n v="204311"/>
    <s v="Stallings Police Department - NC"/>
    <n v="26"/>
    <n v="20"/>
    <n v="27"/>
    <n v="43"/>
    <n v="30"/>
    <n v="2"/>
    <n v="2.15"/>
    <n v="1.5"/>
    <n v="0.1"/>
    <n v="13"/>
    <x v="0"/>
    <s v="24+ Months"/>
    <x v="0"/>
    <n v="26"/>
    <n v="26"/>
  </r>
  <r>
    <n v="119937"/>
    <s v="New Castle County Police Dept. - DE"/>
    <n v="377"/>
    <n v="385"/>
    <n v="27"/>
    <n v="577"/>
    <n v="292"/>
    <n v="263"/>
    <n v="1.5"/>
    <n v="0.76"/>
    <n v="0.68"/>
    <n v="1434"/>
    <x v="0"/>
    <s v="24+ Months"/>
    <x v="1"/>
    <n v="377"/>
    <n v="0"/>
  </r>
  <r>
    <n v="107887"/>
    <s v="Memphis Police Department - TN"/>
    <n v="2281"/>
    <n v="2300"/>
    <n v="27"/>
    <n v="154"/>
    <n v="125"/>
    <n v="2"/>
    <n v="7.0000000000000007E-2"/>
    <n v="0.05"/>
    <n v="0"/>
    <n v="453"/>
    <x v="0"/>
    <s v="24+ Months"/>
    <x v="2"/>
    <n v="0"/>
    <n v="0"/>
  </r>
  <r>
    <n v="106169"/>
    <s v="LOUISIANA STATE PENITENTIARY"/>
    <n v="1"/>
    <n v="20"/>
    <n v="26"/>
    <n v="16"/>
    <n v="0"/>
    <n v="0"/>
    <n v="0.8"/>
    <n v="0"/>
    <n v="0"/>
    <n v="0"/>
    <x v="0"/>
    <s v="24+ Months"/>
    <x v="0"/>
    <n v="0"/>
    <n v="0"/>
  </r>
  <r>
    <n v="126094"/>
    <s v="Old Town Police Dept. - ME"/>
    <n v="36"/>
    <n v="16"/>
    <n v="26"/>
    <n v="52"/>
    <n v="45"/>
    <n v="45"/>
    <n v="1.63"/>
    <n v="1.41"/>
    <n v="1.41"/>
    <n v="12"/>
    <x v="0"/>
    <s v="24+ Months"/>
    <x v="0"/>
    <n v="36"/>
    <n v="0"/>
  </r>
  <r>
    <n v="106516"/>
    <s v="Farmers Branch Police Dept. - TX"/>
    <n v="101"/>
    <n v="80"/>
    <n v="26"/>
    <n v="167"/>
    <n v="33"/>
    <n v="29"/>
    <n v="2.09"/>
    <n v="0.41"/>
    <n v="0.36"/>
    <n v="57"/>
    <x v="0"/>
    <s v="24+ Months"/>
    <x v="0"/>
    <n v="101"/>
    <n v="101"/>
  </r>
  <r>
    <n v="145570"/>
    <s v="Clark County Sheriff's Office - WA"/>
    <n v="189"/>
    <n v="153"/>
    <n v="26"/>
    <n v="8"/>
    <n v="8"/>
    <n v="8"/>
    <n v="0.05"/>
    <n v="0.05"/>
    <n v="0.05"/>
    <n v="15"/>
    <x v="0"/>
    <s v="24+ Months"/>
    <x v="1"/>
    <n v="0"/>
    <n v="0"/>
  </r>
  <r>
    <n v="515162"/>
    <s v="Golden West College Criminal Justice - Training Center"/>
    <n v="6"/>
    <n v="6"/>
    <n v="25"/>
    <n v="1"/>
    <n v="0"/>
    <n v="0"/>
    <n v="0.17"/>
    <n v="0"/>
    <n v="0"/>
    <n v="0"/>
    <x v="0"/>
    <s v="24+ Months"/>
    <x v="0"/>
    <n v="0"/>
    <n v="0"/>
  </r>
  <r>
    <n v="318425"/>
    <s v="Youngsville Police Dept. - LA"/>
    <n v="25"/>
    <n v="40"/>
    <n v="25"/>
    <n v="14"/>
    <n v="0"/>
    <n v="0"/>
    <n v="0.35"/>
    <n v="0"/>
    <n v="0"/>
    <n v="0"/>
    <x v="0"/>
    <s v="24+ Months"/>
    <x v="0"/>
    <n v="0"/>
    <n v="0"/>
  </r>
  <r>
    <n v="112152"/>
    <s v="San Benito County Sheriff's Office - CA"/>
    <n v="60"/>
    <n v="60"/>
    <n v="25"/>
    <n v="57"/>
    <n v="36"/>
    <n v="36"/>
    <n v="0.95"/>
    <n v="0.6"/>
    <n v="0.6"/>
    <n v="4"/>
    <x v="0"/>
    <s v="24+ Months"/>
    <x v="0"/>
    <n v="0"/>
    <n v="0"/>
  </r>
  <r>
    <n v="132066"/>
    <s v="North Richland Hills Police Dept. - TX"/>
    <n v="133"/>
    <n v="140"/>
    <n v="25"/>
    <n v="156"/>
    <n v="91"/>
    <n v="32"/>
    <n v="1.1100000000000001"/>
    <n v="0.65"/>
    <n v="0.23"/>
    <n v="0"/>
    <x v="0"/>
    <s v="24+ Months"/>
    <x v="1"/>
    <n v="0"/>
    <n v="0"/>
  </r>
  <r>
    <n v="118223"/>
    <s v="Lynchburg Police Department - VA"/>
    <n v="183"/>
    <n v="186"/>
    <n v="25"/>
    <n v="284"/>
    <n v="275"/>
    <n v="5"/>
    <n v="1.53"/>
    <n v="1.48"/>
    <n v="0.03"/>
    <n v="0"/>
    <x v="0"/>
    <s v="24+ Months"/>
    <x v="1"/>
    <n v="183"/>
    <n v="0"/>
  </r>
  <r>
    <n v="164536"/>
    <s v="Erie Police Dept. - PA"/>
    <n v="196"/>
    <n v="195"/>
    <n v="25"/>
    <n v="67"/>
    <n v="8"/>
    <n v="2"/>
    <n v="0.34"/>
    <n v="0.04"/>
    <n v="0.01"/>
    <n v="7"/>
    <x v="0"/>
    <s v="24+ Months"/>
    <x v="1"/>
    <n v="0"/>
    <n v="0"/>
  </r>
  <r>
    <n v="107794"/>
    <s v="Metropolitan Transit Authority of Harris County - TX"/>
    <n v="250"/>
    <n v="274"/>
    <n v="25"/>
    <n v="741"/>
    <n v="433"/>
    <n v="93"/>
    <n v="2.7"/>
    <n v="1.58"/>
    <n v="0.34"/>
    <n v="0"/>
    <x v="0"/>
    <s v="24+ Months"/>
    <x v="1"/>
    <n v="250"/>
    <n v="250"/>
  </r>
  <r>
    <n v="109229"/>
    <s v="Greenville Police Dept. - SC"/>
    <n v="285"/>
    <n v="228"/>
    <n v="25"/>
    <n v="93"/>
    <n v="11"/>
    <n v="0"/>
    <n v="0.41"/>
    <n v="0.05"/>
    <n v="0"/>
    <n v="135"/>
    <x v="0"/>
    <s v="24+ Months"/>
    <x v="1"/>
    <n v="0"/>
    <n v="0"/>
  </r>
  <r>
    <n v="106603"/>
    <s v="Bernalillo County Sheriff's Dept. - NM"/>
    <n v="378"/>
    <n v="577"/>
    <n v="25"/>
    <n v="26"/>
    <n v="26"/>
    <n v="26"/>
    <n v="0.04"/>
    <n v="0.04"/>
    <n v="0.04"/>
    <n v="33"/>
    <x v="0"/>
    <s v="24+ Months"/>
    <x v="2"/>
    <n v="0"/>
    <n v="0"/>
  </r>
  <r>
    <n v="109265"/>
    <s v="Arlington Police Dept. - VA"/>
    <n v="445"/>
    <n v="300"/>
    <n v="25"/>
    <n v="126"/>
    <n v="126"/>
    <n v="92"/>
    <n v="0.42"/>
    <n v="0.42"/>
    <n v="0.31"/>
    <n v="0"/>
    <x v="0"/>
    <s v="24+ Months"/>
    <x v="1"/>
    <n v="0"/>
    <n v="0"/>
  </r>
  <r>
    <n v="110318"/>
    <s v="Volusia Sheriff's Office - FL"/>
    <n v="533"/>
    <n v="312"/>
    <n v="25"/>
    <n v="89"/>
    <n v="19"/>
    <n v="5"/>
    <n v="0.28999999999999998"/>
    <n v="0.06"/>
    <n v="0.02"/>
    <n v="0"/>
    <x v="0"/>
    <s v="24+ Months"/>
    <x v="1"/>
    <n v="0"/>
    <n v="0"/>
  </r>
  <r>
    <n v="112129"/>
    <s v="Leon County Sheriff's Dept. - FL"/>
    <n v="538"/>
    <n v="473"/>
    <n v="25"/>
    <n v="875"/>
    <n v="334"/>
    <n v="334"/>
    <n v="1.85"/>
    <n v="0.71"/>
    <n v="0.71"/>
    <n v="40"/>
    <x v="0"/>
    <s v="24+ Months"/>
    <x v="1"/>
    <n v="0"/>
    <n v="0"/>
  </r>
  <r>
    <n v="107750"/>
    <s v="New Mexico Dept. of Public Safety - NM"/>
    <n v="745"/>
    <n v="715"/>
    <n v="25"/>
    <n v="2181"/>
    <n v="119"/>
    <n v="89"/>
    <n v="3.05"/>
    <n v="0.17"/>
    <n v="0.12"/>
    <n v="236"/>
    <x v="0"/>
    <s v="24+ Months"/>
    <x v="2"/>
    <n v="745"/>
    <n v="745"/>
  </r>
  <r>
    <n v="106774"/>
    <s v="Tucson Police Dept - AZ"/>
    <n v="1018"/>
    <n v="998"/>
    <n v="25"/>
    <n v="189"/>
    <n v="104"/>
    <n v="73"/>
    <n v="0.19"/>
    <n v="0.1"/>
    <n v="7.0000000000000007E-2"/>
    <n v="85"/>
    <x v="0"/>
    <s v="24+ Months"/>
    <x v="2"/>
    <n v="0"/>
    <n v="0"/>
  </r>
  <r>
    <n v="210852"/>
    <s v="Liberty Hill Police Dept. - TX"/>
    <n v="21"/>
    <n v="24"/>
    <n v="24"/>
    <n v="14"/>
    <n v="5"/>
    <n v="0"/>
    <n v="0.57999999999999996"/>
    <n v="0.21"/>
    <n v="0"/>
    <n v="0"/>
    <x v="1"/>
    <s v="24+ Months"/>
    <x v="0"/>
    <n v="0"/>
    <n v="0"/>
  </r>
  <r>
    <n v="365837"/>
    <s v="Ohio Dept of Natural Resources - OH"/>
    <n v="23"/>
    <n v="23"/>
    <n v="24"/>
    <n v="536"/>
    <n v="253"/>
    <n v="228"/>
    <n v="23.3"/>
    <n v="11"/>
    <n v="9.91"/>
    <n v="12"/>
    <x v="1"/>
    <s v="24+ Months"/>
    <x v="0"/>
    <n v="23"/>
    <n v="23"/>
  </r>
  <r>
    <n v="108003"/>
    <s v="East Bay Regional Park Police Dept. - CA"/>
    <n v="79"/>
    <n v="75"/>
    <n v="24"/>
    <n v="72"/>
    <n v="19"/>
    <n v="16"/>
    <n v="0.96"/>
    <n v="0.25"/>
    <n v="0.21"/>
    <n v="0"/>
    <x v="1"/>
    <s v="24+ Months"/>
    <x v="0"/>
    <n v="0"/>
    <n v="0"/>
  </r>
  <r>
    <n v="542050"/>
    <s v="Johns Hopkins University Police Dept. - MD"/>
    <n v="101"/>
    <n v="100"/>
    <n v="24"/>
    <n v="38"/>
    <n v="26"/>
    <n v="26"/>
    <n v="0.38"/>
    <n v="0.26"/>
    <n v="0.26"/>
    <n v="10"/>
    <x v="1"/>
    <s v="24+ Months"/>
    <x v="1"/>
    <n v="0"/>
    <n v="0"/>
  </r>
  <r>
    <n v="110479"/>
    <s v="San Marcos Police Dept. - TX"/>
    <n v="103"/>
    <n v="170"/>
    <n v="24"/>
    <n v="12"/>
    <n v="0"/>
    <n v="0"/>
    <n v="7.0000000000000007E-2"/>
    <n v="0"/>
    <n v="0"/>
    <n v="120"/>
    <x v="1"/>
    <s v="24+ Months"/>
    <x v="1"/>
    <n v="0"/>
    <n v="0"/>
  </r>
  <r>
    <n v="109686"/>
    <s v="Surprise Police Dept. - AZ"/>
    <n v="165"/>
    <n v="186"/>
    <n v="24"/>
    <n v="4"/>
    <n v="0"/>
    <n v="0"/>
    <n v="0.02"/>
    <n v="0"/>
    <n v="0"/>
    <n v="0"/>
    <x v="1"/>
    <s v="24+ Months"/>
    <x v="1"/>
    <n v="0"/>
    <n v="0"/>
  </r>
  <r>
    <n v="112375"/>
    <s v="DuPage County Sheriff's Office"/>
    <n v="189"/>
    <n v="174"/>
    <n v="24"/>
    <n v="168"/>
    <n v="148"/>
    <n v="71"/>
    <n v="0.97"/>
    <n v="0.85"/>
    <n v="0.41"/>
    <n v="2"/>
    <x v="1"/>
    <s v="24+ Months"/>
    <x v="1"/>
    <n v="189"/>
    <n v="0"/>
  </r>
  <r>
    <n v="146835"/>
    <s v="Davie Police Dept - FL"/>
    <n v="198"/>
    <n v="210"/>
    <n v="24"/>
    <n v="46"/>
    <n v="7"/>
    <n v="4"/>
    <n v="0.22"/>
    <n v="0.03"/>
    <n v="0.02"/>
    <n v="28"/>
    <x v="1"/>
    <s v="24+ Months"/>
    <x v="1"/>
    <n v="0"/>
    <n v="0"/>
  </r>
  <r>
    <n v="532247"/>
    <s v="National Commissioner of the Icelandic Police"/>
    <n v="703"/>
    <n v="480"/>
    <n v="24"/>
    <n v="681"/>
    <n v="362"/>
    <n v="327"/>
    <n v="1.42"/>
    <n v="0.75"/>
    <n v="0.68"/>
    <n v="6"/>
    <x v="1"/>
    <s v="24+ Months"/>
    <x v="1"/>
    <n v="703"/>
    <n v="0"/>
  </r>
  <r>
    <n v="319013"/>
    <s v="Crockett Police Dept. - TX"/>
    <n v="16"/>
    <n v="16"/>
    <n v="23"/>
    <n v="0"/>
    <n v="0"/>
    <n v="0"/>
    <n v="0"/>
    <n v="0"/>
    <n v="0"/>
    <n v="0"/>
    <x v="1"/>
    <s v="24+ Months"/>
    <x v="0"/>
    <n v="0"/>
    <n v="0"/>
  </r>
  <r>
    <n v="309455"/>
    <s v="Moniteau County Sheriff's Dept. - MO"/>
    <n v="40"/>
    <n v="10"/>
    <n v="23"/>
    <n v="1"/>
    <n v="1"/>
    <n v="1"/>
    <n v="0.1"/>
    <n v="0.1"/>
    <n v="0.1"/>
    <n v="2"/>
    <x v="1"/>
    <s v="24+ Months"/>
    <x v="0"/>
    <n v="0"/>
    <n v="0"/>
  </r>
  <r>
    <n v="128688"/>
    <s v="Napa Police Dept. - CA"/>
    <n v="89"/>
    <n v="89"/>
    <n v="23"/>
    <n v="11"/>
    <n v="11"/>
    <n v="0"/>
    <n v="0.12"/>
    <n v="0.12"/>
    <n v="0"/>
    <n v="0"/>
    <x v="1"/>
    <s v="24+ Months"/>
    <x v="0"/>
    <n v="0"/>
    <n v="0"/>
  </r>
  <r>
    <n v="137813"/>
    <s v="Bellevue Police Dept. - WA"/>
    <n v="274"/>
    <n v="220"/>
    <n v="23"/>
    <n v="41"/>
    <n v="10"/>
    <n v="0"/>
    <n v="0.19"/>
    <n v="0.05"/>
    <n v="0"/>
    <n v="37"/>
    <x v="1"/>
    <s v="24+ Months"/>
    <x v="1"/>
    <n v="0"/>
    <n v="0"/>
  </r>
  <r>
    <n v="175721"/>
    <s v="Boston Police Dept. - MA"/>
    <n v="2200"/>
    <n v="1570"/>
    <n v="23"/>
    <n v="2726"/>
    <n v="1271"/>
    <n v="367"/>
    <n v="1.74"/>
    <n v="0.81"/>
    <n v="0.23"/>
    <n v="792"/>
    <x v="1"/>
    <s v="24+ Months"/>
    <x v="2"/>
    <n v="2200"/>
    <n v="2200"/>
  </r>
  <r>
    <n v="480485"/>
    <s v="Cotter Police Dept. - AR"/>
    <n v="4"/>
    <n v="4"/>
    <n v="22"/>
    <n v="4"/>
    <n v="2"/>
    <n v="0"/>
    <n v="1"/>
    <n v="0.5"/>
    <n v="0"/>
    <n v="2"/>
    <x v="1"/>
    <s v="24+ Months"/>
    <x v="0"/>
    <n v="0"/>
    <n v="0"/>
  </r>
  <r>
    <n v="130140"/>
    <s v="Orofino Police Dept - ID"/>
    <n v="7"/>
    <n v="7"/>
    <n v="22"/>
    <n v="10"/>
    <n v="10"/>
    <n v="0"/>
    <n v="1.43"/>
    <n v="1.43"/>
    <n v="0"/>
    <n v="3"/>
    <x v="1"/>
    <s v="24+ Months"/>
    <x v="0"/>
    <n v="7"/>
    <n v="0"/>
  </r>
  <r>
    <n v="277916"/>
    <s v="Fenwick Island Police Dept. - DE"/>
    <n v="7"/>
    <n v="7"/>
    <n v="22"/>
    <n v="0"/>
    <n v="0"/>
    <n v="0"/>
    <n v="0"/>
    <n v="0"/>
    <n v="0"/>
    <n v="0"/>
    <x v="1"/>
    <s v="24+ Months"/>
    <x v="0"/>
    <n v="0"/>
    <n v="0"/>
  </r>
  <r>
    <n v="474623"/>
    <s v="Nevada Dept of Motor Vehicles"/>
    <n v="16"/>
    <n v="31"/>
    <n v="22"/>
    <n v="173"/>
    <n v="76"/>
    <n v="38"/>
    <n v="5.58"/>
    <n v="2.4500000000000002"/>
    <n v="1.23"/>
    <n v="12"/>
    <x v="1"/>
    <s v="24+ Months"/>
    <x v="0"/>
    <n v="16"/>
    <n v="16"/>
  </r>
  <r>
    <n v="110380"/>
    <s v="Germantown Police Department - WI"/>
    <n v="36"/>
    <n v="43"/>
    <n v="22"/>
    <n v="20"/>
    <n v="20"/>
    <n v="11"/>
    <n v="0.47"/>
    <n v="0.47"/>
    <n v="0.26"/>
    <n v="20"/>
    <x v="1"/>
    <s v="24+ Months"/>
    <x v="0"/>
    <n v="0"/>
    <n v="0"/>
  </r>
  <r>
    <n v="328079"/>
    <s v="Detroit Police Dept. - MI"/>
    <n v="96"/>
    <n v="2700"/>
    <n v="22"/>
    <n v="1504"/>
    <n v="218"/>
    <n v="50"/>
    <n v="0.56000000000000005"/>
    <n v="0.08"/>
    <n v="0.02"/>
    <n v="113"/>
    <x v="1"/>
    <s v="24+ Months"/>
    <x v="2"/>
    <n v="0"/>
    <n v="0"/>
  </r>
  <r>
    <n v="108237"/>
    <s v="Pueblo County Sheriff's Office - CO"/>
    <n v="131"/>
    <n v="111"/>
    <n v="22"/>
    <n v="445"/>
    <n v="202"/>
    <n v="74"/>
    <n v="4.01"/>
    <n v="1.82"/>
    <n v="0.67"/>
    <n v="70"/>
    <x v="1"/>
    <s v="24+ Months"/>
    <x v="1"/>
    <n v="131"/>
    <n v="131"/>
  </r>
  <r>
    <n v="115965"/>
    <s v="Framingham Police Department - MA"/>
    <n v="151"/>
    <n v="140"/>
    <n v="22"/>
    <n v="0"/>
    <n v="0"/>
    <n v="0"/>
    <n v="0"/>
    <n v="0"/>
    <n v="0"/>
    <n v="2"/>
    <x v="1"/>
    <s v="24+ Months"/>
    <x v="1"/>
    <n v="0"/>
    <n v="0"/>
  </r>
  <r>
    <n v="150938"/>
    <s v="Suffolk Police Dept. - VA"/>
    <n v="185"/>
    <n v="230"/>
    <n v="22"/>
    <n v="359"/>
    <n v="145"/>
    <n v="55"/>
    <n v="1.56"/>
    <n v="0.63"/>
    <n v="0.24"/>
    <n v="162"/>
    <x v="1"/>
    <s v="24+ Months"/>
    <x v="1"/>
    <n v="0"/>
    <n v="0"/>
  </r>
  <r>
    <n v="109291"/>
    <s v="Boulder Police Dept. - CO"/>
    <n v="210"/>
    <n v="200"/>
    <n v="22"/>
    <n v="1070"/>
    <n v="1051"/>
    <n v="1051"/>
    <n v="5.35"/>
    <n v="5.26"/>
    <n v="5.26"/>
    <n v="1"/>
    <x v="1"/>
    <s v="24+ Months"/>
    <x v="1"/>
    <n v="210"/>
    <n v="210"/>
  </r>
  <r>
    <n v="114873"/>
    <s v="Hayward Police Dept. - CA"/>
    <n v="216"/>
    <n v="216"/>
    <n v="22"/>
    <n v="19"/>
    <n v="0"/>
    <n v="0"/>
    <n v="0.09"/>
    <n v="0"/>
    <n v="0"/>
    <n v="4"/>
    <x v="1"/>
    <s v="24+ Months"/>
    <x v="1"/>
    <n v="0"/>
    <n v="0"/>
  </r>
  <r>
    <n v="113599"/>
    <s v="City of Wichita Police Department"/>
    <n v="655"/>
    <n v="650"/>
    <n v="22"/>
    <n v="2551"/>
    <n v="1474"/>
    <n v="749"/>
    <n v="3.92"/>
    <n v="2.27"/>
    <n v="1.1499999999999999"/>
    <n v="48"/>
    <x v="1"/>
    <s v="24+ Months"/>
    <x v="2"/>
    <n v="655"/>
    <n v="655"/>
  </r>
  <r>
    <n v="132232"/>
    <s v="Howard County Police Dept. - MD"/>
    <n v="1012"/>
    <n v="499"/>
    <n v="22"/>
    <n v="234"/>
    <n v="108"/>
    <n v="24"/>
    <n v="0.47"/>
    <n v="0.22"/>
    <n v="0.05"/>
    <n v="141"/>
    <x v="1"/>
    <s v="24+ Months"/>
    <x v="1"/>
    <n v="0"/>
    <n v="0"/>
  </r>
  <r>
    <n v="106155"/>
    <s v="Phoenix Police Dept. - AZ"/>
    <n v="3183"/>
    <n v="2850"/>
    <n v="22"/>
    <n v="1210"/>
    <n v="987"/>
    <n v="0"/>
    <n v="0.42"/>
    <n v="0.35"/>
    <n v="0"/>
    <n v="0"/>
    <x v="1"/>
    <s v="24+ Months"/>
    <x v="2"/>
    <n v="0"/>
    <n v="0"/>
  </r>
  <r>
    <n v="485188"/>
    <s v="Eastville Police Department - VA"/>
    <n v="1"/>
    <n v="6"/>
    <n v="21"/>
    <n v="0"/>
    <n v="0"/>
    <n v="0"/>
    <n v="0"/>
    <n v="0"/>
    <n v="0"/>
    <n v="0"/>
    <x v="1"/>
    <s v="24+ Months"/>
    <x v="0"/>
    <n v="0"/>
    <n v="0"/>
  </r>
  <r>
    <n v="109762"/>
    <s v="Mauston Police Department - WI"/>
    <n v="10"/>
    <n v="10"/>
    <n v="21"/>
    <n v="9"/>
    <n v="0"/>
    <n v="0"/>
    <n v="0.9"/>
    <n v="0"/>
    <n v="0"/>
    <n v="0"/>
    <x v="1"/>
    <s v="24+ Months"/>
    <x v="0"/>
    <n v="0"/>
    <n v="0"/>
  </r>
  <r>
    <n v="127119"/>
    <s v="Castle Shannon Police Dept. - PA"/>
    <n v="14"/>
    <n v="14"/>
    <n v="21"/>
    <n v="144"/>
    <n v="85"/>
    <n v="71"/>
    <n v="10.29"/>
    <n v="6.07"/>
    <n v="5.07"/>
    <n v="21"/>
    <x v="1"/>
    <s v="24+ Months"/>
    <x v="0"/>
    <n v="14"/>
    <n v="14"/>
  </r>
  <r>
    <n v="478423"/>
    <s v="Orange Police Dept. - MA"/>
    <n v="14"/>
    <n v="14"/>
    <n v="21"/>
    <n v="0"/>
    <n v="0"/>
    <n v="0"/>
    <n v="0"/>
    <n v="0"/>
    <n v="0"/>
    <n v="0"/>
    <x v="1"/>
    <s v="24+ Months"/>
    <x v="0"/>
    <n v="0"/>
    <n v="0"/>
  </r>
  <r>
    <n v="115809"/>
    <s v="Mount Horeb Police Department"/>
    <n v="15"/>
    <n v="15"/>
    <n v="21"/>
    <n v="3"/>
    <n v="0"/>
    <n v="0"/>
    <n v="0.2"/>
    <n v="0"/>
    <n v="0"/>
    <n v="0"/>
    <x v="1"/>
    <s v="24+ Months"/>
    <x v="0"/>
    <n v="0"/>
    <n v="0"/>
  </r>
  <r>
    <n v="491098"/>
    <s v="Atlanta Technical College Police Dept.- GA"/>
    <n v="15"/>
    <n v="15"/>
    <n v="21"/>
    <n v="10"/>
    <n v="4"/>
    <n v="1"/>
    <n v="0.67"/>
    <n v="0.27"/>
    <n v="7.0000000000000007E-2"/>
    <n v="0"/>
    <x v="1"/>
    <s v="24+ Months"/>
    <x v="0"/>
    <n v="0"/>
    <n v="0"/>
  </r>
  <r>
    <n v="112630"/>
    <s v="Clay Twp. Police Dept. - MI"/>
    <n v="20"/>
    <n v="20"/>
    <n v="21"/>
    <n v="13"/>
    <n v="13"/>
    <n v="6"/>
    <n v="0.65"/>
    <n v="0.65"/>
    <n v="0.3"/>
    <n v="0"/>
    <x v="1"/>
    <s v="24+ Months"/>
    <x v="0"/>
    <n v="0"/>
    <n v="0"/>
  </r>
  <r>
    <n v="481940"/>
    <s v="DuBois City Police Department - PA"/>
    <n v="23"/>
    <n v="24"/>
    <n v="21"/>
    <n v="0"/>
    <n v="0"/>
    <n v="0"/>
    <n v="0"/>
    <n v="0"/>
    <n v="0"/>
    <n v="0"/>
    <x v="1"/>
    <s v="24+ Months"/>
    <x v="0"/>
    <n v="0"/>
    <n v="0"/>
  </r>
  <r>
    <n v="106950"/>
    <s v="Hurricane Police Department - UT"/>
    <n v="30"/>
    <n v="35"/>
    <n v="21"/>
    <n v="35"/>
    <n v="20"/>
    <n v="8"/>
    <n v="1"/>
    <n v="0.56999999999999995"/>
    <n v="0.23"/>
    <n v="5"/>
    <x v="1"/>
    <s v="24+ Months"/>
    <x v="0"/>
    <n v="0"/>
    <n v="0"/>
  </r>
  <r>
    <n v="114564"/>
    <s v="Melissa Police Dept. - TX"/>
    <n v="30"/>
    <n v="32"/>
    <n v="21"/>
    <n v="97"/>
    <n v="97"/>
    <n v="96"/>
    <n v="3.03"/>
    <n v="3.03"/>
    <n v="3"/>
    <n v="4"/>
    <x v="1"/>
    <s v="24+ Months"/>
    <x v="0"/>
    <n v="30"/>
    <n v="30"/>
  </r>
  <r>
    <n v="442850"/>
    <s v="Crawford County Sheriff's Office - KS"/>
    <n v="36"/>
    <n v="51"/>
    <n v="21"/>
    <n v="20"/>
    <n v="19"/>
    <n v="19"/>
    <n v="0.39"/>
    <n v="0.37"/>
    <n v="0.37"/>
    <n v="0"/>
    <x v="1"/>
    <s v="24+ Months"/>
    <x v="0"/>
    <n v="0"/>
    <n v="0"/>
  </r>
  <r>
    <n v="112348"/>
    <s v="Orleans County Sheriff's Dept. - NY"/>
    <n v="40"/>
    <n v="40"/>
    <n v="21"/>
    <n v="24"/>
    <n v="16"/>
    <n v="6"/>
    <n v="0.6"/>
    <n v="0.4"/>
    <n v="0.15"/>
    <n v="2"/>
    <x v="1"/>
    <s v="24+ Months"/>
    <x v="0"/>
    <n v="0"/>
    <n v="0"/>
  </r>
  <r>
    <n v="512912"/>
    <s v="Louisville Police Department - CO"/>
    <n v="40"/>
    <n v="40"/>
    <n v="21"/>
    <n v="54"/>
    <n v="38"/>
    <n v="0"/>
    <n v="1.35"/>
    <n v="0.95"/>
    <n v="0"/>
    <n v="52"/>
    <x v="1"/>
    <s v="24+ Months"/>
    <x v="0"/>
    <n v="40"/>
    <n v="0"/>
  </r>
  <r>
    <n v="109892"/>
    <s v="Oswego City Police Dept. - NY"/>
    <n v="51"/>
    <n v="54"/>
    <n v="21"/>
    <n v="34"/>
    <n v="6"/>
    <n v="0"/>
    <n v="0.63"/>
    <n v="0.11"/>
    <n v="0"/>
    <n v="0"/>
    <x v="1"/>
    <s v="24+ Months"/>
    <x v="0"/>
    <n v="0"/>
    <n v="0"/>
  </r>
  <r>
    <n v="479807"/>
    <s v="El Dorado County Probation Dept. - CA"/>
    <n v="63"/>
    <n v="60"/>
    <n v="21"/>
    <n v="30"/>
    <n v="30"/>
    <n v="0"/>
    <n v="0.5"/>
    <n v="0.5"/>
    <n v="0"/>
    <n v="0"/>
    <x v="1"/>
    <s v="24+ Months"/>
    <x v="0"/>
    <n v="0"/>
    <n v="0"/>
  </r>
  <r>
    <n v="216820"/>
    <s v="Grapevine Police Dept. - TX"/>
    <n v="100"/>
    <n v="115"/>
    <n v="21"/>
    <n v="254"/>
    <n v="220"/>
    <n v="196"/>
    <n v="2.21"/>
    <n v="1.91"/>
    <n v="1.7"/>
    <n v="4"/>
    <x v="1"/>
    <s v="24+ Months"/>
    <x v="1"/>
    <n v="100"/>
    <n v="100"/>
  </r>
  <r>
    <s v="CA0115746"/>
    <s v="CPKC Railway Police Service"/>
    <n v="105"/>
    <n v="42"/>
    <n v="21"/>
    <n v="181"/>
    <n v="135"/>
    <n v="82"/>
    <n v="4.3099999999999996"/>
    <n v="3.21"/>
    <n v="1.95"/>
    <n v="0"/>
    <x v="1"/>
    <s v="24+ Months"/>
    <x v="0"/>
    <n v="105"/>
    <n v="105"/>
  </r>
  <r>
    <n v="113399"/>
    <s v="Cheektowaga Police Dept - NY"/>
    <n v="125"/>
    <n v="100"/>
    <n v="21"/>
    <n v="139"/>
    <n v="139"/>
    <n v="122"/>
    <n v="1.39"/>
    <n v="1.39"/>
    <n v="1.22"/>
    <n v="8"/>
    <x v="1"/>
    <s v="24+ Months"/>
    <x v="1"/>
    <n v="125"/>
    <n v="0"/>
  </r>
  <r>
    <n v="105754"/>
    <s v="Corona Police Dept. - CA"/>
    <n v="228"/>
    <n v="166"/>
    <n v="21"/>
    <n v="0"/>
    <n v="0"/>
    <n v="0"/>
    <n v="0"/>
    <n v="0"/>
    <n v="0"/>
    <n v="0"/>
    <x v="1"/>
    <s v="24+ Months"/>
    <x v="1"/>
    <n v="0"/>
    <n v="0"/>
  </r>
  <r>
    <n v="511036"/>
    <s v="Will County Sheriff Office Enforcement - IL"/>
    <n v="231"/>
    <n v="240"/>
    <n v="21"/>
    <n v="1056"/>
    <n v="1037"/>
    <n v="43"/>
    <n v="4.4000000000000004"/>
    <n v="4.32"/>
    <n v="0.18"/>
    <n v="10"/>
    <x v="1"/>
    <s v="24+ Months"/>
    <x v="1"/>
    <n v="231"/>
    <n v="231"/>
  </r>
  <r>
    <n v="113387"/>
    <s v="Modesto Police Dept. - CA"/>
    <n v="267"/>
    <n v="255"/>
    <n v="21"/>
    <n v="2"/>
    <n v="0"/>
    <n v="0"/>
    <n v="0.01"/>
    <n v="0"/>
    <n v="0"/>
    <n v="9"/>
    <x v="1"/>
    <s v="24+ Months"/>
    <x v="1"/>
    <n v="0"/>
    <n v="0"/>
  </r>
  <r>
    <n v="106297"/>
    <s v="Springfield Police Department - MO"/>
    <n v="296"/>
    <n v="235"/>
    <n v="21"/>
    <n v="523"/>
    <n v="26"/>
    <n v="0"/>
    <n v="2.23"/>
    <n v="0.11"/>
    <n v="0"/>
    <n v="136"/>
    <x v="1"/>
    <s v="24+ Months"/>
    <x v="1"/>
    <n v="296"/>
    <n v="296"/>
  </r>
  <r>
    <n v="141269"/>
    <s v="Grand Rapids Police Dept. - MI"/>
    <n v="314"/>
    <n v="300"/>
    <n v="21"/>
    <n v="962"/>
    <n v="24"/>
    <n v="15"/>
    <n v="3.21"/>
    <n v="0.08"/>
    <n v="0.05"/>
    <n v="3"/>
    <x v="1"/>
    <s v="24+ Months"/>
    <x v="1"/>
    <n v="314"/>
    <n v="314"/>
  </r>
  <r>
    <n v="115314"/>
    <s v="Jefferson County Sheriff's Office - AL"/>
    <n v="487"/>
    <n v="450"/>
    <n v="21"/>
    <n v="802"/>
    <n v="347"/>
    <n v="305"/>
    <n v="1.78"/>
    <n v="0.77"/>
    <n v="0.68"/>
    <n v="0"/>
    <x v="1"/>
    <s v="24+ Months"/>
    <x v="1"/>
    <n v="487"/>
    <n v="0"/>
  </r>
  <r>
    <n v="112474"/>
    <s v="Pinellas County Sheriff's Office - FL"/>
    <n v="950"/>
    <n v="1110"/>
    <n v="21"/>
    <n v="1647"/>
    <n v="1048"/>
    <n v="529"/>
    <n v="1.48"/>
    <n v="0.94"/>
    <n v="0.48"/>
    <n v="1331"/>
    <x v="1"/>
    <s v="24+ Months"/>
    <x v="2"/>
    <n v="950"/>
    <n v="950"/>
  </r>
  <r>
    <n v="305270"/>
    <s v="Tilden Twp Police Dept. - PA"/>
    <n v="4"/>
    <n v="4"/>
    <n v="20"/>
    <n v="0"/>
    <n v="0"/>
    <n v="0"/>
    <n v="0"/>
    <n v="0"/>
    <n v="0"/>
    <n v="0"/>
    <x v="1"/>
    <s v="24+ Months"/>
    <x v="0"/>
    <n v="0"/>
    <n v="0"/>
  </r>
  <r>
    <n v="153711"/>
    <s v="Justin Police Dept. - TX"/>
    <n v="15"/>
    <n v="16"/>
    <n v="20"/>
    <n v="1"/>
    <n v="0"/>
    <n v="0"/>
    <n v="0.06"/>
    <n v="0"/>
    <n v="0"/>
    <n v="0"/>
    <x v="1"/>
    <s v="24+ Months"/>
    <x v="0"/>
    <n v="0"/>
    <n v="0"/>
  </r>
  <r>
    <n v="543347"/>
    <s v="CSX Railroad Police - FL"/>
    <n v="28"/>
    <n v="104"/>
    <n v="20"/>
    <n v="80"/>
    <n v="38"/>
    <n v="0"/>
    <n v="0.77"/>
    <n v="0.37"/>
    <n v="0"/>
    <n v="0"/>
    <x v="1"/>
    <s v="24+ Months"/>
    <x v="1"/>
    <n v="0"/>
    <n v="0"/>
  </r>
  <r>
    <n v="106273"/>
    <s v="Waushara County Sheriff's Office  - WI"/>
    <n v="30"/>
    <n v="30"/>
    <n v="20"/>
    <n v="190"/>
    <n v="99"/>
    <n v="68"/>
    <n v="6.33"/>
    <n v="3.3"/>
    <n v="2.27"/>
    <n v="2"/>
    <x v="1"/>
    <s v="24+ Months"/>
    <x v="0"/>
    <n v="30"/>
    <n v="30"/>
  </r>
  <r>
    <n v="458279"/>
    <s v="Chesapeake Bay Bridge-Tunnel Police Dept. - VA"/>
    <n v="30"/>
    <n v="30"/>
    <n v="20"/>
    <n v="0"/>
    <n v="0"/>
    <n v="0"/>
    <n v="0"/>
    <n v="0"/>
    <n v="0"/>
    <n v="0"/>
    <x v="1"/>
    <s v="24+ Months"/>
    <x v="0"/>
    <n v="0"/>
    <n v="0"/>
  </r>
  <r>
    <n v="145461"/>
    <s v="Mauldin Police Dept. - SC"/>
    <n v="54"/>
    <n v="59"/>
    <n v="20"/>
    <n v="196"/>
    <n v="180"/>
    <n v="0"/>
    <n v="3.06"/>
    <n v="2.81"/>
    <n v="0"/>
    <n v="159"/>
    <x v="1"/>
    <s v="24+ Months"/>
    <x v="0"/>
    <n v="54"/>
    <n v="54"/>
  </r>
  <r>
    <n v="110360"/>
    <s v="Tracy Police Dept. - CA"/>
    <n v="85"/>
    <n v="133"/>
    <n v="20"/>
    <n v="49"/>
    <n v="3"/>
    <n v="0"/>
    <n v="0.37"/>
    <n v="0.02"/>
    <n v="0"/>
    <n v="2"/>
    <x v="1"/>
    <s v="24+ Months"/>
    <x v="1"/>
    <n v="0"/>
    <n v="0"/>
  </r>
  <r>
    <n v="110737"/>
    <s v="Farmington Hills Police Dept. - MI"/>
    <n v="138"/>
    <n v="120"/>
    <n v="20"/>
    <n v="0"/>
    <n v="0"/>
    <n v="0"/>
    <n v="0"/>
    <n v="0"/>
    <n v="0"/>
    <n v="0"/>
    <x v="1"/>
    <s v="24+ Months"/>
    <x v="1"/>
    <n v="0"/>
    <n v="0"/>
  </r>
  <r>
    <n v="138516"/>
    <s v="North Port Police Dept. - FL"/>
    <n v="140"/>
    <n v="158"/>
    <n v="20"/>
    <n v="298"/>
    <n v="267"/>
    <n v="218"/>
    <n v="1.77"/>
    <n v="1.59"/>
    <n v="1.3"/>
    <n v="0"/>
    <x v="1"/>
    <s v="24+ Months"/>
    <x v="1"/>
    <n v="140"/>
    <n v="0"/>
  </r>
  <r>
    <n v="107993"/>
    <s v="Meridian Police Dept. - ID"/>
    <n v="157"/>
    <n v="151"/>
    <n v="20"/>
    <n v="523"/>
    <n v="291"/>
    <n v="290"/>
    <n v="3.46"/>
    <n v="1.93"/>
    <n v="1.92"/>
    <n v="7"/>
    <x v="1"/>
    <s v="24+ Months"/>
    <x v="1"/>
    <n v="157"/>
    <n v="157"/>
  </r>
  <r>
    <n v="113228"/>
    <s v="San Mateo County Sheriff's Office - HQ"/>
    <n v="580"/>
    <n v="645"/>
    <n v="20"/>
    <n v="0"/>
    <n v="0"/>
    <n v="0"/>
    <n v="0"/>
    <n v="0"/>
    <n v="0"/>
    <n v="0"/>
    <x v="1"/>
    <s v="24+ Months"/>
    <x v="2"/>
    <n v="0"/>
    <n v="0"/>
  </r>
  <r>
    <n v="322638"/>
    <s v="South Dakota Highway Patrol - SD"/>
    <n v="10"/>
    <n v="225"/>
    <n v="19"/>
    <n v="85"/>
    <n v="30"/>
    <n v="27"/>
    <n v="0.38"/>
    <n v="0.13"/>
    <n v="0.12"/>
    <n v="81"/>
    <x v="1"/>
    <s v="24+ Months"/>
    <x v="1"/>
    <n v="0"/>
    <n v="0"/>
  </r>
  <r>
    <n v="157301"/>
    <s v="Inman Police Dept. - SC"/>
    <n v="13"/>
    <n v="15"/>
    <n v="19"/>
    <n v="0"/>
    <n v="0"/>
    <n v="0"/>
    <n v="0"/>
    <n v="0"/>
    <n v="0"/>
    <n v="0"/>
    <x v="1"/>
    <s v="24+ Months"/>
    <x v="0"/>
    <n v="0"/>
    <n v="0"/>
  </r>
  <r>
    <n v="326240"/>
    <s v="Williamsport Police Dept - PA"/>
    <n v="13"/>
    <n v="54"/>
    <n v="19"/>
    <n v="58"/>
    <n v="24"/>
    <n v="1"/>
    <n v="1.07"/>
    <n v="0.44"/>
    <n v="0.02"/>
    <n v="2"/>
    <x v="1"/>
    <s v="24+ Months"/>
    <x v="0"/>
    <n v="0"/>
    <n v="0"/>
  </r>
  <r>
    <n v="493927"/>
    <s v="Fairfield Glade Police Dept. - TN"/>
    <n v="17"/>
    <n v="17"/>
    <n v="19"/>
    <n v="42"/>
    <n v="42"/>
    <n v="42"/>
    <n v="2.4700000000000002"/>
    <n v="2.4700000000000002"/>
    <n v="2.4700000000000002"/>
    <n v="0"/>
    <x v="1"/>
    <s v="24+ Months"/>
    <x v="0"/>
    <n v="17"/>
    <n v="17"/>
  </r>
  <r>
    <n v="111138"/>
    <s v="Chaffee County Sheriff's Office - CO"/>
    <n v="24"/>
    <n v="28"/>
    <n v="19"/>
    <n v="21"/>
    <n v="21"/>
    <n v="0"/>
    <n v="0.75"/>
    <n v="0.75"/>
    <n v="0"/>
    <n v="2"/>
    <x v="1"/>
    <s v="24+ Months"/>
    <x v="0"/>
    <n v="24"/>
    <n v="0"/>
  </r>
  <r>
    <n v="106735"/>
    <s v="Iberville Parish Sheriff's Office - LA"/>
    <n v="65"/>
    <n v="65"/>
    <n v="19"/>
    <n v="32"/>
    <n v="32"/>
    <n v="15"/>
    <n v="0.49"/>
    <n v="0.49"/>
    <n v="0.23"/>
    <n v="1"/>
    <x v="1"/>
    <s v="24+ Months"/>
    <x v="0"/>
    <n v="0"/>
    <n v="0"/>
  </r>
  <r>
    <n v="112666"/>
    <s v="Tulsa County Sheriff's Office - OK"/>
    <n v="145"/>
    <n v="62"/>
    <n v="19"/>
    <n v="0"/>
    <n v="0"/>
    <n v="0"/>
    <n v="0"/>
    <n v="0"/>
    <n v="0"/>
    <n v="0"/>
    <x v="1"/>
    <s v="24+ Months"/>
    <x v="0"/>
    <n v="0"/>
    <n v="0"/>
  </r>
  <r>
    <n v="111065"/>
    <s v="Boynton Beach Police Dept. - FL"/>
    <n v="160"/>
    <n v="502"/>
    <n v="19"/>
    <n v="308"/>
    <n v="284"/>
    <n v="20"/>
    <n v="0.37"/>
    <n v="0.34"/>
    <n v="0.02"/>
    <n v="623"/>
    <x v="1"/>
    <s v="24+ Months"/>
    <x v="2"/>
    <n v="0"/>
    <n v="0"/>
  </r>
  <r>
    <n v="106715"/>
    <s v="Terrebonne Parish Sheriff's Office - LA"/>
    <n v="186"/>
    <n v="136"/>
    <n v="19"/>
    <n v="1070"/>
    <n v="454"/>
    <n v="0"/>
    <n v="7.87"/>
    <n v="3.34"/>
    <n v="0"/>
    <n v="378"/>
    <x v="1"/>
    <s v="24+ Months"/>
    <x v="1"/>
    <n v="186"/>
    <n v="186"/>
  </r>
  <r>
    <n v="109708"/>
    <s v="Kalamazoo Department of Public Safety - MI"/>
    <n v="236"/>
    <n v="135"/>
    <n v="19"/>
    <n v="107"/>
    <n v="83"/>
    <n v="75"/>
    <n v="0.79"/>
    <n v="0.61"/>
    <n v="0.56000000000000005"/>
    <n v="11"/>
    <x v="1"/>
    <s v="24+ Months"/>
    <x v="1"/>
    <n v="0"/>
    <n v="0"/>
  </r>
  <r>
    <n v="108406"/>
    <s v="Independence Police Department - MO"/>
    <n v="280"/>
    <n v="200"/>
    <n v="19"/>
    <n v="0"/>
    <n v="0"/>
    <n v="0"/>
    <n v="0"/>
    <n v="0"/>
    <n v="0"/>
    <n v="0"/>
    <x v="1"/>
    <s v="24+ Months"/>
    <x v="1"/>
    <n v="0"/>
    <n v="0"/>
  </r>
  <r>
    <n v="478409"/>
    <s v="Pennsylvania DOC and Parole"/>
    <n v="600"/>
    <n v="25"/>
    <n v="19"/>
    <n v="276"/>
    <n v="17"/>
    <n v="9"/>
    <n v="11.04"/>
    <n v="0.68"/>
    <n v="0.36"/>
    <n v="2"/>
    <x v="1"/>
    <s v="24+ Months"/>
    <x v="0"/>
    <n v="600"/>
    <n v="600"/>
  </r>
  <r>
    <n v="106304"/>
    <s v="Los Angeles County Sheriff's Dept. - HQ"/>
    <n v="6696"/>
    <n v="3197"/>
    <n v="19"/>
    <n v="372"/>
    <n v="47"/>
    <n v="24"/>
    <n v="0.12"/>
    <n v="0.01"/>
    <n v="0.01"/>
    <n v="108"/>
    <x v="1"/>
    <s v="24+ Months"/>
    <x v="2"/>
    <n v="0"/>
    <n v="0"/>
  </r>
  <r>
    <n v="465977"/>
    <s v="Braintree Police Dept. - MA"/>
    <n v="1"/>
    <n v="90"/>
    <n v="18"/>
    <n v="181"/>
    <n v="55"/>
    <n v="55"/>
    <n v="2.0099999999999998"/>
    <n v="0.61"/>
    <n v="0.61"/>
    <n v="0"/>
    <x v="1"/>
    <s v="24+ Months"/>
    <x v="0"/>
    <n v="1"/>
    <n v="1"/>
  </r>
  <r>
    <n v="542060"/>
    <s v="Bedford County Probation - PA"/>
    <n v="2"/>
    <n v="9"/>
    <n v="18"/>
    <n v="20"/>
    <n v="14"/>
    <n v="14"/>
    <n v="2.2200000000000002"/>
    <n v="1.56"/>
    <n v="1.56"/>
    <n v="4"/>
    <x v="1"/>
    <s v="24+ Months"/>
    <x v="0"/>
    <n v="2"/>
    <n v="2"/>
  </r>
  <r>
    <n v="327053"/>
    <s v="Yuma Police Department - CO"/>
    <n v="10"/>
    <n v="10"/>
    <n v="18"/>
    <n v="7"/>
    <n v="3"/>
    <n v="0"/>
    <n v="0.7"/>
    <n v="0.3"/>
    <n v="0"/>
    <n v="0"/>
    <x v="1"/>
    <s v="24+ Months"/>
    <x v="0"/>
    <n v="0"/>
    <n v="0"/>
  </r>
  <r>
    <n v="112069"/>
    <s v="Harahan Police Department - LA"/>
    <n v="32"/>
    <n v="42"/>
    <n v="18"/>
    <n v="0"/>
    <n v="0"/>
    <n v="0"/>
    <n v="0"/>
    <n v="0"/>
    <n v="0"/>
    <n v="0"/>
    <x v="1"/>
    <s v="24+ Months"/>
    <x v="0"/>
    <n v="0"/>
    <n v="0"/>
  </r>
  <r>
    <n v="459683"/>
    <s v="James Madison University Police Dept. - VA"/>
    <n v="45"/>
    <n v="40"/>
    <n v="18"/>
    <n v="0"/>
    <n v="0"/>
    <n v="0"/>
    <n v="0"/>
    <n v="0"/>
    <n v="0"/>
    <n v="0"/>
    <x v="1"/>
    <s v="24+ Months"/>
    <x v="0"/>
    <n v="0"/>
    <n v="0"/>
  </r>
  <r>
    <n v="107272"/>
    <s v="Lincoln County Sheriff's Office - NC"/>
    <n v="130"/>
    <n v="240"/>
    <n v="18"/>
    <n v="599"/>
    <n v="585"/>
    <n v="166"/>
    <n v="2.5"/>
    <n v="2.44"/>
    <n v="0.69"/>
    <n v="9"/>
    <x v="1"/>
    <s v="24+ Months"/>
    <x v="1"/>
    <n v="130"/>
    <n v="130"/>
  </r>
  <r>
    <n v="111064"/>
    <s v="Lake County Sheriff's Office - FL"/>
    <n v="327"/>
    <n v="515"/>
    <n v="18"/>
    <n v="1627"/>
    <n v="1380"/>
    <n v="1250"/>
    <n v="3.16"/>
    <n v="2.68"/>
    <n v="2.4300000000000002"/>
    <n v="0"/>
    <x v="1"/>
    <s v="24+ Months"/>
    <x v="1"/>
    <n v="327"/>
    <n v="327"/>
  </r>
  <r>
    <n v="105779"/>
    <s v="Amarillo Police Dept - TX"/>
    <n v="446"/>
    <n v="268"/>
    <n v="18"/>
    <n v="144"/>
    <n v="17"/>
    <n v="4"/>
    <n v="0.54"/>
    <n v="0.06"/>
    <n v="0.01"/>
    <n v="9"/>
    <x v="1"/>
    <s v="24+ Months"/>
    <x v="1"/>
    <n v="0"/>
    <n v="0"/>
  </r>
  <r>
    <n v="477467"/>
    <s v="Ore City Police Dept. - TX"/>
    <n v="6"/>
    <n v="6"/>
    <n v="17"/>
    <n v="12"/>
    <n v="0"/>
    <n v="0"/>
    <n v="2"/>
    <n v="0"/>
    <n v="0"/>
    <n v="0"/>
    <x v="1"/>
    <s v="24+ Months"/>
    <x v="0"/>
    <n v="6"/>
    <n v="6"/>
  </r>
  <r>
    <n v="142059"/>
    <s v="Medina Police Dept.- WA"/>
    <n v="10"/>
    <n v="9"/>
    <n v="17"/>
    <n v="1"/>
    <n v="0"/>
    <n v="0"/>
    <n v="0.11"/>
    <n v="0"/>
    <n v="0"/>
    <n v="0"/>
    <x v="1"/>
    <s v="24+ Months"/>
    <x v="0"/>
    <n v="0"/>
    <n v="0"/>
  </r>
  <r>
    <n v="551261"/>
    <s v="Rhode Island Department of Corrections - RI"/>
    <n v="50"/>
    <n v="50"/>
    <n v="17"/>
    <n v="0"/>
    <n v="0"/>
    <n v="0"/>
    <n v="0"/>
    <n v="0"/>
    <n v="0"/>
    <n v="0"/>
    <x v="1"/>
    <s v="24+ Months"/>
    <x v="0"/>
    <n v="0"/>
    <n v="0"/>
  </r>
  <r>
    <n v="328024"/>
    <s v="Newark Police Department - CA"/>
    <n v="85"/>
    <n v="64"/>
    <n v="17"/>
    <n v="69"/>
    <n v="0"/>
    <n v="0"/>
    <n v="1.08"/>
    <n v="0"/>
    <n v="0"/>
    <n v="0"/>
    <x v="1"/>
    <s v="24+ Months"/>
    <x v="0"/>
    <n v="0"/>
    <n v="0"/>
  </r>
  <r>
    <n v="167139"/>
    <s v="Fort Mill Police Dept. - SC"/>
    <n v="160"/>
    <n v="99"/>
    <n v="17"/>
    <n v="360"/>
    <n v="332"/>
    <n v="29"/>
    <n v="3.64"/>
    <n v="3.35"/>
    <n v="0.28999999999999998"/>
    <n v="5"/>
    <x v="1"/>
    <s v="24+ Months"/>
    <x v="0"/>
    <n v="160"/>
    <n v="160"/>
  </r>
  <r>
    <s v="CA0115465"/>
    <s v="Barrie Police Service"/>
    <n v="322"/>
    <n v="155"/>
    <n v="17"/>
    <n v="742"/>
    <n v="52"/>
    <n v="30"/>
    <n v="4.79"/>
    <n v="0.34"/>
    <n v="0.19"/>
    <n v="125"/>
    <x v="1"/>
    <s v="24+ Months"/>
    <x v="1"/>
    <n v="322"/>
    <n v="322"/>
  </r>
  <r>
    <n v="498161"/>
    <s v="Rawlins County Sheriff Office - KS"/>
    <n v="6"/>
    <n v="4"/>
    <n v="16"/>
    <n v="0"/>
    <n v="0"/>
    <n v="0"/>
    <n v="0"/>
    <n v="0"/>
    <n v="0"/>
    <n v="0"/>
    <x v="1"/>
    <s v="24+ Months"/>
    <x v="0"/>
    <n v="0"/>
    <n v="0"/>
  </r>
  <r>
    <n v="217880"/>
    <s v="Grady County Sheriff - GA"/>
    <n v="21"/>
    <n v="25"/>
    <n v="16"/>
    <n v="8"/>
    <n v="8"/>
    <n v="0"/>
    <n v="0.32"/>
    <n v="0.32"/>
    <n v="0"/>
    <n v="0"/>
    <x v="1"/>
    <s v="24+ Months"/>
    <x v="0"/>
    <n v="0"/>
    <n v="0"/>
  </r>
  <r>
    <n v="126706"/>
    <s v="Inyo County Sheriff's Office - CA"/>
    <n v="41"/>
    <n v="35"/>
    <n v="16"/>
    <n v="2"/>
    <n v="2"/>
    <n v="2"/>
    <n v="0.06"/>
    <n v="0.06"/>
    <n v="0.06"/>
    <n v="9"/>
    <x v="1"/>
    <s v="24+ Months"/>
    <x v="0"/>
    <n v="0"/>
    <n v="0"/>
  </r>
  <r>
    <n v="193540"/>
    <s v="San Rafael Police Dept. - CA"/>
    <n v="80"/>
    <n v="70"/>
    <n v="16"/>
    <n v="82"/>
    <n v="0"/>
    <n v="0"/>
    <n v="1.17"/>
    <n v="0"/>
    <n v="0"/>
    <n v="0"/>
    <x v="1"/>
    <s v="24+ Months"/>
    <x v="0"/>
    <n v="0"/>
    <n v="0"/>
  </r>
  <r>
    <n v="110715"/>
    <s v="Mountain View Police Dept. - CA"/>
    <n v="117"/>
    <n v="107"/>
    <n v="16"/>
    <n v="7"/>
    <n v="7"/>
    <n v="0"/>
    <n v="7.0000000000000007E-2"/>
    <n v="7.0000000000000007E-2"/>
    <n v="0"/>
    <n v="0"/>
    <x v="1"/>
    <s v="24+ Months"/>
    <x v="1"/>
    <n v="0"/>
    <n v="0"/>
  </r>
  <r>
    <n v="154340"/>
    <s v="Bartow County Sheriff's Office - GA"/>
    <n v="180"/>
    <n v="180"/>
    <n v="16"/>
    <n v="289"/>
    <n v="73"/>
    <n v="17"/>
    <n v="1.61"/>
    <n v="0.41"/>
    <n v="0.09"/>
    <n v="18"/>
    <x v="1"/>
    <s v="24+ Months"/>
    <x v="1"/>
    <n v="0"/>
    <n v="0"/>
  </r>
  <r>
    <n v="108484"/>
    <s v="Blount County Sheriffs Office - TN"/>
    <n v="218"/>
    <n v="150"/>
    <n v="16"/>
    <n v="16"/>
    <n v="3"/>
    <n v="1"/>
    <n v="0.11"/>
    <n v="0.02"/>
    <n v="0.01"/>
    <n v="0"/>
    <x v="1"/>
    <s v="24+ Months"/>
    <x v="1"/>
    <n v="0"/>
    <n v="0"/>
  </r>
  <r>
    <n v="116046"/>
    <s v="Cary Police Department - NC"/>
    <n v="242"/>
    <n v="220"/>
    <n v="16"/>
    <n v="210"/>
    <n v="69"/>
    <n v="48"/>
    <n v="0.95"/>
    <n v="0.31"/>
    <n v="0.22"/>
    <n v="0"/>
    <x v="1"/>
    <s v="24+ Months"/>
    <x v="1"/>
    <n v="0"/>
    <n v="0"/>
  </r>
  <r>
    <s v="CA0115761"/>
    <s v="The City of Edmonton"/>
    <n v="280"/>
    <n v="280"/>
    <n v="16"/>
    <n v="125"/>
    <n v="68"/>
    <n v="53"/>
    <n v="0.45"/>
    <n v="0.24"/>
    <n v="0.19"/>
    <n v="9"/>
    <x v="1"/>
    <s v="24+ Months"/>
    <x v="1"/>
    <n v="0"/>
    <n v="0"/>
  </r>
  <r>
    <n v="110637"/>
    <s v="Shreveport Police Dept - LA"/>
    <n v="505"/>
    <n v="480"/>
    <n v="16"/>
    <n v="1670"/>
    <n v="875"/>
    <n v="761"/>
    <n v="3.48"/>
    <n v="1.82"/>
    <n v="1.59"/>
    <n v="61"/>
    <x v="1"/>
    <s v="24+ Months"/>
    <x v="1"/>
    <n v="505"/>
    <n v="505"/>
  </r>
  <r>
    <n v="484843"/>
    <s v="California Department of Parks and Recreation"/>
    <n v="550"/>
    <n v="675"/>
    <n v="16"/>
    <n v="461"/>
    <n v="294"/>
    <n v="266"/>
    <n v="0.68"/>
    <n v="0.44"/>
    <n v="0.39"/>
    <n v="167"/>
    <x v="1"/>
    <s v="24+ Months"/>
    <x v="2"/>
    <n v="0"/>
    <n v="0"/>
  </r>
  <r>
    <n v="228700"/>
    <s v="DEPT. OF HOMELESS SERVICES POLICE DEPT. - NY"/>
    <n v="608"/>
    <n v="550"/>
    <n v="16"/>
    <n v="66"/>
    <n v="21"/>
    <n v="7"/>
    <n v="0.12"/>
    <n v="0.04"/>
    <n v="0.01"/>
    <n v="15"/>
    <x v="1"/>
    <s v="24+ Months"/>
    <x v="2"/>
    <n v="0"/>
    <n v="0"/>
  </r>
  <r>
    <n v="105516"/>
    <s v="Mesa Police Department"/>
    <n v="1079"/>
    <n v="720"/>
    <n v="16"/>
    <n v="762"/>
    <n v="623"/>
    <n v="538"/>
    <n v="1.06"/>
    <n v="0.87"/>
    <n v="0.75"/>
    <n v="8"/>
    <x v="1"/>
    <s v="24+ Months"/>
    <x v="2"/>
    <n v="1079"/>
    <n v="1079"/>
  </r>
  <r>
    <n v="107197"/>
    <s v="Washington State Patrol - District 1- WA"/>
    <n v="1202"/>
    <n v="1202"/>
    <n v="16"/>
    <n v="237"/>
    <n v="44"/>
    <n v="13"/>
    <n v="0.2"/>
    <n v="0.04"/>
    <n v="0.01"/>
    <n v="64"/>
    <x v="1"/>
    <s v="24+ Months"/>
    <x v="2"/>
    <n v="0"/>
    <n v="0"/>
  </r>
  <r>
    <n v="106478"/>
    <s v="Fresno Police Dept. - CA"/>
    <n v="1286"/>
    <n v="800"/>
    <n v="16"/>
    <n v="371"/>
    <n v="356"/>
    <n v="56"/>
    <n v="0.46"/>
    <n v="0.45"/>
    <n v="7.0000000000000007E-2"/>
    <n v="269"/>
    <x v="1"/>
    <s v="24+ Months"/>
    <x v="2"/>
    <n v="0"/>
    <n v="0"/>
  </r>
  <r>
    <s v="SE0115985"/>
    <s v="Bundespolizeipraesidium"/>
    <n v="0"/>
    <n v="500"/>
    <n v="16"/>
    <n v="0"/>
    <n v="0"/>
    <n v="0"/>
    <n v="0"/>
    <n v="0"/>
    <n v="0"/>
    <n v="0"/>
    <x v="1"/>
    <s v="24+ Months"/>
    <x v="1"/>
    <n v="0"/>
    <n v="0"/>
  </r>
  <r>
    <n v="110485"/>
    <s v="Sleepy Eye Police Dept - MN"/>
    <n v="7"/>
    <n v="7"/>
    <n v="15"/>
    <n v="52"/>
    <n v="6"/>
    <n v="0"/>
    <n v="7.43"/>
    <n v="0.86"/>
    <n v="0"/>
    <n v="4"/>
    <x v="1"/>
    <s v="24+ Months"/>
    <x v="0"/>
    <n v="7"/>
    <n v="7"/>
  </r>
  <r>
    <n v="112992"/>
    <s v="Buckley Police Dept. - WA"/>
    <n v="14"/>
    <n v="12"/>
    <n v="15"/>
    <n v="59"/>
    <n v="1"/>
    <n v="1"/>
    <n v="4.92"/>
    <n v="0.08"/>
    <n v="0.08"/>
    <n v="0"/>
    <x v="1"/>
    <s v="24+ Months"/>
    <x v="0"/>
    <n v="14"/>
    <n v="14"/>
  </r>
  <r>
    <n v="128220"/>
    <s v="Rockdale Police Dept. - IL"/>
    <n v="14"/>
    <n v="11"/>
    <n v="15"/>
    <n v="31"/>
    <n v="24"/>
    <n v="10"/>
    <n v="2.82"/>
    <n v="2.1800000000000002"/>
    <n v="0.91"/>
    <n v="0"/>
    <x v="1"/>
    <s v="24+ Months"/>
    <x v="0"/>
    <n v="14"/>
    <n v="14"/>
  </r>
  <r>
    <n v="112123"/>
    <s v="Shiloh Police Dept. - IL"/>
    <n v="27"/>
    <n v="23"/>
    <n v="15"/>
    <n v="17"/>
    <n v="0"/>
    <n v="0"/>
    <n v="0.74"/>
    <n v="0"/>
    <n v="0"/>
    <n v="0"/>
    <x v="1"/>
    <s v="24+ Months"/>
    <x v="0"/>
    <n v="0"/>
    <n v="0"/>
  </r>
  <r>
    <n v="108398"/>
    <s v="Evans Police Department - CO"/>
    <n v="38"/>
    <n v="40"/>
    <n v="15"/>
    <n v="49"/>
    <n v="0"/>
    <n v="0"/>
    <n v="1.23"/>
    <n v="0"/>
    <n v="0"/>
    <n v="0"/>
    <x v="1"/>
    <s v="24+ Months"/>
    <x v="0"/>
    <n v="0"/>
    <n v="0"/>
  </r>
  <r>
    <n v="157734"/>
    <s v="Hanford Police Dept. - CA"/>
    <n v="68"/>
    <n v="73"/>
    <n v="15"/>
    <n v="21"/>
    <n v="19"/>
    <n v="4"/>
    <n v="0.28999999999999998"/>
    <n v="0.26"/>
    <n v="0.05"/>
    <n v="6"/>
    <x v="1"/>
    <s v="24+ Months"/>
    <x v="0"/>
    <n v="0"/>
    <n v="0"/>
  </r>
  <r>
    <n v="486478"/>
    <s v="PR Policia de Puerto Rico"/>
    <n v="155"/>
    <n v="350"/>
    <n v="15"/>
    <n v="39"/>
    <n v="39"/>
    <n v="5"/>
    <n v="0.11"/>
    <n v="0.11"/>
    <n v="0.01"/>
    <n v="155"/>
    <x v="1"/>
    <s v="24+ Months"/>
    <x v="1"/>
    <n v="0"/>
    <n v="0"/>
  </r>
  <r>
    <n v="109178"/>
    <s v="Yavapai County Sheriff's Office - AZ"/>
    <n v="165"/>
    <n v="193"/>
    <n v="15"/>
    <n v="304"/>
    <n v="94"/>
    <n v="0"/>
    <n v="1.58"/>
    <n v="0.49"/>
    <n v="0"/>
    <n v="0"/>
    <x v="1"/>
    <s v="24+ Months"/>
    <x v="1"/>
    <n v="0"/>
    <n v="0"/>
  </r>
  <r>
    <n v="479509"/>
    <s v="Mashpee Wampanoag Police Dept. - MA"/>
    <n v="8"/>
    <n v="7"/>
    <n v="14"/>
    <n v="33"/>
    <n v="27"/>
    <n v="20"/>
    <n v="4.71"/>
    <n v="3.86"/>
    <n v="2.86"/>
    <n v="1"/>
    <x v="1"/>
    <s v="24+ Months"/>
    <x v="0"/>
    <n v="8"/>
    <n v="8"/>
  </r>
  <r>
    <n v="470994"/>
    <s v="Bannockburn Police Dept. - IL"/>
    <n v="18"/>
    <n v="16"/>
    <n v="14"/>
    <n v="15"/>
    <n v="0"/>
    <n v="0"/>
    <n v="0.94"/>
    <n v="0"/>
    <n v="0"/>
    <n v="0"/>
    <x v="1"/>
    <s v="24+ Months"/>
    <x v="0"/>
    <n v="0"/>
    <n v="0"/>
  </r>
  <r>
    <n v="301506"/>
    <s v="Muskogee County Sheriff's Office - OK"/>
    <n v="20"/>
    <n v="20"/>
    <n v="14"/>
    <n v="117"/>
    <n v="0"/>
    <n v="0"/>
    <n v="5.85"/>
    <n v="0"/>
    <n v="0"/>
    <n v="0"/>
    <x v="1"/>
    <s v="24+ Months"/>
    <x v="0"/>
    <n v="20"/>
    <n v="20"/>
  </r>
  <r>
    <n v="121102"/>
    <s v="Surf City Police Department - NC"/>
    <n v="25"/>
    <n v="20"/>
    <n v="14"/>
    <n v="284"/>
    <n v="97"/>
    <n v="40"/>
    <n v="14.2"/>
    <n v="4.8499999999999996"/>
    <n v="2"/>
    <n v="25"/>
    <x v="1"/>
    <s v="24+ Months"/>
    <x v="0"/>
    <n v="25"/>
    <n v="25"/>
  </r>
  <r>
    <n v="325495"/>
    <s v="Ottawa Police Dept. - IL"/>
    <n v="45"/>
    <n v="37"/>
    <n v="14"/>
    <n v="5"/>
    <n v="5"/>
    <n v="5"/>
    <n v="0.14000000000000001"/>
    <n v="0.14000000000000001"/>
    <n v="0.14000000000000001"/>
    <n v="1"/>
    <x v="1"/>
    <s v="24+ Months"/>
    <x v="0"/>
    <n v="0"/>
    <n v="0"/>
  </r>
  <r>
    <n v="115901"/>
    <s v="Mesquite Police Department - NV"/>
    <n v="48"/>
    <n v="45"/>
    <n v="14"/>
    <n v="82"/>
    <n v="82"/>
    <n v="46"/>
    <n v="1.82"/>
    <n v="1.82"/>
    <n v="1.02"/>
    <n v="5"/>
    <x v="1"/>
    <s v="24+ Months"/>
    <x v="0"/>
    <n v="48"/>
    <n v="0"/>
  </r>
  <r>
    <n v="107160"/>
    <s v="Brunswick Police Department - GA"/>
    <n v="50"/>
    <n v="45"/>
    <n v="14"/>
    <n v="24"/>
    <n v="16"/>
    <n v="12"/>
    <n v="0.53"/>
    <n v="0.36"/>
    <n v="0.27"/>
    <n v="0"/>
    <x v="1"/>
    <s v="24+ Months"/>
    <x v="0"/>
    <n v="0"/>
    <n v="0"/>
  </r>
  <r>
    <n v="108500"/>
    <s v="Sevier County Sheriff's Office - TN"/>
    <n v="59"/>
    <n v="92"/>
    <n v="14"/>
    <n v="270"/>
    <n v="192"/>
    <n v="154"/>
    <n v="2.93"/>
    <n v="2.09"/>
    <n v="1.67"/>
    <n v="0"/>
    <x v="1"/>
    <s v="24+ Months"/>
    <x v="0"/>
    <n v="59"/>
    <n v="59"/>
  </r>
  <r>
    <n v="109765"/>
    <s v="Skagit County Sheriff's Office - WA"/>
    <n v="67"/>
    <n v="66"/>
    <n v="14"/>
    <n v="97"/>
    <n v="39"/>
    <n v="18"/>
    <n v="1.47"/>
    <n v="0.59"/>
    <n v="0.27"/>
    <n v="14"/>
    <x v="1"/>
    <s v="24+ Months"/>
    <x v="0"/>
    <n v="0"/>
    <n v="0"/>
  </r>
  <r>
    <n v="149220"/>
    <s v="Hemet Police Department - CA"/>
    <n v="112"/>
    <n v="200"/>
    <n v="14"/>
    <n v="489"/>
    <n v="478"/>
    <n v="77"/>
    <n v="4.8899999999999997"/>
    <n v="4.78"/>
    <n v="0.77"/>
    <n v="271"/>
    <x v="1"/>
    <s v="24+ Months"/>
    <x v="1"/>
    <n v="112"/>
    <n v="112"/>
  </r>
  <r>
    <n v="132962"/>
    <s v="Bolingbrook Police Dept. - IL"/>
    <n v="123"/>
    <n v="120"/>
    <n v="14"/>
    <n v="204"/>
    <n v="39"/>
    <n v="10"/>
    <n v="1.7"/>
    <n v="0.33"/>
    <n v="0.08"/>
    <n v="45"/>
    <x v="1"/>
    <s v="24+ Months"/>
    <x v="1"/>
    <n v="0"/>
    <n v="0"/>
  </r>
  <r>
    <n v="144320"/>
    <s v="Ontario County Sheriff's Office - NY"/>
    <n v="148"/>
    <n v="126"/>
    <n v="14"/>
    <n v="215"/>
    <n v="80"/>
    <n v="74"/>
    <n v="1.71"/>
    <n v="0.63"/>
    <n v="0.59"/>
    <n v="1"/>
    <x v="1"/>
    <s v="24+ Months"/>
    <x v="1"/>
    <n v="0"/>
    <n v="0"/>
  </r>
  <r>
    <n v="155263"/>
    <s v="Burbank Police Dept. - CA"/>
    <n v="154"/>
    <n v="178"/>
    <n v="14"/>
    <n v="727"/>
    <n v="547"/>
    <n v="279"/>
    <n v="4.08"/>
    <n v="3.07"/>
    <n v="1.57"/>
    <n v="84"/>
    <x v="1"/>
    <s v="24+ Months"/>
    <x v="1"/>
    <n v="154"/>
    <n v="154"/>
  </r>
  <r>
    <n v="467119"/>
    <s v="Minneapolis-St Paul Airport Police Dept -MN"/>
    <n v="164"/>
    <n v="140"/>
    <n v="14"/>
    <n v="492"/>
    <n v="377"/>
    <n v="340"/>
    <n v="3.51"/>
    <n v="2.69"/>
    <n v="2.4300000000000002"/>
    <n v="301"/>
    <x v="1"/>
    <s v="24+ Months"/>
    <x v="1"/>
    <n v="164"/>
    <n v="164"/>
  </r>
  <r>
    <n v="205360"/>
    <s v="Monterey County Sheriffs Office - CA"/>
    <n v="356"/>
    <n v="320"/>
    <n v="14"/>
    <n v="320"/>
    <n v="32"/>
    <n v="1"/>
    <n v="1"/>
    <n v="0.1"/>
    <n v="0"/>
    <n v="1"/>
    <x v="1"/>
    <s v="24+ Months"/>
    <x v="1"/>
    <n v="0"/>
    <n v="0"/>
  </r>
  <r>
    <n v="471807"/>
    <s v="Markle Police Dept. - IN"/>
    <n v="1"/>
    <n v="4"/>
    <n v="13"/>
    <n v="0"/>
    <n v="0"/>
    <n v="0"/>
    <n v="0"/>
    <n v="0"/>
    <n v="0"/>
    <n v="0"/>
    <x v="1"/>
    <s v="24+ Months"/>
    <x v="0"/>
    <n v="0"/>
    <n v="0"/>
  </r>
  <r>
    <n v="448278"/>
    <s v="Elwood Police Dept. - IL"/>
    <n v="2"/>
    <n v="13"/>
    <n v="13"/>
    <n v="62"/>
    <n v="25"/>
    <n v="25"/>
    <n v="4.7699999999999996"/>
    <n v="1.92"/>
    <n v="1.92"/>
    <n v="18"/>
    <x v="1"/>
    <s v="24+ Months"/>
    <x v="0"/>
    <n v="2"/>
    <n v="2"/>
  </r>
  <r>
    <n v="556953"/>
    <s v="Okawville Police Dept. - IL"/>
    <n v="6"/>
    <n v="5"/>
    <n v="13"/>
    <n v="0"/>
    <n v="0"/>
    <n v="0"/>
    <n v="0"/>
    <n v="0"/>
    <n v="0"/>
    <n v="0"/>
    <x v="1"/>
    <s v="24+ Months"/>
    <x v="0"/>
    <n v="0"/>
    <n v="0"/>
  </r>
  <r>
    <s v="UK0115453"/>
    <s v="College of Policing"/>
    <n v="10"/>
    <n v="2"/>
    <n v="13"/>
    <n v="3"/>
    <n v="1"/>
    <n v="0"/>
    <n v="1.5"/>
    <n v="0.5"/>
    <n v="0"/>
    <n v="2"/>
    <x v="1"/>
    <s v="24+ Months"/>
    <x v="0"/>
    <n v="0"/>
    <n v="0"/>
  </r>
  <r>
    <n v="465602"/>
    <s v="Duck Police Dept. - NC"/>
    <n v="13"/>
    <n v="15"/>
    <n v="13"/>
    <n v="29"/>
    <n v="21"/>
    <n v="21"/>
    <n v="1.93"/>
    <n v="1.4"/>
    <n v="1.4"/>
    <n v="2"/>
    <x v="1"/>
    <s v="24+ Months"/>
    <x v="0"/>
    <n v="13"/>
    <n v="0"/>
  </r>
  <r>
    <n v="109947"/>
    <s v="Bethalto Police Dept. - IL"/>
    <n v="15"/>
    <n v="12"/>
    <n v="13"/>
    <n v="24"/>
    <n v="7"/>
    <n v="0"/>
    <n v="2"/>
    <n v="0.57999999999999996"/>
    <n v="0"/>
    <n v="0"/>
    <x v="1"/>
    <s v="24+ Months"/>
    <x v="0"/>
    <n v="15"/>
    <n v="15"/>
  </r>
  <r>
    <n v="108263"/>
    <s v="Tell City Police Dept - IN"/>
    <n v="16"/>
    <n v="16"/>
    <n v="13"/>
    <n v="76"/>
    <n v="48"/>
    <n v="48"/>
    <n v="4.75"/>
    <n v="3"/>
    <n v="3"/>
    <n v="23"/>
    <x v="1"/>
    <s v="24+ Months"/>
    <x v="0"/>
    <n v="16"/>
    <n v="16"/>
  </r>
  <r>
    <n v="442328"/>
    <s v="Braselton Police Dept. - GA"/>
    <n v="18"/>
    <n v="25"/>
    <n v="13"/>
    <n v="9"/>
    <n v="3"/>
    <n v="1"/>
    <n v="0.36"/>
    <n v="0.12"/>
    <n v="0.04"/>
    <n v="8"/>
    <x v="1"/>
    <s v="24+ Months"/>
    <x v="0"/>
    <n v="0"/>
    <n v="0"/>
  </r>
  <r>
    <n v="325338"/>
    <s v="Lee County Sheriff's Office - AL"/>
    <n v="20"/>
    <n v="180"/>
    <n v="13"/>
    <n v="1043"/>
    <n v="927"/>
    <n v="824"/>
    <n v="5.79"/>
    <n v="5.15"/>
    <n v="4.58"/>
    <n v="12"/>
    <x v="1"/>
    <s v="24+ Months"/>
    <x v="1"/>
    <n v="20"/>
    <n v="20"/>
  </r>
  <r>
    <n v="116203"/>
    <s v="Morton Police Dept. - IL"/>
    <n v="22"/>
    <n v="27"/>
    <n v="13"/>
    <n v="75"/>
    <n v="24"/>
    <n v="7"/>
    <n v="2.78"/>
    <n v="0.89"/>
    <n v="0.26"/>
    <n v="67"/>
    <x v="1"/>
    <s v="24+ Months"/>
    <x v="0"/>
    <n v="22"/>
    <n v="22"/>
  </r>
  <r>
    <n v="315428"/>
    <s v="Hardeeville Police Department - SC"/>
    <n v="28"/>
    <n v="48"/>
    <n v="13"/>
    <n v="43"/>
    <n v="6"/>
    <n v="0"/>
    <n v="0.9"/>
    <n v="0.13"/>
    <n v="0"/>
    <n v="12"/>
    <x v="1"/>
    <s v="24+ Months"/>
    <x v="0"/>
    <n v="0"/>
    <n v="0"/>
  </r>
  <r>
    <n v="156030"/>
    <s v="Stone Mountain Park Dept. of Public Safety - GA"/>
    <n v="38"/>
    <n v="25"/>
    <n v="13"/>
    <n v="65"/>
    <n v="10"/>
    <n v="0"/>
    <n v="2.6"/>
    <n v="0.4"/>
    <n v="0"/>
    <n v="0"/>
    <x v="1"/>
    <s v="24+ Months"/>
    <x v="0"/>
    <n v="38"/>
    <n v="38"/>
  </r>
  <r>
    <n v="148367"/>
    <s v="Middletown Police Dept. - RI"/>
    <n v="46"/>
    <n v="47"/>
    <n v="13"/>
    <n v="6"/>
    <n v="0"/>
    <n v="0"/>
    <n v="0.13"/>
    <n v="0"/>
    <n v="0"/>
    <n v="0"/>
    <x v="1"/>
    <s v="24+ Months"/>
    <x v="0"/>
    <n v="0"/>
    <n v="0"/>
  </r>
  <r>
    <n v="179811"/>
    <s v="Walker Police Dept. - MI"/>
    <n v="48"/>
    <n v="43"/>
    <n v="13"/>
    <n v="373"/>
    <n v="61"/>
    <n v="22"/>
    <n v="8.67"/>
    <n v="1.42"/>
    <n v="0.51"/>
    <n v="20"/>
    <x v="1"/>
    <s v="24+ Months"/>
    <x v="0"/>
    <n v="48"/>
    <n v="48"/>
  </r>
  <r>
    <n v="124527"/>
    <s v="Vail Police Dept. - CO"/>
    <n v="50"/>
    <n v="37"/>
    <n v="13"/>
    <n v="9"/>
    <n v="3"/>
    <n v="0"/>
    <n v="0.24"/>
    <n v="0.08"/>
    <n v="0"/>
    <n v="21"/>
    <x v="1"/>
    <s v="24+ Months"/>
    <x v="0"/>
    <n v="0"/>
    <n v="0"/>
  </r>
  <r>
    <n v="106752"/>
    <s v="Placentia Police Dept. - CA"/>
    <n v="55"/>
    <n v="81"/>
    <n v="13"/>
    <n v="55"/>
    <n v="55"/>
    <n v="14"/>
    <n v="0.68"/>
    <n v="0.68"/>
    <n v="0.17"/>
    <n v="7"/>
    <x v="1"/>
    <s v="24+ Months"/>
    <x v="0"/>
    <n v="0"/>
    <n v="0"/>
  </r>
  <r>
    <n v="315176"/>
    <s v="Melrose Park Police Dept.- IL"/>
    <n v="83"/>
    <n v="64"/>
    <n v="13"/>
    <n v="5"/>
    <n v="0"/>
    <n v="0"/>
    <n v="0.08"/>
    <n v="0"/>
    <n v="0"/>
    <n v="0"/>
    <x v="1"/>
    <s v="24+ Months"/>
    <x v="0"/>
    <n v="0"/>
    <n v="0"/>
  </r>
  <r>
    <n v="328240"/>
    <s v="Prescott Police Department - AZ"/>
    <n v="88"/>
    <n v="92"/>
    <n v="13"/>
    <n v="10"/>
    <n v="0"/>
    <n v="0"/>
    <n v="0.11"/>
    <n v="0"/>
    <n v="0"/>
    <n v="0"/>
    <x v="1"/>
    <s v="24+ Months"/>
    <x v="0"/>
    <n v="0"/>
    <n v="0"/>
  </r>
  <r>
    <n v="147636"/>
    <s v="Winter Haven Police Dept. - FL"/>
    <n v="91"/>
    <n v="97"/>
    <n v="13"/>
    <n v="237"/>
    <n v="89"/>
    <n v="63"/>
    <n v="2.44"/>
    <n v="0.92"/>
    <n v="0.65"/>
    <n v="73"/>
    <x v="1"/>
    <s v="24+ Months"/>
    <x v="0"/>
    <n v="91"/>
    <n v="91"/>
  </r>
  <r>
    <n v="547648"/>
    <s v="Boston University Police Dept - MA"/>
    <n v="100"/>
    <n v="100"/>
    <n v="13"/>
    <n v="17"/>
    <n v="0"/>
    <n v="0"/>
    <n v="0.17"/>
    <n v="0"/>
    <n v="0"/>
    <n v="5"/>
    <x v="1"/>
    <s v="24+ Months"/>
    <x v="1"/>
    <n v="0"/>
    <n v="0"/>
  </r>
  <r>
    <n v="108570"/>
    <s v="San Leandro Police Dept. - CA"/>
    <n v="115"/>
    <n v="100"/>
    <n v="13"/>
    <n v="226"/>
    <n v="175"/>
    <n v="17"/>
    <n v="2.2599999999999998"/>
    <n v="1.75"/>
    <n v="0.17"/>
    <n v="34"/>
    <x v="1"/>
    <s v="24+ Months"/>
    <x v="1"/>
    <n v="115"/>
    <n v="115"/>
  </r>
  <r>
    <n v="106743"/>
    <s v="Westminster Police Dept. - CA"/>
    <n v="122"/>
    <n v="125"/>
    <n v="13"/>
    <n v="18"/>
    <n v="18"/>
    <n v="0"/>
    <n v="0.14000000000000001"/>
    <n v="0.14000000000000001"/>
    <n v="0"/>
    <n v="0"/>
    <x v="1"/>
    <s v="24+ Months"/>
    <x v="1"/>
    <n v="0"/>
    <n v="0"/>
  </r>
  <r>
    <n v="135368"/>
    <s v="Simi Valley Police Dept. - CA"/>
    <n v="139"/>
    <n v="129"/>
    <n v="13"/>
    <n v="119"/>
    <n v="25"/>
    <n v="11"/>
    <n v="0.92"/>
    <n v="0.19"/>
    <n v="0.09"/>
    <n v="12"/>
    <x v="1"/>
    <s v="24+ Months"/>
    <x v="1"/>
    <n v="0"/>
    <n v="0"/>
  </r>
  <r>
    <s v="CA0115498"/>
    <s v="Fredericton Police Force"/>
    <n v="139"/>
    <n v="30"/>
    <n v="13"/>
    <n v="78"/>
    <n v="4"/>
    <n v="4"/>
    <n v="2.6"/>
    <n v="0.13"/>
    <n v="0.13"/>
    <n v="3"/>
    <x v="1"/>
    <s v="24+ Months"/>
    <x v="0"/>
    <n v="139"/>
    <n v="139"/>
  </r>
  <r>
    <n v="109785"/>
    <s v="Vallejo Police Dept. - CA"/>
    <n v="141"/>
    <n v="115"/>
    <n v="13"/>
    <n v="219"/>
    <n v="16"/>
    <n v="0"/>
    <n v="1.9"/>
    <n v="0.14000000000000001"/>
    <n v="0"/>
    <n v="0"/>
    <x v="1"/>
    <s v="24+ Months"/>
    <x v="1"/>
    <n v="0"/>
    <n v="0"/>
  </r>
  <r>
    <n v="116180"/>
    <s v="Burlington Police Dept. - VT"/>
    <n v="213"/>
    <n v="87"/>
    <n v="13"/>
    <n v="198"/>
    <n v="0"/>
    <n v="0"/>
    <n v="2.2799999999999998"/>
    <n v="0"/>
    <n v="0"/>
    <n v="0"/>
    <x v="1"/>
    <s v="24+ Months"/>
    <x v="0"/>
    <n v="213"/>
    <n v="213"/>
  </r>
  <r>
    <n v="107619"/>
    <s v="Coral Springs Police Dept. - FL"/>
    <n v="255"/>
    <n v="255"/>
    <n v="13"/>
    <n v="753"/>
    <n v="454"/>
    <n v="193"/>
    <n v="2.95"/>
    <n v="1.78"/>
    <n v="0.76"/>
    <n v="22"/>
    <x v="1"/>
    <s v="24+ Months"/>
    <x v="1"/>
    <n v="255"/>
    <n v="255"/>
  </r>
  <r>
    <n v="313790"/>
    <s v="Tuscaloosa Police Dept. - AL"/>
    <n v="295"/>
    <n v="150"/>
    <n v="13"/>
    <n v="1107"/>
    <n v="48"/>
    <n v="30"/>
    <n v="7.38"/>
    <n v="0.32"/>
    <n v="0.2"/>
    <n v="0"/>
    <x v="1"/>
    <s v="24+ Months"/>
    <x v="1"/>
    <n v="295"/>
    <n v="295"/>
  </r>
  <r>
    <n v="105506"/>
    <s v="Chandler Police Dept. - AZ"/>
    <n v="394"/>
    <n v="364"/>
    <n v="13"/>
    <n v="201"/>
    <n v="116"/>
    <n v="52"/>
    <n v="0.55000000000000004"/>
    <n v="0.32"/>
    <n v="0.14000000000000001"/>
    <n v="38"/>
    <x v="1"/>
    <s v="24+ Months"/>
    <x v="1"/>
    <n v="0"/>
    <n v="0"/>
  </r>
  <r>
    <n v="108379"/>
    <s v="San Joaquin County Sheriff's Office - CA"/>
    <n v="461"/>
    <n v="368"/>
    <n v="13"/>
    <n v="58"/>
    <n v="58"/>
    <n v="39"/>
    <n v="0.16"/>
    <n v="0.16"/>
    <n v="0.11"/>
    <n v="133"/>
    <x v="1"/>
    <s v="24+ Months"/>
    <x v="1"/>
    <n v="0"/>
    <n v="0"/>
  </r>
  <r>
    <n v="110142"/>
    <s v="Miami Beach Police Dept. - FL"/>
    <n v="482"/>
    <n v="437"/>
    <n v="13"/>
    <n v="30"/>
    <n v="18"/>
    <n v="18"/>
    <n v="7.0000000000000007E-2"/>
    <n v="0.04"/>
    <n v="0.04"/>
    <n v="0"/>
    <x v="1"/>
    <s v="24+ Months"/>
    <x v="1"/>
    <n v="0"/>
    <n v="0"/>
  </r>
  <r>
    <n v="126746"/>
    <s v="Mississippi Highway Patrol - MS"/>
    <n v="516"/>
    <n v="516"/>
    <n v="13"/>
    <n v="557"/>
    <n v="84"/>
    <n v="78"/>
    <n v="1.08"/>
    <n v="0.16"/>
    <n v="0.15"/>
    <n v="3"/>
    <x v="1"/>
    <s v="24+ Months"/>
    <x v="1"/>
    <n v="0"/>
    <n v="0"/>
  </r>
  <r>
    <n v="300074"/>
    <s v="State of Hawai'i, Dept. of Law Enforcement"/>
    <n v="1"/>
    <n v="200"/>
    <n v="12"/>
    <n v="270"/>
    <n v="247"/>
    <n v="88"/>
    <n v="1.35"/>
    <n v="1.24"/>
    <n v="0.44"/>
    <n v="73"/>
    <x v="2"/>
    <s v="18-24 Months"/>
    <x v="1"/>
    <n v="1"/>
    <n v="0"/>
  </r>
  <r>
    <n v="193887"/>
    <s v="Mount Vernon Municipal Court - OH"/>
    <n v="8"/>
    <n v="8"/>
    <n v="12"/>
    <n v="6"/>
    <n v="0"/>
    <n v="0"/>
    <n v="0.75"/>
    <n v="0"/>
    <n v="0"/>
    <n v="0"/>
    <x v="2"/>
    <s v="18-24 Months"/>
    <x v="0"/>
    <n v="0"/>
    <n v="0"/>
  </r>
  <r>
    <n v="164535"/>
    <s v="Oscoda Township Police Department - MI"/>
    <n v="10"/>
    <n v="13"/>
    <n v="12"/>
    <n v="5"/>
    <n v="0"/>
    <n v="0"/>
    <n v="0.38"/>
    <n v="0"/>
    <n v="0"/>
    <n v="0"/>
    <x v="2"/>
    <s v="18-24 Months"/>
    <x v="0"/>
    <n v="0"/>
    <n v="0"/>
  </r>
  <r>
    <n v="108283"/>
    <s v="Medina Police Dept. - MN"/>
    <n v="12"/>
    <n v="12"/>
    <n v="12"/>
    <n v="62"/>
    <n v="8"/>
    <n v="2"/>
    <n v="5.17"/>
    <n v="0.67"/>
    <n v="0.17"/>
    <n v="4"/>
    <x v="2"/>
    <s v="18-24 Months"/>
    <x v="0"/>
    <n v="12"/>
    <n v="12"/>
  </r>
  <r>
    <n v="128775"/>
    <s v="Brevard County Sheriff's Office - FL"/>
    <n v="12"/>
    <n v="586"/>
    <n v="12"/>
    <n v="1030"/>
    <n v="435"/>
    <n v="86"/>
    <n v="1.76"/>
    <n v="0.74"/>
    <n v="0.15"/>
    <n v="284"/>
    <x v="2"/>
    <s v="18-24 Months"/>
    <x v="2"/>
    <n v="0"/>
    <n v="0"/>
  </r>
  <r>
    <n v="549754"/>
    <s v="CapMetro Transit Police Dept - TX"/>
    <n v="16"/>
    <n v="25"/>
    <n v="12"/>
    <n v="22"/>
    <n v="10"/>
    <n v="1"/>
    <n v="0.88"/>
    <n v="0.4"/>
    <n v="0.04"/>
    <n v="1"/>
    <x v="2"/>
    <s v="18-24 Months"/>
    <x v="0"/>
    <n v="0"/>
    <n v="0"/>
  </r>
  <r>
    <n v="311450"/>
    <s v="Ogden Police Dept. - NY"/>
    <n v="17"/>
    <n v="14"/>
    <n v="12"/>
    <n v="49"/>
    <n v="6"/>
    <n v="0"/>
    <n v="3.5"/>
    <n v="0.43"/>
    <n v="0"/>
    <n v="0"/>
    <x v="2"/>
    <s v="18-24 Months"/>
    <x v="0"/>
    <n v="17"/>
    <n v="17"/>
  </r>
  <r>
    <n v="323651"/>
    <s v="Early County Sheriff Office - GA"/>
    <n v="20"/>
    <n v="20"/>
    <n v="12"/>
    <n v="0"/>
    <n v="0"/>
    <n v="0"/>
    <n v="0"/>
    <n v="0"/>
    <n v="0"/>
    <n v="0"/>
    <x v="2"/>
    <s v="18-24 Months"/>
    <x v="0"/>
    <n v="0"/>
    <n v="0"/>
  </r>
  <r>
    <n v="193186"/>
    <s v="Trousdale County Sheriff's Office - TN"/>
    <n v="27"/>
    <n v="25"/>
    <n v="12"/>
    <n v="2"/>
    <n v="0"/>
    <n v="0"/>
    <n v="0.08"/>
    <n v="0"/>
    <n v="0"/>
    <n v="0"/>
    <x v="2"/>
    <s v="18-24 Months"/>
    <x v="0"/>
    <n v="0"/>
    <n v="0"/>
  </r>
  <r>
    <n v="322803"/>
    <s v="Sullivan's Island Police Dept - SC"/>
    <n v="31"/>
    <n v="12"/>
    <n v="12"/>
    <n v="56"/>
    <n v="10"/>
    <n v="0"/>
    <n v="4.67"/>
    <n v="0.83"/>
    <n v="0"/>
    <n v="11"/>
    <x v="2"/>
    <s v="18-24 Months"/>
    <x v="0"/>
    <n v="31"/>
    <n v="31"/>
  </r>
  <r>
    <n v="475505"/>
    <s v="Savannah Airport Commission Police - GA"/>
    <n v="31"/>
    <n v="31"/>
    <n v="12"/>
    <n v="0"/>
    <n v="0"/>
    <n v="0"/>
    <n v="0"/>
    <n v="0"/>
    <n v="0"/>
    <n v="3"/>
    <x v="2"/>
    <s v="18-24 Months"/>
    <x v="0"/>
    <n v="0"/>
    <n v="0"/>
  </r>
  <r>
    <n v="109740"/>
    <s v="Alliance Police Dept - OH"/>
    <n v="40"/>
    <n v="10"/>
    <n v="12"/>
    <n v="14"/>
    <n v="5"/>
    <n v="2"/>
    <n v="1.4"/>
    <n v="0.5"/>
    <n v="0.2"/>
    <n v="1"/>
    <x v="2"/>
    <s v="18-24 Months"/>
    <x v="0"/>
    <n v="0"/>
    <n v="0"/>
  </r>
  <r>
    <n v="110252"/>
    <s v="Maumee Police Division - OH"/>
    <n v="41"/>
    <n v="41"/>
    <n v="12"/>
    <n v="29"/>
    <n v="20"/>
    <n v="20"/>
    <n v="0.71"/>
    <n v="0.49"/>
    <n v="0.49"/>
    <n v="8"/>
    <x v="2"/>
    <s v="18-24 Months"/>
    <x v="0"/>
    <n v="0"/>
    <n v="0"/>
  </r>
  <r>
    <n v="557455"/>
    <s v="Webb County Sheriff's Office - TX"/>
    <n v="43"/>
    <n v="43"/>
    <n v="12"/>
    <n v="3"/>
    <n v="0"/>
    <n v="0"/>
    <n v="0.04"/>
    <n v="0"/>
    <n v="0"/>
    <n v="0"/>
    <x v="2"/>
    <s v="18-24 Months"/>
    <x v="0"/>
    <n v="0"/>
    <n v="0"/>
  </r>
  <r>
    <n v="422611"/>
    <s v="University of Illinois PD at Urbana-Champaign"/>
    <n v="62"/>
    <n v="72"/>
    <n v="12"/>
    <n v="36"/>
    <n v="0"/>
    <n v="0"/>
    <n v="0.5"/>
    <n v="0"/>
    <n v="0"/>
    <n v="0"/>
    <x v="2"/>
    <s v="18-24 Months"/>
    <x v="0"/>
    <n v="0"/>
    <n v="0"/>
  </r>
  <r>
    <n v="320631"/>
    <s v="Amherst County Sheriff's Office - VA"/>
    <n v="63"/>
    <n v="63"/>
    <n v="12"/>
    <n v="163"/>
    <n v="23"/>
    <n v="8"/>
    <n v="2.59"/>
    <n v="0.37"/>
    <n v="0.13"/>
    <n v="28"/>
    <x v="2"/>
    <s v="18-24 Months"/>
    <x v="0"/>
    <n v="63"/>
    <n v="63"/>
  </r>
  <r>
    <n v="320923"/>
    <s v="Peachtree City Police Dept - GA"/>
    <n v="67"/>
    <n v="80"/>
    <n v="12"/>
    <n v="300"/>
    <n v="94"/>
    <n v="41"/>
    <n v="3.75"/>
    <n v="1.18"/>
    <n v="0.51"/>
    <n v="0"/>
    <x v="2"/>
    <s v="18-24 Months"/>
    <x v="0"/>
    <n v="67"/>
    <n v="67"/>
  </r>
  <r>
    <n v="187670"/>
    <s v="Pender County Sheriff's Office - NC"/>
    <n v="75"/>
    <n v="105"/>
    <n v="12"/>
    <n v="768"/>
    <n v="383"/>
    <n v="68"/>
    <n v="7.31"/>
    <n v="3.65"/>
    <n v="0.65"/>
    <n v="140"/>
    <x v="2"/>
    <s v="18-24 Months"/>
    <x v="1"/>
    <n v="75"/>
    <n v="75"/>
  </r>
  <r>
    <n v="336327"/>
    <s v="Ocoee Police Dept. - FL"/>
    <n v="82"/>
    <n v="119"/>
    <n v="12"/>
    <n v="66"/>
    <n v="33"/>
    <n v="1"/>
    <n v="0.55000000000000004"/>
    <n v="0.28000000000000003"/>
    <n v="0.01"/>
    <n v="6"/>
    <x v="2"/>
    <s v="18-24 Months"/>
    <x v="1"/>
    <n v="0"/>
    <n v="0"/>
  </r>
  <r>
    <n v="109719"/>
    <s v="University of Colorado - Boulder - CO"/>
    <n v="85"/>
    <n v="61"/>
    <n v="12"/>
    <n v="37"/>
    <n v="14"/>
    <n v="0"/>
    <n v="0.61"/>
    <n v="0.23"/>
    <n v="0"/>
    <n v="9"/>
    <x v="2"/>
    <s v="18-24 Months"/>
    <x v="0"/>
    <n v="0"/>
    <n v="0"/>
  </r>
  <r>
    <n v="551353"/>
    <s v="University of Rochester"/>
    <n v="85"/>
    <n v="85"/>
    <n v="12"/>
    <n v="159"/>
    <n v="159"/>
    <n v="47"/>
    <n v="1.87"/>
    <n v="1.87"/>
    <n v="0.55000000000000004"/>
    <n v="29"/>
    <x v="2"/>
    <s v="18-24 Months"/>
    <x v="0"/>
    <n v="85"/>
    <n v="0"/>
  </r>
  <r>
    <n v="117733"/>
    <s v="Lawrenceville Police Dept. - GA"/>
    <n v="90"/>
    <n v="90"/>
    <n v="12"/>
    <n v="373"/>
    <n v="205"/>
    <n v="205"/>
    <n v="4.1399999999999997"/>
    <n v="2.2799999999999998"/>
    <n v="2.2799999999999998"/>
    <n v="0"/>
    <x v="2"/>
    <s v="18-24 Months"/>
    <x v="0"/>
    <n v="90"/>
    <n v="90"/>
  </r>
  <r>
    <n v="459269"/>
    <s v="Brookhaven Police Department - GA"/>
    <n v="104"/>
    <n v="10"/>
    <n v="12"/>
    <n v="345"/>
    <n v="265"/>
    <n v="22"/>
    <n v="34.5"/>
    <n v="26.5"/>
    <n v="2.2000000000000002"/>
    <n v="9"/>
    <x v="2"/>
    <s v="18-24 Months"/>
    <x v="0"/>
    <n v="104"/>
    <n v="104"/>
  </r>
  <r>
    <n v="112511"/>
    <s v="Coppell Police Dept - TX"/>
    <n v="129"/>
    <n v="73"/>
    <n v="12"/>
    <n v="206"/>
    <n v="173"/>
    <n v="17"/>
    <n v="2.82"/>
    <n v="2.37"/>
    <n v="0.23"/>
    <n v="148"/>
    <x v="2"/>
    <s v="18-24 Months"/>
    <x v="0"/>
    <n v="129"/>
    <n v="129"/>
  </r>
  <r>
    <n v="107787"/>
    <s v="Spokane County Sheriff's Office - WA"/>
    <n v="224"/>
    <n v="287"/>
    <n v="12"/>
    <n v="99"/>
    <n v="0"/>
    <n v="0"/>
    <n v="0.34"/>
    <n v="0"/>
    <n v="0"/>
    <n v="0"/>
    <x v="2"/>
    <s v="18-24 Months"/>
    <x v="1"/>
    <n v="0"/>
    <n v="0"/>
  </r>
  <r>
    <n v="107137"/>
    <s v="Rosemont Department of Public Safety - IL"/>
    <n v="255"/>
    <n v="64"/>
    <n v="12"/>
    <n v="34"/>
    <n v="26"/>
    <n v="11"/>
    <n v="0.53"/>
    <n v="0.41"/>
    <n v="0.17"/>
    <n v="0"/>
    <x v="2"/>
    <s v="18-24 Months"/>
    <x v="0"/>
    <n v="0"/>
    <n v="0"/>
  </r>
  <r>
    <n v="158327"/>
    <s v="Gainesville Police Dept. -FL"/>
    <n v="323"/>
    <n v="263"/>
    <n v="12"/>
    <n v="1"/>
    <n v="0"/>
    <n v="0"/>
    <n v="0"/>
    <n v="0"/>
    <n v="0"/>
    <n v="0"/>
    <x v="2"/>
    <s v="18-24 Months"/>
    <x v="1"/>
    <n v="0"/>
    <n v="0"/>
  </r>
  <r>
    <n v="132097"/>
    <s v="Ventura County Sheriff's Office - CA"/>
    <n v="377"/>
    <n v="785"/>
    <n v="12"/>
    <n v="49"/>
    <n v="12"/>
    <n v="0"/>
    <n v="0.06"/>
    <n v="0.02"/>
    <n v="0"/>
    <n v="0"/>
    <x v="2"/>
    <s v="18-24 Months"/>
    <x v="2"/>
    <n v="0"/>
    <n v="0"/>
  </r>
  <r>
    <n v="454367"/>
    <s v="Louisville Metro Department of Corrections - KY"/>
    <n v="403"/>
    <n v="400"/>
    <n v="12"/>
    <n v="326"/>
    <n v="53"/>
    <n v="52"/>
    <n v="0.82"/>
    <n v="0.13"/>
    <n v="0.13"/>
    <n v="2"/>
    <x v="2"/>
    <s v="18-24 Months"/>
    <x v="1"/>
    <n v="0"/>
    <n v="0"/>
  </r>
  <r>
    <n v="133567"/>
    <s v="San Francisco County Sheriff's Dept. - CA"/>
    <n v="432"/>
    <n v="340"/>
    <n v="12"/>
    <n v="75"/>
    <n v="0"/>
    <n v="0"/>
    <n v="0.22"/>
    <n v="0"/>
    <n v="0"/>
    <n v="0"/>
    <x v="2"/>
    <s v="18-24 Months"/>
    <x v="1"/>
    <n v="0"/>
    <n v="0"/>
  </r>
  <r>
    <n v="108787"/>
    <s v="Omaha Police Dept - NE"/>
    <n v="898"/>
    <n v="645"/>
    <n v="12"/>
    <n v="869"/>
    <n v="3"/>
    <n v="3"/>
    <n v="1.35"/>
    <n v="0"/>
    <n v="0"/>
    <n v="3"/>
    <x v="2"/>
    <s v="18-24 Months"/>
    <x v="2"/>
    <n v="0"/>
    <n v="0"/>
  </r>
  <r>
    <n v="323664"/>
    <s v="Louisiana Department of Corrections - LA"/>
    <n v="1240"/>
    <n v="1335"/>
    <n v="12"/>
    <n v="1542"/>
    <n v="1152"/>
    <n v="106"/>
    <n v="1.1599999999999999"/>
    <n v="0.86"/>
    <n v="0.08"/>
    <n v="614"/>
    <x v="2"/>
    <s v="18-24 Months"/>
    <x v="2"/>
    <n v="1240"/>
    <n v="1240"/>
  </r>
  <r>
    <n v="114073"/>
    <s v="Texas Department of Public Safety - TX"/>
    <n v="1328"/>
    <n v="2750"/>
    <n v="12"/>
    <n v="4255"/>
    <n v="3335"/>
    <n v="2387"/>
    <n v="1.55"/>
    <n v="1.21"/>
    <n v="0.87"/>
    <n v="174"/>
    <x v="2"/>
    <s v="18-24 Months"/>
    <x v="2"/>
    <n v="1328"/>
    <n v="1328"/>
  </r>
  <r>
    <n v="114264"/>
    <s v="Catoosa County Sheriff's Office - GA"/>
    <n v="3"/>
    <n v="65"/>
    <n v="11"/>
    <n v="149"/>
    <n v="34"/>
    <n v="4"/>
    <n v="1.66"/>
    <n v="0.38"/>
    <n v="0.04"/>
    <n v="10"/>
    <x v="2"/>
    <s v="18-24 Months"/>
    <x v="0"/>
    <n v="0"/>
    <n v="0"/>
  </r>
  <r>
    <n v="323066"/>
    <s v="Haskell County Sheriff's Office - TX"/>
    <n v="6"/>
    <n v="4"/>
    <n v="11"/>
    <n v="0"/>
    <n v="0"/>
    <n v="0"/>
    <n v="0"/>
    <n v="0"/>
    <n v="0"/>
    <n v="0"/>
    <x v="2"/>
    <s v="18-24 Months"/>
    <x v="0"/>
    <n v="0"/>
    <n v="0"/>
  </r>
  <r>
    <n v="107189"/>
    <s v="Wilmer Police Dept. - TX"/>
    <n v="16"/>
    <n v="25"/>
    <n v="11"/>
    <n v="27"/>
    <n v="21"/>
    <n v="0"/>
    <n v="1.08"/>
    <n v="0.84"/>
    <n v="0"/>
    <n v="0"/>
    <x v="2"/>
    <s v="18-24 Months"/>
    <x v="0"/>
    <n v="16"/>
    <n v="0"/>
  </r>
  <r>
    <n v="172684"/>
    <s v="Virginia Peninsula Regional Jail - VA"/>
    <n v="20"/>
    <n v="15"/>
    <n v="11"/>
    <n v="12"/>
    <n v="4"/>
    <n v="4"/>
    <n v="0.8"/>
    <n v="0.27"/>
    <n v="0.27"/>
    <n v="0"/>
    <x v="2"/>
    <s v="18-24 Months"/>
    <x v="0"/>
    <n v="0"/>
    <n v="0"/>
  </r>
  <r>
    <n v="108766"/>
    <s v="Sullivan Police Department - MO"/>
    <n v="24"/>
    <n v="19"/>
    <n v="11"/>
    <n v="51"/>
    <n v="22"/>
    <n v="0"/>
    <n v="2.68"/>
    <n v="1.1599999999999999"/>
    <n v="0"/>
    <n v="68"/>
    <x v="2"/>
    <s v="18-24 Months"/>
    <x v="0"/>
    <n v="24"/>
    <n v="24"/>
  </r>
  <r>
    <n v="108462"/>
    <s v="Englewood Police Department - OH"/>
    <n v="25"/>
    <n v="25"/>
    <n v="11"/>
    <n v="309"/>
    <n v="184"/>
    <n v="5"/>
    <n v="12.36"/>
    <n v="7.36"/>
    <n v="0.2"/>
    <n v="67"/>
    <x v="2"/>
    <s v="18-24 Months"/>
    <x v="0"/>
    <n v="25"/>
    <n v="25"/>
  </r>
  <r>
    <n v="316023"/>
    <s v="Fremont County Sheriff's Office - ID"/>
    <n v="28"/>
    <n v="26"/>
    <n v="11"/>
    <n v="32"/>
    <n v="7"/>
    <n v="0"/>
    <n v="1.23"/>
    <n v="0.27"/>
    <n v="0"/>
    <n v="0"/>
    <x v="2"/>
    <s v="18-24 Months"/>
    <x v="0"/>
    <n v="0"/>
    <n v="0"/>
  </r>
  <r>
    <n v="552247"/>
    <s v="Syracuse Regional Airport Authority Police Department"/>
    <n v="30"/>
    <n v="25"/>
    <n v="11"/>
    <n v="65"/>
    <n v="27"/>
    <n v="11"/>
    <n v="2.6"/>
    <n v="1.08"/>
    <n v="0.44"/>
    <n v="11"/>
    <x v="2"/>
    <s v="18-24 Months"/>
    <x v="0"/>
    <n v="30"/>
    <n v="30"/>
  </r>
  <r>
    <n v="127501"/>
    <s v="Tavares Police Department - FL"/>
    <n v="33"/>
    <n v="28"/>
    <n v="11"/>
    <n v="49"/>
    <n v="28"/>
    <n v="0"/>
    <n v="1.75"/>
    <n v="1"/>
    <n v="0"/>
    <n v="0"/>
    <x v="2"/>
    <s v="18-24 Months"/>
    <x v="0"/>
    <n v="33"/>
    <n v="0"/>
  </r>
  <r>
    <n v="108635"/>
    <s v="Natrona County Sheriff's Office - WY"/>
    <n v="41"/>
    <n v="109"/>
    <n v="11"/>
    <n v="154"/>
    <n v="75"/>
    <n v="10"/>
    <n v="1.41"/>
    <n v="0.69"/>
    <n v="0.09"/>
    <n v="70"/>
    <x v="2"/>
    <s v="18-24 Months"/>
    <x v="1"/>
    <n v="0"/>
    <n v="0"/>
  </r>
  <r>
    <n v="156114"/>
    <s v="Hampton Police Dept. - GA"/>
    <n v="47"/>
    <n v="25"/>
    <n v="11"/>
    <n v="28"/>
    <n v="0"/>
    <n v="0"/>
    <n v="1.1200000000000001"/>
    <n v="0"/>
    <n v="0"/>
    <n v="0"/>
    <x v="2"/>
    <s v="18-24 Months"/>
    <x v="0"/>
    <n v="0"/>
    <n v="0"/>
  </r>
  <r>
    <n v="114763"/>
    <s v="Manor Police Dept - TX"/>
    <n v="54"/>
    <n v="45"/>
    <n v="11"/>
    <n v="183"/>
    <n v="63"/>
    <n v="18"/>
    <n v="4.07"/>
    <n v="1.4"/>
    <n v="0.4"/>
    <n v="16"/>
    <x v="2"/>
    <s v="18-24 Months"/>
    <x v="0"/>
    <n v="54"/>
    <n v="54"/>
  </r>
  <r>
    <n v="109093"/>
    <s v="North Kansas City Police Dept. - MO"/>
    <n v="58"/>
    <n v="43"/>
    <n v="11"/>
    <n v="137"/>
    <n v="13"/>
    <n v="8"/>
    <n v="3.19"/>
    <n v="0.3"/>
    <n v="0.19"/>
    <n v="0"/>
    <x v="2"/>
    <s v="18-24 Months"/>
    <x v="0"/>
    <n v="58"/>
    <n v="58"/>
  </r>
  <r>
    <n v="111020"/>
    <s v="Durango Police Department - CO"/>
    <n v="67"/>
    <n v="70"/>
    <n v="11"/>
    <n v="173"/>
    <n v="147"/>
    <n v="17"/>
    <n v="2.4700000000000002"/>
    <n v="2.1"/>
    <n v="0.24"/>
    <n v="46"/>
    <x v="2"/>
    <s v="18-24 Months"/>
    <x v="0"/>
    <n v="67"/>
    <n v="67"/>
  </r>
  <r>
    <n v="106627"/>
    <s v="FINNEY COUNTY SHERIFF'S OFFICE- KS"/>
    <n v="80"/>
    <n v="40"/>
    <n v="11"/>
    <n v="51"/>
    <n v="34"/>
    <n v="8"/>
    <n v="1.28"/>
    <n v="0.85"/>
    <n v="0.2"/>
    <n v="21"/>
    <x v="2"/>
    <s v="18-24 Months"/>
    <x v="0"/>
    <n v="80"/>
    <n v="0"/>
  </r>
  <r>
    <n v="109013"/>
    <s v="Hendry County Sheriff's Office - FL"/>
    <n v="80"/>
    <n v="145"/>
    <n v="11"/>
    <n v="28"/>
    <n v="7"/>
    <n v="7"/>
    <n v="0.19"/>
    <n v="0.05"/>
    <n v="0.05"/>
    <n v="2"/>
    <x v="2"/>
    <s v="18-24 Months"/>
    <x v="1"/>
    <n v="0"/>
    <n v="0"/>
  </r>
  <r>
    <n v="109256"/>
    <s v="Seguin Police Dept. - TX"/>
    <n v="82"/>
    <n v="75"/>
    <n v="11"/>
    <n v="85"/>
    <n v="9"/>
    <n v="0"/>
    <n v="1.1299999999999999"/>
    <n v="0.12"/>
    <n v="0"/>
    <n v="0"/>
    <x v="2"/>
    <s v="18-24 Months"/>
    <x v="0"/>
    <n v="0"/>
    <n v="0"/>
  </r>
  <r>
    <n v="113335"/>
    <s v="Jeffersonville Police Department - IN"/>
    <n v="84"/>
    <n v="90"/>
    <n v="11"/>
    <n v="370"/>
    <n v="28"/>
    <n v="17"/>
    <n v="4.1100000000000003"/>
    <n v="0.31"/>
    <n v="0.19"/>
    <n v="74"/>
    <x v="2"/>
    <s v="18-24 Months"/>
    <x v="0"/>
    <n v="84"/>
    <n v="84"/>
  </r>
  <r>
    <n v="106135"/>
    <s v="Commerce City Police Department - CO"/>
    <n v="92"/>
    <n v="145"/>
    <n v="11"/>
    <n v="417"/>
    <n v="375"/>
    <n v="23"/>
    <n v="2.88"/>
    <n v="2.59"/>
    <n v="0.16"/>
    <n v="4"/>
    <x v="2"/>
    <s v="18-24 Months"/>
    <x v="1"/>
    <n v="92"/>
    <n v="92"/>
  </r>
  <r>
    <n v="100239"/>
    <s v="Culver City Police Department - CA"/>
    <n v="100"/>
    <n v="100"/>
    <n v="11"/>
    <n v="133"/>
    <n v="0"/>
    <n v="0"/>
    <n v="1.33"/>
    <n v="0"/>
    <n v="0"/>
    <n v="0"/>
    <x v="2"/>
    <s v="18-24 Months"/>
    <x v="1"/>
    <n v="0"/>
    <n v="0"/>
  </r>
  <r>
    <n v="106197"/>
    <s v="Town of Tonawanda Police Department - NY"/>
    <n v="100"/>
    <n v="100"/>
    <n v="11"/>
    <n v="9"/>
    <n v="9"/>
    <n v="9"/>
    <n v="0.09"/>
    <n v="0.09"/>
    <n v="0.09"/>
    <n v="14"/>
    <x v="2"/>
    <s v="18-24 Months"/>
    <x v="1"/>
    <n v="0"/>
    <n v="0"/>
  </r>
  <r>
    <n v="198611"/>
    <s v="Malden Police Department - MA"/>
    <n v="105"/>
    <n v="105"/>
    <n v="11"/>
    <n v="345"/>
    <n v="34"/>
    <n v="10"/>
    <n v="3.29"/>
    <n v="0.32"/>
    <n v="0.1"/>
    <n v="0"/>
    <x v="2"/>
    <s v="18-24 Months"/>
    <x v="1"/>
    <n v="105"/>
    <n v="105"/>
  </r>
  <r>
    <n v="108792"/>
    <s v="Sarpy County Sheriff's - NE"/>
    <n v="106"/>
    <n v="130"/>
    <n v="11"/>
    <n v="462"/>
    <n v="93"/>
    <n v="31"/>
    <n v="3.55"/>
    <n v="0.72"/>
    <n v="0.24"/>
    <n v="8"/>
    <x v="2"/>
    <s v="18-24 Months"/>
    <x v="1"/>
    <n v="106"/>
    <n v="106"/>
  </r>
  <r>
    <n v="115661"/>
    <s v="Napa County Sheriff's Office - CA"/>
    <n v="107"/>
    <n v="125"/>
    <n v="11"/>
    <n v="50"/>
    <n v="9"/>
    <n v="0"/>
    <n v="0.4"/>
    <n v="7.0000000000000007E-2"/>
    <n v="0"/>
    <n v="0"/>
    <x v="2"/>
    <s v="18-24 Months"/>
    <x v="1"/>
    <n v="0"/>
    <n v="0"/>
  </r>
  <r>
    <n v="112966"/>
    <s v="Missoula Police Dept. - MT"/>
    <n v="136"/>
    <n v="119"/>
    <n v="11"/>
    <n v="375"/>
    <n v="14"/>
    <n v="0"/>
    <n v="3.18"/>
    <n v="0.12"/>
    <n v="0"/>
    <n v="0"/>
    <x v="2"/>
    <s v="18-24 Months"/>
    <x v="1"/>
    <n v="136"/>
    <n v="136"/>
  </r>
  <r>
    <n v="451087"/>
    <s v="Richardson Police Department - TX"/>
    <n v="191"/>
    <n v="180"/>
    <n v="11"/>
    <n v="777"/>
    <n v="467"/>
    <n v="291"/>
    <n v="4.32"/>
    <n v="2.59"/>
    <n v="1.62"/>
    <n v="1"/>
    <x v="2"/>
    <s v="18-24 Months"/>
    <x v="1"/>
    <n v="191"/>
    <n v="191"/>
  </r>
  <r>
    <n v="106669"/>
    <s v="Olmsted County Sheriff's Office - MN"/>
    <n v="200"/>
    <n v="83"/>
    <n v="11"/>
    <n v="958"/>
    <n v="237"/>
    <n v="181"/>
    <n v="11.54"/>
    <n v="2.86"/>
    <n v="2.1800000000000002"/>
    <n v="5"/>
    <x v="2"/>
    <s v="18-24 Months"/>
    <x v="0"/>
    <n v="200"/>
    <n v="200"/>
  </r>
  <r>
    <n v="499976"/>
    <s v="City of South Fulton Police Department - GA"/>
    <n v="266"/>
    <n v="236"/>
    <n v="11"/>
    <n v="257"/>
    <n v="7"/>
    <n v="1"/>
    <n v="1.0900000000000001"/>
    <n v="0.03"/>
    <n v="0"/>
    <n v="13"/>
    <x v="2"/>
    <s v="18-24 Months"/>
    <x v="1"/>
    <n v="0"/>
    <n v="0"/>
  </r>
  <r>
    <n v="308856"/>
    <s v="Orleans Parish Sheriff's Dept. - LA"/>
    <n v="275"/>
    <n v="350"/>
    <n v="11"/>
    <n v="55"/>
    <n v="23"/>
    <n v="10"/>
    <n v="0.16"/>
    <n v="7.0000000000000007E-2"/>
    <n v="0.03"/>
    <n v="36"/>
    <x v="2"/>
    <s v="18-24 Months"/>
    <x v="1"/>
    <n v="0"/>
    <n v="0"/>
  </r>
  <r>
    <n v="113592"/>
    <s v="Monroe County Sheriff's Dept. - NY"/>
    <n v="438"/>
    <n v="320"/>
    <n v="11"/>
    <n v="419"/>
    <n v="372"/>
    <n v="309"/>
    <n v="1.31"/>
    <n v="1.1599999999999999"/>
    <n v="0.97"/>
    <n v="120"/>
    <x v="2"/>
    <s v="18-24 Months"/>
    <x v="1"/>
    <n v="438"/>
    <n v="0"/>
  </r>
  <r>
    <n v="109867"/>
    <s v="Manatee County Sheriff's Office - FL"/>
    <n v="558"/>
    <n v="830"/>
    <n v="11"/>
    <n v="1461"/>
    <n v="1461"/>
    <n v="1304"/>
    <n v="1.76"/>
    <n v="1.76"/>
    <n v="1.57"/>
    <n v="74"/>
    <x v="2"/>
    <s v="18-24 Months"/>
    <x v="2"/>
    <n v="558"/>
    <n v="558"/>
  </r>
  <r>
    <n v="105702"/>
    <s v="Tampa Police Department - FL"/>
    <n v="928"/>
    <n v="1000"/>
    <n v="11"/>
    <n v="1795"/>
    <n v="1068"/>
    <n v="99"/>
    <n v="1.8"/>
    <n v="1.07"/>
    <n v="0.1"/>
    <n v="63"/>
    <x v="2"/>
    <s v="18-24 Months"/>
    <x v="2"/>
    <n v="928"/>
    <n v="928"/>
  </r>
  <r>
    <n v="108490"/>
    <s v="HILLSBOROUGH CO SHERIFF'S OFFICE - FL"/>
    <n v="2088"/>
    <n v="2580"/>
    <n v="11"/>
    <n v="2047"/>
    <n v="33"/>
    <n v="0"/>
    <n v="0.79"/>
    <n v="0.01"/>
    <n v="0"/>
    <n v="5"/>
    <x v="2"/>
    <s v="18-24 Months"/>
    <x v="2"/>
    <n v="0"/>
    <n v="0"/>
  </r>
  <r>
    <n v="108541"/>
    <s v="Maryland State Police - MD"/>
    <n v="2325"/>
    <n v="750"/>
    <n v="11"/>
    <n v="3080"/>
    <n v="1544"/>
    <n v="304"/>
    <n v="4.1100000000000003"/>
    <n v="2.06"/>
    <n v="0.41"/>
    <n v="1733"/>
    <x v="2"/>
    <s v="18-24 Months"/>
    <x v="2"/>
    <n v="2325"/>
    <n v="2325"/>
  </r>
  <r>
    <n v="113444"/>
    <s v="Alachua Police Dept.- FL"/>
    <n v="2"/>
    <n v="34"/>
    <n v="10"/>
    <n v="8"/>
    <n v="0"/>
    <n v="0"/>
    <n v="0.24"/>
    <n v="0"/>
    <n v="0"/>
    <n v="0"/>
    <x v="2"/>
    <s v="18-24 Months"/>
    <x v="0"/>
    <n v="0"/>
    <n v="0"/>
  </r>
  <r>
    <n v="570556"/>
    <s v="MBTA Transit Police Department - MA"/>
    <n v="3"/>
    <n v="35"/>
    <n v="10"/>
    <n v="104"/>
    <n v="85"/>
    <n v="0"/>
    <n v="2.97"/>
    <n v="2.4300000000000002"/>
    <n v="0"/>
    <n v="0"/>
    <x v="2"/>
    <s v="18-24 Months"/>
    <x v="0"/>
    <n v="3"/>
    <n v="3"/>
  </r>
  <r>
    <n v="468524"/>
    <s v="Moody County Sheriff's Office - SD"/>
    <n v="8"/>
    <n v="7"/>
    <n v="10"/>
    <n v="11"/>
    <n v="0"/>
    <n v="0"/>
    <n v="1.57"/>
    <n v="0"/>
    <n v="0"/>
    <n v="0"/>
    <x v="2"/>
    <s v="18-24 Months"/>
    <x v="0"/>
    <n v="0"/>
    <n v="0"/>
  </r>
  <r>
    <n v="109149"/>
    <s v="Madison Police Department - IL"/>
    <n v="14"/>
    <n v="14"/>
    <n v="10"/>
    <n v="71"/>
    <n v="0"/>
    <n v="0"/>
    <n v="5.07"/>
    <n v="0"/>
    <n v="0"/>
    <n v="0"/>
    <x v="2"/>
    <s v="18-24 Months"/>
    <x v="0"/>
    <n v="14"/>
    <n v="14"/>
  </r>
  <r>
    <n v="480877"/>
    <s v="South Carolina State University - SC"/>
    <n v="15"/>
    <n v="15"/>
    <n v="10"/>
    <n v="31"/>
    <n v="3"/>
    <n v="3"/>
    <n v="2.0699999999999998"/>
    <n v="0.2"/>
    <n v="0.2"/>
    <n v="5"/>
    <x v="2"/>
    <s v="18-24 Months"/>
    <x v="0"/>
    <n v="15"/>
    <n v="15"/>
  </r>
  <r>
    <n v="106841"/>
    <s v="El Centro Police Dept. - CA"/>
    <n v="20"/>
    <n v="54"/>
    <n v="10"/>
    <n v="35"/>
    <n v="1"/>
    <n v="0"/>
    <n v="0.65"/>
    <n v="0.02"/>
    <n v="0"/>
    <n v="0"/>
    <x v="2"/>
    <s v="18-24 Months"/>
    <x v="0"/>
    <n v="0"/>
    <n v="0"/>
  </r>
  <r>
    <n v="108566"/>
    <s v="Collier County Sheriff's Office - FL"/>
    <n v="20"/>
    <n v="550"/>
    <n v="10"/>
    <n v="240"/>
    <n v="107"/>
    <n v="12"/>
    <n v="0.44"/>
    <n v="0.19"/>
    <n v="0.02"/>
    <n v="24"/>
    <x v="2"/>
    <s v="18-24 Months"/>
    <x v="2"/>
    <n v="0"/>
    <n v="0"/>
  </r>
  <r>
    <n v="513206"/>
    <s v="Marshall Police Dept. - MO"/>
    <n v="22"/>
    <n v="14"/>
    <n v="10"/>
    <n v="0"/>
    <n v="0"/>
    <n v="0"/>
    <n v="0"/>
    <n v="0"/>
    <n v="0"/>
    <n v="0"/>
    <x v="2"/>
    <s v="18-24 Months"/>
    <x v="0"/>
    <n v="0"/>
    <n v="0"/>
  </r>
  <r>
    <n v="112545"/>
    <s v="Eagle Point Police Dept. - OR"/>
    <n v="25"/>
    <n v="15"/>
    <n v="10"/>
    <n v="185"/>
    <n v="6"/>
    <n v="2"/>
    <n v="12.33"/>
    <n v="0.4"/>
    <n v="0.13"/>
    <n v="0"/>
    <x v="2"/>
    <s v="18-24 Months"/>
    <x v="0"/>
    <n v="25"/>
    <n v="25"/>
  </r>
  <r>
    <n v="122506"/>
    <s v="Fruitland Park Police Dept.-FL"/>
    <n v="25"/>
    <n v="24"/>
    <n v="10"/>
    <n v="1"/>
    <n v="0"/>
    <n v="0"/>
    <n v="0.04"/>
    <n v="0"/>
    <n v="0"/>
    <n v="0"/>
    <x v="2"/>
    <s v="18-24 Months"/>
    <x v="0"/>
    <n v="0"/>
    <n v="0"/>
  </r>
  <r>
    <n v="493856"/>
    <s v="Erie School District Police Dept - PA"/>
    <n v="25"/>
    <n v="2"/>
    <n v="10"/>
    <n v="68"/>
    <n v="48"/>
    <n v="0"/>
    <n v="34"/>
    <n v="24"/>
    <n v="0"/>
    <n v="41"/>
    <x v="2"/>
    <s v="18-24 Months"/>
    <x v="0"/>
    <n v="25"/>
    <n v="25"/>
  </r>
  <r>
    <n v="521948"/>
    <s v="Delaware State Fire Marshal's Office"/>
    <n v="25"/>
    <n v="17"/>
    <n v="10"/>
    <n v="70"/>
    <n v="65"/>
    <n v="65"/>
    <n v="4.12"/>
    <n v="3.82"/>
    <n v="3.82"/>
    <n v="2"/>
    <x v="2"/>
    <s v="18-24 Months"/>
    <x v="0"/>
    <n v="25"/>
    <n v="25"/>
  </r>
  <r>
    <n v="209176"/>
    <s v="Town of Frankfort Police Dept. - NY"/>
    <n v="26"/>
    <n v="40"/>
    <n v="10"/>
    <n v="0"/>
    <n v="0"/>
    <n v="0"/>
    <n v="0"/>
    <n v="0"/>
    <n v="0"/>
    <n v="0"/>
    <x v="2"/>
    <s v="18-24 Months"/>
    <x v="0"/>
    <n v="0"/>
    <n v="0"/>
  </r>
  <r>
    <n v="108354"/>
    <s v="Niceville Police Dept. - FL"/>
    <n v="35"/>
    <n v="35"/>
    <n v="10"/>
    <n v="182"/>
    <n v="18"/>
    <n v="1"/>
    <n v="5.2"/>
    <n v="0.51"/>
    <n v="0.03"/>
    <n v="45"/>
    <x v="2"/>
    <s v="18-24 Months"/>
    <x v="0"/>
    <n v="35"/>
    <n v="35"/>
  </r>
  <r>
    <n v="117857"/>
    <s v="CADDO PARISH SHERIFF'S OFFICE - LA"/>
    <n v="38"/>
    <n v="230"/>
    <n v="10"/>
    <n v="56"/>
    <n v="34"/>
    <n v="11"/>
    <n v="0.24"/>
    <n v="0.15"/>
    <n v="0.05"/>
    <n v="5"/>
    <x v="2"/>
    <s v="18-24 Months"/>
    <x v="1"/>
    <n v="0"/>
    <n v="0"/>
  </r>
  <r>
    <n v="149335"/>
    <s v="Decatur County Sheriff's Office - IN"/>
    <n v="47"/>
    <n v="42"/>
    <n v="10"/>
    <n v="307"/>
    <n v="3"/>
    <n v="3"/>
    <n v="7.31"/>
    <n v="7.0000000000000007E-2"/>
    <n v="7.0000000000000007E-2"/>
    <n v="0"/>
    <x v="2"/>
    <s v="18-24 Months"/>
    <x v="0"/>
    <n v="47"/>
    <n v="47"/>
  </r>
  <r>
    <n v="108106"/>
    <s v="Greenbelt Police Dept. - MD"/>
    <n v="51"/>
    <n v="35"/>
    <n v="10"/>
    <n v="96"/>
    <n v="77"/>
    <n v="25"/>
    <n v="2.74"/>
    <n v="2.2000000000000002"/>
    <n v="0.71"/>
    <n v="80"/>
    <x v="2"/>
    <s v="18-24 Months"/>
    <x v="0"/>
    <n v="51"/>
    <n v="51"/>
  </r>
  <r>
    <n v="114759"/>
    <s v="Williams County Sheriff's Office - ND"/>
    <n v="51"/>
    <n v="67"/>
    <n v="10"/>
    <n v="298"/>
    <n v="29"/>
    <n v="26"/>
    <n v="4.45"/>
    <n v="0.43"/>
    <n v="0.39"/>
    <n v="13"/>
    <x v="2"/>
    <s v="18-24 Months"/>
    <x v="0"/>
    <n v="51"/>
    <n v="51"/>
  </r>
  <r>
    <n v="204302"/>
    <s v="Carteret County Sheriff's Office - NC"/>
    <n v="55"/>
    <n v="50"/>
    <n v="10"/>
    <n v="59"/>
    <n v="45"/>
    <n v="2"/>
    <n v="1.18"/>
    <n v="0.9"/>
    <n v="0.04"/>
    <n v="0"/>
    <x v="2"/>
    <s v="18-24 Months"/>
    <x v="0"/>
    <n v="55"/>
    <n v="0"/>
  </r>
  <r>
    <n v="310911"/>
    <s v="Lockport Police Dept. - NY"/>
    <n v="58"/>
    <n v="51"/>
    <n v="10"/>
    <n v="263"/>
    <n v="26"/>
    <n v="0"/>
    <n v="5.16"/>
    <n v="0.51"/>
    <n v="0"/>
    <n v="0"/>
    <x v="2"/>
    <s v="18-24 Months"/>
    <x v="0"/>
    <n v="58"/>
    <n v="58"/>
  </r>
  <r>
    <n v="108877"/>
    <s v="Westfield Police Department - IN"/>
    <n v="63"/>
    <n v="81"/>
    <n v="10"/>
    <n v="99"/>
    <n v="31"/>
    <n v="6"/>
    <n v="1.22"/>
    <n v="0.38"/>
    <n v="7.0000000000000007E-2"/>
    <n v="13"/>
    <x v="2"/>
    <s v="18-24 Months"/>
    <x v="0"/>
    <n v="0"/>
    <n v="0"/>
  </r>
  <r>
    <n v="112627"/>
    <s v="Birmingham Police Dept. - MI"/>
    <n v="71"/>
    <n v="35"/>
    <n v="10"/>
    <n v="90"/>
    <n v="4"/>
    <n v="0"/>
    <n v="2.57"/>
    <n v="0.11"/>
    <n v="0"/>
    <n v="0"/>
    <x v="2"/>
    <s v="18-24 Months"/>
    <x v="0"/>
    <n v="71"/>
    <n v="71"/>
  </r>
  <r>
    <n v="112546"/>
    <s v="Mooresville Police Dept. - NC"/>
    <n v="82"/>
    <n v="130"/>
    <n v="10"/>
    <n v="369"/>
    <n v="346"/>
    <n v="344"/>
    <n v="2.84"/>
    <n v="2.66"/>
    <n v="2.65"/>
    <n v="78"/>
    <x v="2"/>
    <s v="18-24 Months"/>
    <x v="1"/>
    <n v="82"/>
    <n v="82"/>
  </r>
  <r>
    <n v="131884"/>
    <s v="Putnam County Sheriff's Office - NY"/>
    <n v="82"/>
    <n v="95"/>
    <n v="10"/>
    <n v="89"/>
    <n v="0"/>
    <n v="0"/>
    <n v="0.94"/>
    <n v="0"/>
    <n v="0"/>
    <n v="0"/>
    <x v="2"/>
    <s v="18-24 Months"/>
    <x v="0"/>
    <n v="0"/>
    <n v="0"/>
  </r>
  <r>
    <n v="109374"/>
    <s v="Portsmouth Police Dept - NH"/>
    <n v="101"/>
    <n v="100"/>
    <n v="10"/>
    <n v="494"/>
    <n v="45"/>
    <n v="24"/>
    <n v="4.9400000000000004"/>
    <n v="0.45"/>
    <n v="0.24"/>
    <n v="6"/>
    <x v="2"/>
    <s v="18-24 Months"/>
    <x v="1"/>
    <n v="101"/>
    <n v="101"/>
  </r>
  <r>
    <n v="465967"/>
    <s v="Forest Preserves of Cook County Police Dept. - IL"/>
    <n v="109"/>
    <n v="125"/>
    <n v="10"/>
    <n v="30"/>
    <n v="0"/>
    <n v="0"/>
    <n v="0.24"/>
    <n v="0"/>
    <n v="0"/>
    <n v="2"/>
    <x v="2"/>
    <s v="18-24 Months"/>
    <x v="1"/>
    <n v="0"/>
    <n v="0"/>
  </r>
  <r>
    <n v="110526"/>
    <s v="Wilson Police Department - NC"/>
    <n v="119"/>
    <n v="125"/>
    <n v="10"/>
    <n v="407"/>
    <n v="37"/>
    <n v="20"/>
    <n v="3.26"/>
    <n v="0.3"/>
    <n v="0.16"/>
    <n v="354"/>
    <x v="2"/>
    <s v="18-24 Months"/>
    <x v="1"/>
    <n v="119"/>
    <n v="119"/>
  </r>
  <r>
    <n v="116147"/>
    <s v="Elk Grove Police Dept. - CA"/>
    <n v="128"/>
    <n v="201"/>
    <n v="10"/>
    <n v="250"/>
    <n v="202"/>
    <n v="0"/>
    <n v="1.32"/>
    <n v="1.06"/>
    <n v="0"/>
    <n v="42"/>
    <x v="2"/>
    <s v="18-24 Months"/>
    <x v="1"/>
    <n v="128"/>
    <n v="0"/>
  </r>
  <r>
    <n v="112610"/>
    <s v="City of Bend, Police Dept -OR"/>
    <n v="144"/>
    <n v="126"/>
    <n v="10"/>
    <n v="279"/>
    <n v="37"/>
    <n v="8"/>
    <n v="2.21"/>
    <n v="0.28999999999999998"/>
    <n v="0.06"/>
    <n v="6"/>
    <x v="2"/>
    <s v="18-24 Months"/>
    <x v="1"/>
    <n v="144"/>
    <n v="144"/>
  </r>
  <r>
    <n v="113502"/>
    <s v="Coconut Creek Police Dept - FL"/>
    <n v="145"/>
    <n v="128"/>
    <n v="10"/>
    <n v="6"/>
    <n v="0"/>
    <n v="0"/>
    <n v="0.05"/>
    <n v="0"/>
    <n v="0"/>
    <n v="0"/>
    <x v="2"/>
    <s v="18-24 Months"/>
    <x v="1"/>
    <n v="0"/>
    <n v="0"/>
  </r>
  <r>
    <n v="210651"/>
    <s v="Doral Police Dept. - FL"/>
    <n v="150"/>
    <n v="180"/>
    <n v="10"/>
    <n v="0"/>
    <n v="0"/>
    <n v="0"/>
    <n v="0"/>
    <n v="0"/>
    <n v="0"/>
    <n v="0"/>
    <x v="2"/>
    <s v="18-24 Months"/>
    <x v="1"/>
    <n v="0"/>
    <n v="0"/>
  </r>
  <r>
    <n v="112577"/>
    <s v="Sparks Police Dept. - NV"/>
    <n v="202"/>
    <n v="134"/>
    <n v="10"/>
    <n v="94"/>
    <n v="49"/>
    <n v="2"/>
    <n v="0.7"/>
    <n v="0.37"/>
    <n v="0.01"/>
    <n v="7"/>
    <x v="2"/>
    <s v="18-24 Months"/>
    <x v="1"/>
    <n v="0"/>
    <n v="0"/>
  </r>
  <r>
    <n v="134938"/>
    <s v="Greeley Police Dept. - CO"/>
    <n v="204"/>
    <n v="193"/>
    <n v="10"/>
    <n v="40"/>
    <n v="10"/>
    <n v="10"/>
    <n v="0.21"/>
    <n v="0.05"/>
    <n v="0.05"/>
    <n v="0"/>
    <x v="2"/>
    <s v="18-24 Months"/>
    <x v="1"/>
    <n v="0"/>
    <n v="0"/>
  </r>
  <r>
    <n v="321833"/>
    <s v="Fort Collins Police Services - CO"/>
    <n v="206"/>
    <n v="250"/>
    <n v="10"/>
    <n v="729"/>
    <n v="65"/>
    <n v="65"/>
    <n v="2.92"/>
    <n v="0.26"/>
    <n v="0.26"/>
    <n v="0"/>
    <x v="2"/>
    <s v="18-24 Months"/>
    <x v="1"/>
    <n v="206"/>
    <n v="206"/>
  </r>
  <r>
    <n v="129364"/>
    <s v="Denton Police Dept. - TX"/>
    <n v="209"/>
    <n v="233"/>
    <n v="10"/>
    <n v="1767"/>
    <n v="1695"/>
    <n v="1468"/>
    <n v="7.58"/>
    <n v="7.27"/>
    <n v="6.3"/>
    <n v="62"/>
    <x v="2"/>
    <s v="18-24 Months"/>
    <x v="1"/>
    <n v="209"/>
    <n v="209"/>
  </r>
  <r>
    <n v="108362"/>
    <s v="Merced County Sheriff's Dept. - HQ"/>
    <n v="215"/>
    <n v="290"/>
    <n v="10"/>
    <n v="6"/>
    <n v="6"/>
    <n v="5"/>
    <n v="0.02"/>
    <n v="0.02"/>
    <n v="0.02"/>
    <n v="5"/>
    <x v="2"/>
    <s v="18-24 Months"/>
    <x v="1"/>
    <n v="0"/>
    <n v="0"/>
  </r>
  <r>
    <n v="129244"/>
    <s v="Cuyahoga County Sheriff's Office - OH"/>
    <n v="215"/>
    <n v="1050"/>
    <n v="10"/>
    <n v="147"/>
    <n v="70"/>
    <n v="70"/>
    <n v="0.14000000000000001"/>
    <n v="7.0000000000000007E-2"/>
    <n v="7.0000000000000007E-2"/>
    <n v="134"/>
    <x v="2"/>
    <s v="18-24 Months"/>
    <x v="2"/>
    <n v="0"/>
    <n v="0"/>
  </r>
  <r>
    <n v="109685"/>
    <s v="Broomfield Police Dept. - CO"/>
    <n v="219"/>
    <n v="218"/>
    <n v="10"/>
    <n v="233"/>
    <n v="105"/>
    <n v="2"/>
    <n v="1.07"/>
    <n v="0.48"/>
    <n v="0.01"/>
    <n v="0"/>
    <x v="2"/>
    <s v="18-24 Months"/>
    <x v="1"/>
    <n v="0"/>
    <n v="0"/>
  </r>
  <r>
    <n v="491705"/>
    <s v="Regional Transportation District Police - CO"/>
    <n v="226"/>
    <n v="140"/>
    <n v="10"/>
    <n v="131"/>
    <n v="78"/>
    <n v="31"/>
    <n v="0.94"/>
    <n v="0.56000000000000005"/>
    <n v="0.22"/>
    <n v="229"/>
    <x v="2"/>
    <s v="18-24 Months"/>
    <x v="1"/>
    <n v="0"/>
    <n v="0"/>
  </r>
  <r>
    <n v="107989"/>
    <s v="Ada County Sheriff's Office - ID"/>
    <n v="236"/>
    <n v="255"/>
    <n v="10"/>
    <n v="886"/>
    <n v="344"/>
    <n v="234"/>
    <n v="3.47"/>
    <n v="1.35"/>
    <n v="0.92"/>
    <n v="1"/>
    <x v="2"/>
    <s v="18-24 Months"/>
    <x v="1"/>
    <n v="236"/>
    <n v="236"/>
  </r>
  <r>
    <n v="471191"/>
    <s v="Saint John Parish Sheriff's Office - LA"/>
    <n v="239"/>
    <n v="190"/>
    <n v="10"/>
    <n v="827"/>
    <n v="83"/>
    <n v="38"/>
    <n v="4.3499999999999996"/>
    <n v="0.44"/>
    <n v="0.2"/>
    <n v="75"/>
    <x v="2"/>
    <s v="18-24 Months"/>
    <x v="1"/>
    <n v="239"/>
    <n v="239"/>
  </r>
  <r>
    <n v="105751"/>
    <s v="Westminster Police Dept. - CO"/>
    <n v="248"/>
    <n v="205"/>
    <n v="10"/>
    <n v="478"/>
    <n v="204"/>
    <n v="104"/>
    <n v="2.33"/>
    <n v="1"/>
    <n v="0.51"/>
    <n v="39"/>
    <x v="2"/>
    <s v="18-24 Months"/>
    <x v="1"/>
    <n v="248"/>
    <n v="248"/>
  </r>
  <r>
    <n v="110404"/>
    <s v="Boca Raton Police Dept - FL"/>
    <n v="248"/>
    <n v="227"/>
    <n v="10"/>
    <n v="522"/>
    <n v="72"/>
    <n v="35"/>
    <n v="2.2999999999999998"/>
    <n v="0.32"/>
    <n v="0.15"/>
    <n v="3"/>
    <x v="2"/>
    <s v="18-24 Months"/>
    <x v="1"/>
    <n v="248"/>
    <n v="248"/>
  </r>
  <r>
    <n v="109205"/>
    <s v="Indian River County Sheriff's Office - FL"/>
    <n v="249"/>
    <n v="429"/>
    <n v="10"/>
    <n v="19"/>
    <n v="14"/>
    <n v="0"/>
    <n v="0.04"/>
    <n v="0.03"/>
    <n v="0"/>
    <n v="83"/>
    <x v="2"/>
    <s v="18-24 Months"/>
    <x v="1"/>
    <n v="0"/>
    <n v="0"/>
  </r>
  <r>
    <n v="110600"/>
    <s v="Flagler County Sheriff's Office - FL"/>
    <n v="255"/>
    <n v="262"/>
    <n v="10"/>
    <n v="650"/>
    <n v="545"/>
    <n v="10"/>
    <n v="2.48"/>
    <n v="2.08"/>
    <n v="0.04"/>
    <n v="140"/>
    <x v="2"/>
    <s v="18-24 Months"/>
    <x v="1"/>
    <n v="255"/>
    <n v="255"/>
  </r>
  <r>
    <n v="309995"/>
    <s v="Huntsville Police Department - AL"/>
    <n v="458"/>
    <n v="450"/>
    <n v="10"/>
    <n v="868"/>
    <n v="113"/>
    <n v="4"/>
    <n v="1.93"/>
    <n v="0.25"/>
    <n v="0.01"/>
    <n v="73"/>
    <x v="2"/>
    <s v="18-24 Months"/>
    <x v="1"/>
    <n v="0"/>
    <n v="0"/>
  </r>
  <r>
    <n v="107824"/>
    <s v="Jefferson County Sheriff's Office - CO"/>
    <n v="565"/>
    <n v="505"/>
    <n v="10"/>
    <n v="1367"/>
    <n v="692"/>
    <n v="103"/>
    <n v="2.71"/>
    <n v="1.37"/>
    <n v="0.2"/>
    <n v="23"/>
    <x v="2"/>
    <s v="18-24 Months"/>
    <x v="1"/>
    <n v="565"/>
    <n v="565"/>
  </r>
  <r>
    <n v="127250"/>
    <s v="Bakersfield Police Dept. - CA"/>
    <n v="625"/>
    <n v="470"/>
    <n v="10"/>
    <n v="945"/>
    <n v="866"/>
    <n v="267"/>
    <n v="2.0099999999999998"/>
    <n v="1.84"/>
    <n v="0.56999999999999995"/>
    <n v="29"/>
    <x v="2"/>
    <s v="18-24 Months"/>
    <x v="1"/>
    <n v="625"/>
    <n v="625"/>
  </r>
  <r>
    <n v="107206"/>
    <s v="Long Beach Police Dept. - CA"/>
    <n v="896"/>
    <n v="859"/>
    <n v="10"/>
    <n v="657"/>
    <n v="649"/>
    <n v="594"/>
    <n v="0.76"/>
    <n v="0.76"/>
    <n v="0.69"/>
    <n v="46"/>
    <x v="2"/>
    <s v="18-24 Months"/>
    <x v="2"/>
    <n v="896"/>
    <n v="896"/>
  </r>
  <r>
    <n v="106562"/>
    <s v="Cleveland Police Dept. - OH"/>
    <n v="1200"/>
    <n v="1200"/>
    <n v="10"/>
    <n v="0"/>
    <n v="0"/>
    <n v="0"/>
    <n v="0"/>
    <n v="0"/>
    <n v="0"/>
    <n v="0"/>
    <x v="2"/>
    <s v="18-24 Months"/>
    <x v="2"/>
    <n v="0"/>
    <n v="0"/>
  </r>
  <r>
    <n v="116660"/>
    <s v="Albuquerque Police Dept. - NM"/>
    <n v="1335"/>
    <n v="1300"/>
    <n v="10"/>
    <n v="3299"/>
    <n v="2288"/>
    <n v="347"/>
    <n v="2.54"/>
    <n v="1.76"/>
    <n v="0.27"/>
    <n v="3361"/>
    <x v="2"/>
    <s v="18-24 Months"/>
    <x v="2"/>
    <n v="1335"/>
    <n v="1335"/>
  </r>
  <r>
    <n v="109744"/>
    <s v="Orange County Sheriff's Office - FL"/>
    <n v="1970"/>
    <n v="1962"/>
    <n v="10"/>
    <n v="72"/>
    <n v="16"/>
    <n v="6"/>
    <n v="0.04"/>
    <n v="0.01"/>
    <n v="0"/>
    <n v="5"/>
    <x v="2"/>
    <s v="18-24 Months"/>
    <x v="2"/>
    <n v="0"/>
    <n v="0"/>
  </r>
  <r>
    <n v="114601"/>
    <s v="Baltimore County Police Dept. - MD"/>
    <n v="2194"/>
    <n v="1703"/>
    <n v="10"/>
    <n v="5270"/>
    <n v="4598"/>
    <n v="1829"/>
    <n v="3.09"/>
    <n v="2.7"/>
    <n v="1.07"/>
    <n v="7055"/>
    <x v="2"/>
    <s v="18-24 Months"/>
    <x v="2"/>
    <n v="2194"/>
    <n v="2194"/>
  </r>
  <r>
    <n v="105469"/>
    <s v="San Bernardino County Sheriff's Dept. - CA"/>
    <n v="2248"/>
    <n v="1000"/>
    <n v="10"/>
    <n v="5114"/>
    <n v="664"/>
    <n v="211"/>
    <n v="5.1100000000000003"/>
    <n v="0.66"/>
    <n v="0.21"/>
    <n v="20"/>
    <x v="2"/>
    <s v="18-24 Months"/>
    <x v="2"/>
    <n v="2248"/>
    <n v="2248"/>
  </r>
  <r>
    <n v="327797"/>
    <s v="Philadelphia Police Dept. - PA"/>
    <n v="4184"/>
    <n v="4500"/>
    <n v="10"/>
    <n v="711"/>
    <n v="450"/>
    <n v="253"/>
    <n v="0.16"/>
    <n v="0.1"/>
    <n v="0.06"/>
    <n v="568"/>
    <x v="2"/>
    <s v="18-24 Months"/>
    <x v="2"/>
    <n v="0"/>
    <n v="0"/>
  </r>
  <r>
    <n v="106750"/>
    <s v="Iberia Parish Sheriff's Office - LA"/>
    <n v="1"/>
    <n v="37"/>
    <n v="9"/>
    <n v="205"/>
    <n v="184"/>
    <n v="0"/>
    <n v="5.54"/>
    <n v="4.97"/>
    <n v="0"/>
    <n v="3"/>
    <x v="2"/>
    <s v="18-24 Months"/>
    <x v="0"/>
    <n v="1"/>
    <n v="1"/>
  </r>
  <r>
    <n v="141725"/>
    <s v="Randall County Sheriff's Office - TX"/>
    <n v="1"/>
    <n v="50"/>
    <n v="9"/>
    <n v="101"/>
    <n v="101"/>
    <n v="101"/>
    <n v="2.02"/>
    <n v="2.02"/>
    <n v="2.02"/>
    <n v="1"/>
    <x v="2"/>
    <s v="18-24 Months"/>
    <x v="0"/>
    <n v="1"/>
    <n v="1"/>
  </r>
  <r>
    <n v="172686"/>
    <s v="Holly Springs Police Dept. - NC"/>
    <n v="1"/>
    <n v="73"/>
    <n v="9"/>
    <n v="331"/>
    <n v="296"/>
    <n v="123"/>
    <n v="4.53"/>
    <n v="4.05"/>
    <n v="1.68"/>
    <n v="11"/>
    <x v="2"/>
    <s v="18-24 Months"/>
    <x v="0"/>
    <n v="1"/>
    <n v="1"/>
  </r>
  <r>
    <n v="304056"/>
    <s v="Vass Police Dept. - NC"/>
    <n v="1"/>
    <n v="5"/>
    <n v="9"/>
    <n v="7"/>
    <n v="7"/>
    <n v="7"/>
    <n v="1.4"/>
    <n v="1.4"/>
    <n v="1.4"/>
    <n v="0"/>
    <x v="2"/>
    <s v="18-24 Months"/>
    <x v="0"/>
    <n v="1"/>
    <n v="0"/>
  </r>
  <r>
    <n v="107937"/>
    <s v="Winthrop Police Dept - MN"/>
    <n v="2"/>
    <n v="5"/>
    <n v="9"/>
    <n v="32"/>
    <n v="12"/>
    <n v="3"/>
    <n v="6.4"/>
    <n v="2.4"/>
    <n v="0.6"/>
    <n v="0"/>
    <x v="2"/>
    <s v="18-24 Months"/>
    <x v="0"/>
    <n v="2"/>
    <n v="2"/>
  </r>
  <r>
    <n v="500661"/>
    <s v="Belt Railway Police Dept. - IL"/>
    <n v="2"/>
    <n v="9"/>
    <n v="9"/>
    <n v="4"/>
    <n v="0"/>
    <n v="0"/>
    <n v="0.44"/>
    <n v="0"/>
    <n v="0"/>
    <n v="0"/>
    <x v="2"/>
    <s v="18-24 Months"/>
    <x v="0"/>
    <n v="0"/>
    <n v="0"/>
  </r>
  <r>
    <n v="107372"/>
    <s v="Kearney Police Dept. - NE"/>
    <n v="3"/>
    <n v="65"/>
    <n v="9"/>
    <n v="43"/>
    <n v="5"/>
    <n v="0"/>
    <n v="0.66"/>
    <n v="0.08"/>
    <n v="0"/>
    <n v="0"/>
    <x v="2"/>
    <s v="18-24 Months"/>
    <x v="0"/>
    <n v="0"/>
    <n v="0"/>
  </r>
  <r>
    <n v="110958"/>
    <s v="Walton County Sheriff's Office - GA"/>
    <n v="5"/>
    <n v="250"/>
    <n v="9"/>
    <n v="1429"/>
    <n v="920"/>
    <n v="253"/>
    <n v="5.72"/>
    <n v="3.68"/>
    <n v="1.01"/>
    <n v="16"/>
    <x v="2"/>
    <s v="18-24 Months"/>
    <x v="1"/>
    <n v="5"/>
    <n v="5"/>
  </r>
  <r>
    <n v="107214"/>
    <s v="Asotin County Sheriff's Office-WA"/>
    <n v="7"/>
    <n v="20"/>
    <n v="9"/>
    <n v="19"/>
    <n v="7"/>
    <n v="0"/>
    <n v="0.95"/>
    <n v="0.35"/>
    <n v="0"/>
    <n v="0"/>
    <x v="2"/>
    <s v="18-24 Months"/>
    <x v="0"/>
    <n v="0"/>
    <n v="0"/>
  </r>
  <r>
    <n v="107430"/>
    <s v="Firestone Police Department - CO"/>
    <n v="7"/>
    <n v="34"/>
    <n v="9"/>
    <n v="193"/>
    <n v="133"/>
    <n v="125"/>
    <n v="5.68"/>
    <n v="3.91"/>
    <n v="3.68"/>
    <n v="9"/>
    <x v="2"/>
    <s v="18-24 Months"/>
    <x v="0"/>
    <n v="7"/>
    <n v="7"/>
  </r>
  <r>
    <n v="156634"/>
    <s v="Aitkin Police Department-MN"/>
    <n v="8"/>
    <n v="7"/>
    <n v="9"/>
    <n v="61"/>
    <n v="9"/>
    <n v="0"/>
    <n v="8.7100000000000009"/>
    <n v="1.29"/>
    <n v="0"/>
    <n v="0"/>
    <x v="2"/>
    <s v="18-24 Months"/>
    <x v="0"/>
    <n v="8"/>
    <n v="8"/>
  </r>
  <r>
    <n v="488116"/>
    <s v="Newport Police Department- DE"/>
    <n v="8"/>
    <n v="8"/>
    <n v="9"/>
    <n v="83"/>
    <n v="80"/>
    <n v="77"/>
    <n v="10.38"/>
    <n v="10"/>
    <n v="9.6300000000000008"/>
    <n v="19"/>
    <x v="2"/>
    <s v="18-24 Months"/>
    <x v="0"/>
    <n v="8"/>
    <n v="8"/>
  </r>
  <r>
    <n v="110385"/>
    <s v="Downingtown Police Dept - PA"/>
    <n v="9"/>
    <n v="23"/>
    <n v="9"/>
    <n v="9"/>
    <n v="0"/>
    <n v="0"/>
    <n v="0.39"/>
    <n v="0"/>
    <n v="0"/>
    <n v="0"/>
    <x v="2"/>
    <s v="18-24 Months"/>
    <x v="0"/>
    <n v="0"/>
    <n v="0"/>
  </r>
  <r>
    <n v="219125"/>
    <s v="Breezy Point Police Dept. - MN"/>
    <n v="9"/>
    <n v="8"/>
    <n v="9"/>
    <n v="40"/>
    <n v="15"/>
    <n v="0"/>
    <n v="5"/>
    <n v="1.88"/>
    <n v="0"/>
    <n v="30"/>
    <x v="2"/>
    <s v="18-24 Months"/>
    <x v="0"/>
    <n v="9"/>
    <n v="9"/>
  </r>
  <r>
    <n v="477587"/>
    <s v="Winhall Police and Rescue - VT"/>
    <n v="10"/>
    <n v="10"/>
    <n v="9"/>
    <n v="138"/>
    <n v="38"/>
    <n v="34"/>
    <n v="13.8"/>
    <n v="3.8"/>
    <n v="3.4"/>
    <n v="31"/>
    <x v="2"/>
    <s v="18-24 Months"/>
    <x v="0"/>
    <n v="10"/>
    <n v="10"/>
  </r>
  <r>
    <n v="129179"/>
    <s v="Mamaroneck Village Police Dept. - NY"/>
    <n v="12"/>
    <n v="52"/>
    <n v="9"/>
    <n v="447"/>
    <n v="30"/>
    <n v="0"/>
    <n v="8.6"/>
    <n v="0.57999999999999996"/>
    <n v="0"/>
    <n v="0"/>
    <x v="2"/>
    <s v="18-24 Months"/>
    <x v="0"/>
    <n v="12"/>
    <n v="12"/>
  </r>
  <r>
    <n v="304016"/>
    <s v="Pulaski County Sheriff's Dept. - IL"/>
    <n v="15"/>
    <n v="5"/>
    <n v="9"/>
    <n v="30"/>
    <n v="0"/>
    <n v="0"/>
    <n v="6"/>
    <n v="0"/>
    <n v="0"/>
    <n v="0"/>
    <x v="2"/>
    <s v="18-24 Months"/>
    <x v="0"/>
    <n v="15"/>
    <n v="15"/>
  </r>
  <r>
    <n v="515108"/>
    <s v="Mountain Park Police Dept - OK"/>
    <n v="15"/>
    <n v="3"/>
    <n v="9"/>
    <n v="12"/>
    <n v="0"/>
    <n v="0"/>
    <n v="4"/>
    <n v="0"/>
    <n v="0"/>
    <n v="0"/>
    <x v="2"/>
    <s v="18-24 Months"/>
    <x v="0"/>
    <n v="15"/>
    <n v="15"/>
  </r>
  <r>
    <n v="461977"/>
    <s v="West Lake Hills Police Dept. - TX"/>
    <n v="18"/>
    <n v="10"/>
    <n v="9"/>
    <n v="32"/>
    <n v="13"/>
    <n v="0"/>
    <n v="3.2"/>
    <n v="1.3"/>
    <n v="0"/>
    <n v="0"/>
    <x v="2"/>
    <s v="18-24 Months"/>
    <x v="0"/>
    <n v="18"/>
    <n v="18"/>
  </r>
  <r>
    <n v="554048"/>
    <s v="BR DF PRF Pol√≠cia Rodovi√°ria Federal"/>
    <n v="19"/>
    <n v="20"/>
    <n v="9"/>
    <n v="99"/>
    <n v="11"/>
    <n v="0"/>
    <n v="4.95"/>
    <n v="0.55000000000000004"/>
    <n v="0"/>
    <n v="0"/>
    <x v="2"/>
    <s v="18-24 Months"/>
    <x v="0"/>
    <n v="19"/>
    <n v="19"/>
  </r>
  <r>
    <n v="154313"/>
    <s v="Marion County Sheriff's Office - IL"/>
    <n v="24"/>
    <n v="40"/>
    <n v="9"/>
    <n v="329"/>
    <n v="284"/>
    <n v="38"/>
    <n v="8.23"/>
    <n v="7.1"/>
    <n v="0.95"/>
    <n v="21"/>
    <x v="2"/>
    <s v="18-24 Months"/>
    <x v="0"/>
    <n v="24"/>
    <n v="24"/>
  </r>
  <r>
    <n v="155646"/>
    <s v="Centralia Police Dept. - IL"/>
    <n v="29"/>
    <n v="26"/>
    <n v="9"/>
    <n v="297"/>
    <n v="246"/>
    <n v="40"/>
    <n v="11.42"/>
    <n v="9.4600000000000009"/>
    <n v="1.54"/>
    <n v="58"/>
    <x v="2"/>
    <s v="18-24 Months"/>
    <x v="0"/>
    <n v="29"/>
    <n v="29"/>
  </r>
  <r>
    <n v="109011"/>
    <s v="Monroe Police Dept. - MI"/>
    <n v="40"/>
    <n v="38"/>
    <n v="9"/>
    <n v="150"/>
    <n v="95"/>
    <n v="23"/>
    <n v="3.95"/>
    <n v="2.5"/>
    <n v="0.61"/>
    <n v="227"/>
    <x v="2"/>
    <s v="18-24 Months"/>
    <x v="0"/>
    <n v="40"/>
    <n v="40"/>
  </r>
  <r>
    <n v="143651"/>
    <s v="Duquesne University Police Department - PA"/>
    <n v="40"/>
    <n v="30"/>
    <n v="9"/>
    <n v="97"/>
    <n v="72"/>
    <n v="48"/>
    <n v="3.23"/>
    <n v="2.4"/>
    <n v="1.6"/>
    <n v="52"/>
    <x v="2"/>
    <s v="18-24 Months"/>
    <x v="0"/>
    <n v="40"/>
    <n v="40"/>
  </r>
  <r>
    <n v="156843"/>
    <s v="Benicia Police Dept. - CA"/>
    <n v="43"/>
    <n v="36"/>
    <n v="9"/>
    <n v="85"/>
    <n v="55"/>
    <n v="0"/>
    <n v="2.36"/>
    <n v="1.53"/>
    <n v="0"/>
    <n v="0"/>
    <x v="2"/>
    <s v="18-24 Months"/>
    <x v="0"/>
    <n v="43"/>
    <n v="43"/>
  </r>
  <r>
    <n v="156561"/>
    <s v="Northampton Township Police Dept - PA"/>
    <n v="49"/>
    <n v="37"/>
    <n v="9"/>
    <n v="184"/>
    <n v="177"/>
    <n v="130"/>
    <n v="4.97"/>
    <n v="4.78"/>
    <n v="3.51"/>
    <n v="4"/>
    <x v="2"/>
    <s v="18-24 Months"/>
    <x v="0"/>
    <n v="49"/>
    <n v="49"/>
  </r>
  <r>
    <n v="185176"/>
    <s v="Lafayette Police Department - CO"/>
    <n v="49"/>
    <n v="53"/>
    <n v="9"/>
    <n v="297"/>
    <n v="297"/>
    <n v="219"/>
    <n v="5.6"/>
    <n v="5.6"/>
    <n v="4.13"/>
    <n v="53"/>
    <x v="2"/>
    <s v="18-24 Months"/>
    <x v="0"/>
    <n v="49"/>
    <n v="49"/>
  </r>
  <r>
    <n v="113552"/>
    <s v="Lake Stevens Police Dept. - WA"/>
    <n v="50"/>
    <n v="40"/>
    <n v="9"/>
    <n v="294"/>
    <n v="293"/>
    <n v="233"/>
    <n v="6.53"/>
    <n v="6.51"/>
    <n v="5.18"/>
    <n v="79"/>
    <x v="2"/>
    <s v="18-24 Months"/>
    <x v="0"/>
    <n v="50"/>
    <n v="50"/>
  </r>
  <r>
    <n v="114833"/>
    <s v="Juneau County Sheriff's Office - WI"/>
    <n v="50"/>
    <n v="34"/>
    <n v="9"/>
    <n v="215"/>
    <n v="204"/>
    <n v="0"/>
    <n v="6.32"/>
    <n v="6"/>
    <n v="0"/>
    <n v="35"/>
    <x v="2"/>
    <s v="18-24 Months"/>
    <x v="0"/>
    <n v="50"/>
    <n v="50"/>
  </r>
  <r>
    <n v="127414"/>
    <s v="Champaign County Sheriff's Office - IL"/>
    <n v="59"/>
    <n v="70"/>
    <n v="9"/>
    <n v="91"/>
    <n v="20"/>
    <n v="17"/>
    <n v="1.3"/>
    <n v="0.28999999999999998"/>
    <n v="0.24"/>
    <n v="0"/>
    <x v="2"/>
    <s v="18-24 Months"/>
    <x v="0"/>
    <n v="0"/>
    <n v="0"/>
  </r>
  <r>
    <n v="313924"/>
    <s v="Prairie Village Police Department - KS"/>
    <n v="61"/>
    <n v="46"/>
    <n v="9"/>
    <n v="52"/>
    <n v="52"/>
    <n v="52"/>
    <n v="1.1299999999999999"/>
    <n v="1.1299999999999999"/>
    <n v="1.1299999999999999"/>
    <n v="0"/>
    <x v="2"/>
    <s v="18-24 Months"/>
    <x v="0"/>
    <n v="61"/>
    <n v="0"/>
  </r>
  <r>
    <n v="109294"/>
    <s v="KANABEC CO SHERIFF'S OFFICE-MN"/>
    <n v="62"/>
    <n v="26"/>
    <n v="9"/>
    <n v="221"/>
    <n v="14"/>
    <n v="6"/>
    <n v="8.5"/>
    <n v="0.54"/>
    <n v="0.23"/>
    <n v="0"/>
    <x v="2"/>
    <s v="18-24 Months"/>
    <x v="0"/>
    <n v="62"/>
    <n v="62"/>
  </r>
  <r>
    <n v="464691"/>
    <s v="St. Clair County Sheriff's Office - AL"/>
    <n v="66"/>
    <n v="20"/>
    <n v="9"/>
    <n v="17"/>
    <n v="13"/>
    <n v="0"/>
    <n v="0.85"/>
    <n v="0.65"/>
    <n v="0"/>
    <n v="14"/>
    <x v="2"/>
    <s v="18-24 Months"/>
    <x v="0"/>
    <n v="0"/>
    <n v="0"/>
  </r>
  <r>
    <n v="110580"/>
    <s v="University of Illinois at Chicago Police Dept."/>
    <n v="70"/>
    <n v="70"/>
    <n v="9"/>
    <n v="0"/>
    <n v="0"/>
    <n v="0"/>
    <n v="0"/>
    <n v="0"/>
    <n v="0"/>
    <n v="0"/>
    <x v="2"/>
    <s v="18-24 Months"/>
    <x v="0"/>
    <n v="0"/>
    <n v="0"/>
  </r>
  <r>
    <n v="466044"/>
    <s v="Pigeon Forge Police Dept. - TN"/>
    <n v="70"/>
    <n v="82"/>
    <n v="9"/>
    <n v="297"/>
    <n v="282"/>
    <n v="115"/>
    <n v="3.62"/>
    <n v="3.44"/>
    <n v="1.4"/>
    <n v="98"/>
    <x v="2"/>
    <s v="18-24 Months"/>
    <x v="0"/>
    <n v="70"/>
    <n v="70"/>
  </r>
  <r>
    <n v="157831"/>
    <s v="Minnetonka Police Department - MN"/>
    <n v="80"/>
    <n v="70"/>
    <n v="9"/>
    <n v="251"/>
    <n v="0"/>
    <n v="0"/>
    <n v="3.59"/>
    <n v="0"/>
    <n v="0"/>
    <n v="0"/>
    <x v="2"/>
    <s v="18-24 Months"/>
    <x v="0"/>
    <n v="80"/>
    <n v="80"/>
  </r>
  <r>
    <n v="106990"/>
    <s v="Chautauqua County Sheriff's Office - NY"/>
    <n v="88"/>
    <n v="84"/>
    <n v="9"/>
    <n v="76"/>
    <n v="47"/>
    <n v="0"/>
    <n v="0.9"/>
    <n v="0.56000000000000005"/>
    <n v="0"/>
    <n v="98"/>
    <x v="2"/>
    <s v="18-24 Months"/>
    <x v="0"/>
    <n v="0"/>
    <n v="0"/>
  </r>
  <r>
    <n v="107969"/>
    <s v="Lower Merion Twp Police Dept. - PA"/>
    <n v="96"/>
    <n v="136"/>
    <n v="9"/>
    <n v="608"/>
    <n v="95"/>
    <n v="15"/>
    <n v="4.47"/>
    <n v="0.7"/>
    <n v="0.11"/>
    <n v="31"/>
    <x v="2"/>
    <s v="18-24 Months"/>
    <x v="1"/>
    <n v="96"/>
    <n v="96"/>
  </r>
  <r>
    <n v="186872"/>
    <s v="Pasco Police Dept. - WA"/>
    <n v="98"/>
    <n v="98"/>
    <n v="9"/>
    <n v="766"/>
    <n v="118"/>
    <n v="48"/>
    <n v="7.82"/>
    <n v="1.2"/>
    <n v="0.49"/>
    <n v="84"/>
    <x v="2"/>
    <s v="18-24 Months"/>
    <x v="0"/>
    <n v="98"/>
    <n v="98"/>
  </r>
  <r>
    <n v="106587"/>
    <s v="Titusville Police Dept - FL"/>
    <n v="114"/>
    <n v="112"/>
    <n v="9"/>
    <n v="449"/>
    <n v="21"/>
    <n v="0"/>
    <n v="4.01"/>
    <n v="0.19"/>
    <n v="0"/>
    <n v="0"/>
    <x v="2"/>
    <s v="18-24 Months"/>
    <x v="1"/>
    <n v="114"/>
    <n v="114"/>
  </r>
  <r>
    <n v="108880"/>
    <s v="Bloomington Police Dept. - IN"/>
    <n v="115"/>
    <n v="95"/>
    <n v="9"/>
    <n v="76"/>
    <n v="37"/>
    <n v="4"/>
    <n v="0.8"/>
    <n v="0.39"/>
    <n v="0.04"/>
    <n v="0"/>
    <x v="2"/>
    <s v="18-24 Months"/>
    <x v="0"/>
    <n v="0"/>
    <n v="0"/>
  </r>
  <r>
    <n v="113111"/>
    <s v="Pinellas Park Police Dept - FL"/>
    <n v="117"/>
    <n v="115"/>
    <n v="9"/>
    <n v="794"/>
    <n v="777"/>
    <n v="22"/>
    <n v="6.9"/>
    <n v="6.76"/>
    <n v="0.19"/>
    <n v="115"/>
    <x v="2"/>
    <s v="18-24 Months"/>
    <x v="1"/>
    <n v="117"/>
    <n v="117"/>
  </r>
  <r>
    <n v="108403"/>
    <s v="Shawnee County Sheriff's Office - KS"/>
    <n v="121"/>
    <n v="109"/>
    <n v="9"/>
    <n v="62"/>
    <n v="21"/>
    <n v="1"/>
    <n v="0.56999999999999995"/>
    <n v="0.19"/>
    <n v="0.01"/>
    <n v="8"/>
    <x v="2"/>
    <s v="18-24 Months"/>
    <x v="1"/>
    <n v="0"/>
    <n v="0"/>
  </r>
  <r>
    <n v="112209"/>
    <s v="Wauwatosa Police Dept. - WI"/>
    <n v="123"/>
    <n v="75"/>
    <n v="9"/>
    <n v="301"/>
    <n v="299"/>
    <n v="0"/>
    <n v="4.01"/>
    <n v="3.99"/>
    <n v="0"/>
    <n v="51"/>
    <x v="2"/>
    <s v="18-24 Months"/>
    <x v="0"/>
    <n v="123"/>
    <n v="123"/>
  </r>
  <r>
    <n v="466491"/>
    <s v="Chicopee Police Department - MA"/>
    <n v="135"/>
    <n v="135"/>
    <n v="9"/>
    <n v="391"/>
    <n v="7"/>
    <n v="4"/>
    <n v="2.9"/>
    <n v="0.05"/>
    <n v="0.03"/>
    <n v="3"/>
    <x v="2"/>
    <s v="18-24 Months"/>
    <x v="1"/>
    <n v="135"/>
    <n v="135"/>
  </r>
  <r>
    <n v="107920"/>
    <s v="Rialto Police Dept. - CA"/>
    <n v="150"/>
    <n v="140"/>
    <n v="9"/>
    <n v="109"/>
    <n v="109"/>
    <n v="108"/>
    <n v="0.78"/>
    <n v="0.78"/>
    <n v="0.77"/>
    <n v="0"/>
    <x v="2"/>
    <s v="18-24 Months"/>
    <x v="1"/>
    <n v="150"/>
    <n v="0"/>
  </r>
  <r>
    <n v="197700"/>
    <s v="Roswell Police Dept. - GA"/>
    <n v="170"/>
    <n v="168"/>
    <n v="9"/>
    <n v="955"/>
    <n v="808"/>
    <n v="37"/>
    <n v="5.68"/>
    <n v="4.8099999999999996"/>
    <n v="0.22"/>
    <n v="38"/>
    <x v="2"/>
    <s v="18-24 Months"/>
    <x v="1"/>
    <n v="170"/>
    <n v="170"/>
  </r>
  <r>
    <n v="105756"/>
    <s v="Pueblo Police Department - CO"/>
    <n v="195"/>
    <n v="271"/>
    <n v="9"/>
    <n v="206"/>
    <n v="151"/>
    <n v="104"/>
    <n v="0.76"/>
    <n v="0.56000000000000005"/>
    <n v="0.38"/>
    <n v="130"/>
    <x v="2"/>
    <s v="18-24 Months"/>
    <x v="1"/>
    <n v="0"/>
    <n v="0"/>
  </r>
  <r>
    <n v="109479"/>
    <s v="Naperville Police Dept. - IL"/>
    <n v="205"/>
    <n v="200"/>
    <n v="9"/>
    <n v="1534"/>
    <n v="154"/>
    <n v="35"/>
    <n v="7.67"/>
    <n v="0.77"/>
    <n v="0.18"/>
    <n v="382"/>
    <x v="2"/>
    <s v="18-24 Months"/>
    <x v="1"/>
    <n v="205"/>
    <n v="205"/>
  </r>
  <r>
    <n v="106524"/>
    <s v="Weld County Sheriff's Office - CO"/>
    <n v="335"/>
    <n v="329"/>
    <n v="9"/>
    <n v="1332"/>
    <n v="217"/>
    <n v="100"/>
    <n v="4.05"/>
    <n v="0.66"/>
    <n v="0.3"/>
    <n v="18"/>
    <x v="2"/>
    <s v="18-24 Months"/>
    <x v="1"/>
    <n v="335"/>
    <n v="335"/>
  </r>
  <r>
    <n v="106372"/>
    <s v="Minneapolis Police Dept. - MN"/>
    <n v="650"/>
    <n v="600"/>
    <n v="9"/>
    <n v="2895"/>
    <n v="2291"/>
    <n v="136"/>
    <n v="4.83"/>
    <n v="3.82"/>
    <n v="0.23"/>
    <n v="1"/>
    <x v="2"/>
    <s v="18-24 Months"/>
    <x v="2"/>
    <n v="650"/>
    <n v="650"/>
  </r>
  <r>
    <n v="154518"/>
    <s v="Tennessee Highway Patrol - TN"/>
    <n v="899"/>
    <n v="201"/>
    <n v="9"/>
    <n v="0"/>
    <n v="0"/>
    <n v="0"/>
    <n v="0"/>
    <n v="0"/>
    <n v="0"/>
    <n v="0"/>
    <x v="2"/>
    <s v="18-24 Months"/>
    <x v="1"/>
    <n v="0"/>
    <n v="0"/>
  </r>
  <r>
    <n v="326941"/>
    <s v="Virginia Department of Corrections - VA"/>
    <n v="1358"/>
    <n v="80"/>
    <n v="9"/>
    <n v="188"/>
    <n v="28"/>
    <n v="0"/>
    <n v="2.35"/>
    <n v="0.35"/>
    <n v="0"/>
    <n v="0"/>
    <x v="2"/>
    <s v="18-24 Months"/>
    <x v="0"/>
    <n v="1358"/>
    <n v="1358"/>
  </r>
  <r>
    <n v="120234"/>
    <s v="Lower Gwynedd Twp Police Dept - PA"/>
    <n v="1"/>
    <n v="22"/>
    <n v="8"/>
    <n v="52"/>
    <n v="18"/>
    <n v="2"/>
    <n v="2.36"/>
    <n v="0.82"/>
    <n v="0.09"/>
    <n v="8"/>
    <x v="2"/>
    <s v="18-24 Months"/>
    <x v="0"/>
    <n v="1"/>
    <n v="1"/>
  </r>
  <r>
    <n v="241689"/>
    <s v="FARMER CITY POLICE DEPT - IL"/>
    <n v="1"/>
    <n v="6"/>
    <n v="8"/>
    <n v="28"/>
    <n v="28"/>
    <n v="9"/>
    <n v="4.67"/>
    <n v="4.67"/>
    <n v="1.5"/>
    <n v="84"/>
    <x v="2"/>
    <s v="18-24 Months"/>
    <x v="0"/>
    <n v="1"/>
    <n v="1"/>
  </r>
  <r>
    <n v="579148"/>
    <s v="Hallsville Police Department - TX"/>
    <n v="1"/>
    <n v="6"/>
    <n v="8"/>
    <n v="74"/>
    <n v="74"/>
    <n v="0"/>
    <n v="12.33"/>
    <n v="12.33"/>
    <n v="0"/>
    <n v="84"/>
    <x v="2"/>
    <s v="18-24 Months"/>
    <x v="0"/>
    <n v="1"/>
    <n v="1"/>
  </r>
  <r>
    <n v="324163"/>
    <s v="Black Hawk County Sheriff Dept - IA"/>
    <n v="2"/>
    <n v="44"/>
    <n v="8"/>
    <n v="117"/>
    <n v="69"/>
    <n v="0"/>
    <n v="2.66"/>
    <n v="1.57"/>
    <n v="0"/>
    <n v="0"/>
    <x v="2"/>
    <s v="18-24 Months"/>
    <x v="0"/>
    <n v="2"/>
    <n v="2"/>
  </r>
  <r>
    <n v="470907"/>
    <s v="Stowe Township Police Department - PA"/>
    <n v="2"/>
    <n v="15"/>
    <n v="8"/>
    <n v="38"/>
    <n v="22"/>
    <n v="21"/>
    <n v="2.5299999999999998"/>
    <n v="1.47"/>
    <n v="1.4"/>
    <n v="70"/>
    <x v="2"/>
    <s v="18-24 Months"/>
    <x v="0"/>
    <n v="2"/>
    <n v="2"/>
  </r>
  <r>
    <n v="110628"/>
    <s v="Rensselaer County Sheriff's Office - NY"/>
    <n v="3"/>
    <n v="40"/>
    <n v="8"/>
    <n v="259"/>
    <n v="203"/>
    <n v="3"/>
    <n v="6.48"/>
    <n v="5.08"/>
    <n v="0.08"/>
    <n v="90"/>
    <x v="2"/>
    <s v="18-24 Months"/>
    <x v="0"/>
    <n v="3"/>
    <n v="3"/>
  </r>
  <r>
    <n v="119697"/>
    <s v="Pasadena Police Dept. - TX"/>
    <n v="3"/>
    <n v="225"/>
    <n v="8"/>
    <n v="479"/>
    <n v="473"/>
    <n v="286"/>
    <n v="2.13"/>
    <n v="2.1"/>
    <n v="1.27"/>
    <n v="188"/>
    <x v="2"/>
    <s v="18-24 Months"/>
    <x v="1"/>
    <n v="3"/>
    <n v="3"/>
  </r>
  <r>
    <n v="551150"/>
    <s v="Neptune Township Police Dept - NJ"/>
    <n v="3"/>
    <n v="18"/>
    <n v="8"/>
    <n v="27"/>
    <n v="27"/>
    <n v="0"/>
    <n v="1.5"/>
    <n v="1.5"/>
    <n v="0"/>
    <n v="0"/>
    <x v="2"/>
    <s v="18-24 Months"/>
    <x v="0"/>
    <n v="3"/>
    <n v="0"/>
  </r>
  <r>
    <n v="164977"/>
    <s v="Harrisonville Police Department - MO"/>
    <n v="5"/>
    <n v="22"/>
    <n v="8"/>
    <n v="108"/>
    <n v="96"/>
    <n v="37"/>
    <n v="4.91"/>
    <n v="4.3600000000000003"/>
    <n v="1.68"/>
    <n v="25"/>
    <x v="2"/>
    <s v="18-24 Months"/>
    <x v="0"/>
    <n v="5"/>
    <n v="5"/>
  </r>
  <r>
    <n v="321467"/>
    <s v="Clinton County Sheriff's Office - NY"/>
    <n v="9"/>
    <n v="36"/>
    <n v="8"/>
    <n v="46"/>
    <n v="25"/>
    <n v="6"/>
    <n v="1.28"/>
    <n v="0.69"/>
    <n v="0.17"/>
    <n v="78"/>
    <x v="2"/>
    <s v="18-24 Months"/>
    <x v="0"/>
    <n v="0"/>
    <n v="0"/>
  </r>
  <r>
    <n v="108767"/>
    <s v="Belton Police Department - MO"/>
    <n v="10"/>
    <n v="45"/>
    <n v="8"/>
    <n v="151"/>
    <n v="138"/>
    <n v="111"/>
    <n v="3.36"/>
    <n v="3.07"/>
    <n v="2.4700000000000002"/>
    <n v="73"/>
    <x v="2"/>
    <s v="18-24 Months"/>
    <x v="0"/>
    <n v="10"/>
    <n v="10"/>
  </r>
  <r>
    <n v="170384"/>
    <s v="Ridgefield Police Department - WA"/>
    <n v="20"/>
    <n v="18"/>
    <n v="8"/>
    <n v="4"/>
    <n v="0"/>
    <n v="0"/>
    <n v="0.22"/>
    <n v="0"/>
    <n v="0"/>
    <n v="0"/>
    <x v="2"/>
    <s v="18-24 Months"/>
    <x v="0"/>
    <n v="0"/>
    <n v="0"/>
  </r>
  <r>
    <n v="317638"/>
    <s v="Hopewell City Sheriff's Office - VA"/>
    <n v="23"/>
    <n v="23"/>
    <n v="8"/>
    <n v="26"/>
    <n v="26"/>
    <n v="0"/>
    <n v="1.1299999999999999"/>
    <n v="1.1299999999999999"/>
    <n v="0"/>
    <n v="32"/>
    <x v="2"/>
    <s v="18-24 Months"/>
    <x v="0"/>
    <n v="23"/>
    <n v="0"/>
  </r>
  <r>
    <n v="143994"/>
    <s v="North Bay Village Police Dept. - FL"/>
    <n v="31"/>
    <n v="35"/>
    <n v="8"/>
    <n v="13"/>
    <n v="0"/>
    <n v="0"/>
    <n v="0.37"/>
    <n v="0"/>
    <n v="0"/>
    <n v="0"/>
    <x v="2"/>
    <s v="18-24 Months"/>
    <x v="0"/>
    <n v="0"/>
    <n v="0"/>
  </r>
  <r>
    <n v="108627"/>
    <s v="Payson Police Department - AZ"/>
    <n v="36"/>
    <n v="35"/>
    <n v="8"/>
    <n v="26"/>
    <n v="26"/>
    <n v="2"/>
    <n v="0.74"/>
    <n v="0.74"/>
    <n v="0.06"/>
    <n v="40"/>
    <x v="2"/>
    <s v="18-24 Months"/>
    <x v="0"/>
    <n v="0"/>
    <n v="0"/>
  </r>
  <r>
    <n v="195409"/>
    <s v="Jackson Police Dept. - WY"/>
    <n v="39"/>
    <n v="41"/>
    <n v="8"/>
    <n v="346"/>
    <n v="346"/>
    <n v="346"/>
    <n v="8.44"/>
    <n v="8.44"/>
    <n v="8.44"/>
    <n v="34"/>
    <x v="2"/>
    <s v="18-24 Months"/>
    <x v="0"/>
    <n v="39"/>
    <n v="39"/>
  </r>
  <r>
    <n v="110173"/>
    <s v="Richmond Hill Police Dept. - GA"/>
    <n v="43"/>
    <n v="41"/>
    <n v="8"/>
    <n v="352"/>
    <n v="320"/>
    <n v="232"/>
    <n v="8.59"/>
    <n v="7.8"/>
    <n v="5.66"/>
    <n v="87"/>
    <x v="2"/>
    <s v="18-24 Months"/>
    <x v="0"/>
    <n v="43"/>
    <n v="43"/>
  </r>
  <r>
    <n v="310479"/>
    <s v="Ferguson Police Dept. - MO"/>
    <n v="44"/>
    <n v="45"/>
    <n v="8"/>
    <n v="29"/>
    <n v="13"/>
    <n v="13"/>
    <n v="0.64"/>
    <n v="0.28999999999999998"/>
    <n v="0.28999999999999998"/>
    <n v="30"/>
    <x v="2"/>
    <s v="18-24 Months"/>
    <x v="0"/>
    <n v="0"/>
    <n v="0"/>
  </r>
  <r>
    <n v="108260"/>
    <s v="Clarksville Police Dept - IN"/>
    <n v="59"/>
    <n v="60"/>
    <n v="8"/>
    <n v="27"/>
    <n v="0"/>
    <n v="0"/>
    <n v="0.45"/>
    <n v="0"/>
    <n v="0"/>
    <n v="0"/>
    <x v="2"/>
    <s v="18-24 Months"/>
    <x v="0"/>
    <n v="0"/>
    <n v="0"/>
  </r>
  <r>
    <n v="141788"/>
    <s v="Rio Arriba County Sheriff's Office - NM"/>
    <n v="72"/>
    <n v="35"/>
    <n v="8"/>
    <n v="4"/>
    <n v="4"/>
    <n v="4"/>
    <n v="0.11"/>
    <n v="0.11"/>
    <n v="0.11"/>
    <n v="7"/>
    <x v="2"/>
    <s v="18-24 Months"/>
    <x v="0"/>
    <n v="0"/>
    <n v="0"/>
  </r>
  <r>
    <n v="132998"/>
    <s v="New London Police Department - CT"/>
    <n v="82"/>
    <n v="80"/>
    <n v="8"/>
    <n v="71"/>
    <n v="5"/>
    <n v="5"/>
    <n v="0.89"/>
    <n v="0.06"/>
    <n v="0.06"/>
    <n v="4"/>
    <x v="2"/>
    <s v="18-24 Months"/>
    <x v="0"/>
    <n v="0"/>
    <n v="0"/>
  </r>
  <r>
    <n v="157728"/>
    <s v="Shafter Police Dept. - CA"/>
    <n v="95"/>
    <n v="45"/>
    <n v="8"/>
    <n v="20"/>
    <n v="14"/>
    <n v="0"/>
    <n v="0.44"/>
    <n v="0.31"/>
    <n v="0"/>
    <n v="0"/>
    <x v="2"/>
    <s v="18-24 Months"/>
    <x v="0"/>
    <n v="0"/>
    <n v="0"/>
  </r>
  <r>
    <n v="112596"/>
    <s v="Statesville Police Department - NC"/>
    <n v="113"/>
    <n v="90"/>
    <n v="8"/>
    <n v="157"/>
    <n v="12"/>
    <n v="0"/>
    <n v="1.74"/>
    <n v="0.13"/>
    <n v="0"/>
    <n v="0"/>
    <x v="2"/>
    <s v="18-24 Months"/>
    <x v="0"/>
    <n v="0"/>
    <n v="0"/>
  </r>
  <r>
    <n v="124863"/>
    <s v="Hoffman Estates Police Dept. - IL"/>
    <n v="114"/>
    <n v="100"/>
    <n v="8"/>
    <n v="233"/>
    <n v="231"/>
    <n v="1"/>
    <n v="2.33"/>
    <n v="2.31"/>
    <n v="0.01"/>
    <n v="160"/>
    <x v="2"/>
    <s v="18-24 Months"/>
    <x v="1"/>
    <n v="114"/>
    <n v="114"/>
  </r>
  <r>
    <n v="113358"/>
    <s v="Apopka Police Dept.-FL"/>
    <n v="152"/>
    <n v="150"/>
    <n v="8"/>
    <n v="490"/>
    <n v="419"/>
    <n v="13"/>
    <n v="3.27"/>
    <n v="2.79"/>
    <n v="0.09"/>
    <n v="105"/>
    <x v="2"/>
    <s v="18-24 Months"/>
    <x v="1"/>
    <n v="152"/>
    <n v="152"/>
  </r>
  <r>
    <n v="305896"/>
    <s v="Scranton Police Dept. - PA"/>
    <n v="152"/>
    <n v="130"/>
    <n v="8"/>
    <n v="669"/>
    <n v="434"/>
    <n v="327"/>
    <n v="5.15"/>
    <n v="3.34"/>
    <n v="2.52"/>
    <n v="19"/>
    <x v="2"/>
    <s v="18-24 Months"/>
    <x v="1"/>
    <n v="152"/>
    <n v="152"/>
  </r>
  <r>
    <n v="112044"/>
    <s v="Kauai Police Dept. - HI"/>
    <n v="162"/>
    <n v="150"/>
    <n v="8"/>
    <n v="216"/>
    <n v="128"/>
    <n v="64"/>
    <n v="1.44"/>
    <n v="0.85"/>
    <n v="0.43"/>
    <n v="95"/>
    <x v="2"/>
    <s v="18-24 Months"/>
    <x v="1"/>
    <n v="162"/>
    <n v="0"/>
  </r>
  <r>
    <n v="478812"/>
    <s v="Union Pacific Railroad Police Dept. - NE"/>
    <n v="164"/>
    <n v="135"/>
    <n v="8"/>
    <n v="219"/>
    <n v="114"/>
    <n v="42"/>
    <n v="1.62"/>
    <n v="0.84"/>
    <n v="0.31"/>
    <n v="203"/>
    <x v="2"/>
    <s v="18-24 Months"/>
    <x v="1"/>
    <n v="164"/>
    <n v="0"/>
  </r>
  <r>
    <n v="115929"/>
    <s v="Sarasota Police Dept - FL"/>
    <n v="187"/>
    <n v="205"/>
    <n v="8"/>
    <n v="260"/>
    <n v="154"/>
    <n v="18"/>
    <n v="1.27"/>
    <n v="0.75"/>
    <n v="0.09"/>
    <n v="270"/>
    <x v="2"/>
    <s v="18-24 Months"/>
    <x v="1"/>
    <n v="187"/>
    <n v="0"/>
  </r>
  <r>
    <n v="441034"/>
    <s v="Monmouth County Sheriff's Office - NJ"/>
    <n v="210"/>
    <n v="40"/>
    <n v="8"/>
    <n v="54"/>
    <n v="37"/>
    <n v="36"/>
    <n v="1.35"/>
    <n v="0.93"/>
    <n v="0.9"/>
    <n v="0"/>
    <x v="2"/>
    <s v="18-24 Months"/>
    <x v="0"/>
    <n v="210"/>
    <n v="0"/>
  </r>
  <r>
    <n v="109197"/>
    <s v="Hialeah Police Dept. - FL"/>
    <n v="347"/>
    <n v="363"/>
    <n v="8"/>
    <n v="108"/>
    <n v="64"/>
    <n v="0"/>
    <n v="0.3"/>
    <n v="0.18"/>
    <n v="0"/>
    <n v="168"/>
    <x v="2"/>
    <s v="18-24 Months"/>
    <x v="1"/>
    <n v="0"/>
    <n v="0"/>
  </r>
  <r>
    <n v="513921"/>
    <s v="Shelby County Sheriff's Office - TN"/>
    <n v="649"/>
    <n v="470"/>
    <n v="8"/>
    <n v="6"/>
    <n v="6"/>
    <n v="0"/>
    <n v="0.01"/>
    <n v="0.01"/>
    <n v="0"/>
    <n v="6"/>
    <x v="2"/>
    <s v="18-24 Months"/>
    <x v="1"/>
    <n v="0"/>
    <n v="0"/>
  </r>
  <r>
    <n v="461447"/>
    <s v="Seligman Police Department - MO"/>
    <n v="1"/>
    <n v="1"/>
    <n v="7"/>
    <n v="1"/>
    <n v="1"/>
    <n v="0"/>
    <n v="0.5"/>
    <n v="0.5"/>
    <n v="0"/>
    <n v="0"/>
    <x v="2"/>
    <s v="18-24 Months"/>
    <x v="0"/>
    <n v="0"/>
    <n v="0"/>
  </r>
  <r>
    <n v="452290"/>
    <s v="Sherman Police Dept. - IL"/>
    <n v="2"/>
    <n v="5"/>
    <n v="7"/>
    <n v="59"/>
    <n v="13"/>
    <n v="10"/>
    <n v="5.9"/>
    <n v="1.3"/>
    <n v="1"/>
    <n v="4"/>
    <x v="2"/>
    <s v="18-24 Months"/>
    <x v="0"/>
    <n v="2"/>
    <n v="2"/>
  </r>
  <r>
    <n v="454236"/>
    <s v="Village Of North Syracuse Police - NY"/>
    <n v="2"/>
    <n v="18"/>
    <n v="7"/>
    <n v="0"/>
    <n v="0"/>
    <n v="0"/>
    <n v="0"/>
    <n v="0"/>
    <n v="0"/>
    <n v="0"/>
    <x v="2"/>
    <s v="18-24 Months"/>
    <x v="0"/>
    <n v="0"/>
    <n v="0"/>
  </r>
  <r>
    <n v="116208"/>
    <s v="Sunland Park Police Dept. - NM"/>
    <n v="3"/>
    <n v="30"/>
    <n v="7"/>
    <n v="115"/>
    <n v="115"/>
    <n v="86"/>
    <n v="3.83"/>
    <n v="3.83"/>
    <n v="2.87"/>
    <n v="26"/>
    <x v="2"/>
    <s v="18-24 Months"/>
    <x v="0"/>
    <n v="3"/>
    <n v="3"/>
  </r>
  <r>
    <n v="135343"/>
    <s v="Valdosta Police Department - GA"/>
    <n v="3"/>
    <n v="109"/>
    <n v="7"/>
    <n v="328"/>
    <n v="313"/>
    <n v="4"/>
    <n v="3.01"/>
    <n v="2.87"/>
    <n v="0.04"/>
    <n v="33"/>
    <x v="2"/>
    <s v="18-24 Months"/>
    <x v="1"/>
    <n v="3"/>
    <n v="3"/>
  </r>
  <r>
    <n v="302836"/>
    <s v="San Bernardino County Probation Dept. - CA"/>
    <n v="8"/>
    <n v="505"/>
    <n v="7"/>
    <n v="1749"/>
    <n v="1749"/>
    <n v="750"/>
    <n v="3.46"/>
    <n v="3.46"/>
    <n v="1.49"/>
    <n v="109"/>
    <x v="2"/>
    <s v="18-24 Months"/>
    <x v="1"/>
    <n v="8"/>
    <n v="8"/>
  </r>
  <r>
    <n v="109084"/>
    <s v="Coloma Township Police Department - MI"/>
    <n v="10"/>
    <n v="14"/>
    <n v="7"/>
    <n v="27"/>
    <n v="27"/>
    <n v="7"/>
    <n v="1.29"/>
    <n v="1.29"/>
    <n v="0.33"/>
    <n v="12"/>
    <x v="2"/>
    <s v="18-24 Months"/>
    <x v="0"/>
    <n v="10"/>
    <n v="0"/>
  </r>
  <r>
    <n v="110308"/>
    <s v="Kansas City Police Dept. - KS"/>
    <n v="11"/>
    <n v="215"/>
    <n v="7"/>
    <n v="438"/>
    <n v="354"/>
    <n v="180"/>
    <n v="2.04"/>
    <n v="1.65"/>
    <n v="0.84"/>
    <n v="371"/>
    <x v="2"/>
    <s v="18-24 Months"/>
    <x v="1"/>
    <n v="11"/>
    <n v="11"/>
  </r>
  <r>
    <n v="148303"/>
    <s v="Wright State University Police Dept. - OH"/>
    <n v="15"/>
    <n v="11"/>
    <n v="7"/>
    <n v="66"/>
    <n v="59"/>
    <n v="45"/>
    <n v="6"/>
    <n v="5.36"/>
    <n v="4.09"/>
    <n v="35"/>
    <x v="2"/>
    <s v="18-24 Months"/>
    <x v="0"/>
    <n v="15"/>
    <n v="15"/>
  </r>
  <r>
    <n v="237422"/>
    <s v="Brentwood Borough Police Dept. - PA"/>
    <n v="15"/>
    <n v="16"/>
    <n v="7"/>
    <n v="11"/>
    <n v="6"/>
    <n v="6"/>
    <n v="0.69"/>
    <n v="0.38"/>
    <n v="0.38"/>
    <n v="4"/>
    <x v="2"/>
    <s v="18-24 Months"/>
    <x v="0"/>
    <n v="0"/>
    <n v="0"/>
  </r>
  <r>
    <n v="458721"/>
    <s v="Ward County Sheriff's Office - TX"/>
    <n v="23"/>
    <n v="23"/>
    <n v="7"/>
    <n v="33"/>
    <n v="17"/>
    <n v="0"/>
    <n v="0.72"/>
    <n v="0.37"/>
    <n v="0"/>
    <n v="38"/>
    <x v="2"/>
    <s v="18-24 Months"/>
    <x v="0"/>
    <n v="0"/>
    <n v="0"/>
  </r>
  <r>
    <n v="164112"/>
    <s v="Shaler Township Police Dept. - PA"/>
    <n v="27"/>
    <n v="28"/>
    <n v="7"/>
    <n v="80"/>
    <n v="28"/>
    <n v="24"/>
    <n v="1.43"/>
    <n v="0.5"/>
    <n v="0.43"/>
    <n v="0"/>
    <x v="2"/>
    <s v="18-24 Months"/>
    <x v="0"/>
    <n v="0"/>
    <n v="0"/>
  </r>
  <r>
    <n v="307831"/>
    <s v="Glynn County School Police Department - GA"/>
    <n v="28"/>
    <n v="28"/>
    <n v="7"/>
    <n v="100"/>
    <n v="100"/>
    <n v="6"/>
    <n v="3.57"/>
    <n v="3.57"/>
    <n v="0.21"/>
    <n v="169"/>
    <x v="2"/>
    <s v="18-24 Months"/>
    <x v="0"/>
    <n v="28"/>
    <n v="28"/>
  </r>
  <r>
    <n v="321168"/>
    <s v="University of Southern California DPS - CA"/>
    <n v="36"/>
    <n v="115"/>
    <n v="7"/>
    <n v="13"/>
    <n v="13"/>
    <n v="0"/>
    <n v="0.11"/>
    <n v="0.11"/>
    <n v="0"/>
    <n v="17"/>
    <x v="2"/>
    <s v="18-24 Months"/>
    <x v="1"/>
    <n v="0"/>
    <n v="0"/>
  </r>
  <r>
    <n v="324380"/>
    <s v="Artesia Police Dept. - NM"/>
    <n v="43"/>
    <n v="41"/>
    <n v="7"/>
    <n v="55"/>
    <n v="41"/>
    <n v="17"/>
    <n v="1.34"/>
    <n v="1"/>
    <n v="0.41"/>
    <n v="262"/>
    <x v="2"/>
    <s v="18-24 Months"/>
    <x v="0"/>
    <n v="43"/>
    <n v="0"/>
  </r>
  <r>
    <n v="105904"/>
    <s v="University of Utah Police Dept. - UT"/>
    <n v="45"/>
    <n v="46"/>
    <n v="7"/>
    <n v="182"/>
    <n v="182"/>
    <n v="161"/>
    <n v="3.96"/>
    <n v="3.96"/>
    <n v="3.5"/>
    <n v="39"/>
    <x v="2"/>
    <s v="18-24 Months"/>
    <x v="0"/>
    <n v="45"/>
    <n v="45"/>
  </r>
  <r>
    <n v="158758"/>
    <s v="Winchester Police Department - KY"/>
    <n v="53"/>
    <n v="40"/>
    <n v="7"/>
    <n v="2"/>
    <n v="2"/>
    <n v="1"/>
    <n v="0.03"/>
    <n v="0.03"/>
    <n v="0.01"/>
    <n v="0"/>
    <x v="2"/>
    <s v="18-24 Months"/>
    <x v="0"/>
    <n v="0"/>
    <n v="0"/>
  </r>
  <r>
    <n v="109365"/>
    <s v="Seal Beach Police Dept. - CA"/>
    <n v="58"/>
    <n v="50"/>
    <n v="7"/>
    <n v="20"/>
    <n v="16"/>
    <n v="16"/>
    <n v="0.4"/>
    <n v="0.32"/>
    <n v="0.32"/>
    <n v="98"/>
    <x v="2"/>
    <s v="18-24 Months"/>
    <x v="0"/>
    <n v="0"/>
    <n v="0"/>
  </r>
  <r>
    <n v="109148"/>
    <s v="Madison County Sheriffs Office - IL"/>
    <n v="92"/>
    <n v="85"/>
    <n v="7"/>
    <n v="144"/>
    <n v="144"/>
    <n v="77"/>
    <n v="1.69"/>
    <n v="1.69"/>
    <n v="0.91"/>
    <n v="38"/>
    <x v="2"/>
    <s v="18-24 Months"/>
    <x v="0"/>
    <n v="92"/>
    <n v="0"/>
  </r>
  <r>
    <n v="105780"/>
    <s v="Homestead Police Dept.- FL"/>
    <n v="120"/>
    <n v="140"/>
    <n v="7"/>
    <n v="427"/>
    <n v="427"/>
    <n v="325"/>
    <n v="2.74"/>
    <n v="2.74"/>
    <n v="2.08"/>
    <n v="22"/>
    <x v="2"/>
    <s v="18-24 Months"/>
    <x v="1"/>
    <n v="120"/>
    <n v="120"/>
  </r>
  <r>
    <n v="106528"/>
    <s v="Port of Seattle Police Dept. - WA"/>
    <n v="120"/>
    <n v="150"/>
    <n v="7"/>
    <n v="554"/>
    <n v="529"/>
    <n v="456"/>
    <n v="3.69"/>
    <n v="3.53"/>
    <n v="3.04"/>
    <n v="179"/>
    <x v="2"/>
    <s v="18-24 Months"/>
    <x v="1"/>
    <n v="120"/>
    <n v="120"/>
  </r>
  <r>
    <n v="113390"/>
    <s v="Santa Cruz Police Dept. - CA"/>
    <n v="120"/>
    <n v="90"/>
    <n v="7"/>
    <n v="183"/>
    <n v="19"/>
    <n v="3"/>
    <n v="1.02"/>
    <n v="0.11"/>
    <n v="0.02"/>
    <n v="0"/>
    <x v="2"/>
    <s v="18-24 Months"/>
    <x v="1"/>
    <n v="0"/>
    <n v="0"/>
  </r>
  <r>
    <n v="107156"/>
    <s v="Margate Police Dept. - FL"/>
    <n v="123"/>
    <n v="123"/>
    <n v="7"/>
    <n v="116"/>
    <n v="116"/>
    <n v="5"/>
    <n v="0.94"/>
    <n v="0.94"/>
    <n v="0.04"/>
    <n v="30"/>
    <x v="2"/>
    <s v="18-24 Months"/>
    <x v="1"/>
    <n v="123"/>
    <n v="0"/>
  </r>
  <r>
    <n v="223835"/>
    <s v="Kentwood Police Department - MI"/>
    <n v="147"/>
    <n v="80"/>
    <n v="7"/>
    <n v="366"/>
    <n v="366"/>
    <n v="306"/>
    <n v="4.58"/>
    <n v="4.58"/>
    <n v="3.83"/>
    <n v="69"/>
    <x v="2"/>
    <s v="18-24 Months"/>
    <x v="0"/>
    <n v="147"/>
    <n v="147"/>
  </r>
  <r>
    <n v="462933"/>
    <s v="Indianapolis Metro Police Dept. - IN"/>
    <n v="151"/>
    <n v="5"/>
    <n v="7"/>
    <n v="128"/>
    <n v="128"/>
    <n v="118"/>
    <n v="25.6"/>
    <n v="25.6"/>
    <n v="23.6"/>
    <n v="53"/>
    <x v="2"/>
    <s v="18-24 Months"/>
    <x v="0"/>
    <n v="151"/>
    <n v="151"/>
  </r>
  <r>
    <n v="109678"/>
    <s v="Richmond Police Dept. - CA"/>
    <n v="157"/>
    <n v="150"/>
    <n v="7"/>
    <n v="66"/>
    <n v="23"/>
    <n v="14"/>
    <n v="0.44"/>
    <n v="0.15"/>
    <n v="0.09"/>
    <n v="35"/>
    <x v="2"/>
    <s v="18-24 Months"/>
    <x v="1"/>
    <n v="0"/>
    <n v="0"/>
  </r>
  <r>
    <n v="110487"/>
    <s v="Port St. Lucie Police Dept - FL"/>
    <n v="296"/>
    <n v="175"/>
    <n v="7"/>
    <n v="39"/>
    <n v="39"/>
    <n v="39"/>
    <n v="0.22"/>
    <n v="0.22"/>
    <n v="0.22"/>
    <n v="7"/>
    <x v="2"/>
    <s v="18-24 Months"/>
    <x v="1"/>
    <n v="0"/>
    <n v="0"/>
  </r>
  <r>
    <n v="106976"/>
    <s v="Santa Monica Police Dept. - CA"/>
    <n v="350"/>
    <n v="242"/>
    <n v="7"/>
    <n v="286"/>
    <n v="13"/>
    <n v="3"/>
    <n v="1.18"/>
    <n v="0.05"/>
    <n v="0.01"/>
    <n v="19"/>
    <x v="2"/>
    <s v="18-24 Months"/>
    <x v="1"/>
    <n v="0"/>
    <n v="0"/>
  </r>
  <r>
    <n v="108011"/>
    <s v="Adams County Sheriff's Office - CO"/>
    <n v="476"/>
    <n v="464"/>
    <n v="7"/>
    <n v="222"/>
    <n v="222"/>
    <n v="172"/>
    <n v="0.48"/>
    <n v="0.48"/>
    <n v="0.37"/>
    <n v="3"/>
    <x v="2"/>
    <s v="18-24 Months"/>
    <x v="1"/>
    <n v="0"/>
    <n v="0"/>
  </r>
  <r>
    <n v="106522"/>
    <s v="Hamilton County Sheriff's Office - OH"/>
    <n v="690"/>
    <n v="626"/>
    <n v="7"/>
    <n v="1780"/>
    <n v="1780"/>
    <n v="612"/>
    <n v="2.84"/>
    <n v="2.84"/>
    <n v="0.98"/>
    <n v="121"/>
    <x v="2"/>
    <s v="18-24 Months"/>
    <x v="2"/>
    <n v="690"/>
    <n v="690"/>
  </r>
  <r>
    <n v="109208"/>
    <s v="Orlando Police Dept. - FL"/>
    <n v="1200"/>
    <n v="1062"/>
    <n v="7"/>
    <n v="260"/>
    <n v="173"/>
    <n v="173"/>
    <n v="0.24"/>
    <n v="0.16"/>
    <n v="0.16"/>
    <n v="13"/>
    <x v="2"/>
    <s v="18-24 Months"/>
    <x v="2"/>
    <n v="0"/>
    <n v="0"/>
  </r>
  <r>
    <n v="106896"/>
    <s v="Fairfax County Police Dept. - VA"/>
    <n v="1515"/>
    <n v="1210"/>
    <n v="7"/>
    <n v="221"/>
    <n v="161"/>
    <n v="1"/>
    <n v="0.18"/>
    <n v="0.13"/>
    <n v="0"/>
    <n v="93"/>
    <x v="2"/>
    <s v="18-24 Months"/>
    <x v="2"/>
    <n v="0"/>
    <n v="0"/>
  </r>
  <r>
    <n v="512879"/>
    <s v="Sacramento County Sheriff's Dept. - CA"/>
    <n v="1841"/>
    <n v="150"/>
    <n v="7"/>
    <n v="18"/>
    <n v="18"/>
    <n v="3"/>
    <n v="0.06"/>
    <n v="0.06"/>
    <n v="0.01"/>
    <n v="22"/>
    <x v="2"/>
    <s v="18-24 Months"/>
    <x v="1"/>
    <n v="0"/>
    <n v="0"/>
  </r>
  <r>
    <s v="CA0115409"/>
    <s v="Peel Regional Police Service - CAN"/>
    <n v="2119"/>
    <n v="750"/>
    <n v="7"/>
    <n v="366"/>
    <n v="366"/>
    <n v="208"/>
    <n v="0.49"/>
    <n v="0.49"/>
    <n v="0.28000000000000003"/>
    <n v="1969"/>
    <x v="2"/>
    <s v="18-24 Months"/>
    <x v="2"/>
    <n v="0"/>
    <n v="0"/>
  </r>
  <r>
    <n v="152571"/>
    <s v="Rye Brook Police Dept. - NY"/>
    <n v="1"/>
    <n v="30"/>
    <n v="6"/>
    <n v="16"/>
    <n v="16"/>
    <n v="14"/>
    <n v="0.27"/>
    <n v="0.27"/>
    <n v="0.23"/>
    <n v="0"/>
    <x v="2"/>
    <s v="18-24 Months"/>
    <x v="0"/>
    <n v="0"/>
    <n v="0"/>
  </r>
  <r>
    <n v="252871"/>
    <s v="Ninety Six Police Dept. - SC"/>
    <n v="1"/>
    <n v="3"/>
    <n v="6"/>
    <n v="4"/>
    <n v="4"/>
    <n v="0"/>
    <n v="0.67"/>
    <n v="0.67"/>
    <n v="0"/>
    <n v="3"/>
    <x v="2"/>
    <s v="18-24 Months"/>
    <x v="0"/>
    <n v="0"/>
    <n v="0"/>
  </r>
  <r>
    <n v="313325"/>
    <s v="Fairfield County Municipal Court - OH"/>
    <n v="1"/>
    <n v="3"/>
    <n v="6"/>
    <n v="13"/>
    <n v="13"/>
    <n v="5"/>
    <n v="2.17"/>
    <n v="2.17"/>
    <n v="0.83"/>
    <n v="10"/>
    <x v="2"/>
    <s v="18-24 Months"/>
    <x v="0"/>
    <n v="1"/>
    <n v="1"/>
  </r>
  <r>
    <n v="451492"/>
    <s v="Smith County Constable Precinct 5 - TX"/>
    <n v="1"/>
    <n v="4"/>
    <n v="6"/>
    <n v="5"/>
    <n v="5"/>
    <n v="0"/>
    <n v="0.63"/>
    <n v="0.63"/>
    <n v="0"/>
    <n v="0"/>
    <x v="2"/>
    <s v="18-24 Months"/>
    <x v="0"/>
    <n v="0"/>
    <n v="0"/>
  </r>
  <r>
    <n v="456328"/>
    <s v="Lower Saucon Police Dept. - PA"/>
    <n v="1"/>
    <n v="20"/>
    <n v="6"/>
    <n v="0"/>
    <n v="0"/>
    <n v="0"/>
    <n v="0"/>
    <n v="0"/>
    <n v="0"/>
    <n v="0"/>
    <x v="2"/>
    <s v="18-24 Months"/>
    <x v="0"/>
    <n v="0"/>
    <n v="0"/>
  </r>
  <r>
    <n v="475512"/>
    <s v="Georgetown Police Department - IL"/>
    <n v="1"/>
    <n v="5"/>
    <n v="6"/>
    <n v="12"/>
    <n v="12"/>
    <n v="0"/>
    <n v="1.2"/>
    <n v="1.2"/>
    <n v="0"/>
    <n v="0"/>
    <x v="2"/>
    <s v="18-24 Months"/>
    <x v="0"/>
    <n v="1"/>
    <n v="0"/>
  </r>
  <r>
    <n v="476910"/>
    <s v="Amber Police Department - OK"/>
    <n v="1"/>
    <n v="4"/>
    <n v="6"/>
    <n v="16"/>
    <n v="0"/>
    <n v="0"/>
    <n v="4"/>
    <n v="0"/>
    <n v="0"/>
    <n v="0"/>
    <x v="2"/>
    <s v="18-24 Months"/>
    <x v="0"/>
    <n v="1"/>
    <n v="1"/>
  </r>
  <r>
    <n v="502025"/>
    <s v="New Harmony Police Dept. - IN"/>
    <n v="1"/>
    <n v="1"/>
    <n v="6"/>
    <n v="11"/>
    <n v="10"/>
    <n v="6"/>
    <n v="11"/>
    <n v="10"/>
    <n v="6"/>
    <n v="19"/>
    <x v="2"/>
    <s v="18-24 Months"/>
    <x v="0"/>
    <n v="1"/>
    <n v="1"/>
  </r>
  <r>
    <n v="584550"/>
    <s v="German Valley Police Department"/>
    <n v="1"/>
    <n v="1"/>
    <n v="6"/>
    <n v="1"/>
    <n v="1"/>
    <n v="1"/>
    <n v="0.5"/>
    <n v="0.5"/>
    <n v="0.5"/>
    <n v="0"/>
    <x v="2"/>
    <s v="18-24 Months"/>
    <x v="0"/>
    <n v="0"/>
    <n v="0"/>
  </r>
  <r>
    <n v="213641"/>
    <s v="Yoakum County Sheriff's Office - TX"/>
    <n v="2"/>
    <n v="10"/>
    <n v="6"/>
    <n v="0"/>
    <n v="0"/>
    <n v="0"/>
    <n v="0"/>
    <n v="0"/>
    <n v="0"/>
    <n v="0"/>
    <x v="2"/>
    <s v="18-24 Months"/>
    <x v="0"/>
    <n v="0"/>
    <n v="0"/>
  </r>
  <r>
    <n v="230607"/>
    <s v="Franklin Police Dept - MA"/>
    <n v="2"/>
    <n v="58"/>
    <n v="6"/>
    <n v="133"/>
    <n v="99"/>
    <n v="96"/>
    <n v="1.1499999999999999"/>
    <n v="0.85"/>
    <n v="0.83"/>
    <n v="21"/>
    <x v="2"/>
    <s v="18-24 Months"/>
    <x v="1"/>
    <n v="2"/>
    <n v="0"/>
  </r>
  <r>
    <n v="321548"/>
    <s v="Douglas County Sheriff - IL"/>
    <n v="2"/>
    <n v="5"/>
    <n v="6"/>
    <n v="0"/>
    <n v="0"/>
    <n v="0"/>
    <n v="0"/>
    <n v="0"/>
    <n v="0"/>
    <n v="0"/>
    <x v="2"/>
    <s v="18-24 Months"/>
    <x v="0"/>
    <n v="0"/>
    <n v="0"/>
  </r>
  <r>
    <n v="462647"/>
    <s v="Ramsey Police Dept. - NJ"/>
    <n v="2"/>
    <n v="16"/>
    <n v="6"/>
    <n v="68"/>
    <n v="68"/>
    <n v="46"/>
    <n v="2.13"/>
    <n v="2.13"/>
    <n v="1.44"/>
    <n v="80"/>
    <x v="2"/>
    <s v="18-24 Months"/>
    <x v="0"/>
    <n v="2"/>
    <n v="2"/>
  </r>
  <r>
    <n v="310328"/>
    <s v="Conrad Police Dept. - MT"/>
    <n v="3"/>
    <n v="6"/>
    <n v="6"/>
    <n v="1"/>
    <n v="1"/>
    <n v="0"/>
    <n v="0.08"/>
    <n v="0.08"/>
    <n v="0"/>
    <n v="9"/>
    <x v="2"/>
    <s v="18-24 Months"/>
    <x v="0"/>
    <n v="0"/>
    <n v="0"/>
  </r>
  <r>
    <n v="110248"/>
    <s v="Texas Christian University Police Dept. - TX"/>
    <n v="4"/>
    <n v="44"/>
    <n v="6"/>
    <n v="58"/>
    <n v="58"/>
    <n v="58"/>
    <n v="1.21"/>
    <n v="1.21"/>
    <n v="1.21"/>
    <n v="5"/>
    <x v="2"/>
    <s v="18-24 Months"/>
    <x v="0"/>
    <n v="4"/>
    <n v="0"/>
  </r>
  <r>
    <n v="305994"/>
    <s v="California State University Police - Dominguez Hills"/>
    <n v="4"/>
    <n v="18"/>
    <n v="6"/>
    <n v="0"/>
    <n v="0"/>
    <n v="0"/>
    <n v="0"/>
    <n v="0"/>
    <n v="0"/>
    <n v="0"/>
    <x v="2"/>
    <s v="18-24 Months"/>
    <x v="0"/>
    <n v="0"/>
    <n v="0"/>
  </r>
  <r>
    <n v="462439"/>
    <s v="California State University Police - Los Angeles"/>
    <n v="4"/>
    <n v="23"/>
    <n v="6"/>
    <n v="0"/>
    <n v="0"/>
    <n v="0"/>
    <n v="0"/>
    <n v="0"/>
    <n v="0"/>
    <n v="0"/>
    <x v="2"/>
    <s v="18-24 Months"/>
    <x v="0"/>
    <n v="0"/>
    <n v="0"/>
  </r>
  <r>
    <n v="500453"/>
    <s v="Madison Police Department - NE"/>
    <n v="4"/>
    <n v="4"/>
    <n v="6"/>
    <n v="21"/>
    <n v="20"/>
    <n v="14"/>
    <n v="5.25"/>
    <n v="5"/>
    <n v="3.5"/>
    <n v="34"/>
    <x v="2"/>
    <s v="18-24 Months"/>
    <x v="0"/>
    <n v="4"/>
    <n v="4"/>
  </r>
  <r>
    <n v="106938"/>
    <s v="Humboldt State University Police Dept (CSU). - CA"/>
    <n v="5"/>
    <n v="11"/>
    <n v="6"/>
    <n v="0"/>
    <n v="0"/>
    <n v="0"/>
    <n v="0"/>
    <n v="0"/>
    <n v="0"/>
    <n v="0"/>
    <x v="2"/>
    <s v="18-24 Months"/>
    <x v="0"/>
    <n v="0"/>
    <n v="0"/>
  </r>
  <r>
    <n v="205183"/>
    <s v="Divide County Sheriff's Office - ND"/>
    <n v="5"/>
    <n v="5"/>
    <n v="6"/>
    <n v="38"/>
    <n v="38"/>
    <n v="0"/>
    <n v="3.8"/>
    <n v="3.8"/>
    <n v="0"/>
    <n v="0"/>
    <x v="2"/>
    <s v="18-24 Months"/>
    <x v="0"/>
    <n v="5"/>
    <n v="5"/>
  </r>
  <r>
    <n v="493451"/>
    <s v="Hesperia Recreation &amp; Park District Rangers - CA"/>
    <n v="5"/>
    <n v="7"/>
    <n v="6"/>
    <n v="36"/>
    <n v="9"/>
    <n v="0"/>
    <n v="4.5"/>
    <n v="1.1299999999999999"/>
    <n v="0"/>
    <n v="26"/>
    <x v="2"/>
    <s v="18-24 Months"/>
    <x v="0"/>
    <n v="5"/>
    <n v="5"/>
  </r>
  <r>
    <n v="112987"/>
    <s v="Saint Croix Falls Police Department - WI"/>
    <n v="9"/>
    <n v="8"/>
    <n v="6"/>
    <n v="3"/>
    <n v="3"/>
    <n v="0"/>
    <n v="0.19"/>
    <n v="0.19"/>
    <n v="0"/>
    <n v="2"/>
    <x v="2"/>
    <s v="18-24 Months"/>
    <x v="0"/>
    <n v="0"/>
    <n v="0"/>
  </r>
  <r>
    <n v="461758"/>
    <s v="California Maritime Academy Police Dept. (CSU) - CA"/>
    <n v="9"/>
    <n v="5"/>
    <n v="6"/>
    <n v="12"/>
    <n v="12"/>
    <n v="12"/>
    <n v="2.4"/>
    <n v="2.4"/>
    <n v="2.4"/>
    <n v="18"/>
    <x v="2"/>
    <s v="18-24 Months"/>
    <x v="0"/>
    <n v="9"/>
    <n v="9"/>
  </r>
  <r>
    <n v="307838"/>
    <s v="Village Of Montgomery Police - NY"/>
    <n v="10"/>
    <n v="16"/>
    <n v="6"/>
    <n v="83"/>
    <n v="83"/>
    <n v="83"/>
    <n v="2.59"/>
    <n v="2.59"/>
    <n v="2.59"/>
    <n v="14"/>
    <x v="2"/>
    <s v="18-24 Months"/>
    <x v="0"/>
    <n v="10"/>
    <n v="10"/>
  </r>
  <r>
    <n v="222038"/>
    <s v="Genoa Police Dept. - IL"/>
    <n v="11"/>
    <n v="10"/>
    <n v="6"/>
    <n v="25"/>
    <n v="22"/>
    <n v="2"/>
    <n v="1.25"/>
    <n v="1.1000000000000001"/>
    <n v="0.1"/>
    <n v="10"/>
    <x v="2"/>
    <s v="18-24 Months"/>
    <x v="0"/>
    <n v="11"/>
    <n v="0"/>
  </r>
  <r>
    <n v="321757"/>
    <s v="Kalkaska Police Department - MI"/>
    <n v="12"/>
    <n v="6"/>
    <n v="6"/>
    <n v="4"/>
    <n v="0"/>
    <n v="0"/>
    <n v="0.67"/>
    <n v="0"/>
    <n v="0"/>
    <n v="0"/>
    <x v="2"/>
    <s v="18-24 Months"/>
    <x v="0"/>
    <n v="0"/>
    <n v="0"/>
  </r>
  <r>
    <n v="158519"/>
    <s v="Sonoma State Univ Police Dept. (CSU campus)- CA"/>
    <n v="14"/>
    <n v="13"/>
    <n v="6"/>
    <n v="42"/>
    <n v="42"/>
    <n v="42"/>
    <n v="3.23"/>
    <n v="3.23"/>
    <n v="3.23"/>
    <n v="12"/>
    <x v="2"/>
    <s v="18-24 Months"/>
    <x v="0"/>
    <n v="14"/>
    <n v="14"/>
  </r>
  <r>
    <n v="120210"/>
    <s v="California State University Police - Stanislaus"/>
    <n v="15"/>
    <n v="15"/>
    <n v="6"/>
    <n v="10"/>
    <n v="10"/>
    <n v="10"/>
    <n v="0.67"/>
    <n v="0.67"/>
    <n v="0.67"/>
    <n v="0"/>
    <x v="2"/>
    <s v="18-24 Months"/>
    <x v="0"/>
    <n v="0"/>
    <n v="0"/>
  </r>
  <r>
    <n v="113149"/>
    <s v="Hailey Police Department - ID"/>
    <n v="16"/>
    <n v="6"/>
    <n v="6"/>
    <n v="37"/>
    <n v="37"/>
    <n v="20"/>
    <n v="3.08"/>
    <n v="3.08"/>
    <n v="1.67"/>
    <n v="0"/>
    <x v="2"/>
    <s v="18-24 Months"/>
    <x v="0"/>
    <n v="16"/>
    <n v="16"/>
  </r>
  <r>
    <n v="305996"/>
    <s v="California State University Police - East Bay"/>
    <n v="16"/>
    <n v="12"/>
    <n v="6"/>
    <n v="48"/>
    <n v="48"/>
    <n v="48"/>
    <n v="4"/>
    <n v="4"/>
    <n v="4"/>
    <n v="62"/>
    <x v="2"/>
    <s v="18-24 Months"/>
    <x v="0"/>
    <n v="16"/>
    <n v="16"/>
  </r>
  <r>
    <n v="305998"/>
    <s v="California State University Police - Bakersfield"/>
    <n v="17"/>
    <n v="17"/>
    <n v="6"/>
    <n v="0"/>
    <n v="0"/>
    <n v="0"/>
    <n v="0"/>
    <n v="0"/>
    <n v="0"/>
    <n v="0"/>
    <x v="2"/>
    <s v="18-24 Months"/>
    <x v="0"/>
    <n v="0"/>
    <n v="0"/>
  </r>
  <r>
    <n v="313390"/>
    <s v="California State University Police-Channel Islands"/>
    <n v="18"/>
    <n v="12"/>
    <n v="6"/>
    <n v="0"/>
    <n v="0"/>
    <n v="0"/>
    <n v="0"/>
    <n v="0"/>
    <n v="0"/>
    <n v="0"/>
    <x v="2"/>
    <s v="18-24 Months"/>
    <x v="0"/>
    <n v="0"/>
    <n v="0"/>
  </r>
  <r>
    <n v="114486"/>
    <s v="California State Polytechnic PD (CSU) SLO"/>
    <n v="19"/>
    <n v="20"/>
    <n v="6"/>
    <n v="0"/>
    <n v="0"/>
    <n v="0"/>
    <n v="0"/>
    <n v="0"/>
    <n v="0"/>
    <n v="0"/>
    <x v="2"/>
    <s v="18-24 Months"/>
    <x v="0"/>
    <n v="0"/>
    <n v="0"/>
  </r>
  <r>
    <n v="166614"/>
    <s v="California State Univ (CSU campus) Police - San Marcos"/>
    <n v="19"/>
    <n v="18"/>
    <n v="6"/>
    <n v="12"/>
    <n v="8"/>
    <n v="8"/>
    <n v="0.67"/>
    <n v="0.44"/>
    <n v="0.44"/>
    <n v="62"/>
    <x v="2"/>
    <s v="18-24 Months"/>
    <x v="0"/>
    <n v="0"/>
    <n v="0"/>
  </r>
  <r>
    <n v="306000"/>
    <s v="California State University Police-San Bernardino"/>
    <n v="20"/>
    <n v="17"/>
    <n v="6"/>
    <n v="0"/>
    <n v="0"/>
    <n v="0"/>
    <n v="0"/>
    <n v="0"/>
    <n v="0"/>
    <n v="0"/>
    <x v="2"/>
    <s v="18-24 Months"/>
    <x v="0"/>
    <n v="0"/>
    <n v="0"/>
  </r>
  <r>
    <n v="472299"/>
    <s v="Flagler Beach Police Dept. - FL"/>
    <n v="20"/>
    <n v="18"/>
    <n v="6"/>
    <n v="10"/>
    <n v="10"/>
    <n v="8"/>
    <n v="0.28000000000000003"/>
    <n v="0.28000000000000003"/>
    <n v="0.22"/>
    <n v="34"/>
    <x v="2"/>
    <s v="18-24 Months"/>
    <x v="0"/>
    <n v="0"/>
    <n v="0"/>
  </r>
  <r>
    <n v="123323"/>
    <s v="California State University (CSU)  Police - Chico"/>
    <n v="21"/>
    <n v="20"/>
    <n v="6"/>
    <n v="0"/>
    <n v="0"/>
    <n v="0"/>
    <n v="0"/>
    <n v="0"/>
    <n v="0"/>
    <n v="0"/>
    <x v="2"/>
    <s v="18-24 Months"/>
    <x v="0"/>
    <n v="0"/>
    <n v="0"/>
  </r>
  <r>
    <n v="110482"/>
    <s v="California State University Police - Monterey Bay"/>
    <n v="22"/>
    <n v="13"/>
    <n v="6"/>
    <n v="9"/>
    <n v="9"/>
    <n v="9"/>
    <n v="0.69"/>
    <n v="0.69"/>
    <n v="0.69"/>
    <n v="1"/>
    <x v="2"/>
    <s v="18-24 Months"/>
    <x v="0"/>
    <n v="0"/>
    <n v="0"/>
  </r>
  <r>
    <n v="119803"/>
    <s v="California State Univ (CSU campus) Police - Long Beach"/>
    <n v="24"/>
    <n v="32"/>
    <n v="6"/>
    <n v="121"/>
    <n v="112"/>
    <n v="107"/>
    <n v="3.78"/>
    <n v="3.5"/>
    <n v="3.34"/>
    <n v="121"/>
    <x v="2"/>
    <s v="18-24 Months"/>
    <x v="0"/>
    <n v="24"/>
    <n v="24"/>
  </r>
  <r>
    <n v="306001"/>
    <s v="California State University Police - Sacramento"/>
    <n v="25"/>
    <n v="20"/>
    <n v="6"/>
    <n v="0"/>
    <n v="0"/>
    <n v="0"/>
    <n v="0"/>
    <n v="0"/>
    <n v="0"/>
    <n v="0"/>
    <x v="2"/>
    <s v="18-24 Months"/>
    <x v="0"/>
    <n v="0"/>
    <n v="0"/>
  </r>
  <r>
    <n v="467660"/>
    <s v="California Poly State Univ Police (CSU campus) - Pomona"/>
    <n v="26"/>
    <n v="19"/>
    <n v="6"/>
    <n v="6"/>
    <n v="6"/>
    <n v="6"/>
    <n v="0.32"/>
    <n v="0.32"/>
    <n v="0.32"/>
    <n v="4"/>
    <x v="2"/>
    <s v="18-24 Months"/>
    <x v="0"/>
    <n v="0"/>
    <n v="0"/>
  </r>
  <r>
    <n v="305999"/>
    <s v="California State University Police - Northridge"/>
    <n v="28"/>
    <n v="24"/>
    <n v="6"/>
    <n v="0"/>
    <n v="0"/>
    <n v="0"/>
    <n v="0"/>
    <n v="0"/>
    <n v="0"/>
    <n v="0"/>
    <x v="2"/>
    <s v="18-24 Months"/>
    <x v="0"/>
    <n v="0"/>
    <n v="0"/>
  </r>
  <r>
    <n v="212348"/>
    <s v="Tarrant County College Police Academy - TX"/>
    <n v="32"/>
    <n v="5"/>
    <n v="6"/>
    <n v="20"/>
    <n v="7"/>
    <n v="0"/>
    <n v="4"/>
    <n v="1.4"/>
    <n v="0"/>
    <n v="25"/>
    <x v="2"/>
    <s v="18-24 Months"/>
    <x v="0"/>
    <n v="32"/>
    <n v="32"/>
  </r>
  <r>
    <n v="305997"/>
    <s v="California State University Police - Fresno"/>
    <n v="32"/>
    <n v="27"/>
    <n v="6"/>
    <n v="193"/>
    <n v="170"/>
    <n v="0"/>
    <n v="7.15"/>
    <n v="6.3"/>
    <n v="0"/>
    <n v="8"/>
    <x v="2"/>
    <s v="18-24 Months"/>
    <x v="0"/>
    <n v="32"/>
    <n v="32"/>
  </r>
  <r>
    <n v="119874"/>
    <s v="Franklin-Bingham Farms Police Department - MI"/>
    <n v="35"/>
    <n v="24"/>
    <n v="6"/>
    <n v="0"/>
    <n v="0"/>
    <n v="0"/>
    <n v="0"/>
    <n v="0"/>
    <n v="0"/>
    <n v="0"/>
    <x v="2"/>
    <s v="18-24 Months"/>
    <x v="0"/>
    <n v="0"/>
    <n v="0"/>
  </r>
  <r>
    <n v="112780"/>
    <s v="California State University Police - Fullerton"/>
    <n v="37"/>
    <n v="24"/>
    <n v="6"/>
    <n v="8"/>
    <n v="8"/>
    <n v="8"/>
    <n v="0.33"/>
    <n v="0.33"/>
    <n v="0.33"/>
    <n v="27"/>
    <x v="2"/>
    <s v="18-24 Months"/>
    <x v="0"/>
    <n v="0"/>
    <n v="0"/>
  </r>
  <r>
    <n v="109353"/>
    <s v="Surfside Police Dept.- FL"/>
    <n v="40"/>
    <n v="34"/>
    <n v="6"/>
    <n v="31"/>
    <n v="31"/>
    <n v="31"/>
    <n v="0.91"/>
    <n v="0.91"/>
    <n v="0.91"/>
    <n v="14"/>
    <x v="2"/>
    <s v="18-24 Months"/>
    <x v="0"/>
    <n v="40"/>
    <n v="0"/>
  </r>
  <r>
    <n v="316129"/>
    <s v="Hillsborough County Sheriff's Office - NH"/>
    <n v="45"/>
    <n v="70"/>
    <n v="6"/>
    <n v="16"/>
    <n v="15"/>
    <n v="15"/>
    <n v="0.23"/>
    <n v="0.21"/>
    <n v="0.21"/>
    <n v="21"/>
    <x v="2"/>
    <s v="18-24 Months"/>
    <x v="0"/>
    <n v="0"/>
    <n v="0"/>
  </r>
  <r>
    <n v="106139"/>
    <s v="San Diego State Univ. PD CSU campus - CA"/>
    <n v="50"/>
    <n v="92"/>
    <n v="6"/>
    <n v="0"/>
    <n v="0"/>
    <n v="0"/>
    <n v="0"/>
    <n v="0"/>
    <n v="0"/>
    <n v="0"/>
    <x v="2"/>
    <s v="18-24 Months"/>
    <x v="0"/>
    <n v="0"/>
    <n v="0"/>
  </r>
  <r>
    <n v="114232"/>
    <s v="San Francisco State Univ. (CSU campus) - CA"/>
    <n v="57"/>
    <n v="12"/>
    <n v="6"/>
    <n v="12"/>
    <n v="12"/>
    <n v="12"/>
    <n v="1"/>
    <n v="1"/>
    <n v="1"/>
    <n v="0"/>
    <x v="2"/>
    <s v="18-24 Months"/>
    <x v="0"/>
    <n v="57"/>
    <n v="0"/>
  </r>
  <r>
    <n v="183987"/>
    <s v="San Jose State Univ, (CSU campus) - CA"/>
    <n v="65"/>
    <n v="27"/>
    <n v="6"/>
    <n v="28"/>
    <n v="28"/>
    <n v="28"/>
    <n v="1.04"/>
    <n v="1.04"/>
    <n v="1.04"/>
    <n v="15"/>
    <x v="2"/>
    <s v="18-24 Months"/>
    <x v="0"/>
    <n v="65"/>
    <n v="0"/>
  </r>
  <r>
    <n v="116353"/>
    <s v="Town of Carmel Police Department - NY"/>
    <n v="72"/>
    <n v="36"/>
    <n v="6"/>
    <n v="0"/>
    <n v="0"/>
    <n v="0"/>
    <n v="0"/>
    <n v="0"/>
    <n v="0"/>
    <n v="0"/>
    <x v="2"/>
    <s v="18-24 Months"/>
    <x v="0"/>
    <n v="0"/>
    <n v="0"/>
  </r>
  <r>
    <n v="508779"/>
    <s v="Menifee Police Dept. - CA"/>
    <n v="79"/>
    <n v="106"/>
    <n v="6"/>
    <n v="213"/>
    <n v="213"/>
    <n v="195"/>
    <n v="2.0099999999999998"/>
    <n v="2.0099999999999998"/>
    <n v="1.84"/>
    <n v="96"/>
    <x v="2"/>
    <s v="18-24 Months"/>
    <x v="1"/>
    <n v="79"/>
    <n v="79"/>
  </r>
  <r>
    <n v="111178"/>
    <s v="St. Charles Police Dept. - MO"/>
    <n v="105"/>
    <n v="145"/>
    <n v="6"/>
    <n v="1154"/>
    <n v="1154"/>
    <n v="292"/>
    <n v="7.96"/>
    <n v="7.96"/>
    <n v="2.0099999999999998"/>
    <n v="10"/>
    <x v="2"/>
    <s v="18-24 Months"/>
    <x v="1"/>
    <n v="105"/>
    <n v="105"/>
  </r>
  <r>
    <n v="106711"/>
    <s v="Columbia County Sheriff's Office - FL"/>
    <n v="171"/>
    <n v="135"/>
    <n v="6"/>
    <n v="525"/>
    <n v="523"/>
    <n v="65"/>
    <n v="1.94"/>
    <n v="1.94"/>
    <n v="0.24"/>
    <n v="4"/>
    <x v="2"/>
    <s v="18-24 Months"/>
    <x v="1"/>
    <n v="171"/>
    <n v="0"/>
  </r>
  <r>
    <n v="157441"/>
    <s v="Fresno County Sheriff's Office - CA"/>
    <n v="350"/>
    <n v="250"/>
    <n v="6"/>
    <n v="27"/>
    <n v="27"/>
    <n v="27"/>
    <n v="0.11"/>
    <n v="0.11"/>
    <n v="0.11"/>
    <n v="64"/>
    <x v="2"/>
    <s v="18-24 Months"/>
    <x v="1"/>
    <n v="0"/>
    <n v="0"/>
  </r>
  <r>
    <n v="110594"/>
    <s v="Tallahassee Police Dept.-FL"/>
    <n v="399"/>
    <n v="385"/>
    <n v="6"/>
    <n v="195"/>
    <n v="195"/>
    <n v="150"/>
    <n v="0.51"/>
    <n v="0.51"/>
    <n v="0.39"/>
    <n v="310"/>
    <x v="2"/>
    <s v="18-24 Months"/>
    <x v="1"/>
    <n v="0"/>
    <n v="0"/>
  </r>
  <r>
    <n v="108467"/>
    <s v="Charlotte County Sheriff's Office - FL"/>
    <n v="464"/>
    <n v="488"/>
    <n v="6"/>
    <n v="2793"/>
    <n v="2694"/>
    <n v="2238"/>
    <n v="5.72"/>
    <n v="5.52"/>
    <n v="4.59"/>
    <n v="76"/>
    <x v="2"/>
    <s v="18-24 Months"/>
    <x v="1"/>
    <n v="464"/>
    <n v="464"/>
  </r>
  <r>
    <n v="108658"/>
    <s v="Travis County Sheriff's Office - TX"/>
    <n v="752"/>
    <n v="763"/>
    <n v="6"/>
    <n v="2499"/>
    <n v="2358"/>
    <n v="542"/>
    <n v="3.28"/>
    <n v="3.09"/>
    <n v="0.71"/>
    <n v="52"/>
    <x v="2"/>
    <s v="18-24 Months"/>
    <x v="2"/>
    <n v="752"/>
    <n v="752"/>
  </r>
  <r>
    <n v="107741"/>
    <s v="Arizona Department of Corrections - AZ"/>
    <n v="1651"/>
    <n v="1466"/>
    <n v="6"/>
    <n v="1514"/>
    <n v="1514"/>
    <n v="517"/>
    <n v="1.03"/>
    <n v="1.03"/>
    <n v="0.35"/>
    <n v="168"/>
    <x v="2"/>
    <s v="18-24 Months"/>
    <x v="2"/>
    <n v="1651"/>
    <n v="1651"/>
  </r>
  <r>
    <n v="319698"/>
    <s v="THE PORT AUTHORITY OF NEW YORK / NEW JERSEY"/>
    <n v="2037"/>
    <n v="400"/>
    <n v="6"/>
    <n v="100"/>
    <n v="5"/>
    <n v="5"/>
    <n v="0.25"/>
    <n v="0.01"/>
    <n v="0.01"/>
    <n v="1"/>
    <x v="2"/>
    <s v="18-24 Months"/>
    <x v="1"/>
    <n v="0"/>
    <n v="0"/>
  </r>
  <r>
    <n v="497705"/>
    <s v="Ohio Dept of Rehabilitation and Correction"/>
    <n v="5115"/>
    <n v="917"/>
    <n v="6"/>
    <n v="728"/>
    <n v="284"/>
    <n v="197"/>
    <n v="0.4"/>
    <n v="0.15"/>
    <n v="0.11"/>
    <n v="4"/>
    <x v="2"/>
    <s v="18-24 Months"/>
    <x v="2"/>
    <n v="0"/>
    <n v="0"/>
  </r>
  <r>
    <s v="SE0116533"/>
    <s v="National Police (Politie Uitrusting) SEG"/>
    <n v="0"/>
    <n v="100"/>
    <n v="6"/>
    <n v="0"/>
    <n v="0"/>
    <n v="0"/>
    <n v="0"/>
    <n v="0"/>
    <n v="0"/>
    <n v="0"/>
    <x v="2"/>
    <s v="18-24 Months"/>
    <x v="1"/>
    <n v="0"/>
    <n v="0"/>
  </r>
  <r>
    <n v="107448"/>
    <s v="Criminal Justice Training Commission - WA"/>
    <n v="0"/>
    <n v="32"/>
    <n v="5"/>
    <n v="471"/>
    <n v="471"/>
    <n v="430"/>
    <n v="14.72"/>
    <n v="14.72"/>
    <n v="13.44"/>
    <n v="203"/>
    <x v="3"/>
    <s v="12-18 Months"/>
    <x v="0"/>
    <n v="0"/>
    <n v="0"/>
  </r>
  <r>
    <n v="205859"/>
    <s v="Hillsborough Community College - FL"/>
    <n v="0"/>
    <n v="30"/>
    <n v="5"/>
    <n v="4"/>
    <n v="4"/>
    <n v="0"/>
    <n v="0.13"/>
    <n v="0.13"/>
    <n v="0"/>
    <n v="0"/>
    <x v="3"/>
    <s v="12-18 Months"/>
    <x v="0"/>
    <n v="0"/>
    <n v="0"/>
  </r>
  <r>
    <n v="110284"/>
    <s v="Springfield Police Department - MN"/>
    <n v="1"/>
    <n v="5"/>
    <n v="5"/>
    <n v="37"/>
    <n v="37"/>
    <n v="19"/>
    <n v="7.4"/>
    <n v="7.4"/>
    <n v="3.8"/>
    <n v="17"/>
    <x v="3"/>
    <s v="12-18 Months"/>
    <x v="0"/>
    <n v="1"/>
    <n v="1"/>
  </r>
  <r>
    <n v="119244"/>
    <s v="Mills County Sheriff's Dept. - TX"/>
    <n v="1"/>
    <n v="18"/>
    <n v="5"/>
    <n v="22"/>
    <n v="22"/>
    <n v="0"/>
    <n v="1.22"/>
    <n v="1.22"/>
    <n v="0"/>
    <n v="10"/>
    <x v="3"/>
    <s v="12-18 Months"/>
    <x v="0"/>
    <n v="1"/>
    <n v="0"/>
  </r>
  <r>
    <n v="328345"/>
    <s v="Fairmount Police Dept. - IL"/>
    <n v="1"/>
    <n v="1"/>
    <n v="5"/>
    <n v="0"/>
    <n v="0"/>
    <n v="0"/>
    <n v="0"/>
    <n v="0"/>
    <n v="0"/>
    <n v="0"/>
    <x v="3"/>
    <s v="12-18 Months"/>
    <x v="0"/>
    <n v="0"/>
    <n v="0"/>
  </r>
  <r>
    <n v="493704"/>
    <s v="Ozawkie Police Department-KS"/>
    <n v="1"/>
    <n v="1"/>
    <n v="5"/>
    <n v="3"/>
    <n v="3"/>
    <n v="0"/>
    <n v="3"/>
    <n v="3"/>
    <n v="0"/>
    <n v="0"/>
    <x v="3"/>
    <s v="12-18 Months"/>
    <x v="0"/>
    <n v="1"/>
    <n v="1"/>
  </r>
  <r>
    <n v="458584"/>
    <s v="Linn County Parole and Probation - OR"/>
    <n v="2"/>
    <n v="17"/>
    <n v="5"/>
    <n v="14"/>
    <n v="14"/>
    <n v="2"/>
    <n v="0.82"/>
    <n v="0.82"/>
    <n v="0.12"/>
    <n v="26"/>
    <x v="3"/>
    <s v="12-18 Months"/>
    <x v="0"/>
    <n v="2"/>
    <n v="0"/>
  </r>
  <r>
    <n v="509966"/>
    <s v="Blanco County Constable Pct 1 - TX"/>
    <n v="2"/>
    <n v="2"/>
    <n v="5"/>
    <n v="0"/>
    <n v="0"/>
    <n v="0"/>
    <n v="0"/>
    <n v="0"/>
    <n v="0"/>
    <n v="0"/>
    <x v="3"/>
    <s v="12-18 Months"/>
    <x v="0"/>
    <n v="0"/>
    <n v="0"/>
  </r>
  <r>
    <n v="584056"/>
    <s v="Adrian Police Department MN"/>
    <n v="2"/>
    <n v="2"/>
    <n v="5"/>
    <n v="6"/>
    <n v="6"/>
    <n v="0"/>
    <n v="3"/>
    <n v="3"/>
    <n v="0"/>
    <n v="0"/>
    <x v="3"/>
    <s v="12-18 Months"/>
    <x v="0"/>
    <n v="2"/>
    <n v="2"/>
  </r>
  <r>
    <n v="454239"/>
    <s v="Village Of Boonville Police Dept. - NY"/>
    <n v="3"/>
    <n v="5"/>
    <n v="5"/>
    <n v="55"/>
    <n v="55"/>
    <n v="4"/>
    <n v="11"/>
    <n v="11"/>
    <n v="0.8"/>
    <n v="4"/>
    <x v="3"/>
    <s v="12-18 Months"/>
    <x v="0"/>
    <n v="3"/>
    <n v="3"/>
  </r>
  <r>
    <n v="456357"/>
    <s v="Brockway Borough Police Dept."/>
    <n v="3"/>
    <n v="4"/>
    <n v="5"/>
    <n v="24"/>
    <n v="24"/>
    <n v="0"/>
    <n v="6"/>
    <n v="6"/>
    <n v="0"/>
    <n v="44"/>
    <x v="3"/>
    <s v="12-18 Months"/>
    <x v="0"/>
    <n v="3"/>
    <n v="3"/>
  </r>
  <r>
    <n v="586658"/>
    <s v="Lamar Police Dept. - SC"/>
    <n v="3"/>
    <n v="3"/>
    <n v="5"/>
    <n v="0"/>
    <n v="0"/>
    <n v="0"/>
    <n v="0"/>
    <n v="0"/>
    <n v="0"/>
    <n v="0"/>
    <x v="3"/>
    <s v="12-18 Months"/>
    <x v="0"/>
    <n v="0"/>
    <n v="0"/>
  </r>
  <r>
    <n v="313412"/>
    <s v="Raisin Township Police Dept. - MI"/>
    <n v="5"/>
    <n v="5"/>
    <n v="5"/>
    <n v="17"/>
    <n v="17"/>
    <n v="7"/>
    <n v="3.4"/>
    <n v="3.4"/>
    <n v="1.4"/>
    <n v="2"/>
    <x v="3"/>
    <s v="12-18 Months"/>
    <x v="0"/>
    <n v="5"/>
    <n v="5"/>
  </r>
  <r>
    <s v="AU0115817"/>
    <s v="Office of Sheriff of New South Wales"/>
    <n v="5"/>
    <n v="5"/>
    <n v="5"/>
    <n v="3"/>
    <n v="3"/>
    <n v="0"/>
    <n v="0.6"/>
    <n v="0.6"/>
    <n v="0"/>
    <n v="85"/>
    <x v="3"/>
    <s v="12-18 Months"/>
    <x v="0"/>
    <n v="0"/>
    <n v="0"/>
  </r>
  <r>
    <n v="164778"/>
    <s v="Dimmitt Police Dept. - TX"/>
    <n v="6"/>
    <n v="6"/>
    <n v="5"/>
    <n v="86"/>
    <n v="86"/>
    <n v="2"/>
    <n v="14.33"/>
    <n v="14.33"/>
    <n v="0.33"/>
    <n v="0"/>
    <x v="3"/>
    <s v="12-18 Months"/>
    <x v="0"/>
    <n v="6"/>
    <n v="6"/>
  </r>
  <r>
    <n v="316390"/>
    <s v="Dunstable Police Dept - MA"/>
    <n v="6"/>
    <n v="11"/>
    <n v="5"/>
    <n v="0"/>
    <n v="0"/>
    <n v="0"/>
    <n v="0"/>
    <n v="0"/>
    <n v="0"/>
    <n v="0"/>
    <x v="3"/>
    <s v="12-18 Months"/>
    <x v="0"/>
    <n v="0"/>
    <n v="0"/>
  </r>
  <r>
    <n v="114947"/>
    <s v="Bethlehem Police Dept. - NH"/>
    <n v="7"/>
    <n v="6"/>
    <n v="5"/>
    <n v="14"/>
    <n v="14"/>
    <n v="5"/>
    <n v="2.33"/>
    <n v="2.33"/>
    <n v="0.83"/>
    <n v="1"/>
    <x v="3"/>
    <s v="12-18 Months"/>
    <x v="0"/>
    <n v="7"/>
    <n v="7"/>
  </r>
  <r>
    <n v="586347"/>
    <s v="Hochatown Police Department - OK"/>
    <n v="7"/>
    <n v="7"/>
    <n v="5"/>
    <n v="4"/>
    <n v="4"/>
    <n v="3"/>
    <n v="0.56999999999999995"/>
    <n v="0.56999999999999995"/>
    <n v="0.43"/>
    <n v="3"/>
    <x v="3"/>
    <s v="12-18 Months"/>
    <x v="0"/>
    <n v="0"/>
    <n v="0"/>
  </r>
  <r>
    <n v="198166"/>
    <s v="Waukon Police Dept. - IA"/>
    <n v="8"/>
    <n v="8"/>
    <n v="5"/>
    <n v="0"/>
    <n v="0"/>
    <n v="0"/>
    <n v="0"/>
    <n v="0"/>
    <n v="0"/>
    <n v="0"/>
    <x v="3"/>
    <s v="12-18 Months"/>
    <x v="0"/>
    <n v="0"/>
    <n v="0"/>
  </r>
  <r>
    <n v="470764"/>
    <s v="Shawnee County Park Police - KS"/>
    <n v="8"/>
    <n v="10"/>
    <n v="5"/>
    <n v="25"/>
    <n v="25"/>
    <n v="0"/>
    <n v="2.5"/>
    <n v="2.5"/>
    <n v="0"/>
    <n v="10"/>
    <x v="3"/>
    <s v="12-18 Months"/>
    <x v="0"/>
    <n v="8"/>
    <n v="8"/>
  </r>
  <r>
    <n v="110825"/>
    <s v="Perham Police Dept. - MN"/>
    <n v="9"/>
    <n v="8"/>
    <n v="5"/>
    <n v="53"/>
    <n v="53"/>
    <n v="32"/>
    <n v="6.63"/>
    <n v="6.63"/>
    <n v="4"/>
    <n v="11"/>
    <x v="3"/>
    <s v="12-18 Months"/>
    <x v="0"/>
    <n v="9"/>
    <n v="9"/>
  </r>
  <r>
    <n v="305582"/>
    <s v="DeWitt Police Department - IA"/>
    <n v="9"/>
    <n v="9"/>
    <n v="5"/>
    <n v="20"/>
    <n v="20"/>
    <n v="20"/>
    <n v="2.2200000000000002"/>
    <n v="2.2200000000000002"/>
    <n v="2.2200000000000002"/>
    <n v="0"/>
    <x v="3"/>
    <s v="12-18 Months"/>
    <x v="0"/>
    <n v="9"/>
    <n v="9"/>
  </r>
  <r>
    <n v="110554"/>
    <s v="England Police Department - AR"/>
    <n v="10"/>
    <n v="7"/>
    <n v="5"/>
    <n v="0"/>
    <n v="0"/>
    <n v="0"/>
    <n v="0"/>
    <n v="0"/>
    <n v="0"/>
    <n v="0"/>
    <x v="3"/>
    <s v="12-18 Months"/>
    <x v="0"/>
    <n v="0"/>
    <n v="0"/>
  </r>
  <r>
    <n v="191881"/>
    <s v="Fulton Police Dept. - IL"/>
    <n v="10"/>
    <n v="9"/>
    <n v="5"/>
    <n v="0"/>
    <n v="0"/>
    <n v="0"/>
    <n v="0"/>
    <n v="0"/>
    <n v="0"/>
    <n v="0"/>
    <x v="3"/>
    <s v="12-18 Months"/>
    <x v="0"/>
    <n v="0"/>
    <n v="0"/>
  </r>
  <r>
    <n v="469988"/>
    <s v="Delphi Police Dept.-IN"/>
    <n v="10"/>
    <n v="10"/>
    <n v="5"/>
    <n v="81"/>
    <n v="81"/>
    <n v="22"/>
    <n v="8.1"/>
    <n v="8.1"/>
    <n v="2.2000000000000002"/>
    <n v="9"/>
    <x v="3"/>
    <s v="12-18 Months"/>
    <x v="0"/>
    <n v="10"/>
    <n v="10"/>
  </r>
  <r>
    <n v="487525"/>
    <s v="Franklin Lakes Police Dept. - NJ"/>
    <n v="10"/>
    <n v="10"/>
    <n v="5"/>
    <n v="13"/>
    <n v="13"/>
    <n v="13"/>
    <n v="1.3"/>
    <n v="1.3"/>
    <n v="1.3"/>
    <n v="0"/>
    <x v="3"/>
    <s v="12-18 Months"/>
    <x v="0"/>
    <n v="10"/>
    <n v="0"/>
  </r>
  <r>
    <n v="509692"/>
    <s v="Manor ISD"/>
    <n v="11"/>
    <n v="26"/>
    <n v="5"/>
    <n v="28"/>
    <n v="28"/>
    <n v="28"/>
    <n v="1.08"/>
    <n v="1.08"/>
    <n v="1.08"/>
    <n v="23"/>
    <x v="3"/>
    <s v="12-18 Months"/>
    <x v="0"/>
    <n v="11"/>
    <n v="0"/>
  </r>
  <r>
    <n v="148352"/>
    <s v="Chester Police Department - NH"/>
    <n v="12"/>
    <n v="12"/>
    <n v="5"/>
    <n v="0"/>
    <n v="0"/>
    <n v="0"/>
    <n v="0"/>
    <n v="0"/>
    <n v="0"/>
    <n v="0"/>
    <x v="3"/>
    <s v="12-18 Months"/>
    <x v="0"/>
    <n v="0"/>
    <n v="0"/>
  </r>
  <r>
    <n v="309450"/>
    <s v="Colorado City Police Dept. - AZ"/>
    <n v="12"/>
    <n v="14"/>
    <n v="5"/>
    <n v="0"/>
    <n v="0"/>
    <n v="0"/>
    <n v="0"/>
    <n v="0"/>
    <n v="0"/>
    <n v="0"/>
    <x v="3"/>
    <s v="12-18 Months"/>
    <x v="0"/>
    <n v="0"/>
    <n v="0"/>
  </r>
  <r>
    <n v="109834"/>
    <s v="Brockport Police Dept. - NY"/>
    <n v="13"/>
    <n v="1"/>
    <n v="5"/>
    <n v="2"/>
    <n v="2"/>
    <n v="0"/>
    <n v="2"/>
    <n v="2"/>
    <n v="0"/>
    <n v="42"/>
    <x v="3"/>
    <s v="12-18 Months"/>
    <x v="0"/>
    <n v="13"/>
    <n v="13"/>
  </r>
  <r>
    <n v="149197"/>
    <s v="Franklin County Sheriff's Office - ID"/>
    <n v="13"/>
    <n v="11"/>
    <n v="5"/>
    <n v="49"/>
    <n v="49"/>
    <n v="49"/>
    <n v="4.45"/>
    <n v="4.45"/>
    <n v="4.45"/>
    <n v="5"/>
    <x v="3"/>
    <s v="12-18 Months"/>
    <x v="0"/>
    <n v="13"/>
    <n v="13"/>
  </r>
  <r>
    <n v="225032"/>
    <s v="Royston Police Dept - GA"/>
    <n v="13"/>
    <n v="10"/>
    <n v="5"/>
    <n v="0"/>
    <n v="0"/>
    <n v="0"/>
    <n v="0"/>
    <n v="0"/>
    <n v="0"/>
    <n v="0"/>
    <x v="3"/>
    <s v="12-18 Months"/>
    <x v="0"/>
    <n v="0"/>
    <n v="0"/>
  </r>
  <r>
    <n v="171614"/>
    <s v="Brunswick Hills Police Dept. - OH"/>
    <n v="15"/>
    <n v="15"/>
    <n v="5"/>
    <n v="13"/>
    <n v="13"/>
    <n v="0"/>
    <n v="0.87"/>
    <n v="0.87"/>
    <n v="0"/>
    <n v="0"/>
    <x v="3"/>
    <s v="12-18 Months"/>
    <x v="0"/>
    <n v="15"/>
    <n v="0"/>
  </r>
  <r>
    <n v="115403"/>
    <s v="South Beloit Police Dept. - IL"/>
    <n v="16"/>
    <n v="15"/>
    <n v="5"/>
    <n v="4"/>
    <n v="4"/>
    <n v="0"/>
    <n v="0.27"/>
    <n v="0.27"/>
    <n v="0"/>
    <n v="0"/>
    <x v="3"/>
    <s v="12-18 Months"/>
    <x v="0"/>
    <n v="0"/>
    <n v="0"/>
  </r>
  <r>
    <n v="116337"/>
    <s v="Mascoutah Police Dept. - IL"/>
    <n v="16"/>
    <n v="8"/>
    <n v="5"/>
    <n v="47"/>
    <n v="47"/>
    <n v="47"/>
    <n v="5.88"/>
    <n v="5.88"/>
    <n v="5.88"/>
    <n v="0"/>
    <x v="3"/>
    <s v="12-18 Months"/>
    <x v="0"/>
    <n v="16"/>
    <n v="16"/>
  </r>
  <r>
    <n v="309225"/>
    <s v="Douglas County Parole &amp; Probation - OR"/>
    <n v="16"/>
    <n v="16"/>
    <n v="5"/>
    <n v="100"/>
    <n v="100"/>
    <n v="68"/>
    <n v="6.25"/>
    <n v="6.25"/>
    <n v="4.25"/>
    <n v="1"/>
    <x v="3"/>
    <s v="12-18 Months"/>
    <x v="0"/>
    <n v="16"/>
    <n v="16"/>
  </r>
  <r>
    <n v="170623"/>
    <s v="Sheridan Police Dept. - IN"/>
    <n v="17"/>
    <n v="28"/>
    <n v="5"/>
    <n v="14"/>
    <n v="14"/>
    <n v="7"/>
    <n v="0.5"/>
    <n v="0.5"/>
    <n v="0.25"/>
    <n v="74"/>
    <x v="3"/>
    <s v="12-18 Months"/>
    <x v="0"/>
    <n v="0"/>
    <n v="0"/>
  </r>
  <r>
    <n v="501804"/>
    <s v="Upper Providence Township Police Dept. - PA"/>
    <n v="17"/>
    <n v="6"/>
    <n v="5"/>
    <n v="0"/>
    <n v="0"/>
    <n v="0"/>
    <n v="0"/>
    <n v="0"/>
    <n v="0"/>
    <n v="0"/>
    <x v="3"/>
    <s v="12-18 Months"/>
    <x v="0"/>
    <n v="0"/>
    <n v="0"/>
  </r>
  <r>
    <n v="319148"/>
    <s v="Green Oak Township Police Dept. - MI"/>
    <n v="20"/>
    <n v="16"/>
    <n v="5"/>
    <n v="23"/>
    <n v="23"/>
    <n v="16"/>
    <n v="1.44"/>
    <n v="1.44"/>
    <n v="1"/>
    <n v="5"/>
    <x v="3"/>
    <s v="12-18 Months"/>
    <x v="0"/>
    <n v="20"/>
    <n v="0"/>
  </r>
  <r>
    <n v="440255"/>
    <s v="Beaver Police Dept - PA"/>
    <n v="20"/>
    <n v="20"/>
    <n v="5"/>
    <n v="32"/>
    <n v="32"/>
    <n v="15"/>
    <n v="1.6"/>
    <n v="1.6"/>
    <n v="0.75"/>
    <n v="12"/>
    <x v="3"/>
    <s v="12-18 Months"/>
    <x v="0"/>
    <n v="20"/>
    <n v="0"/>
  </r>
  <r>
    <n v="493599"/>
    <s v="Monroe County Probation Dept - PA"/>
    <n v="20"/>
    <n v="20"/>
    <n v="5"/>
    <n v="38"/>
    <n v="38"/>
    <n v="1"/>
    <n v="1.9"/>
    <n v="1.9"/>
    <n v="0.05"/>
    <n v="9"/>
    <x v="3"/>
    <s v="12-18 Months"/>
    <x v="0"/>
    <n v="20"/>
    <n v="0"/>
  </r>
  <r>
    <n v="106576"/>
    <s v="Brown County Sheriff's Office - SD"/>
    <n v="21"/>
    <n v="2"/>
    <n v="5"/>
    <n v="38"/>
    <n v="38"/>
    <n v="0"/>
    <n v="19"/>
    <n v="19"/>
    <n v="0"/>
    <n v="0"/>
    <x v="3"/>
    <s v="12-18 Months"/>
    <x v="0"/>
    <n v="21"/>
    <n v="21"/>
  </r>
  <r>
    <n v="321213"/>
    <s v="Purcellville Police Dept. - VA"/>
    <n v="23"/>
    <n v="7"/>
    <n v="5"/>
    <n v="19"/>
    <n v="19"/>
    <n v="19"/>
    <n v="2.71"/>
    <n v="2.71"/>
    <n v="2.71"/>
    <n v="3"/>
    <x v="3"/>
    <s v="12-18 Months"/>
    <x v="0"/>
    <n v="23"/>
    <n v="23"/>
  </r>
  <r>
    <n v="115904"/>
    <s v="Irvington Police Dept - NY"/>
    <n v="25"/>
    <n v="10"/>
    <n v="5"/>
    <n v="3"/>
    <n v="3"/>
    <n v="3"/>
    <n v="0.3"/>
    <n v="0.3"/>
    <n v="0.3"/>
    <n v="0"/>
    <x v="3"/>
    <s v="12-18 Months"/>
    <x v="0"/>
    <n v="0"/>
    <n v="0"/>
  </r>
  <r>
    <n v="270032"/>
    <s v="North Carolina General Assembly - NC"/>
    <n v="28"/>
    <n v="28"/>
    <n v="5"/>
    <n v="6"/>
    <n v="6"/>
    <n v="0"/>
    <n v="0.21"/>
    <n v="0.21"/>
    <n v="0"/>
    <n v="3"/>
    <x v="3"/>
    <s v="12-18 Months"/>
    <x v="0"/>
    <n v="0"/>
    <n v="0"/>
  </r>
  <r>
    <n v="107368"/>
    <s v="Mount Pleasant Police Dept. - SC"/>
    <n v="31"/>
    <n v="167"/>
    <n v="5"/>
    <n v="500"/>
    <n v="500"/>
    <n v="394"/>
    <n v="2.99"/>
    <n v="2.99"/>
    <n v="2.36"/>
    <n v="79"/>
    <x v="3"/>
    <s v="12-18 Months"/>
    <x v="1"/>
    <n v="31"/>
    <n v="31"/>
  </r>
  <r>
    <n v="128946"/>
    <s v="Maricopa County Adult Probation (BCB)  - AZ"/>
    <n v="32"/>
    <n v="27"/>
    <n v="5"/>
    <n v="0"/>
    <n v="0"/>
    <n v="0"/>
    <n v="0"/>
    <n v="0"/>
    <n v="0"/>
    <n v="0"/>
    <x v="3"/>
    <s v="12-18 Months"/>
    <x v="0"/>
    <n v="0"/>
    <n v="0"/>
  </r>
  <r>
    <n v="154999"/>
    <s v="Quincy Police Department - MA"/>
    <n v="35"/>
    <n v="50"/>
    <n v="5"/>
    <n v="8"/>
    <n v="8"/>
    <n v="0"/>
    <n v="0.16"/>
    <n v="0.16"/>
    <n v="0"/>
    <n v="0"/>
    <x v="3"/>
    <s v="12-18 Months"/>
    <x v="0"/>
    <n v="0"/>
    <n v="0"/>
  </r>
  <r>
    <n v="558558"/>
    <s v="Lake County Forest District Police - IL"/>
    <n v="36"/>
    <n v="35"/>
    <n v="5"/>
    <n v="0"/>
    <n v="0"/>
    <n v="0"/>
    <n v="0"/>
    <n v="0"/>
    <n v="0"/>
    <n v="0"/>
    <x v="3"/>
    <s v="12-18 Months"/>
    <x v="0"/>
    <n v="0"/>
    <n v="0"/>
  </r>
  <r>
    <n v="501750"/>
    <s v="Maple Heights Police Dept - OH"/>
    <n v="40"/>
    <n v="40"/>
    <n v="5"/>
    <n v="0"/>
    <n v="0"/>
    <n v="0"/>
    <n v="0"/>
    <n v="0"/>
    <n v="0"/>
    <n v="0"/>
    <x v="3"/>
    <s v="12-18 Months"/>
    <x v="0"/>
    <n v="0"/>
    <n v="0"/>
  </r>
  <r>
    <n v="116783"/>
    <s v="Altoona Police Dept. - IA"/>
    <n v="42"/>
    <n v="50"/>
    <n v="5"/>
    <n v="2"/>
    <n v="2"/>
    <n v="2"/>
    <n v="0.04"/>
    <n v="0.04"/>
    <n v="0.04"/>
    <n v="16"/>
    <x v="3"/>
    <s v="12-18 Months"/>
    <x v="0"/>
    <n v="0"/>
    <n v="0"/>
  </r>
  <r>
    <n v="507321"/>
    <s v="North County Police Cooperative - MO"/>
    <n v="50"/>
    <n v="40"/>
    <n v="5"/>
    <n v="18"/>
    <n v="18"/>
    <n v="18"/>
    <n v="0.45"/>
    <n v="0.45"/>
    <n v="0.45"/>
    <n v="5"/>
    <x v="3"/>
    <s v="12-18 Months"/>
    <x v="0"/>
    <n v="0"/>
    <n v="0"/>
  </r>
  <r>
    <n v="109564"/>
    <s v="Central Marin Police Authority - CA"/>
    <n v="51"/>
    <n v="38"/>
    <n v="5"/>
    <n v="35"/>
    <n v="35"/>
    <n v="30"/>
    <n v="0.92"/>
    <n v="0.92"/>
    <n v="0.79"/>
    <n v="10"/>
    <x v="3"/>
    <s v="12-18 Months"/>
    <x v="0"/>
    <n v="51"/>
    <n v="0"/>
  </r>
  <r>
    <n v="208174"/>
    <s v="Sulphur Police Dept. - LA"/>
    <n v="52"/>
    <n v="51"/>
    <n v="5"/>
    <n v="240"/>
    <n v="240"/>
    <n v="223"/>
    <n v="4.71"/>
    <n v="4.71"/>
    <n v="4.37"/>
    <n v="1"/>
    <x v="3"/>
    <s v="12-18 Months"/>
    <x v="0"/>
    <n v="52"/>
    <n v="52"/>
  </r>
  <r>
    <n v="113214"/>
    <s v="Coronado Police Dept. - CA"/>
    <n v="55"/>
    <n v="62"/>
    <n v="5"/>
    <n v="0"/>
    <n v="0"/>
    <n v="0"/>
    <n v="0"/>
    <n v="0"/>
    <n v="0"/>
    <n v="0"/>
    <x v="3"/>
    <s v="12-18 Months"/>
    <x v="0"/>
    <n v="0"/>
    <n v="0"/>
  </r>
  <r>
    <n v="163049"/>
    <s v="Branford Police Dept. - CT"/>
    <n v="60"/>
    <n v="60"/>
    <n v="5"/>
    <n v="44"/>
    <n v="44"/>
    <n v="27"/>
    <n v="0.73"/>
    <n v="0.73"/>
    <n v="0.45"/>
    <n v="9"/>
    <x v="3"/>
    <s v="12-18 Months"/>
    <x v="0"/>
    <n v="0"/>
    <n v="0"/>
  </r>
  <r>
    <n v="109232"/>
    <s v="Los Banos Police Dept. - CA"/>
    <n v="68"/>
    <n v="60"/>
    <n v="5"/>
    <n v="62"/>
    <n v="62"/>
    <n v="32"/>
    <n v="1.03"/>
    <n v="1.03"/>
    <n v="0.53"/>
    <n v="35"/>
    <x v="3"/>
    <s v="12-18 Months"/>
    <x v="0"/>
    <n v="68"/>
    <n v="0"/>
  </r>
  <r>
    <n v="186720"/>
    <s v="Kingston Police Dept. - NY"/>
    <n v="78"/>
    <n v="74"/>
    <n v="5"/>
    <n v="46"/>
    <n v="46"/>
    <n v="46"/>
    <n v="0.62"/>
    <n v="0.62"/>
    <n v="0.62"/>
    <n v="0"/>
    <x v="3"/>
    <s v="12-18 Months"/>
    <x v="0"/>
    <n v="0"/>
    <n v="0"/>
  </r>
  <r>
    <n v="127392"/>
    <s v="Greenville Police Dept. - TX"/>
    <n v="82"/>
    <n v="80"/>
    <n v="5"/>
    <n v="116"/>
    <n v="116"/>
    <n v="0"/>
    <n v="1.45"/>
    <n v="1.45"/>
    <n v="0"/>
    <n v="69"/>
    <x v="3"/>
    <s v="12-18 Months"/>
    <x v="0"/>
    <n v="82"/>
    <n v="0"/>
  </r>
  <r>
    <n v="135923"/>
    <s v="Harrisonburg Police Dept. - VA"/>
    <n v="98"/>
    <n v="114"/>
    <n v="5"/>
    <n v="5"/>
    <n v="5"/>
    <n v="5"/>
    <n v="0.04"/>
    <n v="0.04"/>
    <n v="0.04"/>
    <n v="0"/>
    <x v="3"/>
    <s v="12-18 Months"/>
    <x v="1"/>
    <n v="0"/>
    <n v="0"/>
  </r>
  <r>
    <s v="CA0115648"/>
    <s v="Delta Police Department - CAN"/>
    <n v="98"/>
    <n v="41"/>
    <n v="5"/>
    <n v="19"/>
    <n v="19"/>
    <n v="19"/>
    <n v="0.46"/>
    <n v="0.46"/>
    <n v="0.46"/>
    <n v="92"/>
    <x v="3"/>
    <s v="12-18 Months"/>
    <x v="0"/>
    <n v="0"/>
    <n v="0"/>
  </r>
  <r>
    <n v="112441"/>
    <s v="Chisago County Sheriff's Office - MN"/>
    <n v="99"/>
    <n v="52"/>
    <n v="5"/>
    <n v="0"/>
    <n v="0"/>
    <n v="0"/>
    <n v="0"/>
    <n v="0"/>
    <n v="0"/>
    <n v="0"/>
    <x v="3"/>
    <s v="12-18 Months"/>
    <x v="0"/>
    <n v="0"/>
    <n v="0"/>
  </r>
  <r>
    <n v="465572"/>
    <s v="Virginia Commonwealth University Police - VA"/>
    <n v="99"/>
    <n v="20"/>
    <n v="5"/>
    <n v="104"/>
    <n v="104"/>
    <n v="104"/>
    <n v="5.2"/>
    <n v="5.2"/>
    <n v="5.2"/>
    <n v="18"/>
    <x v="3"/>
    <s v="12-18 Months"/>
    <x v="0"/>
    <n v="99"/>
    <n v="99"/>
  </r>
  <r>
    <n v="216931"/>
    <s v="Redwood City Police Department - CA"/>
    <n v="106"/>
    <n v="110"/>
    <n v="5"/>
    <n v="75"/>
    <n v="75"/>
    <n v="24"/>
    <n v="0.68"/>
    <n v="0.68"/>
    <n v="0.22"/>
    <n v="57"/>
    <x v="3"/>
    <s v="12-18 Months"/>
    <x v="1"/>
    <n v="0"/>
    <n v="0"/>
  </r>
  <r>
    <n v="107455"/>
    <s v="Marin County Sheriff's Office - CA"/>
    <n v="111"/>
    <n v="151"/>
    <n v="5"/>
    <n v="60"/>
    <n v="60"/>
    <n v="59"/>
    <n v="0.4"/>
    <n v="0.4"/>
    <n v="0.39"/>
    <n v="0"/>
    <x v="3"/>
    <s v="12-18 Months"/>
    <x v="1"/>
    <n v="0"/>
    <n v="0"/>
  </r>
  <r>
    <n v="107020"/>
    <s v="Meriden Police Department - CT"/>
    <n v="123"/>
    <n v="130"/>
    <n v="5"/>
    <n v="120"/>
    <n v="120"/>
    <n v="4"/>
    <n v="0.92"/>
    <n v="0.92"/>
    <n v="0.03"/>
    <n v="124"/>
    <x v="3"/>
    <s v="12-18 Months"/>
    <x v="1"/>
    <n v="123"/>
    <n v="0"/>
  </r>
  <r>
    <n v="112009"/>
    <s v="Euclid Police Dept. - OH"/>
    <n v="126"/>
    <n v="107"/>
    <n v="5"/>
    <n v="101"/>
    <n v="101"/>
    <n v="23"/>
    <n v="0.94"/>
    <n v="0.94"/>
    <n v="0.21"/>
    <n v="31"/>
    <x v="3"/>
    <s v="12-18 Months"/>
    <x v="1"/>
    <n v="126"/>
    <n v="0"/>
  </r>
  <r>
    <n v="152725"/>
    <s v="Orange County Sheriff's Department - NC"/>
    <n v="155"/>
    <n v="10"/>
    <n v="5"/>
    <n v="61"/>
    <n v="61"/>
    <n v="51"/>
    <n v="6.1"/>
    <n v="6.1"/>
    <n v="5.0999999999999996"/>
    <n v="32"/>
    <x v="3"/>
    <s v="12-18 Months"/>
    <x v="0"/>
    <n v="155"/>
    <n v="155"/>
  </r>
  <r>
    <n v="115086"/>
    <s v="Reading Police Department - PA"/>
    <n v="160"/>
    <n v="178"/>
    <n v="5"/>
    <n v="0"/>
    <n v="0"/>
    <n v="0"/>
    <n v="0"/>
    <n v="0"/>
    <n v="0"/>
    <n v="0"/>
    <x v="3"/>
    <s v="12-18 Months"/>
    <x v="1"/>
    <n v="0"/>
    <n v="0"/>
  </r>
  <r>
    <n v="466485"/>
    <s v="Lynn Police Dept. - MA"/>
    <n v="178"/>
    <n v="140"/>
    <n v="5"/>
    <n v="0"/>
    <n v="0"/>
    <n v="0"/>
    <n v="0"/>
    <n v="0"/>
    <n v="0"/>
    <n v="0"/>
    <x v="3"/>
    <s v="12-18 Months"/>
    <x v="1"/>
    <n v="0"/>
    <n v="0"/>
  </r>
  <r>
    <n v="513431"/>
    <s v="Indiana Dept of Nat Resources LE Div"/>
    <n v="208"/>
    <n v="10"/>
    <n v="5"/>
    <n v="268"/>
    <n v="268"/>
    <n v="195"/>
    <n v="26.8"/>
    <n v="26.8"/>
    <n v="19.5"/>
    <n v="11"/>
    <x v="3"/>
    <s v="12-18 Months"/>
    <x v="0"/>
    <n v="208"/>
    <n v="208"/>
  </r>
  <r>
    <n v="106281"/>
    <s v="Laredo Police Dept. - TX"/>
    <n v="373"/>
    <n v="200"/>
    <n v="5"/>
    <n v="302"/>
    <n v="291"/>
    <n v="3"/>
    <n v="1.51"/>
    <n v="1.46"/>
    <n v="0.02"/>
    <n v="25"/>
    <x v="3"/>
    <s v="12-18 Months"/>
    <x v="1"/>
    <n v="373"/>
    <n v="0"/>
  </r>
  <r>
    <n v="107831"/>
    <s v="East Baton Rouge Parish Sheriff's Dept. - LA"/>
    <n v="402"/>
    <n v="420"/>
    <n v="5"/>
    <n v="1133"/>
    <n v="1127"/>
    <n v="746"/>
    <n v="2.7"/>
    <n v="2.68"/>
    <n v="1.78"/>
    <n v="27"/>
    <x v="3"/>
    <s v="12-18 Months"/>
    <x v="1"/>
    <n v="402"/>
    <n v="402"/>
  </r>
  <r>
    <n v="157911"/>
    <s v="New Haven Police Dept. - CT"/>
    <n v="415"/>
    <n v="350"/>
    <n v="5"/>
    <n v="88"/>
    <n v="88"/>
    <n v="26"/>
    <n v="0.25"/>
    <n v="0.25"/>
    <n v="7.0000000000000007E-2"/>
    <n v="59"/>
    <x v="3"/>
    <s v="12-18 Months"/>
    <x v="1"/>
    <n v="0"/>
    <n v="0"/>
  </r>
  <r>
    <n v="109245"/>
    <s v="Clay County Sheriff's Office - FL"/>
    <n v="426"/>
    <n v="350"/>
    <n v="5"/>
    <n v="2151"/>
    <n v="2151"/>
    <n v="316"/>
    <n v="6.15"/>
    <n v="6.15"/>
    <n v="0.9"/>
    <n v="77"/>
    <x v="3"/>
    <s v="12-18 Months"/>
    <x v="1"/>
    <n v="426"/>
    <n v="426"/>
  </r>
  <r>
    <n v="328078"/>
    <s v="Newark Police Dept. - NJ"/>
    <n v="800"/>
    <n v="30"/>
    <n v="5"/>
    <n v="32"/>
    <n v="32"/>
    <n v="20"/>
    <n v="1.07"/>
    <n v="1.07"/>
    <n v="0.67"/>
    <n v="80"/>
    <x v="3"/>
    <s v="12-18 Months"/>
    <x v="0"/>
    <n v="800"/>
    <n v="0"/>
  </r>
  <r>
    <n v="106338"/>
    <s v="Oregon State Police - OR"/>
    <n v="895"/>
    <n v="750"/>
    <n v="5"/>
    <n v="1657"/>
    <n v="1657"/>
    <n v="1014"/>
    <n v="2.21"/>
    <n v="2.21"/>
    <n v="1.35"/>
    <n v="212"/>
    <x v="3"/>
    <s v="12-18 Months"/>
    <x v="2"/>
    <n v="895"/>
    <n v="895"/>
  </r>
  <r>
    <n v="109717"/>
    <s v="Cincinnati Police Dept. - OH"/>
    <n v="1150"/>
    <n v="1018"/>
    <n v="5"/>
    <n v="89"/>
    <n v="73"/>
    <n v="73"/>
    <n v="0.09"/>
    <n v="7.0000000000000007E-2"/>
    <n v="7.0000000000000007E-2"/>
    <n v="17"/>
    <x v="3"/>
    <s v="12-18 Months"/>
    <x v="2"/>
    <n v="0"/>
    <n v="0"/>
  </r>
  <r>
    <n v="466928"/>
    <s v="Wharton County Constable Pct. 3"/>
    <n v="1"/>
    <n v="1"/>
    <n v="4"/>
    <n v="0"/>
    <n v="0"/>
    <n v="0"/>
    <n v="0"/>
    <n v="0"/>
    <n v="0"/>
    <n v="0"/>
    <x v="3"/>
    <s v="12-18 Months"/>
    <x v="0"/>
    <n v="0"/>
    <n v="0"/>
  </r>
  <r>
    <n v="513872"/>
    <s v="Tennessee State Constables"/>
    <n v="1"/>
    <n v="3"/>
    <n v="4"/>
    <n v="0"/>
    <n v="0"/>
    <n v="0"/>
    <n v="0"/>
    <n v="0"/>
    <n v="0"/>
    <n v="0"/>
    <x v="3"/>
    <s v="12-18 Months"/>
    <x v="0"/>
    <n v="0"/>
    <n v="0"/>
  </r>
  <r>
    <n v="571755"/>
    <s v="Town of Tyringham PD"/>
    <n v="1"/>
    <n v="1"/>
    <n v="4"/>
    <n v="0"/>
    <n v="0"/>
    <n v="0"/>
    <n v="0"/>
    <n v="0"/>
    <n v="0"/>
    <n v="0"/>
    <x v="3"/>
    <s v="12-18 Months"/>
    <x v="0"/>
    <n v="0"/>
    <n v="0"/>
  </r>
  <r>
    <n v="586447"/>
    <s v="Viborg Police Dept. - SD"/>
    <n v="1"/>
    <n v="1"/>
    <n v="4"/>
    <n v="0"/>
    <n v="0"/>
    <n v="0"/>
    <n v="0"/>
    <n v="0"/>
    <n v="0"/>
    <n v="0"/>
    <x v="3"/>
    <s v="12-18 Months"/>
    <x v="0"/>
    <n v="0"/>
    <n v="0"/>
  </r>
  <r>
    <n v="115433"/>
    <s v="Morro Bay Police Dept. - CA"/>
    <n v="2"/>
    <n v="20"/>
    <n v="4"/>
    <n v="9"/>
    <n v="9"/>
    <n v="9"/>
    <n v="0.45"/>
    <n v="0.45"/>
    <n v="0.45"/>
    <n v="8"/>
    <x v="3"/>
    <s v="12-18 Months"/>
    <x v="0"/>
    <n v="0"/>
    <n v="0"/>
  </r>
  <r>
    <n v="489433"/>
    <s v="Bridgeport Police Dept. - IL"/>
    <n v="2"/>
    <n v="2"/>
    <n v="4"/>
    <n v="4"/>
    <n v="4"/>
    <n v="4"/>
    <n v="2"/>
    <n v="2"/>
    <n v="2"/>
    <n v="0"/>
    <x v="3"/>
    <s v="12-18 Months"/>
    <x v="0"/>
    <n v="2"/>
    <n v="2"/>
  </r>
  <r>
    <n v="119976"/>
    <s v="Hollywood Police Dept. - AL"/>
    <n v="3"/>
    <n v="6"/>
    <n v="4"/>
    <n v="7"/>
    <n v="7"/>
    <n v="0"/>
    <n v="1.17"/>
    <n v="1.17"/>
    <n v="0"/>
    <n v="14"/>
    <x v="3"/>
    <s v="12-18 Months"/>
    <x v="0"/>
    <n v="3"/>
    <n v="0"/>
  </r>
  <r>
    <n v="134990"/>
    <s v="Pima Community College Dept. of Public Safety - AZ"/>
    <n v="3"/>
    <n v="33"/>
    <n v="4"/>
    <n v="15"/>
    <n v="15"/>
    <n v="15"/>
    <n v="0.45"/>
    <n v="0.45"/>
    <n v="0.45"/>
    <n v="0"/>
    <x v="3"/>
    <s v="12-18 Months"/>
    <x v="0"/>
    <n v="0"/>
    <n v="0"/>
  </r>
  <r>
    <n v="202077"/>
    <s v="Canaan Police Dept. - NH"/>
    <n v="3"/>
    <n v="6"/>
    <n v="4"/>
    <n v="12"/>
    <n v="12"/>
    <n v="0"/>
    <n v="2"/>
    <n v="2"/>
    <n v="0"/>
    <n v="5"/>
    <x v="3"/>
    <s v="12-18 Months"/>
    <x v="0"/>
    <n v="3"/>
    <n v="3"/>
  </r>
  <r>
    <n v="303321"/>
    <s v="Sheridan County Sheriff's Office - NE"/>
    <n v="3"/>
    <n v="1"/>
    <n v="4"/>
    <n v="0"/>
    <n v="0"/>
    <n v="0"/>
    <n v="0"/>
    <n v="0"/>
    <n v="0"/>
    <n v="0"/>
    <x v="3"/>
    <s v="12-18 Months"/>
    <x v="0"/>
    <n v="0"/>
    <n v="0"/>
  </r>
  <r>
    <n v="454683"/>
    <s v="Morenci Police Dept. - MI"/>
    <n v="3"/>
    <n v="6"/>
    <n v="4"/>
    <n v="0"/>
    <n v="0"/>
    <n v="0"/>
    <n v="0"/>
    <n v="0"/>
    <n v="0"/>
    <n v="0"/>
    <x v="3"/>
    <s v="12-18 Months"/>
    <x v="0"/>
    <n v="0"/>
    <n v="0"/>
  </r>
  <r>
    <n v="106824"/>
    <s v="South Portland Police Dept - ME"/>
    <n v="4"/>
    <n v="57"/>
    <n v="4"/>
    <n v="0"/>
    <n v="0"/>
    <n v="0"/>
    <n v="0"/>
    <n v="0"/>
    <n v="0"/>
    <n v="0"/>
    <x v="3"/>
    <s v="12-18 Months"/>
    <x v="0"/>
    <n v="0"/>
    <n v="0"/>
  </r>
  <r>
    <n v="326208"/>
    <s v="Mineral County Sheriff's Dept. - WV"/>
    <n v="4"/>
    <n v="28"/>
    <n v="4"/>
    <n v="79"/>
    <n v="22"/>
    <n v="22"/>
    <n v="2.82"/>
    <n v="0.79"/>
    <n v="0.79"/>
    <n v="0"/>
    <x v="3"/>
    <s v="12-18 Months"/>
    <x v="0"/>
    <n v="4"/>
    <n v="4"/>
  </r>
  <r>
    <n v="452068"/>
    <s v="Owyhee County Sheriff's Office - ID"/>
    <n v="5"/>
    <n v="25"/>
    <n v="4"/>
    <n v="70"/>
    <n v="51"/>
    <n v="43"/>
    <n v="2.8"/>
    <n v="2.04"/>
    <n v="1.72"/>
    <n v="48"/>
    <x v="3"/>
    <s v="12-18 Months"/>
    <x v="0"/>
    <n v="5"/>
    <n v="5"/>
  </r>
  <r>
    <n v="458741"/>
    <s v="Leachville Police Department - AR"/>
    <n v="5"/>
    <n v="6"/>
    <n v="4"/>
    <n v="6"/>
    <n v="6"/>
    <n v="0"/>
    <n v="1"/>
    <n v="1"/>
    <n v="0"/>
    <n v="5"/>
    <x v="3"/>
    <s v="12-18 Months"/>
    <x v="0"/>
    <n v="5"/>
    <n v="0"/>
  </r>
  <r>
    <n v="469448"/>
    <s v="New Marlborough Police Dept. - MA"/>
    <n v="5"/>
    <n v="6"/>
    <n v="4"/>
    <n v="7"/>
    <n v="7"/>
    <n v="7"/>
    <n v="1.17"/>
    <n v="1.17"/>
    <n v="1.17"/>
    <n v="0"/>
    <x v="3"/>
    <s v="12-18 Months"/>
    <x v="0"/>
    <n v="5"/>
    <n v="0"/>
  </r>
  <r>
    <n v="447364"/>
    <s v="Williamson Police Dept. - WV"/>
    <n v="6"/>
    <n v="8"/>
    <n v="4"/>
    <n v="0"/>
    <n v="0"/>
    <n v="0"/>
    <n v="0"/>
    <n v="0"/>
    <n v="0"/>
    <n v="0"/>
    <x v="3"/>
    <s v="12-18 Months"/>
    <x v="0"/>
    <n v="0"/>
    <n v="0"/>
  </r>
  <r>
    <n v="477054"/>
    <s v="Town of Narrows Police Dept. - VA"/>
    <n v="6"/>
    <n v="6"/>
    <n v="4"/>
    <n v="0"/>
    <n v="0"/>
    <n v="0"/>
    <n v="0"/>
    <n v="0"/>
    <n v="0"/>
    <n v="0"/>
    <x v="3"/>
    <s v="12-18 Months"/>
    <x v="0"/>
    <n v="0"/>
    <n v="0"/>
  </r>
  <r>
    <n v="497274"/>
    <s v="Fayette County Constable Office District 3- KY"/>
    <n v="6"/>
    <n v="6"/>
    <n v="4"/>
    <n v="8"/>
    <n v="8"/>
    <n v="8"/>
    <n v="1.33"/>
    <n v="1.33"/>
    <n v="1.33"/>
    <n v="14"/>
    <x v="3"/>
    <s v="12-18 Months"/>
    <x v="0"/>
    <n v="6"/>
    <n v="0"/>
  </r>
  <r>
    <n v="152332"/>
    <s v="Lake Placid Police Dept. - NY"/>
    <n v="7"/>
    <n v="4"/>
    <n v="4"/>
    <n v="0"/>
    <n v="0"/>
    <n v="0"/>
    <n v="0"/>
    <n v="0"/>
    <n v="0"/>
    <n v="0"/>
    <x v="3"/>
    <s v="12-18 Months"/>
    <x v="0"/>
    <n v="0"/>
    <n v="0"/>
  </r>
  <r>
    <n v="322540"/>
    <s v="Hallettsville Police Dept. - TX"/>
    <n v="7"/>
    <n v="7"/>
    <n v="4"/>
    <n v="5"/>
    <n v="5"/>
    <n v="5"/>
    <n v="0.71"/>
    <n v="0.71"/>
    <n v="0.71"/>
    <n v="2"/>
    <x v="3"/>
    <s v="12-18 Months"/>
    <x v="0"/>
    <n v="0"/>
    <n v="0"/>
  </r>
  <r>
    <n v="110914"/>
    <s v="Coeur d'Alene Police Dept. - ID"/>
    <n v="8"/>
    <n v="10"/>
    <n v="4"/>
    <n v="0"/>
    <n v="0"/>
    <n v="0"/>
    <n v="0"/>
    <n v="0"/>
    <n v="0"/>
    <n v="0"/>
    <x v="3"/>
    <s v="12-18 Months"/>
    <x v="0"/>
    <n v="0"/>
    <n v="0"/>
  </r>
  <r>
    <n v="236186"/>
    <s v="Shiner Police Dept. - TX"/>
    <n v="8"/>
    <n v="8"/>
    <n v="4"/>
    <n v="5"/>
    <n v="5"/>
    <n v="0"/>
    <n v="0.63"/>
    <n v="0.63"/>
    <n v="0"/>
    <n v="0"/>
    <x v="3"/>
    <s v="12-18 Months"/>
    <x v="0"/>
    <n v="0"/>
    <n v="0"/>
  </r>
  <r>
    <n v="306040"/>
    <s v="Abington Police Dept - MA"/>
    <n v="8"/>
    <n v="34"/>
    <n v="4"/>
    <n v="34"/>
    <n v="34"/>
    <n v="30"/>
    <n v="1"/>
    <n v="1"/>
    <n v="0.88"/>
    <n v="56"/>
    <x v="3"/>
    <s v="12-18 Months"/>
    <x v="0"/>
    <n v="8"/>
    <n v="0"/>
  </r>
  <r>
    <n v="472541"/>
    <s v="Spanish Fort Police Dept. - AL"/>
    <n v="8"/>
    <n v="8"/>
    <n v="4"/>
    <n v="4"/>
    <n v="4"/>
    <n v="0"/>
    <n v="0.5"/>
    <n v="0.5"/>
    <n v="0"/>
    <n v="0"/>
    <x v="3"/>
    <s v="12-18 Months"/>
    <x v="0"/>
    <n v="0"/>
    <n v="0"/>
  </r>
  <r>
    <n v="322144"/>
    <s v="Cochran County Sheriff's - TX"/>
    <n v="10"/>
    <n v="7"/>
    <n v="4"/>
    <n v="9"/>
    <n v="9"/>
    <n v="6"/>
    <n v="1.29"/>
    <n v="1.29"/>
    <n v="0.86"/>
    <n v="0"/>
    <x v="3"/>
    <s v="12-18 Months"/>
    <x v="0"/>
    <n v="10"/>
    <n v="0"/>
  </r>
  <r>
    <n v="480740"/>
    <s v="Arma Police Department - KS"/>
    <n v="12"/>
    <n v="6"/>
    <n v="4"/>
    <n v="87"/>
    <n v="33"/>
    <n v="33"/>
    <n v="14.5"/>
    <n v="5.5"/>
    <n v="5.5"/>
    <n v="50"/>
    <x v="3"/>
    <s v="12-18 Months"/>
    <x v="0"/>
    <n v="12"/>
    <n v="12"/>
  </r>
  <r>
    <n v="448412"/>
    <s v="Bremer County Sheriff's Office - IA"/>
    <n v="13"/>
    <n v="13"/>
    <n v="4"/>
    <n v="0"/>
    <n v="0"/>
    <n v="0"/>
    <n v="0"/>
    <n v="0"/>
    <n v="0"/>
    <n v="0"/>
    <x v="3"/>
    <s v="12-18 Months"/>
    <x v="0"/>
    <n v="0"/>
    <n v="0"/>
  </r>
  <r>
    <n v="466244"/>
    <s v="Haddon Township Police Dept. - NJ"/>
    <n v="13"/>
    <n v="28"/>
    <n v="4"/>
    <n v="0"/>
    <n v="0"/>
    <n v="0"/>
    <n v="0"/>
    <n v="0"/>
    <n v="0"/>
    <n v="0"/>
    <x v="3"/>
    <s v="12-18 Months"/>
    <x v="0"/>
    <n v="0"/>
    <n v="0"/>
  </r>
  <r>
    <n v="115279"/>
    <s v="Sweet Home Police Dept. - OR"/>
    <n v="14"/>
    <n v="14"/>
    <n v="4"/>
    <n v="2"/>
    <n v="2"/>
    <n v="0"/>
    <n v="0.14000000000000001"/>
    <n v="0.14000000000000001"/>
    <n v="0"/>
    <n v="0"/>
    <x v="3"/>
    <s v="12-18 Months"/>
    <x v="0"/>
    <n v="0"/>
    <n v="0"/>
  </r>
  <r>
    <n v="123145"/>
    <s v="Troutman Police Dept. - NC"/>
    <n v="14"/>
    <n v="26"/>
    <n v="4"/>
    <n v="18"/>
    <n v="18"/>
    <n v="4"/>
    <n v="0.69"/>
    <n v="0.69"/>
    <n v="0.15"/>
    <n v="8"/>
    <x v="3"/>
    <s v="12-18 Months"/>
    <x v="0"/>
    <n v="0"/>
    <n v="0"/>
  </r>
  <r>
    <n v="146825"/>
    <s v="Watseka Police Dept. - IL"/>
    <n v="14"/>
    <n v="14"/>
    <n v="4"/>
    <n v="54"/>
    <n v="36"/>
    <n v="0"/>
    <n v="3.86"/>
    <n v="2.57"/>
    <n v="0"/>
    <n v="2"/>
    <x v="3"/>
    <s v="12-18 Months"/>
    <x v="0"/>
    <n v="14"/>
    <n v="14"/>
  </r>
  <r>
    <n v="451996"/>
    <s v="Flatwoods Police Dept. - KY"/>
    <n v="15"/>
    <n v="13"/>
    <n v="4"/>
    <n v="0"/>
    <n v="0"/>
    <n v="0"/>
    <n v="0"/>
    <n v="0"/>
    <n v="0"/>
    <n v="0"/>
    <x v="3"/>
    <s v="12-18 Months"/>
    <x v="0"/>
    <n v="0"/>
    <n v="0"/>
  </r>
  <r>
    <n v="470515"/>
    <s v="Idaho State University Public Safety - Pocatello - ID"/>
    <n v="16"/>
    <n v="16"/>
    <n v="4"/>
    <n v="8"/>
    <n v="7"/>
    <n v="0"/>
    <n v="0.5"/>
    <n v="0.44"/>
    <n v="0"/>
    <n v="0"/>
    <x v="3"/>
    <s v="12-18 Months"/>
    <x v="0"/>
    <n v="0"/>
    <n v="0"/>
  </r>
  <r>
    <n v="327410"/>
    <s v="Elsmere Police Dept. - KY"/>
    <n v="17"/>
    <n v="17"/>
    <n v="4"/>
    <n v="3"/>
    <n v="3"/>
    <n v="0"/>
    <n v="0.18"/>
    <n v="0.18"/>
    <n v="0"/>
    <n v="0"/>
    <x v="3"/>
    <s v="12-18 Months"/>
    <x v="0"/>
    <n v="0"/>
    <n v="0"/>
  </r>
  <r>
    <n v="180045"/>
    <s v="Katy Police Dept. - TX"/>
    <n v="18"/>
    <n v="80"/>
    <n v="4"/>
    <n v="29"/>
    <n v="29"/>
    <n v="9"/>
    <n v="0.36"/>
    <n v="0.36"/>
    <n v="0.11"/>
    <n v="14"/>
    <x v="3"/>
    <s v="12-18 Months"/>
    <x v="0"/>
    <n v="0"/>
    <n v="0"/>
  </r>
  <r>
    <n v="157038"/>
    <s v="Metropolis Police Dept. - IL"/>
    <n v="19"/>
    <n v="17"/>
    <n v="4"/>
    <n v="0"/>
    <n v="0"/>
    <n v="0"/>
    <n v="0"/>
    <n v="0"/>
    <n v="0"/>
    <n v="0"/>
    <x v="3"/>
    <s v="12-18 Months"/>
    <x v="0"/>
    <n v="0"/>
    <n v="0"/>
  </r>
  <r>
    <n v="110080"/>
    <s v="Flat Rock Police Dept. - MI"/>
    <n v="20"/>
    <n v="20"/>
    <n v="4"/>
    <n v="0"/>
    <n v="0"/>
    <n v="0"/>
    <n v="0"/>
    <n v="0"/>
    <n v="0"/>
    <n v="0"/>
    <x v="3"/>
    <s v="12-18 Months"/>
    <x v="0"/>
    <n v="0"/>
    <n v="0"/>
  </r>
  <r>
    <n v="327051"/>
    <s v="Covington Police Dept. - VA"/>
    <n v="20"/>
    <n v="20"/>
    <n v="4"/>
    <n v="67"/>
    <n v="67"/>
    <n v="67"/>
    <n v="3.35"/>
    <n v="3.35"/>
    <n v="3.35"/>
    <n v="25"/>
    <x v="3"/>
    <s v="12-18 Months"/>
    <x v="0"/>
    <n v="20"/>
    <n v="20"/>
  </r>
  <r>
    <n v="112696"/>
    <s v="University of Wisconsin LaCrosse Police - WI"/>
    <n v="21"/>
    <n v="14"/>
    <n v="4"/>
    <n v="68"/>
    <n v="68"/>
    <n v="55"/>
    <n v="4.8600000000000003"/>
    <n v="4.8600000000000003"/>
    <n v="3.93"/>
    <n v="25"/>
    <x v="3"/>
    <s v="12-18 Months"/>
    <x v="0"/>
    <n v="21"/>
    <n v="21"/>
  </r>
  <r>
    <n v="198552"/>
    <s v="Smithfield Police Dept. - VA"/>
    <n v="23"/>
    <n v="17"/>
    <n v="4"/>
    <n v="28"/>
    <n v="28"/>
    <n v="28"/>
    <n v="1.65"/>
    <n v="1.65"/>
    <n v="1.65"/>
    <n v="0"/>
    <x v="3"/>
    <s v="12-18 Months"/>
    <x v="0"/>
    <n v="23"/>
    <n v="0"/>
  </r>
  <r>
    <n v="109081"/>
    <s v="Braidwood Police Department - IL"/>
    <n v="24"/>
    <n v="20"/>
    <n v="4"/>
    <n v="0"/>
    <n v="0"/>
    <n v="0"/>
    <n v="0"/>
    <n v="0"/>
    <n v="0"/>
    <n v="0"/>
    <x v="3"/>
    <s v="12-18 Months"/>
    <x v="0"/>
    <n v="0"/>
    <n v="0"/>
  </r>
  <r>
    <n v="124098"/>
    <s v="Kingston Police Dept - MA"/>
    <n v="25"/>
    <n v="28"/>
    <n v="4"/>
    <n v="9"/>
    <n v="9"/>
    <n v="9"/>
    <n v="0.32"/>
    <n v="0.32"/>
    <n v="0.32"/>
    <n v="5"/>
    <x v="3"/>
    <s v="12-18 Months"/>
    <x v="0"/>
    <n v="0"/>
    <n v="0"/>
  </r>
  <r>
    <n v="132522"/>
    <s v="East Hampton Village Police Dept. - NY"/>
    <n v="25"/>
    <n v="25"/>
    <n v="4"/>
    <n v="30"/>
    <n v="30"/>
    <n v="30"/>
    <n v="1.2"/>
    <n v="1.2"/>
    <n v="1.2"/>
    <n v="0"/>
    <x v="3"/>
    <s v="12-18 Months"/>
    <x v="0"/>
    <n v="25"/>
    <n v="0"/>
  </r>
  <r>
    <n v="471744"/>
    <s v="Tucson Unified School District Safety Dept. - AZ"/>
    <n v="25"/>
    <n v="23"/>
    <n v="4"/>
    <n v="0"/>
    <n v="0"/>
    <n v="0"/>
    <n v="0"/>
    <n v="0"/>
    <n v="0"/>
    <n v="0"/>
    <x v="3"/>
    <s v="12-18 Months"/>
    <x v="0"/>
    <n v="0"/>
    <n v="0"/>
  </r>
  <r>
    <n v="128823"/>
    <s v="Webster Police Dept. - NY"/>
    <n v="30"/>
    <n v="30"/>
    <n v="4"/>
    <n v="3"/>
    <n v="3"/>
    <n v="0"/>
    <n v="0.1"/>
    <n v="0.1"/>
    <n v="0"/>
    <n v="0"/>
    <x v="3"/>
    <s v="12-18 Months"/>
    <x v="0"/>
    <n v="0"/>
    <n v="0"/>
  </r>
  <r>
    <n v="106654"/>
    <s v="Dixon Police Dept. - CA"/>
    <n v="33"/>
    <n v="35"/>
    <n v="4"/>
    <n v="81"/>
    <n v="69"/>
    <n v="56"/>
    <n v="2.31"/>
    <n v="1.97"/>
    <n v="1.6"/>
    <n v="0"/>
    <x v="3"/>
    <s v="12-18 Months"/>
    <x v="0"/>
    <n v="33"/>
    <n v="33"/>
  </r>
  <r>
    <n v="109470"/>
    <s v="Chino Valley Police Dept. - AZ"/>
    <n v="33"/>
    <n v="34"/>
    <n v="4"/>
    <n v="32"/>
    <n v="30"/>
    <n v="0"/>
    <n v="0.94"/>
    <n v="0.88"/>
    <n v="0"/>
    <n v="5"/>
    <x v="3"/>
    <s v="12-18 Months"/>
    <x v="0"/>
    <n v="33"/>
    <n v="0"/>
  </r>
  <r>
    <n v="300623"/>
    <s v="Old Westbury Village Police Dept. - NY"/>
    <n v="33"/>
    <n v="28"/>
    <n v="4"/>
    <n v="3"/>
    <n v="3"/>
    <n v="2"/>
    <n v="0.11"/>
    <n v="0.11"/>
    <n v="7.0000000000000007E-2"/>
    <n v="3"/>
    <x v="3"/>
    <s v="12-18 Months"/>
    <x v="0"/>
    <n v="0"/>
    <n v="0"/>
  </r>
  <r>
    <n v="469776"/>
    <s v="Wenham Police Dept. - MA"/>
    <n v="33"/>
    <n v="20"/>
    <n v="4"/>
    <n v="4"/>
    <n v="4"/>
    <n v="4"/>
    <n v="0.2"/>
    <n v="0.2"/>
    <n v="0.2"/>
    <n v="0"/>
    <x v="3"/>
    <s v="12-18 Months"/>
    <x v="0"/>
    <n v="0"/>
    <n v="0"/>
  </r>
  <r>
    <n v="171769"/>
    <s v="Pembroke Police Dept. - MA"/>
    <n v="35"/>
    <n v="35"/>
    <n v="4"/>
    <n v="29"/>
    <n v="25"/>
    <n v="25"/>
    <n v="0.83"/>
    <n v="0.71"/>
    <n v="0.71"/>
    <n v="0"/>
    <x v="3"/>
    <s v="12-18 Months"/>
    <x v="0"/>
    <n v="0"/>
    <n v="0"/>
  </r>
  <r>
    <n v="476935"/>
    <s v="Morris Police Department - IL"/>
    <n v="37"/>
    <n v="30"/>
    <n v="4"/>
    <n v="0"/>
    <n v="0"/>
    <n v="0"/>
    <n v="0"/>
    <n v="0"/>
    <n v="0"/>
    <n v="0"/>
    <x v="3"/>
    <s v="12-18 Months"/>
    <x v="0"/>
    <n v="0"/>
    <n v="0"/>
  </r>
  <r>
    <n v="153097"/>
    <s v="Fannin County Sheriff - GA"/>
    <n v="38"/>
    <n v="38"/>
    <n v="4"/>
    <n v="0"/>
    <n v="0"/>
    <n v="0"/>
    <n v="0"/>
    <n v="0"/>
    <n v="0"/>
    <n v="0"/>
    <x v="3"/>
    <s v="12-18 Months"/>
    <x v="0"/>
    <n v="0"/>
    <n v="0"/>
  </r>
  <r>
    <n v="113219"/>
    <s v="South Burlington Police Dept. - VT"/>
    <n v="39"/>
    <n v="40"/>
    <n v="4"/>
    <n v="4"/>
    <n v="4"/>
    <n v="0"/>
    <n v="0.1"/>
    <n v="0.1"/>
    <n v="0"/>
    <n v="2"/>
    <x v="3"/>
    <s v="12-18 Months"/>
    <x v="0"/>
    <n v="0"/>
    <n v="0"/>
  </r>
  <r>
    <n v="516154"/>
    <s v="Town Of Pembroke Park-FL"/>
    <n v="39"/>
    <n v="30"/>
    <n v="4"/>
    <n v="0"/>
    <n v="0"/>
    <n v="0"/>
    <n v="0"/>
    <n v="0"/>
    <n v="0"/>
    <n v="0"/>
    <x v="3"/>
    <s v="12-18 Months"/>
    <x v="0"/>
    <n v="0"/>
    <n v="0"/>
  </r>
  <r>
    <n v="109937"/>
    <s v="Cahokia Heights Police Department - IL"/>
    <n v="40"/>
    <n v="40"/>
    <n v="4"/>
    <n v="0"/>
    <n v="0"/>
    <n v="0"/>
    <n v="0"/>
    <n v="0"/>
    <n v="0"/>
    <n v="0"/>
    <x v="3"/>
    <s v="12-18 Months"/>
    <x v="0"/>
    <n v="0"/>
    <n v="0"/>
  </r>
  <r>
    <n v="145184"/>
    <s v="Pearl Police Dept. - MS"/>
    <n v="48"/>
    <n v="48"/>
    <n v="4"/>
    <n v="12"/>
    <n v="10"/>
    <n v="4"/>
    <n v="0.25"/>
    <n v="0.21"/>
    <n v="0.08"/>
    <n v="0"/>
    <x v="3"/>
    <s v="12-18 Months"/>
    <x v="0"/>
    <n v="0"/>
    <n v="0"/>
  </r>
  <r>
    <n v="110571"/>
    <s v="Cornelius Police Department - NC"/>
    <n v="49"/>
    <n v="10"/>
    <n v="4"/>
    <n v="0"/>
    <n v="0"/>
    <n v="0"/>
    <n v="0"/>
    <n v="0"/>
    <n v="0"/>
    <n v="0"/>
    <x v="3"/>
    <s v="12-18 Months"/>
    <x v="0"/>
    <n v="0"/>
    <n v="0"/>
  </r>
  <r>
    <n v="114454"/>
    <s v="Takoma Park Police Dept. - MD"/>
    <n v="55"/>
    <n v="39"/>
    <n v="4"/>
    <n v="3"/>
    <n v="3"/>
    <n v="3"/>
    <n v="0.08"/>
    <n v="0.08"/>
    <n v="0.08"/>
    <n v="0"/>
    <x v="3"/>
    <s v="12-18 Months"/>
    <x v="0"/>
    <n v="0"/>
    <n v="0"/>
  </r>
  <r>
    <n v="108562"/>
    <s v="Puyallup Police Dept. - WA"/>
    <n v="56"/>
    <n v="80"/>
    <n v="4"/>
    <n v="0"/>
    <n v="0"/>
    <n v="0"/>
    <n v="0"/>
    <n v="0"/>
    <n v="0"/>
    <n v="0"/>
    <x v="3"/>
    <s v="12-18 Months"/>
    <x v="0"/>
    <n v="0"/>
    <n v="0"/>
  </r>
  <r>
    <n v="109378"/>
    <s v="Green County Sheriff's Office - WI"/>
    <n v="56"/>
    <n v="56"/>
    <n v="4"/>
    <n v="307"/>
    <n v="307"/>
    <n v="283"/>
    <n v="5.48"/>
    <n v="5.48"/>
    <n v="5.05"/>
    <n v="117"/>
    <x v="3"/>
    <s v="12-18 Months"/>
    <x v="0"/>
    <n v="56"/>
    <n v="56"/>
  </r>
  <r>
    <n v="107066"/>
    <s v="Laurel Police Dept. - MD"/>
    <n v="70"/>
    <n v="78"/>
    <n v="4"/>
    <n v="37"/>
    <n v="34"/>
    <n v="34"/>
    <n v="0.47"/>
    <n v="0.44"/>
    <n v="0.44"/>
    <n v="16"/>
    <x v="3"/>
    <s v="12-18 Months"/>
    <x v="0"/>
    <n v="0"/>
    <n v="0"/>
  </r>
  <r>
    <n v="107273"/>
    <s v="University of Arizona Police Dept. - AZ"/>
    <n v="70"/>
    <n v="65"/>
    <n v="4"/>
    <n v="0"/>
    <n v="0"/>
    <n v="0"/>
    <n v="0"/>
    <n v="0"/>
    <n v="0"/>
    <n v="0"/>
    <x v="3"/>
    <s v="12-18 Months"/>
    <x v="0"/>
    <n v="0"/>
    <n v="0"/>
  </r>
  <r>
    <n v="204092"/>
    <s v="Friendswood Police Dept. - TX"/>
    <n v="70"/>
    <n v="70"/>
    <n v="4"/>
    <n v="257"/>
    <n v="257"/>
    <n v="255"/>
    <n v="3.67"/>
    <n v="3.67"/>
    <n v="3.64"/>
    <n v="168"/>
    <x v="3"/>
    <s v="12-18 Months"/>
    <x v="0"/>
    <n v="70"/>
    <n v="70"/>
  </r>
  <r>
    <n v="124198"/>
    <s v="Town of Groton Police Department - CT"/>
    <n v="72"/>
    <n v="144"/>
    <n v="4"/>
    <n v="61"/>
    <n v="34"/>
    <n v="0"/>
    <n v="0.42"/>
    <n v="0.24"/>
    <n v="0"/>
    <n v="0"/>
    <x v="3"/>
    <s v="12-18 Months"/>
    <x v="1"/>
    <n v="0"/>
    <n v="0"/>
  </r>
  <r>
    <n v="191133"/>
    <s v="Salem Police Dept - NH"/>
    <n v="75"/>
    <n v="75"/>
    <n v="4"/>
    <n v="0"/>
    <n v="0"/>
    <n v="0"/>
    <n v="0"/>
    <n v="0"/>
    <n v="0"/>
    <n v="0"/>
    <x v="3"/>
    <s v="12-18 Months"/>
    <x v="0"/>
    <n v="0"/>
    <n v="0"/>
  </r>
  <r>
    <n v="112959"/>
    <s v="Council Bluffs Police Dept. - IA"/>
    <n v="80"/>
    <n v="80"/>
    <n v="4"/>
    <n v="0"/>
    <n v="0"/>
    <n v="0"/>
    <n v="0"/>
    <n v="0"/>
    <n v="0"/>
    <n v="0"/>
    <x v="3"/>
    <s v="12-18 Months"/>
    <x v="0"/>
    <n v="0"/>
    <n v="0"/>
  </r>
  <r>
    <n v="144971"/>
    <s v="Oswego County Sheriff's Office - NY"/>
    <n v="90"/>
    <n v="67"/>
    <n v="4"/>
    <n v="0"/>
    <n v="0"/>
    <n v="0"/>
    <n v="0"/>
    <n v="0"/>
    <n v="0"/>
    <n v="0"/>
    <x v="3"/>
    <s v="12-18 Months"/>
    <x v="0"/>
    <n v="0"/>
    <n v="0"/>
  </r>
  <r>
    <n v="106262"/>
    <s v="Manteca Police Dept. - CA"/>
    <n v="96"/>
    <n v="82"/>
    <n v="4"/>
    <n v="1"/>
    <n v="1"/>
    <n v="0"/>
    <n v="0.01"/>
    <n v="0.01"/>
    <n v="0"/>
    <n v="1"/>
    <x v="3"/>
    <s v="12-18 Months"/>
    <x v="0"/>
    <n v="0"/>
    <n v="0"/>
  </r>
  <r>
    <n v="110851"/>
    <s v="El Cajon Police Dept. - CA"/>
    <n v="96"/>
    <n v="126"/>
    <n v="4"/>
    <n v="99"/>
    <n v="67"/>
    <n v="19"/>
    <n v="0.79"/>
    <n v="0.53"/>
    <n v="0.15"/>
    <n v="12"/>
    <x v="3"/>
    <s v="12-18 Months"/>
    <x v="1"/>
    <n v="0"/>
    <n v="0"/>
  </r>
  <r>
    <n v="116419"/>
    <s v="Prince William County Sheriff's Office - VA"/>
    <n v="101"/>
    <n v="111"/>
    <n v="4"/>
    <n v="23"/>
    <n v="23"/>
    <n v="23"/>
    <n v="0.21"/>
    <n v="0.21"/>
    <n v="0.21"/>
    <n v="19"/>
    <x v="3"/>
    <s v="12-18 Months"/>
    <x v="1"/>
    <n v="0"/>
    <n v="0"/>
  </r>
  <r>
    <n v="459858"/>
    <s v="Louisa County Sheriff's Office - VA"/>
    <n v="113"/>
    <n v="65"/>
    <n v="4"/>
    <n v="7"/>
    <n v="5"/>
    <n v="0"/>
    <n v="0.11"/>
    <n v="0.08"/>
    <n v="0"/>
    <n v="0"/>
    <x v="3"/>
    <s v="12-18 Months"/>
    <x v="0"/>
    <n v="0"/>
    <n v="0"/>
  </r>
  <r>
    <n v="123242"/>
    <s v="Whitfield County Sheriff's Office - GA"/>
    <n v="117"/>
    <n v="150"/>
    <n v="4"/>
    <n v="1740"/>
    <n v="1131"/>
    <n v="1120"/>
    <n v="11.6"/>
    <n v="7.54"/>
    <n v="7.47"/>
    <n v="142"/>
    <x v="3"/>
    <s v="12-18 Months"/>
    <x v="1"/>
    <n v="117"/>
    <n v="117"/>
  </r>
  <r>
    <n v="114578"/>
    <s v="Chelsea Police Department - MA"/>
    <n v="120"/>
    <n v="75"/>
    <n v="4"/>
    <n v="4"/>
    <n v="0"/>
    <n v="0"/>
    <n v="0.05"/>
    <n v="0"/>
    <n v="0"/>
    <n v="0"/>
    <x v="3"/>
    <s v="12-18 Months"/>
    <x v="0"/>
    <n v="0"/>
    <n v="0"/>
  </r>
  <r>
    <n v="497630"/>
    <s v="Chatham County Police Department - GA"/>
    <n v="124"/>
    <n v="126"/>
    <n v="4"/>
    <n v="0"/>
    <n v="0"/>
    <n v="0"/>
    <n v="0"/>
    <n v="0"/>
    <n v="0"/>
    <n v="0"/>
    <x v="3"/>
    <s v="12-18 Months"/>
    <x v="1"/>
    <n v="0"/>
    <n v="0"/>
  </r>
  <r>
    <n v="582952"/>
    <s v="Guadalupe County Sheriff's Office - TX"/>
    <n v="125"/>
    <n v="125"/>
    <n v="4"/>
    <n v="10"/>
    <n v="10"/>
    <n v="0"/>
    <n v="0.08"/>
    <n v="0.08"/>
    <n v="0"/>
    <n v="32"/>
    <x v="3"/>
    <s v="12-18 Months"/>
    <x v="1"/>
    <n v="0"/>
    <n v="0"/>
  </r>
  <r>
    <n v="140280"/>
    <s v="Wilson County Sheriff's Office - NC"/>
    <n v="130"/>
    <n v="130"/>
    <n v="4"/>
    <n v="15"/>
    <n v="15"/>
    <n v="15"/>
    <n v="0.12"/>
    <n v="0.12"/>
    <n v="0.12"/>
    <n v="67"/>
    <x v="3"/>
    <s v="12-18 Months"/>
    <x v="1"/>
    <n v="0"/>
    <n v="0"/>
  </r>
  <r>
    <n v="121983"/>
    <s v="Gainesville Police Department - GA"/>
    <n v="138"/>
    <n v="113"/>
    <n v="4"/>
    <n v="9"/>
    <n v="6"/>
    <n v="6"/>
    <n v="0.08"/>
    <n v="0.05"/>
    <n v="0.05"/>
    <n v="5"/>
    <x v="3"/>
    <s v="12-18 Months"/>
    <x v="1"/>
    <n v="0"/>
    <n v="0"/>
  </r>
  <r>
    <n v="108051"/>
    <s v="Franklin Police Department - TN"/>
    <n v="140"/>
    <n v="140"/>
    <n v="4"/>
    <n v="181"/>
    <n v="181"/>
    <n v="178"/>
    <n v="1.29"/>
    <n v="1.29"/>
    <n v="1.27"/>
    <n v="102"/>
    <x v="3"/>
    <s v="12-18 Months"/>
    <x v="1"/>
    <n v="140"/>
    <n v="0"/>
  </r>
  <r>
    <n v="198651"/>
    <s v="Spartanburg Police Department - SC"/>
    <n v="140"/>
    <n v="106"/>
    <n v="4"/>
    <n v="0"/>
    <n v="0"/>
    <n v="0"/>
    <n v="0"/>
    <n v="0"/>
    <n v="0"/>
    <n v="0"/>
    <x v="3"/>
    <s v="12-18 Months"/>
    <x v="1"/>
    <n v="0"/>
    <n v="0"/>
  </r>
  <r>
    <n v="108662"/>
    <s v="El Monte Police Dept. - CA"/>
    <n v="160"/>
    <n v="135"/>
    <n v="4"/>
    <n v="44"/>
    <n v="31"/>
    <n v="31"/>
    <n v="0.33"/>
    <n v="0.23"/>
    <n v="0.23"/>
    <n v="189"/>
    <x v="3"/>
    <s v="12-18 Months"/>
    <x v="1"/>
    <n v="0"/>
    <n v="0"/>
  </r>
  <r>
    <n v="186139"/>
    <s v="North Dakota Highway Patrol - ND"/>
    <n v="162"/>
    <n v="162"/>
    <n v="4"/>
    <n v="5"/>
    <n v="2"/>
    <n v="0"/>
    <n v="0.03"/>
    <n v="0.01"/>
    <n v="0"/>
    <n v="2"/>
    <x v="3"/>
    <s v="12-18 Months"/>
    <x v="1"/>
    <n v="0"/>
    <n v="0"/>
  </r>
  <r>
    <n v="109662"/>
    <s v="Chatham County Sheriff's Office - GA"/>
    <n v="188"/>
    <n v="410"/>
    <n v="4"/>
    <n v="0"/>
    <n v="0"/>
    <n v="0"/>
    <n v="0"/>
    <n v="0"/>
    <n v="0"/>
    <n v="0"/>
    <x v="3"/>
    <s v="12-18 Months"/>
    <x v="1"/>
    <n v="0"/>
    <n v="0"/>
  </r>
  <r>
    <n v="109414"/>
    <s v="Hall County Sheriff's Office - GA"/>
    <n v="248"/>
    <n v="291"/>
    <n v="4"/>
    <n v="79"/>
    <n v="18"/>
    <n v="1"/>
    <n v="0.27"/>
    <n v="0.06"/>
    <n v="0"/>
    <n v="25"/>
    <x v="3"/>
    <s v="12-18 Months"/>
    <x v="1"/>
    <n v="0"/>
    <n v="0"/>
  </r>
  <r>
    <n v="326934"/>
    <s v="Georgia Department Of Corrections - GA"/>
    <n v="500"/>
    <n v="3000"/>
    <n v="4"/>
    <n v="0"/>
    <n v="0"/>
    <n v="0"/>
    <n v="0"/>
    <n v="0"/>
    <n v="0"/>
    <n v="1"/>
    <x v="3"/>
    <s v="12-18 Months"/>
    <x v="2"/>
    <n v="0"/>
    <n v="0"/>
  </r>
  <r>
    <s v="CA0115786"/>
    <s v="Surrey Police Service"/>
    <n v="500"/>
    <n v="200"/>
    <n v="4"/>
    <n v="139"/>
    <n v="139"/>
    <n v="139"/>
    <n v="0.7"/>
    <n v="0.7"/>
    <n v="0.7"/>
    <n v="18"/>
    <x v="3"/>
    <s v="12-18 Months"/>
    <x v="1"/>
    <n v="0"/>
    <n v="0"/>
  </r>
  <r>
    <n v="124583"/>
    <s v="Louisiana State Police - LA"/>
    <n v="1150"/>
    <n v="150"/>
    <n v="4"/>
    <n v="50"/>
    <n v="32"/>
    <n v="1"/>
    <n v="0.33"/>
    <n v="0.21"/>
    <n v="0.01"/>
    <n v="4"/>
    <x v="3"/>
    <s v="12-18 Months"/>
    <x v="1"/>
    <n v="0"/>
    <n v="0"/>
  </r>
  <r>
    <n v="106436"/>
    <s v="North Palm Beach Police Department - FL"/>
    <n v="1"/>
    <n v="41"/>
    <n v="3"/>
    <n v="64"/>
    <n v="59"/>
    <n v="59"/>
    <n v="1.56"/>
    <n v="1.44"/>
    <n v="1.44"/>
    <n v="0"/>
    <x v="3"/>
    <s v="12-18 Months"/>
    <x v="0"/>
    <n v="1"/>
    <n v="0"/>
  </r>
  <r>
    <n v="163254"/>
    <s v="Wilkinsburg Police Dept - PA"/>
    <n v="1"/>
    <n v="25"/>
    <n v="3"/>
    <n v="7"/>
    <n v="7"/>
    <n v="7"/>
    <n v="0.28000000000000003"/>
    <n v="0.28000000000000003"/>
    <n v="0.28000000000000003"/>
    <n v="0"/>
    <x v="3"/>
    <s v="12-18 Months"/>
    <x v="0"/>
    <n v="0"/>
    <n v="0"/>
  </r>
  <r>
    <n v="466199"/>
    <s v="Wayne City Police Dept. - IL"/>
    <n v="1"/>
    <n v="1"/>
    <n v="3"/>
    <n v="11"/>
    <n v="0"/>
    <n v="0"/>
    <n v="11"/>
    <n v="0"/>
    <n v="0"/>
    <n v="3"/>
    <x v="3"/>
    <s v="12-18 Months"/>
    <x v="0"/>
    <n v="1"/>
    <n v="1"/>
  </r>
  <r>
    <n v="477326"/>
    <s v="Stonington Police Dept. - IL"/>
    <n v="1"/>
    <n v="2"/>
    <n v="3"/>
    <n v="0"/>
    <n v="0"/>
    <n v="0"/>
    <n v="0"/>
    <n v="0"/>
    <n v="0"/>
    <n v="0"/>
    <x v="3"/>
    <s v="12-18 Months"/>
    <x v="0"/>
    <n v="0"/>
    <n v="0"/>
  </r>
  <r>
    <n v="595748"/>
    <s v="Chambers County Constable Pct. 5 - TX"/>
    <n v="1"/>
    <n v="1"/>
    <n v="3"/>
    <n v="5"/>
    <n v="5"/>
    <n v="0"/>
    <n v="5"/>
    <n v="5"/>
    <n v="0"/>
    <n v="0"/>
    <x v="3"/>
    <s v="12-18 Months"/>
    <x v="0"/>
    <n v="1"/>
    <n v="1"/>
  </r>
  <r>
    <n v="114071"/>
    <s v="Concord Police Dept. - MA"/>
    <n v="2"/>
    <n v="17"/>
    <n v="3"/>
    <n v="42"/>
    <n v="42"/>
    <n v="42"/>
    <n v="2.4700000000000002"/>
    <n v="2.4700000000000002"/>
    <n v="2.4700000000000002"/>
    <n v="1"/>
    <x v="3"/>
    <s v="12-18 Months"/>
    <x v="0"/>
    <n v="2"/>
    <n v="2"/>
  </r>
  <r>
    <n v="146186"/>
    <s v="Madison County Sheriff's Dept. - MS"/>
    <n v="2"/>
    <n v="88"/>
    <n v="3"/>
    <n v="28"/>
    <n v="30"/>
    <n v="30"/>
    <n v="0.32"/>
    <n v="0.34"/>
    <n v="0.34"/>
    <n v="0"/>
    <x v="3"/>
    <s v="12-18 Months"/>
    <x v="0"/>
    <n v="0"/>
    <n v="0"/>
  </r>
  <r>
    <n v="480908"/>
    <s v="Pendleton Police Department - SC"/>
    <n v="2"/>
    <n v="10"/>
    <n v="3"/>
    <n v="32"/>
    <n v="31"/>
    <n v="26"/>
    <n v="3.2"/>
    <n v="3.1"/>
    <n v="2.6"/>
    <n v="10"/>
    <x v="3"/>
    <s v="12-18 Months"/>
    <x v="0"/>
    <n v="2"/>
    <n v="2"/>
  </r>
  <r>
    <n v="109462"/>
    <s v="Alamance County Sheriff's Office - NC"/>
    <n v="3"/>
    <n v="140"/>
    <n v="3"/>
    <n v="21"/>
    <n v="21"/>
    <n v="21"/>
    <n v="0.15"/>
    <n v="0.15"/>
    <n v="0.15"/>
    <n v="0"/>
    <x v="3"/>
    <s v="12-18 Months"/>
    <x v="1"/>
    <n v="0"/>
    <n v="0"/>
  </r>
  <r>
    <n v="133873"/>
    <s v="Faulk County Sheriff's Office - SD"/>
    <n v="3"/>
    <n v="5"/>
    <n v="3"/>
    <n v="0"/>
    <n v="0"/>
    <n v="0"/>
    <n v="0"/>
    <n v="0"/>
    <n v="0"/>
    <n v="0"/>
    <x v="3"/>
    <s v="12-18 Months"/>
    <x v="0"/>
    <n v="0"/>
    <n v="0"/>
  </r>
  <r>
    <n v="327314"/>
    <s v="Orono Police Dept. - ME"/>
    <n v="3"/>
    <n v="8"/>
    <n v="3"/>
    <n v="3"/>
    <n v="2"/>
    <n v="2"/>
    <n v="0.38"/>
    <n v="0.25"/>
    <n v="0.25"/>
    <n v="0"/>
    <x v="3"/>
    <s v="12-18 Months"/>
    <x v="0"/>
    <n v="0"/>
    <n v="0"/>
  </r>
  <r>
    <n v="175106"/>
    <s v="Beech Mountain Police Dept. - NC"/>
    <n v="4"/>
    <n v="10"/>
    <n v="3"/>
    <n v="0"/>
    <n v="0"/>
    <n v="0"/>
    <n v="0"/>
    <n v="0"/>
    <n v="0"/>
    <n v="0"/>
    <x v="3"/>
    <s v="12-18 Months"/>
    <x v="0"/>
    <n v="0"/>
    <n v="0"/>
  </r>
  <r>
    <n v="487132"/>
    <s v="Belleville Police Department - KS"/>
    <n v="4"/>
    <n v="4"/>
    <n v="3"/>
    <n v="12"/>
    <n v="10"/>
    <n v="4"/>
    <n v="3"/>
    <n v="2.5"/>
    <n v="1"/>
    <n v="6"/>
    <x v="3"/>
    <s v="12-18 Months"/>
    <x v="0"/>
    <n v="4"/>
    <n v="4"/>
  </r>
  <r>
    <n v="109962"/>
    <s v="Sedona Police Dept. - AZ"/>
    <n v="5"/>
    <n v="39"/>
    <n v="3"/>
    <n v="148"/>
    <n v="148"/>
    <n v="148"/>
    <n v="3.79"/>
    <n v="3.79"/>
    <n v="3.79"/>
    <n v="0"/>
    <x v="3"/>
    <s v="12-18 Months"/>
    <x v="0"/>
    <n v="5"/>
    <n v="5"/>
  </r>
  <r>
    <n v="457172"/>
    <s v="Phillips County Sheriff's Office - CO"/>
    <n v="5"/>
    <n v="4"/>
    <n v="3"/>
    <n v="0"/>
    <n v="0"/>
    <n v="0"/>
    <n v="0"/>
    <n v="0"/>
    <n v="0"/>
    <n v="0"/>
    <x v="3"/>
    <s v="12-18 Months"/>
    <x v="0"/>
    <n v="0"/>
    <n v="0"/>
  </r>
  <r>
    <n v="534156"/>
    <s v="Walton Police Dept. - NY"/>
    <n v="6"/>
    <n v="2"/>
    <n v="3"/>
    <n v="0"/>
    <n v="0"/>
    <n v="0"/>
    <n v="0"/>
    <n v="0"/>
    <n v="0"/>
    <n v="0"/>
    <x v="3"/>
    <s v="12-18 Months"/>
    <x v="0"/>
    <n v="0"/>
    <n v="0"/>
  </r>
  <r>
    <n v="575949"/>
    <s v="Blackville Police Dept- SC"/>
    <n v="6"/>
    <n v="6"/>
    <n v="3"/>
    <n v="0"/>
    <n v="0"/>
    <n v="0"/>
    <n v="0"/>
    <n v="0"/>
    <n v="0"/>
    <n v="0"/>
    <x v="3"/>
    <s v="12-18 Months"/>
    <x v="0"/>
    <n v="0"/>
    <n v="0"/>
  </r>
  <r>
    <n v="108786"/>
    <s v="Phelps County Sheriff's Office - NE"/>
    <n v="7"/>
    <n v="7"/>
    <n v="3"/>
    <n v="27"/>
    <n v="27"/>
    <n v="27"/>
    <n v="3.86"/>
    <n v="3.86"/>
    <n v="3.86"/>
    <n v="0"/>
    <x v="3"/>
    <s v="12-18 Months"/>
    <x v="0"/>
    <n v="7"/>
    <n v="7"/>
  </r>
  <r>
    <n v="112359"/>
    <s v="VICKSBURG POLICE DEPT. - MI"/>
    <n v="7"/>
    <n v="7"/>
    <n v="3"/>
    <n v="93"/>
    <n v="93"/>
    <n v="84"/>
    <n v="13.29"/>
    <n v="13.29"/>
    <n v="12"/>
    <n v="11"/>
    <x v="3"/>
    <s v="12-18 Months"/>
    <x v="0"/>
    <n v="7"/>
    <n v="7"/>
  </r>
  <r>
    <n v="582251"/>
    <s v="Scottsville Police Dept. - VA"/>
    <n v="7"/>
    <n v="7"/>
    <n v="3"/>
    <n v="0"/>
    <n v="0"/>
    <n v="0"/>
    <n v="0"/>
    <n v="0"/>
    <n v="0"/>
    <n v="0"/>
    <x v="3"/>
    <s v="12-18 Months"/>
    <x v="0"/>
    <n v="0"/>
    <n v="0"/>
  </r>
  <r>
    <n v="157396"/>
    <s v="Iowa City Police Dept. - IA"/>
    <n v="8"/>
    <n v="40"/>
    <n v="3"/>
    <n v="11"/>
    <n v="5"/>
    <n v="5"/>
    <n v="0.28000000000000003"/>
    <n v="0.13"/>
    <n v="0.13"/>
    <n v="0"/>
    <x v="3"/>
    <s v="12-18 Months"/>
    <x v="0"/>
    <n v="0"/>
    <n v="0"/>
  </r>
  <r>
    <n v="472627"/>
    <s v="Rutland Town Police Department - VT"/>
    <n v="8"/>
    <n v="8"/>
    <n v="3"/>
    <n v="4"/>
    <n v="4"/>
    <n v="0"/>
    <n v="0.5"/>
    <n v="0.5"/>
    <n v="0"/>
    <n v="0"/>
    <x v="3"/>
    <s v="12-18 Months"/>
    <x v="0"/>
    <n v="0"/>
    <n v="0"/>
  </r>
  <r>
    <n v="476202"/>
    <s v="Wilmington Police Dept. - VT"/>
    <n v="8"/>
    <n v="8"/>
    <n v="3"/>
    <n v="32"/>
    <n v="32"/>
    <n v="32"/>
    <n v="4"/>
    <n v="4"/>
    <n v="4"/>
    <n v="0"/>
    <x v="3"/>
    <s v="12-18 Months"/>
    <x v="0"/>
    <n v="8"/>
    <n v="8"/>
  </r>
  <r>
    <n v="106525"/>
    <s v="Evergreen State College Police Dept - WA"/>
    <n v="9"/>
    <n v="9"/>
    <n v="3"/>
    <n v="6"/>
    <n v="6"/>
    <n v="6"/>
    <n v="0.67"/>
    <n v="0.67"/>
    <n v="0.67"/>
    <n v="5"/>
    <x v="3"/>
    <s v="12-18 Months"/>
    <x v="0"/>
    <n v="0"/>
    <n v="0"/>
  </r>
  <r>
    <n v="125286"/>
    <s v="Ocilla Police Dept.- GA"/>
    <n v="9"/>
    <n v="9"/>
    <n v="3"/>
    <n v="0"/>
    <n v="0"/>
    <n v="0"/>
    <n v="0"/>
    <n v="0"/>
    <n v="0"/>
    <n v="0"/>
    <x v="3"/>
    <s v="12-18 Months"/>
    <x v="0"/>
    <n v="0"/>
    <n v="0"/>
  </r>
  <r>
    <n v="317802"/>
    <s v="Dunnellon Police Dept.-FL"/>
    <n v="9"/>
    <n v="1"/>
    <n v="3"/>
    <n v="0"/>
    <n v="0"/>
    <n v="0"/>
    <n v="0"/>
    <n v="0"/>
    <n v="0"/>
    <n v="0"/>
    <x v="3"/>
    <s v="12-18 Months"/>
    <x v="0"/>
    <n v="0"/>
    <n v="0"/>
  </r>
  <r>
    <n v="328319"/>
    <s v="North Berwick Police Dept - ME"/>
    <n v="9"/>
    <n v="9"/>
    <n v="3"/>
    <n v="0"/>
    <n v="0"/>
    <n v="0"/>
    <n v="0"/>
    <n v="0"/>
    <n v="0"/>
    <n v="0"/>
    <x v="3"/>
    <s v="12-18 Months"/>
    <x v="0"/>
    <n v="0"/>
    <n v="0"/>
  </r>
  <r>
    <n v="115480"/>
    <s v="Darlington County Sheriff's Office - SC"/>
    <n v="10"/>
    <n v="15"/>
    <n v="3"/>
    <n v="0"/>
    <n v="0"/>
    <n v="0"/>
    <n v="0"/>
    <n v="0"/>
    <n v="0"/>
    <n v="0"/>
    <x v="3"/>
    <s v="12-18 Months"/>
    <x v="0"/>
    <n v="0"/>
    <n v="0"/>
  </r>
  <r>
    <n v="232925"/>
    <s v="Bridgton Police Department - ME"/>
    <n v="10"/>
    <n v="10"/>
    <n v="3"/>
    <n v="25"/>
    <n v="20"/>
    <n v="20"/>
    <n v="2.5"/>
    <n v="2"/>
    <n v="2"/>
    <n v="35"/>
    <x v="3"/>
    <s v="12-18 Months"/>
    <x v="0"/>
    <n v="10"/>
    <n v="10"/>
  </r>
  <r>
    <n v="233432"/>
    <s v="Strafford County Sheriff's Office - NH"/>
    <n v="10"/>
    <n v="10"/>
    <n v="3"/>
    <n v="43"/>
    <n v="43"/>
    <n v="43"/>
    <n v="4.3"/>
    <n v="4.3"/>
    <n v="4.3"/>
    <n v="0"/>
    <x v="3"/>
    <s v="12-18 Months"/>
    <x v="0"/>
    <n v="10"/>
    <n v="10"/>
  </r>
  <r>
    <n v="466424"/>
    <s v="Somerville Police Dept. - NJ"/>
    <n v="10"/>
    <n v="24"/>
    <n v="3"/>
    <n v="0"/>
    <n v="0"/>
    <n v="0"/>
    <n v="0"/>
    <n v="0"/>
    <n v="0"/>
    <n v="0"/>
    <x v="3"/>
    <s v="12-18 Months"/>
    <x v="0"/>
    <n v="0"/>
    <n v="0"/>
  </r>
  <r>
    <n v="546361"/>
    <s v="Columbus Metro Airport Police Department - GA"/>
    <n v="10"/>
    <n v="10"/>
    <n v="3"/>
    <n v="2"/>
    <n v="2"/>
    <n v="2"/>
    <n v="0.2"/>
    <n v="0.2"/>
    <n v="0.2"/>
    <n v="0"/>
    <x v="3"/>
    <s v="12-18 Months"/>
    <x v="0"/>
    <n v="0"/>
    <n v="0"/>
  </r>
  <r>
    <n v="108428"/>
    <s v="Upper Moreland Township Police Dept - PA"/>
    <n v="11"/>
    <n v="21"/>
    <n v="3"/>
    <n v="36"/>
    <n v="16"/>
    <n v="8"/>
    <n v="1.71"/>
    <n v="0.76"/>
    <n v="0.38"/>
    <n v="0"/>
    <x v="3"/>
    <s v="12-18 Months"/>
    <x v="0"/>
    <n v="11"/>
    <n v="0"/>
  </r>
  <r>
    <n v="477343"/>
    <s v="Flora Police Dept. - MS"/>
    <n v="11"/>
    <n v="11"/>
    <n v="3"/>
    <n v="4"/>
    <n v="4"/>
    <n v="0"/>
    <n v="0.36"/>
    <n v="0.36"/>
    <n v="0"/>
    <n v="0"/>
    <x v="3"/>
    <s v="12-18 Months"/>
    <x v="0"/>
    <n v="0"/>
    <n v="0"/>
  </r>
  <r>
    <n v="110342"/>
    <s v="Hinsdale Police Dept. - NH"/>
    <n v="12"/>
    <n v="11"/>
    <n v="3"/>
    <n v="30"/>
    <n v="22"/>
    <n v="3"/>
    <n v="2.73"/>
    <n v="2"/>
    <n v="0.27"/>
    <n v="9"/>
    <x v="3"/>
    <s v="12-18 Months"/>
    <x v="0"/>
    <n v="12"/>
    <n v="12"/>
  </r>
  <r>
    <n v="206493"/>
    <s v="Rocky Ford Police Department - CO"/>
    <n v="12"/>
    <n v="2"/>
    <n v="3"/>
    <n v="0"/>
    <n v="0"/>
    <n v="0"/>
    <n v="0"/>
    <n v="0"/>
    <n v="0"/>
    <n v="0"/>
    <x v="3"/>
    <s v="12-18 Months"/>
    <x v="0"/>
    <n v="0"/>
    <n v="0"/>
  </r>
  <r>
    <n v="481041"/>
    <s v="Delanco Township Police Dept. - NJ"/>
    <n v="13"/>
    <n v="13"/>
    <n v="3"/>
    <n v="0"/>
    <n v="0"/>
    <n v="0"/>
    <n v="0"/>
    <n v="0"/>
    <n v="0"/>
    <n v="0"/>
    <x v="3"/>
    <s v="12-18 Months"/>
    <x v="0"/>
    <n v="0"/>
    <n v="0"/>
  </r>
  <r>
    <n v="107758"/>
    <s v="Black Diamond Police Dept. - WA"/>
    <n v="14"/>
    <n v="13"/>
    <n v="3"/>
    <n v="6"/>
    <n v="1"/>
    <n v="1"/>
    <n v="0.46"/>
    <n v="0.08"/>
    <n v="0.08"/>
    <n v="11"/>
    <x v="3"/>
    <s v="12-18 Months"/>
    <x v="0"/>
    <n v="0"/>
    <n v="0"/>
  </r>
  <r>
    <n v="155722"/>
    <s v="Fairfield Police Dept. - IL"/>
    <n v="14"/>
    <n v="13"/>
    <n v="3"/>
    <n v="0"/>
    <n v="0"/>
    <n v="0"/>
    <n v="0"/>
    <n v="0"/>
    <n v="0"/>
    <n v="0"/>
    <x v="3"/>
    <s v="12-18 Months"/>
    <x v="0"/>
    <n v="0"/>
    <n v="0"/>
  </r>
  <r>
    <n v="165139"/>
    <s v="Russellville Police Dept. - AR"/>
    <n v="15"/>
    <n v="18"/>
    <n v="3"/>
    <n v="1"/>
    <n v="1"/>
    <n v="0"/>
    <n v="0.06"/>
    <n v="0.06"/>
    <n v="0"/>
    <n v="0"/>
    <x v="3"/>
    <s v="12-18 Months"/>
    <x v="0"/>
    <n v="0"/>
    <n v="0"/>
  </r>
  <r>
    <n v="517964"/>
    <s v="Lancaster Police Dept - CA"/>
    <n v="15"/>
    <n v="16"/>
    <n v="3"/>
    <n v="0"/>
    <n v="0"/>
    <n v="0"/>
    <n v="0"/>
    <n v="0"/>
    <n v="0"/>
    <n v="0"/>
    <x v="3"/>
    <s v="12-18 Months"/>
    <x v="0"/>
    <n v="0"/>
    <n v="0"/>
  </r>
  <r>
    <n v="154192"/>
    <s v="Livermore Falls Police Dept. - ME"/>
    <n v="16"/>
    <n v="7"/>
    <n v="3"/>
    <n v="3"/>
    <n v="3"/>
    <n v="0"/>
    <n v="0.43"/>
    <n v="0.43"/>
    <n v="0"/>
    <n v="0"/>
    <x v="3"/>
    <s v="12-18 Months"/>
    <x v="0"/>
    <n v="0"/>
    <n v="0"/>
  </r>
  <r>
    <n v="202744"/>
    <s v="Chickasaw County Sheriff's Office - IA"/>
    <n v="16"/>
    <n v="16"/>
    <n v="3"/>
    <n v="45"/>
    <n v="38"/>
    <n v="38"/>
    <n v="2.81"/>
    <n v="2.38"/>
    <n v="2.38"/>
    <n v="0"/>
    <x v="3"/>
    <s v="12-18 Months"/>
    <x v="0"/>
    <n v="16"/>
    <n v="16"/>
  </r>
  <r>
    <n v="110870"/>
    <s v="The Dalles Police Dept. - OR"/>
    <n v="17"/>
    <n v="27"/>
    <n v="3"/>
    <n v="0"/>
    <n v="0"/>
    <n v="0"/>
    <n v="0"/>
    <n v="0"/>
    <n v="0"/>
    <n v="0"/>
    <x v="3"/>
    <s v="12-18 Months"/>
    <x v="0"/>
    <n v="0"/>
    <n v="0"/>
  </r>
  <r>
    <n v="110305"/>
    <s v="Lee County Sheriff's Office - FL"/>
    <n v="18"/>
    <n v="522"/>
    <n v="3"/>
    <n v="33"/>
    <n v="26"/>
    <n v="26"/>
    <n v="0.06"/>
    <n v="0.05"/>
    <n v="0.05"/>
    <n v="0"/>
    <x v="3"/>
    <s v="12-18 Months"/>
    <x v="1"/>
    <n v="0"/>
    <n v="0"/>
  </r>
  <r>
    <n v="521750"/>
    <s v="Delaware County Park Police - PA"/>
    <n v="18"/>
    <n v="88"/>
    <n v="3"/>
    <n v="59"/>
    <n v="59"/>
    <n v="59"/>
    <n v="0.67"/>
    <n v="0.67"/>
    <n v="0.67"/>
    <n v="0"/>
    <x v="3"/>
    <s v="12-18 Months"/>
    <x v="0"/>
    <n v="0"/>
    <n v="0"/>
  </r>
  <r>
    <n v="183838"/>
    <s v="Upper Darby Township Police Dept. - PA"/>
    <n v="19"/>
    <n v="115"/>
    <n v="3"/>
    <n v="35"/>
    <n v="35"/>
    <n v="35"/>
    <n v="0.3"/>
    <n v="0.3"/>
    <n v="0.3"/>
    <n v="30"/>
    <x v="3"/>
    <s v="12-18 Months"/>
    <x v="1"/>
    <n v="0"/>
    <n v="0"/>
  </r>
  <r>
    <n v="216488"/>
    <s v="Charlotte Police Dept. - MI"/>
    <n v="19"/>
    <n v="17"/>
    <n v="3"/>
    <n v="5"/>
    <n v="5"/>
    <n v="5"/>
    <n v="0.28999999999999998"/>
    <n v="0.28999999999999998"/>
    <n v="0.28999999999999998"/>
    <n v="7"/>
    <x v="3"/>
    <s v="12-18 Months"/>
    <x v="0"/>
    <n v="0"/>
    <n v="0"/>
  </r>
  <r>
    <n v="129372"/>
    <s v="Winthrop Harbor Police - IL"/>
    <n v="20"/>
    <n v="17"/>
    <n v="3"/>
    <n v="0"/>
    <n v="0"/>
    <n v="0"/>
    <n v="0"/>
    <n v="0"/>
    <n v="0"/>
    <n v="0"/>
    <x v="3"/>
    <s v="12-18 Months"/>
    <x v="0"/>
    <n v="0"/>
    <n v="0"/>
  </r>
  <r>
    <n v="140147"/>
    <s v="Allen County Sheriff's Department-KS"/>
    <n v="20"/>
    <n v="30"/>
    <n v="3"/>
    <n v="0"/>
    <n v="0"/>
    <n v="0"/>
    <n v="0"/>
    <n v="0"/>
    <n v="0"/>
    <n v="0"/>
    <x v="3"/>
    <s v="12-18 Months"/>
    <x v="0"/>
    <n v="0"/>
    <n v="0"/>
  </r>
  <r>
    <n v="198111"/>
    <s v="Pittsboro Police Dept. - NC"/>
    <n v="20"/>
    <n v="20"/>
    <n v="3"/>
    <n v="5"/>
    <n v="5"/>
    <n v="5"/>
    <n v="0.25"/>
    <n v="0.25"/>
    <n v="0.25"/>
    <n v="0"/>
    <x v="3"/>
    <s v="12-18 Months"/>
    <x v="0"/>
    <n v="0"/>
    <n v="0"/>
  </r>
  <r>
    <n v="239968"/>
    <s v="McFarland Police Dept. - CA"/>
    <n v="20"/>
    <n v="25"/>
    <n v="3"/>
    <n v="0"/>
    <n v="0"/>
    <n v="0"/>
    <n v="0"/>
    <n v="0"/>
    <n v="0"/>
    <n v="0"/>
    <x v="3"/>
    <s v="12-18 Months"/>
    <x v="0"/>
    <n v="0"/>
    <n v="0"/>
  </r>
  <r>
    <n v="470991"/>
    <s v="Breaux Bridge Police Dept. - LA"/>
    <n v="20"/>
    <n v="15"/>
    <n v="3"/>
    <n v="0"/>
    <n v="0"/>
    <n v="0"/>
    <n v="0"/>
    <n v="0"/>
    <n v="0"/>
    <n v="0"/>
    <x v="3"/>
    <s v="12-18 Months"/>
    <x v="0"/>
    <n v="0"/>
    <n v="0"/>
  </r>
  <r>
    <n v="315562"/>
    <s v="HOLMES BEACH POLICE DEPT"/>
    <n v="22"/>
    <n v="22"/>
    <n v="3"/>
    <n v="43"/>
    <n v="43"/>
    <n v="34"/>
    <n v="1.95"/>
    <n v="1.95"/>
    <n v="1.55"/>
    <n v="19"/>
    <x v="3"/>
    <s v="12-18 Months"/>
    <x v="0"/>
    <n v="22"/>
    <n v="0"/>
  </r>
  <r>
    <n v="452370"/>
    <s v="Pine Hill Police Dept. - NJ"/>
    <n v="23"/>
    <n v="20"/>
    <n v="3"/>
    <n v="0"/>
    <n v="0"/>
    <n v="0"/>
    <n v="0"/>
    <n v="0"/>
    <n v="0"/>
    <n v="0"/>
    <x v="3"/>
    <s v="12-18 Months"/>
    <x v="0"/>
    <n v="0"/>
    <n v="0"/>
  </r>
  <r>
    <n v="459792"/>
    <s v="Lindale Police Dept. - TX"/>
    <n v="23"/>
    <n v="20"/>
    <n v="3"/>
    <n v="0"/>
    <n v="0"/>
    <n v="0"/>
    <n v="0"/>
    <n v="0"/>
    <n v="0"/>
    <n v="0"/>
    <x v="3"/>
    <s v="12-18 Months"/>
    <x v="0"/>
    <n v="0"/>
    <n v="0"/>
  </r>
  <r>
    <n v="413118"/>
    <s v="Murray County Sheriff - GA"/>
    <n v="24"/>
    <n v="24"/>
    <n v="3"/>
    <n v="4"/>
    <n v="4"/>
    <n v="4"/>
    <n v="0.17"/>
    <n v="0.17"/>
    <n v="0.17"/>
    <n v="0"/>
    <x v="3"/>
    <s v="12-18 Months"/>
    <x v="0"/>
    <n v="0"/>
    <n v="0"/>
  </r>
  <r>
    <n v="107826"/>
    <s v="Connecticut State Police Dept. - CT"/>
    <n v="25"/>
    <n v="1150"/>
    <n v="3"/>
    <n v="218"/>
    <n v="218"/>
    <n v="218"/>
    <n v="0.19"/>
    <n v="0.19"/>
    <n v="0.19"/>
    <n v="26"/>
    <x v="3"/>
    <s v="12-18 Months"/>
    <x v="2"/>
    <n v="0"/>
    <n v="0"/>
  </r>
  <r>
    <n v="113326"/>
    <s v="Huerfano County Sheriff's Office - CO"/>
    <n v="25"/>
    <n v="22"/>
    <n v="3"/>
    <n v="8"/>
    <n v="8"/>
    <n v="8"/>
    <n v="0.36"/>
    <n v="0.36"/>
    <n v="0.36"/>
    <n v="1"/>
    <x v="3"/>
    <s v="12-18 Months"/>
    <x v="0"/>
    <n v="0"/>
    <n v="0"/>
  </r>
  <r>
    <n v="125102"/>
    <s v="Lafayette City Marshal's Office - LA"/>
    <n v="25"/>
    <n v="25"/>
    <n v="3"/>
    <n v="4"/>
    <n v="4"/>
    <n v="4"/>
    <n v="0.16"/>
    <n v="0.16"/>
    <n v="0.16"/>
    <n v="0"/>
    <x v="3"/>
    <s v="12-18 Months"/>
    <x v="0"/>
    <n v="0"/>
    <n v="0"/>
  </r>
  <r>
    <n v="451573"/>
    <s v="Austin County Sheriff's Office - TX"/>
    <n v="25"/>
    <n v="25"/>
    <n v="3"/>
    <n v="0"/>
    <n v="0"/>
    <n v="0"/>
    <n v="0"/>
    <n v="0"/>
    <n v="0"/>
    <n v="0"/>
    <x v="3"/>
    <s v="12-18 Months"/>
    <x v="0"/>
    <n v="0"/>
    <n v="0"/>
  </r>
  <r>
    <n v="187291"/>
    <s v="Independence Police Department - OH"/>
    <n v="29"/>
    <n v="29"/>
    <n v="3"/>
    <n v="0"/>
    <n v="0"/>
    <n v="0"/>
    <n v="0"/>
    <n v="0"/>
    <n v="0"/>
    <n v="0"/>
    <x v="3"/>
    <s v="12-18 Months"/>
    <x v="0"/>
    <n v="0"/>
    <n v="0"/>
  </r>
  <r>
    <n v="190854"/>
    <s v="Panola County Sheriff - MS"/>
    <n v="29"/>
    <n v="20"/>
    <n v="3"/>
    <n v="3"/>
    <n v="3"/>
    <n v="3"/>
    <n v="0.15"/>
    <n v="0.15"/>
    <n v="0.15"/>
    <n v="0"/>
    <x v="3"/>
    <s v="12-18 Months"/>
    <x v="0"/>
    <n v="0"/>
    <n v="0"/>
  </r>
  <r>
    <n v="228826"/>
    <s v="Grover Beach Police Dept. - CA"/>
    <n v="30"/>
    <n v="30"/>
    <n v="3"/>
    <n v="16"/>
    <n v="16"/>
    <n v="9"/>
    <n v="0.53"/>
    <n v="0.53"/>
    <n v="0.3"/>
    <n v="2"/>
    <x v="3"/>
    <s v="12-18 Months"/>
    <x v="0"/>
    <n v="0"/>
    <n v="0"/>
  </r>
  <r>
    <n v="109969"/>
    <s v="Corning Police Dept. - NY"/>
    <n v="32"/>
    <n v="21"/>
    <n v="3"/>
    <n v="5"/>
    <n v="5"/>
    <n v="5"/>
    <n v="0.24"/>
    <n v="0.24"/>
    <n v="0.24"/>
    <n v="8"/>
    <x v="3"/>
    <s v="12-18 Months"/>
    <x v="0"/>
    <n v="0"/>
    <n v="0"/>
  </r>
  <r>
    <n v="114954"/>
    <s v="North Reading Police Dept. - MA"/>
    <n v="32"/>
    <n v="32"/>
    <n v="3"/>
    <n v="29"/>
    <n v="29"/>
    <n v="29"/>
    <n v="0.91"/>
    <n v="0.91"/>
    <n v="0.91"/>
    <n v="11"/>
    <x v="3"/>
    <s v="12-18 Months"/>
    <x v="0"/>
    <n v="32"/>
    <n v="0"/>
  </r>
  <r>
    <n v="327790"/>
    <s v="York Police Department - ME"/>
    <n v="32"/>
    <n v="32"/>
    <n v="3"/>
    <n v="62"/>
    <n v="41"/>
    <n v="41"/>
    <n v="1.94"/>
    <n v="1.28"/>
    <n v="1.28"/>
    <n v="34"/>
    <x v="3"/>
    <s v="12-18 Months"/>
    <x v="0"/>
    <n v="32"/>
    <n v="0"/>
  </r>
  <r>
    <n v="108005"/>
    <s v="Sausalito Police Dept. - CA"/>
    <n v="34"/>
    <n v="15"/>
    <n v="3"/>
    <n v="8"/>
    <n v="8"/>
    <n v="8"/>
    <n v="0.53"/>
    <n v="0.53"/>
    <n v="0.53"/>
    <n v="0"/>
    <x v="3"/>
    <s v="12-18 Months"/>
    <x v="0"/>
    <n v="0"/>
    <n v="0"/>
  </r>
  <r>
    <n v="453249"/>
    <s v="Kaufman County Constable Pct. 2 - TX"/>
    <n v="34"/>
    <n v="41"/>
    <n v="3"/>
    <n v="11"/>
    <n v="11"/>
    <n v="11"/>
    <n v="0.27"/>
    <n v="0.27"/>
    <n v="0.27"/>
    <n v="17"/>
    <x v="3"/>
    <s v="12-18 Months"/>
    <x v="0"/>
    <n v="0"/>
    <n v="0"/>
  </r>
  <r>
    <n v="106657"/>
    <s v="Levy County Sheriff's Office - FL"/>
    <n v="40"/>
    <n v="40"/>
    <n v="3"/>
    <n v="2"/>
    <n v="2"/>
    <n v="2"/>
    <n v="0.05"/>
    <n v="0.05"/>
    <n v="0.05"/>
    <n v="0"/>
    <x v="3"/>
    <s v="12-18 Months"/>
    <x v="0"/>
    <n v="0"/>
    <n v="0"/>
  </r>
  <r>
    <n v="303269"/>
    <s v="Bryant Police Department - AR"/>
    <n v="52"/>
    <n v="52"/>
    <n v="3"/>
    <n v="274"/>
    <n v="274"/>
    <n v="274"/>
    <n v="5.27"/>
    <n v="5.27"/>
    <n v="5.27"/>
    <n v="45"/>
    <x v="3"/>
    <s v="12-18 Months"/>
    <x v="0"/>
    <n v="52"/>
    <n v="52"/>
  </r>
  <r>
    <n v="109007"/>
    <s v="Ingham County Sheriff's Office - MI"/>
    <n v="54"/>
    <n v="80"/>
    <n v="3"/>
    <n v="90"/>
    <n v="66"/>
    <n v="65"/>
    <n v="1.1299999999999999"/>
    <n v="0.83"/>
    <n v="0.81"/>
    <n v="7"/>
    <x v="3"/>
    <s v="12-18 Months"/>
    <x v="0"/>
    <n v="54"/>
    <n v="0"/>
  </r>
  <r>
    <n v="132173"/>
    <s v="Scarborough Police Dept. - ME"/>
    <n v="54"/>
    <n v="50"/>
    <n v="3"/>
    <n v="0"/>
    <n v="0"/>
    <n v="0"/>
    <n v="0"/>
    <n v="0"/>
    <n v="0"/>
    <n v="3"/>
    <x v="3"/>
    <s v="12-18 Months"/>
    <x v="0"/>
    <n v="0"/>
    <n v="0"/>
  </r>
  <r>
    <n v="326007"/>
    <s v="Ashland Police Dept.- KY"/>
    <n v="60"/>
    <n v="60"/>
    <n v="3"/>
    <n v="149"/>
    <n v="126"/>
    <n v="126"/>
    <n v="2.48"/>
    <n v="2.1"/>
    <n v="2.1"/>
    <n v="3"/>
    <x v="3"/>
    <s v="12-18 Months"/>
    <x v="0"/>
    <n v="60"/>
    <n v="60"/>
  </r>
  <r>
    <n v="112396"/>
    <s v="Chelan County Sheriff's Office - WA"/>
    <n v="61"/>
    <n v="66"/>
    <n v="3"/>
    <n v="0"/>
    <n v="0"/>
    <n v="0"/>
    <n v="0"/>
    <n v="0"/>
    <n v="0"/>
    <n v="0"/>
    <x v="3"/>
    <s v="12-18 Months"/>
    <x v="0"/>
    <n v="0"/>
    <n v="0"/>
  </r>
  <r>
    <n v="452353"/>
    <s v="Brentwood Police Department - TN"/>
    <n v="70"/>
    <n v="75"/>
    <n v="3"/>
    <n v="124"/>
    <n v="94"/>
    <n v="94"/>
    <n v="1.65"/>
    <n v="1.25"/>
    <n v="1.25"/>
    <n v="0"/>
    <x v="3"/>
    <s v="12-18 Months"/>
    <x v="0"/>
    <n v="70"/>
    <n v="0"/>
  </r>
  <r>
    <n v="157765"/>
    <s v="Sweetwater County Sheriff's Office - WY"/>
    <n v="72"/>
    <n v="71"/>
    <n v="3"/>
    <n v="14"/>
    <n v="14"/>
    <n v="14"/>
    <n v="0.2"/>
    <n v="0.2"/>
    <n v="0.2"/>
    <n v="2"/>
    <x v="3"/>
    <s v="12-18 Months"/>
    <x v="0"/>
    <n v="0"/>
    <n v="0"/>
  </r>
  <r>
    <n v="119729"/>
    <s v="Fountain Valley Police Dept. - CA"/>
    <n v="81"/>
    <n v="70"/>
    <n v="3"/>
    <n v="0"/>
    <n v="0"/>
    <n v="0"/>
    <n v="0"/>
    <n v="0"/>
    <n v="0"/>
    <n v="0"/>
    <x v="3"/>
    <s v="12-18 Months"/>
    <x v="0"/>
    <n v="0"/>
    <n v="0"/>
  </r>
  <r>
    <n v="183946"/>
    <s v="Elizabethtown Police Dept.- KY"/>
    <n v="82"/>
    <n v="86"/>
    <n v="3"/>
    <n v="509"/>
    <n v="433"/>
    <n v="433"/>
    <n v="5.92"/>
    <n v="5.03"/>
    <n v="5.03"/>
    <n v="40"/>
    <x v="3"/>
    <s v="12-18 Months"/>
    <x v="0"/>
    <n v="82"/>
    <n v="82"/>
  </r>
  <r>
    <n v="114248"/>
    <s v="DeSoto Police Dept. - TX"/>
    <n v="85"/>
    <n v="90"/>
    <n v="3"/>
    <n v="15"/>
    <n v="15"/>
    <n v="15"/>
    <n v="0.17"/>
    <n v="0.17"/>
    <n v="0.17"/>
    <n v="82"/>
    <x v="3"/>
    <s v="12-18 Months"/>
    <x v="0"/>
    <n v="0"/>
    <n v="0"/>
  </r>
  <r>
    <n v="112742"/>
    <s v="Campbell Police Dept. - CA"/>
    <n v="90"/>
    <n v="49"/>
    <n v="3"/>
    <n v="6"/>
    <n v="6"/>
    <n v="0"/>
    <n v="0.12"/>
    <n v="0.12"/>
    <n v="0"/>
    <n v="1"/>
    <x v="3"/>
    <s v="12-18 Months"/>
    <x v="0"/>
    <n v="0"/>
    <n v="0"/>
  </r>
  <r>
    <n v="110540"/>
    <s v="Daly City Police Department - CA"/>
    <n v="100"/>
    <n v="112"/>
    <n v="3"/>
    <n v="38"/>
    <n v="0"/>
    <n v="0"/>
    <n v="0.34"/>
    <n v="0"/>
    <n v="0"/>
    <n v="31"/>
    <x v="3"/>
    <s v="12-18 Months"/>
    <x v="1"/>
    <n v="0"/>
    <n v="0"/>
  </r>
  <r>
    <n v="514617"/>
    <s v="Ohio Investigative Unit – DPS"/>
    <n v="108"/>
    <n v="100"/>
    <n v="3"/>
    <n v="41"/>
    <n v="41"/>
    <n v="41"/>
    <n v="0.41"/>
    <n v="0.41"/>
    <n v="0.41"/>
    <n v="11"/>
    <x v="3"/>
    <s v="12-18 Months"/>
    <x v="1"/>
    <n v="0"/>
    <n v="0"/>
  </r>
  <r>
    <n v="109222"/>
    <s v="MNCP POLICE - Prince George's County Division"/>
    <n v="122"/>
    <n v="135"/>
    <n v="3"/>
    <n v="13"/>
    <n v="13"/>
    <n v="13"/>
    <n v="0.1"/>
    <n v="0.1"/>
    <n v="0.1"/>
    <n v="16"/>
    <x v="3"/>
    <s v="12-18 Months"/>
    <x v="1"/>
    <n v="0"/>
    <n v="0"/>
  </r>
  <r>
    <n v="317139"/>
    <s v="Alamance County Detention Center - NC"/>
    <n v="137"/>
    <n v="137"/>
    <n v="3"/>
    <n v="23"/>
    <n v="23"/>
    <n v="23"/>
    <n v="0.17"/>
    <n v="0.17"/>
    <n v="0.17"/>
    <n v="0"/>
    <x v="3"/>
    <s v="12-18 Months"/>
    <x v="1"/>
    <n v="0"/>
    <n v="0"/>
  </r>
  <r>
    <n v="116059"/>
    <s v="Montana Department of Corrections - MT"/>
    <n v="150"/>
    <n v="625"/>
    <n v="3"/>
    <n v="587"/>
    <n v="587"/>
    <n v="587"/>
    <n v="0.94"/>
    <n v="0.94"/>
    <n v="0.94"/>
    <n v="112"/>
    <x v="3"/>
    <s v="12-18 Months"/>
    <x v="2"/>
    <n v="150"/>
    <n v="150"/>
  </r>
  <r>
    <n v="327726"/>
    <s v="Newton Police Department - MA"/>
    <n v="156"/>
    <n v="156"/>
    <n v="3"/>
    <n v="127"/>
    <n v="123"/>
    <n v="119"/>
    <n v="0.81"/>
    <n v="0.79"/>
    <n v="0.76"/>
    <n v="25"/>
    <x v="3"/>
    <s v="12-18 Months"/>
    <x v="1"/>
    <n v="156"/>
    <n v="0"/>
  </r>
  <r>
    <n v="107149"/>
    <s v="Redding Police Dept. - CA"/>
    <n v="162"/>
    <n v="55"/>
    <n v="3"/>
    <n v="9"/>
    <n v="9"/>
    <n v="9"/>
    <n v="0.16"/>
    <n v="0.16"/>
    <n v="0.16"/>
    <n v="0"/>
    <x v="3"/>
    <s v="12-18 Months"/>
    <x v="0"/>
    <n v="0"/>
    <n v="0"/>
  </r>
  <r>
    <n v="107237"/>
    <s v="Whittier Police Dept. - CA"/>
    <n v="171"/>
    <n v="130"/>
    <n v="3"/>
    <n v="21"/>
    <n v="21"/>
    <n v="21"/>
    <n v="0.16"/>
    <n v="0.16"/>
    <n v="0.16"/>
    <n v="0"/>
    <x v="3"/>
    <s v="12-18 Months"/>
    <x v="1"/>
    <n v="0"/>
    <n v="0"/>
  </r>
  <r>
    <n v="106945"/>
    <s v="Des Moines Police Dept. - IA"/>
    <n v="184"/>
    <n v="210"/>
    <n v="3"/>
    <n v="0"/>
    <n v="0"/>
    <n v="0"/>
    <n v="0"/>
    <n v="0"/>
    <n v="0"/>
    <n v="0"/>
    <x v="3"/>
    <s v="12-18 Months"/>
    <x v="1"/>
    <n v="0"/>
    <n v="0"/>
  </r>
  <r>
    <n v="107101"/>
    <s v="Plantation Police Dept. - FL"/>
    <n v="220"/>
    <n v="181"/>
    <n v="3"/>
    <n v="759"/>
    <n v="759"/>
    <n v="759"/>
    <n v="4.1900000000000004"/>
    <n v="4.1900000000000004"/>
    <n v="4.1900000000000004"/>
    <n v="235"/>
    <x v="3"/>
    <s v="12-18 Months"/>
    <x v="1"/>
    <n v="220"/>
    <n v="220"/>
  </r>
  <r>
    <n v="327587"/>
    <s v="Lowell Police Department - MA"/>
    <n v="245"/>
    <n v="225"/>
    <n v="3"/>
    <n v="22"/>
    <n v="22"/>
    <n v="22"/>
    <n v="0.1"/>
    <n v="0.1"/>
    <n v="0.1"/>
    <n v="19"/>
    <x v="3"/>
    <s v="12-18 Months"/>
    <x v="1"/>
    <n v="0"/>
    <n v="0"/>
  </r>
  <r>
    <n v="112223"/>
    <s v="Coral Gables Police Department"/>
    <n v="270"/>
    <n v="253"/>
    <n v="3"/>
    <n v="29"/>
    <n v="29"/>
    <n v="18"/>
    <n v="0.11"/>
    <n v="0.11"/>
    <n v="7.0000000000000007E-2"/>
    <n v="175"/>
    <x v="3"/>
    <s v="12-18 Months"/>
    <x v="1"/>
    <n v="0"/>
    <n v="0"/>
  </r>
  <r>
    <n v="109712"/>
    <s v="West Palm Beach Police Dept. - FL"/>
    <n v="304"/>
    <n v="305"/>
    <n v="3"/>
    <n v="166"/>
    <n v="133"/>
    <n v="127"/>
    <n v="0.54"/>
    <n v="0.44"/>
    <n v="0.42"/>
    <n v="210"/>
    <x v="3"/>
    <s v="12-18 Months"/>
    <x v="1"/>
    <n v="0"/>
    <n v="0"/>
  </r>
  <r>
    <n v="107157"/>
    <s v="Greenville County Sheriff -SC"/>
    <n v="566"/>
    <n v="480"/>
    <n v="3"/>
    <n v="39"/>
    <n v="39"/>
    <n v="36"/>
    <n v="0.08"/>
    <n v="0.08"/>
    <n v="0.08"/>
    <n v="13"/>
    <x v="3"/>
    <s v="12-18 Months"/>
    <x v="1"/>
    <n v="0"/>
    <n v="0"/>
  </r>
  <r>
    <n v="494666"/>
    <s v="Utah Dept. of Corrections"/>
    <n v="630"/>
    <n v="630"/>
    <n v="3"/>
    <n v="0"/>
    <n v="0"/>
    <n v="0"/>
    <n v="0"/>
    <n v="0"/>
    <n v="0"/>
    <n v="0"/>
    <x v="3"/>
    <s v="12-18 Months"/>
    <x v="2"/>
    <n v="0"/>
    <n v="0"/>
  </r>
  <r>
    <n v="113145"/>
    <s v="Groves Police Dept. - TX"/>
    <n v="0"/>
    <n v="21"/>
    <n v="2"/>
    <n v="0"/>
    <n v="0"/>
    <n v="0"/>
    <n v="0"/>
    <n v="0"/>
    <n v="0"/>
    <n v="0"/>
    <x v="3"/>
    <s v="12-18 Months"/>
    <x v="0"/>
    <n v="0"/>
    <n v="0"/>
  </r>
  <r>
    <n v="144017"/>
    <s v="Seaside Police Department - OR"/>
    <n v="0"/>
    <n v="23"/>
    <n v="2"/>
    <n v="0"/>
    <n v="0"/>
    <n v="0"/>
    <n v="0"/>
    <n v="0"/>
    <n v="0"/>
    <n v="0"/>
    <x v="3"/>
    <s v="12-18 Months"/>
    <x v="0"/>
    <n v="0"/>
    <n v="0"/>
  </r>
  <r>
    <n v="591849"/>
    <s v="Burnet Consolidated ISD - TX"/>
    <n v="0"/>
    <n v="4"/>
    <n v="2"/>
    <n v="0"/>
    <n v="0"/>
    <n v="0"/>
    <n v="0"/>
    <n v="0"/>
    <n v="0"/>
    <n v="0"/>
    <x v="3"/>
    <s v="12-18 Months"/>
    <x v="0"/>
    <n v="0"/>
    <n v="0"/>
  </r>
  <r>
    <n v="106418"/>
    <s v="Covina Police Department - CA"/>
    <n v="1"/>
    <n v="55"/>
    <n v="2"/>
    <n v="13"/>
    <n v="13"/>
    <n v="13"/>
    <n v="0.24"/>
    <n v="0.24"/>
    <n v="0.24"/>
    <n v="6"/>
    <x v="3"/>
    <s v="12-18 Months"/>
    <x v="0"/>
    <n v="0"/>
    <n v="0"/>
  </r>
  <r>
    <n v="112088"/>
    <s v="Texas Parks and Wildlife Dept. - TX"/>
    <n v="1"/>
    <n v="702"/>
    <n v="2"/>
    <n v="0"/>
    <n v="0"/>
    <n v="0"/>
    <n v="0"/>
    <n v="0"/>
    <n v="0"/>
    <n v="0"/>
    <x v="3"/>
    <s v="12-18 Months"/>
    <x v="2"/>
    <n v="0"/>
    <n v="0"/>
  </r>
  <r>
    <n v="124340"/>
    <s v="Kane County Sheriff's Office - UT"/>
    <n v="1"/>
    <n v="22"/>
    <n v="2"/>
    <n v="12"/>
    <n v="12"/>
    <n v="12"/>
    <n v="0.55000000000000004"/>
    <n v="0.55000000000000004"/>
    <n v="0.55000000000000004"/>
    <n v="15"/>
    <x v="3"/>
    <s v="12-18 Months"/>
    <x v="0"/>
    <n v="0"/>
    <n v="0"/>
  </r>
  <r>
    <n v="160268"/>
    <s v="Lebanon Junction Police Dept."/>
    <n v="1"/>
    <n v="4"/>
    <n v="2"/>
    <n v="3"/>
    <n v="3"/>
    <n v="3"/>
    <n v="0.75"/>
    <n v="0.75"/>
    <n v="0.75"/>
    <n v="0"/>
    <x v="3"/>
    <s v="12-18 Months"/>
    <x v="0"/>
    <n v="1"/>
    <n v="0"/>
  </r>
  <r>
    <n v="321708"/>
    <s v="Corydon Police Dept - IN"/>
    <n v="1"/>
    <n v="2"/>
    <n v="2"/>
    <n v="9"/>
    <n v="9"/>
    <n v="9"/>
    <n v="4.5"/>
    <n v="4.5"/>
    <n v="4.5"/>
    <n v="7"/>
    <x v="3"/>
    <s v="12-18 Months"/>
    <x v="0"/>
    <n v="1"/>
    <n v="1"/>
  </r>
  <r>
    <n v="327328"/>
    <s v="Farmville Police Dept. - VA"/>
    <n v="1"/>
    <n v="25"/>
    <n v="2"/>
    <n v="30"/>
    <n v="30"/>
    <n v="30"/>
    <n v="1.2"/>
    <n v="1.2"/>
    <n v="1.2"/>
    <n v="0"/>
    <x v="3"/>
    <s v="12-18 Months"/>
    <x v="0"/>
    <n v="1"/>
    <n v="0"/>
  </r>
  <r>
    <n v="470029"/>
    <s v="Bangor Police Dept - PA"/>
    <n v="1"/>
    <n v="7"/>
    <n v="2"/>
    <n v="11"/>
    <n v="11"/>
    <n v="11"/>
    <n v="1.57"/>
    <n v="1.57"/>
    <n v="1.57"/>
    <n v="0"/>
    <x v="3"/>
    <s v="12-18 Months"/>
    <x v="0"/>
    <n v="1"/>
    <n v="0"/>
  </r>
  <r>
    <n v="509881"/>
    <s v="Lyon County - Third Judicial District Court - NV"/>
    <n v="1"/>
    <n v="3"/>
    <n v="2"/>
    <n v="0"/>
    <n v="0"/>
    <n v="0"/>
    <n v="0"/>
    <n v="0"/>
    <n v="0"/>
    <n v="0"/>
    <x v="3"/>
    <s v="12-18 Months"/>
    <x v="0"/>
    <n v="0"/>
    <n v="0"/>
  </r>
  <r>
    <n v="587055"/>
    <s v="Jonesville Police Dept. - LA"/>
    <n v="1"/>
    <n v="8"/>
    <n v="2"/>
    <n v="14"/>
    <n v="14"/>
    <n v="14"/>
    <n v="1.75"/>
    <n v="1.75"/>
    <n v="1.75"/>
    <n v="0"/>
    <x v="3"/>
    <s v="12-18 Months"/>
    <x v="0"/>
    <n v="1"/>
    <n v="0"/>
  </r>
  <r>
    <n v="108453"/>
    <s v="Fox Valley Technical College - WI"/>
    <n v="2"/>
    <n v="30"/>
    <n v="2"/>
    <n v="26"/>
    <n v="19"/>
    <n v="19"/>
    <n v="0.87"/>
    <n v="0.63"/>
    <n v="0.63"/>
    <n v="70"/>
    <x v="3"/>
    <s v="12-18 Months"/>
    <x v="0"/>
    <n v="0"/>
    <n v="0"/>
  </r>
  <r>
    <n v="112101"/>
    <s v="Heber City Police Department - UT"/>
    <n v="2"/>
    <n v="25"/>
    <n v="2"/>
    <n v="12"/>
    <n v="12"/>
    <n v="12"/>
    <n v="0.48"/>
    <n v="0.48"/>
    <n v="0.48"/>
    <n v="21"/>
    <x v="3"/>
    <s v="12-18 Months"/>
    <x v="0"/>
    <n v="0"/>
    <n v="0"/>
  </r>
  <r>
    <n v="115092"/>
    <s v="NEW HAVEN POLICE DEPT. - MO"/>
    <n v="2"/>
    <n v="6"/>
    <n v="2"/>
    <n v="38"/>
    <n v="26"/>
    <n v="26"/>
    <n v="6.33"/>
    <n v="4.33"/>
    <n v="4.33"/>
    <n v="52"/>
    <x v="3"/>
    <s v="12-18 Months"/>
    <x v="0"/>
    <n v="2"/>
    <n v="2"/>
  </r>
  <r>
    <n v="115736"/>
    <s v="Shalimar Police Dept - FL"/>
    <n v="2"/>
    <n v="4"/>
    <n v="2"/>
    <n v="21"/>
    <n v="14"/>
    <n v="14"/>
    <n v="5.25"/>
    <n v="3.5"/>
    <n v="3.5"/>
    <n v="0"/>
    <x v="3"/>
    <s v="12-18 Months"/>
    <x v="0"/>
    <n v="2"/>
    <n v="2"/>
  </r>
  <r>
    <n v="130683"/>
    <s v="Corson County Sheriff's Office - SD"/>
    <n v="2"/>
    <n v="5"/>
    <n v="2"/>
    <n v="73"/>
    <n v="45"/>
    <n v="45"/>
    <n v="14.6"/>
    <n v="9"/>
    <n v="9"/>
    <n v="61"/>
    <x v="3"/>
    <s v="12-18 Months"/>
    <x v="0"/>
    <n v="2"/>
    <n v="2"/>
  </r>
  <r>
    <n v="136506"/>
    <s v="Jackson County Sheriff's Office - GA"/>
    <n v="2"/>
    <n v="192"/>
    <n v="2"/>
    <n v="50"/>
    <n v="50"/>
    <n v="50"/>
    <n v="0.26"/>
    <n v="0.26"/>
    <n v="0.26"/>
    <n v="68"/>
    <x v="3"/>
    <s v="12-18 Months"/>
    <x v="1"/>
    <n v="0"/>
    <n v="0"/>
  </r>
  <r>
    <n v="185502"/>
    <s v="Beardstown Police Dept. - IL"/>
    <n v="2"/>
    <n v="12"/>
    <n v="2"/>
    <n v="0"/>
    <n v="0"/>
    <n v="0"/>
    <n v="0"/>
    <n v="0"/>
    <n v="0"/>
    <n v="0"/>
    <x v="3"/>
    <s v="12-18 Months"/>
    <x v="0"/>
    <n v="0"/>
    <n v="0"/>
  </r>
  <r>
    <n v="217054"/>
    <s v="Riverton Police Department - WY"/>
    <n v="2"/>
    <n v="30"/>
    <n v="2"/>
    <n v="71"/>
    <n v="71"/>
    <n v="71"/>
    <n v="2.37"/>
    <n v="2.37"/>
    <n v="2.37"/>
    <n v="20"/>
    <x v="3"/>
    <s v="12-18 Months"/>
    <x v="0"/>
    <n v="2"/>
    <n v="2"/>
  </r>
  <r>
    <n v="302910"/>
    <s v="Allegheny Township Police Department - PA"/>
    <n v="2"/>
    <n v="10"/>
    <n v="2"/>
    <n v="25"/>
    <n v="13"/>
    <n v="13"/>
    <n v="2.5"/>
    <n v="1.3"/>
    <n v="1.3"/>
    <n v="58"/>
    <x v="3"/>
    <s v="12-18 Months"/>
    <x v="0"/>
    <n v="2"/>
    <n v="2"/>
  </r>
  <r>
    <n v="462446"/>
    <s v="Duval County Sheriff's Office - TX"/>
    <n v="2"/>
    <n v="16"/>
    <n v="2"/>
    <n v="11"/>
    <n v="11"/>
    <n v="11"/>
    <n v="0.69"/>
    <n v="0.69"/>
    <n v="0.69"/>
    <n v="3"/>
    <x v="3"/>
    <s v="12-18 Months"/>
    <x v="0"/>
    <n v="0"/>
    <n v="0"/>
  </r>
  <r>
    <n v="485667"/>
    <s v="Harvard Police Department - NE"/>
    <n v="2"/>
    <n v="2"/>
    <n v="2"/>
    <n v="0"/>
    <n v="0"/>
    <n v="0"/>
    <n v="0"/>
    <n v="0"/>
    <n v="0"/>
    <n v="0"/>
    <x v="3"/>
    <s v="12-18 Months"/>
    <x v="0"/>
    <n v="0"/>
    <n v="0"/>
  </r>
  <r>
    <n v="487376"/>
    <s v="Dewitt Police Dept.- MI"/>
    <n v="2"/>
    <n v="2"/>
    <n v="2"/>
    <n v="0"/>
    <n v="0"/>
    <n v="0"/>
    <n v="0"/>
    <n v="0"/>
    <n v="0"/>
    <n v="0"/>
    <x v="3"/>
    <s v="12-18 Months"/>
    <x v="0"/>
    <n v="0"/>
    <n v="0"/>
  </r>
  <r>
    <n v="106394"/>
    <s v="Houston County Sheriff's Office - GA"/>
    <n v="3"/>
    <n v="142"/>
    <n v="2"/>
    <n v="28"/>
    <n v="28"/>
    <n v="28"/>
    <n v="0.2"/>
    <n v="0.2"/>
    <n v="0.2"/>
    <n v="3"/>
    <x v="3"/>
    <s v="12-18 Months"/>
    <x v="1"/>
    <n v="0"/>
    <n v="0"/>
  </r>
  <r>
    <n v="114678"/>
    <s v="Pittsylvania County Sheriff's Office - VA"/>
    <n v="3"/>
    <n v="35"/>
    <n v="2"/>
    <n v="56"/>
    <n v="56"/>
    <n v="56"/>
    <n v="1.6"/>
    <n v="1.6"/>
    <n v="1.6"/>
    <n v="42"/>
    <x v="3"/>
    <s v="12-18 Months"/>
    <x v="0"/>
    <n v="3"/>
    <n v="0"/>
  </r>
  <r>
    <n v="151907"/>
    <s v="Beaumont Police Dept. - CA"/>
    <n v="3"/>
    <n v="30"/>
    <n v="2"/>
    <n v="3"/>
    <n v="3"/>
    <n v="3"/>
    <n v="0.1"/>
    <n v="0.1"/>
    <n v="0.1"/>
    <n v="0"/>
    <x v="3"/>
    <s v="12-18 Months"/>
    <x v="0"/>
    <n v="0"/>
    <n v="0"/>
  </r>
  <r>
    <n v="111040"/>
    <s v="Gallatin Police Dept - TN"/>
    <n v="4"/>
    <n v="4"/>
    <n v="2"/>
    <n v="2"/>
    <n v="2"/>
    <n v="2"/>
    <n v="0.5"/>
    <n v="0.5"/>
    <n v="0.5"/>
    <n v="0"/>
    <x v="3"/>
    <s v="12-18 Months"/>
    <x v="0"/>
    <n v="0"/>
    <n v="0"/>
  </r>
  <r>
    <n v="114970"/>
    <s v="Dickey County Sheriff's Dept. -ND"/>
    <n v="4"/>
    <n v="4"/>
    <n v="2"/>
    <n v="3"/>
    <n v="3"/>
    <n v="3"/>
    <n v="0.75"/>
    <n v="0.75"/>
    <n v="0.75"/>
    <n v="0"/>
    <x v="3"/>
    <s v="12-18 Months"/>
    <x v="0"/>
    <n v="4"/>
    <n v="0"/>
  </r>
  <r>
    <n v="327530"/>
    <s v="Morehead City Police Dept - NC"/>
    <n v="4"/>
    <n v="30"/>
    <n v="2"/>
    <n v="0"/>
    <n v="0"/>
    <n v="0"/>
    <n v="0"/>
    <n v="0"/>
    <n v="0"/>
    <n v="0"/>
    <x v="3"/>
    <s v="12-18 Months"/>
    <x v="0"/>
    <n v="0"/>
    <n v="0"/>
  </r>
  <r>
    <n v="461472"/>
    <s v="Berthold Police Dept. - ND"/>
    <n v="4"/>
    <n v="1"/>
    <n v="2"/>
    <n v="0"/>
    <n v="0"/>
    <n v="0"/>
    <n v="0"/>
    <n v="0"/>
    <n v="0"/>
    <n v="0"/>
    <x v="3"/>
    <s v="12-18 Months"/>
    <x v="0"/>
    <n v="0"/>
    <n v="0"/>
  </r>
  <r>
    <n v="463227"/>
    <s v="Hattiesburg Police Dept. - MS"/>
    <n v="4"/>
    <n v="110"/>
    <n v="2"/>
    <n v="8"/>
    <n v="8"/>
    <n v="8"/>
    <n v="7.0000000000000007E-2"/>
    <n v="7.0000000000000007E-2"/>
    <n v="7.0000000000000007E-2"/>
    <n v="1"/>
    <x v="3"/>
    <s v="12-18 Months"/>
    <x v="1"/>
    <n v="0"/>
    <n v="0"/>
  </r>
  <r>
    <n v="111195"/>
    <s v="MARYSVILLE POLICE DEPT. - MI"/>
    <n v="5"/>
    <n v="16"/>
    <n v="2"/>
    <n v="17"/>
    <n v="17"/>
    <n v="17"/>
    <n v="1.06"/>
    <n v="1.06"/>
    <n v="1.06"/>
    <n v="1"/>
    <x v="3"/>
    <s v="12-18 Months"/>
    <x v="0"/>
    <n v="5"/>
    <n v="0"/>
  </r>
  <r>
    <n v="115592"/>
    <s v="Utica Police Department - MI"/>
    <n v="5"/>
    <n v="4"/>
    <n v="2"/>
    <n v="0"/>
    <n v="0"/>
    <n v="0"/>
    <n v="0"/>
    <n v="0"/>
    <n v="0"/>
    <n v="0"/>
    <x v="3"/>
    <s v="12-18 Months"/>
    <x v="0"/>
    <n v="0"/>
    <n v="0"/>
  </r>
  <r>
    <n v="308828"/>
    <s v="Orangeburg County Sheriff's Office - SC"/>
    <n v="5"/>
    <n v="140"/>
    <n v="2"/>
    <n v="0"/>
    <n v="0"/>
    <n v="0"/>
    <n v="0"/>
    <n v="0"/>
    <n v="0"/>
    <n v="0"/>
    <x v="3"/>
    <s v="12-18 Months"/>
    <x v="1"/>
    <n v="0"/>
    <n v="0"/>
  </r>
  <r>
    <n v="313841"/>
    <s v="Glade Springs Police Dept. - VA"/>
    <n v="5"/>
    <n v="3"/>
    <n v="2"/>
    <n v="0"/>
    <n v="0"/>
    <n v="0"/>
    <n v="0"/>
    <n v="0"/>
    <n v="0"/>
    <n v="0"/>
    <x v="3"/>
    <s v="12-18 Months"/>
    <x v="0"/>
    <n v="0"/>
    <n v="0"/>
  </r>
  <r>
    <n v="499870"/>
    <s v="White Castle Police Department - LA"/>
    <n v="5"/>
    <n v="5"/>
    <n v="2"/>
    <n v="60"/>
    <n v="58"/>
    <n v="58"/>
    <n v="12"/>
    <n v="11.6"/>
    <n v="11.6"/>
    <n v="3"/>
    <x v="3"/>
    <s v="12-18 Months"/>
    <x v="0"/>
    <n v="5"/>
    <n v="5"/>
  </r>
  <r>
    <n v="510989"/>
    <s v="Tower Grove Park - MO"/>
    <n v="5"/>
    <n v="5"/>
    <n v="2"/>
    <n v="0"/>
    <n v="0"/>
    <n v="0"/>
    <n v="0"/>
    <n v="0"/>
    <n v="0"/>
    <n v="0"/>
    <x v="3"/>
    <s v="12-18 Months"/>
    <x v="0"/>
    <n v="0"/>
    <n v="0"/>
  </r>
  <r>
    <n v="109631"/>
    <s v="Lyon County Sheriff's Office - NV"/>
    <n v="6"/>
    <n v="93"/>
    <n v="2"/>
    <n v="8"/>
    <n v="8"/>
    <n v="8"/>
    <n v="0.09"/>
    <n v="0.09"/>
    <n v="0.09"/>
    <n v="0"/>
    <x v="3"/>
    <s v="12-18 Months"/>
    <x v="0"/>
    <n v="0"/>
    <n v="0"/>
  </r>
  <r>
    <n v="142334"/>
    <s v="Brewster Police Dept. - WA"/>
    <n v="6"/>
    <n v="5"/>
    <n v="2"/>
    <n v="0"/>
    <n v="3"/>
    <n v="3"/>
    <n v="0"/>
    <n v="0.6"/>
    <n v="0.6"/>
    <n v="0"/>
    <x v="3"/>
    <s v="12-18 Months"/>
    <x v="0"/>
    <n v="0"/>
    <n v="0"/>
  </r>
  <r>
    <n v="318133"/>
    <s v="Oakes Police Department - ND"/>
    <n v="6"/>
    <n v="4"/>
    <n v="2"/>
    <n v="4"/>
    <n v="4"/>
    <n v="4"/>
    <n v="1"/>
    <n v="1"/>
    <n v="1"/>
    <n v="0"/>
    <x v="3"/>
    <s v="12-18 Months"/>
    <x v="0"/>
    <n v="6"/>
    <n v="0"/>
  </r>
  <r>
    <n v="460013"/>
    <s v="Trenton Police Dept. - MI"/>
    <n v="6"/>
    <n v="32"/>
    <n v="2"/>
    <n v="0"/>
    <n v="0"/>
    <n v="0"/>
    <n v="0"/>
    <n v="0"/>
    <n v="0"/>
    <n v="0"/>
    <x v="3"/>
    <s v="12-18 Months"/>
    <x v="0"/>
    <n v="0"/>
    <n v="0"/>
  </r>
  <r>
    <n v="531557"/>
    <s v="Cumberland Police Department - KY"/>
    <n v="6"/>
    <n v="6"/>
    <n v="2"/>
    <n v="3"/>
    <n v="3"/>
    <n v="3"/>
    <n v="0.5"/>
    <n v="0.5"/>
    <n v="0.5"/>
    <n v="0"/>
    <x v="3"/>
    <s v="12-18 Months"/>
    <x v="0"/>
    <n v="0"/>
    <n v="0"/>
  </r>
  <r>
    <n v="143871"/>
    <s v="Ransom County Sheriff's Office - ND"/>
    <n v="7"/>
    <n v="5"/>
    <n v="2"/>
    <n v="2"/>
    <n v="2"/>
    <n v="2"/>
    <n v="0.4"/>
    <n v="0.4"/>
    <n v="0.4"/>
    <n v="10"/>
    <x v="3"/>
    <s v="12-18 Months"/>
    <x v="0"/>
    <n v="0"/>
    <n v="0"/>
  </r>
  <r>
    <n v="168226"/>
    <s v="Gulf County Sheriff-FL"/>
    <n v="7"/>
    <n v="18"/>
    <n v="2"/>
    <n v="10"/>
    <n v="6"/>
    <n v="6"/>
    <n v="0.56000000000000005"/>
    <n v="0.33"/>
    <n v="0.33"/>
    <n v="1"/>
    <x v="3"/>
    <s v="12-18 Months"/>
    <x v="0"/>
    <n v="0"/>
    <n v="0"/>
  </r>
  <r>
    <n v="112487"/>
    <s v="Monterey County Parks Dept. - CA"/>
    <n v="8"/>
    <n v="8"/>
    <n v="2"/>
    <n v="0"/>
    <n v="0"/>
    <n v="0"/>
    <n v="0"/>
    <n v="0"/>
    <n v="0"/>
    <n v="0"/>
    <x v="3"/>
    <s v="12-18 Months"/>
    <x v="0"/>
    <n v="0"/>
    <n v="0"/>
  </r>
  <r>
    <n v="136308"/>
    <s v="Deephaven Police Dept - MN"/>
    <n v="8"/>
    <n v="8"/>
    <n v="2"/>
    <n v="4"/>
    <n v="4"/>
    <n v="4"/>
    <n v="0.5"/>
    <n v="0.5"/>
    <n v="0.5"/>
    <n v="6"/>
    <x v="3"/>
    <s v="12-18 Months"/>
    <x v="0"/>
    <n v="0"/>
    <n v="0"/>
  </r>
  <r>
    <n v="183514"/>
    <s v="Windsor Police Dept. - VA"/>
    <n v="8"/>
    <n v="6"/>
    <n v="2"/>
    <n v="36"/>
    <n v="36"/>
    <n v="36"/>
    <n v="6"/>
    <n v="6"/>
    <n v="6"/>
    <n v="0"/>
    <x v="3"/>
    <s v="12-18 Months"/>
    <x v="0"/>
    <n v="8"/>
    <n v="8"/>
  </r>
  <r>
    <n v="218005"/>
    <s v="Hogansville Police Dept.-GA"/>
    <n v="8"/>
    <n v="20"/>
    <n v="2"/>
    <n v="19"/>
    <n v="19"/>
    <n v="19"/>
    <n v="0.95"/>
    <n v="0.95"/>
    <n v="0.95"/>
    <n v="0"/>
    <x v="3"/>
    <s v="12-18 Months"/>
    <x v="0"/>
    <n v="8"/>
    <n v="0"/>
  </r>
  <r>
    <n v="411270"/>
    <s v="Caro Police Department - MI"/>
    <n v="8"/>
    <n v="8"/>
    <n v="2"/>
    <n v="35"/>
    <n v="35"/>
    <n v="35"/>
    <n v="4.38"/>
    <n v="4.38"/>
    <n v="4.38"/>
    <n v="30"/>
    <x v="3"/>
    <s v="12-18 Months"/>
    <x v="0"/>
    <n v="8"/>
    <n v="8"/>
  </r>
  <r>
    <n v="467078"/>
    <s v="Hinton Police Dept - OK"/>
    <n v="8"/>
    <n v="7"/>
    <n v="2"/>
    <n v="0"/>
    <n v="0"/>
    <n v="0"/>
    <n v="0"/>
    <n v="0"/>
    <n v="0"/>
    <n v="0"/>
    <x v="3"/>
    <s v="12-18 Months"/>
    <x v="0"/>
    <n v="0"/>
    <n v="0"/>
  </r>
  <r>
    <n v="472006"/>
    <s v="Spencer Police Dept. - WV"/>
    <n v="8"/>
    <n v="8"/>
    <n v="2"/>
    <n v="2"/>
    <n v="1"/>
    <n v="1"/>
    <n v="0.25"/>
    <n v="0.13"/>
    <n v="0.13"/>
    <n v="0"/>
    <x v="3"/>
    <s v="12-18 Months"/>
    <x v="0"/>
    <n v="0"/>
    <n v="0"/>
  </r>
  <r>
    <n v="524778"/>
    <s v="Washington County Sheriff's Office - VT"/>
    <n v="8"/>
    <n v="8"/>
    <n v="2"/>
    <n v="31"/>
    <n v="31"/>
    <n v="31"/>
    <n v="3.88"/>
    <n v="3.88"/>
    <n v="3.88"/>
    <n v="1"/>
    <x v="3"/>
    <s v="12-18 Months"/>
    <x v="0"/>
    <n v="8"/>
    <n v="8"/>
  </r>
  <r>
    <n v="113500"/>
    <s v="Fremont Police Department - MI"/>
    <n v="9"/>
    <n v="10"/>
    <n v="2"/>
    <n v="0"/>
    <n v="0"/>
    <n v="0"/>
    <n v="0"/>
    <n v="0"/>
    <n v="0"/>
    <n v="0"/>
    <x v="3"/>
    <s v="12-18 Months"/>
    <x v="0"/>
    <n v="0"/>
    <n v="0"/>
  </r>
  <r>
    <n v="140244"/>
    <s v="Mineral County Sheriff's Office - MT"/>
    <n v="9"/>
    <n v="8"/>
    <n v="2"/>
    <n v="0"/>
    <n v="0"/>
    <n v="0"/>
    <n v="0"/>
    <n v="0"/>
    <n v="0"/>
    <n v="0"/>
    <x v="3"/>
    <s v="12-18 Months"/>
    <x v="0"/>
    <n v="0"/>
    <n v="0"/>
  </r>
  <r>
    <n v="149648"/>
    <s v="Camden County Sheriff's Office - NC"/>
    <n v="9"/>
    <n v="30"/>
    <n v="2"/>
    <n v="4"/>
    <n v="4"/>
    <n v="4"/>
    <n v="0.13"/>
    <n v="0.13"/>
    <n v="0.13"/>
    <n v="0"/>
    <x v="3"/>
    <s v="12-18 Months"/>
    <x v="0"/>
    <n v="0"/>
    <n v="0"/>
  </r>
  <r>
    <n v="164265"/>
    <s v="Woodworth Police Department - LA"/>
    <n v="9"/>
    <n v="8"/>
    <n v="2"/>
    <n v="91"/>
    <n v="54"/>
    <n v="54"/>
    <n v="11.38"/>
    <n v="6.75"/>
    <n v="6.75"/>
    <n v="42"/>
    <x v="3"/>
    <s v="12-18 Months"/>
    <x v="0"/>
    <n v="9"/>
    <n v="9"/>
  </r>
  <r>
    <n v="600593"/>
    <s v="Covert Township Police Department"/>
    <n v="9"/>
    <n v="9"/>
    <n v="2"/>
    <n v="12"/>
    <n v="12"/>
    <n v="12"/>
    <n v="1.33"/>
    <n v="1.33"/>
    <n v="1.33"/>
    <n v="0"/>
    <x v="3"/>
    <s v="12-18 Months"/>
    <x v="0"/>
    <n v="9"/>
    <n v="0"/>
  </r>
  <r>
    <n v="110012"/>
    <s v="Philomath Police Dept. - OR"/>
    <n v="10"/>
    <n v="10"/>
    <n v="2"/>
    <n v="9"/>
    <n v="1"/>
    <n v="1"/>
    <n v="0.9"/>
    <n v="0.1"/>
    <n v="0.1"/>
    <n v="3"/>
    <x v="3"/>
    <s v="12-18 Months"/>
    <x v="0"/>
    <n v="0"/>
    <n v="0"/>
  </r>
  <r>
    <n v="110777"/>
    <s v="Greene County Sheriff's Office - NY"/>
    <n v="10"/>
    <n v="39"/>
    <n v="2"/>
    <n v="55"/>
    <n v="52"/>
    <n v="52"/>
    <n v="1.41"/>
    <n v="1.33"/>
    <n v="1.33"/>
    <n v="25"/>
    <x v="3"/>
    <s v="12-18 Months"/>
    <x v="0"/>
    <n v="10"/>
    <n v="0"/>
  </r>
  <r>
    <n v="198541"/>
    <s v="Indiana County Jail - PA"/>
    <n v="10"/>
    <n v="1"/>
    <n v="2"/>
    <n v="288"/>
    <n v="272"/>
    <n v="272"/>
    <n v="288"/>
    <n v="272"/>
    <n v="272"/>
    <n v="58"/>
    <x v="3"/>
    <s v="12-18 Months"/>
    <x v="0"/>
    <n v="10"/>
    <n v="10"/>
  </r>
  <r>
    <n v="309173"/>
    <s v="Wheatland County Sheriff's Office - MT"/>
    <n v="10"/>
    <n v="7"/>
    <n v="2"/>
    <n v="19"/>
    <n v="19"/>
    <n v="19"/>
    <n v="2.71"/>
    <n v="2.71"/>
    <n v="2.71"/>
    <n v="17"/>
    <x v="3"/>
    <s v="12-18 Months"/>
    <x v="0"/>
    <n v="10"/>
    <n v="10"/>
  </r>
  <r>
    <n v="473714"/>
    <s v="Hudson Valley Community College DPS - NY"/>
    <n v="10"/>
    <n v="10"/>
    <n v="2"/>
    <n v="29"/>
    <n v="21"/>
    <n v="21"/>
    <n v="2.9"/>
    <n v="2.1"/>
    <n v="2.1"/>
    <n v="14"/>
    <x v="3"/>
    <s v="12-18 Months"/>
    <x v="0"/>
    <n v="10"/>
    <n v="10"/>
  </r>
  <r>
    <n v="110505"/>
    <s v="Sweet Grass County Sheriff's Office - MT"/>
    <n v="11"/>
    <n v="11"/>
    <n v="2"/>
    <n v="27"/>
    <n v="13"/>
    <n v="13"/>
    <n v="2.4500000000000002"/>
    <n v="1.18"/>
    <n v="1.18"/>
    <n v="0"/>
    <x v="3"/>
    <s v="12-18 Months"/>
    <x v="0"/>
    <n v="11"/>
    <n v="11"/>
  </r>
  <r>
    <n v="301497"/>
    <s v="Roosevelt Park Police Dept. - MI"/>
    <n v="11"/>
    <n v="7"/>
    <n v="2"/>
    <n v="59"/>
    <n v="59"/>
    <n v="59"/>
    <n v="8.43"/>
    <n v="8.43"/>
    <n v="8.43"/>
    <n v="0"/>
    <x v="3"/>
    <s v="12-18 Months"/>
    <x v="0"/>
    <n v="11"/>
    <n v="11"/>
  </r>
  <r>
    <n v="460768"/>
    <s v="Roane County Sheriff's Office - WV"/>
    <n v="11"/>
    <n v="11"/>
    <n v="2"/>
    <n v="9"/>
    <n v="9"/>
    <n v="9"/>
    <n v="0.82"/>
    <n v="0.82"/>
    <n v="0.82"/>
    <n v="0"/>
    <x v="3"/>
    <s v="12-18 Months"/>
    <x v="0"/>
    <n v="11"/>
    <n v="0"/>
  </r>
  <r>
    <n v="115693"/>
    <s v="Aledo Police Department - IL"/>
    <n v="12"/>
    <n v="11"/>
    <n v="2"/>
    <n v="0"/>
    <n v="0"/>
    <n v="0"/>
    <n v="0"/>
    <n v="0"/>
    <n v="0"/>
    <n v="0"/>
    <x v="3"/>
    <s v="12-18 Months"/>
    <x v="0"/>
    <n v="0"/>
    <n v="0"/>
  </r>
  <r>
    <n v="120176"/>
    <s v="Thornton Police Dept. - IL"/>
    <n v="13"/>
    <n v="6"/>
    <n v="2"/>
    <n v="11"/>
    <n v="11"/>
    <n v="11"/>
    <n v="1.83"/>
    <n v="1.83"/>
    <n v="1.83"/>
    <n v="0"/>
    <x v="3"/>
    <s v="12-18 Months"/>
    <x v="0"/>
    <n v="13"/>
    <n v="0"/>
  </r>
  <r>
    <n v="236367"/>
    <s v="Fruitport Township Police Department - MI"/>
    <n v="13"/>
    <n v="13"/>
    <n v="2"/>
    <n v="7"/>
    <n v="7"/>
    <n v="7"/>
    <n v="0.54"/>
    <n v="0.54"/>
    <n v="0.54"/>
    <n v="2"/>
    <x v="3"/>
    <s v="12-18 Months"/>
    <x v="0"/>
    <n v="0"/>
    <n v="0"/>
  </r>
  <r>
    <n v="518248"/>
    <s v="Upper Saddle River Police Dept. - NJ"/>
    <n v="13"/>
    <n v="13"/>
    <n v="2"/>
    <n v="0"/>
    <n v="0"/>
    <n v="0"/>
    <n v="0"/>
    <n v="0"/>
    <n v="0"/>
    <n v="0"/>
    <x v="3"/>
    <s v="12-18 Months"/>
    <x v="0"/>
    <n v="0"/>
    <n v="0"/>
  </r>
  <r>
    <n v="110147"/>
    <s v="Codington County Sheriff's Office - SD"/>
    <n v="14"/>
    <n v="14"/>
    <n v="2"/>
    <n v="37"/>
    <n v="27"/>
    <n v="27"/>
    <n v="2.64"/>
    <n v="1.93"/>
    <n v="1.93"/>
    <n v="0"/>
    <x v="3"/>
    <s v="12-18 Months"/>
    <x v="0"/>
    <n v="14"/>
    <n v="14"/>
  </r>
  <r>
    <n v="179820"/>
    <s v="Alcona County Sheriff's Office - MI"/>
    <n v="14"/>
    <n v="14"/>
    <n v="2"/>
    <n v="7"/>
    <n v="7"/>
    <n v="7"/>
    <n v="0.5"/>
    <n v="0.5"/>
    <n v="0.5"/>
    <n v="10"/>
    <x v="3"/>
    <s v="12-18 Months"/>
    <x v="0"/>
    <n v="0"/>
    <n v="0"/>
  </r>
  <r>
    <n v="318806"/>
    <s v="Crockett County Sheriff's Office - TX"/>
    <n v="14"/>
    <n v="15"/>
    <n v="2"/>
    <n v="3"/>
    <n v="3"/>
    <n v="3"/>
    <n v="0.2"/>
    <n v="0.2"/>
    <n v="0.2"/>
    <n v="2"/>
    <x v="3"/>
    <s v="12-18 Months"/>
    <x v="0"/>
    <n v="0"/>
    <n v="0"/>
  </r>
  <r>
    <n v="322022"/>
    <s v="Berkeley County Sheriff's Office - SC"/>
    <n v="14"/>
    <n v="215"/>
    <n v="2"/>
    <n v="27"/>
    <n v="27"/>
    <n v="27"/>
    <n v="0.13"/>
    <n v="0.13"/>
    <n v="0.13"/>
    <n v="68"/>
    <x v="3"/>
    <s v="12-18 Months"/>
    <x v="1"/>
    <n v="0"/>
    <n v="0"/>
  </r>
  <r>
    <n v="409151"/>
    <s v="Nash Police Dept. - TX"/>
    <n v="14"/>
    <n v="10"/>
    <n v="2"/>
    <n v="10"/>
    <n v="10"/>
    <n v="10"/>
    <n v="1"/>
    <n v="1"/>
    <n v="1"/>
    <n v="19"/>
    <x v="3"/>
    <s v="12-18 Months"/>
    <x v="0"/>
    <n v="14"/>
    <n v="0"/>
  </r>
  <r>
    <n v="472380"/>
    <s v="Middleton Police Department - ID"/>
    <n v="14"/>
    <n v="13"/>
    <n v="2"/>
    <n v="0"/>
    <n v="0"/>
    <n v="0"/>
    <n v="0"/>
    <n v="0"/>
    <n v="0"/>
    <n v="6"/>
    <x v="3"/>
    <s v="12-18 Months"/>
    <x v="0"/>
    <n v="0"/>
    <n v="0"/>
  </r>
  <r>
    <n v="479222"/>
    <s v="Spokane Airport Police Dept - WA"/>
    <n v="14"/>
    <n v="15"/>
    <n v="2"/>
    <n v="12"/>
    <n v="18"/>
    <n v="21"/>
    <n v="0.8"/>
    <n v="1.2"/>
    <n v="1.4"/>
    <n v="0"/>
    <x v="3"/>
    <s v="12-18 Months"/>
    <x v="0"/>
    <n v="14"/>
    <n v="0"/>
  </r>
  <r>
    <n v="105730"/>
    <s v="Ogdensburg Police Dept. - NY"/>
    <n v="15"/>
    <n v="23"/>
    <n v="2"/>
    <n v="5"/>
    <n v="5"/>
    <n v="5"/>
    <n v="0.22"/>
    <n v="0.22"/>
    <n v="0.22"/>
    <n v="0"/>
    <x v="3"/>
    <s v="12-18 Months"/>
    <x v="0"/>
    <n v="0"/>
    <n v="0"/>
  </r>
  <r>
    <n v="129030"/>
    <s v="Itawamba County Sheriff's Office - MS"/>
    <n v="15"/>
    <n v="15"/>
    <n v="2"/>
    <n v="2"/>
    <n v="2"/>
    <n v="2"/>
    <n v="0.13"/>
    <n v="0.13"/>
    <n v="0.13"/>
    <n v="0"/>
    <x v="3"/>
    <s v="12-18 Months"/>
    <x v="0"/>
    <n v="0"/>
    <n v="0"/>
  </r>
  <r>
    <n v="316715"/>
    <s v="Orchard Park Town Police Dept. - NY"/>
    <n v="15"/>
    <n v="40"/>
    <n v="2"/>
    <n v="6"/>
    <n v="6"/>
    <n v="6"/>
    <n v="0.15"/>
    <n v="0.15"/>
    <n v="0.15"/>
    <n v="3"/>
    <x v="3"/>
    <s v="12-18 Months"/>
    <x v="0"/>
    <n v="0"/>
    <n v="0"/>
  </r>
  <r>
    <n v="493249"/>
    <s v="Cleveland Police Department - GA"/>
    <n v="15"/>
    <n v="15"/>
    <n v="2"/>
    <n v="0"/>
    <n v="0"/>
    <n v="0"/>
    <n v="0"/>
    <n v="0"/>
    <n v="0"/>
    <n v="0"/>
    <x v="3"/>
    <s v="12-18 Months"/>
    <x v="0"/>
    <n v="0"/>
    <n v="0"/>
  </r>
  <r>
    <n v="514054"/>
    <s v="West Greenwich Police Dept - RI"/>
    <n v="15"/>
    <n v="14"/>
    <n v="2"/>
    <n v="9"/>
    <n v="9"/>
    <n v="9"/>
    <n v="0.64"/>
    <n v="0.64"/>
    <n v="0.64"/>
    <n v="2"/>
    <x v="3"/>
    <s v="12-18 Months"/>
    <x v="0"/>
    <n v="0"/>
    <n v="0"/>
  </r>
  <r>
    <n v="107918"/>
    <s v="San Joaquin Delta College Police Dept. - CA"/>
    <n v="16"/>
    <n v="17"/>
    <n v="2"/>
    <n v="19"/>
    <n v="19"/>
    <n v="19"/>
    <n v="1.1200000000000001"/>
    <n v="1.1200000000000001"/>
    <n v="1.1200000000000001"/>
    <n v="0"/>
    <x v="3"/>
    <s v="12-18 Months"/>
    <x v="0"/>
    <n v="16"/>
    <n v="0"/>
  </r>
  <r>
    <n v="114245"/>
    <s v="Nelsonville Police Dept - OH"/>
    <n v="16"/>
    <n v="12"/>
    <n v="2"/>
    <n v="6"/>
    <n v="6"/>
    <n v="6"/>
    <n v="0.5"/>
    <n v="0.5"/>
    <n v="0.5"/>
    <n v="0"/>
    <x v="3"/>
    <s v="12-18 Months"/>
    <x v="0"/>
    <n v="0"/>
    <n v="0"/>
  </r>
  <r>
    <n v="116126"/>
    <s v="Sutherlin Police Dept. - OR"/>
    <n v="16"/>
    <n v="17"/>
    <n v="2"/>
    <n v="1"/>
    <n v="1"/>
    <n v="1"/>
    <n v="0.06"/>
    <n v="0.06"/>
    <n v="0.06"/>
    <n v="0"/>
    <x v="3"/>
    <s v="12-18 Months"/>
    <x v="0"/>
    <n v="0"/>
    <n v="0"/>
  </r>
  <r>
    <n v="209634"/>
    <s v="Winchendon Police Dept - MA"/>
    <n v="16"/>
    <n v="16"/>
    <n v="2"/>
    <n v="27"/>
    <n v="27"/>
    <n v="27"/>
    <n v="1.69"/>
    <n v="1.69"/>
    <n v="1.69"/>
    <n v="0"/>
    <x v="3"/>
    <s v="12-18 Months"/>
    <x v="0"/>
    <n v="16"/>
    <n v="0"/>
  </r>
  <r>
    <n v="493195"/>
    <s v="Brookfield Zoo Police Department - IL"/>
    <n v="16"/>
    <n v="10"/>
    <n v="2"/>
    <n v="0"/>
    <n v="0"/>
    <n v="0"/>
    <n v="0"/>
    <n v="0"/>
    <n v="0"/>
    <n v="0"/>
    <x v="3"/>
    <s v="12-18 Months"/>
    <x v="0"/>
    <n v="0"/>
    <n v="0"/>
  </r>
  <r>
    <n v="497501"/>
    <s v="Dallas County Constable Pct. 5 - TX"/>
    <n v="16"/>
    <n v="16"/>
    <n v="2"/>
    <n v="0"/>
    <n v="0"/>
    <n v="0"/>
    <n v="0"/>
    <n v="0"/>
    <n v="0"/>
    <n v="0"/>
    <x v="3"/>
    <s v="12-18 Months"/>
    <x v="0"/>
    <n v="0"/>
    <n v="0"/>
  </r>
  <r>
    <n v="106446"/>
    <s v="Mammoth Lakes Police Dept. - CA"/>
    <n v="18"/>
    <n v="16"/>
    <n v="2"/>
    <n v="81"/>
    <n v="81"/>
    <n v="81"/>
    <n v="5.0599999999999996"/>
    <n v="5.0599999999999996"/>
    <n v="5.0599999999999996"/>
    <n v="17"/>
    <x v="3"/>
    <s v="12-18 Months"/>
    <x v="0"/>
    <n v="18"/>
    <n v="18"/>
  </r>
  <r>
    <n v="108291"/>
    <s v="North Mankato Police Department - MN"/>
    <n v="18"/>
    <n v="18"/>
    <n v="2"/>
    <n v="57"/>
    <n v="57"/>
    <n v="57"/>
    <n v="3.17"/>
    <n v="3.17"/>
    <n v="3.17"/>
    <n v="149"/>
    <x v="3"/>
    <s v="12-18 Months"/>
    <x v="0"/>
    <n v="18"/>
    <n v="18"/>
  </r>
  <r>
    <n v="114398"/>
    <s v="Bloomfield Police Dept. - NM"/>
    <n v="18"/>
    <n v="20"/>
    <n v="2"/>
    <n v="0"/>
    <n v="0"/>
    <n v="0"/>
    <n v="0"/>
    <n v="0"/>
    <n v="0"/>
    <n v="0"/>
    <x v="3"/>
    <s v="12-18 Months"/>
    <x v="0"/>
    <n v="0"/>
    <n v="0"/>
  </r>
  <r>
    <n v="168376"/>
    <s v="Clayton County Sheriff's Office - IA"/>
    <n v="18"/>
    <n v="18"/>
    <n v="2"/>
    <n v="21"/>
    <n v="21"/>
    <n v="21"/>
    <n v="1.17"/>
    <n v="1.17"/>
    <n v="1.17"/>
    <n v="0"/>
    <x v="3"/>
    <s v="12-18 Months"/>
    <x v="0"/>
    <n v="18"/>
    <n v="0"/>
  </r>
  <r>
    <n v="209541"/>
    <s v="Lake Alfred Police Dept. - FL"/>
    <n v="18"/>
    <n v="18"/>
    <n v="2"/>
    <n v="0"/>
    <n v="0"/>
    <n v="0"/>
    <n v="0"/>
    <n v="0"/>
    <n v="0"/>
    <n v="0"/>
    <x v="3"/>
    <s v="12-18 Months"/>
    <x v="0"/>
    <n v="0"/>
    <n v="0"/>
  </r>
  <r>
    <n v="108600"/>
    <s v="MARION COUNTY SHERIFF'S DEPT - AL"/>
    <n v="20"/>
    <n v="20"/>
    <n v="2"/>
    <n v="95"/>
    <n v="95"/>
    <n v="95"/>
    <n v="4.75"/>
    <n v="4.75"/>
    <n v="4.75"/>
    <n v="0"/>
    <x v="3"/>
    <s v="12-18 Months"/>
    <x v="0"/>
    <n v="20"/>
    <n v="20"/>
  </r>
  <r>
    <n v="115080"/>
    <s v="North Adams Police Dept. - MA"/>
    <n v="20"/>
    <n v="20"/>
    <n v="2"/>
    <n v="2"/>
    <n v="2"/>
    <n v="2"/>
    <n v="0.1"/>
    <n v="0.1"/>
    <n v="0.1"/>
    <n v="0"/>
    <x v="3"/>
    <s v="12-18 Months"/>
    <x v="0"/>
    <n v="0"/>
    <n v="0"/>
  </r>
  <r>
    <n v="115379"/>
    <s v="Smith County Sheriff's Dept. - MS"/>
    <n v="20"/>
    <n v="20"/>
    <n v="2"/>
    <n v="0"/>
    <n v="0"/>
    <n v="0"/>
    <n v="0"/>
    <n v="0"/>
    <n v="0"/>
    <n v="0"/>
    <x v="3"/>
    <s v="12-18 Months"/>
    <x v="0"/>
    <n v="0"/>
    <n v="0"/>
  </r>
  <r>
    <n v="111999"/>
    <s v="Kodiak Police Dept. - AK"/>
    <n v="21"/>
    <n v="20"/>
    <n v="2"/>
    <n v="4"/>
    <n v="4"/>
    <n v="0"/>
    <n v="0.2"/>
    <n v="0.2"/>
    <n v="0"/>
    <n v="0"/>
    <x v="3"/>
    <s v="12-18 Months"/>
    <x v="0"/>
    <n v="0"/>
    <n v="0"/>
  </r>
  <r>
    <n v="110264"/>
    <s v="Craig Police Department - CO"/>
    <n v="22"/>
    <n v="23"/>
    <n v="2"/>
    <n v="31"/>
    <n v="31"/>
    <n v="31"/>
    <n v="1.35"/>
    <n v="1.35"/>
    <n v="1.35"/>
    <n v="1"/>
    <x v="3"/>
    <s v="12-18 Months"/>
    <x v="0"/>
    <n v="22"/>
    <n v="0"/>
  </r>
  <r>
    <n v="115798"/>
    <s v="Pleasant Hill Police Dept. - IA"/>
    <n v="22"/>
    <n v="20"/>
    <n v="2"/>
    <n v="47"/>
    <n v="47"/>
    <n v="47"/>
    <n v="2.35"/>
    <n v="2.35"/>
    <n v="2.35"/>
    <n v="2"/>
    <x v="3"/>
    <s v="12-18 Months"/>
    <x v="0"/>
    <n v="22"/>
    <n v="22"/>
  </r>
  <r>
    <n v="118387"/>
    <s v="Montgomery County Sheriff's Dept. - KS"/>
    <n v="22"/>
    <n v="20"/>
    <n v="2"/>
    <n v="34"/>
    <n v="34"/>
    <n v="34"/>
    <n v="1.7"/>
    <n v="1.7"/>
    <n v="1.7"/>
    <n v="0"/>
    <x v="3"/>
    <s v="12-18 Months"/>
    <x v="0"/>
    <n v="22"/>
    <n v="0"/>
  </r>
  <r>
    <n v="488231"/>
    <s v="Mott Community College - MI"/>
    <n v="22"/>
    <n v="22"/>
    <n v="2"/>
    <n v="23"/>
    <n v="23"/>
    <n v="23"/>
    <n v="1.05"/>
    <n v="1.05"/>
    <n v="1.05"/>
    <n v="0"/>
    <x v="3"/>
    <s v="12-18 Months"/>
    <x v="0"/>
    <n v="22"/>
    <n v="0"/>
  </r>
  <r>
    <n v="130931"/>
    <s v="Jackson Police Dept -AL"/>
    <n v="26"/>
    <n v="23"/>
    <n v="2"/>
    <n v="8"/>
    <n v="8"/>
    <n v="8"/>
    <n v="0.35"/>
    <n v="0.35"/>
    <n v="0.35"/>
    <n v="6"/>
    <x v="3"/>
    <s v="12-18 Months"/>
    <x v="0"/>
    <n v="0"/>
    <n v="0"/>
  </r>
  <r>
    <n v="461574"/>
    <s v="Herrin Police Dept. - IL"/>
    <n v="27"/>
    <n v="30"/>
    <n v="2"/>
    <n v="9"/>
    <n v="9"/>
    <n v="9"/>
    <n v="0.3"/>
    <n v="0.3"/>
    <n v="0.3"/>
    <n v="0"/>
    <x v="3"/>
    <s v="12-18 Months"/>
    <x v="0"/>
    <n v="0"/>
    <n v="0"/>
  </r>
  <r>
    <n v="476210"/>
    <s v="Bladensburg Police Dept. - MD"/>
    <n v="27"/>
    <n v="30"/>
    <n v="2"/>
    <n v="4"/>
    <n v="4"/>
    <n v="0"/>
    <n v="0.13"/>
    <n v="0.13"/>
    <n v="0"/>
    <n v="0"/>
    <x v="3"/>
    <s v="12-18 Months"/>
    <x v="0"/>
    <n v="0"/>
    <n v="0"/>
  </r>
  <r>
    <n v="114136"/>
    <s v="Logan Township Police Dept - PA"/>
    <n v="28"/>
    <n v="16"/>
    <n v="2"/>
    <n v="2"/>
    <n v="2"/>
    <n v="2"/>
    <n v="0.13"/>
    <n v="0.13"/>
    <n v="0.13"/>
    <n v="0"/>
    <x v="3"/>
    <s v="12-18 Months"/>
    <x v="0"/>
    <n v="0"/>
    <n v="0"/>
  </r>
  <r>
    <n v="137418"/>
    <s v="Whiteside County Sheriff's Office - IL"/>
    <n v="28"/>
    <n v="22"/>
    <n v="2"/>
    <n v="23"/>
    <n v="23"/>
    <n v="23"/>
    <n v="1.05"/>
    <n v="1.05"/>
    <n v="1.05"/>
    <n v="17"/>
    <x v="3"/>
    <s v="12-18 Months"/>
    <x v="0"/>
    <n v="28"/>
    <n v="0"/>
  </r>
  <r>
    <n v="175962"/>
    <s v="Scotland County Sheriff's Office - NC"/>
    <n v="29"/>
    <n v="8"/>
    <n v="2"/>
    <n v="0"/>
    <n v="0"/>
    <n v="0"/>
    <n v="0"/>
    <n v="0"/>
    <n v="0"/>
    <n v="0"/>
    <x v="3"/>
    <s v="12-18 Months"/>
    <x v="0"/>
    <n v="0"/>
    <n v="0"/>
  </r>
  <r>
    <n v="114269"/>
    <s v="Sublette County Sheriff's Office - WY"/>
    <n v="30"/>
    <n v="30"/>
    <n v="2"/>
    <n v="3"/>
    <n v="3"/>
    <n v="3"/>
    <n v="0.1"/>
    <n v="0.1"/>
    <n v="0.1"/>
    <n v="0"/>
    <x v="3"/>
    <s v="12-18 Months"/>
    <x v="0"/>
    <n v="0"/>
    <n v="0"/>
  </r>
  <r>
    <n v="155477"/>
    <s v="Warrenton Police Dept. - VA"/>
    <n v="30"/>
    <n v="28"/>
    <n v="2"/>
    <n v="0"/>
    <n v="0"/>
    <n v="0"/>
    <n v="0"/>
    <n v="0"/>
    <n v="0"/>
    <n v="0"/>
    <x v="3"/>
    <s v="12-18 Months"/>
    <x v="0"/>
    <n v="0"/>
    <n v="0"/>
  </r>
  <r>
    <n v="466249"/>
    <s v="Mantua Township Police Dept - NJ"/>
    <n v="30"/>
    <n v="20"/>
    <n v="2"/>
    <n v="0"/>
    <n v="0"/>
    <n v="0"/>
    <n v="0"/>
    <n v="0"/>
    <n v="0"/>
    <n v="0"/>
    <x v="3"/>
    <s v="12-18 Months"/>
    <x v="0"/>
    <n v="0"/>
    <n v="0"/>
  </r>
  <r>
    <n v="466375"/>
    <s v="Brandon Police Dept. - MS"/>
    <n v="31"/>
    <n v="32"/>
    <n v="2"/>
    <n v="34"/>
    <n v="34"/>
    <n v="34"/>
    <n v="1.06"/>
    <n v="1.06"/>
    <n v="1.06"/>
    <n v="23"/>
    <x v="3"/>
    <s v="12-18 Months"/>
    <x v="0"/>
    <n v="31"/>
    <n v="0"/>
  </r>
  <r>
    <n v="108253"/>
    <s v="Cottonwood Police Dept. - AZ"/>
    <n v="32"/>
    <n v="42"/>
    <n v="2"/>
    <n v="4"/>
    <n v="4"/>
    <n v="4"/>
    <n v="0.1"/>
    <n v="0.1"/>
    <n v="0.1"/>
    <n v="0"/>
    <x v="3"/>
    <s v="12-18 Months"/>
    <x v="0"/>
    <n v="0"/>
    <n v="0"/>
  </r>
  <r>
    <n v="109818"/>
    <s v="Maplewood Police Department - MO"/>
    <n v="33"/>
    <n v="33"/>
    <n v="2"/>
    <n v="30"/>
    <n v="30"/>
    <n v="30"/>
    <n v="0.91"/>
    <n v="0.91"/>
    <n v="0.91"/>
    <n v="0"/>
    <x v="3"/>
    <s v="12-18 Months"/>
    <x v="0"/>
    <n v="33"/>
    <n v="0"/>
  </r>
  <r>
    <n v="318176"/>
    <s v="Newburyport Police Dept. - MA"/>
    <n v="33"/>
    <n v="25"/>
    <n v="2"/>
    <n v="1"/>
    <n v="1"/>
    <n v="1"/>
    <n v="0.04"/>
    <n v="0.04"/>
    <n v="0.04"/>
    <n v="0"/>
    <x v="3"/>
    <s v="12-18 Months"/>
    <x v="0"/>
    <n v="0"/>
    <n v="0"/>
  </r>
  <r>
    <n v="122943"/>
    <s v="Lantana Police Dept - FL"/>
    <n v="35"/>
    <n v="38"/>
    <n v="2"/>
    <n v="32"/>
    <n v="32"/>
    <n v="32"/>
    <n v="0.84"/>
    <n v="0.84"/>
    <n v="0.84"/>
    <n v="45"/>
    <x v="3"/>
    <s v="12-18 Months"/>
    <x v="0"/>
    <n v="35"/>
    <n v="0"/>
  </r>
  <r>
    <n v="587054"/>
    <s v="Paulding County School District-GA"/>
    <n v="35"/>
    <n v="35"/>
    <n v="2"/>
    <n v="19"/>
    <n v="19"/>
    <n v="19"/>
    <n v="0.54"/>
    <n v="0.54"/>
    <n v="0.54"/>
    <n v="10"/>
    <x v="3"/>
    <s v="12-18 Months"/>
    <x v="0"/>
    <n v="0"/>
    <n v="0"/>
  </r>
  <r>
    <n v="305835"/>
    <s v="Watertown Police Department - SD"/>
    <n v="36"/>
    <n v="34"/>
    <n v="2"/>
    <n v="3"/>
    <n v="3"/>
    <n v="3"/>
    <n v="0.09"/>
    <n v="0.09"/>
    <n v="0.09"/>
    <n v="0"/>
    <x v="3"/>
    <s v="12-18 Months"/>
    <x v="0"/>
    <n v="0"/>
    <n v="0"/>
  </r>
  <r>
    <n v="327329"/>
    <s v="City of Seaford Police Dept. - DE"/>
    <n v="36"/>
    <n v="28"/>
    <n v="2"/>
    <n v="10"/>
    <n v="10"/>
    <n v="10"/>
    <n v="0.36"/>
    <n v="0.36"/>
    <n v="0.36"/>
    <n v="0"/>
    <x v="3"/>
    <s v="12-18 Months"/>
    <x v="0"/>
    <n v="0"/>
    <n v="0"/>
  </r>
  <r>
    <n v="321952"/>
    <s v="Selma Police Dept. - CA"/>
    <n v="38"/>
    <n v="30"/>
    <n v="2"/>
    <n v="1"/>
    <n v="1"/>
    <n v="1"/>
    <n v="0.03"/>
    <n v="0.03"/>
    <n v="0.03"/>
    <n v="0"/>
    <x v="3"/>
    <s v="12-18 Months"/>
    <x v="0"/>
    <n v="0"/>
    <n v="0"/>
  </r>
  <r>
    <n v="193670"/>
    <s v="Amsterdam Police Dept. - NY"/>
    <n v="39"/>
    <n v="40"/>
    <n v="2"/>
    <n v="15"/>
    <n v="15"/>
    <n v="15"/>
    <n v="0.38"/>
    <n v="0.38"/>
    <n v="0.38"/>
    <n v="0"/>
    <x v="3"/>
    <s v="12-18 Months"/>
    <x v="0"/>
    <n v="0"/>
    <n v="0"/>
  </r>
  <r>
    <n v="130859"/>
    <s v="Miami Shores Police Dept - FL"/>
    <n v="41"/>
    <n v="39"/>
    <n v="2"/>
    <n v="0"/>
    <n v="0"/>
    <n v="0"/>
    <n v="0"/>
    <n v="0"/>
    <n v="0"/>
    <n v="0"/>
    <x v="3"/>
    <s v="12-18 Months"/>
    <x v="0"/>
    <n v="0"/>
    <n v="0"/>
  </r>
  <r>
    <n v="109924"/>
    <s v="Desert Hot Springs Police Dept. - CA"/>
    <n v="43"/>
    <n v="40"/>
    <n v="2"/>
    <n v="19"/>
    <n v="19"/>
    <n v="19"/>
    <n v="0.48"/>
    <n v="0.48"/>
    <n v="0.48"/>
    <n v="0"/>
    <x v="3"/>
    <s v="12-18 Months"/>
    <x v="0"/>
    <n v="0"/>
    <n v="0"/>
  </r>
  <r>
    <n v="303208"/>
    <s v="Dallas County Constable Pct. 2 - TX"/>
    <n v="47"/>
    <n v="15"/>
    <n v="2"/>
    <n v="0"/>
    <n v="0"/>
    <n v="0"/>
    <n v="0"/>
    <n v="0"/>
    <n v="0"/>
    <n v="0"/>
    <x v="3"/>
    <s v="12-18 Months"/>
    <x v="0"/>
    <n v="0"/>
    <n v="0"/>
  </r>
  <r>
    <n v="110348"/>
    <s v="Munster Police Department - IN"/>
    <n v="48"/>
    <n v="50"/>
    <n v="2"/>
    <n v="76"/>
    <n v="76"/>
    <n v="76"/>
    <n v="1.52"/>
    <n v="1.52"/>
    <n v="1.52"/>
    <n v="0"/>
    <x v="3"/>
    <s v="12-18 Months"/>
    <x v="0"/>
    <n v="48"/>
    <n v="0"/>
  </r>
  <r>
    <n v="455172"/>
    <s v="Fort Worth Marshal's Office - TX"/>
    <n v="51"/>
    <n v="45"/>
    <n v="2"/>
    <n v="0"/>
    <n v="0"/>
    <n v="0"/>
    <n v="0"/>
    <n v="0"/>
    <n v="0"/>
    <n v="0"/>
    <x v="3"/>
    <s v="12-18 Months"/>
    <x v="0"/>
    <n v="0"/>
    <n v="0"/>
  </r>
  <r>
    <n v="300075"/>
    <s v="Zachary Police Department - LA"/>
    <n v="52"/>
    <n v="55"/>
    <n v="2"/>
    <n v="51"/>
    <n v="51"/>
    <n v="51"/>
    <n v="0.93"/>
    <n v="0.93"/>
    <n v="0.93"/>
    <n v="114"/>
    <x v="3"/>
    <s v="12-18 Months"/>
    <x v="0"/>
    <n v="52"/>
    <n v="0"/>
  </r>
  <r>
    <n v="128761"/>
    <s v="West Lafayette Police Dept - IN"/>
    <n v="55"/>
    <n v="50"/>
    <n v="2"/>
    <n v="241"/>
    <n v="241"/>
    <n v="241"/>
    <n v="4.82"/>
    <n v="4.82"/>
    <n v="4.82"/>
    <n v="49"/>
    <x v="3"/>
    <s v="12-18 Months"/>
    <x v="0"/>
    <n v="55"/>
    <n v="55"/>
  </r>
  <r>
    <n v="309618"/>
    <s v="Auburndale Police Department - FL"/>
    <n v="55"/>
    <n v="55"/>
    <n v="2"/>
    <n v="33"/>
    <n v="33"/>
    <n v="33"/>
    <n v="0.6"/>
    <n v="0.6"/>
    <n v="0.6"/>
    <n v="29"/>
    <x v="3"/>
    <s v="12-18 Months"/>
    <x v="0"/>
    <n v="0"/>
    <n v="0"/>
  </r>
  <r>
    <n v="494944"/>
    <s v="Hill-Finklea Detention Center - SC"/>
    <n v="55"/>
    <n v="55"/>
    <n v="2"/>
    <n v="10"/>
    <n v="10"/>
    <n v="10"/>
    <n v="0.18"/>
    <n v="0.18"/>
    <n v="0.18"/>
    <n v="14"/>
    <x v="3"/>
    <s v="12-18 Months"/>
    <x v="0"/>
    <n v="0"/>
    <n v="0"/>
  </r>
  <r>
    <n v="109200"/>
    <s v="Branson Police Department - MO"/>
    <n v="60"/>
    <n v="60"/>
    <n v="2"/>
    <n v="0"/>
    <n v="0"/>
    <n v="0"/>
    <n v="0"/>
    <n v="0"/>
    <n v="0"/>
    <n v="0"/>
    <x v="3"/>
    <s v="12-18 Months"/>
    <x v="0"/>
    <n v="0"/>
    <n v="0"/>
  </r>
  <r>
    <n v="300173"/>
    <s v="Ulster County Sheriff's Office - NY"/>
    <n v="60"/>
    <n v="88"/>
    <n v="2"/>
    <n v="136"/>
    <n v="136"/>
    <n v="136"/>
    <n v="1.55"/>
    <n v="1.55"/>
    <n v="1.55"/>
    <n v="45"/>
    <x v="3"/>
    <s v="12-18 Months"/>
    <x v="0"/>
    <n v="60"/>
    <n v="0"/>
  </r>
  <r>
    <n v="115621"/>
    <s v="Ceres Dept. of Public Safety - CA"/>
    <n v="61"/>
    <n v="60"/>
    <n v="2"/>
    <n v="7"/>
    <n v="7"/>
    <n v="7"/>
    <n v="0.12"/>
    <n v="0.12"/>
    <n v="0.12"/>
    <n v="23"/>
    <x v="3"/>
    <s v="12-18 Months"/>
    <x v="0"/>
    <n v="0"/>
    <n v="0"/>
  </r>
  <r>
    <n v="105703"/>
    <s v="Yuma County Sheriff's Office - AZ"/>
    <n v="71"/>
    <n v="100"/>
    <n v="2"/>
    <n v="0"/>
    <n v="0"/>
    <n v="0"/>
    <n v="0"/>
    <n v="0"/>
    <n v="0"/>
    <n v="0"/>
    <x v="3"/>
    <s v="12-18 Months"/>
    <x v="1"/>
    <n v="0"/>
    <n v="0"/>
  </r>
  <r>
    <n v="109391"/>
    <s v="East Lansing Police Dept. - MI"/>
    <n v="71"/>
    <n v="73"/>
    <n v="2"/>
    <n v="50"/>
    <n v="47"/>
    <n v="47"/>
    <n v="0.68"/>
    <n v="0.64"/>
    <n v="0.64"/>
    <n v="26"/>
    <x v="3"/>
    <s v="12-18 Months"/>
    <x v="0"/>
    <n v="0"/>
    <n v="0"/>
  </r>
  <r>
    <n v="149464"/>
    <s v="Gallatin County Sheriff's Office - MT"/>
    <n v="74"/>
    <n v="74"/>
    <n v="2"/>
    <n v="40"/>
    <n v="40"/>
    <n v="40"/>
    <n v="0.54"/>
    <n v="0.54"/>
    <n v="0.54"/>
    <n v="0"/>
    <x v="3"/>
    <s v="12-18 Months"/>
    <x v="0"/>
    <n v="0"/>
    <n v="0"/>
  </r>
  <r>
    <n v="109722"/>
    <s v="Lombard Police Dept - IL"/>
    <n v="80"/>
    <n v="75"/>
    <n v="2"/>
    <n v="40"/>
    <n v="40"/>
    <n v="40"/>
    <n v="0.53"/>
    <n v="0.53"/>
    <n v="0.53"/>
    <n v="16"/>
    <x v="3"/>
    <s v="12-18 Months"/>
    <x v="0"/>
    <n v="0"/>
    <n v="0"/>
  </r>
  <r>
    <n v="107894"/>
    <s v="Waynesboro Police Dept. - VA"/>
    <n v="82"/>
    <n v="4"/>
    <n v="2"/>
    <n v="1"/>
    <n v="1"/>
    <n v="1"/>
    <n v="0.25"/>
    <n v="0.25"/>
    <n v="0.25"/>
    <n v="0"/>
    <x v="3"/>
    <s v="12-18 Months"/>
    <x v="0"/>
    <n v="0"/>
    <n v="0"/>
  </r>
  <r>
    <n v="108043"/>
    <s v="Tigard Police Dept. - OR"/>
    <n v="85"/>
    <n v="79"/>
    <n v="2"/>
    <n v="40"/>
    <n v="30"/>
    <n v="30"/>
    <n v="0.51"/>
    <n v="0.38"/>
    <n v="0.38"/>
    <n v="10"/>
    <x v="3"/>
    <s v="12-18 Months"/>
    <x v="0"/>
    <n v="0"/>
    <n v="0"/>
  </r>
  <r>
    <n v="108041"/>
    <s v="Douglas County Sheriffs Office - OR"/>
    <n v="91"/>
    <n v="77"/>
    <n v="2"/>
    <n v="76"/>
    <n v="76"/>
    <n v="76"/>
    <n v="0.99"/>
    <n v="0.99"/>
    <n v="0.99"/>
    <n v="38"/>
    <x v="3"/>
    <s v="12-18 Months"/>
    <x v="0"/>
    <n v="91"/>
    <n v="0"/>
  </r>
  <r>
    <n v="123688"/>
    <s v="Montgomery County Sheriff's Office - VA"/>
    <n v="98"/>
    <n v="110"/>
    <n v="2"/>
    <n v="98"/>
    <n v="98"/>
    <n v="98"/>
    <n v="0.89"/>
    <n v="0.89"/>
    <n v="0.89"/>
    <n v="74"/>
    <x v="3"/>
    <s v="12-18 Months"/>
    <x v="1"/>
    <n v="98"/>
    <n v="0"/>
  </r>
  <r>
    <n v="109597"/>
    <s v="Wyoming Department of Public Safety - MI"/>
    <n v="103"/>
    <n v="103"/>
    <n v="2"/>
    <n v="3"/>
    <n v="0"/>
    <n v="0"/>
    <n v="0.03"/>
    <n v="0"/>
    <n v="0"/>
    <n v="0"/>
    <x v="3"/>
    <s v="12-18 Months"/>
    <x v="1"/>
    <n v="0"/>
    <n v="0"/>
  </r>
  <r>
    <n v="140885"/>
    <s v="Mohave County Sheriff's Office - AZ"/>
    <n v="107"/>
    <n v="100"/>
    <n v="2"/>
    <n v="8"/>
    <n v="8"/>
    <n v="8"/>
    <n v="0.08"/>
    <n v="0.08"/>
    <n v="0.08"/>
    <n v="0"/>
    <x v="3"/>
    <s v="12-18 Months"/>
    <x v="1"/>
    <n v="0"/>
    <n v="0"/>
  </r>
  <r>
    <n v="115150"/>
    <s v="Harrison County Sheriff's - MS"/>
    <n v="125"/>
    <n v="125"/>
    <n v="2"/>
    <n v="7"/>
    <n v="7"/>
    <n v="7"/>
    <n v="0.06"/>
    <n v="0.06"/>
    <n v="0.06"/>
    <n v="0"/>
    <x v="3"/>
    <s v="12-18 Months"/>
    <x v="1"/>
    <n v="0"/>
    <n v="0"/>
  </r>
  <r>
    <s v="CA0115537"/>
    <s v="The City of Medicine Hat"/>
    <n v="125"/>
    <n v="50"/>
    <n v="2"/>
    <n v="9"/>
    <n v="9"/>
    <n v="9"/>
    <n v="0.18"/>
    <n v="0.18"/>
    <n v="0.18"/>
    <n v="24"/>
    <x v="3"/>
    <s v="12-18 Months"/>
    <x v="0"/>
    <n v="0"/>
    <n v="0"/>
  </r>
  <r>
    <n v="113004"/>
    <s v="Aiken County Sheriff's Office - SC"/>
    <n v="136"/>
    <n v="105"/>
    <n v="2"/>
    <n v="2"/>
    <n v="2"/>
    <n v="0"/>
    <n v="0.02"/>
    <n v="0.02"/>
    <n v="0"/>
    <n v="0"/>
    <x v="3"/>
    <s v="12-18 Months"/>
    <x v="1"/>
    <n v="0"/>
    <n v="0"/>
  </r>
  <r>
    <n v="489005"/>
    <s v="Nolensville Police Dept. - TN"/>
    <n v="137"/>
    <n v="5"/>
    <n v="2"/>
    <n v="0"/>
    <n v="0"/>
    <n v="0"/>
    <n v="0"/>
    <n v="0"/>
    <n v="0"/>
    <n v="0"/>
    <x v="3"/>
    <s v="12-18 Months"/>
    <x v="0"/>
    <n v="0"/>
    <n v="0"/>
  </r>
  <r>
    <n v="141491"/>
    <s v="Binghamton Police Dept. - NY"/>
    <n v="140"/>
    <n v="140"/>
    <n v="2"/>
    <n v="0"/>
    <n v="0"/>
    <n v="0"/>
    <n v="0"/>
    <n v="0"/>
    <n v="0"/>
    <n v="0"/>
    <x v="3"/>
    <s v="12-18 Months"/>
    <x v="1"/>
    <n v="0"/>
    <n v="0"/>
  </r>
  <r>
    <n v="437670"/>
    <s v="Burlington County (NJ) Prosecutor's Office"/>
    <n v="150"/>
    <n v="5"/>
    <n v="2"/>
    <n v="0"/>
    <n v="0"/>
    <n v="0"/>
    <n v="0"/>
    <n v="0"/>
    <n v="0"/>
    <n v="0"/>
    <x v="3"/>
    <s v="12-18 Months"/>
    <x v="0"/>
    <n v="0"/>
    <n v="0"/>
  </r>
  <r>
    <n v="186227"/>
    <s v="Champaign Police Dept. - IL"/>
    <n v="156"/>
    <n v="12"/>
    <n v="2"/>
    <n v="3"/>
    <n v="3"/>
    <n v="3"/>
    <n v="0.25"/>
    <n v="0.25"/>
    <n v="0.25"/>
    <n v="4"/>
    <x v="3"/>
    <s v="12-18 Months"/>
    <x v="0"/>
    <n v="0"/>
    <n v="0"/>
  </r>
  <r>
    <n v="121372"/>
    <s v="Calvert County Sheriff's Office - MD"/>
    <n v="167"/>
    <n v="129"/>
    <n v="2"/>
    <n v="0"/>
    <n v="0"/>
    <n v="0"/>
    <n v="0"/>
    <n v="0"/>
    <n v="0"/>
    <n v="0"/>
    <x v="3"/>
    <s v="12-18 Months"/>
    <x v="1"/>
    <n v="0"/>
    <n v="0"/>
  </r>
  <r>
    <n v="512875"/>
    <s v="Camden County (NJ) Prosecutor's Office"/>
    <n v="194"/>
    <n v="4"/>
    <n v="2"/>
    <n v="0"/>
    <n v="0"/>
    <n v="0"/>
    <n v="0"/>
    <n v="0"/>
    <n v="0"/>
    <n v="0"/>
    <x v="3"/>
    <s v="12-18 Months"/>
    <x v="0"/>
    <n v="0"/>
    <n v="0"/>
  </r>
  <r>
    <n v="133348"/>
    <s v="Niagara County Sheriff's Office - NY"/>
    <n v="280"/>
    <n v="15"/>
    <n v="2"/>
    <n v="0"/>
    <n v="0"/>
    <n v="0"/>
    <n v="0"/>
    <n v="0"/>
    <n v="0"/>
    <n v="0"/>
    <x v="3"/>
    <s v="12-18 Months"/>
    <x v="0"/>
    <n v="0"/>
    <n v="0"/>
  </r>
  <r>
    <n v="155741"/>
    <s v="Overland Park PD - KS"/>
    <n v="297"/>
    <n v="288"/>
    <n v="2"/>
    <n v="0"/>
    <n v="0"/>
    <n v="0"/>
    <n v="0"/>
    <n v="0"/>
    <n v="0"/>
    <n v="0"/>
    <x v="3"/>
    <s v="12-18 Months"/>
    <x v="1"/>
    <n v="0"/>
    <n v="0"/>
  </r>
  <r>
    <n v="211120"/>
    <s v="Guam Police Department - GU"/>
    <n v="360"/>
    <n v="360"/>
    <n v="2"/>
    <n v="0"/>
    <n v="0"/>
    <n v="0"/>
    <n v="0"/>
    <n v="0"/>
    <n v="0"/>
    <n v="0"/>
    <x v="3"/>
    <s v="12-18 Months"/>
    <x v="1"/>
    <n v="0"/>
    <n v="0"/>
  </r>
  <r>
    <n v="113074"/>
    <s v="Durant Police Dept. - OK"/>
    <n v="0"/>
    <n v="35"/>
    <n v="1"/>
    <n v="0"/>
    <n v="0"/>
    <n v="0"/>
    <n v="0"/>
    <n v="0"/>
    <n v="0"/>
    <n v="0"/>
    <x v="3"/>
    <s v="12-18 Months"/>
    <x v="0"/>
    <n v="0"/>
    <n v="0"/>
  </r>
  <r>
    <n v="113139"/>
    <s v="York County Sheriff's Office - ME"/>
    <n v="0"/>
    <n v="100"/>
    <n v="1"/>
    <n v="0"/>
    <n v="0"/>
    <n v="0"/>
    <n v="0"/>
    <n v="0"/>
    <n v="0"/>
    <n v="0"/>
    <x v="3"/>
    <s v="12-18 Months"/>
    <x v="1"/>
    <n v="0"/>
    <n v="0"/>
  </r>
  <r>
    <n v="170121"/>
    <s v="Van Zandt County Sheriff's - TX"/>
    <n v="0"/>
    <n v="37"/>
    <n v="1"/>
    <n v="0"/>
    <n v="0"/>
    <n v="0"/>
    <n v="0"/>
    <n v="0"/>
    <n v="0"/>
    <n v="0"/>
    <x v="3"/>
    <s v="12-18 Months"/>
    <x v="0"/>
    <n v="0"/>
    <n v="0"/>
  </r>
  <r>
    <n v="587158"/>
    <s v="University of Alabama - Birmingham - AL"/>
    <n v="0"/>
    <n v="50"/>
    <n v="1"/>
    <n v="0"/>
    <n v="0"/>
    <n v="0"/>
    <n v="0"/>
    <n v="0"/>
    <n v="0"/>
    <n v="0"/>
    <x v="3"/>
    <s v="12-18 Months"/>
    <x v="0"/>
    <n v="0"/>
    <n v="0"/>
  </r>
  <r>
    <s v="SE0116879"/>
    <s v="Swedish Parliament House"/>
    <n v="0"/>
    <n v="2"/>
    <n v="1"/>
    <n v="6"/>
    <n v="6"/>
    <n v="6"/>
    <n v="3"/>
    <n v="3"/>
    <n v="3"/>
    <n v="0"/>
    <x v="3"/>
    <s v="12-18 Months"/>
    <x v="0"/>
    <n v="0"/>
    <n v="0"/>
  </r>
  <r>
    <n v="114913"/>
    <s v="Fernandina Beach Police Dept. - FL"/>
    <n v="1"/>
    <n v="43"/>
    <n v="1"/>
    <n v="124"/>
    <n v="124"/>
    <n v="124"/>
    <n v="2.88"/>
    <n v="2.88"/>
    <n v="2.88"/>
    <n v="69"/>
    <x v="3"/>
    <s v="12-18 Months"/>
    <x v="0"/>
    <n v="1"/>
    <n v="1"/>
  </r>
  <r>
    <n v="119959"/>
    <s v="Kanab Police Department - UT"/>
    <n v="1"/>
    <n v="10"/>
    <n v="1"/>
    <n v="25"/>
    <n v="25"/>
    <n v="25"/>
    <n v="2.5"/>
    <n v="2.5"/>
    <n v="2.5"/>
    <n v="0"/>
    <x v="3"/>
    <s v="12-18 Months"/>
    <x v="0"/>
    <n v="1"/>
    <n v="1"/>
  </r>
  <r>
    <n v="210057"/>
    <s v="Grundy Center Police Dept. - IA"/>
    <n v="1"/>
    <n v="6"/>
    <n v="1"/>
    <n v="5"/>
    <n v="5"/>
    <n v="5"/>
    <n v="0.83"/>
    <n v="0.83"/>
    <n v="0.83"/>
    <n v="0"/>
    <x v="3"/>
    <s v="12-18 Months"/>
    <x v="0"/>
    <n v="1"/>
    <n v="0"/>
  </r>
  <r>
    <n v="211664"/>
    <s v="Pennington Gap Police Dept. - VA"/>
    <n v="1"/>
    <n v="5"/>
    <n v="1"/>
    <n v="0"/>
    <n v="0"/>
    <n v="0"/>
    <n v="0"/>
    <n v="0"/>
    <n v="0"/>
    <n v="0"/>
    <x v="3"/>
    <s v="12-18 Months"/>
    <x v="0"/>
    <n v="0"/>
    <n v="0"/>
  </r>
  <r>
    <n v="304014"/>
    <s v="Pulaski County Sheriff Office - GA"/>
    <n v="1"/>
    <n v="15"/>
    <n v="1"/>
    <n v="0"/>
    <n v="0"/>
    <n v="0"/>
    <n v="0"/>
    <n v="0"/>
    <n v="0"/>
    <n v="0"/>
    <x v="3"/>
    <s v="12-18 Months"/>
    <x v="0"/>
    <n v="0"/>
    <n v="0"/>
  </r>
  <r>
    <n v="472834"/>
    <s v="Galveston County Constable Pct. 1 - TX"/>
    <n v="1"/>
    <n v="1"/>
    <n v="1"/>
    <n v="0"/>
    <n v="0"/>
    <n v="0"/>
    <n v="0"/>
    <n v="0"/>
    <n v="0"/>
    <n v="0"/>
    <x v="3"/>
    <s v="12-18 Months"/>
    <x v="0"/>
    <n v="0"/>
    <n v="0"/>
  </r>
  <r>
    <n v="481694"/>
    <s v="Bolivar Police Dept. - OH"/>
    <n v="1"/>
    <n v="1"/>
    <n v="1"/>
    <n v="0"/>
    <n v="0"/>
    <n v="0"/>
    <n v="0"/>
    <n v="0"/>
    <n v="0"/>
    <n v="0"/>
    <x v="3"/>
    <s v="12-18 Months"/>
    <x v="0"/>
    <n v="0"/>
    <n v="0"/>
  </r>
  <r>
    <n v="607351"/>
    <s v="Glen Park Police Dept. - NY"/>
    <n v="1"/>
    <n v="1"/>
    <n v="1"/>
    <n v="0"/>
    <n v="0"/>
    <n v="0"/>
    <n v="0"/>
    <n v="0"/>
    <n v="0"/>
    <n v="0"/>
    <x v="3"/>
    <s v="12-18 Months"/>
    <x v="0"/>
    <n v="0"/>
    <n v="0"/>
  </r>
  <r>
    <n v="112815"/>
    <s v="Moore County Sheriff's Office - NC"/>
    <n v="2"/>
    <n v="100"/>
    <n v="1"/>
    <n v="0"/>
    <n v="0"/>
    <n v="0"/>
    <n v="0"/>
    <n v="0"/>
    <n v="0"/>
    <n v="0"/>
    <x v="3"/>
    <s v="12-18 Months"/>
    <x v="1"/>
    <n v="0"/>
    <n v="0"/>
  </r>
  <r>
    <n v="115267"/>
    <s v="Winchester Police Dept. - NH"/>
    <n v="2"/>
    <n v="7"/>
    <n v="1"/>
    <n v="14"/>
    <n v="14"/>
    <n v="14"/>
    <n v="2"/>
    <n v="2"/>
    <n v="2"/>
    <n v="22"/>
    <x v="3"/>
    <s v="12-18 Months"/>
    <x v="0"/>
    <n v="2"/>
    <n v="2"/>
  </r>
  <r>
    <n v="154022"/>
    <s v="Scottsbluff Police Dept. - NE"/>
    <n v="2"/>
    <n v="34"/>
    <n v="1"/>
    <n v="0"/>
    <n v="0"/>
    <n v="0"/>
    <n v="0"/>
    <n v="0"/>
    <n v="0"/>
    <n v="0"/>
    <x v="3"/>
    <s v="12-18 Months"/>
    <x v="0"/>
    <n v="0"/>
    <n v="0"/>
  </r>
  <r>
    <n v="466251"/>
    <s v="Long Hill Police Dept. - NJ"/>
    <n v="2"/>
    <n v="11"/>
    <n v="1"/>
    <n v="0"/>
    <n v="0"/>
    <n v="0"/>
    <n v="0"/>
    <n v="0"/>
    <n v="0"/>
    <n v="0"/>
    <x v="3"/>
    <s v="12-18 Months"/>
    <x v="0"/>
    <n v="0"/>
    <n v="0"/>
  </r>
  <r>
    <n v="607152"/>
    <s v="Zapata County Juvenile Probation Dept. - TX"/>
    <n v="2"/>
    <n v="2"/>
    <n v="1"/>
    <n v="0"/>
    <n v="0"/>
    <n v="0"/>
    <n v="0"/>
    <n v="0"/>
    <n v="0"/>
    <n v="0"/>
    <x v="3"/>
    <s v="12-18 Months"/>
    <x v="0"/>
    <n v="0"/>
    <n v="0"/>
  </r>
  <r>
    <n v="106340"/>
    <s v="Amador County Sheriff's Office - CA"/>
    <n v="3"/>
    <n v="86"/>
    <n v="1"/>
    <n v="20"/>
    <n v="20"/>
    <n v="20"/>
    <n v="0.23"/>
    <n v="0.23"/>
    <n v="0.23"/>
    <n v="0"/>
    <x v="3"/>
    <s v="12-18 Months"/>
    <x v="0"/>
    <n v="0"/>
    <n v="0"/>
  </r>
  <r>
    <n v="114973"/>
    <s v="Lennon Police Dept. - MI"/>
    <n v="3"/>
    <n v="5"/>
    <n v="1"/>
    <n v="0"/>
    <n v="0"/>
    <n v="0"/>
    <n v="0"/>
    <n v="0"/>
    <n v="0"/>
    <n v="0"/>
    <x v="3"/>
    <s v="12-18 Months"/>
    <x v="0"/>
    <n v="0"/>
    <n v="0"/>
  </r>
  <r>
    <n v="128005"/>
    <s v="Somervell County Sheriff's Office - TX"/>
    <n v="3"/>
    <n v="3"/>
    <n v="1"/>
    <n v="0"/>
    <n v="0"/>
    <n v="0"/>
    <n v="0"/>
    <n v="0"/>
    <n v="0"/>
    <n v="0"/>
    <x v="3"/>
    <s v="12-18 Months"/>
    <x v="0"/>
    <n v="0"/>
    <n v="0"/>
  </r>
  <r>
    <n v="314695"/>
    <s v="Jackson County Sheriff's Dept. - SD"/>
    <n v="3"/>
    <n v="3"/>
    <n v="1"/>
    <n v="10"/>
    <n v="10"/>
    <n v="10"/>
    <n v="3.33"/>
    <n v="3.33"/>
    <n v="3.33"/>
    <n v="1"/>
    <x v="3"/>
    <s v="12-18 Months"/>
    <x v="0"/>
    <n v="3"/>
    <n v="3"/>
  </r>
  <r>
    <n v="325444"/>
    <s v="Clark County Sheriff's Office - SD"/>
    <n v="3"/>
    <n v="3"/>
    <n v="1"/>
    <n v="9"/>
    <n v="1"/>
    <n v="1"/>
    <n v="3"/>
    <n v="0.33"/>
    <n v="0.33"/>
    <n v="0"/>
    <x v="3"/>
    <s v="12-18 Months"/>
    <x v="0"/>
    <n v="3"/>
    <n v="3"/>
  </r>
  <r>
    <n v="537147"/>
    <s v="Blanco County Constable Pct. 4 - TX"/>
    <n v="3"/>
    <n v="1"/>
    <n v="1"/>
    <n v="0"/>
    <n v="0"/>
    <n v="0"/>
    <n v="0"/>
    <n v="0"/>
    <n v="0"/>
    <n v="0"/>
    <x v="3"/>
    <s v="12-18 Months"/>
    <x v="0"/>
    <n v="0"/>
    <n v="0"/>
  </r>
  <r>
    <n v="106753"/>
    <s v="Thurston County Sheriff's Office - WA"/>
    <n v="4"/>
    <n v="19"/>
    <n v="1"/>
    <n v="22"/>
    <n v="22"/>
    <n v="22"/>
    <n v="1.1599999999999999"/>
    <n v="1.1599999999999999"/>
    <n v="1.1599999999999999"/>
    <n v="0"/>
    <x v="3"/>
    <s v="12-18 Months"/>
    <x v="0"/>
    <n v="4"/>
    <n v="0"/>
  </r>
  <r>
    <n v="113153"/>
    <s v="La Grande Police Dept. - OR"/>
    <n v="4"/>
    <n v="4"/>
    <n v="1"/>
    <n v="0"/>
    <n v="0"/>
    <n v="0"/>
    <n v="0"/>
    <n v="0"/>
    <n v="0"/>
    <n v="0"/>
    <x v="3"/>
    <s v="12-18 Months"/>
    <x v="0"/>
    <n v="0"/>
    <n v="0"/>
  </r>
  <r>
    <n v="114425"/>
    <s v="Towamencin Township Police Dept - PA"/>
    <n v="4"/>
    <n v="10"/>
    <n v="1"/>
    <n v="0"/>
    <n v="0"/>
    <n v="0"/>
    <n v="0"/>
    <n v="0"/>
    <n v="0"/>
    <n v="0"/>
    <x v="3"/>
    <s v="12-18 Months"/>
    <x v="0"/>
    <n v="0"/>
    <n v="0"/>
  </r>
  <r>
    <n v="133163"/>
    <s v="Virginia Police Dept. - MN"/>
    <n v="4"/>
    <n v="25"/>
    <n v="1"/>
    <n v="0"/>
    <n v="0"/>
    <n v="0"/>
    <n v="0"/>
    <n v="0"/>
    <n v="0"/>
    <n v="0"/>
    <x v="3"/>
    <s v="12-18 Months"/>
    <x v="0"/>
    <n v="0"/>
    <n v="0"/>
  </r>
  <r>
    <n v="528556"/>
    <s v="PE Municipalidad de Lima"/>
    <n v="4"/>
    <n v="6"/>
    <n v="1"/>
    <n v="0"/>
    <n v="0"/>
    <n v="0"/>
    <n v="0"/>
    <n v="0"/>
    <n v="0"/>
    <n v="0"/>
    <x v="3"/>
    <s v="12-18 Months"/>
    <x v="0"/>
    <n v="0"/>
    <n v="0"/>
  </r>
  <r>
    <n v="325705"/>
    <s v="New Mexico Department of Corrections - NM"/>
    <n v="5"/>
    <n v="350"/>
    <n v="1"/>
    <n v="0"/>
    <n v="0"/>
    <n v="0"/>
    <n v="0"/>
    <n v="0"/>
    <n v="0"/>
    <n v="0"/>
    <x v="3"/>
    <s v="12-18 Months"/>
    <x v="1"/>
    <n v="0"/>
    <n v="0"/>
  </r>
  <r>
    <n v="463052"/>
    <s v="Terminal Railroad Police Dept. -MO"/>
    <n v="5"/>
    <n v="6"/>
    <n v="1"/>
    <n v="0"/>
    <n v="0"/>
    <n v="0"/>
    <n v="0"/>
    <n v="0"/>
    <n v="0"/>
    <n v="0"/>
    <x v="3"/>
    <s v="12-18 Months"/>
    <x v="0"/>
    <n v="0"/>
    <n v="0"/>
  </r>
  <r>
    <n v="477682"/>
    <s v="Smith County Constable Pct 3"/>
    <n v="5"/>
    <n v="5"/>
    <n v="1"/>
    <n v="0"/>
    <n v="0"/>
    <n v="0"/>
    <n v="0"/>
    <n v="0"/>
    <n v="0"/>
    <n v="0"/>
    <x v="3"/>
    <s v="12-18 Months"/>
    <x v="0"/>
    <n v="0"/>
    <n v="0"/>
  </r>
  <r>
    <n v="490548"/>
    <s v="Oak Ridge Police Dept. - TX"/>
    <n v="5"/>
    <n v="6"/>
    <n v="1"/>
    <n v="0"/>
    <n v="0"/>
    <n v="0"/>
    <n v="0"/>
    <n v="0"/>
    <n v="0"/>
    <n v="0"/>
    <x v="3"/>
    <s v="12-18 Months"/>
    <x v="0"/>
    <n v="0"/>
    <n v="0"/>
  </r>
  <r>
    <n v="595453"/>
    <s v="Bee County Sheriff's Office - TX"/>
    <n v="5"/>
    <n v="9"/>
    <n v="1"/>
    <n v="0"/>
    <n v="0"/>
    <n v="0"/>
    <n v="0"/>
    <n v="0"/>
    <n v="0"/>
    <n v="0"/>
    <x v="3"/>
    <s v="12-18 Months"/>
    <x v="0"/>
    <n v="0"/>
    <n v="0"/>
  </r>
  <r>
    <n v="143646"/>
    <s v="Wolf Point Police Department - MT"/>
    <n v="6"/>
    <n v="6"/>
    <n v="1"/>
    <n v="3"/>
    <n v="3"/>
    <n v="3"/>
    <n v="0.5"/>
    <n v="0.5"/>
    <n v="0.5"/>
    <n v="0"/>
    <x v="3"/>
    <s v="12-18 Months"/>
    <x v="0"/>
    <n v="0"/>
    <n v="0"/>
  </r>
  <r>
    <n v="169396"/>
    <s v="Glenwood Police Department-MN-"/>
    <n v="6"/>
    <n v="6"/>
    <n v="1"/>
    <n v="28"/>
    <n v="22"/>
    <n v="22"/>
    <n v="4.67"/>
    <n v="3.67"/>
    <n v="3.67"/>
    <n v="0"/>
    <x v="3"/>
    <s v="12-18 Months"/>
    <x v="0"/>
    <n v="6"/>
    <n v="6"/>
  </r>
  <r>
    <n v="176517"/>
    <s v="Roane County Sheriff's Office - TN"/>
    <n v="6"/>
    <n v="6"/>
    <n v="1"/>
    <n v="0"/>
    <n v="0"/>
    <n v="0"/>
    <n v="0"/>
    <n v="0"/>
    <n v="0"/>
    <n v="0"/>
    <x v="3"/>
    <s v="12-18 Months"/>
    <x v="0"/>
    <n v="0"/>
    <n v="0"/>
  </r>
  <r>
    <n v="311621"/>
    <s v="Des Arc Police Dept. - AR"/>
    <n v="6"/>
    <n v="7"/>
    <n v="1"/>
    <n v="0"/>
    <n v="0"/>
    <n v="0"/>
    <n v="0"/>
    <n v="0"/>
    <n v="0"/>
    <n v="0"/>
    <x v="3"/>
    <s v="12-18 Months"/>
    <x v="0"/>
    <n v="0"/>
    <n v="0"/>
  </r>
  <r>
    <n v="462592"/>
    <s v="Bennington Police Department - NE"/>
    <n v="6"/>
    <n v="6"/>
    <n v="1"/>
    <n v="0"/>
    <n v="0"/>
    <n v="0"/>
    <n v="0"/>
    <n v="0"/>
    <n v="0"/>
    <n v="0"/>
    <x v="3"/>
    <s v="12-18 Months"/>
    <x v="0"/>
    <n v="0"/>
    <n v="0"/>
  </r>
  <r>
    <n v="303536"/>
    <s v="Lovelock Police Dept. - NV"/>
    <n v="7"/>
    <n v="5"/>
    <n v="1"/>
    <n v="2"/>
    <n v="2"/>
    <n v="2"/>
    <n v="0.4"/>
    <n v="0.4"/>
    <n v="0.4"/>
    <n v="0"/>
    <x v="3"/>
    <s v="12-18 Months"/>
    <x v="0"/>
    <n v="0"/>
    <n v="0"/>
  </r>
  <r>
    <n v="321423"/>
    <s v="CAVALIER COUNTY SHERIFF'S DEPT.-ND"/>
    <n v="7"/>
    <n v="6"/>
    <n v="1"/>
    <n v="0"/>
    <n v="0"/>
    <n v="0"/>
    <n v="0"/>
    <n v="0"/>
    <n v="0"/>
    <n v="0"/>
    <x v="3"/>
    <s v="12-18 Months"/>
    <x v="0"/>
    <n v="0"/>
    <n v="0"/>
  </r>
  <r>
    <n v="203187"/>
    <s v="Bowman Police Dept. - ND"/>
    <n v="8"/>
    <n v="4"/>
    <n v="1"/>
    <n v="0"/>
    <n v="0"/>
    <n v="0"/>
    <n v="0"/>
    <n v="0"/>
    <n v="0"/>
    <n v="0"/>
    <x v="3"/>
    <s v="12-18 Months"/>
    <x v="0"/>
    <n v="0"/>
    <n v="0"/>
  </r>
  <r>
    <n v="208498"/>
    <s v="City of Killdeer Police Department - ND"/>
    <n v="8"/>
    <n v="7"/>
    <n v="1"/>
    <n v="0"/>
    <n v="0"/>
    <n v="0"/>
    <n v="0"/>
    <n v="0"/>
    <n v="0"/>
    <n v="0"/>
    <x v="3"/>
    <s v="12-18 Months"/>
    <x v="0"/>
    <n v="0"/>
    <n v="0"/>
  </r>
  <r>
    <n v="327017"/>
    <s v="Saint Anthony Police Department - ID"/>
    <n v="8"/>
    <n v="8"/>
    <n v="1"/>
    <n v="16"/>
    <n v="16"/>
    <n v="16"/>
    <n v="2"/>
    <n v="2"/>
    <n v="2"/>
    <n v="0"/>
    <x v="3"/>
    <s v="12-18 Months"/>
    <x v="0"/>
    <n v="8"/>
    <n v="8"/>
  </r>
  <r>
    <n v="578855"/>
    <s v="Port of Beaumont Police Dept. - TX"/>
    <n v="8"/>
    <n v="8"/>
    <n v="1"/>
    <n v="0"/>
    <n v="0"/>
    <n v="0"/>
    <n v="0"/>
    <n v="0"/>
    <n v="0"/>
    <n v="0"/>
    <x v="3"/>
    <s v="12-18 Months"/>
    <x v="0"/>
    <n v="0"/>
    <n v="0"/>
  </r>
  <r>
    <n v="109085"/>
    <s v="Buchanan Police Dept - MI"/>
    <n v="9"/>
    <n v="8"/>
    <n v="1"/>
    <n v="0"/>
    <n v="0"/>
    <n v="0"/>
    <n v="0"/>
    <n v="0"/>
    <n v="0"/>
    <n v="0"/>
    <x v="3"/>
    <s v="12-18 Months"/>
    <x v="0"/>
    <n v="0"/>
    <n v="0"/>
  </r>
  <r>
    <n v="155268"/>
    <s v="Crafton Police Dept. - PA"/>
    <n v="9"/>
    <n v="9"/>
    <n v="1"/>
    <n v="56"/>
    <n v="56"/>
    <n v="56"/>
    <n v="6.22"/>
    <n v="6.22"/>
    <n v="6.22"/>
    <n v="15"/>
    <x v="3"/>
    <s v="12-18 Months"/>
    <x v="0"/>
    <n v="9"/>
    <n v="9"/>
  </r>
  <r>
    <n v="110838"/>
    <s v="North Sioux City Police Department - SD"/>
    <n v="10"/>
    <n v="10"/>
    <n v="1"/>
    <n v="61"/>
    <n v="48"/>
    <n v="48"/>
    <n v="6.1"/>
    <n v="4.8"/>
    <n v="4.8"/>
    <n v="1"/>
    <x v="3"/>
    <s v="12-18 Months"/>
    <x v="0"/>
    <n v="10"/>
    <n v="10"/>
  </r>
  <r>
    <n v="112309"/>
    <s v="Selbyville Police Dept - DE"/>
    <n v="10"/>
    <n v="10"/>
    <n v="1"/>
    <n v="0"/>
    <n v="0"/>
    <n v="0"/>
    <n v="0"/>
    <n v="0"/>
    <n v="0"/>
    <n v="0"/>
    <x v="3"/>
    <s v="12-18 Months"/>
    <x v="0"/>
    <n v="0"/>
    <n v="0"/>
  </r>
  <r>
    <n v="126651"/>
    <s v="Thomas Township Police Dept."/>
    <n v="10"/>
    <n v="10"/>
    <n v="1"/>
    <n v="0"/>
    <n v="0"/>
    <n v="0"/>
    <n v="0"/>
    <n v="0"/>
    <n v="0"/>
    <n v="0"/>
    <x v="3"/>
    <s v="12-18 Months"/>
    <x v="0"/>
    <n v="0"/>
    <n v="0"/>
  </r>
  <r>
    <n v="242096"/>
    <s v="Talbot County Sheriff Office - GA"/>
    <n v="10"/>
    <n v="10"/>
    <n v="1"/>
    <n v="0"/>
    <n v="0"/>
    <n v="0"/>
    <n v="0"/>
    <n v="0"/>
    <n v="0"/>
    <n v="0"/>
    <x v="3"/>
    <s v="12-18 Months"/>
    <x v="0"/>
    <n v="0"/>
    <n v="0"/>
  </r>
  <r>
    <n v="305183"/>
    <s v="Dundee Police Department - MI"/>
    <n v="10"/>
    <n v="10"/>
    <n v="1"/>
    <n v="5"/>
    <n v="5"/>
    <n v="5"/>
    <n v="0.5"/>
    <n v="0.5"/>
    <n v="0.5"/>
    <n v="0"/>
    <x v="3"/>
    <s v="12-18 Months"/>
    <x v="0"/>
    <n v="0"/>
    <n v="0"/>
  </r>
  <r>
    <n v="327717"/>
    <s v="University Park Police Dept. - MD"/>
    <n v="10"/>
    <n v="10"/>
    <n v="1"/>
    <n v="0"/>
    <n v="0"/>
    <n v="0"/>
    <n v="0"/>
    <n v="0"/>
    <n v="0"/>
    <n v="0"/>
    <x v="3"/>
    <s v="12-18 Months"/>
    <x v="0"/>
    <n v="0"/>
    <n v="0"/>
  </r>
  <r>
    <n v="448018"/>
    <s v="New Town Police Department - ND"/>
    <n v="10"/>
    <n v="10"/>
    <n v="1"/>
    <n v="7"/>
    <n v="7"/>
    <n v="7"/>
    <n v="0.7"/>
    <n v="0.7"/>
    <n v="0.7"/>
    <n v="0"/>
    <x v="3"/>
    <s v="12-18 Months"/>
    <x v="0"/>
    <n v="0"/>
    <n v="0"/>
  </r>
  <r>
    <n v="470041"/>
    <s v="Berwick Police Dept. - LA"/>
    <n v="10"/>
    <n v="8"/>
    <n v="1"/>
    <n v="0"/>
    <n v="0"/>
    <n v="0"/>
    <n v="0"/>
    <n v="0"/>
    <n v="0"/>
    <n v="0"/>
    <x v="3"/>
    <s v="12-18 Months"/>
    <x v="0"/>
    <n v="0"/>
    <n v="0"/>
  </r>
  <r>
    <n v="476352"/>
    <s v="Jackson Marshal's Office - LA"/>
    <n v="10"/>
    <n v="10"/>
    <n v="1"/>
    <n v="16"/>
    <n v="16"/>
    <n v="16"/>
    <n v="1.6"/>
    <n v="1.6"/>
    <n v="1.6"/>
    <n v="0"/>
    <x v="3"/>
    <s v="12-18 Months"/>
    <x v="0"/>
    <n v="10"/>
    <n v="0"/>
  </r>
  <r>
    <n v="508610"/>
    <s v="Mercyhurst Police Dept. - PA"/>
    <n v="10"/>
    <n v="10"/>
    <n v="1"/>
    <n v="0"/>
    <n v="0"/>
    <n v="0"/>
    <n v="0"/>
    <n v="0"/>
    <n v="0"/>
    <n v="0"/>
    <x v="3"/>
    <s v="12-18 Months"/>
    <x v="0"/>
    <n v="0"/>
    <n v="0"/>
  </r>
  <r>
    <n v="107916"/>
    <s v="Weaver Police Dept. - AL"/>
    <n v="11"/>
    <n v="8"/>
    <n v="1"/>
    <n v="0"/>
    <n v="0"/>
    <n v="0"/>
    <n v="0"/>
    <n v="0"/>
    <n v="0"/>
    <n v="0"/>
    <x v="3"/>
    <s v="12-18 Months"/>
    <x v="0"/>
    <n v="0"/>
    <n v="0"/>
  </r>
  <r>
    <n v="106051"/>
    <s v="Spring Lake Park Police Dept. - MN"/>
    <n v="12"/>
    <n v="11"/>
    <n v="1"/>
    <n v="23"/>
    <n v="23"/>
    <n v="23"/>
    <n v="2.09"/>
    <n v="2.09"/>
    <n v="2.09"/>
    <n v="0"/>
    <x v="3"/>
    <s v="12-18 Months"/>
    <x v="0"/>
    <n v="12"/>
    <n v="12"/>
  </r>
  <r>
    <n v="323370"/>
    <s v="Allegheny Township Police Dept. - PA"/>
    <n v="12"/>
    <n v="12"/>
    <n v="1"/>
    <n v="0"/>
    <n v="0"/>
    <n v="0"/>
    <n v="0"/>
    <n v="0"/>
    <n v="0"/>
    <n v="0"/>
    <x v="3"/>
    <s v="12-18 Months"/>
    <x v="0"/>
    <n v="0"/>
    <n v="0"/>
  </r>
  <r>
    <n v="477147"/>
    <s v="Texas A&amp;M University - San Antonio"/>
    <n v="12"/>
    <n v="16"/>
    <n v="1"/>
    <n v="0"/>
    <n v="0"/>
    <n v="0"/>
    <n v="0"/>
    <n v="0"/>
    <n v="0"/>
    <n v="0"/>
    <x v="3"/>
    <s v="12-18 Months"/>
    <x v="0"/>
    <n v="0"/>
    <n v="0"/>
  </r>
  <r>
    <n v="114821"/>
    <s v="Eatonton Police Dept.- GA"/>
    <n v="13"/>
    <n v="14"/>
    <n v="1"/>
    <n v="31"/>
    <n v="15"/>
    <n v="15"/>
    <n v="2.21"/>
    <n v="1.07"/>
    <n v="1.07"/>
    <n v="0"/>
    <x v="3"/>
    <s v="12-18 Months"/>
    <x v="0"/>
    <n v="13"/>
    <n v="13"/>
  </r>
  <r>
    <n v="170572"/>
    <s v="Duncanville Police Dept. - TX"/>
    <n v="13"/>
    <n v="69"/>
    <n v="1"/>
    <n v="33"/>
    <n v="33"/>
    <n v="33"/>
    <n v="0.48"/>
    <n v="0.48"/>
    <n v="0.48"/>
    <n v="70"/>
    <x v="3"/>
    <s v="12-18 Months"/>
    <x v="0"/>
    <n v="0"/>
    <n v="0"/>
  </r>
  <r>
    <n v="209124"/>
    <s v="Chattahoochee Hills Police Dept. -GA"/>
    <n v="13"/>
    <n v="12"/>
    <n v="1"/>
    <n v="8"/>
    <n v="8"/>
    <n v="8"/>
    <n v="0.67"/>
    <n v="0.67"/>
    <n v="0.67"/>
    <n v="16"/>
    <x v="3"/>
    <s v="12-18 Months"/>
    <x v="0"/>
    <n v="0"/>
    <n v="0"/>
  </r>
  <r>
    <n v="324011"/>
    <s v="Chase City Police Dept. - VA"/>
    <n v="13"/>
    <n v="10"/>
    <n v="1"/>
    <n v="0"/>
    <n v="0"/>
    <n v="0"/>
    <n v="0"/>
    <n v="0"/>
    <n v="0"/>
    <n v="0"/>
    <x v="3"/>
    <s v="12-18 Months"/>
    <x v="0"/>
    <n v="0"/>
    <n v="0"/>
  </r>
  <r>
    <n v="108630"/>
    <s v="Clarkdale Police Dept. - AZ"/>
    <n v="14"/>
    <n v="13"/>
    <n v="1"/>
    <n v="0"/>
    <n v="0"/>
    <n v="0"/>
    <n v="0"/>
    <n v="0"/>
    <n v="0"/>
    <n v="0"/>
    <x v="3"/>
    <s v="12-18 Months"/>
    <x v="0"/>
    <n v="0"/>
    <n v="0"/>
  </r>
  <r>
    <n v="115212"/>
    <s v="Chickasaw County Sheriff's Office - MS"/>
    <n v="14"/>
    <n v="14"/>
    <n v="1"/>
    <n v="96"/>
    <n v="56"/>
    <n v="56"/>
    <n v="6.86"/>
    <n v="4"/>
    <n v="4"/>
    <n v="56"/>
    <x v="3"/>
    <s v="12-18 Months"/>
    <x v="0"/>
    <n v="14"/>
    <n v="14"/>
  </r>
  <r>
    <n v="322489"/>
    <s v="Blackwell Police Department - OK"/>
    <n v="14"/>
    <n v="15"/>
    <n v="1"/>
    <n v="0"/>
    <n v="0"/>
    <n v="0"/>
    <n v="0"/>
    <n v="0"/>
    <n v="0"/>
    <n v="0"/>
    <x v="3"/>
    <s v="12-18 Months"/>
    <x v="0"/>
    <n v="0"/>
    <n v="0"/>
  </r>
  <r>
    <n v="129206"/>
    <s v="Hidalgo County Sheriff's Office - NM"/>
    <n v="15"/>
    <n v="1"/>
    <n v="1"/>
    <n v="0"/>
    <n v="0"/>
    <n v="0"/>
    <n v="0"/>
    <n v="0"/>
    <n v="0"/>
    <n v="0"/>
    <x v="3"/>
    <s v="12-18 Months"/>
    <x v="0"/>
    <n v="0"/>
    <n v="0"/>
  </r>
  <r>
    <n v="464190"/>
    <s v="Lonoke Police Department - AR"/>
    <n v="15"/>
    <n v="15"/>
    <n v="1"/>
    <n v="5"/>
    <n v="5"/>
    <n v="5"/>
    <n v="0.33"/>
    <n v="0.33"/>
    <n v="0.33"/>
    <n v="1"/>
    <x v="3"/>
    <s v="12-18 Months"/>
    <x v="0"/>
    <n v="0"/>
    <n v="0"/>
  </r>
  <r>
    <n v="556150"/>
    <s v="Rock Valley College Police - IL"/>
    <n v="15"/>
    <n v="4"/>
    <n v="1"/>
    <n v="5"/>
    <n v="5"/>
    <n v="5"/>
    <n v="1.25"/>
    <n v="1.25"/>
    <n v="1.25"/>
    <n v="0"/>
    <x v="3"/>
    <s v="12-18 Months"/>
    <x v="0"/>
    <n v="15"/>
    <n v="0"/>
  </r>
  <r>
    <n v="583348"/>
    <s v="Keene Police Dept. - NH"/>
    <n v="15"/>
    <n v="15"/>
    <n v="1"/>
    <n v="7"/>
    <n v="7"/>
    <n v="7"/>
    <n v="0.47"/>
    <n v="0.47"/>
    <n v="0.47"/>
    <n v="0"/>
    <x v="3"/>
    <s v="12-18 Months"/>
    <x v="0"/>
    <n v="0"/>
    <n v="0"/>
  </r>
  <r>
    <n v="108558"/>
    <s v="Western Washington University Police Dept. - WA"/>
    <n v="16"/>
    <n v="14"/>
    <n v="1"/>
    <n v="0"/>
    <n v="0"/>
    <n v="0"/>
    <n v="0"/>
    <n v="0"/>
    <n v="0"/>
    <n v="0"/>
    <x v="3"/>
    <s v="12-18 Months"/>
    <x v="0"/>
    <n v="0"/>
    <n v="0"/>
  </r>
  <r>
    <n v="235511"/>
    <s v="Topsham Police Department - ME"/>
    <n v="16"/>
    <n v="16"/>
    <n v="1"/>
    <n v="0"/>
    <n v="0"/>
    <n v="0"/>
    <n v="0"/>
    <n v="0"/>
    <n v="0"/>
    <n v="0"/>
    <x v="3"/>
    <s v="12-18 Months"/>
    <x v="0"/>
    <n v="0"/>
    <n v="0"/>
  </r>
  <r>
    <n v="326529"/>
    <s v="Granby Police Dept. - CT"/>
    <n v="16"/>
    <n v="18"/>
    <n v="1"/>
    <n v="0"/>
    <n v="0"/>
    <n v="0"/>
    <n v="0"/>
    <n v="0"/>
    <n v="0"/>
    <n v="0"/>
    <x v="3"/>
    <s v="12-18 Months"/>
    <x v="0"/>
    <n v="0"/>
    <n v="0"/>
  </r>
  <r>
    <n v="465215"/>
    <s v="Mount Vernon Police Dept. - IN"/>
    <n v="16"/>
    <n v="16"/>
    <n v="1"/>
    <n v="0"/>
    <n v="0"/>
    <n v="0"/>
    <n v="0"/>
    <n v="0"/>
    <n v="0"/>
    <n v="0"/>
    <x v="3"/>
    <s v="12-18 Months"/>
    <x v="0"/>
    <n v="0"/>
    <n v="0"/>
  </r>
  <r>
    <n v="485748"/>
    <s v="Mahnomen County Sheriff's Office - MN"/>
    <n v="17"/>
    <n v="17"/>
    <n v="1"/>
    <n v="0"/>
    <n v="0"/>
    <n v="0"/>
    <n v="0"/>
    <n v="0"/>
    <n v="0"/>
    <n v="0"/>
    <x v="3"/>
    <s v="12-18 Months"/>
    <x v="0"/>
    <n v="0"/>
    <n v="0"/>
  </r>
  <r>
    <n v="148782"/>
    <s v="Bartow Police Dept. - FL"/>
    <n v="18"/>
    <n v="50"/>
    <n v="1"/>
    <n v="0"/>
    <n v="0"/>
    <n v="0"/>
    <n v="0"/>
    <n v="0"/>
    <n v="0"/>
    <n v="0"/>
    <x v="3"/>
    <s v="12-18 Months"/>
    <x v="0"/>
    <n v="0"/>
    <n v="0"/>
  </r>
  <r>
    <n v="237178"/>
    <s v="Allen Police Dept. - TX"/>
    <n v="18"/>
    <n v="175"/>
    <n v="1"/>
    <n v="19"/>
    <n v="19"/>
    <n v="19"/>
    <n v="0.11"/>
    <n v="0.11"/>
    <n v="0.11"/>
    <n v="0"/>
    <x v="3"/>
    <s v="12-18 Months"/>
    <x v="1"/>
    <n v="0"/>
    <n v="0"/>
  </r>
  <r>
    <n v="326543"/>
    <s v="Commerce Police Dept.-GA"/>
    <n v="21"/>
    <n v="25"/>
    <n v="1"/>
    <n v="4"/>
    <n v="4"/>
    <n v="4"/>
    <n v="0.16"/>
    <n v="0.16"/>
    <n v="0.16"/>
    <n v="0"/>
    <x v="3"/>
    <s v="12-18 Months"/>
    <x v="0"/>
    <n v="0"/>
    <n v="0"/>
  </r>
  <r>
    <n v="113553"/>
    <s v="St. Helens Police Dept. - OR"/>
    <n v="22"/>
    <n v="14"/>
    <n v="1"/>
    <n v="32"/>
    <n v="32"/>
    <n v="32"/>
    <n v="2.29"/>
    <n v="2.29"/>
    <n v="2.29"/>
    <n v="61"/>
    <x v="3"/>
    <s v="12-18 Months"/>
    <x v="0"/>
    <n v="22"/>
    <n v="22"/>
  </r>
  <r>
    <n v="135461"/>
    <s v="Whiteville Police Dept. - NC"/>
    <n v="22"/>
    <n v="20"/>
    <n v="1"/>
    <n v="12"/>
    <n v="12"/>
    <n v="12"/>
    <n v="0.6"/>
    <n v="0.6"/>
    <n v="0.6"/>
    <n v="0"/>
    <x v="3"/>
    <s v="12-18 Months"/>
    <x v="0"/>
    <n v="0"/>
    <n v="0"/>
  </r>
  <r>
    <n v="317556"/>
    <s v="UTC-PUBLIC SAFETY"/>
    <n v="22"/>
    <n v="24"/>
    <n v="1"/>
    <n v="3"/>
    <n v="3"/>
    <n v="3"/>
    <n v="0.13"/>
    <n v="0.13"/>
    <n v="0.13"/>
    <n v="0"/>
    <x v="3"/>
    <s v="12-18 Months"/>
    <x v="0"/>
    <n v="0"/>
    <n v="0"/>
  </r>
  <r>
    <n v="211950"/>
    <s v="Logan County Detention Center"/>
    <n v="23"/>
    <n v="23"/>
    <n v="1"/>
    <n v="20"/>
    <n v="20"/>
    <n v="20"/>
    <n v="0.87"/>
    <n v="0.87"/>
    <n v="0.87"/>
    <n v="2"/>
    <x v="3"/>
    <s v="12-18 Months"/>
    <x v="0"/>
    <n v="23"/>
    <n v="0"/>
  </r>
  <r>
    <n v="109968"/>
    <s v="Hutchins Police Dept. - TX"/>
    <n v="24"/>
    <n v="24"/>
    <n v="1"/>
    <n v="0"/>
    <n v="0"/>
    <n v="0"/>
    <n v="0"/>
    <n v="0"/>
    <n v="0"/>
    <n v="0"/>
    <x v="3"/>
    <s v="12-18 Months"/>
    <x v="0"/>
    <n v="0"/>
    <n v="0"/>
  </r>
  <r>
    <n v="116393"/>
    <s v="Tremonton/Garland City Police Dept. - UT"/>
    <n v="25"/>
    <n v="25"/>
    <n v="1"/>
    <n v="50"/>
    <n v="50"/>
    <n v="50"/>
    <n v="2"/>
    <n v="2"/>
    <n v="2"/>
    <n v="122"/>
    <x v="3"/>
    <s v="12-18 Months"/>
    <x v="0"/>
    <n v="25"/>
    <n v="25"/>
  </r>
  <r>
    <n v="115913"/>
    <s v="Peculiar Police Dept - MO"/>
    <n v="26"/>
    <n v="14"/>
    <n v="1"/>
    <n v="0"/>
    <n v="0"/>
    <n v="0"/>
    <n v="0"/>
    <n v="0"/>
    <n v="0"/>
    <n v="0"/>
    <x v="3"/>
    <s v="12-18 Months"/>
    <x v="0"/>
    <n v="0"/>
    <n v="0"/>
  </r>
  <r>
    <n v="154280"/>
    <s v="Exeter Police Dept. - CA"/>
    <n v="26"/>
    <n v="15"/>
    <n v="1"/>
    <n v="4"/>
    <n v="4"/>
    <n v="4"/>
    <n v="0.27"/>
    <n v="0.27"/>
    <n v="0.27"/>
    <n v="0"/>
    <x v="3"/>
    <s v="12-18 Months"/>
    <x v="0"/>
    <n v="0"/>
    <n v="0"/>
  </r>
  <r>
    <n v="444824"/>
    <s v="Westampton Twp Police Dept - NJ"/>
    <n v="26"/>
    <n v="10"/>
    <n v="1"/>
    <n v="26"/>
    <n v="4"/>
    <n v="4"/>
    <n v="2.6"/>
    <n v="0.4"/>
    <n v="0.4"/>
    <n v="0"/>
    <x v="3"/>
    <s v="12-18 Months"/>
    <x v="0"/>
    <n v="26"/>
    <n v="26"/>
  </r>
  <r>
    <n v="108333"/>
    <s v="Tooele City Police Dept. - UT"/>
    <n v="27"/>
    <n v="27"/>
    <n v="1"/>
    <n v="3"/>
    <n v="3"/>
    <n v="3"/>
    <n v="0.11"/>
    <n v="0.11"/>
    <n v="0.11"/>
    <n v="0"/>
    <x v="3"/>
    <s v="12-18 Months"/>
    <x v="0"/>
    <n v="0"/>
    <n v="0"/>
  </r>
  <r>
    <n v="302704"/>
    <s v="Pulaski Circuit County Court - AR"/>
    <n v="27"/>
    <n v="27"/>
    <n v="1"/>
    <n v="42"/>
    <n v="42"/>
    <n v="42"/>
    <n v="1.56"/>
    <n v="1.56"/>
    <n v="1.56"/>
    <n v="21"/>
    <x v="3"/>
    <s v="12-18 Months"/>
    <x v="0"/>
    <n v="27"/>
    <n v="0"/>
  </r>
  <r>
    <n v="459920"/>
    <s v="Broussard Police Dept. - LA"/>
    <n v="27"/>
    <n v="37"/>
    <n v="1"/>
    <n v="0"/>
    <n v="0"/>
    <n v="0"/>
    <n v="0"/>
    <n v="0"/>
    <n v="0"/>
    <n v="0"/>
    <x v="3"/>
    <s v="12-18 Months"/>
    <x v="0"/>
    <n v="0"/>
    <n v="0"/>
  </r>
  <r>
    <n v="460848"/>
    <s v="Lee County Sheriff's Office - TX"/>
    <n v="28"/>
    <n v="28"/>
    <n v="1"/>
    <n v="53"/>
    <n v="53"/>
    <n v="53"/>
    <n v="1.89"/>
    <n v="1.89"/>
    <n v="1.89"/>
    <n v="45"/>
    <x v="3"/>
    <s v="12-18 Months"/>
    <x v="0"/>
    <n v="28"/>
    <n v="0"/>
  </r>
  <r>
    <n v="106964"/>
    <s v="Centralia Police Department - WA"/>
    <n v="30"/>
    <n v="30"/>
    <n v="1"/>
    <n v="0"/>
    <n v="0"/>
    <n v="0"/>
    <n v="0"/>
    <n v="0"/>
    <n v="0"/>
    <n v="0"/>
    <x v="3"/>
    <s v="12-18 Months"/>
    <x v="0"/>
    <n v="0"/>
    <n v="0"/>
  </r>
  <r>
    <n v="110634"/>
    <s v="Port Orange Police Dept - FL"/>
    <n v="30"/>
    <n v="106"/>
    <n v="1"/>
    <n v="4"/>
    <n v="4"/>
    <n v="4"/>
    <n v="0.04"/>
    <n v="0.04"/>
    <n v="0.04"/>
    <n v="0"/>
    <x v="3"/>
    <s v="12-18 Months"/>
    <x v="1"/>
    <n v="0"/>
    <n v="0"/>
  </r>
  <r>
    <n v="134271"/>
    <s v="San Luis Obispo Police Dept. - CA"/>
    <n v="30"/>
    <n v="15"/>
    <n v="1"/>
    <n v="13"/>
    <n v="13"/>
    <n v="13"/>
    <n v="0.87"/>
    <n v="0.87"/>
    <n v="0.87"/>
    <n v="0"/>
    <x v="3"/>
    <s v="12-18 Months"/>
    <x v="0"/>
    <n v="30"/>
    <n v="0"/>
  </r>
  <r>
    <n v="468613"/>
    <s v="Jersey Village Police Dept - TX"/>
    <n v="30"/>
    <n v="30"/>
    <n v="1"/>
    <n v="0"/>
    <n v="0"/>
    <n v="0"/>
    <n v="0"/>
    <n v="0"/>
    <n v="0"/>
    <n v="0"/>
    <x v="3"/>
    <s v="12-18 Months"/>
    <x v="0"/>
    <n v="0"/>
    <n v="0"/>
  </r>
  <r>
    <n v="117129"/>
    <s v="Lockhart Police Dept. - TX"/>
    <n v="31"/>
    <n v="31"/>
    <n v="1"/>
    <n v="100"/>
    <n v="100"/>
    <n v="100"/>
    <n v="3.23"/>
    <n v="3.23"/>
    <n v="3.23"/>
    <n v="0"/>
    <x v="3"/>
    <s v="12-18 Months"/>
    <x v="0"/>
    <n v="31"/>
    <n v="31"/>
  </r>
  <r>
    <n v="461052"/>
    <s v="University of Texas at Dallas Police Dept. - TX"/>
    <n v="31"/>
    <n v="35"/>
    <n v="1"/>
    <n v="0"/>
    <n v="0"/>
    <n v="0"/>
    <n v="0"/>
    <n v="0"/>
    <n v="0"/>
    <n v="0"/>
    <x v="3"/>
    <s v="12-18 Months"/>
    <x v="0"/>
    <n v="0"/>
    <n v="0"/>
  </r>
  <r>
    <n v="164827"/>
    <s v="Aransas Pass Police Dept. - TX"/>
    <n v="33"/>
    <n v="30"/>
    <n v="1"/>
    <n v="17"/>
    <n v="17"/>
    <n v="17"/>
    <n v="0.56999999999999995"/>
    <n v="0.56999999999999995"/>
    <n v="0.56999999999999995"/>
    <n v="0"/>
    <x v="3"/>
    <s v="12-18 Months"/>
    <x v="0"/>
    <n v="0"/>
    <n v="0"/>
  </r>
  <r>
    <n v="447257"/>
    <s v="Gloversville Police Department - NY"/>
    <n v="35"/>
    <n v="38"/>
    <n v="1"/>
    <n v="18"/>
    <n v="18"/>
    <n v="18"/>
    <n v="0.47"/>
    <n v="0.47"/>
    <n v="0.47"/>
    <n v="0"/>
    <x v="3"/>
    <s v="12-18 Months"/>
    <x v="0"/>
    <n v="0"/>
    <n v="0"/>
  </r>
  <r>
    <n v="455491"/>
    <s v="Bandera County Sheriff's Office - TX"/>
    <n v="36"/>
    <n v="36"/>
    <n v="1"/>
    <n v="0"/>
    <n v="0"/>
    <n v="0"/>
    <n v="0"/>
    <n v="0"/>
    <n v="0"/>
    <n v="0"/>
    <x v="3"/>
    <s v="12-18 Months"/>
    <x v="0"/>
    <n v="0"/>
    <n v="0"/>
  </r>
  <r>
    <n v="106409"/>
    <s v="Morgan County Sheriff - IN"/>
    <n v="37"/>
    <n v="37"/>
    <n v="1"/>
    <n v="19"/>
    <n v="19"/>
    <n v="19"/>
    <n v="0.51"/>
    <n v="0.51"/>
    <n v="0.51"/>
    <n v="0"/>
    <x v="3"/>
    <s v="12-18 Months"/>
    <x v="0"/>
    <n v="0"/>
    <n v="0"/>
  </r>
  <r>
    <n v="194782"/>
    <s v="Loves Park Police Dept. - IL"/>
    <n v="38"/>
    <n v="38"/>
    <n v="1"/>
    <n v="0"/>
    <n v="0"/>
    <n v="0"/>
    <n v="0"/>
    <n v="0"/>
    <n v="0"/>
    <n v="0"/>
    <x v="3"/>
    <s v="12-18 Months"/>
    <x v="0"/>
    <n v="0"/>
    <n v="0"/>
  </r>
  <r>
    <n v="305674"/>
    <s v="Portsmouth Police Dept - RI"/>
    <n v="39"/>
    <n v="41"/>
    <n v="1"/>
    <n v="0"/>
    <n v="0"/>
    <n v="0"/>
    <n v="0"/>
    <n v="0"/>
    <n v="0"/>
    <n v="0"/>
    <x v="3"/>
    <s v="12-18 Months"/>
    <x v="0"/>
    <n v="0"/>
    <n v="0"/>
  </r>
  <r>
    <n v="108381"/>
    <s v="Sanger Police Dept. - CA"/>
    <n v="40"/>
    <n v="40"/>
    <n v="1"/>
    <n v="0"/>
    <n v="0"/>
    <n v="0"/>
    <n v="0"/>
    <n v="0"/>
    <n v="0"/>
    <n v="0"/>
    <x v="3"/>
    <s v="12-18 Months"/>
    <x v="0"/>
    <n v="0"/>
    <n v="0"/>
  </r>
  <r>
    <n v="466395"/>
    <s v="Eatontown Police Dept. - NJ"/>
    <n v="45"/>
    <n v="45"/>
    <n v="1"/>
    <n v="1"/>
    <n v="1"/>
    <n v="1"/>
    <n v="0.02"/>
    <n v="0.02"/>
    <n v="0.02"/>
    <n v="0"/>
    <x v="3"/>
    <s v="12-18 Months"/>
    <x v="0"/>
    <n v="0"/>
    <n v="0"/>
  </r>
  <r>
    <n v="158401"/>
    <s v="La Vista Police Dept - NE"/>
    <n v="47"/>
    <n v="47"/>
    <n v="1"/>
    <n v="155"/>
    <n v="155"/>
    <n v="155"/>
    <n v="3.3"/>
    <n v="3.3"/>
    <n v="3.3"/>
    <n v="0"/>
    <x v="3"/>
    <s v="12-18 Months"/>
    <x v="0"/>
    <n v="47"/>
    <n v="47"/>
  </r>
  <r>
    <n v="110631"/>
    <s v="Oakland Housing Authority Police Dept. - CA"/>
    <n v="52"/>
    <n v="30"/>
    <n v="1"/>
    <n v="0"/>
    <n v="0"/>
    <n v="0"/>
    <n v="0"/>
    <n v="0"/>
    <n v="0"/>
    <n v="0"/>
    <x v="3"/>
    <s v="12-18 Months"/>
    <x v="0"/>
    <n v="0"/>
    <n v="0"/>
  </r>
  <r>
    <n v="109930"/>
    <s v="Acadia Parish Sheriff's Office - LA"/>
    <n v="55"/>
    <n v="70"/>
    <n v="1"/>
    <n v="46"/>
    <n v="46"/>
    <n v="46"/>
    <n v="0.66"/>
    <n v="0.66"/>
    <n v="0.66"/>
    <n v="65"/>
    <x v="3"/>
    <s v="12-18 Months"/>
    <x v="0"/>
    <n v="0"/>
    <n v="0"/>
  </r>
  <r>
    <n v="109037"/>
    <s v="Canton Township Police Dept. - MI"/>
    <n v="56"/>
    <n v="115"/>
    <n v="1"/>
    <n v="0"/>
    <n v="0"/>
    <n v="0"/>
    <n v="0"/>
    <n v="0"/>
    <n v="0"/>
    <n v="0"/>
    <x v="3"/>
    <s v="12-18 Months"/>
    <x v="1"/>
    <n v="0"/>
    <n v="0"/>
  </r>
  <r>
    <n v="108696"/>
    <s v="Vernon Police Dept. - CT"/>
    <n v="65"/>
    <n v="48"/>
    <n v="1"/>
    <n v="0"/>
    <n v="0"/>
    <n v="0"/>
    <n v="0"/>
    <n v="0"/>
    <n v="0"/>
    <n v="0"/>
    <x v="3"/>
    <s v="12-18 Months"/>
    <x v="0"/>
    <n v="0"/>
    <n v="0"/>
  </r>
  <r>
    <n v="121316"/>
    <s v="Sierra Vista Police Department - AZ"/>
    <n v="70"/>
    <n v="76"/>
    <n v="1"/>
    <n v="2"/>
    <n v="2"/>
    <n v="2"/>
    <n v="0.03"/>
    <n v="0.03"/>
    <n v="0.03"/>
    <n v="0"/>
    <x v="3"/>
    <s v="12-18 Months"/>
    <x v="0"/>
    <n v="0"/>
    <n v="0"/>
  </r>
  <r>
    <n v="328301"/>
    <s v="Dartmouth Police Dept - MA"/>
    <n v="72"/>
    <n v="72"/>
    <n v="1"/>
    <n v="0"/>
    <n v="0"/>
    <n v="0"/>
    <n v="0"/>
    <n v="0"/>
    <n v="0"/>
    <n v="0"/>
    <x v="3"/>
    <s v="12-18 Months"/>
    <x v="0"/>
    <n v="0"/>
    <n v="0"/>
  </r>
  <r>
    <n v="106879"/>
    <s v="El Mirage Police Dept. - AZ"/>
    <n v="73"/>
    <n v="76"/>
    <n v="1"/>
    <n v="36"/>
    <n v="36"/>
    <n v="36"/>
    <n v="0.47"/>
    <n v="0.47"/>
    <n v="0.47"/>
    <n v="127"/>
    <x v="3"/>
    <s v="12-18 Months"/>
    <x v="0"/>
    <n v="0"/>
    <n v="0"/>
  </r>
  <r>
    <n v="139047"/>
    <s v="Statesboro Police Department - GA"/>
    <n v="75"/>
    <n v="68"/>
    <n v="1"/>
    <n v="165"/>
    <n v="47"/>
    <n v="47"/>
    <n v="2.4300000000000002"/>
    <n v="0.69"/>
    <n v="0.69"/>
    <n v="0"/>
    <x v="3"/>
    <s v="12-18 Months"/>
    <x v="0"/>
    <n v="75"/>
    <n v="75"/>
  </r>
  <r>
    <n v="487475"/>
    <s v="Killeen I.S.D. Police Department - TX"/>
    <n v="75"/>
    <n v="75"/>
    <n v="1"/>
    <n v="0"/>
    <n v="0"/>
    <n v="0"/>
    <n v="0"/>
    <n v="0"/>
    <n v="0"/>
    <n v="0"/>
    <x v="3"/>
    <s v="12-18 Months"/>
    <x v="0"/>
    <n v="0"/>
    <n v="0"/>
  </r>
  <r>
    <n v="312157"/>
    <s v="Randolph Police Dept. - MA"/>
    <n v="80"/>
    <n v="80"/>
    <n v="1"/>
    <n v="0"/>
    <n v="0"/>
    <n v="0"/>
    <n v="0"/>
    <n v="0"/>
    <n v="0"/>
    <n v="0"/>
    <x v="3"/>
    <s v="12-18 Months"/>
    <x v="0"/>
    <n v="0"/>
    <n v="0"/>
  </r>
  <r>
    <n v="107991"/>
    <s v="Caldwell Police Dept. - ID"/>
    <n v="101"/>
    <n v="100"/>
    <n v="1"/>
    <n v="0"/>
    <n v="0"/>
    <n v="0"/>
    <n v="0"/>
    <n v="0"/>
    <n v="0"/>
    <n v="0"/>
    <x v="3"/>
    <s v="12-18 Months"/>
    <x v="1"/>
    <n v="0"/>
    <n v="0"/>
  </r>
  <r>
    <n v="108523"/>
    <s v="Parker County Sheriff's Office - TX"/>
    <n v="105"/>
    <n v="85"/>
    <n v="1"/>
    <n v="1"/>
    <n v="1"/>
    <n v="1"/>
    <n v="0.01"/>
    <n v="0.01"/>
    <n v="0.01"/>
    <n v="0"/>
    <x v="3"/>
    <s v="12-18 Months"/>
    <x v="0"/>
    <n v="0"/>
    <n v="0"/>
  </r>
  <r>
    <n v="115272"/>
    <s v="Enfield Police Department - CT"/>
    <n v="109"/>
    <n v="102"/>
    <n v="1"/>
    <n v="0"/>
    <n v="0"/>
    <n v="0"/>
    <n v="0"/>
    <n v="0"/>
    <n v="0"/>
    <n v="0"/>
    <x v="3"/>
    <s v="12-18 Months"/>
    <x v="1"/>
    <n v="0"/>
    <n v="0"/>
  </r>
  <r>
    <n v="466325"/>
    <s v="Nashville Metro Airport Police Dept- TN"/>
    <n v="115"/>
    <n v="115"/>
    <n v="1"/>
    <n v="0"/>
    <n v="0"/>
    <n v="0"/>
    <n v="0"/>
    <n v="0"/>
    <n v="0"/>
    <n v="0"/>
    <x v="3"/>
    <s v="12-18 Months"/>
    <x v="1"/>
    <n v="0"/>
    <n v="0"/>
  </r>
  <r>
    <n v="114568"/>
    <s v="Burleson Police Dept. - TX"/>
    <n v="118"/>
    <n v="100"/>
    <n v="1"/>
    <n v="17"/>
    <n v="17"/>
    <n v="17"/>
    <n v="0.17"/>
    <n v="0.17"/>
    <n v="0.17"/>
    <n v="18"/>
    <x v="3"/>
    <s v="12-18 Months"/>
    <x v="1"/>
    <n v="0"/>
    <n v="0"/>
  </r>
  <r>
    <n v="214275"/>
    <s v="Riley County Police Dept.- KS"/>
    <n v="124"/>
    <n v="105"/>
    <n v="1"/>
    <n v="89"/>
    <n v="80"/>
    <n v="80"/>
    <n v="0.85"/>
    <n v="0.76"/>
    <n v="0.76"/>
    <n v="3"/>
    <x v="3"/>
    <s v="12-18 Months"/>
    <x v="1"/>
    <n v="124"/>
    <n v="0"/>
  </r>
  <r>
    <n v="109468"/>
    <s v="Colton Police Dept. - CA"/>
    <n v="126"/>
    <n v="75"/>
    <n v="1"/>
    <n v="4"/>
    <n v="4"/>
    <n v="4"/>
    <n v="0.05"/>
    <n v="0.05"/>
    <n v="0.05"/>
    <n v="1"/>
    <x v="3"/>
    <s v="12-18 Months"/>
    <x v="0"/>
    <n v="0"/>
    <n v="0"/>
  </r>
  <r>
    <n v="147404"/>
    <s v="Antioch Police Department - CA"/>
    <n v="132"/>
    <n v="120"/>
    <n v="1"/>
    <n v="0"/>
    <n v="0"/>
    <n v="0"/>
    <n v="0"/>
    <n v="0"/>
    <n v="0"/>
    <n v="0"/>
    <x v="3"/>
    <s v="12-18 Months"/>
    <x v="1"/>
    <n v="0"/>
    <n v="0"/>
  </r>
  <r>
    <n v="120026"/>
    <s v="West Haven Police Dept - CT"/>
    <n v="135"/>
    <n v="126"/>
    <n v="1"/>
    <n v="48"/>
    <n v="48"/>
    <n v="48"/>
    <n v="0.38"/>
    <n v="0.38"/>
    <n v="0.38"/>
    <n v="39"/>
    <x v="3"/>
    <s v="12-18 Months"/>
    <x v="1"/>
    <n v="0"/>
    <n v="0"/>
  </r>
  <r>
    <n v="108655"/>
    <s v="Brazos County Sheriff's Office - TX"/>
    <n v="141"/>
    <n v="180"/>
    <n v="1"/>
    <n v="26"/>
    <n v="26"/>
    <n v="26"/>
    <n v="0.14000000000000001"/>
    <n v="0.14000000000000001"/>
    <n v="0.14000000000000001"/>
    <n v="55"/>
    <x v="3"/>
    <s v="12-18 Months"/>
    <x v="1"/>
    <n v="0"/>
    <n v="0"/>
  </r>
  <r>
    <n v="108339"/>
    <s v="Ogden Police Dept. - UT"/>
    <n v="168"/>
    <n v="112"/>
    <n v="1"/>
    <n v="0"/>
    <n v="0"/>
    <n v="0"/>
    <n v="0"/>
    <n v="0"/>
    <n v="0"/>
    <n v="0"/>
    <x v="3"/>
    <s v="12-18 Months"/>
    <x v="1"/>
    <n v="0"/>
    <n v="0"/>
  </r>
  <r>
    <n v="484057"/>
    <s v="San Diego Unified Port District"/>
    <n v="171"/>
    <n v="155"/>
    <n v="1"/>
    <n v="15"/>
    <n v="15"/>
    <n v="15"/>
    <n v="0.1"/>
    <n v="0.1"/>
    <n v="0.1"/>
    <n v="13"/>
    <x v="3"/>
    <s v="12-18 Months"/>
    <x v="1"/>
    <n v="0"/>
    <n v="0"/>
  </r>
  <r>
    <n v="156865"/>
    <s v="Brownsville Police Department - TX"/>
    <n v="190"/>
    <n v="159"/>
    <n v="1"/>
    <n v="3"/>
    <n v="3"/>
    <n v="3"/>
    <n v="0.02"/>
    <n v="0.02"/>
    <n v="0.02"/>
    <n v="0"/>
    <x v="3"/>
    <s v="12-18 Months"/>
    <x v="1"/>
    <n v="0"/>
    <n v="0"/>
  </r>
  <r>
    <n v="198534"/>
    <s v="Penn State University Police Department - PA"/>
    <n v="215"/>
    <n v="180"/>
    <n v="1"/>
    <n v="0"/>
    <n v="0"/>
    <n v="0"/>
    <n v="0"/>
    <n v="0"/>
    <n v="0"/>
    <n v="0"/>
    <x v="3"/>
    <s v="12-18 Months"/>
    <x v="1"/>
    <n v="0"/>
    <n v="0"/>
  </r>
  <r>
    <n v="361351"/>
    <s v="Lewisville Police Dept. - TX"/>
    <n v="228"/>
    <n v="201"/>
    <n v="1"/>
    <n v="0"/>
    <n v="0"/>
    <n v="0"/>
    <n v="0"/>
    <n v="0"/>
    <n v="0"/>
    <n v="0"/>
    <x v="3"/>
    <s v="12-18 Months"/>
    <x v="1"/>
    <n v="0"/>
    <n v="0"/>
  </r>
  <r>
    <n v="112324"/>
    <s v="Harford County Sheriff's Office - MD"/>
    <n v="357"/>
    <n v="565"/>
    <n v="1"/>
    <n v="0"/>
    <n v="0"/>
    <n v="0"/>
    <n v="0"/>
    <n v="0"/>
    <n v="0"/>
    <n v="0"/>
    <x v="3"/>
    <s v="12-18 Months"/>
    <x v="2"/>
    <n v="0"/>
    <n v="0"/>
  </r>
  <r>
    <n v="465953"/>
    <s v="Colorado Parks and Wildlife Headquarters - CO"/>
    <n v="456"/>
    <n v="411"/>
    <n v="1"/>
    <n v="0"/>
    <n v="0"/>
    <n v="0"/>
    <n v="0"/>
    <n v="0"/>
    <n v="0"/>
    <n v="0"/>
    <x v="3"/>
    <s v="12-18 Months"/>
    <x v="1"/>
    <n v="0"/>
    <n v="0"/>
  </r>
  <r>
    <n v="458250"/>
    <s v="Steele County Sheriff's Office - ND"/>
    <n v="630"/>
    <n v="2"/>
    <n v="1"/>
    <n v="0"/>
    <n v="0"/>
    <n v="0"/>
    <n v="0"/>
    <n v="0"/>
    <n v="0"/>
    <n v="0"/>
    <x v="3"/>
    <s v="12-18 Months"/>
    <x v="0"/>
    <n v="0"/>
    <n v="0"/>
  </r>
  <r>
    <n v="107327"/>
    <s v="Ellensburg Police Dept. - WA"/>
    <n v="0"/>
    <n v="35"/>
    <n v="0"/>
    <n v="0"/>
    <n v="0"/>
    <n v="0"/>
    <n v="0"/>
    <n v="0"/>
    <n v="0"/>
    <n v="0"/>
    <x v="3"/>
    <s v="12-18 Months"/>
    <x v="0"/>
    <n v="0"/>
    <n v="0"/>
  </r>
  <r>
    <n v="108149"/>
    <s v="Grant County Sheriff's Office - MN"/>
    <n v="0"/>
    <n v="11"/>
    <n v="0"/>
    <n v="0"/>
    <n v="0"/>
    <n v="0"/>
    <n v="0"/>
    <n v="0"/>
    <n v="0"/>
    <n v="0"/>
    <x v="3"/>
    <s v="12-18 Months"/>
    <x v="0"/>
    <n v="0"/>
    <n v="0"/>
  </r>
  <r>
    <n v="108542"/>
    <s v="Trophy Club Police Dept. - TX"/>
    <n v="0"/>
    <n v="23"/>
    <n v="0"/>
    <n v="0"/>
    <n v="0"/>
    <n v="0"/>
    <n v="0"/>
    <n v="0"/>
    <n v="0"/>
    <n v="0"/>
    <x v="3"/>
    <s v="12-18 Months"/>
    <x v="0"/>
    <n v="0"/>
    <n v="0"/>
  </r>
  <r>
    <n v="108758"/>
    <s v="Chatfield Police Dept. - MN"/>
    <n v="0"/>
    <n v="6"/>
    <n v="0"/>
    <n v="0"/>
    <n v="0"/>
    <n v="0"/>
    <n v="0"/>
    <n v="0"/>
    <n v="0"/>
    <n v="0"/>
    <x v="3"/>
    <s v="12-18 Months"/>
    <x v="0"/>
    <n v="0"/>
    <n v="0"/>
  </r>
  <r>
    <n v="109944"/>
    <s v="Troy Police Dept. - IL"/>
    <n v="0"/>
    <n v="25"/>
    <n v="0"/>
    <n v="0"/>
    <n v="0"/>
    <n v="0"/>
    <n v="0"/>
    <n v="0"/>
    <n v="0"/>
    <n v="0"/>
    <x v="3"/>
    <s v="12-18 Months"/>
    <x v="0"/>
    <n v="0"/>
    <n v="0"/>
  </r>
  <r>
    <n v="110959"/>
    <s v="Athens Police Dept. - TX"/>
    <n v="0"/>
    <n v="25"/>
    <n v="0"/>
    <n v="0"/>
    <n v="0"/>
    <n v="0"/>
    <n v="0"/>
    <n v="0"/>
    <n v="0"/>
    <n v="0"/>
    <x v="3"/>
    <s v="12-18 Months"/>
    <x v="0"/>
    <n v="0"/>
    <n v="0"/>
  </r>
  <r>
    <n v="112331"/>
    <s v="Oneida County Sheriff's Office - WI"/>
    <n v="0"/>
    <n v="15"/>
    <n v="0"/>
    <n v="0"/>
    <n v="0"/>
    <n v="0"/>
    <n v="0"/>
    <n v="0"/>
    <n v="0"/>
    <n v="0"/>
    <x v="3"/>
    <s v="12-18 Months"/>
    <x v="0"/>
    <n v="0"/>
    <n v="0"/>
  </r>
  <r>
    <n v="112436"/>
    <s v="Arnold Police Dept. - MO"/>
    <n v="0"/>
    <n v="52"/>
    <n v="0"/>
    <n v="46"/>
    <n v="46"/>
    <n v="46"/>
    <n v="0.88"/>
    <n v="0.88"/>
    <n v="0.88"/>
    <n v="63"/>
    <x v="3"/>
    <s v="12-18 Months"/>
    <x v="0"/>
    <n v="0"/>
    <n v="0"/>
  </r>
  <r>
    <n v="114037"/>
    <s v="Mineral Wells Police Dept.-TX"/>
    <n v="0"/>
    <n v="38"/>
    <n v="0"/>
    <n v="0"/>
    <n v="0"/>
    <n v="0"/>
    <n v="0"/>
    <n v="0"/>
    <n v="0"/>
    <n v="0"/>
    <x v="3"/>
    <s v="12-18 Months"/>
    <x v="0"/>
    <n v="0"/>
    <n v="0"/>
  </r>
  <r>
    <n v="128428"/>
    <s v="Onslow County Sheriff's Office - NC"/>
    <n v="0"/>
    <n v="135"/>
    <n v="0"/>
    <n v="0"/>
    <n v="0"/>
    <n v="0"/>
    <n v="0"/>
    <n v="0"/>
    <n v="0"/>
    <n v="0"/>
    <x v="3"/>
    <s v="12-18 Months"/>
    <x v="1"/>
    <n v="0"/>
    <n v="0"/>
  </r>
  <r>
    <n v="144040"/>
    <s v="Norcross Police Dept. - GA"/>
    <n v="0"/>
    <n v="53"/>
    <n v="0"/>
    <n v="38"/>
    <n v="38"/>
    <n v="38"/>
    <n v="0.72"/>
    <n v="0.72"/>
    <n v="0.72"/>
    <n v="8"/>
    <x v="3"/>
    <s v="12-18 Months"/>
    <x v="0"/>
    <n v="0"/>
    <n v="0"/>
  </r>
  <r>
    <n v="157648"/>
    <s v="Center Police Dept. - TX"/>
    <n v="0"/>
    <n v="4"/>
    <n v="0"/>
    <n v="2"/>
    <n v="2"/>
    <n v="2"/>
    <n v="0.5"/>
    <n v="0.5"/>
    <n v="0.5"/>
    <n v="0"/>
    <x v="3"/>
    <s v="12-18 Months"/>
    <x v="0"/>
    <n v="0"/>
    <n v="0"/>
  </r>
  <r>
    <n v="159536"/>
    <s v="Dona Ana County Detention Center - NM"/>
    <n v="0"/>
    <n v="60"/>
    <n v="0"/>
    <n v="0"/>
    <n v="0"/>
    <n v="0"/>
    <n v="0"/>
    <n v="0"/>
    <n v="0"/>
    <n v="0"/>
    <x v="3"/>
    <s v="12-18 Months"/>
    <x v="0"/>
    <n v="0"/>
    <n v="0"/>
  </r>
  <r>
    <n v="182144"/>
    <s v="Neosho Police Department - MO"/>
    <n v="0"/>
    <n v="20"/>
    <n v="0"/>
    <n v="1"/>
    <n v="1"/>
    <n v="1"/>
    <n v="0.05"/>
    <n v="0.05"/>
    <n v="0.05"/>
    <n v="0"/>
    <x v="3"/>
    <s v="12-18 Months"/>
    <x v="0"/>
    <n v="0"/>
    <n v="0"/>
  </r>
  <r>
    <n v="184553"/>
    <s v="El Portal Police Dept.-FL"/>
    <n v="0"/>
    <n v="14"/>
    <n v="0"/>
    <n v="0"/>
    <n v="0"/>
    <n v="0"/>
    <n v="0"/>
    <n v="0"/>
    <n v="0"/>
    <n v="0"/>
    <x v="3"/>
    <s v="12-18 Months"/>
    <x v="0"/>
    <n v="0"/>
    <n v="0"/>
  </r>
  <r>
    <n v="193092"/>
    <s v="Proctor Police Dept.- MN"/>
    <n v="0"/>
    <n v="8"/>
    <n v="0"/>
    <n v="13"/>
    <n v="13"/>
    <n v="13"/>
    <n v="1.63"/>
    <n v="1.63"/>
    <n v="1.63"/>
    <n v="0"/>
    <x v="3"/>
    <s v="12-18 Months"/>
    <x v="0"/>
    <n v="0"/>
    <n v="0"/>
  </r>
  <r>
    <n v="194258"/>
    <s v="Lisbon Police Dept. - ME"/>
    <n v="0"/>
    <n v="20"/>
    <n v="0"/>
    <n v="5"/>
    <n v="5"/>
    <n v="5"/>
    <n v="0.25"/>
    <n v="0.25"/>
    <n v="0.25"/>
    <n v="0"/>
    <x v="3"/>
    <s v="12-18 Months"/>
    <x v="0"/>
    <n v="0"/>
    <n v="0"/>
  </r>
  <r>
    <n v="197632"/>
    <s v="Rains County Sheriff's Office - TX"/>
    <n v="0"/>
    <n v="15"/>
    <n v="0"/>
    <n v="0"/>
    <n v="0"/>
    <n v="0"/>
    <n v="0"/>
    <n v="0"/>
    <n v="0"/>
    <n v="0"/>
    <x v="3"/>
    <s v="12-18 Months"/>
    <x v="0"/>
    <n v="0"/>
    <n v="0"/>
  </r>
  <r>
    <n v="205040"/>
    <s v="Van Zandt County Constable Precinct 4"/>
    <n v="0"/>
    <n v="4"/>
    <n v="0"/>
    <n v="0"/>
    <n v="0"/>
    <n v="0"/>
    <n v="0"/>
    <n v="0"/>
    <n v="0"/>
    <n v="0"/>
    <x v="3"/>
    <s v="12-18 Months"/>
    <x v="0"/>
    <n v="0"/>
    <n v="0"/>
  </r>
  <r>
    <n v="216777"/>
    <s v="ATTALA COUNTY SHERIFF'S OFFICE - MS"/>
    <n v="0"/>
    <n v="15"/>
    <n v="0"/>
    <n v="54"/>
    <n v="54"/>
    <n v="54"/>
    <n v="3.6"/>
    <n v="3.6"/>
    <n v="3.6"/>
    <n v="0"/>
    <x v="3"/>
    <s v="12-18 Months"/>
    <x v="0"/>
    <n v="0"/>
    <n v="0"/>
  </r>
  <r>
    <n v="224325"/>
    <s v="Lisbon Police Dept. - NH"/>
    <n v="0"/>
    <n v="5"/>
    <n v="0"/>
    <n v="0"/>
    <n v="0"/>
    <n v="0"/>
    <n v="0"/>
    <n v="0"/>
    <n v="0"/>
    <n v="0"/>
    <x v="3"/>
    <s v="12-18 Months"/>
    <x v="0"/>
    <n v="0"/>
    <n v="0"/>
  </r>
  <r>
    <n v="228009"/>
    <s v="Fairmount Police Dept. - GA"/>
    <n v="0"/>
    <n v="7"/>
    <n v="0"/>
    <n v="0"/>
    <n v="0"/>
    <n v="0"/>
    <n v="0"/>
    <n v="0"/>
    <n v="0"/>
    <n v="0"/>
    <x v="3"/>
    <s v="12-18 Months"/>
    <x v="0"/>
    <n v="0"/>
    <n v="0"/>
  </r>
  <r>
    <n v="316358"/>
    <s v="University of Massachusetts - Lowell"/>
    <n v="0"/>
    <n v="20"/>
    <n v="0"/>
    <n v="0"/>
    <n v="0"/>
    <n v="0"/>
    <n v="0"/>
    <n v="0"/>
    <n v="0"/>
    <n v="0"/>
    <x v="3"/>
    <s v="12-18 Months"/>
    <x v="0"/>
    <n v="0"/>
    <n v="0"/>
  </r>
  <r>
    <n v="318537"/>
    <s v="Lincoln Police Department - ND"/>
    <n v="0"/>
    <n v="8"/>
    <n v="0"/>
    <n v="11"/>
    <n v="11"/>
    <n v="11"/>
    <n v="1.38"/>
    <n v="1.38"/>
    <n v="1.38"/>
    <n v="46"/>
    <x v="3"/>
    <s v="12-18 Months"/>
    <x v="0"/>
    <n v="0"/>
    <n v="0"/>
  </r>
  <r>
    <n v="319164"/>
    <s v="Llano County Sheriff's - TX"/>
    <n v="0"/>
    <n v="25"/>
    <n v="0"/>
    <n v="0"/>
    <n v="0"/>
    <n v="0"/>
    <n v="0"/>
    <n v="0"/>
    <n v="0"/>
    <n v="0"/>
    <x v="3"/>
    <s v="12-18 Months"/>
    <x v="0"/>
    <n v="0"/>
    <n v="0"/>
  </r>
  <r>
    <n v="324451"/>
    <s v="Ronceverte City Police Dept. - WV"/>
    <n v="0"/>
    <n v="6"/>
    <n v="0"/>
    <n v="0"/>
    <n v="0"/>
    <n v="0"/>
    <n v="0"/>
    <n v="0"/>
    <n v="0"/>
    <n v="0"/>
    <x v="3"/>
    <s v="12-18 Months"/>
    <x v="0"/>
    <n v="0"/>
    <n v="0"/>
  </r>
  <r>
    <n v="327072"/>
    <s v="Peru Police Department - IL"/>
    <n v="0"/>
    <n v="15"/>
    <n v="0"/>
    <n v="0"/>
    <n v="0"/>
    <n v="0"/>
    <n v="0"/>
    <n v="0"/>
    <n v="0"/>
    <n v="0"/>
    <x v="3"/>
    <s v="12-18 Months"/>
    <x v="0"/>
    <n v="0"/>
    <n v="0"/>
  </r>
  <r>
    <n v="445084"/>
    <s v="Kansas State University Police Dept. - KS"/>
    <n v="0"/>
    <n v="12"/>
    <n v="0"/>
    <n v="0"/>
    <n v="0"/>
    <n v="0"/>
    <n v="0"/>
    <n v="0"/>
    <n v="0"/>
    <n v="0"/>
    <x v="3"/>
    <s v="12-18 Months"/>
    <x v="0"/>
    <n v="0"/>
    <n v="0"/>
  </r>
  <r>
    <n v="451247"/>
    <s v="Schulenburg Police Dept. - TX"/>
    <n v="0"/>
    <n v="9"/>
    <n v="0"/>
    <n v="0"/>
    <n v="0"/>
    <n v="0"/>
    <n v="0"/>
    <n v="0"/>
    <n v="0"/>
    <n v="0"/>
    <x v="3"/>
    <s v="12-18 Months"/>
    <x v="0"/>
    <n v="0"/>
    <n v="0"/>
  </r>
  <r>
    <n v="462480"/>
    <s v="Coryell County Sheriff's Office - TX"/>
    <n v="0"/>
    <n v="20"/>
    <n v="0"/>
    <n v="0"/>
    <n v="0"/>
    <n v="0"/>
    <n v="0"/>
    <n v="0"/>
    <n v="0"/>
    <n v="0"/>
    <x v="3"/>
    <s v="12-18 Months"/>
    <x v="0"/>
    <n v="0"/>
    <n v="0"/>
  </r>
  <r>
    <n v="465596"/>
    <s v="Walnutport Police Dept - PA"/>
    <n v="0"/>
    <n v="5"/>
    <n v="0"/>
    <n v="0"/>
    <n v="0"/>
    <n v="0"/>
    <n v="0"/>
    <n v="0"/>
    <n v="0"/>
    <n v="0"/>
    <x v="3"/>
    <s v="12-18 Months"/>
    <x v="0"/>
    <n v="0"/>
    <n v="0"/>
  </r>
  <r>
    <n v="465793"/>
    <s v="Oregon Humane Law Enforcement -OR"/>
    <n v="0"/>
    <n v="3"/>
    <n v="0"/>
    <n v="5"/>
    <n v="5"/>
    <n v="5"/>
    <n v="1.67"/>
    <n v="1.67"/>
    <n v="1.67"/>
    <n v="0"/>
    <x v="3"/>
    <s v="12-18 Months"/>
    <x v="0"/>
    <n v="0"/>
    <n v="0"/>
  </r>
  <r>
    <n v="466403"/>
    <s v="Warrensburg Police Department - MO"/>
    <n v="0"/>
    <n v="41"/>
    <n v="0"/>
    <n v="0"/>
    <n v="0"/>
    <n v="0"/>
    <n v="0"/>
    <n v="0"/>
    <n v="0"/>
    <n v="0"/>
    <x v="3"/>
    <s v="12-18 Months"/>
    <x v="0"/>
    <n v="0"/>
    <n v="0"/>
  </r>
  <r>
    <n v="469102"/>
    <s v="Metropolitan Knoxville Airport Authority Police - TN"/>
    <n v="0"/>
    <n v="31"/>
    <n v="0"/>
    <n v="0"/>
    <n v="0"/>
    <n v="0"/>
    <n v="0"/>
    <n v="0"/>
    <n v="0"/>
    <n v="0"/>
    <x v="3"/>
    <s v="12-18 Months"/>
    <x v="0"/>
    <n v="0"/>
    <n v="0"/>
  </r>
  <r>
    <n v="475795"/>
    <s v="Fulton County Adult and Juvenile Probation Dept. - PA"/>
    <n v="0"/>
    <n v="7"/>
    <n v="0"/>
    <n v="0"/>
    <n v="0"/>
    <n v="0"/>
    <n v="0"/>
    <n v="0"/>
    <n v="0"/>
    <n v="0"/>
    <x v="3"/>
    <s v="12-18 Months"/>
    <x v="0"/>
    <n v="0"/>
    <n v="0"/>
  </r>
  <r>
    <n v="487359"/>
    <s v="Gothenburg Police Department - NE"/>
    <n v="0"/>
    <n v="7"/>
    <n v="0"/>
    <n v="4"/>
    <n v="4"/>
    <n v="4"/>
    <n v="0.56999999999999995"/>
    <n v="0.56999999999999995"/>
    <n v="0.56999999999999995"/>
    <n v="4"/>
    <x v="3"/>
    <s v="12-18 Months"/>
    <x v="0"/>
    <n v="0"/>
    <n v="0"/>
  </r>
  <r>
    <n v="488900"/>
    <s v="Caddo County Sheriff's Office - OK"/>
    <n v="0"/>
    <n v="16"/>
    <n v="0"/>
    <n v="0"/>
    <n v="0"/>
    <n v="0"/>
    <n v="0"/>
    <n v="0"/>
    <n v="0"/>
    <n v="0"/>
    <x v="3"/>
    <s v="12-18 Months"/>
    <x v="0"/>
    <n v="0"/>
    <n v="0"/>
  </r>
  <r>
    <n v="494760"/>
    <s v="Maricopa Community College Police Dept - AZ"/>
    <n v="0"/>
    <n v="75"/>
    <n v="0"/>
    <n v="0"/>
    <n v="0"/>
    <n v="0"/>
    <n v="0"/>
    <n v="0"/>
    <n v="0"/>
    <n v="0"/>
    <x v="3"/>
    <s v="12-18 Months"/>
    <x v="0"/>
    <n v="0"/>
    <n v="0"/>
  </r>
  <r>
    <n v="501978"/>
    <s v="Mosheim Police Department - TN"/>
    <n v="0"/>
    <n v="5"/>
    <n v="0"/>
    <n v="0"/>
    <n v="0"/>
    <n v="0"/>
    <n v="0"/>
    <n v="0"/>
    <n v="0"/>
    <n v="0"/>
    <x v="3"/>
    <s v="12-18 Months"/>
    <x v="0"/>
    <n v="0"/>
    <n v="0"/>
  </r>
  <r>
    <n v="507320"/>
    <s v="Portland Borough Police Department - PA"/>
    <n v="0"/>
    <n v="2"/>
    <n v="0"/>
    <n v="0"/>
    <n v="0"/>
    <n v="0"/>
    <n v="0"/>
    <n v="0"/>
    <n v="0"/>
    <n v="0"/>
    <x v="3"/>
    <s v="12-18 Months"/>
    <x v="0"/>
    <n v="0"/>
    <n v="0"/>
  </r>
  <r>
    <n v="513383"/>
    <s v="39th District Court - MI"/>
    <n v="0"/>
    <n v="12"/>
    <n v="0"/>
    <n v="0"/>
    <n v="0"/>
    <n v="0"/>
    <n v="0"/>
    <n v="0"/>
    <n v="0"/>
    <n v="0"/>
    <x v="3"/>
    <s v="12-18 Months"/>
    <x v="0"/>
    <n v="0"/>
    <n v="0"/>
  </r>
  <r>
    <n v="514640"/>
    <s v="NEW LEBANON POLICE DEPT. - OH"/>
    <n v="0"/>
    <n v="12"/>
    <n v="0"/>
    <n v="0"/>
    <n v="0"/>
    <n v="0"/>
    <n v="0"/>
    <n v="0"/>
    <n v="0"/>
    <n v="0"/>
    <x v="3"/>
    <s v="12-18 Months"/>
    <x v="0"/>
    <n v="0"/>
    <n v="0"/>
  </r>
  <r>
    <n v="515059"/>
    <s v="ELGIN POLICE DEPT. - OK"/>
    <n v="0"/>
    <n v="7"/>
    <n v="0"/>
    <n v="1"/>
    <n v="1"/>
    <n v="1"/>
    <n v="0.14000000000000001"/>
    <n v="0.14000000000000001"/>
    <n v="0.14000000000000001"/>
    <n v="0"/>
    <x v="3"/>
    <s v="12-18 Months"/>
    <x v="0"/>
    <n v="0"/>
    <n v="0"/>
  </r>
  <r>
    <n v="538448"/>
    <s v="Piedmont Regional Jail, VA"/>
    <n v="0"/>
    <n v="5"/>
    <n v="0"/>
    <n v="0"/>
    <n v="0"/>
    <n v="0"/>
    <n v="0"/>
    <n v="0"/>
    <n v="0"/>
    <n v="0"/>
    <x v="3"/>
    <s v="12-18 Months"/>
    <x v="0"/>
    <n v="0"/>
    <n v="0"/>
  </r>
  <r>
    <n v="606973"/>
    <s v="Northwest Regional Airport Authority Police Department - MI"/>
    <n v="0"/>
    <n v="12"/>
    <n v="0"/>
    <n v="0"/>
    <n v="0"/>
    <n v="0"/>
    <n v="0"/>
    <n v="0"/>
    <n v="0"/>
    <n v="0"/>
    <x v="3"/>
    <s v="12-18 Months"/>
    <x v="0"/>
    <n v="0"/>
    <n v="0"/>
  </r>
  <r>
    <n v="611350"/>
    <s v="Starr County Constable Pct 4."/>
    <n v="0"/>
    <n v="1"/>
    <n v="0"/>
    <n v="0"/>
    <n v="0"/>
    <n v="0"/>
    <n v="0"/>
    <n v="0"/>
    <n v="0"/>
    <n v="0"/>
    <x v="3"/>
    <s v="12-18 Months"/>
    <x v="0"/>
    <n v="0"/>
    <n v="0"/>
  </r>
  <r>
    <s v="CA0116095"/>
    <s v="Manitoba Motor Carrier Enforcement"/>
    <n v="0"/>
    <n v="5"/>
    <n v="0"/>
    <n v="0"/>
    <n v="0"/>
    <n v="0"/>
    <n v="0"/>
    <n v="0"/>
    <n v="0"/>
    <n v="0"/>
    <x v="3"/>
    <s v="12-18 Months"/>
    <x v="0"/>
    <n v="0"/>
    <n v="0"/>
  </r>
  <r>
    <n v="490173"/>
    <s v="Northvale Police Dept. - NJ"/>
    <n v="1"/>
    <n v="17"/>
    <n v="0"/>
    <n v="0"/>
    <n v="0"/>
    <n v="0"/>
    <n v="0"/>
    <n v="0"/>
    <n v="0"/>
    <n v="0"/>
    <x v="3"/>
    <s v="12-18 Months"/>
    <x v="0"/>
    <n v="0"/>
    <n v="0"/>
  </r>
  <r>
    <n v="113258"/>
    <s v="Valley Police Department - NE"/>
    <n v="2"/>
    <n v="2"/>
    <n v="0"/>
    <n v="0"/>
    <n v="0"/>
    <n v="0"/>
    <n v="0"/>
    <n v="0"/>
    <n v="0"/>
    <n v="0"/>
    <x v="3"/>
    <s v="12-18 Months"/>
    <x v="0"/>
    <n v="0"/>
    <n v="0"/>
  </r>
  <r>
    <n v="115241"/>
    <s v="Richmond Police Dept. - TX"/>
    <n v="2"/>
    <n v="40"/>
    <n v="0"/>
    <n v="0"/>
    <n v="0"/>
    <n v="0"/>
    <n v="0"/>
    <n v="0"/>
    <n v="0"/>
    <n v="1"/>
    <x v="3"/>
    <s v="12-18 Months"/>
    <x v="0"/>
    <n v="0"/>
    <n v="0"/>
  </r>
  <r>
    <n v="488120"/>
    <s v="Campbell County Sheriff's Office - SD"/>
    <n v="2"/>
    <n v="2"/>
    <n v="0"/>
    <n v="6"/>
    <n v="6"/>
    <n v="6"/>
    <n v="3"/>
    <n v="3"/>
    <n v="3"/>
    <n v="0"/>
    <x v="3"/>
    <s v="12-18 Months"/>
    <x v="0"/>
    <n v="2"/>
    <n v="2"/>
  </r>
  <r>
    <n v="107453"/>
    <s v="Bonney Lake Police Dept. - WA"/>
    <n v="3"/>
    <n v="34"/>
    <n v="0"/>
    <n v="0"/>
    <n v="0"/>
    <n v="0"/>
    <n v="0"/>
    <n v="0"/>
    <n v="0"/>
    <n v="0"/>
    <x v="3"/>
    <s v="12-18 Months"/>
    <x v="0"/>
    <n v="0"/>
    <n v="0"/>
  </r>
  <r>
    <n v="427790"/>
    <s v="Maple Shade Police Dept - NJ"/>
    <n v="3"/>
    <n v="39"/>
    <n v="0"/>
    <n v="30"/>
    <n v="7"/>
    <n v="0"/>
    <n v="0.77"/>
    <n v="0.18"/>
    <n v="0"/>
    <n v="1"/>
    <x v="3"/>
    <s v="12-18 Months"/>
    <x v="0"/>
    <n v="0"/>
    <n v="0"/>
  </r>
  <r>
    <n v="107747"/>
    <s v="Tualatin Police Dept. - OR"/>
    <n v="4"/>
    <n v="40"/>
    <n v="0"/>
    <n v="0"/>
    <n v="0"/>
    <n v="0"/>
    <n v="0"/>
    <n v="0"/>
    <n v="0"/>
    <n v="0"/>
    <x v="3"/>
    <s v="12-18 Months"/>
    <x v="0"/>
    <n v="0"/>
    <n v="0"/>
  </r>
  <r>
    <n v="141533"/>
    <s v="Beachwood Police Dept. - OH"/>
    <n v="4"/>
    <n v="57"/>
    <n v="0"/>
    <n v="0"/>
    <n v="0"/>
    <n v="0"/>
    <n v="0"/>
    <n v="0"/>
    <n v="0"/>
    <n v="0"/>
    <x v="3"/>
    <s v="12-18 Months"/>
    <x v="0"/>
    <n v="0"/>
    <n v="0"/>
  </r>
  <r>
    <n v="221765"/>
    <s v="East Carbon Police Dept. - UT"/>
    <n v="4"/>
    <n v="4"/>
    <n v="0"/>
    <n v="0"/>
    <n v="0"/>
    <n v="0"/>
    <n v="0"/>
    <n v="0"/>
    <n v="0"/>
    <n v="0"/>
    <x v="3"/>
    <s v="12-18 Months"/>
    <x v="0"/>
    <n v="0"/>
    <n v="0"/>
  </r>
  <r>
    <n v="316775"/>
    <s v="Alpharetta Dept. Of Public Safety - GA"/>
    <n v="4"/>
    <n v="160"/>
    <n v="0"/>
    <n v="0"/>
    <n v="0"/>
    <n v="0"/>
    <n v="0"/>
    <n v="0"/>
    <n v="0"/>
    <n v="0"/>
    <x v="3"/>
    <s v="12-18 Months"/>
    <x v="1"/>
    <n v="0"/>
    <n v="0"/>
  </r>
  <r>
    <n v="443479"/>
    <s v="Hydro Police Dept. - OK"/>
    <n v="4"/>
    <n v="3"/>
    <n v="0"/>
    <n v="0"/>
    <n v="0"/>
    <n v="0"/>
    <n v="0"/>
    <n v="0"/>
    <n v="0"/>
    <n v="0"/>
    <x v="3"/>
    <s v="12-18 Months"/>
    <x v="0"/>
    <n v="0"/>
    <n v="0"/>
  </r>
  <r>
    <n v="135021"/>
    <s v="Coulee Dam Police Dept. - WA"/>
    <n v="5"/>
    <n v="6"/>
    <n v="0"/>
    <n v="10"/>
    <n v="10"/>
    <n v="10"/>
    <n v="1.67"/>
    <n v="1.67"/>
    <n v="1.67"/>
    <n v="0"/>
    <x v="3"/>
    <s v="12-18 Months"/>
    <x v="0"/>
    <n v="5"/>
    <n v="0"/>
  </r>
  <r>
    <n v="163159"/>
    <s v="Clermont Police Dept.- FL"/>
    <n v="5"/>
    <n v="92"/>
    <n v="0"/>
    <n v="0"/>
    <n v="0"/>
    <n v="0"/>
    <n v="0"/>
    <n v="0"/>
    <n v="0"/>
    <n v="0"/>
    <x v="3"/>
    <s v="12-18 Months"/>
    <x v="0"/>
    <n v="0"/>
    <n v="0"/>
  </r>
  <r>
    <n v="313885"/>
    <s v="Woods County Sheriff's Office - OK"/>
    <n v="5"/>
    <n v="3"/>
    <n v="0"/>
    <n v="0"/>
    <n v="0"/>
    <n v="0"/>
    <n v="0"/>
    <n v="0"/>
    <n v="0"/>
    <n v="0"/>
    <x v="3"/>
    <s v="12-18 Months"/>
    <x v="0"/>
    <n v="0"/>
    <n v="0"/>
  </r>
  <r>
    <n v="164979"/>
    <s v="Clinton Police Department - MO"/>
    <n v="6"/>
    <n v="25"/>
    <n v="0"/>
    <n v="0"/>
    <n v="0"/>
    <n v="0"/>
    <n v="0"/>
    <n v="0"/>
    <n v="0"/>
    <n v="0"/>
    <x v="3"/>
    <s v="12-18 Months"/>
    <x v="0"/>
    <n v="0"/>
    <n v="0"/>
  </r>
  <r>
    <n v="302284"/>
    <s v="Commercial Point Police Dept - OH"/>
    <n v="6"/>
    <n v="9"/>
    <n v="0"/>
    <n v="0"/>
    <n v="0"/>
    <n v="0"/>
    <n v="0"/>
    <n v="0"/>
    <n v="0"/>
    <n v="0"/>
    <x v="3"/>
    <s v="12-18 Months"/>
    <x v="0"/>
    <n v="0"/>
    <n v="0"/>
  </r>
  <r>
    <n v="513509"/>
    <s v="MN DPS - Alcohol and Gambling Division - MN"/>
    <n v="7"/>
    <n v="10"/>
    <n v="0"/>
    <n v="0"/>
    <n v="0"/>
    <n v="0"/>
    <n v="0"/>
    <n v="0"/>
    <n v="0"/>
    <n v="0"/>
    <x v="3"/>
    <s v="12-18 Months"/>
    <x v="0"/>
    <n v="0"/>
    <n v="0"/>
  </r>
  <r>
    <n v="113133"/>
    <s v="Buxton Police Dept. - ME"/>
    <n v="10"/>
    <n v="12"/>
    <n v="0"/>
    <n v="0"/>
    <n v="0"/>
    <n v="0"/>
    <n v="0"/>
    <n v="0"/>
    <n v="0"/>
    <n v="0"/>
    <x v="3"/>
    <s v="12-18 Months"/>
    <x v="0"/>
    <n v="0"/>
    <n v="0"/>
  </r>
  <r>
    <n v="144671"/>
    <s v="Cheswold Police Dept - DE"/>
    <n v="10"/>
    <n v="7"/>
    <n v="0"/>
    <n v="0"/>
    <n v="0"/>
    <n v="0"/>
    <n v="0"/>
    <n v="0"/>
    <n v="0"/>
    <n v="0"/>
    <x v="3"/>
    <s v="12-18 Months"/>
    <x v="0"/>
    <n v="0"/>
    <n v="0"/>
  </r>
  <r>
    <n v="232200"/>
    <s v="Newport Police Dept. - NC"/>
    <n v="10"/>
    <n v="16"/>
    <n v="0"/>
    <n v="0"/>
    <n v="0"/>
    <n v="0"/>
    <n v="0"/>
    <n v="0"/>
    <n v="0"/>
    <n v="0"/>
    <x v="3"/>
    <s v="12-18 Months"/>
    <x v="0"/>
    <n v="0"/>
    <n v="0"/>
  </r>
  <r>
    <n v="456321"/>
    <s v="Denton County Fire Marshal’s Office - TX"/>
    <n v="11"/>
    <n v="10"/>
    <n v="0"/>
    <n v="0"/>
    <n v="0"/>
    <n v="0"/>
    <n v="0"/>
    <n v="0"/>
    <n v="0"/>
    <n v="0"/>
    <x v="3"/>
    <s v="12-18 Months"/>
    <x v="0"/>
    <n v="0"/>
    <n v="0"/>
  </r>
  <r>
    <n v="485006"/>
    <s v="South Heidelberg Township PD - PA"/>
    <n v="11"/>
    <n v="20"/>
    <n v="0"/>
    <n v="0"/>
    <n v="0"/>
    <n v="0"/>
    <n v="0"/>
    <n v="0"/>
    <n v="0"/>
    <n v="0"/>
    <x v="3"/>
    <s v="12-18 Months"/>
    <x v="0"/>
    <n v="0"/>
    <n v="0"/>
  </r>
  <r>
    <n v="107871"/>
    <s v="McLoud Police Dept. - OK"/>
    <n v="12"/>
    <n v="20"/>
    <n v="0"/>
    <n v="7"/>
    <n v="7"/>
    <n v="7"/>
    <n v="0.35"/>
    <n v="0.35"/>
    <n v="0.35"/>
    <n v="0"/>
    <x v="3"/>
    <s v="12-18 Months"/>
    <x v="0"/>
    <n v="0"/>
    <n v="0"/>
  </r>
  <r>
    <n v="112563"/>
    <s v="Jackson County Sheriff's Office - TX"/>
    <n v="12"/>
    <n v="23"/>
    <n v="0"/>
    <n v="0"/>
    <n v="0"/>
    <n v="0"/>
    <n v="0"/>
    <n v="0"/>
    <n v="0"/>
    <n v="0"/>
    <x v="3"/>
    <s v="12-18 Months"/>
    <x v="0"/>
    <n v="0"/>
    <n v="0"/>
  </r>
  <r>
    <n v="115373"/>
    <s v="Union County Sheriff's Office - SD"/>
    <n v="12"/>
    <n v="13"/>
    <n v="0"/>
    <n v="0"/>
    <n v="0"/>
    <n v="0"/>
    <n v="0"/>
    <n v="0"/>
    <n v="0"/>
    <n v="0"/>
    <x v="3"/>
    <s v="12-18 Months"/>
    <x v="0"/>
    <n v="0"/>
    <n v="0"/>
  </r>
  <r>
    <n v="109720"/>
    <s v="Washington County Sheriff's Office - CO"/>
    <n v="13"/>
    <n v="12"/>
    <n v="0"/>
    <n v="3"/>
    <n v="3"/>
    <n v="3"/>
    <n v="0.25"/>
    <n v="0.25"/>
    <n v="0.25"/>
    <n v="0"/>
    <x v="3"/>
    <s v="12-18 Months"/>
    <x v="0"/>
    <n v="0"/>
    <n v="0"/>
  </r>
  <r>
    <n v="109017"/>
    <s v="Boardman Police Dept. - OR"/>
    <n v="14"/>
    <n v="15"/>
    <n v="0"/>
    <n v="16"/>
    <n v="16"/>
    <n v="16"/>
    <n v="1.07"/>
    <n v="1.07"/>
    <n v="1.07"/>
    <n v="0"/>
    <x v="3"/>
    <s v="12-18 Months"/>
    <x v="0"/>
    <n v="14"/>
    <n v="0"/>
  </r>
  <r>
    <n v="110423"/>
    <s v="Wayne State University Police - MI"/>
    <n v="14"/>
    <n v="62"/>
    <n v="0"/>
    <n v="3"/>
    <n v="3"/>
    <n v="3"/>
    <n v="0.05"/>
    <n v="0.05"/>
    <n v="0.05"/>
    <n v="0"/>
    <x v="3"/>
    <s v="12-18 Months"/>
    <x v="0"/>
    <n v="0"/>
    <n v="0"/>
  </r>
  <r>
    <n v="515418"/>
    <s v="Franklin County Sheriff's Office - IA"/>
    <n v="14"/>
    <n v="8"/>
    <n v="0"/>
    <n v="0"/>
    <n v="0"/>
    <n v="0"/>
    <n v="0"/>
    <n v="0"/>
    <n v="0"/>
    <n v="0"/>
    <x v="3"/>
    <s v="12-18 Months"/>
    <x v="0"/>
    <n v="0"/>
    <n v="0"/>
  </r>
  <r>
    <n v="145550"/>
    <s v="Mattawa Police Dept. - WA"/>
    <n v="15"/>
    <n v="7"/>
    <n v="0"/>
    <n v="0"/>
    <n v="0"/>
    <n v="0"/>
    <n v="0"/>
    <n v="0"/>
    <n v="0"/>
    <n v="0"/>
    <x v="3"/>
    <s v="12-18 Months"/>
    <x v="0"/>
    <n v="0"/>
    <n v="0"/>
  </r>
  <r>
    <n v="155353"/>
    <s v="Varnell Police Dept.- GA"/>
    <n v="15"/>
    <n v="15"/>
    <n v="0"/>
    <n v="0"/>
    <n v="0"/>
    <n v="0"/>
    <n v="0"/>
    <n v="0"/>
    <n v="0"/>
    <n v="0"/>
    <x v="3"/>
    <s v="12-18 Months"/>
    <x v="0"/>
    <n v="0"/>
    <n v="0"/>
  </r>
  <r>
    <n v="208421"/>
    <s v="Ludington Police Department - MI"/>
    <n v="15"/>
    <n v="13"/>
    <n v="0"/>
    <n v="0"/>
    <n v="0"/>
    <n v="0"/>
    <n v="0"/>
    <n v="0"/>
    <n v="0"/>
    <n v="0"/>
    <x v="3"/>
    <s v="12-18 Months"/>
    <x v="0"/>
    <n v="0"/>
    <n v="0"/>
  </r>
  <r>
    <n v="327518"/>
    <s v="Barrington Police Department - NH"/>
    <n v="15"/>
    <n v="16"/>
    <n v="0"/>
    <n v="0"/>
    <n v="0"/>
    <n v="0"/>
    <n v="0"/>
    <n v="0"/>
    <n v="0"/>
    <n v="0"/>
    <x v="3"/>
    <s v="12-18 Months"/>
    <x v="0"/>
    <n v="0"/>
    <n v="0"/>
  </r>
  <r>
    <n v="107984"/>
    <s v="West Richland Police Dept. - WA"/>
    <n v="18"/>
    <n v="18"/>
    <n v="0"/>
    <n v="8"/>
    <n v="8"/>
    <n v="8"/>
    <n v="0.44"/>
    <n v="0.44"/>
    <n v="0.44"/>
    <n v="0"/>
    <x v="3"/>
    <s v="12-18 Months"/>
    <x v="0"/>
    <n v="0"/>
    <n v="0"/>
  </r>
  <r>
    <n v="129050"/>
    <s v="College Place Police Dept. - WA"/>
    <n v="18"/>
    <n v="19"/>
    <n v="0"/>
    <n v="0"/>
    <n v="0"/>
    <n v="0"/>
    <n v="0"/>
    <n v="0"/>
    <n v="0"/>
    <n v="0"/>
    <x v="3"/>
    <s v="12-18 Months"/>
    <x v="0"/>
    <n v="0"/>
    <n v="0"/>
  </r>
  <r>
    <n v="443871"/>
    <s v="Seneca Falls Police Dept. - NY"/>
    <n v="18"/>
    <n v="18"/>
    <n v="0"/>
    <n v="0"/>
    <n v="0"/>
    <n v="0"/>
    <n v="0"/>
    <n v="0"/>
    <n v="0"/>
    <n v="4"/>
    <x v="3"/>
    <s v="12-18 Months"/>
    <x v="0"/>
    <n v="0"/>
    <n v="0"/>
  </r>
  <r>
    <n v="185240"/>
    <s v="Burkburnett Police Department - TX"/>
    <n v="19"/>
    <n v="20"/>
    <n v="0"/>
    <n v="0"/>
    <n v="0"/>
    <n v="0"/>
    <n v="0"/>
    <n v="0"/>
    <n v="0"/>
    <n v="0"/>
    <x v="3"/>
    <s v="12-18 Months"/>
    <x v="0"/>
    <n v="0"/>
    <n v="0"/>
  </r>
  <r>
    <n v="200469"/>
    <s v="Booneville Police Dept - MS"/>
    <n v="19"/>
    <n v="10"/>
    <n v="0"/>
    <n v="8"/>
    <n v="8"/>
    <n v="8"/>
    <n v="0.8"/>
    <n v="0.8"/>
    <n v="0.8"/>
    <n v="0"/>
    <x v="3"/>
    <s v="12-18 Months"/>
    <x v="0"/>
    <n v="19"/>
    <n v="0"/>
  </r>
  <r>
    <n v="448619"/>
    <s v="Chickasaw Police Department- AL"/>
    <n v="20"/>
    <n v="22"/>
    <n v="0"/>
    <n v="0"/>
    <n v="0"/>
    <n v="0"/>
    <n v="0"/>
    <n v="0"/>
    <n v="0"/>
    <n v="0"/>
    <x v="3"/>
    <s v="12-18 Months"/>
    <x v="0"/>
    <n v="0"/>
    <n v="0"/>
  </r>
  <r>
    <n v="311124"/>
    <s v="St. Martinville Police Dept. - LA"/>
    <n v="22"/>
    <n v="20"/>
    <n v="0"/>
    <n v="0"/>
    <n v="0"/>
    <n v="0"/>
    <n v="0"/>
    <n v="0"/>
    <n v="0"/>
    <n v="0"/>
    <x v="3"/>
    <s v="12-18 Months"/>
    <x v="0"/>
    <n v="0"/>
    <n v="0"/>
  </r>
  <r>
    <n v="516051"/>
    <s v="Texas Woman's University Police Dept. - TX"/>
    <n v="22"/>
    <n v="22"/>
    <n v="0"/>
    <n v="0"/>
    <n v="0"/>
    <n v="0"/>
    <n v="0"/>
    <n v="0"/>
    <n v="0"/>
    <n v="0"/>
    <x v="3"/>
    <s v="12-18 Months"/>
    <x v="0"/>
    <n v="0"/>
    <n v="0"/>
  </r>
  <r>
    <n v="105459"/>
    <s v="Gering Police Department - NE"/>
    <n v="23"/>
    <n v="21"/>
    <n v="0"/>
    <n v="0"/>
    <n v="0"/>
    <n v="0"/>
    <n v="0"/>
    <n v="0"/>
    <n v="0"/>
    <n v="0"/>
    <x v="3"/>
    <s v="12-18 Months"/>
    <x v="0"/>
    <n v="0"/>
    <n v="0"/>
  </r>
  <r>
    <n v="115574"/>
    <s v="Chester Police Dept. - SC"/>
    <n v="25"/>
    <n v="15"/>
    <n v="0"/>
    <n v="0"/>
    <n v="0"/>
    <n v="0"/>
    <n v="0"/>
    <n v="0"/>
    <n v="0"/>
    <n v="0"/>
    <x v="3"/>
    <s v="12-18 Months"/>
    <x v="0"/>
    <n v="0"/>
    <n v="0"/>
  </r>
  <r>
    <n v="465880"/>
    <s v="Westover City Police Dept. - WV"/>
    <n v="25"/>
    <n v="20"/>
    <n v="0"/>
    <n v="0"/>
    <n v="0"/>
    <n v="0"/>
    <n v="0"/>
    <n v="0"/>
    <n v="0"/>
    <n v="0"/>
    <x v="3"/>
    <s v="12-18 Months"/>
    <x v="0"/>
    <n v="0"/>
    <n v="0"/>
  </r>
  <r>
    <n v="193151"/>
    <s v="Seagoville Police Dept. - TX"/>
    <n v="27"/>
    <n v="41"/>
    <n v="0"/>
    <n v="0"/>
    <n v="0"/>
    <n v="0"/>
    <n v="0"/>
    <n v="0"/>
    <n v="0"/>
    <n v="0"/>
    <x v="3"/>
    <s v="12-18 Months"/>
    <x v="0"/>
    <n v="0"/>
    <n v="0"/>
  </r>
  <r>
    <n v="230170"/>
    <s v="Colma Police Dept. - CA"/>
    <n v="27"/>
    <n v="19"/>
    <n v="0"/>
    <n v="0"/>
    <n v="0"/>
    <n v="0"/>
    <n v="0"/>
    <n v="0"/>
    <n v="0"/>
    <n v="0"/>
    <x v="3"/>
    <s v="12-18 Months"/>
    <x v="0"/>
    <n v="0"/>
    <n v="0"/>
  </r>
  <r>
    <n v="108763"/>
    <s v="Washington County Sheriff's Office - OK"/>
    <n v="29"/>
    <n v="35"/>
    <n v="0"/>
    <n v="23"/>
    <n v="23"/>
    <n v="23"/>
    <n v="0.66"/>
    <n v="0.66"/>
    <n v="0.66"/>
    <n v="22"/>
    <x v="3"/>
    <s v="12-18 Months"/>
    <x v="0"/>
    <n v="0"/>
    <n v="0"/>
  </r>
  <r>
    <n v="132109"/>
    <s v="Port Richey Police Dept - FL"/>
    <n v="29"/>
    <n v="19"/>
    <n v="0"/>
    <n v="0"/>
    <n v="0"/>
    <n v="0"/>
    <n v="0"/>
    <n v="0"/>
    <n v="0"/>
    <n v="0"/>
    <x v="3"/>
    <s v="12-18 Months"/>
    <x v="0"/>
    <n v="0"/>
    <n v="0"/>
  </r>
  <r>
    <n v="515229"/>
    <s v="Duncan Police Dept. - SC"/>
    <n v="29"/>
    <n v="31"/>
    <n v="0"/>
    <n v="0"/>
    <n v="0"/>
    <n v="0"/>
    <n v="0"/>
    <n v="0"/>
    <n v="0"/>
    <n v="0"/>
    <x v="3"/>
    <s v="12-18 Months"/>
    <x v="0"/>
    <n v="0"/>
    <n v="0"/>
  </r>
  <r>
    <n v="108982"/>
    <s v="Blaine Police Dept. - WA"/>
    <n v="30"/>
    <n v="14"/>
    <n v="0"/>
    <n v="21"/>
    <n v="21"/>
    <n v="21"/>
    <n v="1.5"/>
    <n v="1.5"/>
    <n v="1.5"/>
    <n v="0"/>
    <x v="3"/>
    <s v="12-18 Months"/>
    <x v="0"/>
    <n v="30"/>
    <n v="0"/>
  </r>
  <r>
    <n v="467901"/>
    <s v="Kern High School Police Dept. - CA"/>
    <n v="30"/>
    <n v="40"/>
    <n v="0"/>
    <n v="0"/>
    <n v="0"/>
    <n v="0"/>
    <n v="0"/>
    <n v="0"/>
    <n v="0"/>
    <n v="0"/>
    <x v="3"/>
    <s v="12-18 Months"/>
    <x v="0"/>
    <n v="0"/>
    <n v="0"/>
  </r>
  <r>
    <n v="108939"/>
    <s v="Pendleton Police Dept. - OR"/>
    <n v="31"/>
    <n v="20"/>
    <n v="0"/>
    <n v="0"/>
    <n v="0"/>
    <n v="0"/>
    <n v="0"/>
    <n v="0"/>
    <n v="0"/>
    <n v="0"/>
    <x v="3"/>
    <s v="12-18 Months"/>
    <x v="0"/>
    <n v="0"/>
    <n v="0"/>
  </r>
  <r>
    <n v="460944"/>
    <s v="Cinnaminson Township Police - NJ"/>
    <n v="32"/>
    <n v="25"/>
    <n v="0"/>
    <n v="0"/>
    <n v="0"/>
    <n v="0"/>
    <n v="0"/>
    <n v="0"/>
    <n v="0"/>
    <n v="0"/>
    <x v="3"/>
    <s v="12-18 Months"/>
    <x v="0"/>
    <n v="0"/>
    <n v="0"/>
  </r>
  <r>
    <n v="270751"/>
    <s v="Boerne Police Dept. - TX"/>
    <n v="35"/>
    <n v="48"/>
    <n v="0"/>
    <n v="0"/>
    <n v="0"/>
    <n v="0"/>
    <n v="0"/>
    <n v="0"/>
    <n v="0"/>
    <n v="0"/>
    <x v="3"/>
    <s v="12-18 Months"/>
    <x v="0"/>
    <n v="0"/>
    <n v="0"/>
  </r>
  <r>
    <n v="478901"/>
    <s v="Oakley Police Dept. - CA"/>
    <n v="40"/>
    <n v="44"/>
    <n v="0"/>
    <n v="0"/>
    <n v="0"/>
    <n v="0"/>
    <n v="0"/>
    <n v="0"/>
    <n v="0"/>
    <n v="0"/>
    <x v="3"/>
    <s v="12-18 Months"/>
    <x v="0"/>
    <n v="0"/>
    <n v="0"/>
  </r>
  <r>
    <n v="125270"/>
    <s v="BPS Bainbridge Public Safety - GA"/>
    <n v="41"/>
    <n v="40"/>
    <n v="0"/>
    <n v="0"/>
    <n v="0"/>
    <n v="0"/>
    <n v="0"/>
    <n v="0"/>
    <n v="0"/>
    <n v="0"/>
    <x v="3"/>
    <s v="12-18 Months"/>
    <x v="0"/>
    <n v="0"/>
    <n v="0"/>
  </r>
  <r>
    <n v="107781"/>
    <s v="Elbert County Sheriff's Office - CO"/>
    <n v="43"/>
    <n v="60"/>
    <n v="0"/>
    <n v="0"/>
    <n v="0"/>
    <n v="0"/>
    <n v="0"/>
    <n v="0"/>
    <n v="0"/>
    <n v="0"/>
    <x v="3"/>
    <s v="12-18 Months"/>
    <x v="0"/>
    <n v="0"/>
    <n v="0"/>
  </r>
  <r>
    <n v="108344"/>
    <s v="Sapulpa Police Dept. - OK"/>
    <n v="46"/>
    <n v="45"/>
    <n v="0"/>
    <n v="0"/>
    <n v="0"/>
    <n v="0"/>
    <n v="0"/>
    <n v="0"/>
    <n v="0"/>
    <n v="0"/>
    <x v="3"/>
    <s v="12-18 Months"/>
    <x v="0"/>
    <n v="0"/>
    <n v="0"/>
  </r>
  <r>
    <n v="108752"/>
    <s v="Hood County Sheriff's Office - TX"/>
    <n v="51"/>
    <n v="50"/>
    <n v="0"/>
    <n v="30"/>
    <n v="30"/>
    <n v="30"/>
    <n v="0.6"/>
    <n v="0.6"/>
    <n v="0.6"/>
    <n v="4"/>
    <x v="3"/>
    <s v="12-18 Months"/>
    <x v="0"/>
    <n v="0"/>
    <n v="0"/>
  </r>
  <r>
    <s v="SE0116328"/>
    <s v="Norwegian National Police SEG"/>
    <n v="52"/>
    <n v="3"/>
    <n v="0"/>
    <n v="0"/>
    <n v="0"/>
    <n v="0"/>
    <n v="0"/>
    <n v="0"/>
    <n v="0"/>
    <n v="0"/>
    <x v="3"/>
    <s v="12-18 Months"/>
    <x v="0"/>
    <n v="0"/>
    <n v="0"/>
  </r>
  <r>
    <n v="328235"/>
    <s v="Roanoke Police Dept. - TX"/>
    <n v="54"/>
    <n v="40"/>
    <n v="0"/>
    <n v="0"/>
    <n v="0"/>
    <n v="0"/>
    <n v="0"/>
    <n v="0"/>
    <n v="0"/>
    <n v="0"/>
    <x v="3"/>
    <s v="12-18 Months"/>
    <x v="0"/>
    <n v="0"/>
    <n v="0"/>
  </r>
  <r>
    <n v="109356"/>
    <s v="Sunny Isles Beach Police Dept. - FL"/>
    <n v="64"/>
    <n v="67"/>
    <n v="0"/>
    <n v="24"/>
    <n v="24"/>
    <n v="24"/>
    <n v="0.36"/>
    <n v="0.36"/>
    <n v="0.36"/>
    <n v="37"/>
    <x v="3"/>
    <s v="12-18 Months"/>
    <x v="0"/>
    <n v="0"/>
    <n v="0"/>
  </r>
  <r>
    <n v="107207"/>
    <s v="Yuba City Police Dept. - CA"/>
    <n v="73"/>
    <n v="20"/>
    <n v="0"/>
    <n v="0"/>
    <n v="0"/>
    <n v="0"/>
    <n v="0"/>
    <n v="0"/>
    <n v="0"/>
    <n v="0"/>
    <x v="3"/>
    <s v="12-18 Months"/>
    <x v="0"/>
    <n v="0"/>
    <n v="0"/>
  </r>
  <r>
    <s v="CA0115696"/>
    <s v="Woodstock Police Service (ON)"/>
    <n v="88"/>
    <n v="75"/>
    <n v="0"/>
    <n v="0"/>
    <n v="0"/>
    <n v="0"/>
    <n v="0"/>
    <n v="0"/>
    <n v="0"/>
    <n v="0"/>
    <x v="3"/>
    <s v="12-18 Months"/>
    <x v="0"/>
    <n v="0"/>
    <n v="0"/>
  </r>
  <r>
    <n v="122797"/>
    <s v="Liberty County Sheriff's Office - GA"/>
    <n v="112"/>
    <n v="86"/>
    <n v="0"/>
    <n v="0"/>
    <n v="0"/>
    <n v="0"/>
    <n v="0"/>
    <n v="0"/>
    <n v="0"/>
    <n v="0"/>
    <x v="3"/>
    <s v="12-18 Months"/>
    <x v="0"/>
    <n v="0"/>
    <n v="0"/>
  </r>
  <r>
    <n v="109566"/>
    <s v="Pleasanton Police Dept. - CA"/>
    <n v="114"/>
    <n v="93"/>
    <n v="0"/>
    <n v="0"/>
    <n v="0"/>
    <n v="0"/>
    <n v="0"/>
    <n v="0"/>
    <n v="0"/>
    <n v="0"/>
    <x v="3"/>
    <s v="12-18 Months"/>
    <x v="0"/>
    <n v="0"/>
    <n v="0"/>
  </r>
  <r>
    <n v="125123"/>
    <s v="Woodbury County Sheriff's Office - IA"/>
    <n v="119"/>
    <n v="135"/>
    <n v="0"/>
    <n v="0"/>
    <n v="0"/>
    <n v="0"/>
    <n v="0"/>
    <n v="0"/>
    <n v="0"/>
    <n v="0"/>
    <x v="3"/>
    <s v="12-18 Months"/>
    <x v="1"/>
    <n v="0"/>
    <n v="0"/>
  </r>
  <r>
    <n v="105690"/>
    <s v="Laurens County Sheriff's Office - SC"/>
    <n v="140"/>
    <n v="100"/>
    <n v="0"/>
    <n v="3"/>
    <n v="3"/>
    <n v="3"/>
    <n v="0.03"/>
    <n v="0.03"/>
    <n v="0.03"/>
    <n v="0"/>
    <x v="3"/>
    <s v="12-18 Months"/>
    <x v="1"/>
    <n v="0"/>
    <n v="0"/>
  </r>
  <r>
    <n v="110842"/>
    <s v="Bloomington Police Dept. - IL"/>
    <n v="152"/>
    <n v="133"/>
    <n v="0"/>
    <n v="0"/>
    <n v="0"/>
    <n v="0"/>
    <n v="0"/>
    <n v="0"/>
    <n v="0"/>
    <n v="0"/>
    <x v="3"/>
    <s v="12-18 Months"/>
    <x v="1"/>
    <n v="0"/>
    <n v="0"/>
  </r>
  <r>
    <n v="305520"/>
    <s v="Alabama Department of Corrections - AL"/>
    <n v="225"/>
    <n v="1"/>
    <n v="0"/>
    <n v="2"/>
    <n v="2"/>
    <n v="2"/>
    <n v="2"/>
    <n v="2"/>
    <n v="2"/>
    <n v="1"/>
    <x v="3"/>
    <s v="12-18 Months"/>
    <x v="0"/>
    <n v="225"/>
    <n v="225"/>
  </r>
  <r>
    <n v="116150"/>
    <s v="Wilmington Police Dept. - DE"/>
    <n v="381"/>
    <n v="300"/>
    <n v="0"/>
    <n v="30"/>
    <n v="30"/>
    <n v="30"/>
    <n v="0.1"/>
    <n v="0.1"/>
    <n v="0.1"/>
    <n v="0"/>
    <x v="3"/>
    <s v="12-18 Months"/>
    <x v="1"/>
    <n v="0"/>
    <n v="0"/>
  </r>
  <r>
    <n v="107593"/>
    <s v="Anchorage Police Dept. - AK"/>
    <n v="476"/>
    <n v="375"/>
    <n v="0"/>
    <n v="113"/>
    <n v="113"/>
    <n v="113"/>
    <n v="0.3"/>
    <n v="0.3"/>
    <n v="0.3"/>
    <n v="6"/>
    <x v="3"/>
    <s v="12-18 Months"/>
    <x v="1"/>
    <n v="0"/>
    <n v="0"/>
  </r>
  <r>
    <m/>
    <m/>
    <m/>
    <m/>
    <m/>
    <m/>
    <m/>
    <m/>
    <m/>
    <m/>
    <m/>
    <m/>
    <x v="4"/>
    <m/>
    <x v="3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429611-048F-406D-A22F-27319E1102E9}" name="PivotTable1" cacheId="22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" firstHeaderRow="1" firstDataRow="1" firstDataCol="1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compact="0" outline="0" showAll="0"/>
    <pivotField compact="0" outline="0" showAll="0"/>
    <pivotField axis="axisRow" compact="0" outline="0" showAll="0">
      <items count="4">
        <item x="2"/>
        <item x="0"/>
        <item x="1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Eligible Points" fld="2" baseField="0" baseItem="0"/>
  </dataFields>
  <formats count="8">
    <format dxfId="106">
      <pivotArea type="all" dataOnly="0" outline="0" fieldPosition="0"/>
    </format>
    <format dxfId="105">
      <pivotArea outline="0" collapsedLevelsAreSubtotals="1" fieldPosition="0"/>
    </format>
    <format dxfId="104">
      <pivotArea outline="0" collapsedLevelsAreSubtotals="1" fieldPosition="0"/>
    </format>
    <format dxfId="103">
      <pivotArea type="all" dataOnly="0" outline="0" fieldPosition="0"/>
    </format>
    <format dxfId="102">
      <pivotArea outline="0" collapsedLevelsAreSubtotals="1" fieldPosition="0"/>
    </format>
    <format dxfId="101">
      <pivotArea field="14" type="button" dataOnly="0" labelOnly="1" outline="0" axis="axisRow" fieldPosition="1"/>
    </format>
    <format dxfId="100">
      <pivotArea dataOnly="0" labelOnly="1" grandRow="1" outline="0" fieldPosition="0"/>
    </format>
    <format dxfId="99">
      <pivotArea dataOnly="0" labelOnly="1" outline="0" fieldPosition="0">
        <references count="1">
          <reference field="4294967294" count="1">
            <x v="0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AB16A65-D33E-4DA1-992A-96C3CD1DDE6C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" firstHeaderRow="1" firstDataRow="1" firstDataCol="1" rowPageCount="1" colPageCount="1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8">
        <item x="3"/>
        <item h="1" x="1"/>
        <item h="1" x="0"/>
        <item h="1" x="2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0" hier="-1"/>
  </pageFields>
  <dataFields count="1">
    <dataField name="Sum of AgencySiz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B2EB07E-E52C-4CD4-AF46-BB015B51C97C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1:F24" firstHeaderRow="0" firstDataRow="1" firstDataCol="2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dataField="1" compact="0" outline="0" showAll="0"/>
    <pivotField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Qualifier Adopting Points" fld="15" baseField="0" baseItem="0"/>
    <dataField name="Eligible Points" fld="2" baseField="0" baseItem="0"/>
  </dataFields>
  <formats count="20">
    <format dxfId="126">
      <pivotArea type="all" dataOnly="0" outline="0" fieldPosition="0"/>
    </format>
    <format dxfId="125">
      <pivotArea outline="0" collapsedLevelsAreSubtotals="1" fieldPosition="0"/>
    </format>
    <format dxfId="124">
      <pivotArea outline="0" collapsedLevelsAreSubtotals="1" fieldPosition="0"/>
    </format>
    <format dxfId="123">
      <pivotArea type="all" dataOnly="0" outline="0" fieldPosition="0"/>
    </format>
    <format dxfId="122">
      <pivotArea outline="0" collapsedLevelsAreSubtotals="1" fieldPosition="0"/>
    </format>
    <format dxfId="121">
      <pivotArea field="12" type="button" dataOnly="0" labelOnly="1" outline="0" axis="axisRow" fieldPosition="0"/>
    </format>
    <format dxfId="120">
      <pivotArea field="14" type="button" dataOnly="0" labelOnly="1" outline="0" axis="axisRow" fieldPosition="1"/>
    </format>
    <format dxfId="119">
      <pivotArea dataOnly="0" labelOnly="1" outline="0" fieldPosition="0">
        <references count="1">
          <reference field="12" count="0"/>
        </references>
      </pivotArea>
    </format>
    <format dxfId="118">
      <pivotArea dataOnly="0" labelOnly="1" outline="0" fieldPosition="0">
        <references count="1">
          <reference field="12" count="0" defaultSubtotal="1"/>
        </references>
      </pivotArea>
    </format>
    <format dxfId="117">
      <pivotArea dataOnly="0" labelOnly="1" grandRow="1" outline="0" fieldPosition="0"/>
    </format>
    <format dxfId="116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115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114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113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12">
      <pivotArea outline="0" fieldPosition="0">
        <references count="1">
          <reference field="12" count="0" selected="0" defaultSubtotal="1"/>
        </references>
      </pivotArea>
    </format>
    <format dxfId="111">
      <pivotArea dataOnly="0" labelOnly="1" outline="0" fieldPosition="0">
        <references count="1">
          <reference field="12" count="0"/>
        </references>
      </pivotArea>
    </format>
    <format dxfId="110">
      <pivotArea dataOnly="0" labelOnly="1" outline="0" fieldPosition="0">
        <references count="1">
          <reference field="12" count="0" defaultSubtotal="1"/>
        </references>
      </pivotArea>
    </format>
    <format dxfId="109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108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107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E28578D-EBE6-4C66-818D-A4AC5BBF2E10}" name="PivotTable4" cacheId="2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O11:R24" firstHeaderRow="0" firstDataRow="1" firstDataCol="2"/>
  <pivotFields count="18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compact="0" outline="0" showAll="0"/>
    <pivotField dataField="1"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T6 0.75x Only" fld="17" baseField="0" baseItem="0"/>
    <dataField name="Eligible Points" fld="2" baseField="0" baseItem="0"/>
  </dataFields>
  <formats count="20">
    <format dxfId="62">
      <pivotArea type="all" dataOnly="0" outline="0" fieldPosition="0"/>
    </format>
    <format dxfId="61">
      <pivotArea outline="0" collapsedLevelsAreSubtotals="1" fieldPosition="0"/>
    </format>
    <format dxfId="60">
      <pivotArea outline="0" collapsedLevelsAreSubtotals="1" fieldPosition="0"/>
    </format>
    <format dxfId="59">
      <pivotArea type="all" dataOnly="0" outline="0" fieldPosition="0"/>
    </format>
    <format dxfId="58">
      <pivotArea outline="0" collapsedLevelsAreSubtotals="1" fieldPosition="0"/>
    </format>
    <format dxfId="57">
      <pivotArea field="12" type="button" dataOnly="0" labelOnly="1" outline="0" axis="axisRow" fieldPosition="0"/>
    </format>
    <format dxfId="56">
      <pivotArea field="14" type="button" dataOnly="0" labelOnly="1" outline="0" axis="axisRow" fieldPosition="1"/>
    </format>
    <format dxfId="55">
      <pivotArea dataOnly="0" labelOnly="1" outline="0" fieldPosition="0">
        <references count="1">
          <reference field="12" count="0"/>
        </references>
      </pivotArea>
    </format>
    <format dxfId="54">
      <pivotArea dataOnly="0" labelOnly="1" outline="0" fieldPosition="0">
        <references count="1">
          <reference field="12" count="0" defaultSubtotal="1"/>
        </references>
      </pivotArea>
    </format>
    <format dxfId="53">
      <pivotArea dataOnly="0" labelOnly="1" grandRow="1" outline="0" fieldPosition="0"/>
    </format>
    <format dxfId="52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51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50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49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48">
      <pivotArea outline="0" fieldPosition="0">
        <references count="1">
          <reference field="12" count="0" selected="0" defaultSubtotal="1"/>
        </references>
      </pivotArea>
    </format>
    <format dxfId="47">
      <pivotArea dataOnly="0" labelOnly="1" outline="0" fieldPosition="0">
        <references count="1">
          <reference field="12" count="0"/>
        </references>
      </pivotArea>
    </format>
    <format dxfId="46">
      <pivotArea dataOnly="0" labelOnly="1" outline="0" fieldPosition="0">
        <references count="1">
          <reference field="12" count="0" defaultSubtotal="1"/>
        </references>
      </pivotArea>
    </format>
    <format dxfId="45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44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43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2402CEE-B9A3-4611-8E2B-F859023769DF}" name="PivotTable3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11:F24" firstHeaderRow="0" firstDataRow="1" firstDataCol="2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dataField="1" compact="0" outline="0" showAll="0"/>
    <pivotField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No Qualifier Adopting Points" fld="15" baseField="0" baseItem="0"/>
    <dataField name="Eligible Points" fld="2" baseField="0" baseItem="0"/>
  </dataFields>
  <formats count="20">
    <format dxfId="82">
      <pivotArea type="all" dataOnly="0" outline="0" fieldPosition="0"/>
    </format>
    <format dxfId="81">
      <pivotArea outline="0" collapsedLevelsAreSubtotals="1" fieldPosition="0"/>
    </format>
    <format dxfId="80">
      <pivotArea outline="0" collapsedLevelsAreSubtotals="1" fieldPosition="0"/>
    </format>
    <format dxfId="79">
      <pivotArea type="all" dataOnly="0" outline="0" fieldPosition="0"/>
    </format>
    <format dxfId="78">
      <pivotArea outline="0" collapsedLevelsAreSubtotals="1" fieldPosition="0"/>
    </format>
    <format dxfId="77">
      <pivotArea field="12" type="button" dataOnly="0" labelOnly="1" outline="0" axis="axisRow" fieldPosition="0"/>
    </format>
    <format dxfId="76">
      <pivotArea field="14" type="button" dataOnly="0" labelOnly="1" outline="0" axis="axisRow" fieldPosition="1"/>
    </format>
    <format dxfId="75">
      <pivotArea dataOnly="0" labelOnly="1" outline="0" fieldPosition="0">
        <references count="1">
          <reference field="12" count="0"/>
        </references>
      </pivotArea>
    </format>
    <format dxfId="74">
      <pivotArea dataOnly="0" labelOnly="1" outline="0" fieldPosition="0">
        <references count="1">
          <reference field="12" count="0" defaultSubtotal="1"/>
        </references>
      </pivotArea>
    </format>
    <format dxfId="73">
      <pivotArea dataOnly="0" labelOnly="1" grandRow="1" outline="0" fieldPosition="0"/>
    </format>
    <format dxfId="72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71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70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6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68">
      <pivotArea outline="0" fieldPosition="0">
        <references count="1">
          <reference field="12" count="0" selected="0" defaultSubtotal="1"/>
        </references>
      </pivotArea>
    </format>
    <format dxfId="67">
      <pivotArea dataOnly="0" labelOnly="1" outline="0" fieldPosition="0">
        <references count="1">
          <reference field="12" count="0"/>
        </references>
      </pivotArea>
    </format>
    <format dxfId="66">
      <pivotArea dataOnly="0" labelOnly="1" outline="0" fieldPosition="0">
        <references count="1">
          <reference field="12" count="0" defaultSubtotal="1"/>
        </references>
      </pivotArea>
    </format>
    <format dxfId="65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64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63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1807A11-F669-432E-84A6-3F0DD6027C19}" name="PivotTable2" cacheId="2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D8" firstHeaderRow="1" firstDataRow="1" firstDataCol="1" rowPageCount="1" colPageCount="1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axis="axisPage" compact="0" outline="0" showAll="0">
      <items count="8">
        <item x="3"/>
        <item h="1" x="1"/>
        <item h="1" x="0"/>
        <item h="1" x="2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0"/>
        <item x="1"/>
        <item x="3"/>
        <item t="default"/>
      </items>
    </pivotField>
    <pivotField compact="0" outline="0" showAll="0"/>
  </pivotFields>
  <rowFields count="1">
    <field x="14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12" item="0" hier="-1"/>
  </pageFields>
  <dataFields count="1">
    <dataField name="Sum of AgencySize" fld="2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E6B61FA-0115-4F39-80CB-E9235E471ED1}" name="PivotTable1" cacheId="2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W11:Z24" firstHeaderRow="0" firstDataRow="1" firstDataCol="2"/>
  <pivotFields count="17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multipleItemSelectionAllowed="1" showAll="0">
      <items count="8">
        <item h="1" x="3"/>
        <item x="2"/>
        <item x="1"/>
        <item x="0"/>
        <item h="1" x="4"/>
        <item h="1" m="1" x="5"/>
        <item h="1" m="1" x="6"/>
        <item t="default"/>
      </items>
    </pivotField>
    <pivotField compact="0" outline="0" showAll="0"/>
    <pivotField axis="axisRow" compact="0" outline="0" showAll="0">
      <items count="5">
        <item x="2"/>
        <item x="1"/>
        <item x="0"/>
        <item x="3"/>
        <item t="default"/>
      </items>
    </pivotField>
    <pivotField compact="0" outline="0" showAll="0"/>
    <pivotField dataField="1" compact="0" outline="0" showAll="0"/>
  </pivotFields>
  <rowFields count="2">
    <field x="12"/>
    <field x="14"/>
  </rowFields>
  <rowItems count="13"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>
      <x v="3"/>
      <x/>
    </i>
    <i r="1">
      <x v="1"/>
    </i>
    <i r="1">
      <x v="2"/>
    </i>
    <i t="default">
      <x v="3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Majors Qualifier Adopting Points" fld="16" baseField="0" baseItem="0"/>
    <dataField name="Eligible Points" fld="2" baseField="0" baseItem="0"/>
  </dataFields>
  <formats count="16">
    <format dxfId="98">
      <pivotArea type="all" dataOnly="0" outline="0" fieldPosition="0"/>
    </format>
    <format dxfId="97">
      <pivotArea outline="0" collapsedLevelsAreSubtotals="1" fieldPosition="0"/>
    </format>
    <format dxfId="96">
      <pivotArea outline="0" collapsedLevelsAreSubtotals="1" fieldPosition="0"/>
    </format>
    <format dxfId="95">
      <pivotArea type="all" dataOnly="0" outline="0" fieldPosition="0"/>
    </format>
    <format dxfId="94">
      <pivotArea outline="0" collapsedLevelsAreSubtotals="1" fieldPosition="0"/>
    </format>
    <format dxfId="93">
      <pivotArea field="12" type="button" dataOnly="0" labelOnly="1" outline="0" axis="axisRow" fieldPosition="0"/>
    </format>
    <format dxfId="92">
      <pivotArea field="14" type="button" dataOnly="0" labelOnly="1" outline="0" axis="axisRow" fieldPosition="1"/>
    </format>
    <format dxfId="91">
      <pivotArea dataOnly="0" labelOnly="1" outline="0" fieldPosition="0">
        <references count="1">
          <reference field="12" count="0"/>
        </references>
      </pivotArea>
    </format>
    <format dxfId="90">
      <pivotArea dataOnly="0" labelOnly="1" outline="0" fieldPosition="0">
        <references count="1">
          <reference field="12" count="0" defaultSubtotal="1"/>
        </references>
      </pivotArea>
    </format>
    <format dxfId="89">
      <pivotArea dataOnly="0" labelOnly="1" grandRow="1" outline="0" fieldPosition="0"/>
    </format>
    <format dxfId="88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87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86">
      <pivotArea dataOnly="0" labelOnly="1" outline="0" fieldPosition="0">
        <references count="2">
          <reference field="12" count="1" selected="0">
            <x v="3"/>
          </reference>
          <reference field="14" count="0"/>
        </references>
      </pivotArea>
    </format>
    <format dxfId="85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84">
      <pivotArea outline="0" fieldPosition="0">
        <references count="1">
          <reference field="12" count="1" selected="0" defaultSubtotal="1">
            <x v="3"/>
          </reference>
        </references>
      </pivotArea>
    </format>
    <format dxfId="83">
      <pivotArea dataOnly="0" labelOnly="1" outline="0" fieldPosition="0">
        <references count="1">
          <reference field="12" count="1" defaultSubtotal="1">
            <x v="3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FE1CB90-7A90-4755-A8E2-9ECA88BBA0BF}" name="PivotTable1" cacheId="2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multipleFieldFilters="0">
  <location ref="C4:F17" firstHeaderRow="0" firstDataRow="1" firstDataCol="2"/>
  <pivotFields count="16"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numFmtId="2" outline="0" showAll="0"/>
    <pivotField compact="0" numFmtId="2" outline="0" showAll="0"/>
    <pivotField compact="0" numFmtId="2" outline="0" showAll="0"/>
    <pivotField compact="0" outline="0" showAll="0"/>
    <pivotField axis="axisRow" compact="0" outline="0" showAll="0">
      <items count="4">
        <item x="0"/>
        <item x="2"/>
        <item x="1"/>
        <item t="default"/>
      </items>
    </pivotField>
    <pivotField compact="0" outline="0" showAll="0"/>
    <pivotField axis="axisRow" compact="0" outline="0" showAll="0">
      <items count="4">
        <item x="0"/>
        <item x="1"/>
        <item x="2"/>
        <item t="default"/>
      </items>
    </pivotField>
    <pivotField dataField="1" compact="0" outline="0" showAll="0"/>
  </pivotFields>
  <rowFields count="2">
    <field x="12"/>
    <field x="14"/>
  </rowFields>
  <rowItems count="13">
    <i>
      <x/>
      <x/>
    </i>
    <i r="1">
      <x v="1"/>
    </i>
    <i r="1">
      <x v="2"/>
    </i>
    <i t="default">
      <x/>
    </i>
    <i>
      <x v="1"/>
      <x/>
    </i>
    <i r="1">
      <x v="1"/>
    </i>
    <i r="1">
      <x v="2"/>
    </i>
    <i t="default">
      <x v="1"/>
    </i>
    <i>
      <x v="2"/>
      <x/>
    </i>
    <i r="1">
      <x v="1"/>
    </i>
    <i r="1">
      <x v="2"/>
    </i>
    <i t="default"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Adopting Points" fld="15" baseField="0" baseItem="0"/>
    <dataField name="Eligible Points" fld="2" baseField="0" baseItem="0"/>
  </dataFields>
  <formats count="16">
    <format dxfId="34">
      <pivotArea type="all" dataOnly="0" outline="0" fieldPosition="0"/>
    </format>
    <format dxfId="33">
      <pivotArea outline="0" collapsedLevelsAreSubtotals="1" fieldPosition="0"/>
    </format>
    <format dxfId="32">
      <pivotArea outline="0" collapsedLevelsAreSubtotals="1" fieldPosition="0"/>
    </format>
    <format dxfId="31">
      <pivotArea type="all" dataOnly="0" outline="0" fieldPosition="0"/>
    </format>
    <format dxfId="30">
      <pivotArea outline="0" collapsedLevelsAreSubtotals="1" fieldPosition="0"/>
    </format>
    <format dxfId="29">
      <pivotArea field="12" type="button" dataOnly="0" labelOnly="1" outline="0" axis="axisRow" fieldPosition="0"/>
    </format>
    <format dxfId="28">
      <pivotArea field="14" type="button" dataOnly="0" labelOnly="1" outline="0" axis="axisRow" fieldPosition="1"/>
    </format>
    <format dxfId="27">
      <pivotArea dataOnly="0" labelOnly="1" outline="0" fieldPosition="0">
        <references count="1">
          <reference field="12" count="0"/>
        </references>
      </pivotArea>
    </format>
    <format dxfId="26">
      <pivotArea dataOnly="0" labelOnly="1" outline="0" fieldPosition="0">
        <references count="1">
          <reference field="12" count="0" defaultSubtotal="1"/>
        </references>
      </pivotArea>
    </format>
    <format dxfId="25">
      <pivotArea dataOnly="0" labelOnly="1" grandRow="1" outline="0" fieldPosition="0"/>
    </format>
    <format dxfId="24">
      <pivotArea dataOnly="0" labelOnly="1" outline="0" fieldPosition="0">
        <references count="2">
          <reference field="12" count="1" selected="0">
            <x v="0"/>
          </reference>
          <reference field="14" count="0"/>
        </references>
      </pivotArea>
    </format>
    <format dxfId="23">
      <pivotArea dataOnly="0" labelOnly="1" outline="0" fieldPosition="0">
        <references count="2">
          <reference field="12" count="1" selected="0">
            <x v="1"/>
          </reference>
          <reference field="14" count="0"/>
        </references>
      </pivotArea>
    </format>
    <format dxfId="22">
      <pivotArea dataOnly="0" labelOnly="1" outline="0" fieldPosition="0">
        <references count="2">
          <reference field="12" count="1" selected="0">
            <x v="2"/>
          </reference>
          <reference field="14" count="0"/>
        </references>
      </pivotArea>
    </format>
    <format dxfId="2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20">
      <pivotArea outline="0" fieldPosition="0">
        <references count="1">
          <reference field="12" count="1" selected="0" defaultSubtotal="1">
            <x v="2"/>
          </reference>
        </references>
      </pivotArea>
    </format>
    <format dxfId="19">
      <pivotArea dataOnly="0" labelOnly="1" outline="0" fieldPosition="0">
        <references count="1">
          <reference field="12" count="1" defaultSubtotal="1">
            <x v="2"/>
          </reference>
        </references>
      </pivotArea>
    </format>
  </formats>
  <pivotTableStyleInfo name="PivotStyleMedium2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D95173-310D-FE40-82BC-56AAEBB16F6B}" name="Table1" displayName="Table1" ref="A1:D9" totalsRowShown="0" headerRowDxfId="42">
  <autoFilter ref="A1:D9" xr:uid="{57D95173-310D-FE40-82BC-56AAEBB16F6B}"/>
  <tableColumns count="4">
    <tableColumn id="1" xr3:uid="{C67B1C5C-40F5-434F-99A2-A4D49E255719}" name="Threshold" dataDxfId="41"/>
    <tableColumn id="2" xr3:uid="{DE80BD63-915C-D040-9E2D-7C3B9DF1B921}" name="APAP%" dataDxfId="40" dataCellStyle="Percent">
      <calculatedColumnFormula>D2/$F$2</calculatedColumnFormula>
    </tableColumn>
    <tableColumn id="3" xr3:uid="{7079D341-B726-DF46-B2B2-129EFBB56F43}" name="Agency Count" dataDxfId="39"/>
    <tableColumn id="4" xr3:uid="{6FF7BFDA-D56F-3B46-8835-4A4A33C96CE1}" name="Adopting Points" dataDxfId="38" dataCellStyle="Comm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5DA65CA-4A84-D740-A145-BBDD42105CEB}" name="Table2" displayName="Table2" ref="F1:F2" totalsRowShown="0" headerRowDxfId="37" dataDxfId="36" dataCellStyle="Comma">
  <autoFilter ref="F1:F2" xr:uid="{D5DA65CA-4A84-D740-A145-BBDD42105CEB}"/>
  <tableColumns count="1">
    <tableColumn id="1" xr3:uid="{29EDE7BF-2D0A-2040-A136-C3256BC5E69F}" name="Eligible Points" dataDxfId="35" dataCellStyle="Comma">
      <calculatedColumnFormula>'Goal Model (2)'!Z24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6.xml"/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Relationship Id="rId4" Type="http://schemas.openxmlformats.org/officeDocument/2006/relationships/pivotTable" Target="../pivotTables/pivotTable7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DAA91-D587-4D68-BE87-048CDCED342D}">
  <dimension ref="C2:V53"/>
  <sheetViews>
    <sheetView workbookViewId="0">
      <selection activeCell="R50" sqref="R50:V52"/>
    </sheetView>
  </sheetViews>
  <sheetFormatPr baseColWidth="10" defaultColWidth="8.83203125" defaultRowHeight="15" x14ac:dyDescent="0.2"/>
  <cols>
    <col min="3" max="3" width="11.6640625" bestFit="1" customWidth="1"/>
    <col min="4" max="4" width="13.5" bestFit="1" customWidth="1"/>
    <col min="5" max="5" width="22" bestFit="1" customWidth="1"/>
    <col min="6" max="6" width="13.5" bestFit="1" customWidth="1"/>
    <col min="7" max="7" width="8.1640625" bestFit="1" customWidth="1"/>
    <col min="8" max="8" width="9.1640625" bestFit="1" customWidth="1"/>
    <col min="9" max="12" width="2.33203125" bestFit="1" customWidth="1"/>
    <col min="13" max="14" width="21.5" customWidth="1"/>
    <col min="15" max="15" width="15.5" customWidth="1"/>
    <col min="16" max="16" width="15.5" bestFit="1" customWidth="1"/>
    <col min="17" max="17" width="3.33203125" bestFit="1" customWidth="1"/>
    <col min="18" max="18" width="60.5" customWidth="1"/>
    <col min="19" max="63" width="3.33203125" bestFit="1" customWidth="1"/>
    <col min="64" max="128" width="4.5" bestFit="1" customWidth="1"/>
    <col min="129" max="140" width="5.5" bestFit="1" customWidth="1"/>
    <col min="141" max="141" width="11.6640625" bestFit="1" customWidth="1"/>
  </cols>
  <sheetData>
    <row r="2" spans="3:13" ht="16" thickBot="1" x14ac:dyDescent="0.25"/>
    <row r="3" spans="3:13" x14ac:dyDescent="0.2">
      <c r="C3" s="166" t="s">
        <v>0</v>
      </c>
      <c r="D3" s="167"/>
      <c r="E3" s="167"/>
      <c r="F3" s="167"/>
      <c r="G3" s="167"/>
      <c r="H3" s="168"/>
    </row>
    <row r="4" spans="3:13" x14ac:dyDescent="0.2">
      <c r="C4" s="69" t="s">
        <v>1</v>
      </c>
      <c r="D4" s="70" t="s">
        <v>2</v>
      </c>
      <c r="G4" s="48" t="s">
        <v>3</v>
      </c>
      <c r="H4" s="49" t="s">
        <v>4</v>
      </c>
    </row>
    <row r="5" spans="3:13" x14ac:dyDescent="0.2">
      <c r="C5" s="70" t="s">
        <v>5</v>
      </c>
      <c r="D5" s="71">
        <v>64815</v>
      </c>
      <c r="G5" s="16" t="e">
        <f>F5/$F$17</f>
        <v>#DIV/0!</v>
      </c>
      <c r="H5" s="15" t="e">
        <f>E5/F5</f>
        <v>#DIV/0!</v>
      </c>
    </row>
    <row r="6" spans="3:13" x14ac:dyDescent="0.2">
      <c r="C6" s="70" t="s">
        <v>6</v>
      </c>
      <c r="D6" s="71">
        <v>41166</v>
      </c>
      <c r="G6" s="16" t="e">
        <f t="shared" ref="G6:G17" si="0">F6/$F$17</f>
        <v>#DIV/0!</v>
      </c>
      <c r="H6" s="15" t="e">
        <f t="shared" ref="H6:H16" si="1">E6/F6</f>
        <v>#DIV/0!</v>
      </c>
      <c r="M6" s="17"/>
    </row>
    <row r="7" spans="3:13" x14ac:dyDescent="0.2">
      <c r="C7" s="70" t="s">
        <v>7</v>
      </c>
      <c r="D7" s="71">
        <v>12075</v>
      </c>
      <c r="G7" s="16" t="e">
        <f t="shared" si="0"/>
        <v>#DIV/0!</v>
      </c>
      <c r="H7" s="15" t="e">
        <f t="shared" si="1"/>
        <v>#DIV/0!</v>
      </c>
    </row>
    <row r="8" spans="3:13" x14ac:dyDescent="0.2">
      <c r="C8" s="70" t="s">
        <v>8</v>
      </c>
      <c r="D8" s="71">
        <v>118056</v>
      </c>
      <c r="G8" s="40" t="e">
        <f t="shared" si="0"/>
        <v>#DIV/0!</v>
      </c>
      <c r="H8" s="38" t="e">
        <f t="shared" si="1"/>
        <v>#DIV/0!</v>
      </c>
    </row>
    <row r="9" spans="3:13" x14ac:dyDescent="0.2">
      <c r="G9" s="16" t="e">
        <f t="shared" si="0"/>
        <v>#DIV/0!</v>
      </c>
      <c r="H9" s="15" t="e">
        <f t="shared" si="1"/>
        <v>#DIV/0!</v>
      </c>
    </row>
    <row r="10" spans="3:13" x14ac:dyDescent="0.2">
      <c r="G10" s="16" t="e">
        <f t="shared" si="0"/>
        <v>#DIV/0!</v>
      </c>
      <c r="H10" s="15" t="e">
        <f t="shared" si="1"/>
        <v>#DIV/0!</v>
      </c>
    </row>
    <row r="11" spans="3:13" x14ac:dyDescent="0.2">
      <c r="G11" s="16" t="e">
        <f t="shared" si="0"/>
        <v>#DIV/0!</v>
      </c>
      <c r="H11" s="15" t="e">
        <f t="shared" si="1"/>
        <v>#DIV/0!</v>
      </c>
    </row>
    <row r="12" spans="3:13" x14ac:dyDescent="0.2">
      <c r="G12" s="40" t="e">
        <f t="shared" si="0"/>
        <v>#DIV/0!</v>
      </c>
      <c r="H12" s="38" t="e">
        <f t="shared" si="1"/>
        <v>#DIV/0!</v>
      </c>
    </row>
    <row r="13" spans="3:13" x14ac:dyDescent="0.2">
      <c r="G13" s="16" t="e">
        <f>F13/$F$17</f>
        <v>#DIV/0!</v>
      </c>
      <c r="H13" s="15" t="e">
        <f t="shared" si="1"/>
        <v>#DIV/0!</v>
      </c>
    </row>
    <row r="14" spans="3:13" x14ac:dyDescent="0.2">
      <c r="G14" s="16" t="e">
        <f t="shared" si="0"/>
        <v>#DIV/0!</v>
      </c>
      <c r="H14" s="15" t="e">
        <f t="shared" si="1"/>
        <v>#DIV/0!</v>
      </c>
    </row>
    <row r="15" spans="3:13" x14ac:dyDescent="0.2">
      <c r="G15" s="16" t="e">
        <f t="shared" si="0"/>
        <v>#DIV/0!</v>
      </c>
      <c r="H15" s="15" t="e">
        <f t="shared" si="1"/>
        <v>#DIV/0!</v>
      </c>
    </row>
    <row r="16" spans="3:13" x14ac:dyDescent="0.2">
      <c r="G16" s="41" t="e">
        <f t="shared" si="0"/>
        <v>#DIV/0!</v>
      </c>
      <c r="H16" s="39" t="e">
        <f t="shared" si="1"/>
        <v>#DIV/0!</v>
      </c>
    </row>
    <row r="17" spans="3:22" ht="16" thickBot="1" x14ac:dyDescent="0.25">
      <c r="G17" s="19" t="e">
        <f t="shared" si="0"/>
        <v>#DIV/0!</v>
      </c>
      <c r="H17" s="50" t="e">
        <f>E17/F17</f>
        <v>#DIV/0!</v>
      </c>
      <c r="M17" s="17"/>
    </row>
    <row r="21" spans="3:22" ht="16" x14ac:dyDescent="0.2">
      <c r="C21" s="145" t="s">
        <v>9</v>
      </c>
      <c r="D21" s="146"/>
      <c r="E21" s="146"/>
      <c r="F21" s="146"/>
      <c r="G21" s="146"/>
      <c r="H21" s="147"/>
      <c r="M21" s="148" t="s">
        <v>9</v>
      </c>
      <c r="N21" s="149"/>
    </row>
    <row r="22" spans="3:22" ht="16" x14ac:dyDescent="0.2">
      <c r="C22" s="152" t="s">
        <v>10</v>
      </c>
      <c r="D22" s="153"/>
      <c r="E22" s="25" t="s">
        <v>11</v>
      </c>
      <c r="F22" s="26" t="s">
        <v>2</v>
      </c>
      <c r="G22" s="27" t="s">
        <v>3</v>
      </c>
      <c r="H22" s="28" t="s">
        <v>4</v>
      </c>
      <c r="M22" s="150"/>
      <c r="N22" s="151"/>
    </row>
    <row r="23" spans="3:22" ht="16" x14ac:dyDescent="0.2">
      <c r="C23" s="154" t="s">
        <v>12</v>
      </c>
      <c r="D23" s="155"/>
      <c r="E23" s="31" t="e">
        <f>SUM(E24:E26)</f>
        <v>#DIV/0!</v>
      </c>
      <c r="F23" s="75">
        <v>40000</v>
      </c>
      <c r="G23" s="20">
        <f t="shared" ref="G23:G34" si="2">F23/$F$35</f>
        <v>1</v>
      </c>
      <c r="H23" s="29" t="e">
        <f>E23/F23</f>
        <v>#DIV/0!</v>
      </c>
      <c r="M23" s="142" t="s">
        <v>13</v>
      </c>
      <c r="N23" s="143"/>
      <c r="O23" s="91" t="s">
        <v>14</v>
      </c>
    </row>
    <row r="24" spans="3:22" x14ac:dyDescent="0.2">
      <c r="C24" s="131" t="s">
        <v>5</v>
      </c>
      <c r="D24" s="132"/>
      <c r="E24" s="17" t="e">
        <f>F24*N32</f>
        <v>#DIV/0!</v>
      </c>
      <c r="F24" s="17" t="e">
        <f>$F$23*(F5/$F$8)</f>
        <v>#DIV/0!</v>
      </c>
      <c r="G24" s="37" t="e">
        <f t="shared" si="2"/>
        <v>#DIV/0!</v>
      </c>
      <c r="H24" s="30" t="e">
        <f>E24/F24</f>
        <v>#DIV/0!</v>
      </c>
      <c r="M24" s="21" t="s">
        <v>5</v>
      </c>
      <c r="N24" s="32">
        <v>0.7</v>
      </c>
      <c r="O24" s="169" t="s">
        <v>15</v>
      </c>
      <c r="P24" s="170"/>
      <c r="Q24" s="170"/>
      <c r="R24" s="170"/>
      <c r="S24" s="170"/>
      <c r="T24" s="170"/>
      <c r="U24" s="170"/>
      <c r="V24" s="170"/>
    </row>
    <row r="25" spans="3:22" x14ac:dyDescent="0.2">
      <c r="C25" s="131" t="s">
        <v>6</v>
      </c>
      <c r="D25" s="132"/>
      <c r="E25" s="17" t="e">
        <f t="shared" ref="E25:E26" si="3">F25*N33</f>
        <v>#DIV/0!</v>
      </c>
      <c r="F25" s="17" t="e">
        <f>$F$23*(F6/$F$8)</f>
        <v>#DIV/0!</v>
      </c>
      <c r="G25" s="37" t="e">
        <f t="shared" si="2"/>
        <v>#DIV/0!</v>
      </c>
      <c r="H25" s="30" t="e">
        <f t="shared" ref="H25:H26" si="4">E25/F25</f>
        <v>#DIV/0!</v>
      </c>
      <c r="M25" s="21" t="s">
        <v>6</v>
      </c>
      <c r="N25" s="32">
        <v>0.7</v>
      </c>
      <c r="O25" s="169"/>
      <c r="P25" s="170"/>
      <c r="Q25" s="170"/>
      <c r="R25" s="170"/>
      <c r="S25" s="170"/>
      <c r="T25" s="170"/>
      <c r="U25" s="170"/>
      <c r="V25" s="170"/>
    </row>
    <row r="26" spans="3:22" x14ac:dyDescent="0.2">
      <c r="C26" s="131" t="s">
        <v>7</v>
      </c>
      <c r="D26" s="132"/>
      <c r="E26" s="17" t="e">
        <f t="shared" si="3"/>
        <v>#DIV/0!</v>
      </c>
      <c r="F26" s="17" t="e">
        <f>$F$23*(F7/$F$8)</f>
        <v>#DIV/0!</v>
      </c>
      <c r="G26" s="37" t="e">
        <f t="shared" si="2"/>
        <v>#DIV/0!</v>
      </c>
      <c r="H26" s="30" t="e">
        <f t="shared" si="4"/>
        <v>#DIV/0!</v>
      </c>
      <c r="M26" s="21" t="s">
        <v>7</v>
      </c>
      <c r="N26" s="32">
        <v>0.7</v>
      </c>
      <c r="O26" s="169"/>
      <c r="P26" s="170"/>
      <c r="Q26" s="170"/>
      <c r="R26" s="170"/>
      <c r="S26" s="170"/>
      <c r="T26" s="170"/>
      <c r="U26" s="170"/>
      <c r="V26" s="170"/>
    </row>
    <row r="27" spans="3:22" ht="16" x14ac:dyDescent="0.2">
      <c r="C27" s="140" t="s">
        <v>16</v>
      </c>
      <c r="D27" s="141"/>
      <c r="E27" s="31">
        <f>SUM(E28:E30)</f>
        <v>0</v>
      </c>
      <c r="F27" s="31">
        <f>F8</f>
        <v>0</v>
      </c>
      <c r="G27" s="20">
        <f t="shared" si="2"/>
        <v>0</v>
      </c>
      <c r="H27" s="29" t="e">
        <f>E27/F27</f>
        <v>#DIV/0!</v>
      </c>
      <c r="M27" s="142" t="s">
        <v>17</v>
      </c>
      <c r="N27" s="143"/>
      <c r="O27" s="91" t="s">
        <v>18</v>
      </c>
    </row>
    <row r="28" spans="3:22" x14ac:dyDescent="0.2">
      <c r="C28" s="131" t="s">
        <v>5</v>
      </c>
      <c r="D28" s="132"/>
      <c r="E28" s="17">
        <f>(E5*N24)+((F5-E5)*N28)</f>
        <v>0</v>
      </c>
      <c r="F28" s="17">
        <f>F5</f>
        <v>0</v>
      </c>
      <c r="G28" s="37">
        <f t="shared" si="2"/>
        <v>0</v>
      </c>
      <c r="H28" s="30" t="e">
        <f>E28/F28</f>
        <v>#DIV/0!</v>
      </c>
      <c r="M28" s="21" t="s">
        <v>5</v>
      </c>
      <c r="N28" s="32">
        <v>0.1</v>
      </c>
      <c r="O28" s="171" t="s">
        <v>19</v>
      </c>
      <c r="P28" s="172"/>
      <c r="Q28" s="172"/>
      <c r="R28" s="172"/>
      <c r="S28" s="172"/>
      <c r="T28" s="172"/>
      <c r="U28" s="172"/>
      <c r="V28" s="172"/>
    </row>
    <row r="29" spans="3:22" x14ac:dyDescent="0.2">
      <c r="C29" s="131" t="s">
        <v>6</v>
      </c>
      <c r="D29" s="132"/>
      <c r="E29" s="17">
        <f>(E6*N25)+((F6-E6)*N29)</f>
        <v>0</v>
      </c>
      <c r="F29" s="17">
        <f>F6</f>
        <v>0</v>
      </c>
      <c r="G29" s="37">
        <f t="shared" si="2"/>
        <v>0</v>
      </c>
      <c r="H29" s="30" t="e">
        <f t="shared" ref="H29:H30" si="5">E29/F29</f>
        <v>#DIV/0!</v>
      </c>
      <c r="M29" s="21" t="s">
        <v>6</v>
      </c>
      <c r="N29" s="32">
        <v>0.25</v>
      </c>
      <c r="O29" s="171"/>
      <c r="P29" s="172"/>
      <c r="Q29" s="172"/>
      <c r="R29" s="172"/>
      <c r="S29" s="172"/>
      <c r="T29" s="172"/>
      <c r="U29" s="172"/>
      <c r="V29" s="172"/>
    </row>
    <row r="30" spans="3:22" x14ac:dyDescent="0.2">
      <c r="C30" s="131" t="s">
        <v>7</v>
      </c>
      <c r="D30" s="132"/>
      <c r="E30" s="17">
        <f>(E7*N26)+((F7-E7)*N30)</f>
        <v>0</v>
      </c>
      <c r="F30" s="17">
        <f>F7</f>
        <v>0</v>
      </c>
      <c r="G30" s="37">
        <f t="shared" si="2"/>
        <v>0</v>
      </c>
      <c r="H30" s="30" t="e">
        <f t="shared" si="5"/>
        <v>#DIV/0!</v>
      </c>
      <c r="M30" s="21" t="s">
        <v>7</v>
      </c>
      <c r="N30" s="32">
        <v>0.3</v>
      </c>
      <c r="O30" s="171"/>
      <c r="P30" s="172"/>
      <c r="Q30" s="172"/>
      <c r="R30" s="172"/>
      <c r="S30" s="172"/>
      <c r="T30" s="172"/>
      <c r="U30" s="172"/>
      <c r="V30" s="172"/>
    </row>
    <row r="31" spans="3:22" ht="16" x14ac:dyDescent="0.2">
      <c r="C31" s="140" t="s">
        <v>20</v>
      </c>
      <c r="D31" s="141"/>
      <c r="E31" s="31">
        <f>SUM(E32:E34)</f>
        <v>0</v>
      </c>
      <c r="F31" s="31">
        <f>F12+F16</f>
        <v>0</v>
      </c>
      <c r="G31" s="20">
        <f t="shared" si="2"/>
        <v>0</v>
      </c>
      <c r="H31" s="29" t="e">
        <f>E31/F31</f>
        <v>#DIV/0!</v>
      </c>
      <c r="M31" s="142" t="s">
        <v>21</v>
      </c>
      <c r="N31" s="143"/>
      <c r="O31" s="91" t="s">
        <v>22</v>
      </c>
    </row>
    <row r="32" spans="3:22" x14ac:dyDescent="0.2">
      <c r="C32" s="131" t="s">
        <v>5</v>
      </c>
      <c r="D32" s="132"/>
      <c r="E32" s="17">
        <f>((E9+E13)*N24)+(((F9-E9)+(F13-E13))*N28)</f>
        <v>0</v>
      </c>
      <c r="F32" s="17">
        <f>F9+F13</f>
        <v>0</v>
      </c>
      <c r="G32" s="37">
        <f t="shared" si="2"/>
        <v>0</v>
      </c>
      <c r="H32" s="30" t="e">
        <f>E32/F32</f>
        <v>#DIV/0!</v>
      </c>
      <c r="M32" s="21" t="s">
        <v>5</v>
      </c>
      <c r="N32" s="33" t="e">
        <f>H5*0.9</f>
        <v>#DIV/0!</v>
      </c>
      <c r="O32" s="34" t="e">
        <f>(N32-$H$5)*100</f>
        <v>#DIV/0!</v>
      </c>
      <c r="P32" t="s">
        <v>23</v>
      </c>
      <c r="Q32" s="34"/>
      <c r="R32" s="173" t="s">
        <v>24</v>
      </c>
      <c r="S32" s="173"/>
      <c r="T32" s="173"/>
      <c r="U32" s="173"/>
      <c r="V32" s="173"/>
    </row>
    <row r="33" spans="3:22" x14ac:dyDescent="0.2">
      <c r="C33" s="131" t="s">
        <v>6</v>
      </c>
      <c r="D33" s="132"/>
      <c r="E33" s="17">
        <f t="shared" ref="E33:E34" si="6">((E10+E14)*N25)+(((F10-E10)+(F14-E14))*N29)</f>
        <v>0</v>
      </c>
      <c r="F33" s="17">
        <f t="shared" ref="F33:F34" si="7">F10+F14</f>
        <v>0</v>
      </c>
      <c r="G33" s="37">
        <f t="shared" si="2"/>
        <v>0</v>
      </c>
      <c r="H33" s="30" t="e">
        <f t="shared" ref="H33:H34" si="8">E33/F33</f>
        <v>#DIV/0!</v>
      </c>
      <c r="M33" s="21" t="s">
        <v>6</v>
      </c>
      <c r="N33" s="33" t="e">
        <f>H6*0.9</f>
        <v>#DIV/0!</v>
      </c>
      <c r="O33" s="34" t="e">
        <f>(N33-$H$6)*100</f>
        <v>#DIV/0!</v>
      </c>
      <c r="P33" t="s">
        <v>23</v>
      </c>
      <c r="Q33" s="34"/>
      <c r="R33" s="42" t="s">
        <v>24</v>
      </c>
      <c r="S33" s="43"/>
      <c r="T33" s="42"/>
      <c r="U33" s="43"/>
      <c r="V33" s="42"/>
    </row>
    <row r="34" spans="3:22" x14ac:dyDescent="0.2">
      <c r="C34" s="134" t="s">
        <v>7</v>
      </c>
      <c r="D34" s="135"/>
      <c r="E34" s="17">
        <f t="shared" si="6"/>
        <v>0</v>
      </c>
      <c r="F34" s="17">
        <f t="shared" si="7"/>
        <v>0</v>
      </c>
      <c r="G34" s="37">
        <f t="shared" si="2"/>
        <v>0</v>
      </c>
      <c r="H34" s="30" t="e">
        <f t="shared" si="8"/>
        <v>#DIV/0!</v>
      </c>
      <c r="M34" s="35" t="s">
        <v>7</v>
      </c>
      <c r="N34" s="36" t="e">
        <f>H7*0.9</f>
        <v>#DIV/0!</v>
      </c>
      <c r="O34" s="34" t="e">
        <f>(N34-$H$7)*100</f>
        <v>#DIV/0!</v>
      </c>
      <c r="P34" t="s">
        <v>23</v>
      </c>
      <c r="Q34" s="34"/>
      <c r="R34" s="42" t="s">
        <v>24</v>
      </c>
      <c r="S34" s="43"/>
      <c r="T34" s="42"/>
      <c r="U34" s="43"/>
      <c r="V34" s="42"/>
    </row>
    <row r="35" spans="3:22" ht="16" x14ac:dyDescent="0.2">
      <c r="C35" s="136" t="s">
        <v>8</v>
      </c>
      <c r="D35" s="137"/>
      <c r="E35" s="22" t="e">
        <f>SUM(E31+E27+E23)</f>
        <v>#DIV/0!</v>
      </c>
      <c r="F35" s="23">
        <f>F23+F27+F31</f>
        <v>40000</v>
      </c>
      <c r="G35" s="24">
        <f>F35/F35</f>
        <v>1</v>
      </c>
      <c r="H35" s="51" t="e">
        <f>E35/F35</f>
        <v>#DIV/0!</v>
      </c>
    </row>
    <row r="39" spans="3:22" ht="16" x14ac:dyDescent="0.2">
      <c r="C39" s="145" t="s">
        <v>25</v>
      </c>
      <c r="D39" s="146"/>
      <c r="E39" s="146"/>
      <c r="F39" s="146"/>
      <c r="G39" s="146"/>
      <c r="H39" s="147"/>
      <c r="M39" s="148" t="s">
        <v>9</v>
      </c>
      <c r="N39" s="149"/>
    </row>
    <row r="40" spans="3:22" ht="16" x14ac:dyDescent="0.2">
      <c r="C40" s="152" t="s">
        <v>10</v>
      </c>
      <c r="D40" s="153"/>
      <c r="E40" s="25" t="s">
        <v>11</v>
      </c>
      <c r="F40" s="26" t="s">
        <v>2</v>
      </c>
      <c r="G40" s="27" t="s">
        <v>3</v>
      </c>
      <c r="H40" s="28" t="s">
        <v>4</v>
      </c>
      <c r="M40" s="150"/>
      <c r="N40" s="151"/>
    </row>
    <row r="41" spans="3:22" ht="16" x14ac:dyDescent="0.2">
      <c r="C41" s="154" t="s">
        <v>12</v>
      </c>
      <c r="D41" s="155"/>
      <c r="E41" s="31" t="e">
        <f>SUM(E42:E44)</f>
        <v>#DIV/0!</v>
      </c>
      <c r="F41" s="75">
        <v>40000</v>
      </c>
      <c r="G41" s="20">
        <f t="shared" ref="G41:G52" si="9">F41/$F$35</f>
        <v>1</v>
      </c>
      <c r="H41" s="29" t="e">
        <f>E41/F41</f>
        <v>#DIV/0!</v>
      </c>
      <c r="M41" s="142" t="s">
        <v>13</v>
      </c>
      <c r="N41" s="143"/>
      <c r="O41" s="91" t="s">
        <v>14</v>
      </c>
    </row>
    <row r="42" spans="3:22" ht="15" customHeight="1" x14ac:dyDescent="0.2">
      <c r="C42" s="131" t="s">
        <v>5</v>
      </c>
      <c r="D42" s="132"/>
      <c r="E42" s="17" t="e">
        <f>F42*N50</f>
        <v>#DIV/0!</v>
      </c>
      <c r="F42" s="17" t="e">
        <f>$F$41*(F5/$F$8)</f>
        <v>#DIV/0!</v>
      </c>
      <c r="G42" s="37" t="e">
        <f t="shared" si="9"/>
        <v>#DIV/0!</v>
      </c>
      <c r="H42" s="30" t="e">
        <f>E42/F42</f>
        <v>#DIV/0!</v>
      </c>
      <c r="M42" s="21" t="s">
        <v>5</v>
      </c>
      <c r="N42" s="32">
        <v>0.9</v>
      </c>
      <c r="O42" s="174" t="s">
        <v>26</v>
      </c>
      <c r="P42" s="173"/>
      <c r="Q42" s="173"/>
      <c r="R42" s="173"/>
      <c r="S42" s="173"/>
      <c r="T42" s="173"/>
      <c r="U42" s="173"/>
      <c r="V42" s="173"/>
    </row>
    <row r="43" spans="3:22" ht="15" customHeight="1" x14ac:dyDescent="0.2">
      <c r="C43" s="131" t="s">
        <v>6</v>
      </c>
      <c r="D43" s="132"/>
      <c r="E43" s="17" t="e">
        <f>F43*N51</f>
        <v>#DIV/0!</v>
      </c>
      <c r="F43" s="17" t="e">
        <f t="shared" ref="F43:F44" si="10">$F$41*(F6/$F$8)</f>
        <v>#DIV/0!</v>
      </c>
      <c r="G43" s="37" t="e">
        <f t="shared" si="9"/>
        <v>#DIV/0!</v>
      </c>
      <c r="H43" s="30" t="e">
        <f t="shared" ref="H43:H44" si="11">E43/F43</f>
        <v>#DIV/0!</v>
      </c>
      <c r="M43" s="21" t="s">
        <v>6</v>
      </c>
      <c r="N43" s="32">
        <v>0.9</v>
      </c>
      <c r="O43" s="174"/>
      <c r="P43" s="173"/>
      <c r="Q43" s="173"/>
      <c r="R43" s="173"/>
      <c r="S43" s="173"/>
      <c r="T43" s="173"/>
      <c r="U43" s="173"/>
      <c r="V43" s="173"/>
    </row>
    <row r="44" spans="3:22" ht="15" customHeight="1" x14ac:dyDescent="0.2">
      <c r="C44" s="131" t="s">
        <v>7</v>
      </c>
      <c r="D44" s="132"/>
      <c r="E44" s="17" t="e">
        <f>F44*N52</f>
        <v>#DIV/0!</v>
      </c>
      <c r="F44" s="17" t="e">
        <f t="shared" si="10"/>
        <v>#DIV/0!</v>
      </c>
      <c r="G44" s="37" t="e">
        <f t="shared" si="9"/>
        <v>#DIV/0!</v>
      </c>
      <c r="H44" s="30" t="e">
        <f t="shared" si="11"/>
        <v>#DIV/0!</v>
      </c>
      <c r="M44" s="21" t="s">
        <v>7</v>
      </c>
      <c r="N44" s="32">
        <v>0.9</v>
      </c>
      <c r="O44" s="174"/>
      <c r="P44" s="173"/>
      <c r="Q44" s="173"/>
      <c r="R44" s="173"/>
      <c r="S44" s="173"/>
      <c r="T44" s="173"/>
      <c r="U44" s="173"/>
      <c r="V44" s="173"/>
    </row>
    <row r="45" spans="3:22" ht="16" x14ac:dyDescent="0.2">
      <c r="C45" s="140" t="s">
        <v>16</v>
      </c>
      <c r="D45" s="141"/>
      <c r="E45" s="31">
        <f>SUM(E46:E48)</f>
        <v>0</v>
      </c>
      <c r="F45" s="31">
        <f>F8</f>
        <v>0</v>
      </c>
      <c r="G45" s="20">
        <f t="shared" si="9"/>
        <v>0</v>
      </c>
      <c r="H45" s="29" t="e">
        <f>E45/F45</f>
        <v>#DIV/0!</v>
      </c>
      <c r="M45" s="142" t="s">
        <v>17</v>
      </c>
      <c r="N45" s="143"/>
      <c r="O45" s="91" t="s">
        <v>18</v>
      </c>
    </row>
    <row r="46" spans="3:22" x14ac:dyDescent="0.2">
      <c r="C46" s="131" t="s">
        <v>5</v>
      </c>
      <c r="D46" s="132"/>
      <c r="E46" s="17">
        <f>(E5*N42)+((F5-E5)*N46)</f>
        <v>0</v>
      </c>
      <c r="F46" s="17">
        <f>F5</f>
        <v>0</v>
      </c>
      <c r="G46" s="37">
        <f t="shared" si="9"/>
        <v>0</v>
      </c>
      <c r="H46" s="30" t="e">
        <f>E46/F46</f>
        <v>#DIV/0!</v>
      </c>
      <c r="M46" s="21" t="s">
        <v>5</v>
      </c>
      <c r="N46" s="32">
        <v>0.1</v>
      </c>
      <c r="O46" s="169" t="s">
        <v>27</v>
      </c>
      <c r="P46" s="170"/>
      <c r="Q46" s="170"/>
      <c r="R46" s="170"/>
      <c r="S46" s="170"/>
      <c r="T46" s="170"/>
      <c r="U46" s="170"/>
      <c r="V46" s="170"/>
    </row>
    <row r="47" spans="3:22" x14ac:dyDescent="0.2">
      <c r="C47" s="131" t="s">
        <v>6</v>
      </c>
      <c r="D47" s="132"/>
      <c r="E47" s="17">
        <f t="shared" ref="E47:E48" si="12">(E6*N43)+((F6-E6)*N47)</f>
        <v>0</v>
      </c>
      <c r="F47" s="17">
        <f>F6</f>
        <v>0</v>
      </c>
      <c r="G47" s="37">
        <f t="shared" si="9"/>
        <v>0</v>
      </c>
      <c r="H47" s="30" t="e">
        <f t="shared" ref="H47:H48" si="13">E47/F47</f>
        <v>#DIV/0!</v>
      </c>
      <c r="M47" s="21" t="s">
        <v>6</v>
      </c>
      <c r="N47" s="32">
        <v>0.25</v>
      </c>
      <c r="O47" s="169"/>
      <c r="P47" s="170"/>
      <c r="Q47" s="170"/>
      <c r="R47" s="170"/>
      <c r="S47" s="170"/>
      <c r="T47" s="170"/>
      <c r="U47" s="170"/>
      <c r="V47" s="170"/>
    </row>
    <row r="48" spans="3:22" x14ac:dyDescent="0.2">
      <c r="C48" s="131" t="s">
        <v>7</v>
      </c>
      <c r="D48" s="132"/>
      <c r="E48" s="17">
        <f t="shared" si="12"/>
        <v>0</v>
      </c>
      <c r="F48" s="17">
        <f>F7</f>
        <v>0</v>
      </c>
      <c r="G48" s="37">
        <f t="shared" si="9"/>
        <v>0</v>
      </c>
      <c r="H48" s="30" t="e">
        <f t="shared" si="13"/>
        <v>#DIV/0!</v>
      </c>
      <c r="M48" s="21" t="s">
        <v>7</v>
      </c>
      <c r="N48" s="32">
        <v>0.3</v>
      </c>
      <c r="O48" s="169"/>
      <c r="P48" s="170"/>
      <c r="Q48" s="170"/>
      <c r="R48" s="170"/>
      <c r="S48" s="170"/>
      <c r="T48" s="170"/>
      <c r="U48" s="170"/>
      <c r="V48" s="170"/>
    </row>
    <row r="49" spans="3:22" ht="16" x14ac:dyDescent="0.2">
      <c r="C49" s="140" t="s">
        <v>20</v>
      </c>
      <c r="D49" s="141"/>
      <c r="E49" s="31">
        <f>SUM(E50:E52)</f>
        <v>0</v>
      </c>
      <c r="F49" s="31">
        <f>F12+F16</f>
        <v>0</v>
      </c>
      <c r="G49" s="20">
        <f t="shared" si="9"/>
        <v>0</v>
      </c>
      <c r="H49" s="29" t="e">
        <f>E49/F49</f>
        <v>#DIV/0!</v>
      </c>
      <c r="M49" s="142" t="s">
        <v>21</v>
      </c>
      <c r="N49" s="143"/>
      <c r="O49" s="91" t="s">
        <v>22</v>
      </c>
    </row>
    <row r="50" spans="3:22" x14ac:dyDescent="0.2">
      <c r="C50" s="131" t="s">
        <v>5</v>
      </c>
      <c r="D50" s="132"/>
      <c r="E50" s="17">
        <f>((E9+E13)*N42)+(((F9-E9)+(F13-E13))*N46)</f>
        <v>0</v>
      </c>
      <c r="F50" s="17">
        <f>F9+F13</f>
        <v>0</v>
      </c>
      <c r="G50" s="37">
        <f t="shared" si="9"/>
        <v>0</v>
      </c>
      <c r="H50" s="30" t="e">
        <f>E50/F50</f>
        <v>#DIV/0!</v>
      </c>
      <c r="M50" s="21" t="s">
        <v>5</v>
      </c>
      <c r="N50" s="33" t="e">
        <f>H5*1.1</f>
        <v>#DIV/0!</v>
      </c>
      <c r="O50" s="34" t="e">
        <f>(N50-$H$5)*100</f>
        <v>#DIV/0!</v>
      </c>
      <c r="P50" t="s">
        <v>23</v>
      </c>
      <c r="Q50" s="34"/>
      <c r="R50" s="173" t="s">
        <v>28</v>
      </c>
      <c r="S50" s="173"/>
      <c r="T50" s="173"/>
      <c r="U50" s="173"/>
      <c r="V50" s="173"/>
    </row>
    <row r="51" spans="3:22" x14ac:dyDescent="0.2">
      <c r="C51" s="131" t="s">
        <v>6</v>
      </c>
      <c r="D51" s="132"/>
      <c r="E51" s="17">
        <f t="shared" ref="E51:E52" si="14">((E10+E14)*N43)+(((F10-E10)+(F14-E14))*N47)</f>
        <v>0</v>
      </c>
      <c r="F51" s="17">
        <f t="shared" ref="F51:F52" si="15">F10+F14</f>
        <v>0</v>
      </c>
      <c r="G51" s="37">
        <f t="shared" si="9"/>
        <v>0</v>
      </c>
      <c r="H51" s="30" t="e">
        <f t="shared" ref="H51:H52" si="16">E51/F51</f>
        <v>#DIV/0!</v>
      </c>
      <c r="M51" s="21" t="s">
        <v>6</v>
      </c>
      <c r="N51" s="33" t="e">
        <f>H6*1.1</f>
        <v>#DIV/0!</v>
      </c>
      <c r="O51" s="34" t="e">
        <f>(N51-$H$6)*100</f>
        <v>#DIV/0!</v>
      </c>
      <c r="P51" t="s">
        <v>23</v>
      </c>
      <c r="Q51" s="34"/>
      <c r="R51" s="173"/>
      <c r="S51" s="173"/>
      <c r="T51" s="173"/>
      <c r="U51" s="173"/>
      <c r="V51" s="173"/>
    </row>
    <row r="52" spans="3:22" x14ac:dyDescent="0.2">
      <c r="C52" s="134" t="s">
        <v>7</v>
      </c>
      <c r="D52" s="135"/>
      <c r="E52" s="17">
        <f t="shared" si="14"/>
        <v>0</v>
      </c>
      <c r="F52" s="17">
        <f t="shared" si="15"/>
        <v>0</v>
      </c>
      <c r="G52" s="37">
        <f t="shared" si="9"/>
        <v>0</v>
      </c>
      <c r="H52" s="30" t="e">
        <f t="shared" si="16"/>
        <v>#DIV/0!</v>
      </c>
      <c r="M52" s="35" t="s">
        <v>7</v>
      </c>
      <c r="N52" s="36" t="e">
        <f>H7*1.1</f>
        <v>#DIV/0!</v>
      </c>
      <c r="O52" s="34" t="e">
        <f>(N52-$H$7)*100</f>
        <v>#DIV/0!</v>
      </c>
      <c r="P52" t="s">
        <v>23</v>
      </c>
      <c r="Q52" s="34"/>
      <c r="R52" s="173"/>
      <c r="S52" s="173"/>
      <c r="T52" s="173"/>
      <c r="U52" s="173"/>
      <c r="V52" s="173"/>
    </row>
    <row r="53" spans="3:22" ht="16" x14ac:dyDescent="0.2">
      <c r="C53" s="136" t="s">
        <v>8</v>
      </c>
      <c r="D53" s="137"/>
      <c r="E53" s="22" t="e">
        <f>SUM(E49+E45+E41)</f>
        <v>#DIV/0!</v>
      </c>
      <c r="F53" s="23">
        <f>F41+F45+F49</f>
        <v>40000</v>
      </c>
      <c r="G53" s="24">
        <f>F53/F53</f>
        <v>1</v>
      </c>
      <c r="H53" s="51" t="e">
        <f>E53/F53</f>
        <v>#DIV/0!</v>
      </c>
    </row>
  </sheetData>
  <mergeCells count="45">
    <mergeCell ref="C53:D53"/>
    <mergeCell ref="C49:D49"/>
    <mergeCell ref="M49:N49"/>
    <mergeCell ref="C50:D50"/>
    <mergeCell ref="R50:V52"/>
    <mergeCell ref="C51:D51"/>
    <mergeCell ref="C52:D52"/>
    <mergeCell ref="C45:D45"/>
    <mergeCell ref="M45:N45"/>
    <mergeCell ref="C46:D46"/>
    <mergeCell ref="O46:V48"/>
    <mergeCell ref="C47:D47"/>
    <mergeCell ref="C48:D48"/>
    <mergeCell ref="C41:D41"/>
    <mergeCell ref="M41:N41"/>
    <mergeCell ref="C42:D42"/>
    <mergeCell ref="O42:V44"/>
    <mergeCell ref="C43:D43"/>
    <mergeCell ref="C44:D44"/>
    <mergeCell ref="C39:H39"/>
    <mergeCell ref="M39:N40"/>
    <mergeCell ref="C40:D40"/>
    <mergeCell ref="C28:D28"/>
    <mergeCell ref="O28:V30"/>
    <mergeCell ref="C29:D29"/>
    <mergeCell ref="C30:D30"/>
    <mergeCell ref="C31:D31"/>
    <mergeCell ref="M31:N31"/>
    <mergeCell ref="C32:D32"/>
    <mergeCell ref="R32:V32"/>
    <mergeCell ref="C33:D33"/>
    <mergeCell ref="C34:D34"/>
    <mergeCell ref="C35:D35"/>
    <mergeCell ref="C24:D24"/>
    <mergeCell ref="O24:V26"/>
    <mergeCell ref="C25:D25"/>
    <mergeCell ref="C26:D26"/>
    <mergeCell ref="C27:D27"/>
    <mergeCell ref="M27:N27"/>
    <mergeCell ref="C3:H3"/>
    <mergeCell ref="C21:H21"/>
    <mergeCell ref="M21:N22"/>
    <mergeCell ref="C22:D22"/>
    <mergeCell ref="C23:D23"/>
    <mergeCell ref="M23:N2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0BB97-4FFF-48F8-8406-0FCCD7A2A4B5}">
  <dimension ref="C2:AB68"/>
  <sheetViews>
    <sheetView tabSelected="1" workbookViewId="0">
      <selection activeCell="M18" sqref="M18"/>
    </sheetView>
  </sheetViews>
  <sheetFormatPr baseColWidth="10" defaultColWidth="8.83203125" defaultRowHeight="15" x14ac:dyDescent="0.2"/>
  <cols>
    <col min="3" max="3" width="12" customWidth="1"/>
    <col min="4" max="4" width="15.33203125" bestFit="1" customWidth="1"/>
    <col min="5" max="5" width="33.33203125" customWidth="1"/>
    <col min="6" max="6" width="13.5" customWidth="1"/>
    <col min="7" max="7" width="8.1640625" customWidth="1"/>
    <col min="8" max="8" width="9.1640625" bestFit="1" customWidth="1"/>
    <col min="9" max="12" width="2.33203125" bestFit="1" customWidth="1"/>
    <col min="13" max="14" width="19.6640625" customWidth="1"/>
    <col min="15" max="15" width="15.83203125" bestFit="1" customWidth="1"/>
    <col min="16" max="16" width="11.6640625" bestFit="1" customWidth="1"/>
    <col min="17" max="17" width="19.83203125" bestFit="1" customWidth="1"/>
    <col min="18" max="18" width="13.5" customWidth="1"/>
    <col min="19" max="19" width="9.5" bestFit="1" customWidth="1"/>
    <col min="20" max="20" width="19.1640625" bestFit="1" customWidth="1"/>
    <col min="21" max="21" width="11.5" bestFit="1" customWidth="1"/>
    <col min="22" max="22" width="3.33203125" bestFit="1" customWidth="1"/>
    <col min="23" max="23" width="18.83203125" bestFit="1" customWidth="1"/>
    <col min="24" max="24" width="11.6640625" bestFit="1" customWidth="1"/>
    <col min="25" max="25" width="37" bestFit="1" customWidth="1"/>
    <col min="26" max="26" width="13.5" bestFit="1" customWidth="1"/>
    <col min="27" max="27" width="7.5" bestFit="1" customWidth="1"/>
    <col min="28" max="28" width="7.83203125" bestFit="1" customWidth="1"/>
    <col min="29" max="63" width="3.33203125" bestFit="1" customWidth="1"/>
    <col min="64" max="128" width="4.5" bestFit="1" customWidth="1"/>
    <col min="129" max="140" width="5.5" bestFit="1" customWidth="1"/>
    <col min="141" max="141" width="11.6640625" bestFit="1" customWidth="1"/>
  </cols>
  <sheetData>
    <row r="2" spans="3:28" x14ac:dyDescent="0.2">
      <c r="C2" t="s">
        <v>29</v>
      </c>
      <c r="D2" t="s">
        <v>30</v>
      </c>
    </row>
    <row r="3" spans="3:28" x14ac:dyDescent="0.2">
      <c r="R3" s="74"/>
      <c r="X3" s="74"/>
    </row>
    <row r="4" spans="3:28" x14ac:dyDescent="0.2">
      <c r="C4" t="s">
        <v>1</v>
      </c>
      <c r="D4" t="s">
        <v>34</v>
      </c>
      <c r="F4" s="86">
        <v>0.4</v>
      </c>
      <c r="G4" s="85" t="s">
        <v>35</v>
      </c>
      <c r="R4" s="74"/>
      <c r="X4" s="74"/>
    </row>
    <row r="5" spans="3:28" x14ac:dyDescent="0.2">
      <c r="C5" t="s">
        <v>5</v>
      </c>
      <c r="D5">
        <v>3708</v>
      </c>
      <c r="R5" s="74"/>
      <c r="X5" s="74"/>
    </row>
    <row r="6" spans="3:28" x14ac:dyDescent="0.2">
      <c r="C6" t="s">
        <v>7</v>
      </c>
      <c r="D6">
        <v>14691</v>
      </c>
    </row>
    <row r="7" spans="3:28" x14ac:dyDescent="0.2">
      <c r="C7" t="s">
        <v>6</v>
      </c>
      <c r="D7">
        <v>14181</v>
      </c>
    </row>
    <row r="8" spans="3:28" x14ac:dyDescent="0.2">
      <c r="C8" t="s">
        <v>8</v>
      </c>
      <c r="D8">
        <v>32580</v>
      </c>
    </row>
    <row r="10" spans="3:28" ht="17" thickBot="1" x14ac:dyDescent="0.25">
      <c r="C10" s="161" t="s">
        <v>1406</v>
      </c>
      <c r="D10" s="162"/>
      <c r="E10" s="162"/>
      <c r="F10" s="162"/>
      <c r="G10" s="163"/>
      <c r="H10" s="164"/>
      <c r="O10" s="165"/>
      <c r="P10" s="165"/>
      <c r="Q10" s="165"/>
      <c r="R10" s="165"/>
      <c r="S10" s="165"/>
      <c r="T10" s="165"/>
      <c r="W10" s="165"/>
      <c r="X10" s="165"/>
      <c r="Y10" s="165"/>
      <c r="Z10" s="165"/>
      <c r="AA10" s="165"/>
      <c r="AB10" s="165"/>
    </row>
    <row r="11" spans="3:28" ht="16" thickBot="1" x14ac:dyDescent="0.25">
      <c r="C11" s="70" t="s">
        <v>29</v>
      </c>
      <c r="D11" s="70" t="s">
        <v>1</v>
      </c>
      <c r="E11" s="70" t="s">
        <v>40</v>
      </c>
      <c r="F11" s="113" t="s">
        <v>2</v>
      </c>
      <c r="G11" s="116" t="s">
        <v>3</v>
      </c>
      <c r="H11" s="117" t="s">
        <v>4</v>
      </c>
      <c r="S11" s="110"/>
      <c r="T11" s="110"/>
      <c r="AA11" s="110"/>
      <c r="AB11" s="110"/>
    </row>
    <row r="12" spans="3:28" ht="16" thickBot="1" x14ac:dyDescent="0.25">
      <c r="C12" s="73" t="s">
        <v>43</v>
      </c>
      <c r="D12" s="73" t="s">
        <v>5</v>
      </c>
      <c r="E12" s="71">
        <v>16795</v>
      </c>
      <c r="F12" s="114">
        <v>37708</v>
      </c>
      <c r="G12" s="118">
        <f>F12/GETPIVOTDATA("Eligible Points",$C$11)</f>
        <v>0.2554984890165734</v>
      </c>
      <c r="H12" s="119">
        <f t="shared" ref="H12:H24" si="0">E12/F12</f>
        <v>0.44539620239736927</v>
      </c>
      <c r="S12" s="111"/>
      <c r="T12" s="111"/>
      <c r="AA12" s="111"/>
      <c r="AB12" s="111"/>
    </row>
    <row r="13" spans="3:28" ht="16" thickBot="1" x14ac:dyDescent="0.25">
      <c r="C13" s="73"/>
      <c r="D13" s="73" t="s">
        <v>6</v>
      </c>
      <c r="E13" s="71">
        <v>8016</v>
      </c>
      <c r="F13" s="114">
        <v>20937</v>
      </c>
      <c r="G13" s="118">
        <f t="shared" ref="G13:G24" si="1">F13/GETPIVOTDATA("Eligible Points",$C$11)</f>
        <v>0.14186304934072339</v>
      </c>
      <c r="H13" s="119">
        <f t="shared" si="0"/>
        <v>0.3828628743372976</v>
      </c>
      <c r="S13" s="111"/>
      <c r="T13" s="111"/>
      <c r="AA13" s="111"/>
      <c r="AB13" s="111"/>
    </row>
    <row r="14" spans="3:28" ht="16" thickBot="1" x14ac:dyDescent="0.25">
      <c r="C14" s="73"/>
      <c r="D14" s="73" t="s">
        <v>7</v>
      </c>
      <c r="E14" s="71">
        <v>5326</v>
      </c>
      <c r="F14" s="114">
        <v>8092</v>
      </c>
      <c r="G14" s="118">
        <f t="shared" si="1"/>
        <v>5.4829048825769382E-2</v>
      </c>
      <c r="H14" s="119">
        <f t="shared" si="0"/>
        <v>0.65818091942659418</v>
      </c>
      <c r="S14" s="111"/>
      <c r="T14" s="111"/>
      <c r="AA14" s="111"/>
      <c r="AB14" s="111"/>
    </row>
    <row r="15" spans="3:28" ht="16" thickBot="1" x14ac:dyDescent="0.25">
      <c r="C15" s="73" t="s">
        <v>44</v>
      </c>
      <c r="D15" s="73"/>
      <c r="E15" s="72">
        <v>30137</v>
      </c>
      <c r="F15" s="115">
        <v>66737</v>
      </c>
      <c r="G15" s="120">
        <f t="shared" si="1"/>
        <v>0.45219058718306615</v>
      </c>
      <c r="H15" s="121">
        <f>E15/F15</f>
        <v>0.45157858459325412</v>
      </c>
      <c r="S15" s="112"/>
      <c r="T15" s="112"/>
      <c r="AA15" s="112"/>
      <c r="AB15" s="112"/>
    </row>
    <row r="16" spans="3:28" ht="16" thickBot="1" x14ac:dyDescent="0.25">
      <c r="C16" s="73" t="s">
        <v>45</v>
      </c>
      <c r="D16" s="73" t="s">
        <v>5</v>
      </c>
      <c r="E16" s="71">
        <v>4884</v>
      </c>
      <c r="F16" s="114">
        <v>19245</v>
      </c>
      <c r="G16" s="118">
        <f t="shared" si="1"/>
        <v>0.1303985472876831</v>
      </c>
      <c r="H16" s="119">
        <f t="shared" si="0"/>
        <v>0.25378020265003898</v>
      </c>
      <c r="S16" s="111"/>
      <c r="T16" s="111"/>
      <c r="AA16" s="111"/>
      <c r="AB16" s="111"/>
    </row>
    <row r="17" spans="3:28" ht="16" thickBot="1" x14ac:dyDescent="0.25">
      <c r="C17" s="73"/>
      <c r="D17" s="73" t="s">
        <v>6</v>
      </c>
      <c r="E17" s="71">
        <v>5668</v>
      </c>
      <c r="F17" s="114">
        <v>14130</v>
      </c>
      <c r="G17" s="118">
        <f t="shared" si="1"/>
        <v>9.5740788421666015E-2</v>
      </c>
      <c r="H17" s="119">
        <f t="shared" si="0"/>
        <v>0.4011323425336164</v>
      </c>
      <c r="S17" s="111"/>
      <c r="T17" s="111"/>
      <c r="AA17" s="111"/>
      <c r="AB17" s="111"/>
    </row>
    <row r="18" spans="3:28" ht="16" thickBot="1" x14ac:dyDescent="0.25">
      <c r="C18" s="73"/>
      <c r="D18" s="73" t="s">
        <v>7</v>
      </c>
      <c r="E18" s="71">
        <v>1921</v>
      </c>
      <c r="F18" s="114">
        <v>3894</v>
      </c>
      <c r="G18" s="118">
        <f t="shared" si="1"/>
        <v>2.6384616427032374E-2</v>
      </c>
      <c r="H18" s="119">
        <f t="shared" si="0"/>
        <v>0.49332306111967128</v>
      </c>
      <c r="S18" s="111"/>
      <c r="T18" s="111"/>
      <c r="AA18" s="111"/>
      <c r="AB18" s="111"/>
    </row>
    <row r="19" spans="3:28" ht="16" thickBot="1" x14ac:dyDescent="0.25">
      <c r="C19" s="73" t="s">
        <v>46</v>
      </c>
      <c r="D19" s="73"/>
      <c r="E19" s="72">
        <v>12473</v>
      </c>
      <c r="F19" s="115">
        <v>37269</v>
      </c>
      <c r="G19" s="120">
        <f t="shared" si="1"/>
        <v>0.25252395213638151</v>
      </c>
      <c r="H19" s="121">
        <f t="shared" si="0"/>
        <v>0.33467493090772493</v>
      </c>
      <c r="S19" s="112"/>
      <c r="T19" s="112"/>
      <c r="AA19" s="112"/>
      <c r="AB19" s="112"/>
    </row>
    <row r="20" spans="3:28" ht="16" thickBot="1" x14ac:dyDescent="0.25">
      <c r="C20" s="73" t="s">
        <v>47</v>
      </c>
      <c r="D20" s="73" t="s">
        <v>5</v>
      </c>
      <c r="E20" s="71">
        <v>6204</v>
      </c>
      <c r="F20" s="114">
        <v>25493</v>
      </c>
      <c r="G20" s="118">
        <f t="shared" si="1"/>
        <v>0.17273318607455992</v>
      </c>
      <c r="H20" s="119">
        <f t="shared" si="0"/>
        <v>0.24336092260620562</v>
      </c>
      <c r="S20" s="111"/>
      <c r="T20" s="111"/>
      <c r="AA20" s="111"/>
      <c r="AB20" s="111"/>
    </row>
    <row r="21" spans="3:28" ht="16" thickBot="1" x14ac:dyDescent="0.25">
      <c r="C21" s="73"/>
      <c r="D21" s="73" t="s">
        <v>6</v>
      </c>
      <c r="E21" s="71">
        <v>4619</v>
      </c>
      <c r="F21" s="114">
        <v>15609</v>
      </c>
      <c r="G21" s="118">
        <f t="shared" si="1"/>
        <v>0.10576206415242638</v>
      </c>
      <c r="H21" s="119">
        <f t="shared" si="0"/>
        <v>0.29591902107758344</v>
      </c>
      <c r="S21" s="111"/>
      <c r="T21" s="111"/>
      <c r="AA21" s="111"/>
      <c r="AB21" s="111"/>
    </row>
    <row r="22" spans="3:28" ht="16" thickBot="1" x14ac:dyDescent="0.25">
      <c r="C22" s="73"/>
      <c r="D22" s="73" t="s">
        <v>7</v>
      </c>
      <c r="E22" s="71">
        <v>1297</v>
      </c>
      <c r="F22" s="114">
        <v>2478</v>
      </c>
      <c r="G22" s="118">
        <f t="shared" si="1"/>
        <v>1.6790210453566056E-2</v>
      </c>
      <c r="H22" s="119">
        <f t="shared" si="0"/>
        <v>0.52340597255851495</v>
      </c>
      <c r="S22" s="111"/>
      <c r="T22" s="111"/>
      <c r="AA22" s="111"/>
      <c r="AB22" s="111"/>
    </row>
    <row r="23" spans="3:28" ht="16" thickBot="1" x14ac:dyDescent="0.25">
      <c r="C23" s="73" t="s">
        <v>20</v>
      </c>
      <c r="D23" s="73"/>
      <c r="E23" s="72">
        <v>12120</v>
      </c>
      <c r="F23" s="115">
        <v>43580</v>
      </c>
      <c r="G23" s="120">
        <f t="shared" si="1"/>
        <v>0.29528546068055234</v>
      </c>
      <c r="H23" s="121">
        <f t="shared" si="0"/>
        <v>0.27810922441486918</v>
      </c>
      <c r="S23" s="112"/>
      <c r="T23" s="112"/>
      <c r="AA23" s="112"/>
      <c r="AB23" s="112"/>
    </row>
    <row r="24" spans="3:28" ht="16" thickBot="1" x14ac:dyDescent="0.25">
      <c r="C24" s="70" t="s">
        <v>8</v>
      </c>
      <c r="D24" s="70"/>
      <c r="E24" s="71">
        <v>54730</v>
      </c>
      <c r="F24" s="114">
        <v>147586</v>
      </c>
      <c r="G24" s="122">
        <f t="shared" si="1"/>
        <v>1</v>
      </c>
      <c r="H24" s="123">
        <f t="shared" si="0"/>
        <v>0.3708346320111664</v>
      </c>
      <c r="N24" s="17"/>
      <c r="S24" s="58"/>
      <c r="T24" s="58"/>
      <c r="AA24" s="58"/>
      <c r="AB24" s="58"/>
    </row>
    <row r="25" spans="3:28" x14ac:dyDescent="0.2">
      <c r="E25" s="17"/>
      <c r="F25" s="17"/>
      <c r="G25" s="58"/>
      <c r="H25" s="58"/>
    </row>
    <row r="28" spans="3:28" ht="16" x14ac:dyDescent="0.2">
      <c r="C28" s="145" t="s">
        <v>9</v>
      </c>
      <c r="D28" s="146"/>
      <c r="E28" s="146"/>
      <c r="F28" s="146"/>
      <c r="G28" s="146"/>
      <c r="H28" s="147"/>
      <c r="M28" s="148" t="s">
        <v>9</v>
      </c>
      <c r="N28" s="149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3:28" ht="16" x14ac:dyDescent="0.2">
      <c r="C29" s="152" t="s">
        <v>10</v>
      </c>
      <c r="D29" s="153"/>
      <c r="E29" s="25" t="s">
        <v>11</v>
      </c>
      <c r="F29" s="26" t="s">
        <v>2</v>
      </c>
      <c r="G29" s="27" t="s">
        <v>3</v>
      </c>
      <c r="H29" s="28" t="s">
        <v>4</v>
      </c>
      <c r="M29" s="150"/>
      <c r="N29" s="15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3:28" ht="16" x14ac:dyDescent="0.2">
      <c r="C30" s="154" t="s">
        <v>48</v>
      </c>
      <c r="D30" s="155"/>
      <c r="E30" s="31">
        <f>SUM(E31:E33)</f>
        <v>26585.135429042362</v>
      </c>
      <c r="F30" s="75">
        <f>F24*F4</f>
        <v>59034.400000000001</v>
      </c>
      <c r="G30" s="52">
        <f t="shared" ref="G30:G45" si="2">F30/$F$46</f>
        <v>0.24679891839645754</v>
      </c>
      <c r="H30" s="29">
        <f>E30/F30</f>
        <v>0.45033294873908031</v>
      </c>
      <c r="M30" s="156" t="s">
        <v>13</v>
      </c>
      <c r="N30" s="157"/>
      <c r="O30" s="92" t="s">
        <v>14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3:28" x14ac:dyDescent="0.2">
      <c r="C31" s="131" t="s">
        <v>5</v>
      </c>
      <c r="D31" s="132"/>
      <c r="E31" s="17">
        <f>F31*N43</f>
        <v>11674.546418328662</v>
      </c>
      <c r="F31" s="17">
        <f>$F$30*(F12/$F$15)</f>
        <v>33355.846909510467</v>
      </c>
      <c r="G31" s="53">
        <f t="shared" si="2"/>
        <v>0.1394472873352656</v>
      </c>
      <c r="H31" s="30">
        <f t="shared" ref="H31:H46" si="3">E31/F31</f>
        <v>0.35</v>
      </c>
      <c r="M31" s="126" t="s">
        <v>5</v>
      </c>
      <c r="N31" s="127">
        <v>0.8</v>
      </c>
      <c r="O31" s="159" t="s">
        <v>15</v>
      </c>
      <c r="P31" s="160"/>
      <c r="Q31" s="160"/>
      <c r="R31" s="160"/>
      <c r="S31" s="160"/>
      <c r="T31" s="160"/>
      <c r="U31" s="160"/>
      <c r="V31" s="160"/>
      <c r="W31" s="12"/>
      <c r="X31" s="12"/>
      <c r="Y31" s="12"/>
    </row>
    <row r="32" spans="3:28" x14ac:dyDescent="0.2">
      <c r="C32" s="131" t="s">
        <v>6</v>
      </c>
      <c r="D32" s="132"/>
      <c r="E32" s="17">
        <f>F32*N44</f>
        <v>10186.280145046978</v>
      </c>
      <c r="F32" s="17">
        <f t="shared" ref="F32:F33" si="4">$F$30*(F13/$F$15)</f>
        <v>18520.509354630867</v>
      </c>
      <c r="G32" s="53">
        <f t="shared" si="2"/>
        <v>7.7426749096702469E-2</v>
      </c>
      <c r="H32" s="30">
        <f t="shared" si="3"/>
        <v>0.55000000000000004</v>
      </c>
      <c r="M32" s="126" t="s">
        <v>6</v>
      </c>
      <c r="N32" s="127">
        <v>0.8</v>
      </c>
      <c r="O32" s="159"/>
      <c r="P32" s="160"/>
      <c r="Q32" s="160"/>
      <c r="R32" s="160"/>
      <c r="S32" s="160"/>
      <c r="T32" s="160"/>
      <c r="U32" s="160"/>
      <c r="V32" s="160"/>
      <c r="W32" s="12"/>
      <c r="X32" s="12"/>
      <c r="Y32" s="12"/>
    </row>
    <row r="33" spans="3:25" x14ac:dyDescent="0.2">
      <c r="C33" s="131" t="s">
        <v>7</v>
      </c>
      <c r="D33" s="132"/>
      <c r="E33" s="17">
        <f>F33*N45</f>
        <v>4724.3088656667223</v>
      </c>
      <c r="F33" s="17">
        <f t="shared" si="4"/>
        <v>7158.0437358586696</v>
      </c>
      <c r="G33" s="53">
        <f t="shared" si="2"/>
        <v>2.9924881964489482E-2</v>
      </c>
      <c r="H33" s="30">
        <f t="shared" si="3"/>
        <v>0.66</v>
      </c>
      <c r="M33" s="126" t="s">
        <v>7</v>
      </c>
      <c r="N33" s="127">
        <v>0.8</v>
      </c>
      <c r="O33" s="159"/>
      <c r="P33" s="160"/>
      <c r="Q33" s="160"/>
      <c r="R33" s="160"/>
      <c r="S33" s="160"/>
      <c r="T33" s="160"/>
      <c r="U33" s="160"/>
      <c r="V33" s="160"/>
      <c r="W33" s="12"/>
      <c r="X33" s="12"/>
      <c r="Y33" s="12"/>
    </row>
    <row r="34" spans="3:25" ht="16" x14ac:dyDescent="0.2">
      <c r="C34" s="140" t="s">
        <v>49</v>
      </c>
      <c r="D34" s="141"/>
      <c r="E34" s="31">
        <f>SUM(E35:E37)</f>
        <v>14959.992787209496</v>
      </c>
      <c r="F34" s="31">
        <f>D8</f>
        <v>32580</v>
      </c>
      <c r="G34" s="52">
        <f t="shared" si="2"/>
        <v>0.13620378561239865</v>
      </c>
      <c r="H34" s="29">
        <f t="shared" si="3"/>
        <v>0.4591771880665898</v>
      </c>
      <c r="M34" s="156" t="s">
        <v>17</v>
      </c>
      <c r="N34" s="157"/>
      <c r="O34" s="92" t="s">
        <v>18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3:25" x14ac:dyDescent="0.2">
      <c r="C35" s="131" t="s">
        <v>5</v>
      </c>
      <c r="D35" s="132"/>
      <c r="E35" s="17">
        <f>(F35*N39*N31)+(F35-(F35*N39*N31))*N35</f>
        <v>6479.7844865666721</v>
      </c>
      <c r="F35" s="17">
        <f>$F$34*(F12/$F$15)</f>
        <v>18408.478655018956</v>
      </c>
      <c r="G35" s="53">
        <f t="shared" si="2"/>
        <v>7.6958394112296449E-2</v>
      </c>
      <c r="H35" s="30">
        <f t="shared" si="3"/>
        <v>0.35199999999999998</v>
      </c>
      <c r="M35" s="126" t="s">
        <v>5</v>
      </c>
      <c r="N35" s="127">
        <v>0.1</v>
      </c>
      <c r="O35" s="138" t="s">
        <v>19</v>
      </c>
      <c r="P35" s="139"/>
      <c r="Q35" s="139"/>
      <c r="R35" s="139"/>
      <c r="S35" s="139"/>
      <c r="T35" s="139"/>
      <c r="U35" s="139"/>
      <c r="V35" s="139"/>
      <c r="W35" s="12"/>
      <c r="X35" s="12"/>
      <c r="Y35" s="12"/>
    </row>
    <row r="36" spans="3:25" x14ac:dyDescent="0.2">
      <c r="C36" s="131" t="s">
        <v>6</v>
      </c>
      <c r="D36" s="132"/>
      <c r="E36" s="17">
        <f>(F36*N40*N32)+(F36-(F36*N40*N32))*N36</f>
        <v>5928.2545934039599</v>
      </c>
      <c r="F36" s="17">
        <f t="shared" ref="F36:F37" si="5">$F$34*(F13/$F$15)</f>
        <v>10221.128609317171</v>
      </c>
      <c r="G36" s="53">
        <f t="shared" si="2"/>
        <v>4.2730399319220083E-2</v>
      </c>
      <c r="H36" s="30">
        <f t="shared" si="3"/>
        <v>0.58000000000000007</v>
      </c>
      <c r="M36" s="126" t="s">
        <v>6</v>
      </c>
      <c r="N36" s="127">
        <v>0.25</v>
      </c>
      <c r="O36" s="138"/>
      <c r="P36" s="139"/>
      <c r="Q36" s="139"/>
      <c r="R36" s="139"/>
      <c r="S36" s="139"/>
      <c r="T36" s="139"/>
      <c r="U36" s="139"/>
      <c r="V36" s="139"/>
      <c r="W36" s="12"/>
      <c r="X36" s="12"/>
      <c r="Y36" s="12"/>
    </row>
    <row r="37" spans="3:25" x14ac:dyDescent="0.2">
      <c r="C37" s="131" t="s">
        <v>7</v>
      </c>
      <c r="D37" s="132"/>
      <c r="E37" s="17">
        <f>(F37*N41*N33)+(F37-(F37*N41*N33))*N37</f>
        <v>2551.953707238863</v>
      </c>
      <c r="F37" s="17">
        <f t="shared" si="5"/>
        <v>3950.3927356638746</v>
      </c>
      <c r="G37" s="53">
        <f t="shared" si="2"/>
        <v>1.6514992180882117E-2</v>
      </c>
      <c r="H37" s="30">
        <f t="shared" si="3"/>
        <v>0.64600000000000002</v>
      </c>
      <c r="M37" s="126" t="s">
        <v>7</v>
      </c>
      <c r="N37" s="127">
        <v>0.25</v>
      </c>
      <c r="O37" s="138"/>
      <c r="P37" s="139"/>
      <c r="Q37" s="139"/>
      <c r="R37" s="139"/>
      <c r="S37" s="139"/>
      <c r="T37" s="139"/>
      <c r="U37" s="139"/>
      <c r="V37" s="139"/>
      <c r="W37" s="12"/>
      <c r="X37" s="12"/>
      <c r="Y37" s="12"/>
    </row>
    <row r="38" spans="3:25" ht="16" x14ac:dyDescent="0.2">
      <c r="C38" s="140" t="s">
        <v>50</v>
      </c>
      <c r="D38" s="141"/>
      <c r="E38" s="31">
        <f>SUM(E39:E41)</f>
        <v>30122.649999999998</v>
      </c>
      <c r="F38" s="31">
        <f>F15</f>
        <v>66737</v>
      </c>
      <c r="G38" s="52">
        <f t="shared" si="2"/>
        <v>0.27900036956459939</v>
      </c>
      <c r="H38" s="29">
        <f t="shared" si="3"/>
        <v>0.45136356144267792</v>
      </c>
      <c r="M38" s="156" t="s">
        <v>51</v>
      </c>
      <c r="N38" s="157"/>
      <c r="O38" s="92" t="s">
        <v>52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3:25" x14ac:dyDescent="0.2">
      <c r="C39" s="131" t="s">
        <v>5</v>
      </c>
      <c r="D39" s="132"/>
      <c r="E39" s="17">
        <f>(E12*N31)+((F12-E12)*N35)</f>
        <v>15527.3</v>
      </c>
      <c r="F39" s="17">
        <f>F12</f>
        <v>37708</v>
      </c>
      <c r="G39" s="53">
        <f t="shared" si="2"/>
        <v>0.15764187685304876</v>
      </c>
      <c r="H39" s="30">
        <f t="shared" si="3"/>
        <v>0.41177734167815844</v>
      </c>
      <c r="M39" s="126" t="s">
        <v>5</v>
      </c>
      <c r="N39" s="127">
        <v>0.35</v>
      </c>
      <c r="O39" s="138" t="s">
        <v>53</v>
      </c>
      <c r="P39" s="139"/>
      <c r="Q39" s="139"/>
      <c r="R39" s="139"/>
      <c r="S39" s="139"/>
      <c r="T39" s="139"/>
      <c r="U39" s="139"/>
      <c r="V39" s="139"/>
      <c r="W39" s="12"/>
      <c r="X39" s="12"/>
      <c r="Y39" s="12"/>
    </row>
    <row r="40" spans="3:25" x14ac:dyDescent="0.2">
      <c r="C40" s="131" t="s">
        <v>6</v>
      </c>
      <c r="D40" s="132"/>
      <c r="E40" s="17">
        <f>(E13*N32)+((F13-E13)*N36)</f>
        <v>9643.0499999999993</v>
      </c>
      <c r="F40" s="17">
        <f t="shared" ref="F40:F41" si="6">F13</f>
        <v>20937</v>
      </c>
      <c r="G40" s="53">
        <f t="shared" si="2"/>
        <v>8.7529117844284549E-2</v>
      </c>
      <c r="H40" s="30">
        <f t="shared" si="3"/>
        <v>0.46057458088551367</v>
      </c>
      <c r="M40" s="126" t="s">
        <v>6</v>
      </c>
      <c r="N40" s="127">
        <v>0.55000000000000004</v>
      </c>
      <c r="O40" s="138"/>
      <c r="P40" s="139"/>
      <c r="Q40" s="139"/>
      <c r="R40" s="139"/>
      <c r="S40" s="139"/>
      <c r="T40" s="139"/>
      <c r="U40" s="139"/>
      <c r="V40" s="139"/>
      <c r="W40" s="12"/>
      <c r="X40" s="12"/>
      <c r="Y40" s="12"/>
    </row>
    <row r="41" spans="3:25" x14ac:dyDescent="0.2">
      <c r="C41" s="131" t="s">
        <v>7</v>
      </c>
      <c r="D41" s="132"/>
      <c r="E41" s="17">
        <f>(E14*N33)+((F14-E14)*N37)</f>
        <v>4952.3</v>
      </c>
      <c r="F41" s="17">
        <f t="shared" si="6"/>
        <v>8092</v>
      </c>
      <c r="G41" s="53">
        <f t="shared" si="2"/>
        <v>3.3829374867266108E-2</v>
      </c>
      <c r="H41" s="30">
        <f t="shared" si="3"/>
        <v>0.6119995056846268</v>
      </c>
      <c r="M41" s="128" t="s">
        <v>7</v>
      </c>
      <c r="N41" s="127">
        <v>0.66</v>
      </c>
      <c r="O41" s="138"/>
      <c r="P41" s="139"/>
      <c r="Q41" s="139"/>
      <c r="R41" s="139"/>
      <c r="S41" s="139"/>
      <c r="T41" s="139"/>
      <c r="U41" s="139"/>
      <c r="V41" s="139"/>
      <c r="W41" s="12"/>
      <c r="X41" s="12"/>
      <c r="Y41" s="12"/>
    </row>
    <row r="42" spans="3:25" ht="16" x14ac:dyDescent="0.2">
      <c r="C42" s="140" t="s">
        <v>54</v>
      </c>
      <c r="D42" s="141"/>
      <c r="E42" s="31">
        <f>SUM(E43:E45)</f>
        <v>28690.9</v>
      </c>
      <c r="F42" s="31">
        <f>F19+F23</f>
        <v>80849</v>
      </c>
      <c r="G42" s="52">
        <f t="shared" si="2"/>
        <v>0.33799692642654444</v>
      </c>
      <c r="H42" s="29">
        <f t="shared" si="3"/>
        <v>0.35487019010748433</v>
      </c>
      <c r="M42" s="156" t="s">
        <v>21</v>
      </c>
      <c r="N42" s="157"/>
      <c r="O42" s="92" t="s">
        <v>22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3:25" ht="14.5" customHeight="1" x14ac:dyDescent="0.2">
      <c r="C43" s="131" t="s">
        <v>5</v>
      </c>
      <c r="D43" s="132"/>
      <c r="E43" s="17">
        <f>((E16+E20)*N31)+(((F16-E16)+(F20-E20))*N35)</f>
        <v>12235.4</v>
      </c>
      <c r="F43" s="17">
        <f>F16+F20</f>
        <v>44738</v>
      </c>
      <c r="G43" s="53">
        <f t="shared" si="2"/>
        <v>0.18703145981361236</v>
      </c>
      <c r="H43" s="30">
        <f t="shared" si="3"/>
        <v>0.27349009790334838</v>
      </c>
      <c r="M43" s="126" t="s">
        <v>5</v>
      </c>
      <c r="N43" s="127">
        <v>0.35</v>
      </c>
      <c r="O43" s="90">
        <f>(N43-H12)*100</f>
        <v>-9.5396202397369283</v>
      </c>
      <c r="P43" s="12" t="s">
        <v>23</v>
      </c>
      <c r="Q43" s="90"/>
      <c r="R43" s="158" t="s">
        <v>55</v>
      </c>
      <c r="S43" s="158"/>
      <c r="T43" s="158"/>
      <c r="U43" s="158"/>
      <c r="V43" s="158"/>
      <c r="W43" s="158"/>
      <c r="X43" s="12"/>
      <c r="Y43" s="12"/>
    </row>
    <row r="44" spans="3:25" ht="14.5" customHeight="1" x14ac:dyDescent="0.2">
      <c r="C44" s="131" t="s">
        <v>6</v>
      </c>
      <c r="D44" s="132"/>
      <c r="E44" s="17">
        <f>((E17+E21)*N32)+(((F17-E17)+(F21-E21))*N36)</f>
        <v>13092.6</v>
      </c>
      <c r="F44" s="17">
        <f>F17+F21</f>
        <v>29739</v>
      </c>
      <c r="G44" s="53">
        <f t="shared" si="2"/>
        <v>0.12432671517271711</v>
      </c>
      <c r="H44" s="30">
        <f t="shared" si="3"/>
        <v>0.44025017653586201</v>
      </c>
      <c r="M44" s="126" t="s">
        <v>6</v>
      </c>
      <c r="N44" s="127">
        <v>0.55000000000000004</v>
      </c>
      <c r="O44" s="90">
        <f t="shared" ref="O44:O45" si="7">(N44-H13)*100</f>
        <v>16.713712566270246</v>
      </c>
      <c r="P44" s="12" t="s">
        <v>23</v>
      </c>
      <c r="Q44" s="90"/>
      <c r="R44" s="158"/>
      <c r="S44" s="158"/>
      <c r="T44" s="158"/>
      <c r="U44" s="158"/>
      <c r="V44" s="158"/>
      <c r="W44" s="158"/>
      <c r="X44" s="12"/>
      <c r="Y44" s="12"/>
    </row>
    <row r="45" spans="3:25" ht="14.5" customHeight="1" x14ac:dyDescent="0.2">
      <c r="C45" s="134" t="s">
        <v>7</v>
      </c>
      <c r="D45" s="135"/>
      <c r="E45" s="17">
        <f>((E18+E22)*N33)+(((F18-E18)+(F22-E22))*N37)</f>
        <v>3362.9</v>
      </c>
      <c r="F45" s="17">
        <f>F18+F22</f>
        <v>6372</v>
      </c>
      <c r="G45" s="53">
        <f t="shared" si="2"/>
        <v>2.6638751440214985E-2</v>
      </c>
      <c r="H45" s="30">
        <f t="shared" si="3"/>
        <v>0.52776208411801628</v>
      </c>
      <c r="M45" s="129" t="s">
        <v>7</v>
      </c>
      <c r="N45" s="130">
        <v>0.66</v>
      </c>
      <c r="O45" s="90">
        <f t="shared" si="7"/>
        <v>0.18190805734058513</v>
      </c>
      <c r="P45" s="12" t="s">
        <v>23</v>
      </c>
      <c r="Q45" s="90"/>
      <c r="R45" s="158"/>
      <c r="S45" s="158"/>
      <c r="T45" s="158"/>
      <c r="U45" s="158"/>
      <c r="V45" s="158"/>
      <c r="W45" s="158"/>
      <c r="X45" s="12"/>
      <c r="Y45" s="12"/>
    </row>
    <row r="46" spans="3:25" ht="16" x14ac:dyDescent="0.2">
      <c r="C46" s="136" t="s">
        <v>8</v>
      </c>
      <c r="D46" s="137"/>
      <c r="E46" s="22">
        <f>SUM(E42+E38+E30+E34)</f>
        <v>100358.67821625186</v>
      </c>
      <c r="F46" s="23">
        <f>F38+F42+F30+F34</f>
        <v>239200.4</v>
      </c>
      <c r="G46" s="24">
        <f>F46/F46</f>
        <v>1</v>
      </c>
      <c r="H46" s="51">
        <f t="shared" si="3"/>
        <v>0.41955898993585239</v>
      </c>
    </row>
    <row r="50" spans="3:25" ht="16" x14ac:dyDescent="0.2">
      <c r="C50" s="145" t="s">
        <v>25</v>
      </c>
      <c r="D50" s="146"/>
      <c r="E50" s="146"/>
      <c r="F50" s="146"/>
      <c r="G50" s="146"/>
      <c r="H50" s="147"/>
      <c r="M50" s="148" t="s">
        <v>25</v>
      </c>
      <c r="N50" s="149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3:25" ht="16" x14ac:dyDescent="0.2">
      <c r="C51" s="152" t="s">
        <v>10</v>
      </c>
      <c r="D51" s="153"/>
      <c r="E51" s="25" t="s">
        <v>11</v>
      </c>
      <c r="F51" s="26" t="s">
        <v>2</v>
      </c>
      <c r="G51" s="27" t="s">
        <v>3</v>
      </c>
      <c r="H51" s="28" t="s">
        <v>4</v>
      </c>
      <c r="M51" s="150"/>
      <c r="N51" s="151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3:25" ht="16" x14ac:dyDescent="0.2">
      <c r="C52" s="154" t="s">
        <v>48</v>
      </c>
      <c r="D52" s="155"/>
      <c r="E52" s="31">
        <f>SUM(E53:E55)</f>
        <v>28994.694652261867</v>
      </c>
      <c r="F52" s="75">
        <f>F24*F4</f>
        <v>59034.400000000001</v>
      </c>
      <c r="G52" s="52">
        <f t="shared" ref="G52:G55" si="8">F52/$F$46</f>
        <v>0.24679891839645754</v>
      </c>
      <c r="H52" s="29">
        <f>E52/F52</f>
        <v>0.49114913765976898</v>
      </c>
      <c r="M52" s="142" t="s">
        <v>13</v>
      </c>
      <c r="N52" s="143"/>
      <c r="O52" s="92" t="s">
        <v>14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3:25" ht="15" customHeight="1" x14ac:dyDescent="0.2">
      <c r="C53" s="131" t="s">
        <v>5</v>
      </c>
      <c r="D53" s="132"/>
      <c r="E53" s="17">
        <f>F53*N65</f>
        <v>15010.13110927971</v>
      </c>
      <c r="F53" s="17">
        <f>$F$30*(F12/$F$15)</f>
        <v>33355.846909510467</v>
      </c>
      <c r="G53" s="53">
        <f t="shared" si="8"/>
        <v>0.1394472873352656</v>
      </c>
      <c r="H53" s="30">
        <f t="shared" ref="H53:H55" si="9">E53/F53</f>
        <v>0.45</v>
      </c>
      <c r="M53" s="21" t="s">
        <v>5</v>
      </c>
      <c r="N53" s="32">
        <v>0.9</v>
      </c>
      <c r="O53" s="144" t="s">
        <v>26</v>
      </c>
      <c r="P53" s="133"/>
      <c r="Q53" s="133"/>
      <c r="R53" s="133"/>
      <c r="S53" s="133"/>
      <c r="T53" s="133"/>
      <c r="U53" s="133"/>
      <c r="V53" s="133"/>
      <c r="W53" s="12"/>
      <c r="X53" s="12"/>
      <c r="Y53" s="12"/>
    </row>
    <row r="54" spans="3:25" ht="15" customHeight="1" x14ac:dyDescent="0.2">
      <c r="C54" s="131" t="s">
        <v>6</v>
      </c>
      <c r="D54" s="132"/>
      <c r="E54" s="17">
        <f>F54*N66</f>
        <v>9260.2546773154336</v>
      </c>
      <c r="F54" s="17">
        <f t="shared" ref="F54:F55" si="10">$F$30*(F13/$F$15)</f>
        <v>18520.509354630867</v>
      </c>
      <c r="G54" s="53">
        <f t="shared" si="8"/>
        <v>7.7426749096702469E-2</v>
      </c>
      <c r="H54" s="30">
        <f t="shared" si="9"/>
        <v>0.5</v>
      </c>
      <c r="M54" s="21" t="s">
        <v>6</v>
      </c>
      <c r="N54" s="32">
        <v>0.9</v>
      </c>
      <c r="O54" s="144"/>
      <c r="P54" s="133"/>
      <c r="Q54" s="133"/>
      <c r="R54" s="133"/>
      <c r="S54" s="133"/>
      <c r="T54" s="133"/>
      <c r="U54" s="133"/>
      <c r="V54" s="133"/>
      <c r="W54" s="12"/>
      <c r="X54" s="12"/>
      <c r="Y54" s="12"/>
    </row>
    <row r="55" spans="3:25" ht="15" customHeight="1" x14ac:dyDescent="0.2">
      <c r="C55" s="131" t="s">
        <v>7</v>
      </c>
      <c r="D55" s="132"/>
      <c r="E55" s="17">
        <f>F55*N67</f>
        <v>4724.3088656667223</v>
      </c>
      <c r="F55" s="17">
        <f t="shared" si="10"/>
        <v>7158.0437358586696</v>
      </c>
      <c r="G55" s="53">
        <f t="shared" si="8"/>
        <v>2.9924881964489482E-2</v>
      </c>
      <c r="H55" s="30">
        <f t="shared" si="9"/>
        <v>0.66</v>
      </c>
      <c r="M55" s="21" t="s">
        <v>7</v>
      </c>
      <c r="N55" s="32">
        <v>0.9</v>
      </c>
      <c r="O55" s="144"/>
      <c r="P55" s="133"/>
      <c r="Q55" s="133"/>
      <c r="R55" s="133"/>
      <c r="S55" s="133"/>
      <c r="T55" s="133"/>
      <c r="U55" s="133"/>
      <c r="V55" s="133"/>
      <c r="W55" s="12"/>
      <c r="X55" s="12"/>
      <c r="Y55" s="12"/>
    </row>
    <row r="56" spans="3:25" ht="15" customHeight="1" x14ac:dyDescent="0.2">
      <c r="C56" s="140" t="s">
        <v>49</v>
      </c>
      <c r="D56" s="141"/>
      <c r="E56" s="31">
        <f>SUM(E57:E59)</f>
        <v>17247.532336485008</v>
      </c>
      <c r="F56" s="31">
        <f>F34</f>
        <v>32580</v>
      </c>
      <c r="G56" s="52">
        <f t="shared" ref="G56:G67" si="11">F56/$F$46</f>
        <v>0.13620378561239865</v>
      </c>
      <c r="H56" s="29">
        <f t="shared" ref="H56:H68" si="12">E56/F56</f>
        <v>0.52939018835128937</v>
      </c>
      <c r="M56" s="142" t="s">
        <v>17</v>
      </c>
      <c r="N56" s="143"/>
      <c r="O56" s="92" t="s">
        <v>18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3:25" ht="15" customHeight="1" x14ac:dyDescent="0.2">
      <c r="C57" s="131" t="s">
        <v>5</v>
      </c>
      <c r="D57" s="132"/>
      <c r="E57" s="17">
        <f>(F57*N61*N53)+(F57-(F57*N61*N53))*N57</f>
        <v>7805.1949497280375</v>
      </c>
      <c r="F57" s="17">
        <f>$F$56*(F12/$F$15)</f>
        <v>18408.478655018956</v>
      </c>
      <c r="G57" s="53">
        <f t="shared" si="11"/>
        <v>7.6958394112296449E-2</v>
      </c>
      <c r="H57" s="30">
        <f t="shared" si="12"/>
        <v>0.42399999999999999</v>
      </c>
      <c r="M57" s="21" t="s">
        <v>5</v>
      </c>
      <c r="N57" s="32">
        <v>0.1</v>
      </c>
      <c r="O57" s="138" t="s">
        <v>19</v>
      </c>
      <c r="P57" s="139"/>
      <c r="Q57" s="139"/>
      <c r="R57" s="139"/>
      <c r="S57" s="139"/>
      <c r="T57" s="139"/>
      <c r="U57" s="139"/>
      <c r="V57" s="139"/>
      <c r="W57" s="12"/>
      <c r="X57" s="12"/>
      <c r="Y57" s="12"/>
    </row>
    <row r="58" spans="3:25" ht="15" customHeight="1" x14ac:dyDescent="0.2">
      <c r="C58" s="131" t="s">
        <v>6</v>
      </c>
      <c r="D58" s="132"/>
      <c r="E58" s="17">
        <f>(F58*N62*N54)+(F58-(F58*N62*N54))*N58</f>
        <v>6694.8392391027464</v>
      </c>
      <c r="F58" s="17">
        <f>$F$56*(F13/$F$15)</f>
        <v>10221.128609317171</v>
      </c>
      <c r="G58" s="53">
        <f t="shared" si="11"/>
        <v>4.2730399319220083E-2</v>
      </c>
      <c r="H58" s="30">
        <f t="shared" si="12"/>
        <v>0.65499999999999992</v>
      </c>
      <c r="M58" s="21" t="s">
        <v>6</v>
      </c>
      <c r="N58" s="32">
        <v>0.25</v>
      </c>
      <c r="O58" s="138"/>
      <c r="P58" s="139"/>
      <c r="Q58" s="139"/>
      <c r="R58" s="139"/>
      <c r="S58" s="139"/>
      <c r="T58" s="139"/>
      <c r="U58" s="139"/>
      <c r="V58" s="139"/>
      <c r="W58" s="12"/>
      <c r="X58" s="12"/>
      <c r="Y58" s="12"/>
    </row>
    <row r="59" spans="3:25" ht="15" customHeight="1" x14ac:dyDescent="0.2">
      <c r="C59" s="131" t="s">
        <v>7</v>
      </c>
      <c r="D59" s="132"/>
      <c r="E59" s="17">
        <f>(F59*N63*N55)+(F59-(F59*N63*N55))*N59</f>
        <v>2747.4981476542248</v>
      </c>
      <c r="F59" s="17">
        <f>$F$56*(F14/$F$15)</f>
        <v>3950.3927356638746</v>
      </c>
      <c r="G59" s="53">
        <f t="shared" si="11"/>
        <v>1.6514992180882117E-2</v>
      </c>
      <c r="H59" s="30">
        <f t="shared" si="12"/>
        <v>0.69550000000000001</v>
      </c>
      <c r="M59" s="21" t="s">
        <v>7</v>
      </c>
      <c r="N59" s="32">
        <v>0.25</v>
      </c>
      <c r="O59" s="138"/>
      <c r="P59" s="139"/>
      <c r="Q59" s="139"/>
      <c r="R59" s="139"/>
      <c r="S59" s="139"/>
      <c r="T59" s="139"/>
      <c r="U59" s="139"/>
      <c r="V59" s="139"/>
      <c r="W59" s="12"/>
      <c r="X59" s="12"/>
      <c r="Y59" s="12"/>
    </row>
    <row r="60" spans="3:25" ht="16" x14ac:dyDescent="0.2">
      <c r="C60" s="140" t="s">
        <v>50</v>
      </c>
      <c r="D60" s="141"/>
      <c r="E60" s="31">
        <f>SUM(E61:E63)</f>
        <v>33136.35</v>
      </c>
      <c r="F60" s="31">
        <f>F15</f>
        <v>66737</v>
      </c>
      <c r="G60" s="52">
        <f t="shared" si="11"/>
        <v>0.27900036956459939</v>
      </c>
      <c r="H60" s="29">
        <f t="shared" si="12"/>
        <v>0.49652141990200338</v>
      </c>
      <c r="M60" s="142" t="s">
        <v>51</v>
      </c>
      <c r="N60" s="143"/>
      <c r="O60" s="92" t="s">
        <v>52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3:25" x14ac:dyDescent="0.2">
      <c r="C61" s="131" t="s">
        <v>5</v>
      </c>
      <c r="D61" s="132"/>
      <c r="E61" s="17">
        <f>(E12*N53)+((F12-E12)*N57)</f>
        <v>17206.8</v>
      </c>
      <c r="F61" s="17">
        <f>F12</f>
        <v>37708</v>
      </c>
      <c r="G61" s="53">
        <f t="shared" si="11"/>
        <v>0.15764187685304876</v>
      </c>
      <c r="H61" s="30">
        <f t="shared" si="12"/>
        <v>0.45631696191789539</v>
      </c>
      <c r="M61" s="21" t="s">
        <v>5</v>
      </c>
      <c r="N61" s="32">
        <v>0.4</v>
      </c>
      <c r="O61" s="138" t="s">
        <v>53</v>
      </c>
      <c r="P61" s="139"/>
      <c r="Q61" s="139"/>
      <c r="R61" s="139"/>
      <c r="S61" s="139"/>
      <c r="T61" s="139"/>
      <c r="U61" s="139"/>
      <c r="V61" s="139"/>
      <c r="W61" s="12"/>
      <c r="X61" s="12"/>
      <c r="Y61" s="12"/>
    </row>
    <row r="62" spans="3:25" x14ac:dyDescent="0.2">
      <c r="C62" s="131" t="s">
        <v>6</v>
      </c>
      <c r="D62" s="132"/>
      <c r="E62" s="17">
        <f>(E13*N54)+((F13-E13)*N58)</f>
        <v>10444.650000000001</v>
      </c>
      <c r="F62" s="17">
        <f>F13</f>
        <v>20937</v>
      </c>
      <c r="G62" s="53">
        <f t="shared" si="11"/>
        <v>8.7529117844284549E-2</v>
      </c>
      <c r="H62" s="30">
        <f t="shared" si="12"/>
        <v>0.49886086831924353</v>
      </c>
      <c r="M62" s="21" t="s">
        <v>6</v>
      </c>
      <c r="N62" s="32">
        <v>0.6</v>
      </c>
      <c r="O62" s="138"/>
      <c r="P62" s="139"/>
      <c r="Q62" s="139"/>
      <c r="R62" s="139"/>
      <c r="S62" s="139"/>
      <c r="T62" s="139"/>
      <c r="U62" s="139"/>
      <c r="V62" s="139"/>
      <c r="W62" s="12"/>
      <c r="X62" s="12"/>
      <c r="Y62" s="12"/>
    </row>
    <row r="63" spans="3:25" x14ac:dyDescent="0.2">
      <c r="C63" s="131" t="s">
        <v>7</v>
      </c>
      <c r="D63" s="132"/>
      <c r="E63" s="17">
        <f>(E14*N55)+((F14-E14)*N59)</f>
        <v>5484.9000000000005</v>
      </c>
      <c r="F63" s="17">
        <f>F14</f>
        <v>8092</v>
      </c>
      <c r="G63" s="53">
        <f t="shared" si="11"/>
        <v>3.3829374867266108E-2</v>
      </c>
      <c r="H63" s="30">
        <f t="shared" si="12"/>
        <v>0.67781759762728633</v>
      </c>
      <c r="M63" s="68" t="s">
        <v>7</v>
      </c>
      <c r="N63" s="32">
        <v>0.66</v>
      </c>
      <c r="O63" s="138"/>
      <c r="P63" s="139"/>
      <c r="Q63" s="139"/>
      <c r="R63" s="139"/>
      <c r="S63" s="139"/>
      <c r="T63" s="139"/>
      <c r="U63" s="139"/>
      <c r="V63" s="139"/>
      <c r="W63" s="12"/>
      <c r="X63" s="12"/>
      <c r="Y63" s="12"/>
    </row>
    <row r="64" spans="3:25" ht="16" x14ac:dyDescent="0.2">
      <c r="C64" s="140" t="s">
        <v>54</v>
      </c>
      <c r="D64" s="141"/>
      <c r="E64" s="31">
        <f>SUM(E65:E67)</f>
        <v>31150.2</v>
      </c>
      <c r="F64" s="31">
        <f>F19+F23</f>
        <v>80849</v>
      </c>
      <c r="G64" s="52">
        <f t="shared" si="11"/>
        <v>0.33799692642654444</v>
      </c>
      <c r="H64" s="29">
        <f t="shared" si="12"/>
        <v>0.38528862447278261</v>
      </c>
      <c r="M64" s="142" t="s">
        <v>21</v>
      </c>
      <c r="N64" s="143"/>
      <c r="O64" s="92" t="s">
        <v>22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3:25" ht="14.5" customHeight="1" x14ac:dyDescent="0.2">
      <c r="C65" s="131" t="s">
        <v>5</v>
      </c>
      <c r="D65" s="132"/>
      <c r="E65" s="17">
        <f>((E16+E20)*N53)+(((F16-E16)+(F20-E20))*N57)</f>
        <v>13344.2</v>
      </c>
      <c r="F65" s="17">
        <f>F16+F20</f>
        <v>44738</v>
      </c>
      <c r="G65" s="53">
        <f t="shared" si="11"/>
        <v>0.18703145981361236</v>
      </c>
      <c r="H65" s="30">
        <f t="shared" si="12"/>
        <v>0.29827439760382674</v>
      </c>
      <c r="M65" s="21" t="s">
        <v>5</v>
      </c>
      <c r="N65" s="32">
        <v>0.45</v>
      </c>
      <c r="O65" s="90">
        <f>(N65-H12)*100</f>
        <v>0.46037976026307437</v>
      </c>
      <c r="P65" s="12" t="s">
        <v>23</v>
      </c>
      <c r="Q65" s="90"/>
      <c r="R65" s="133" t="s">
        <v>28</v>
      </c>
      <c r="S65" s="133"/>
      <c r="T65" s="133"/>
      <c r="U65" s="133"/>
      <c r="V65" s="133"/>
      <c r="W65" s="12"/>
      <c r="X65" s="12"/>
      <c r="Y65" s="12"/>
    </row>
    <row r="66" spans="3:25" ht="14.5" customHeight="1" x14ac:dyDescent="0.2">
      <c r="C66" s="131" t="s">
        <v>6</v>
      </c>
      <c r="D66" s="132"/>
      <c r="E66" s="17">
        <f>((E17+E21)*N54)+(((F17-E17)+(F21-E21))*N58)</f>
        <v>14121.300000000001</v>
      </c>
      <c r="F66" s="17">
        <f>F17+F21</f>
        <v>29739</v>
      </c>
      <c r="G66" s="53">
        <f t="shared" si="11"/>
        <v>0.12432671517271711</v>
      </c>
      <c r="H66" s="30">
        <f t="shared" si="12"/>
        <v>0.47484111772420057</v>
      </c>
      <c r="M66" s="21" t="s">
        <v>6</v>
      </c>
      <c r="N66" s="32">
        <v>0.5</v>
      </c>
      <c r="O66" s="90">
        <f>(N66-H13)*100</f>
        <v>11.713712566270241</v>
      </c>
      <c r="P66" s="12" t="s">
        <v>23</v>
      </c>
      <c r="Q66" s="90"/>
      <c r="R66" s="133"/>
      <c r="S66" s="133"/>
      <c r="T66" s="133"/>
      <c r="U66" s="133"/>
      <c r="V66" s="133"/>
      <c r="W66" s="12"/>
      <c r="X66" s="12"/>
      <c r="Y66" s="12"/>
    </row>
    <row r="67" spans="3:25" ht="14.5" customHeight="1" x14ac:dyDescent="0.2">
      <c r="C67" s="134" t="s">
        <v>7</v>
      </c>
      <c r="D67" s="135"/>
      <c r="E67" s="17">
        <f>((E18+E22)*N55)+(((F18-E18)+(F22-E22))*N59)</f>
        <v>3684.7000000000003</v>
      </c>
      <c r="F67" s="17">
        <f>F18+F22</f>
        <v>6372</v>
      </c>
      <c r="G67" s="53">
        <f t="shared" si="11"/>
        <v>2.6638751440214985E-2</v>
      </c>
      <c r="H67" s="30">
        <f t="shared" si="12"/>
        <v>0.57826428123038298</v>
      </c>
      <c r="M67" s="35" t="s">
        <v>7</v>
      </c>
      <c r="N67" s="109">
        <v>0.66</v>
      </c>
      <c r="O67" s="90">
        <f>(N67-H14)*100</f>
        <v>0.18190805734058513</v>
      </c>
      <c r="P67" s="12" t="s">
        <v>23</v>
      </c>
      <c r="Q67" s="90"/>
      <c r="R67" s="133"/>
      <c r="S67" s="133"/>
      <c r="T67" s="133"/>
      <c r="U67" s="133"/>
      <c r="V67" s="133"/>
      <c r="W67" s="12"/>
      <c r="X67" s="12"/>
      <c r="Y67" s="12"/>
    </row>
    <row r="68" spans="3:25" ht="15.5" customHeight="1" x14ac:dyDescent="0.2">
      <c r="C68" s="136" t="s">
        <v>8</v>
      </c>
      <c r="D68" s="137"/>
      <c r="E68" s="22">
        <f>E64+E60+E52+E56</f>
        <v>110528.77698874687</v>
      </c>
      <c r="F68" s="23">
        <f>F52+F60+F64+F56</f>
        <v>239200.4</v>
      </c>
      <c r="G68" s="24">
        <f>F68/F68</f>
        <v>1</v>
      </c>
      <c r="H68" s="51">
        <f t="shared" si="12"/>
        <v>0.46207605417360037</v>
      </c>
    </row>
  </sheetData>
  <mergeCells count="59">
    <mergeCell ref="C10:H10"/>
    <mergeCell ref="O10:T10"/>
    <mergeCell ref="W10:AB10"/>
    <mergeCell ref="C28:H28"/>
    <mergeCell ref="M28:N29"/>
    <mergeCell ref="C29:D29"/>
    <mergeCell ref="C30:D30"/>
    <mergeCell ref="M30:N30"/>
    <mergeCell ref="C31:D31"/>
    <mergeCell ref="O31:V33"/>
    <mergeCell ref="C32:D32"/>
    <mergeCell ref="C33:D33"/>
    <mergeCell ref="C34:D34"/>
    <mergeCell ref="M34:N34"/>
    <mergeCell ref="C35:D35"/>
    <mergeCell ref="O35:V37"/>
    <mergeCell ref="C36:D36"/>
    <mergeCell ref="C37:D37"/>
    <mergeCell ref="C38:D38"/>
    <mergeCell ref="M38:N38"/>
    <mergeCell ref="C39:D39"/>
    <mergeCell ref="O39:V41"/>
    <mergeCell ref="C40:D40"/>
    <mergeCell ref="C41:D41"/>
    <mergeCell ref="C42:D42"/>
    <mergeCell ref="M42:N42"/>
    <mergeCell ref="C43:D43"/>
    <mergeCell ref="R43:W45"/>
    <mergeCell ref="C44:D44"/>
    <mergeCell ref="C45:D45"/>
    <mergeCell ref="C46:D46"/>
    <mergeCell ref="C50:H50"/>
    <mergeCell ref="M50:N51"/>
    <mergeCell ref="C51:D51"/>
    <mergeCell ref="C52:D52"/>
    <mergeCell ref="M52:N52"/>
    <mergeCell ref="C53:D53"/>
    <mergeCell ref="O53:V55"/>
    <mergeCell ref="C54:D54"/>
    <mergeCell ref="C55:D55"/>
    <mergeCell ref="C56:D56"/>
    <mergeCell ref="M56:N56"/>
    <mergeCell ref="C57:D57"/>
    <mergeCell ref="O57:V59"/>
    <mergeCell ref="C58:D58"/>
    <mergeCell ref="C59:D59"/>
    <mergeCell ref="C60:D60"/>
    <mergeCell ref="M60:N60"/>
    <mergeCell ref="C61:D61"/>
    <mergeCell ref="O61:V63"/>
    <mergeCell ref="C62:D62"/>
    <mergeCell ref="C63:D63"/>
    <mergeCell ref="C64:D64"/>
    <mergeCell ref="M64:N64"/>
    <mergeCell ref="C65:D65"/>
    <mergeCell ref="R65:V67"/>
    <mergeCell ref="C66:D66"/>
    <mergeCell ref="C67:D67"/>
    <mergeCell ref="C68:D68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BF7875-81A7-6844-9D8B-F091A81B874A}">
  <dimension ref="A1:F41"/>
  <sheetViews>
    <sheetView workbookViewId="0">
      <selection activeCell="E30" sqref="E30"/>
    </sheetView>
  </sheetViews>
  <sheetFormatPr baseColWidth="10" defaultColWidth="11.1640625" defaultRowHeight="15" x14ac:dyDescent="0.2"/>
  <cols>
    <col min="1" max="1" width="24.83203125" bestFit="1" customWidth="1"/>
    <col min="2" max="2" width="14.5" style="186" bestFit="1" customWidth="1"/>
    <col min="3" max="3" width="11.1640625" style="186"/>
    <col min="5" max="5" width="24.6640625" bestFit="1" customWidth="1"/>
  </cols>
  <sheetData>
    <row r="1" spans="1:5" ht="15" customHeight="1" x14ac:dyDescent="0.2">
      <c r="A1" s="184"/>
      <c r="B1" s="124"/>
    </row>
    <row r="2" spans="1:5" ht="15" customHeight="1" x14ac:dyDescent="0.2">
      <c r="A2" s="185" t="s">
        <v>1</v>
      </c>
      <c r="B2" s="125" t="s">
        <v>1407</v>
      </c>
      <c r="C2" s="187" t="s">
        <v>37</v>
      </c>
      <c r="D2" s="3" t="s">
        <v>1408</v>
      </c>
      <c r="E2" s="3" t="s">
        <v>1409</v>
      </c>
    </row>
    <row r="3" spans="1:5" ht="16" x14ac:dyDescent="0.2">
      <c r="A3" s="156" t="s">
        <v>13</v>
      </c>
      <c r="B3" s="192"/>
      <c r="C3" s="192"/>
      <c r="D3" s="192"/>
      <c r="E3" s="192"/>
    </row>
    <row r="4" spans="1:5" x14ac:dyDescent="0.2">
      <c r="A4" s="126" t="s">
        <v>5</v>
      </c>
      <c r="B4" s="188">
        <v>0.8</v>
      </c>
      <c r="C4" s="189">
        <v>0.9</v>
      </c>
    </row>
    <row r="5" spans="1:5" x14ac:dyDescent="0.2">
      <c r="A5" s="126" t="s">
        <v>6</v>
      </c>
      <c r="B5" s="188">
        <v>0.8</v>
      </c>
      <c r="C5" s="189">
        <v>0.9</v>
      </c>
    </row>
    <row r="6" spans="1:5" x14ac:dyDescent="0.2">
      <c r="A6" s="126" t="s">
        <v>7</v>
      </c>
      <c r="B6" s="188">
        <v>0.8</v>
      </c>
      <c r="C6" s="189">
        <v>0.9</v>
      </c>
    </row>
    <row r="7" spans="1:5" ht="16" x14ac:dyDescent="0.2">
      <c r="A7" s="156" t="s">
        <v>17</v>
      </c>
      <c r="B7" s="192"/>
      <c r="C7" s="192"/>
      <c r="D7" s="192"/>
      <c r="E7" s="192"/>
    </row>
    <row r="8" spans="1:5" x14ac:dyDescent="0.2">
      <c r="A8" s="126" t="s">
        <v>5</v>
      </c>
      <c r="B8" s="188">
        <v>0.1</v>
      </c>
      <c r="C8" s="189">
        <v>0.1</v>
      </c>
    </row>
    <row r="9" spans="1:5" x14ac:dyDescent="0.2">
      <c r="A9" s="126" t="s">
        <v>6</v>
      </c>
      <c r="B9" s="188">
        <v>0.25</v>
      </c>
      <c r="C9" s="189">
        <v>0.25</v>
      </c>
    </row>
    <row r="10" spans="1:5" x14ac:dyDescent="0.2">
      <c r="A10" s="126" t="s">
        <v>7</v>
      </c>
      <c r="B10" s="188">
        <v>0.25</v>
      </c>
      <c r="C10" s="189">
        <v>0.25</v>
      </c>
    </row>
    <row r="11" spans="1:5" ht="16" x14ac:dyDescent="0.2">
      <c r="A11" s="156" t="s">
        <v>51</v>
      </c>
      <c r="B11" s="192"/>
      <c r="C11" s="192"/>
      <c r="D11" s="192"/>
      <c r="E11" s="192"/>
    </row>
    <row r="12" spans="1:5" x14ac:dyDescent="0.2">
      <c r="A12" s="126" t="s">
        <v>5</v>
      </c>
      <c r="B12" s="188">
        <v>0.35</v>
      </c>
      <c r="C12" s="189">
        <v>0.4</v>
      </c>
    </row>
    <row r="13" spans="1:5" x14ac:dyDescent="0.2">
      <c r="A13" s="126" t="s">
        <v>6</v>
      </c>
      <c r="B13" s="188">
        <v>0.55000000000000004</v>
      </c>
      <c r="C13" s="189">
        <v>0.6</v>
      </c>
    </row>
    <row r="14" spans="1:5" x14ac:dyDescent="0.2">
      <c r="A14" s="128" t="s">
        <v>7</v>
      </c>
      <c r="B14" s="188">
        <v>0.66</v>
      </c>
      <c r="C14" s="189">
        <v>0.66</v>
      </c>
    </row>
    <row r="15" spans="1:5" ht="16" x14ac:dyDescent="0.2">
      <c r="A15" s="156" t="s">
        <v>21</v>
      </c>
      <c r="B15" s="192"/>
      <c r="C15" s="192"/>
      <c r="D15" s="192"/>
      <c r="E15" s="192"/>
    </row>
    <row r="16" spans="1:5" x14ac:dyDescent="0.2">
      <c r="A16" s="126" t="s">
        <v>5</v>
      </c>
      <c r="B16" s="188">
        <v>0.35</v>
      </c>
      <c r="C16" s="189">
        <v>0.45</v>
      </c>
    </row>
    <row r="17" spans="1:6" x14ac:dyDescent="0.2">
      <c r="A17" s="126" t="s">
        <v>6</v>
      </c>
      <c r="B17" s="188">
        <v>0.55000000000000004</v>
      </c>
      <c r="C17" s="189">
        <v>0.5</v>
      </c>
    </row>
    <row r="18" spans="1:6" x14ac:dyDescent="0.2">
      <c r="A18" s="129" t="s">
        <v>7</v>
      </c>
      <c r="B18" s="190">
        <v>0.66</v>
      </c>
      <c r="C18" s="191">
        <v>0.66</v>
      </c>
    </row>
    <row r="24" spans="1:6" x14ac:dyDescent="0.2">
      <c r="A24" t="s">
        <v>10</v>
      </c>
      <c r="B24" t="s">
        <v>1407</v>
      </c>
      <c r="C24" s="187" t="s">
        <v>37</v>
      </c>
      <c r="D24" s="3" t="s">
        <v>1408</v>
      </c>
      <c r="E24" s="3" t="s">
        <v>1411</v>
      </c>
      <c r="F24" s="3" t="s">
        <v>1410</v>
      </c>
    </row>
    <row r="25" spans="1:6" x14ac:dyDescent="0.2">
      <c r="A25" t="s">
        <v>48</v>
      </c>
      <c r="B25" s="53">
        <v>0.45033294873908031</v>
      </c>
      <c r="C25" s="193">
        <v>0.49114913765976898</v>
      </c>
    </row>
    <row r="26" spans="1:6" x14ac:dyDescent="0.2">
      <c r="A26" t="s">
        <v>5</v>
      </c>
      <c r="B26" s="53">
        <v>0.35</v>
      </c>
      <c r="C26" s="193">
        <v>0.45</v>
      </c>
    </row>
    <row r="27" spans="1:6" x14ac:dyDescent="0.2">
      <c r="A27" t="s">
        <v>6</v>
      </c>
      <c r="B27" s="53">
        <v>0.55000000000000004</v>
      </c>
      <c r="C27" s="193">
        <v>0.5</v>
      </c>
    </row>
    <row r="28" spans="1:6" x14ac:dyDescent="0.2">
      <c r="A28" t="s">
        <v>7</v>
      </c>
      <c r="B28" s="53">
        <v>0.66</v>
      </c>
      <c r="C28" s="193">
        <v>0.66</v>
      </c>
    </row>
    <row r="29" spans="1:6" x14ac:dyDescent="0.2">
      <c r="A29" t="s">
        <v>49</v>
      </c>
      <c r="B29" s="53">
        <v>0.4591771880665898</v>
      </c>
      <c r="C29" s="193">
        <v>0.52939018835128937</v>
      </c>
    </row>
    <row r="30" spans="1:6" x14ac:dyDescent="0.2">
      <c r="A30" t="s">
        <v>5</v>
      </c>
      <c r="B30" s="53">
        <v>0.35199999999999998</v>
      </c>
      <c r="C30" s="193">
        <v>0.42399999999999999</v>
      </c>
    </row>
    <row r="31" spans="1:6" x14ac:dyDescent="0.2">
      <c r="A31" t="s">
        <v>6</v>
      </c>
      <c r="B31" s="53">
        <v>0.58000000000000007</v>
      </c>
      <c r="C31" s="193">
        <v>0.65499999999999992</v>
      </c>
    </row>
    <row r="32" spans="1:6" x14ac:dyDescent="0.2">
      <c r="A32" t="s">
        <v>7</v>
      </c>
      <c r="B32" s="53">
        <v>0.64600000000000002</v>
      </c>
      <c r="C32" s="193">
        <v>0.69550000000000001</v>
      </c>
    </row>
    <row r="33" spans="1:3" x14ac:dyDescent="0.2">
      <c r="A33" t="s">
        <v>50</v>
      </c>
      <c r="B33" s="53">
        <v>0.45136356144267792</v>
      </c>
      <c r="C33" s="193">
        <v>0.49652141990200338</v>
      </c>
    </row>
    <row r="34" spans="1:3" x14ac:dyDescent="0.2">
      <c r="A34" t="s">
        <v>5</v>
      </c>
      <c r="B34" s="53">
        <v>0.41177734167815844</v>
      </c>
      <c r="C34" s="193">
        <v>0.45631696191789539</v>
      </c>
    </row>
    <row r="35" spans="1:3" x14ac:dyDescent="0.2">
      <c r="A35" t="s">
        <v>6</v>
      </c>
      <c r="B35" s="53">
        <v>0.46057458088551367</v>
      </c>
      <c r="C35" s="193">
        <v>0.49886086831924353</v>
      </c>
    </row>
    <row r="36" spans="1:3" x14ac:dyDescent="0.2">
      <c r="A36" t="s">
        <v>7</v>
      </c>
      <c r="B36" s="53">
        <v>0.6119995056846268</v>
      </c>
      <c r="C36" s="193">
        <v>0.67781759762728633</v>
      </c>
    </row>
    <row r="37" spans="1:3" x14ac:dyDescent="0.2">
      <c r="A37" t="s">
        <v>54</v>
      </c>
      <c r="B37" s="53">
        <v>0.35487019010748433</v>
      </c>
      <c r="C37" s="193">
        <v>0.38528862447278261</v>
      </c>
    </row>
    <row r="38" spans="1:3" x14ac:dyDescent="0.2">
      <c r="A38" t="s">
        <v>5</v>
      </c>
      <c r="B38" s="53">
        <v>0.27349009790334838</v>
      </c>
      <c r="C38" s="193">
        <v>0.29827439760382674</v>
      </c>
    </row>
    <row r="39" spans="1:3" x14ac:dyDescent="0.2">
      <c r="A39" t="s">
        <v>6</v>
      </c>
      <c r="B39" s="53">
        <v>0.44025017653586201</v>
      </c>
      <c r="C39" s="193">
        <v>0.47484111772420057</v>
      </c>
    </row>
    <row r="40" spans="1:3" x14ac:dyDescent="0.2">
      <c r="A40" t="s">
        <v>7</v>
      </c>
      <c r="B40" s="53">
        <v>0.52776208411801628</v>
      </c>
      <c r="C40" s="193">
        <v>0.57826428123038298</v>
      </c>
    </row>
    <row r="41" spans="1:3" x14ac:dyDescent="0.2">
      <c r="A41" t="s">
        <v>8</v>
      </c>
      <c r="B41" s="53">
        <v>0.41955898993585239</v>
      </c>
      <c r="C41" s="193">
        <v>0.46207605417360037</v>
      </c>
    </row>
  </sheetData>
  <mergeCells count="4">
    <mergeCell ref="A3:E3"/>
    <mergeCell ref="A15:E15"/>
    <mergeCell ref="A11:E11"/>
    <mergeCell ref="A7:E7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179E9B-A78B-4CB4-BACE-6D69572518D5}">
  <dimension ref="C2:AB68"/>
  <sheetViews>
    <sheetView topLeftCell="A25" workbookViewId="0">
      <selection activeCell="H24" sqref="H24"/>
    </sheetView>
  </sheetViews>
  <sheetFormatPr baseColWidth="10" defaultColWidth="8.83203125" defaultRowHeight="15" x14ac:dyDescent="0.2"/>
  <cols>
    <col min="3" max="3" width="12" customWidth="1"/>
    <col min="4" max="4" width="11.6640625" customWidth="1"/>
    <col min="5" max="5" width="33.33203125" bestFit="1" customWidth="1"/>
    <col min="6" max="6" width="13.5" customWidth="1"/>
    <col min="7" max="7" width="8.1640625" bestFit="1" customWidth="1"/>
    <col min="8" max="8" width="9.1640625" bestFit="1" customWidth="1"/>
    <col min="9" max="12" width="2.33203125" bestFit="1" customWidth="1"/>
    <col min="13" max="14" width="19.6640625" customWidth="1"/>
    <col min="15" max="15" width="15.83203125" bestFit="1" customWidth="1"/>
    <col min="16" max="16" width="11.6640625" bestFit="1" customWidth="1"/>
    <col min="17" max="17" width="19.83203125" bestFit="1" customWidth="1"/>
    <col min="18" max="18" width="13.5" customWidth="1"/>
    <col min="19" max="19" width="9.5" bestFit="1" customWidth="1"/>
    <col min="20" max="20" width="19.1640625" bestFit="1" customWidth="1"/>
    <col min="21" max="21" width="11.5" bestFit="1" customWidth="1"/>
    <col min="22" max="22" width="3.33203125" bestFit="1" customWidth="1"/>
    <col min="23" max="23" width="18.83203125" bestFit="1" customWidth="1"/>
    <col min="24" max="24" width="11.6640625" bestFit="1" customWidth="1"/>
    <col min="25" max="25" width="37" bestFit="1" customWidth="1"/>
    <col min="26" max="26" width="13.5" bestFit="1" customWidth="1"/>
    <col min="27" max="27" width="7.5" bestFit="1" customWidth="1"/>
    <col min="28" max="28" width="7.83203125" bestFit="1" customWidth="1"/>
    <col min="29" max="63" width="3.33203125" bestFit="1" customWidth="1"/>
    <col min="64" max="128" width="4.5" bestFit="1" customWidth="1"/>
    <col min="129" max="140" width="5.5" bestFit="1" customWidth="1"/>
    <col min="141" max="141" width="11.6640625" bestFit="1" customWidth="1"/>
  </cols>
  <sheetData>
    <row r="2" spans="3:28" x14ac:dyDescent="0.2">
      <c r="C2" s="18" t="s">
        <v>29</v>
      </c>
      <c r="D2" t="s">
        <v>30</v>
      </c>
      <c r="Q2" t="s">
        <v>31</v>
      </c>
      <c r="W2" t="s">
        <v>32</v>
      </c>
    </row>
    <row r="3" spans="3:28" x14ac:dyDescent="0.2">
      <c r="Q3" t="s">
        <v>33</v>
      </c>
      <c r="R3" s="74">
        <v>0.29699999999999999</v>
      </c>
      <c r="W3" t="s">
        <v>33</v>
      </c>
      <c r="X3" s="74">
        <v>0.36199999999999999</v>
      </c>
    </row>
    <row r="4" spans="3:28" x14ac:dyDescent="0.2">
      <c r="C4" s="18" t="s">
        <v>1</v>
      </c>
      <c r="D4" t="s">
        <v>34</v>
      </c>
      <c r="F4" s="86">
        <v>0.4</v>
      </c>
      <c r="G4" s="85" t="s">
        <v>35</v>
      </c>
      <c r="Q4" t="s">
        <v>36</v>
      </c>
      <c r="R4" s="74">
        <v>0.33600000000000002</v>
      </c>
      <c r="W4" t="s">
        <v>36</v>
      </c>
      <c r="X4" s="74">
        <v>0.377</v>
      </c>
    </row>
    <row r="5" spans="3:28" x14ac:dyDescent="0.2">
      <c r="C5" t="s">
        <v>5</v>
      </c>
      <c r="D5">
        <v>3708</v>
      </c>
      <c r="Q5" t="s">
        <v>37</v>
      </c>
      <c r="R5" s="74">
        <v>0.39900000000000002</v>
      </c>
      <c r="W5" t="s">
        <v>37</v>
      </c>
      <c r="X5" s="74">
        <v>0.45400000000000001</v>
      </c>
    </row>
    <row r="6" spans="3:28" x14ac:dyDescent="0.2">
      <c r="C6" t="s">
        <v>7</v>
      </c>
      <c r="D6">
        <v>14691</v>
      </c>
    </row>
    <row r="7" spans="3:28" x14ac:dyDescent="0.2">
      <c r="C7" t="s">
        <v>6</v>
      </c>
      <c r="D7">
        <v>14181</v>
      </c>
    </row>
    <row r="8" spans="3:28" x14ac:dyDescent="0.2">
      <c r="C8" t="s">
        <v>8</v>
      </c>
      <c r="D8">
        <v>32580</v>
      </c>
    </row>
    <row r="10" spans="3:28" ht="16" x14ac:dyDescent="0.2">
      <c r="C10" s="161" t="s">
        <v>38</v>
      </c>
      <c r="D10" s="162"/>
      <c r="E10" s="162"/>
      <c r="F10" s="162"/>
      <c r="G10" s="162"/>
      <c r="H10" s="175"/>
      <c r="O10" s="161" t="s">
        <v>38</v>
      </c>
      <c r="P10" s="162"/>
      <c r="Q10" s="162"/>
      <c r="R10" s="162"/>
      <c r="S10" s="162"/>
      <c r="T10" s="175"/>
      <c r="W10" s="145" t="s">
        <v>39</v>
      </c>
      <c r="X10" s="146"/>
      <c r="Y10" s="146"/>
      <c r="Z10" s="146"/>
      <c r="AA10" s="146"/>
      <c r="AB10" s="147"/>
    </row>
    <row r="11" spans="3:28" x14ac:dyDescent="0.2">
      <c r="C11" s="69" t="s">
        <v>29</v>
      </c>
      <c r="D11" s="69" t="s">
        <v>1</v>
      </c>
      <c r="E11" s="70" t="s">
        <v>40</v>
      </c>
      <c r="F11" s="70" t="s">
        <v>2</v>
      </c>
      <c r="G11" s="60" t="s">
        <v>3</v>
      </c>
      <c r="H11" s="57" t="s">
        <v>4</v>
      </c>
      <c r="O11" s="69" t="s">
        <v>29</v>
      </c>
      <c r="P11" s="69" t="s">
        <v>1</v>
      </c>
      <c r="Q11" s="70" t="s">
        <v>41</v>
      </c>
      <c r="R11" s="70" t="s">
        <v>2</v>
      </c>
      <c r="S11" s="60" t="s">
        <v>3</v>
      </c>
      <c r="T11" s="57" t="s">
        <v>4</v>
      </c>
      <c r="W11" s="69" t="s">
        <v>29</v>
      </c>
      <c r="X11" s="69" t="s">
        <v>1</v>
      </c>
      <c r="Y11" s="70" t="s">
        <v>42</v>
      </c>
      <c r="Z11" s="70" t="s">
        <v>2</v>
      </c>
      <c r="AA11" s="60" t="s">
        <v>3</v>
      </c>
      <c r="AB11" s="57" t="s">
        <v>4</v>
      </c>
    </row>
    <row r="12" spans="3:28" x14ac:dyDescent="0.2">
      <c r="C12" s="73" t="s">
        <v>43</v>
      </c>
      <c r="D12" s="73" t="s">
        <v>5</v>
      </c>
      <c r="E12" s="71">
        <v>16795</v>
      </c>
      <c r="F12" s="71">
        <v>37708</v>
      </c>
      <c r="G12" s="61">
        <f t="shared" ref="G12:G24" si="0">F12/$Z$24</f>
        <v>0.2554984890165734</v>
      </c>
      <c r="H12" s="59">
        <f t="shared" ref="H12:H24" si="1">E12/F12</f>
        <v>0.44539620239736927</v>
      </c>
      <c r="O12" s="73" t="s">
        <v>43</v>
      </c>
      <c r="P12" s="73" t="s">
        <v>5</v>
      </c>
      <c r="Q12" s="71">
        <v>14547</v>
      </c>
      <c r="R12" s="71">
        <v>37708</v>
      </c>
      <c r="S12" s="61">
        <f t="shared" ref="S12:S24" si="2">R12/$Z$24</f>
        <v>0.2554984890165734</v>
      </c>
      <c r="T12" s="59">
        <f t="shared" ref="T12:T24" si="3">Q12/R12</f>
        <v>0.38578020579187439</v>
      </c>
      <c r="W12" s="70" t="s">
        <v>43</v>
      </c>
      <c r="X12" s="70" t="s">
        <v>5</v>
      </c>
      <c r="Y12" s="71">
        <v>16795</v>
      </c>
      <c r="Z12" s="71">
        <v>37708</v>
      </c>
      <c r="AA12" s="61">
        <f t="shared" ref="AA12:AA24" si="4">Z12/$Z$24</f>
        <v>0.2554984890165734</v>
      </c>
      <c r="AB12" s="59">
        <f t="shared" ref="AB12:AB24" si="5">Y12/Z12</f>
        <v>0.44539620239736927</v>
      </c>
    </row>
    <row r="13" spans="3:28" x14ac:dyDescent="0.2">
      <c r="C13" s="73"/>
      <c r="D13" s="73" t="s">
        <v>6</v>
      </c>
      <c r="E13" s="71">
        <v>8016</v>
      </c>
      <c r="F13" s="71">
        <v>20937</v>
      </c>
      <c r="G13" s="61">
        <f t="shared" si="0"/>
        <v>0.14186304934072339</v>
      </c>
      <c r="H13" s="59">
        <f t="shared" si="1"/>
        <v>0.3828628743372976</v>
      </c>
      <c r="O13" s="73"/>
      <c r="P13" s="73" t="s">
        <v>6</v>
      </c>
      <c r="Q13" s="71">
        <v>5932</v>
      </c>
      <c r="R13" s="71">
        <v>20937</v>
      </c>
      <c r="S13" s="61">
        <f t="shared" si="2"/>
        <v>0.14186304934072339</v>
      </c>
      <c r="T13" s="59">
        <f t="shared" si="3"/>
        <v>0.28332616898313989</v>
      </c>
      <c r="W13" s="70"/>
      <c r="X13" s="70" t="s">
        <v>6</v>
      </c>
      <c r="Y13" s="71">
        <v>6490</v>
      </c>
      <c r="Z13" s="71">
        <v>20937</v>
      </c>
      <c r="AA13" s="61">
        <f t="shared" si="4"/>
        <v>0.14186304934072339</v>
      </c>
      <c r="AB13" s="59">
        <f t="shared" si="5"/>
        <v>0.30997755170272723</v>
      </c>
    </row>
    <row r="14" spans="3:28" x14ac:dyDescent="0.2">
      <c r="C14" s="73"/>
      <c r="D14" s="73" t="s">
        <v>7</v>
      </c>
      <c r="E14" s="71">
        <v>5326</v>
      </c>
      <c r="F14" s="71">
        <v>8092</v>
      </c>
      <c r="G14" s="61">
        <f t="shared" si="0"/>
        <v>5.4829048825769382E-2</v>
      </c>
      <c r="H14" s="59">
        <f t="shared" si="1"/>
        <v>0.65818091942659418</v>
      </c>
      <c r="O14" s="73"/>
      <c r="P14" s="73" t="s">
        <v>7</v>
      </c>
      <c r="Q14" s="71">
        <v>3214</v>
      </c>
      <c r="R14" s="71">
        <v>8092</v>
      </c>
      <c r="S14" s="61">
        <f t="shared" si="2"/>
        <v>5.4829048825769382E-2</v>
      </c>
      <c r="T14" s="59">
        <f t="shared" si="3"/>
        <v>0.39718240237271379</v>
      </c>
      <c r="W14" s="70"/>
      <c r="X14" s="70" t="s">
        <v>7</v>
      </c>
      <c r="Y14" s="71">
        <v>4436</v>
      </c>
      <c r="Z14" s="71">
        <v>8092</v>
      </c>
      <c r="AA14" s="61">
        <f t="shared" si="4"/>
        <v>5.4829048825769382E-2</v>
      </c>
      <c r="AB14" s="59">
        <f t="shared" si="5"/>
        <v>0.54819574888779043</v>
      </c>
    </row>
    <row r="15" spans="3:28" x14ac:dyDescent="0.2">
      <c r="C15" s="73" t="s">
        <v>44</v>
      </c>
      <c r="D15" s="73"/>
      <c r="E15" s="72">
        <v>30137</v>
      </c>
      <c r="F15" s="72">
        <v>66737</v>
      </c>
      <c r="G15" s="65">
        <f t="shared" si="0"/>
        <v>0.45219058718306615</v>
      </c>
      <c r="H15" s="63">
        <f t="shared" si="1"/>
        <v>0.45157858459325412</v>
      </c>
      <c r="O15" s="73" t="s">
        <v>44</v>
      </c>
      <c r="P15" s="73"/>
      <c r="Q15" s="72">
        <v>23693</v>
      </c>
      <c r="R15" s="72">
        <v>66737</v>
      </c>
      <c r="S15" s="65">
        <f t="shared" si="2"/>
        <v>0.45219058718306615</v>
      </c>
      <c r="T15" s="63">
        <f t="shared" si="3"/>
        <v>0.35502045342164018</v>
      </c>
      <c r="W15" s="70" t="s">
        <v>44</v>
      </c>
      <c r="X15" s="70"/>
      <c r="Y15" s="71">
        <v>27721</v>
      </c>
      <c r="Z15" s="71">
        <v>66737</v>
      </c>
      <c r="AA15" s="65">
        <f t="shared" si="4"/>
        <v>0.45219058718306615</v>
      </c>
      <c r="AB15" s="63">
        <f t="shared" si="5"/>
        <v>0.41537677749973778</v>
      </c>
    </row>
    <row r="16" spans="3:28" x14ac:dyDescent="0.2">
      <c r="C16" s="73" t="s">
        <v>45</v>
      </c>
      <c r="D16" s="73" t="s">
        <v>5</v>
      </c>
      <c r="E16" s="71">
        <v>4884</v>
      </c>
      <c r="F16" s="71">
        <v>19245</v>
      </c>
      <c r="G16" s="61">
        <f t="shared" si="0"/>
        <v>0.1303985472876831</v>
      </c>
      <c r="H16" s="59">
        <f t="shared" si="1"/>
        <v>0.25378020265003898</v>
      </c>
      <c r="O16" s="73" t="s">
        <v>45</v>
      </c>
      <c r="P16" s="73" t="s">
        <v>5</v>
      </c>
      <c r="Q16" s="71">
        <v>4884</v>
      </c>
      <c r="R16" s="71">
        <v>19245</v>
      </c>
      <c r="S16" s="61">
        <f t="shared" si="2"/>
        <v>0.1303985472876831</v>
      </c>
      <c r="T16" s="59">
        <f t="shared" si="3"/>
        <v>0.25378020265003898</v>
      </c>
      <c r="W16" s="70" t="s">
        <v>45</v>
      </c>
      <c r="X16" s="70" t="s">
        <v>5</v>
      </c>
      <c r="Y16" s="71">
        <v>4884</v>
      </c>
      <c r="Z16" s="71">
        <v>19245</v>
      </c>
      <c r="AA16" s="61">
        <f t="shared" si="4"/>
        <v>0.1303985472876831</v>
      </c>
      <c r="AB16" s="59">
        <f t="shared" si="5"/>
        <v>0.25378020265003898</v>
      </c>
    </row>
    <row r="17" spans="3:28" x14ac:dyDescent="0.2">
      <c r="C17" s="73"/>
      <c r="D17" s="73" t="s">
        <v>6</v>
      </c>
      <c r="E17" s="71">
        <v>5668</v>
      </c>
      <c r="F17" s="71">
        <v>14130</v>
      </c>
      <c r="G17" s="61">
        <f t="shared" si="0"/>
        <v>9.5740788421666015E-2</v>
      </c>
      <c r="H17" s="59">
        <f t="shared" si="1"/>
        <v>0.4011323425336164</v>
      </c>
      <c r="O17" s="73"/>
      <c r="P17" s="73" t="s">
        <v>6</v>
      </c>
      <c r="Q17" s="71">
        <v>4441</v>
      </c>
      <c r="R17" s="71">
        <v>14130</v>
      </c>
      <c r="S17" s="61">
        <f t="shared" si="2"/>
        <v>9.5740788421666015E-2</v>
      </c>
      <c r="T17" s="59">
        <f t="shared" si="3"/>
        <v>0.31429582448690729</v>
      </c>
      <c r="W17" s="70"/>
      <c r="X17" s="70" t="s">
        <v>6</v>
      </c>
      <c r="Y17" s="71">
        <v>4024</v>
      </c>
      <c r="Z17" s="71">
        <v>14130</v>
      </c>
      <c r="AA17" s="61">
        <f t="shared" si="4"/>
        <v>9.5740788421666015E-2</v>
      </c>
      <c r="AB17" s="59">
        <f t="shared" si="5"/>
        <v>0.28478414720452938</v>
      </c>
    </row>
    <row r="18" spans="3:28" x14ac:dyDescent="0.2">
      <c r="C18" s="73"/>
      <c r="D18" s="73" t="s">
        <v>7</v>
      </c>
      <c r="E18" s="71">
        <v>1921</v>
      </c>
      <c r="F18" s="71">
        <v>3894</v>
      </c>
      <c r="G18" s="61">
        <f t="shared" si="0"/>
        <v>2.6384616427032374E-2</v>
      </c>
      <c r="H18" s="59">
        <f t="shared" si="1"/>
        <v>0.49332306111967128</v>
      </c>
      <c r="O18" s="73"/>
      <c r="P18" s="73" t="s">
        <v>7</v>
      </c>
      <c r="Q18" s="71">
        <v>875</v>
      </c>
      <c r="R18" s="71">
        <v>3894</v>
      </c>
      <c r="S18" s="61">
        <f t="shared" si="2"/>
        <v>2.6384616427032374E-2</v>
      </c>
      <c r="T18" s="59">
        <f t="shared" si="3"/>
        <v>0.22470467385721624</v>
      </c>
      <c r="W18" s="70"/>
      <c r="X18" s="70" t="s">
        <v>7</v>
      </c>
      <c r="Y18" s="71">
        <v>1789</v>
      </c>
      <c r="Z18" s="71">
        <v>3894</v>
      </c>
      <c r="AA18" s="61">
        <f t="shared" si="4"/>
        <v>2.6384616427032374E-2</v>
      </c>
      <c r="AB18" s="59">
        <f t="shared" si="5"/>
        <v>0.45942475603492555</v>
      </c>
    </row>
    <row r="19" spans="3:28" x14ac:dyDescent="0.2">
      <c r="C19" s="73" t="s">
        <v>46</v>
      </c>
      <c r="D19" s="73"/>
      <c r="E19" s="72">
        <v>12473</v>
      </c>
      <c r="F19" s="72">
        <v>37269</v>
      </c>
      <c r="G19" s="65">
        <f t="shared" si="0"/>
        <v>0.25252395213638151</v>
      </c>
      <c r="H19" s="63">
        <f t="shared" si="1"/>
        <v>0.33467493090772493</v>
      </c>
      <c r="O19" s="73" t="s">
        <v>46</v>
      </c>
      <c r="P19" s="73"/>
      <c r="Q19" s="72">
        <v>10200</v>
      </c>
      <c r="R19" s="72">
        <v>37269</v>
      </c>
      <c r="S19" s="65">
        <f t="shared" si="2"/>
        <v>0.25252395213638151</v>
      </c>
      <c r="T19" s="63">
        <f t="shared" si="3"/>
        <v>0.27368590517588343</v>
      </c>
      <c r="W19" s="70" t="s">
        <v>46</v>
      </c>
      <c r="X19" s="70"/>
      <c r="Y19" s="71">
        <v>10697</v>
      </c>
      <c r="Z19" s="71">
        <v>37269</v>
      </c>
      <c r="AA19" s="65">
        <f t="shared" si="4"/>
        <v>0.25252395213638151</v>
      </c>
      <c r="AB19" s="63">
        <f t="shared" si="5"/>
        <v>0.28702138506533581</v>
      </c>
    </row>
    <row r="20" spans="3:28" x14ac:dyDescent="0.2">
      <c r="C20" s="73" t="s">
        <v>47</v>
      </c>
      <c r="D20" s="73" t="s">
        <v>5</v>
      </c>
      <c r="E20" s="71">
        <v>6204</v>
      </c>
      <c r="F20" s="71">
        <v>25493</v>
      </c>
      <c r="G20" s="61">
        <f t="shared" si="0"/>
        <v>0.17273318607455992</v>
      </c>
      <c r="H20" s="59">
        <f t="shared" si="1"/>
        <v>0.24336092260620562</v>
      </c>
      <c r="O20" s="73" t="s">
        <v>47</v>
      </c>
      <c r="P20" s="73" t="s">
        <v>5</v>
      </c>
      <c r="Q20" s="71">
        <v>4467</v>
      </c>
      <c r="R20" s="71">
        <v>25493</v>
      </c>
      <c r="S20" s="61">
        <f t="shared" si="2"/>
        <v>0.17273318607455992</v>
      </c>
      <c r="T20" s="59">
        <f t="shared" si="3"/>
        <v>0.17522457145098655</v>
      </c>
      <c r="W20" s="70" t="s">
        <v>47</v>
      </c>
      <c r="X20" s="70" t="s">
        <v>5</v>
      </c>
      <c r="Y20" s="71">
        <v>6204</v>
      </c>
      <c r="Z20" s="71">
        <v>25493</v>
      </c>
      <c r="AA20" s="61">
        <f t="shared" si="4"/>
        <v>0.17273318607455992</v>
      </c>
      <c r="AB20" s="59">
        <f t="shared" si="5"/>
        <v>0.24336092260620562</v>
      </c>
    </row>
    <row r="21" spans="3:28" x14ac:dyDescent="0.2">
      <c r="C21" s="73"/>
      <c r="D21" s="73" t="s">
        <v>6</v>
      </c>
      <c r="E21" s="71">
        <v>4619</v>
      </c>
      <c r="F21" s="71">
        <v>15609</v>
      </c>
      <c r="G21" s="61">
        <f t="shared" si="0"/>
        <v>0.10576206415242638</v>
      </c>
      <c r="H21" s="59">
        <f t="shared" si="1"/>
        <v>0.29591902107758344</v>
      </c>
      <c r="O21" s="73"/>
      <c r="P21" s="73" t="s">
        <v>6</v>
      </c>
      <c r="Q21" s="71">
        <v>3579</v>
      </c>
      <c r="R21" s="71">
        <v>15609</v>
      </c>
      <c r="S21" s="61">
        <f t="shared" si="2"/>
        <v>0.10576206415242638</v>
      </c>
      <c r="T21" s="59">
        <f t="shared" si="3"/>
        <v>0.22929079377282338</v>
      </c>
      <c r="W21" s="70"/>
      <c r="X21" s="70" t="s">
        <v>6</v>
      </c>
      <c r="Y21" s="71">
        <v>3073</v>
      </c>
      <c r="Z21" s="71">
        <v>15609</v>
      </c>
      <c r="AA21" s="61">
        <f t="shared" si="4"/>
        <v>0.10576206415242638</v>
      </c>
      <c r="AB21" s="59">
        <f t="shared" si="5"/>
        <v>0.1968735985649305</v>
      </c>
    </row>
    <row r="22" spans="3:28" x14ac:dyDescent="0.2">
      <c r="C22" s="73"/>
      <c r="D22" s="73" t="s">
        <v>7</v>
      </c>
      <c r="E22" s="71">
        <v>1297</v>
      </c>
      <c r="F22" s="71">
        <v>2478</v>
      </c>
      <c r="G22" s="61">
        <f t="shared" si="0"/>
        <v>1.6790210453566056E-2</v>
      </c>
      <c r="H22" s="59">
        <f t="shared" si="1"/>
        <v>0.52340597255851495</v>
      </c>
      <c r="O22" s="73"/>
      <c r="P22" s="73" t="s">
        <v>7</v>
      </c>
      <c r="Q22" s="71">
        <v>1179</v>
      </c>
      <c r="R22" s="71">
        <v>2478</v>
      </c>
      <c r="S22" s="61">
        <f t="shared" si="2"/>
        <v>1.6790210453566056E-2</v>
      </c>
      <c r="T22" s="59">
        <f t="shared" si="3"/>
        <v>0.47578692493946734</v>
      </c>
      <c r="W22" s="70"/>
      <c r="X22" s="70" t="s">
        <v>7</v>
      </c>
      <c r="Y22" s="71">
        <v>788</v>
      </c>
      <c r="Z22" s="71">
        <v>2478</v>
      </c>
      <c r="AA22" s="61">
        <f t="shared" si="4"/>
        <v>1.6790210453566056E-2</v>
      </c>
      <c r="AB22" s="59">
        <f t="shared" si="5"/>
        <v>0.31799838579499595</v>
      </c>
    </row>
    <row r="23" spans="3:28" x14ac:dyDescent="0.2">
      <c r="C23" s="73" t="s">
        <v>20</v>
      </c>
      <c r="D23" s="73"/>
      <c r="E23" s="72">
        <v>12120</v>
      </c>
      <c r="F23" s="72">
        <v>43580</v>
      </c>
      <c r="G23" s="66">
        <f t="shared" si="0"/>
        <v>0.29528546068055234</v>
      </c>
      <c r="H23" s="64">
        <f t="shared" si="1"/>
        <v>0.27810922441486918</v>
      </c>
      <c r="O23" s="73" t="s">
        <v>20</v>
      </c>
      <c r="P23" s="73"/>
      <c r="Q23" s="72">
        <v>9225</v>
      </c>
      <c r="R23" s="72">
        <v>43580</v>
      </c>
      <c r="S23" s="66">
        <f t="shared" si="2"/>
        <v>0.29528546068055234</v>
      </c>
      <c r="T23" s="64">
        <f t="shared" si="3"/>
        <v>0.21167966957319873</v>
      </c>
      <c r="W23" s="73" t="s">
        <v>20</v>
      </c>
      <c r="X23" s="73"/>
      <c r="Y23" s="72">
        <v>10065</v>
      </c>
      <c r="Z23" s="72">
        <v>43580</v>
      </c>
      <c r="AA23" s="66">
        <f t="shared" si="4"/>
        <v>0.29528546068055234</v>
      </c>
      <c r="AB23" s="64">
        <f t="shared" si="5"/>
        <v>0.23095456631482331</v>
      </c>
    </row>
    <row r="24" spans="3:28" x14ac:dyDescent="0.2">
      <c r="C24" s="70" t="s">
        <v>8</v>
      </c>
      <c r="D24" s="70"/>
      <c r="E24" s="71">
        <v>54730</v>
      </c>
      <c r="F24" s="71">
        <v>147586</v>
      </c>
      <c r="G24" s="62">
        <f t="shared" si="0"/>
        <v>1</v>
      </c>
      <c r="H24" s="67">
        <f t="shared" si="1"/>
        <v>0.3708346320111664</v>
      </c>
      <c r="N24" s="17"/>
      <c r="O24" s="70" t="s">
        <v>8</v>
      </c>
      <c r="P24" s="70"/>
      <c r="Q24" s="71">
        <v>43118</v>
      </c>
      <c r="R24" s="71">
        <v>147586</v>
      </c>
      <c r="S24" s="62">
        <f t="shared" si="2"/>
        <v>1</v>
      </c>
      <c r="T24" s="67">
        <f t="shared" si="3"/>
        <v>0.29215508246039595</v>
      </c>
      <c r="W24" s="70" t="s">
        <v>8</v>
      </c>
      <c r="X24" s="70"/>
      <c r="Y24" s="71">
        <v>48483</v>
      </c>
      <c r="Z24" s="71">
        <v>147586</v>
      </c>
      <c r="AA24" s="62">
        <f t="shared" si="4"/>
        <v>1</v>
      </c>
      <c r="AB24" s="67">
        <f t="shared" si="5"/>
        <v>0.3285067689347228</v>
      </c>
    </row>
    <row r="25" spans="3:28" x14ac:dyDescent="0.2">
      <c r="E25" s="17"/>
      <c r="F25" s="17"/>
      <c r="G25" s="58"/>
      <c r="H25" s="58"/>
    </row>
    <row r="28" spans="3:28" ht="16" x14ac:dyDescent="0.2">
      <c r="C28" s="145" t="s">
        <v>9</v>
      </c>
      <c r="D28" s="146"/>
      <c r="E28" s="146"/>
      <c r="F28" s="146"/>
      <c r="G28" s="146"/>
      <c r="H28" s="147"/>
      <c r="M28" s="148" t="s">
        <v>9</v>
      </c>
      <c r="N28" s="149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</row>
    <row r="29" spans="3:28" ht="16" x14ac:dyDescent="0.2">
      <c r="C29" s="152" t="s">
        <v>10</v>
      </c>
      <c r="D29" s="153"/>
      <c r="E29" s="25" t="s">
        <v>11</v>
      </c>
      <c r="F29" s="26" t="s">
        <v>2</v>
      </c>
      <c r="G29" s="27" t="s">
        <v>3</v>
      </c>
      <c r="H29" s="28" t="s">
        <v>4</v>
      </c>
      <c r="M29" s="150"/>
      <c r="N29" s="151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</row>
    <row r="30" spans="3:28" ht="16" x14ac:dyDescent="0.2">
      <c r="C30" s="154" t="s">
        <v>48</v>
      </c>
      <c r="D30" s="155"/>
      <c r="E30" s="31">
        <f>SUM(E31:E33)</f>
        <v>20759.414870791315</v>
      </c>
      <c r="F30" s="75">
        <f>F24*F4</f>
        <v>59034.400000000001</v>
      </c>
      <c r="G30" s="52">
        <f t="shared" ref="G30:G45" si="6">F30/$F$46</f>
        <v>0.24679891839645754</v>
      </c>
      <c r="H30" s="29">
        <f t="shared" ref="H30:H46" si="7">E30/F30</f>
        <v>0.35164945981988999</v>
      </c>
      <c r="M30" s="142" t="s">
        <v>13</v>
      </c>
      <c r="N30" s="143"/>
      <c r="O30" s="92" t="s">
        <v>14</v>
      </c>
      <c r="P30" s="12"/>
      <c r="Q30" s="12"/>
      <c r="R30" s="12"/>
      <c r="S30" s="12"/>
      <c r="T30" s="12"/>
      <c r="U30" s="12"/>
      <c r="V30" s="12"/>
      <c r="W30" s="12"/>
      <c r="X30" s="12"/>
      <c r="Y30" s="12"/>
    </row>
    <row r="31" spans="3:28" x14ac:dyDescent="0.2">
      <c r="C31" s="131" t="s">
        <v>5</v>
      </c>
      <c r="D31" s="132"/>
      <c r="E31" s="17">
        <f>F31*N43</f>
        <v>10340.312541948244</v>
      </c>
      <c r="F31" s="17">
        <f>$F$30*(F12/$F$15)</f>
        <v>33355.846909510467</v>
      </c>
      <c r="G31" s="53">
        <f t="shared" si="6"/>
        <v>0.1394472873352656</v>
      </c>
      <c r="H31" s="30">
        <f t="shared" si="7"/>
        <v>0.31</v>
      </c>
      <c r="M31" s="21" t="s">
        <v>5</v>
      </c>
      <c r="N31" s="32">
        <v>0.75</v>
      </c>
      <c r="O31" s="159" t="s">
        <v>15</v>
      </c>
      <c r="P31" s="160"/>
      <c r="Q31" s="160"/>
      <c r="R31" s="160"/>
      <c r="S31" s="160"/>
      <c r="T31" s="160"/>
      <c r="U31" s="160"/>
      <c r="V31" s="160"/>
      <c r="W31" s="12"/>
      <c r="X31" s="12"/>
      <c r="Y31" s="12"/>
    </row>
    <row r="32" spans="3:28" x14ac:dyDescent="0.2">
      <c r="C32" s="131" t="s">
        <v>6</v>
      </c>
      <c r="D32" s="132"/>
      <c r="E32" s="17">
        <f>F32*N44</f>
        <v>6482.1782741208035</v>
      </c>
      <c r="F32" s="17">
        <f t="shared" ref="F32:F33" si="8">$F$30*(F13/$F$15)</f>
        <v>18520.509354630867</v>
      </c>
      <c r="G32" s="53">
        <f t="shared" si="6"/>
        <v>7.7426749096702469E-2</v>
      </c>
      <c r="H32" s="30">
        <f t="shared" si="7"/>
        <v>0.35</v>
      </c>
      <c r="M32" s="21" t="s">
        <v>6</v>
      </c>
      <c r="N32" s="32">
        <v>0.75</v>
      </c>
      <c r="O32" s="159"/>
      <c r="P32" s="160"/>
      <c r="Q32" s="160"/>
      <c r="R32" s="160"/>
      <c r="S32" s="160"/>
      <c r="T32" s="160"/>
      <c r="U32" s="160"/>
      <c r="V32" s="160"/>
      <c r="W32" s="12"/>
      <c r="X32" s="12"/>
      <c r="Y32" s="12"/>
    </row>
    <row r="33" spans="3:25" x14ac:dyDescent="0.2">
      <c r="C33" s="131" t="s">
        <v>7</v>
      </c>
      <c r="D33" s="132"/>
      <c r="E33" s="17">
        <f>F33*N45</f>
        <v>3936.9240547222685</v>
      </c>
      <c r="F33" s="17">
        <f t="shared" si="8"/>
        <v>7158.0437358586696</v>
      </c>
      <c r="G33" s="53">
        <f t="shared" si="6"/>
        <v>2.9924881964489482E-2</v>
      </c>
      <c r="H33" s="30">
        <f t="shared" si="7"/>
        <v>0.55000000000000004</v>
      </c>
      <c r="M33" s="21" t="s">
        <v>7</v>
      </c>
      <c r="N33" s="32">
        <v>0.75</v>
      </c>
      <c r="O33" s="159"/>
      <c r="P33" s="160"/>
      <c r="Q33" s="160"/>
      <c r="R33" s="160"/>
      <c r="S33" s="160"/>
      <c r="T33" s="160"/>
      <c r="U33" s="160"/>
      <c r="V33" s="160"/>
      <c r="W33" s="12"/>
      <c r="X33" s="12"/>
      <c r="Y33" s="12"/>
    </row>
    <row r="34" spans="3:25" ht="16" x14ac:dyDescent="0.2">
      <c r="C34" s="140" t="s">
        <v>49</v>
      </c>
      <c r="D34" s="141"/>
      <c r="E34" s="31">
        <f>SUM(E35:E37)</f>
        <v>14681.882111871975</v>
      </c>
      <c r="F34" s="31">
        <f>D8</f>
        <v>32580</v>
      </c>
      <c r="G34" s="52">
        <f t="shared" si="6"/>
        <v>0.13620378561239865</v>
      </c>
      <c r="H34" s="29">
        <f t="shared" si="7"/>
        <v>0.45064094879901706</v>
      </c>
      <c r="M34" s="142" t="s">
        <v>17</v>
      </c>
      <c r="N34" s="143"/>
      <c r="O34" s="92" t="s">
        <v>18</v>
      </c>
      <c r="P34" s="12"/>
      <c r="Q34" s="12"/>
      <c r="R34" s="12"/>
      <c r="S34" s="12"/>
      <c r="T34" s="12"/>
      <c r="U34" s="12"/>
      <c r="V34" s="12"/>
      <c r="W34" s="12"/>
      <c r="X34" s="12"/>
      <c r="Y34" s="12"/>
    </row>
    <row r="35" spans="3:25" x14ac:dyDescent="0.2">
      <c r="C35" s="131" t="s">
        <v>5</v>
      </c>
      <c r="D35" s="132"/>
      <c r="E35" s="17">
        <f>(F35*N39*N31)+(F35-(F35*N39*N31))*N35</f>
        <v>7375.2177427813658</v>
      </c>
      <c r="F35" s="17">
        <f>$F$34*(F12/$F$15)</f>
        <v>18408.478655018956</v>
      </c>
      <c r="G35" s="53">
        <f t="shared" si="6"/>
        <v>7.6958394112296449E-2</v>
      </c>
      <c r="H35" s="30">
        <f t="shared" si="7"/>
        <v>0.40064243661822424</v>
      </c>
      <c r="M35" s="21" t="s">
        <v>5</v>
      </c>
      <c r="N35" s="32">
        <v>0.1</v>
      </c>
      <c r="O35" s="138" t="s">
        <v>19</v>
      </c>
      <c r="P35" s="139"/>
      <c r="Q35" s="139"/>
      <c r="R35" s="139"/>
      <c r="S35" s="139"/>
      <c r="T35" s="139"/>
      <c r="U35" s="139"/>
      <c r="V35" s="139"/>
      <c r="W35" s="12"/>
      <c r="X35" s="12"/>
      <c r="Y35" s="12"/>
    </row>
    <row r="36" spans="3:25" x14ac:dyDescent="0.2">
      <c r="C36" s="131" t="s">
        <v>6</v>
      </c>
      <c r="D36" s="132"/>
      <c r="E36" s="17">
        <f>(F36*N40*N32)+(F36-(F36*N40*N32))*N36</f>
        <v>4756.5081588923695</v>
      </c>
      <c r="F36" s="17">
        <f t="shared" ref="F36:F37" si="9">$F$34*(F13/$F$15)</f>
        <v>10221.128609317171</v>
      </c>
      <c r="G36" s="53">
        <f t="shared" si="6"/>
        <v>4.2730399319220083E-2</v>
      </c>
      <c r="H36" s="30">
        <f t="shared" si="7"/>
        <v>0.46536036681472998</v>
      </c>
      <c r="M36" s="21" t="s">
        <v>6</v>
      </c>
      <c r="N36" s="32">
        <v>0.25</v>
      </c>
      <c r="O36" s="138"/>
      <c r="P36" s="139"/>
      <c r="Q36" s="139"/>
      <c r="R36" s="139"/>
      <c r="S36" s="139"/>
      <c r="T36" s="139"/>
      <c r="U36" s="139"/>
      <c r="V36" s="139"/>
      <c r="W36" s="12"/>
      <c r="X36" s="12"/>
      <c r="Y36" s="12"/>
    </row>
    <row r="37" spans="3:25" x14ac:dyDescent="0.2">
      <c r="C37" s="131" t="s">
        <v>7</v>
      </c>
      <c r="D37" s="132"/>
      <c r="E37" s="17">
        <f>(F37*N41*N33)+(F37-(F37*N41*N33))*N37</f>
        <v>2550.1562101982408</v>
      </c>
      <c r="F37" s="17">
        <f t="shared" si="9"/>
        <v>3950.3927356638746</v>
      </c>
      <c r="G37" s="53">
        <f t="shared" si="6"/>
        <v>1.6514992180882117E-2</v>
      </c>
      <c r="H37" s="30">
        <f t="shared" si="7"/>
        <v>0.64554498269896188</v>
      </c>
      <c r="M37" s="21" t="s">
        <v>7</v>
      </c>
      <c r="N37" s="32">
        <v>0.3</v>
      </c>
      <c r="O37" s="138"/>
      <c r="P37" s="139"/>
      <c r="Q37" s="139"/>
      <c r="R37" s="139"/>
      <c r="S37" s="139"/>
      <c r="T37" s="139"/>
      <c r="U37" s="139"/>
      <c r="V37" s="139"/>
      <c r="W37" s="12"/>
      <c r="X37" s="12"/>
      <c r="Y37" s="12"/>
    </row>
    <row r="38" spans="3:25" ht="16" x14ac:dyDescent="0.2">
      <c r="C38" s="140" t="s">
        <v>50</v>
      </c>
      <c r="D38" s="141"/>
      <c r="E38" s="31">
        <f>SUM(E39:E41)</f>
        <v>28754.1</v>
      </c>
      <c r="F38" s="31">
        <f>F15</f>
        <v>66737</v>
      </c>
      <c r="G38" s="52">
        <f t="shared" si="6"/>
        <v>0.27900036956459939</v>
      </c>
      <c r="H38" s="29">
        <f t="shared" si="7"/>
        <v>0.4308569459220522</v>
      </c>
      <c r="M38" s="142" t="s">
        <v>51</v>
      </c>
      <c r="N38" s="143"/>
      <c r="O38" s="92" t="s">
        <v>52</v>
      </c>
      <c r="P38" s="12"/>
      <c r="Q38" s="12"/>
      <c r="R38" s="12"/>
      <c r="S38" s="12"/>
      <c r="T38" s="12"/>
      <c r="U38" s="12"/>
      <c r="V38" s="12"/>
      <c r="W38" s="12"/>
      <c r="X38" s="12"/>
      <c r="Y38" s="12"/>
    </row>
    <row r="39" spans="3:25" x14ac:dyDescent="0.2">
      <c r="C39" s="131" t="s">
        <v>5</v>
      </c>
      <c r="D39" s="132"/>
      <c r="E39" s="17">
        <f>(E12*N31)+((F12-E12)*N35)</f>
        <v>14687.55</v>
      </c>
      <c r="F39" s="17">
        <f>F12</f>
        <v>37708</v>
      </c>
      <c r="G39" s="53">
        <f t="shared" si="6"/>
        <v>0.15764187685304876</v>
      </c>
      <c r="H39" s="30">
        <f t="shared" si="7"/>
        <v>0.38950753155828999</v>
      </c>
      <c r="M39" s="21" t="s">
        <v>5</v>
      </c>
      <c r="N39" s="33">
        <f>H12</f>
        <v>0.44539620239736927</v>
      </c>
      <c r="O39" s="138" t="s">
        <v>53</v>
      </c>
      <c r="P39" s="139"/>
      <c r="Q39" s="139"/>
      <c r="R39" s="139"/>
      <c r="S39" s="139"/>
      <c r="T39" s="139"/>
      <c r="U39" s="139"/>
      <c r="V39" s="139"/>
      <c r="W39" s="12"/>
      <c r="X39" s="12"/>
      <c r="Y39" s="12"/>
    </row>
    <row r="40" spans="3:25" x14ac:dyDescent="0.2">
      <c r="C40" s="131" t="s">
        <v>6</v>
      </c>
      <c r="D40" s="132"/>
      <c r="E40" s="17">
        <f>(E13*N32)+((F13-E13)*N36)</f>
        <v>9242.25</v>
      </c>
      <c r="F40" s="17">
        <f t="shared" ref="F40:F41" si="10">F13</f>
        <v>20937</v>
      </c>
      <c r="G40" s="53">
        <f t="shared" si="6"/>
        <v>8.7529117844284549E-2</v>
      </c>
      <c r="H40" s="30">
        <f t="shared" si="7"/>
        <v>0.4414314371686488</v>
      </c>
      <c r="M40" s="21" t="s">
        <v>6</v>
      </c>
      <c r="N40" s="33">
        <f t="shared" ref="N40:N41" si="11">H13</f>
        <v>0.3828628743372976</v>
      </c>
      <c r="O40" s="138"/>
      <c r="P40" s="139"/>
      <c r="Q40" s="139"/>
      <c r="R40" s="139"/>
      <c r="S40" s="139"/>
      <c r="T40" s="139"/>
      <c r="U40" s="139"/>
      <c r="V40" s="139"/>
      <c r="W40" s="12"/>
      <c r="X40" s="12"/>
      <c r="Y40" s="12"/>
    </row>
    <row r="41" spans="3:25" x14ac:dyDescent="0.2">
      <c r="C41" s="131" t="s">
        <v>7</v>
      </c>
      <c r="D41" s="132"/>
      <c r="E41" s="17">
        <f>(E14*N33)+((F14-E14)*N37)</f>
        <v>4824.3</v>
      </c>
      <c r="F41" s="17">
        <f t="shared" si="10"/>
        <v>8092</v>
      </c>
      <c r="G41" s="53">
        <f t="shared" si="6"/>
        <v>3.3829374867266108E-2</v>
      </c>
      <c r="H41" s="30">
        <f t="shared" si="7"/>
        <v>0.59618141374196743</v>
      </c>
      <c r="M41" s="68" t="s">
        <v>7</v>
      </c>
      <c r="N41" s="33">
        <f t="shared" si="11"/>
        <v>0.65818091942659418</v>
      </c>
      <c r="O41" s="138"/>
      <c r="P41" s="139"/>
      <c r="Q41" s="139"/>
      <c r="R41" s="139"/>
      <c r="S41" s="139"/>
      <c r="T41" s="139"/>
      <c r="U41" s="139"/>
      <c r="V41" s="139"/>
      <c r="W41" s="12"/>
      <c r="X41" s="12"/>
      <c r="Y41" s="12"/>
    </row>
    <row r="42" spans="3:25" ht="16" x14ac:dyDescent="0.2">
      <c r="C42" s="140" t="s">
        <v>54</v>
      </c>
      <c r="D42" s="141"/>
      <c r="E42" s="31">
        <f>SUM(E43:E45)</f>
        <v>27618.95</v>
      </c>
      <c r="F42" s="31">
        <f>F19+F23</f>
        <v>80849</v>
      </c>
      <c r="G42" s="52">
        <f t="shared" si="6"/>
        <v>0.33799692642654444</v>
      </c>
      <c r="H42" s="29">
        <f t="shared" si="7"/>
        <v>0.34161152271518513</v>
      </c>
      <c r="M42" s="142" t="s">
        <v>21</v>
      </c>
      <c r="N42" s="143"/>
      <c r="O42" s="92" t="s">
        <v>22</v>
      </c>
      <c r="P42" s="12"/>
      <c r="Q42" s="12"/>
      <c r="R42" s="12"/>
      <c r="S42" s="12"/>
      <c r="T42" s="12"/>
      <c r="U42" s="12"/>
      <c r="V42" s="12"/>
      <c r="W42" s="12"/>
      <c r="X42" s="12"/>
      <c r="Y42" s="12"/>
    </row>
    <row r="43" spans="3:25" ht="14.5" customHeight="1" x14ac:dyDescent="0.2">
      <c r="C43" s="131" t="s">
        <v>5</v>
      </c>
      <c r="D43" s="132"/>
      <c r="E43" s="17">
        <f>((E16+E20)*N31)+(((F16-E16)+(F20-E20))*N35)</f>
        <v>11681</v>
      </c>
      <c r="F43" s="17">
        <f>F16+F20</f>
        <v>44738</v>
      </c>
      <c r="G43" s="53">
        <f t="shared" si="6"/>
        <v>0.18703145981361236</v>
      </c>
      <c r="H43" s="30">
        <f t="shared" si="7"/>
        <v>0.26109794805310921</v>
      </c>
      <c r="M43" s="21" t="s">
        <v>5</v>
      </c>
      <c r="N43" s="33">
        <v>0.31</v>
      </c>
      <c r="O43" s="90">
        <f>(N43-AB12)*100</f>
        <v>-13.539620239736927</v>
      </c>
      <c r="P43" s="12" t="s">
        <v>23</v>
      </c>
      <c r="Q43" s="90"/>
      <c r="R43" s="158" t="s">
        <v>55</v>
      </c>
      <c r="S43" s="158"/>
      <c r="T43" s="158"/>
      <c r="U43" s="158"/>
      <c r="V43" s="158"/>
      <c r="W43" s="158"/>
      <c r="X43" s="12"/>
      <c r="Y43" s="12"/>
    </row>
    <row r="44" spans="3:25" ht="14.5" customHeight="1" x14ac:dyDescent="0.2">
      <c r="C44" s="131" t="s">
        <v>6</v>
      </c>
      <c r="D44" s="132"/>
      <c r="E44" s="17">
        <f>((E17+E21)*N32)+(((F17-E17)+(F21-E21))*N36)</f>
        <v>12578.25</v>
      </c>
      <c r="F44" s="17">
        <f>F17+F21</f>
        <v>29739</v>
      </c>
      <c r="G44" s="53">
        <f t="shared" si="6"/>
        <v>0.12432671517271711</v>
      </c>
      <c r="H44" s="30">
        <f t="shared" si="7"/>
        <v>0.42295470594169271</v>
      </c>
      <c r="M44" s="21" t="s">
        <v>6</v>
      </c>
      <c r="N44" s="33">
        <v>0.35</v>
      </c>
      <c r="O44" s="90">
        <f>(N44-AB13)*100</f>
        <v>4.0022448297272746</v>
      </c>
      <c r="P44" s="12" t="s">
        <v>23</v>
      </c>
      <c r="Q44" s="90"/>
      <c r="R44" s="158"/>
      <c r="S44" s="158"/>
      <c r="T44" s="158"/>
      <c r="U44" s="158"/>
      <c r="V44" s="158"/>
      <c r="W44" s="158"/>
      <c r="X44" s="12"/>
      <c r="Y44" s="12"/>
    </row>
    <row r="45" spans="3:25" ht="14.5" customHeight="1" x14ac:dyDescent="0.2">
      <c r="C45" s="134" t="s">
        <v>7</v>
      </c>
      <c r="D45" s="135"/>
      <c r="E45" s="17">
        <f>((E18+E22)*N33)+(((F18-E18)+(F22-E22))*N37)</f>
        <v>3359.7</v>
      </c>
      <c r="F45" s="17">
        <f>F18+F22</f>
        <v>6372</v>
      </c>
      <c r="G45" s="53">
        <f t="shared" si="6"/>
        <v>2.6638751440214985E-2</v>
      </c>
      <c r="H45" s="30">
        <f t="shared" si="7"/>
        <v>0.52725988700564974</v>
      </c>
      <c r="M45" s="35" t="s">
        <v>7</v>
      </c>
      <c r="N45" s="36">
        <v>0.55000000000000004</v>
      </c>
      <c r="O45" s="90">
        <f>(N45-AB14)*100</f>
        <v>0.18042511122096094</v>
      </c>
      <c r="P45" s="12" t="s">
        <v>23</v>
      </c>
      <c r="Q45" s="90"/>
      <c r="R45" s="158"/>
      <c r="S45" s="158"/>
      <c r="T45" s="158"/>
      <c r="U45" s="158"/>
      <c r="V45" s="158"/>
      <c r="W45" s="158"/>
      <c r="X45" s="12"/>
      <c r="Y45" s="12"/>
    </row>
    <row r="46" spans="3:25" ht="16" x14ac:dyDescent="0.2">
      <c r="C46" s="136" t="s">
        <v>8</v>
      </c>
      <c r="D46" s="137"/>
      <c r="E46" s="22">
        <f>SUM(E42+E38+E30+E34)</f>
        <v>91814.346982663294</v>
      </c>
      <c r="F46" s="23">
        <f>F38+F42+F30+F34</f>
        <v>239200.4</v>
      </c>
      <c r="G46" s="24">
        <f>F46/F46</f>
        <v>1</v>
      </c>
      <c r="H46" s="51">
        <f t="shared" si="7"/>
        <v>0.38383860136798809</v>
      </c>
    </row>
    <row r="50" spans="3:25" ht="16" x14ac:dyDescent="0.2">
      <c r="C50" s="145" t="s">
        <v>25</v>
      </c>
      <c r="D50" s="146"/>
      <c r="E50" s="146"/>
      <c r="F50" s="146"/>
      <c r="G50" s="146"/>
      <c r="H50" s="147"/>
      <c r="M50" s="148" t="s">
        <v>25</v>
      </c>
      <c r="N50" s="149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</row>
    <row r="51" spans="3:25" ht="16" x14ac:dyDescent="0.2">
      <c r="C51" s="152" t="s">
        <v>10</v>
      </c>
      <c r="D51" s="153"/>
      <c r="E51" s="25" t="s">
        <v>11</v>
      </c>
      <c r="F51" s="26" t="s">
        <v>2</v>
      </c>
      <c r="G51" s="27" t="s">
        <v>3</v>
      </c>
      <c r="H51" s="28" t="s">
        <v>4</v>
      </c>
      <c r="M51" s="150"/>
      <c r="N51" s="151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</row>
    <row r="52" spans="3:25" ht="16" x14ac:dyDescent="0.2">
      <c r="C52" s="154" t="s">
        <v>48</v>
      </c>
      <c r="D52" s="155"/>
      <c r="E52" s="31">
        <f>SUM(E53:E55)</f>
        <v>29324.537873743204</v>
      </c>
      <c r="F52" s="75">
        <f>Z24*F4</f>
        <v>59034.400000000001</v>
      </c>
      <c r="G52" s="52">
        <f t="shared" ref="G52:G67" si="12">F52/$F$46</f>
        <v>0.24679891839645754</v>
      </c>
      <c r="H52" s="29">
        <f t="shared" ref="H52:H68" si="13">E52/F52</f>
        <v>0.49673644305257958</v>
      </c>
      <c r="M52" s="142" t="s">
        <v>13</v>
      </c>
      <c r="N52" s="143"/>
      <c r="O52" s="92" t="s">
        <v>14</v>
      </c>
      <c r="P52" s="12"/>
      <c r="Q52" s="12"/>
      <c r="R52" s="12"/>
      <c r="S52" s="12"/>
      <c r="T52" s="12"/>
      <c r="U52" s="12"/>
      <c r="V52" s="12"/>
      <c r="W52" s="12"/>
      <c r="X52" s="12"/>
      <c r="Y52" s="12"/>
    </row>
    <row r="53" spans="3:25" ht="15" customHeight="1" x14ac:dyDescent="0.2">
      <c r="C53" s="131" t="s">
        <v>5</v>
      </c>
      <c r="D53" s="132"/>
      <c r="E53" s="17">
        <f>F53*N65</f>
        <v>16342.224295368387</v>
      </c>
      <c r="F53" s="17">
        <f>$F$52*(F12/$F$15)</f>
        <v>33355.846909510467</v>
      </c>
      <c r="G53" s="53">
        <f t="shared" si="12"/>
        <v>0.1394472873352656</v>
      </c>
      <c r="H53" s="30">
        <f t="shared" si="13"/>
        <v>0.48993582263710622</v>
      </c>
      <c r="M53" s="21" t="s">
        <v>5</v>
      </c>
      <c r="N53" s="32">
        <v>0.9</v>
      </c>
      <c r="O53" s="144" t="s">
        <v>26</v>
      </c>
      <c r="P53" s="133"/>
      <c r="Q53" s="133"/>
      <c r="R53" s="133"/>
      <c r="S53" s="133"/>
      <c r="T53" s="133"/>
      <c r="U53" s="133"/>
      <c r="V53" s="133"/>
      <c r="W53" s="12"/>
      <c r="X53" s="12"/>
      <c r="Y53" s="12"/>
    </row>
    <row r="54" spans="3:25" ht="15" customHeight="1" x14ac:dyDescent="0.2">
      <c r="C54" s="131" t="s">
        <v>6</v>
      </c>
      <c r="D54" s="132"/>
      <c r="E54" s="17">
        <f>F54*N66</f>
        <v>7799.8969902752615</v>
      </c>
      <c r="F54" s="17">
        <f>$F$52*(F13/$F$15)</f>
        <v>18520.509354630867</v>
      </c>
      <c r="G54" s="53">
        <f t="shared" si="12"/>
        <v>7.7426749096702469E-2</v>
      </c>
      <c r="H54" s="30">
        <f t="shared" si="13"/>
        <v>0.4211491617710274</v>
      </c>
      <c r="M54" s="21" t="s">
        <v>6</v>
      </c>
      <c r="N54" s="32">
        <v>0.9</v>
      </c>
      <c r="O54" s="144"/>
      <c r="P54" s="133"/>
      <c r="Q54" s="133"/>
      <c r="R54" s="133"/>
      <c r="S54" s="133"/>
      <c r="T54" s="133"/>
      <c r="U54" s="133"/>
      <c r="V54" s="133"/>
      <c r="W54" s="12"/>
      <c r="X54" s="12"/>
      <c r="Y54" s="12"/>
    </row>
    <row r="55" spans="3:25" ht="15" customHeight="1" x14ac:dyDescent="0.2">
      <c r="C55" s="131" t="s">
        <v>7</v>
      </c>
      <c r="D55" s="132"/>
      <c r="E55" s="17">
        <f>F55*N67</f>
        <v>5182.4165880995561</v>
      </c>
      <c r="F55" s="17">
        <f>$F$52*(F14/$F$15)</f>
        <v>7158.0437358586696</v>
      </c>
      <c r="G55" s="53">
        <f t="shared" si="12"/>
        <v>2.9924881964489482E-2</v>
      </c>
      <c r="H55" s="30">
        <f t="shared" si="13"/>
        <v>0.72399901136925371</v>
      </c>
      <c r="M55" s="21" t="s">
        <v>7</v>
      </c>
      <c r="N55" s="32">
        <v>0.9</v>
      </c>
      <c r="O55" s="144"/>
      <c r="P55" s="133"/>
      <c r="Q55" s="133"/>
      <c r="R55" s="133"/>
      <c r="S55" s="133"/>
      <c r="T55" s="133"/>
      <c r="U55" s="133"/>
      <c r="V55" s="133"/>
      <c r="W55" s="12"/>
      <c r="X55" s="12"/>
      <c r="Y55" s="12"/>
    </row>
    <row r="56" spans="3:25" ht="15" customHeight="1" x14ac:dyDescent="0.2">
      <c r="C56" s="140" t="s">
        <v>49</v>
      </c>
      <c r="D56" s="141"/>
      <c r="E56" s="31">
        <f>SUM(E57:E59)</f>
        <v>16502.008966540299</v>
      </c>
      <c r="F56" s="31">
        <f>F34</f>
        <v>32580</v>
      </c>
      <c r="G56" s="52">
        <f t="shared" si="12"/>
        <v>0.13620378561239865</v>
      </c>
      <c r="H56" s="29">
        <f t="shared" si="13"/>
        <v>0.5065073347618263</v>
      </c>
      <c r="M56" s="142" t="s">
        <v>17</v>
      </c>
      <c r="N56" s="143"/>
      <c r="O56" s="92" t="s">
        <v>18</v>
      </c>
      <c r="P56" s="12"/>
      <c r="Q56" s="12"/>
      <c r="R56" s="12"/>
      <c r="S56" s="12"/>
      <c r="T56" s="12"/>
      <c r="U56" s="12"/>
      <c r="V56" s="12"/>
      <c r="W56" s="12"/>
      <c r="X56" s="12"/>
      <c r="Y56" s="12"/>
    </row>
    <row r="57" spans="3:25" ht="15" customHeight="1" x14ac:dyDescent="0.2">
      <c r="C57" s="131" t="s">
        <v>5</v>
      </c>
      <c r="D57" s="132"/>
      <c r="E57" s="17">
        <f>(F57*N61*N53)+(F57-(F57*N61*N53))*N57</f>
        <v>8482.0917182372596</v>
      </c>
      <c r="F57" s="17">
        <f>$F$56*(F12/$F$15)</f>
        <v>18408.478655018956</v>
      </c>
      <c r="G57" s="53">
        <f t="shared" si="12"/>
        <v>7.6958394112296449E-2</v>
      </c>
      <c r="H57" s="30">
        <f t="shared" si="13"/>
        <v>0.46077092394186908</v>
      </c>
      <c r="M57" s="21" t="s">
        <v>5</v>
      </c>
      <c r="N57" s="32">
        <v>0.1</v>
      </c>
      <c r="O57" s="138" t="s">
        <v>19</v>
      </c>
      <c r="P57" s="139"/>
      <c r="Q57" s="139"/>
      <c r="R57" s="139"/>
      <c r="S57" s="139"/>
      <c r="T57" s="139"/>
      <c r="U57" s="139"/>
      <c r="V57" s="139"/>
      <c r="W57" s="12"/>
      <c r="X57" s="12"/>
      <c r="Y57" s="12"/>
    </row>
    <row r="58" spans="3:25" ht="15" customHeight="1" x14ac:dyDescent="0.2">
      <c r="C58" s="131" t="s">
        <v>6</v>
      </c>
      <c r="D58" s="132"/>
      <c r="E58" s="17">
        <f>(F58*N62*N54)+(F58-(F58*N62*N54))*N58</f>
        <v>5196.7533602049843</v>
      </c>
      <c r="F58" s="17">
        <f>$F$56*(F13/$F$15)</f>
        <v>10221.128609317171</v>
      </c>
      <c r="G58" s="53">
        <f t="shared" si="12"/>
        <v>4.2730399319220083E-2</v>
      </c>
      <c r="H58" s="30">
        <f t="shared" si="13"/>
        <v>0.50843244017767586</v>
      </c>
      <c r="M58" s="21" t="s">
        <v>6</v>
      </c>
      <c r="N58" s="32">
        <v>0.25</v>
      </c>
      <c r="O58" s="138"/>
      <c r="P58" s="139"/>
      <c r="Q58" s="139"/>
      <c r="R58" s="139"/>
      <c r="S58" s="139"/>
      <c r="T58" s="139"/>
      <c r="U58" s="139"/>
      <c r="V58" s="139"/>
      <c r="W58" s="12"/>
      <c r="X58" s="12"/>
      <c r="Y58" s="12"/>
    </row>
    <row r="59" spans="3:25" ht="15" customHeight="1" x14ac:dyDescent="0.2">
      <c r="C59" s="131" t="s">
        <v>7</v>
      </c>
      <c r="D59" s="132"/>
      <c r="E59" s="17">
        <f>(F59*N63*N55)+(F59-(F59*N63*N55))*N59</f>
        <v>2823.1638880980568</v>
      </c>
      <c r="F59" s="17">
        <f>$F$56*(F14/$F$15)</f>
        <v>3950.3927356638746</v>
      </c>
      <c r="G59" s="53">
        <f t="shared" si="12"/>
        <v>1.6514992180882117E-2</v>
      </c>
      <c r="H59" s="30">
        <f t="shared" si="13"/>
        <v>0.7146539792387544</v>
      </c>
      <c r="M59" s="21" t="s">
        <v>7</v>
      </c>
      <c r="N59" s="32">
        <v>0.3</v>
      </c>
      <c r="O59" s="138"/>
      <c r="P59" s="139"/>
      <c r="Q59" s="139"/>
      <c r="R59" s="139"/>
      <c r="S59" s="139"/>
      <c r="T59" s="139"/>
      <c r="U59" s="139"/>
      <c r="V59" s="139"/>
      <c r="W59" s="12"/>
      <c r="X59" s="12"/>
      <c r="Y59" s="12"/>
    </row>
    <row r="60" spans="3:25" ht="16" x14ac:dyDescent="0.2">
      <c r="C60" s="140" t="s">
        <v>50</v>
      </c>
      <c r="D60" s="141"/>
      <c r="E60" s="31">
        <f>SUM(E61:E63)</f>
        <v>33274.65</v>
      </c>
      <c r="F60" s="31">
        <f>F15</f>
        <v>66737</v>
      </c>
      <c r="G60" s="52">
        <f t="shared" si="12"/>
        <v>0.27900036956459939</v>
      </c>
      <c r="H60" s="29">
        <f t="shared" si="13"/>
        <v>0.49859373361104037</v>
      </c>
      <c r="M60" s="142" t="s">
        <v>51</v>
      </c>
      <c r="N60" s="143"/>
      <c r="O60" s="92" t="s">
        <v>52</v>
      </c>
      <c r="P60" s="12"/>
      <c r="Q60" s="12"/>
      <c r="R60" s="12"/>
      <c r="S60" s="12"/>
      <c r="T60" s="12"/>
      <c r="U60" s="12"/>
      <c r="V60" s="12"/>
      <c r="W60" s="12"/>
      <c r="X60" s="12"/>
      <c r="Y60" s="12"/>
    </row>
    <row r="61" spans="3:25" x14ac:dyDescent="0.2">
      <c r="C61" s="131" t="s">
        <v>5</v>
      </c>
      <c r="D61" s="132"/>
      <c r="E61" s="17">
        <f>(E12*N53)+((F12-E12)*N57)</f>
        <v>17206.8</v>
      </c>
      <c r="F61" s="17">
        <f>F12</f>
        <v>37708</v>
      </c>
      <c r="G61" s="53">
        <f t="shared" si="12"/>
        <v>0.15764187685304876</v>
      </c>
      <c r="H61" s="30">
        <f t="shared" si="13"/>
        <v>0.45631696191789539</v>
      </c>
      <c r="M61" s="21" t="s">
        <v>5</v>
      </c>
      <c r="N61" s="33">
        <f>H12</f>
        <v>0.44539620239736927</v>
      </c>
      <c r="O61" s="138" t="s">
        <v>53</v>
      </c>
      <c r="P61" s="139"/>
      <c r="Q61" s="139"/>
      <c r="R61" s="139"/>
      <c r="S61" s="139"/>
      <c r="T61" s="139"/>
      <c r="U61" s="139"/>
      <c r="V61" s="139"/>
      <c r="W61" s="12"/>
      <c r="X61" s="12"/>
      <c r="Y61" s="12"/>
    </row>
    <row r="62" spans="3:25" x14ac:dyDescent="0.2">
      <c r="C62" s="131" t="s">
        <v>6</v>
      </c>
      <c r="D62" s="132"/>
      <c r="E62" s="17">
        <f>(E13*N54)+((F13-E13)*N58)</f>
        <v>10444.650000000001</v>
      </c>
      <c r="F62" s="17">
        <f>F13</f>
        <v>20937</v>
      </c>
      <c r="G62" s="53">
        <f t="shared" si="12"/>
        <v>8.7529117844284549E-2</v>
      </c>
      <c r="H62" s="30">
        <f t="shared" si="13"/>
        <v>0.49886086831924353</v>
      </c>
      <c r="M62" s="21" t="s">
        <v>6</v>
      </c>
      <c r="N62" s="33">
        <f t="shared" ref="N62:N63" si="14">H13</f>
        <v>0.3828628743372976</v>
      </c>
      <c r="O62" s="138"/>
      <c r="P62" s="139"/>
      <c r="Q62" s="139"/>
      <c r="R62" s="139"/>
      <c r="S62" s="139"/>
      <c r="T62" s="139"/>
      <c r="U62" s="139"/>
      <c r="V62" s="139"/>
      <c r="W62" s="12"/>
      <c r="X62" s="12"/>
      <c r="Y62" s="12"/>
    </row>
    <row r="63" spans="3:25" x14ac:dyDescent="0.2">
      <c r="C63" s="131" t="s">
        <v>7</v>
      </c>
      <c r="D63" s="132"/>
      <c r="E63" s="17">
        <f>(E14*N55)+((F14-E14)*N59)</f>
        <v>5623.2000000000007</v>
      </c>
      <c r="F63" s="17">
        <f>F14</f>
        <v>8092</v>
      </c>
      <c r="G63" s="53">
        <f t="shared" si="12"/>
        <v>3.3829374867266108E-2</v>
      </c>
      <c r="H63" s="30">
        <f t="shared" si="13"/>
        <v>0.69490855165595655</v>
      </c>
      <c r="M63" s="68" t="s">
        <v>7</v>
      </c>
      <c r="N63" s="33">
        <f t="shared" si="14"/>
        <v>0.65818091942659418</v>
      </c>
      <c r="O63" s="138"/>
      <c r="P63" s="139"/>
      <c r="Q63" s="139"/>
      <c r="R63" s="139"/>
      <c r="S63" s="139"/>
      <c r="T63" s="139"/>
      <c r="U63" s="139"/>
      <c r="V63" s="139"/>
      <c r="W63" s="12"/>
      <c r="X63" s="12"/>
      <c r="Y63" s="12"/>
    </row>
    <row r="64" spans="3:25" ht="16" x14ac:dyDescent="0.2">
      <c r="C64" s="140" t="s">
        <v>54</v>
      </c>
      <c r="D64" s="141"/>
      <c r="E64" s="31">
        <f>SUM(E65:E67)</f>
        <v>31307.9</v>
      </c>
      <c r="F64" s="31">
        <f>F19+F23</f>
        <v>80849</v>
      </c>
      <c r="G64" s="52">
        <f t="shared" si="12"/>
        <v>0.33799692642654444</v>
      </c>
      <c r="H64" s="29">
        <f t="shared" si="13"/>
        <v>0.38723917426313254</v>
      </c>
      <c r="M64" s="142" t="s">
        <v>21</v>
      </c>
      <c r="N64" s="143"/>
      <c r="O64" s="92" t="s">
        <v>22</v>
      </c>
      <c r="P64" s="12"/>
      <c r="Q64" s="12"/>
      <c r="R64" s="12"/>
      <c r="S64" s="12"/>
      <c r="T64" s="12"/>
      <c r="U64" s="12"/>
      <c r="V64" s="12"/>
      <c r="W64" s="12"/>
      <c r="X64" s="12"/>
      <c r="Y64" s="12"/>
    </row>
    <row r="65" spans="3:25" ht="14.5" customHeight="1" x14ac:dyDescent="0.2">
      <c r="C65" s="131" t="s">
        <v>5</v>
      </c>
      <c r="D65" s="132"/>
      <c r="E65" s="17">
        <f>((E16+E20)*N53)+(((F16-E16)+(F20-E20))*N57)</f>
        <v>13344.2</v>
      </c>
      <c r="F65" s="17">
        <f>F16+F20</f>
        <v>44738</v>
      </c>
      <c r="G65" s="53">
        <f t="shared" si="12"/>
        <v>0.18703145981361236</v>
      </c>
      <c r="H65" s="30">
        <f t="shared" si="13"/>
        <v>0.29827439760382674</v>
      </c>
      <c r="M65" s="21" t="s">
        <v>5</v>
      </c>
      <c r="N65" s="33">
        <f>H12*1.1</f>
        <v>0.48993582263710622</v>
      </c>
      <c r="O65" s="90">
        <f>(N65-H12)*100</f>
        <v>4.4539620239736957</v>
      </c>
      <c r="P65" s="12" t="s">
        <v>23</v>
      </c>
      <c r="Q65" s="90"/>
      <c r="R65" s="133" t="s">
        <v>28</v>
      </c>
      <c r="S65" s="133"/>
      <c r="T65" s="133"/>
      <c r="U65" s="133"/>
      <c r="V65" s="133"/>
      <c r="W65" s="12"/>
      <c r="X65" s="12"/>
      <c r="Y65" s="12"/>
    </row>
    <row r="66" spans="3:25" ht="14.5" customHeight="1" x14ac:dyDescent="0.2">
      <c r="C66" s="131" t="s">
        <v>6</v>
      </c>
      <c r="D66" s="132"/>
      <c r="E66" s="17">
        <f>((E17+E21)*N54)+(((F17-E17)+(F21-E21))*N58)</f>
        <v>14121.300000000001</v>
      </c>
      <c r="F66" s="17">
        <f>F17+F21</f>
        <v>29739</v>
      </c>
      <c r="G66" s="53">
        <f t="shared" si="12"/>
        <v>0.12432671517271711</v>
      </c>
      <c r="H66" s="30">
        <f t="shared" si="13"/>
        <v>0.47484111772420057</v>
      </c>
      <c r="M66" s="21" t="s">
        <v>6</v>
      </c>
      <c r="N66" s="33">
        <f t="shared" ref="N66:N67" si="15">H13*1.1</f>
        <v>0.4211491617710274</v>
      </c>
      <c r="O66" s="90">
        <f>(N66-H13)*100</f>
        <v>3.8286287433729802</v>
      </c>
      <c r="P66" s="12" t="s">
        <v>23</v>
      </c>
      <c r="Q66" s="90"/>
      <c r="R66" s="133"/>
      <c r="S66" s="133"/>
      <c r="T66" s="133"/>
      <c r="U66" s="133"/>
      <c r="V66" s="133"/>
      <c r="W66" s="12"/>
      <c r="X66" s="12"/>
      <c r="Y66" s="12"/>
    </row>
    <row r="67" spans="3:25" ht="14.5" customHeight="1" x14ac:dyDescent="0.2">
      <c r="C67" s="134" t="s">
        <v>7</v>
      </c>
      <c r="D67" s="135"/>
      <c r="E67" s="17">
        <f>((E18+E22)*N55)+(((F18-E18)+(F22-E22))*N59)</f>
        <v>3842.4</v>
      </c>
      <c r="F67" s="17">
        <f>F18+F22</f>
        <v>6372</v>
      </c>
      <c r="G67" s="53">
        <f t="shared" si="12"/>
        <v>2.6638751440214985E-2</v>
      </c>
      <c r="H67" s="30">
        <f t="shared" si="13"/>
        <v>0.60301318267419968</v>
      </c>
      <c r="M67" s="35" t="s">
        <v>7</v>
      </c>
      <c r="N67" s="36">
        <f t="shared" si="15"/>
        <v>0.72399901136925371</v>
      </c>
      <c r="O67" s="90">
        <f>(N67-H14)*100</f>
        <v>6.5818091942659525</v>
      </c>
      <c r="P67" s="12" t="s">
        <v>23</v>
      </c>
      <c r="Q67" s="90"/>
      <c r="R67" s="133"/>
      <c r="S67" s="133"/>
      <c r="T67" s="133"/>
      <c r="U67" s="133"/>
      <c r="V67" s="133"/>
      <c r="W67" s="12"/>
      <c r="X67" s="12"/>
      <c r="Y67" s="12"/>
    </row>
    <row r="68" spans="3:25" ht="15.5" customHeight="1" x14ac:dyDescent="0.2">
      <c r="C68" s="136" t="s">
        <v>8</v>
      </c>
      <c r="D68" s="137"/>
      <c r="E68" s="22">
        <f>E64+E60+E52+E56</f>
        <v>110409.09684028351</v>
      </c>
      <c r="F68" s="23">
        <f>F52+F60+F64+F56</f>
        <v>239200.4</v>
      </c>
      <c r="G68" s="24">
        <f>F68/F68</f>
        <v>1</v>
      </c>
      <c r="H68" s="51">
        <f t="shared" si="13"/>
        <v>0.46157571994145291</v>
      </c>
    </row>
  </sheetData>
  <mergeCells count="59">
    <mergeCell ref="O57:V59"/>
    <mergeCell ref="M60:N60"/>
    <mergeCell ref="O61:V63"/>
    <mergeCell ref="W10:AB10"/>
    <mergeCell ref="C10:H10"/>
    <mergeCell ref="M56:N56"/>
    <mergeCell ref="M52:N52"/>
    <mergeCell ref="O53:V55"/>
    <mergeCell ref="C54:D54"/>
    <mergeCell ref="C55:D55"/>
    <mergeCell ref="C43:D43"/>
    <mergeCell ref="C44:D44"/>
    <mergeCell ref="C45:D45"/>
    <mergeCell ref="C46:D46"/>
    <mergeCell ref="C50:H50"/>
    <mergeCell ref="O10:T10"/>
    <mergeCell ref="C68:D68"/>
    <mergeCell ref="C34:D34"/>
    <mergeCell ref="C35:D35"/>
    <mergeCell ref="C36:D36"/>
    <mergeCell ref="C37:D37"/>
    <mergeCell ref="C56:D56"/>
    <mergeCell ref="C57:D57"/>
    <mergeCell ref="C58:D58"/>
    <mergeCell ref="C59:D59"/>
    <mergeCell ref="C64:D64"/>
    <mergeCell ref="C60:D60"/>
    <mergeCell ref="C61:D61"/>
    <mergeCell ref="C62:D62"/>
    <mergeCell ref="C63:D63"/>
    <mergeCell ref="C52:D52"/>
    <mergeCell ref="C53:D53"/>
    <mergeCell ref="M64:N64"/>
    <mergeCell ref="C65:D65"/>
    <mergeCell ref="R65:V67"/>
    <mergeCell ref="C66:D66"/>
    <mergeCell ref="C67:D67"/>
    <mergeCell ref="M50:N51"/>
    <mergeCell ref="C51:D51"/>
    <mergeCell ref="C39:D39"/>
    <mergeCell ref="O35:V37"/>
    <mergeCell ref="C40:D40"/>
    <mergeCell ref="C41:D41"/>
    <mergeCell ref="C42:D42"/>
    <mergeCell ref="M42:N42"/>
    <mergeCell ref="O39:V41"/>
    <mergeCell ref="R43:W45"/>
    <mergeCell ref="C31:D31"/>
    <mergeCell ref="O31:V33"/>
    <mergeCell ref="C32:D32"/>
    <mergeCell ref="C33:D33"/>
    <mergeCell ref="C38:D38"/>
    <mergeCell ref="M34:N34"/>
    <mergeCell ref="M38:N38"/>
    <mergeCell ref="C28:H28"/>
    <mergeCell ref="M28:N29"/>
    <mergeCell ref="C29:D29"/>
    <mergeCell ref="C30:D30"/>
    <mergeCell ref="M30:N30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F68B73-FC7B-4924-B6A0-A97E34EBF4D6}">
  <dimension ref="A1:H1284"/>
  <sheetViews>
    <sheetView workbookViewId="0">
      <selection activeCell="E6" sqref="E6"/>
    </sheetView>
  </sheetViews>
  <sheetFormatPr baseColWidth="10" defaultColWidth="8.83203125" defaultRowHeight="15" x14ac:dyDescent="0.2"/>
  <cols>
    <col min="1" max="1" width="56.1640625" bestFit="1" customWidth="1"/>
    <col min="2" max="2" width="11.5" bestFit="1" customWidth="1"/>
    <col min="3" max="3" width="11" bestFit="1" customWidth="1"/>
    <col min="4" max="4" width="12" bestFit="1" customWidth="1"/>
    <col min="5" max="5" width="16.5" bestFit="1" customWidth="1"/>
    <col min="6" max="6" width="17.6640625" bestFit="1" customWidth="1"/>
    <col min="7" max="7" width="16.6640625" bestFit="1" customWidth="1"/>
    <col min="8" max="8" width="17.1640625" bestFit="1" customWidth="1"/>
  </cols>
  <sheetData>
    <row r="1" spans="1:8" x14ac:dyDescent="0.2">
      <c r="A1" s="77" t="s">
        <v>56</v>
      </c>
      <c r="B1" s="78" t="s">
        <v>57</v>
      </c>
      <c r="C1" s="78" t="s">
        <v>58</v>
      </c>
      <c r="D1" s="78" t="s">
        <v>59</v>
      </c>
      <c r="E1" s="78" t="s">
        <v>60</v>
      </c>
      <c r="F1" s="78" t="s">
        <v>61</v>
      </c>
      <c r="G1" s="78" t="s">
        <v>62</v>
      </c>
      <c r="H1" s="78" t="s">
        <v>63</v>
      </c>
    </row>
    <row r="2" spans="1:8" x14ac:dyDescent="0.2">
      <c r="A2" s="54" t="s">
        <v>64</v>
      </c>
      <c r="B2" s="54">
        <v>114601</v>
      </c>
      <c r="C2" s="54">
        <v>2194</v>
      </c>
      <c r="D2" s="54">
        <v>1703</v>
      </c>
      <c r="E2" s="54">
        <v>10</v>
      </c>
      <c r="F2" s="54">
        <v>1829</v>
      </c>
      <c r="G2" s="54">
        <v>0</v>
      </c>
      <c r="H2" s="54">
        <v>0</v>
      </c>
    </row>
    <row r="3" spans="1:8" x14ac:dyDescent="0.2">
      <c r="A3" s="54" t="s">
        <v>65</v>
      </c>
      <c r="B3" s="54">
        <v>116660</v>
      </c>
      <c r="C3" s="54">
        <v>1335</v>
      </c>
      <c r="D3" s="54">
        <v>1300</v>
      </c>
      <c r="E3" s="54">
        <v>10</v>
      </c>
      <c r="F3" s="54">
        <v>160</v>
      </c>
      <c r="G3" s="54">
        <v>56</v>
      </c>
      <c r="H3" s="54">
        <v>131</v>
      </c>
    </row>
    <row r="4" spans="1:8" x14ac:dyDescent="0.2">
      <c r="A4" s="54" t="s">
        <v>66</v>
      </c>
      <c r="B4" s="54">
        <v>302836</v>
      </c>
      <c r="C4" s="54">
        <v>8</v>
      </c>
      <c r="D4" s="54">
        <v>505</v>
      </c>
      <c r="E4" s="54">
        <v>7</v>
      </c>
      <c r="F4" s="54">
        <v>487</v>
      </c>
      <c r="G4" s="54">
        <v>198</v>
      </c>
      <c r="H4" s="54">
        <v>65</v>
      </c>
    </row>
    <row r="5" spans="1:8" x14ac:dyDescent="0.2">
      <c r="A5" s="54" t="s">
        <v>67</v>
      </c>
      <c r="B5" s="54">
        <v>108541</v>
      </c>
      <c r="C5" s="54">
        <v>2325</v>
      </c>
      <c r="D5" s="54">
        <v>750</v>
      </c>
      <c r="E5" s="54">
        <v>11</v>
      </c>
      <c r="F5" s="54">
        <v>142</v>
      </c>
      <c r="G5" s="54">
        <v>162</v>
      </c>
      <c r="H5" s="54">
        <v>1</v>
      </c>
    </row>
    <row r="6" spans="1:8" x14ac:dyDescent="0.2">
      <c r="A6" s="54" t="s">
        <v>68</v>
      </c>
      <c r="B6" s="54">
        <v>127250</v>
      </c>
      <c r="C6" s="54">
        <v>625</v>
      </c>
      <c r="D6" s="54">
        <v>470</v>
      </c>
      <c r="E6" s="54">
        <v>10</v>
      </c>
      <c r="F6" s="54">
        <v>110</v>
      </c>
      <c r="G6" s="54">
        <v>82</v>
      </c>
      <c r="H6" s="54">
        <v>75</v>
      </c>
    </row>
    <row r="7" spans="1:8" x14ac:dyDescent="0.2">
      <c r="A7" s="54" t="s">
        <v>69</v>
      </c>
      <c r="B7" s="54">
        <v>107092</v>
      </c>
      <c r="C7" s="54">
        <v>570</v>
      </c>
      <c r="D7" s="54">
        <v>790</v>
      </c>
      <c r="E7" s="54">
        <v>38</v>
      </c>
      <c r="F7" s="54">
        <v>62</v>
      </c>
      <c r="G7" s="54">
        <v>25</v>
      </c>
      <c r="H7" s="54">
        <v>0</v>
      </c>
    </row>
    <row r="8" spans="1:8" x14ac:dyDescent="0.2">
      <c r="A8" s="54" t="s">
        <v>70</v>
      </c>
      <c r="B8" s="54">
        <v>113118</v>
      </c>
      <c r="C8" s="54">
        <v>1458</v>
      </c>
      <c r="D8" s="54">
        <v>700</v>
      </c>
      <c r="E8" s="54">
        <v>49</v>
      </c>
      <c r="F8" s="54">
        <v>0</v>
      </c>
      <c r="G8" s="54">
        <v>7</v>
      </c>
      <c r="H8" s="54">
        <v>11</v>
      </c>
    </row>
    <row r="9" spans="1:8" x14ac:dyDescent="0.2">
      <c r="A9" s="54" t="s">
        <v>71</v>
      </c>
      <c r="B9" s="54">
        <v>108467</v>
      </c>
      <c r="C9" s="54">
        <v>230</v>
      </c>
      <c r="D9" s="54">
        <v>488</v>
      </c>
      <c r="E9" s="54">
        <v>6</v>
      </c>
      <c r="F9" s="54">
        <v>597</v>
      </c>
      <c r="G9" s="54">
        <v>1007</v>
      </c>
      <c r="H9" s="54">
        <v>634</v>
      </c>
    </row>
    <row r="10" spans="1:8" x14ac:dyDescent="0.2">
      <c r="A10" s="54" t="s">
        <v>72</v>
      </c>
      <c r="B10" s="54">
        <v>106522</v>
      </c>
      <c r="C10" s="54">
        <v>690</v>
      </c>
      <c r="D10" s="54">
        <v>626</v>
      </c>
      <c r="E10" s="54">
        <v>7</v>
      </c>
      <c r="F10" s="54">
        <v>517</v>
      </c>
      <c r="G10" s="54">
        <v>93</v>
      </c>
      <c r="H10" s="54">
        <v>2</v>
      </c>
    </row>
    <row r="11" spans="1:8" x14ac:dyDescent="0.2">
      <c r="A11" s="54" t="s">
        <v>73</v>
      </c>
      <c r="B11" s="54">
        <v>114073</v>
      </c>
      <c r="C11" s="54">
        <v>1328</v>
      </c>
      <c r="D11" s="54">
        <v>2750</v>
      </c>
      <c r="E11" s="54">
        <v>12</v>
      </c>
      <c r="F11" s="54">
        <v>333</v>
      </c>
      <c r="G11" s="54">
        <v>1741</v>
      </c>
      <c r="H11" s="54">
        <v>365</v>
      </c>
    </row>
    <row r="12" spans="1:8" x14ac:dyDescent="0.2">
      <c r="A12" s="54" t="s">
        <v>74</v>
      </c>
      <c r="B12" s="54">
        <v>106372</v>
      </c>
      <c r="C12" s="54">
        <v>650</v>
      </c>
      <c r="D12" s="54">
        <v>600</v>
      </c>
      <c r="E12" s="54">
        <v>9</v>
      </c>
      <c r="F12" s="54">
        <v>6</v>
      </c>
      <c r="G12" s="54">
        <v>31</v>
      </c>
      <c r="H12" s="54">
        <v>99</v>
      </c>
    </row>
    <row r="13" spans="1:8" x14ac:dyDescent="0.2">
      <c r="A13" s="54" t="s">
        <v>75</v>
      </c>
      <c r="B13" s="54">
        <v>105785</v>
      </c>
      <c r="C13" s="54">
        <v>1993</v>
      </c>
      <c r="D13" s="54">
        <v>3486</v>
      </c>
      <c r="E13" s="54">
        <v>45</v>
      </c>
      <c r="F13" s="54">
        <v>3107</v>
      </c>
      <c r="G13" s="54">
        <v>260</v>
      </c>
      <c r="H13" s="54">
        <v>6</v>
      </c>
    </row>
    <row r="14" spans="1:8" x14ac:dyDescent="0.2">
      <c r="A14" s="54" t="s">
        <v>76</v>
      </c>
      <c r="B14" s="54">
        <v>113599</v>
      </c>
      <c r="C14" s="54">
        <v>655</v>
      </c>
      <c r="D14" s="54">
        <v>650</v>
      </c>
      <c r="E14" s="54">
        <v>22</v>
      </c>
      <c r="F14" s="54">
        <v>328</v>
      </c>
      <c r="G14" s="54">
        <v>403</v>
      </c>
      <c r="H14" s="54">
        <v>18</v>
      </c>
    </row>
    <row r="15" spans="1:8" x14ac:dyDescent="0.2">
      <c r="A15" s="54" t="s">
        <v>77</v>
      </c>
      <c r="B15" s="54">
        <v>108053</v>
      </c>
      <c r="C15" s="54">
        <v>3</v>
      </c>
      <c r="D15" s="54">
        <v>243</v>
      </c>
      <c r="E15" s="54">
        <v>40</v>
      </c>
      <c r="F15" s="54">
        <v>23</v>
      </c>
      <c r="G15" s="54">
        <v>1090</v>
      </c>
      <c r="H15" s="54">
        <v>64</v>
      </c>
    </row>
    <row r="16" spans="1:8" x14ac:dyDescent="0.2">
      <c r="A16" s="54" t="s">
        <v>78</v>
      </c>
      <c r="B16" s="54">
        <v>110637</v>
      </c>
      <c r="C16" s="54">
        <v>505</v>
      </c>
      <c r="D16" s="54">
        <v>480</v>
      </c>
      <c r="E16" s="54">
        <v>16</v>
      </c>
      <c r="F16" s="54">
        <v>146</v>
      </c>
      <c r="G16" s="54">
        <v>293</v>
      </c>
      <c r="H16" s="54">
        <v>322</v>
      </c>
    </row>
    <row r="17" spans="1:8" x14ac:dyDescent="0.2">
      <c r="A17" s="54" t="s">
        <v>79</v>
      </c>
      <c r="B17" s="54">
        <v>110619</v>
      </c>
      <c r="C17" s="54">
        <v>375</v>
      </c>
      <c r="D17" s="54">
        <v>286</v>
      </c>
      <c r="E17" s="54">
        <v>35</v>
      </c>
      <c r="F17" s="54">
        <v>76</v>
      </c>
      <c r="G17" s="54">
        <v>897</v>
      </c>
      <c r="H17" s="54">
        <v>0</v>
      </c>
    </row>
    <row r="18" spans="1:8" x14ac:dyDescent="0.2">
      <c r="A18" s="54" t="s">
        <v>80</v>
      </c>
      <c r="B18" s="54">
        <v>111178</v>
      </c>
      <c r="C18" s="54">
        <v>105</v>
      </c>
      <c r="D18" s="54">
        <v>145</v>
      </c>
      <c r="E18" s="54">
        <v>6</v>
      </c>
      <c r="F18" s="54">
        <v>170</v>
      </c>
      <c r="G18" s="54">
        <v>122</v>
      </c>
      <c r="H18" s="54">
        <v>0</v>
      </c>
    </row>
    <row r="19" spans="1:8" x14ac:dyDescent="0.2">
      <c r="A19" s="54" t="s">
        <v>81</v>
      </c>
      <c r="B19" s="54">
        <v>105469</v>
      </c>
      <c r="C19" s="54">
        <v>950</v>
      </c>
      <c r="D19" s="54">
        <v>1000</v>
      </c>
      <c r="E19" s="54">
        <v>10</v>
      </c>
      <c r="F19" s="54">
        <v>162</v>
      </c>
      <c r="G19" s="54">
        <v>11</v>
      </c>
      <c r="H19" s="54">
        <v>38</v>
      </c>
    </row>
    <row r="20" spans="1:8" x14ac:dyDescent="0.2">
      <c r="A20" s="54" t="s">
        <v>82</v>
      </c>
      <c r="B20" s="54">
        <v>129364</v>
      </c>
      <c r="C20" s="54">
        <v>209</v>
      </c>
      <c r="D20" s="54">
        <v>233</v>
      </c>
      <c r="E20" s="54">
        <v>10</v>
      </c>
      <c r="F20" s="54">
        <v>371</v>
      </c>
      <c r="G20" s="54">
        <v>552</v>
      </c>
      <c r="H20" s="54">
        <v>545</v>
      </c>
    </row>
    <row r="21" spans="1:8" x14ac:dyDescent="0.2">
      <c r="A21" s="54" t="s">
        <v>83</v>
      </c>
      <c r="B21" s="54">
        <v>124496</v>
      </c>
      <c r="C21" s="54">
        <v>992</v>
      </c>
      <c r="D21" s="54">
        <v>900</v>
      </c>
      <c r="E21" s="54">
        <v>28</v>
      </c>
      <c r="F21" s="54">
        <v>14</v>
      </c>
      <c r="G21" s="54">
        <v>0</v>
      </c>
      <c r="H21" s="54">
        <v>0</v>
      </c>
    </row>
    <row r="22" spans="1:8" x14ac:dyDescent="0.2">
      <c r="A22" s="54" t="s">
        <v>84</v>
      </c>
      <c r="B22" s="54">
        <v>112474</v>
      </c>
      <c r="C22" s="54">
        <v>950</v>
      </c>
      <c r="D22" s="54">
        <v>1110</v>
      </c>
      <c r="E22" s="54">
        <v>21</v>
      </c>
      <c r="F22" s="54">
        <v>217</v>
      </c>
      <c r="G22" s="54">
        <v>246</v>
      </c>
      <c r="H22" s="54">
        <v>156</v>
      </c>
    </row>
    <row r="23" spans="1:8" x14ac:dyDescent="0.2">
      <c r="A23" s="54" t="s">
        <v>85</v>
      </c>
      <c r="B23" s="54">
        <v>106715</v>
      </c>
      <c r="C23" s="54">
        <v>186</v>
      </c>
      <c r="D23" s="54">
        <v>136</v>
      </c>
      <c r="E23" s="54">
        <v>19</v>
      </c>
      <c r="F23" s="54">
        <v>0</v>
      </c>
      <c r="G23" s="54">
        <v>0</v>
      </c>
      <c r="H23" s="54">
        <v>0</v>
      </c>
    </row>
    <row r="24" spans="1:8" x14ac:dyDescent="0.2">
      <c r="A24" s="54" t="s">
        <v>86</v>
      </c>
      <c r="B24" s="54">
        <v>110404</v>
      </c>
      <c r="C24" s="54">
        <v>248</v>
      </c>
      <c r="D24" s="54">
        <v>227</v>
      </c>
      <c r="E24" s="54">
        <v>10</v>
      </c>
      <c r="F24" s="54">
        <v>33</v>
      </c>
      <c r="G24" s="54">
        <v>2</v>
      </c>
      <c r="H24" s="54">
        <v>0</v>
      </c>
    </row>
    <row r="25" spans="1:8" x14ac:dyDescent="0.2">
      <c r="A25" s="54" t="s">
        <v>87</v>
      </c>
      <c r="B25" s="54">
        <v>197700</v>
      </c>
      <c r="C25" s="54">
        <v>170</v>
      </c>
      <c r="D25" s="54">
        <v>168</v>
      </c>
      <c r="E25" s="54">
        <v>9</v>
      </c>
      <c r="F25" s="54">
        <v>6</v>
      </c>
      <c r="G25" s="54">
        <v>31</v>
      </c>
      <c r="H25" s="54">
        <v>0</v>
      </c>
    </row>
    <row r="26" spans="1:8" x14ac:dyDescent="0.2">
      <c r="A26" s="54" t="s">
        <v>88</v>
      </c>
      <c r="B26" s="54">
        <v>108050</v>
      </c>
      <c r="C26" s="54">
        <v>1400</v>
      </c>
      <c r="D26" s="54">
        <v>1658</v>
      </c>
      <c r="E26" s="54">
        <v>44</v>
      </c>
      <c r="F26" s="54">
        <v>3</v>
      </c>
      <c r="G26" s="54">
        <v>69</v>
      </c>
      <c r="H26" s="54">
        <v>0</v>
      </c>
    </row>
    <row r="27" spans="1:8" x14ac:dyDescent="0.2">
      <c r="A27" s="54" t="s">
        <v>89</v>
      </c>
      <c r="B27" s="54">
        <v>124615</v>
      </c>
      <c r="C27" s="54">
        <v>148</v>
      </c>
      <c r="D27" s="54">
        <v>120</v>
      </c>
      <c r="E27" s="54">
        <v>51</v>
      </c>
      <c r="F27" s="54">
        <v>463</v>
      </c>
      <c r="G27" s="54">
        <v>208</v>
      </c>
      <c r="H27" s="54">
        <v>39</v>
      </c>
    </row>
    <row r="28" spans="1:8" x14ac:dyDescent="0.2">
      <c r="A28" s="54" t="s">
        <v>90</v>
      </c>
      <c r="B28" s="54">
        <v>110600</v>
      </c>
      <c r="C28" s="54">
        <v>255</v>
      </c>
      <c r="D28" s="54">
        <v>262</v>
      </c>
      <c r="E28" s="54">
        <v>10</v>
      </c>
      <c r="F28" s="54">
        <v>0</v>
      </c>
      <c r="G28" s="54">
        <v>7</v>
      </c>
      <c r="H28" s="54">
        <v>3</v>
      </c>
    </row>
    <row r="29" spans="1:8" x14ac:dyDescent="0.2">
      <c r="A29" s="54" t="s">
        <v>91</v>
      </c>
      <c r="B29" s="54">
        <v>328079</v>
      </c>
      <c r="C29" s="54">
        <v>96</v>
      </c>
      <c r="D29" s="54">
        <v>2700</v>
      </c>
      <c r="E29" s="54">
        <v>22</v>
      </c>
      <c r="F29" s="54">
        <v>0</v>
      </c>
      <c r="G29" s="54">
        <v>18</v>
      </c>
      <c r="H29" s="54">
        <v>32</v>
      </c>
    </row>
    <row r="30" spans="1:8" x14ac:dyDescent="0.2">
      <c r="A30" s="54" t="s">
        <v>92</v>
      </c>
      <c r="B30" s="54">
        <v>108658</v>
      </c>
      <c r="C30" s="54">
        <v>1532</v>
      </c>
      <c r="D30" s="54">
        <v>763</v>
      </c>
      <c r="E30" s="54">
        <v>6</v>
      </c>
      <c r="F30" s="54">
        <v>152</v>
      </c>
      <c r="G30" s="54">
        <v>197</v>
      </c>
      <c r="H30" s="54">
        <v>193</v>
      </c>
    </row>
    <row r="31" spans="1:8" x14ac:dyDescent="0.2">
      <c r="A31" s="54" t="s">
        <v>93</v>
      </c>
      <c r="B31" s="54">
        <v>106524</v>
      </c>
      <c r="C31" s="54">
        <v>335</v>
      </c>
      <c r="D31" s="54">
        <v>329</v>
      </c>
      <c r="E31" s="54">
        <v>9</v>
      </c>
      <c r="F31" s="54">
        <v>30</v>
      </c>
      <c r="G31" s="54">
        <v>36</v>
      </c>
      <c r="H31" s="54">
        <v>36</v>
      </c>
    </row>
    <row r="32" spans="1:8" x14ac:dyDescent="0.2">
      <c r="A32" s="54" t="s">
        <v>94</v>
      </c>
      <c r="B32" s="54">
        <v>135343</v>
      </c>
      <c r="C32" s="54">
        <v>3</v>
      </c>
      <c r="D32" s="54">
        <v>109</v>
      </c>
      <c r="E32" s="54">
        <v>7</v>
      </c>
      <c r="F32" s="54">
        <v>0</v>
      </c>
      <c r="G32" s="54">
        <v>4</v>
      </c>
      <c r="H32" s="54">
        <v>0</v>
      </c>
    </row>
    <row r="33" spans="1:8" x14ac:dyDescent="0.2">
      <c r="A33" s="54" t="s">
        <v>95</v>
      </c>
      <c r="B33" s="54">
        <v>107989</v>
      </c>
      <c r="C33" s="54">
        <v>236</v>
      </c>
      <c r="D33" s="54">
        <v>255</v>
      </c>
      <c r="E33" s="54">
        <v>10</v>
      </c>
      <c r="F33" s="54">
        <v>138</v>
      </c>
      <c r="G33" s="54">
        <v>0</v>
      </c>
      <c r="H33" s="54">
        <v>96</v>
      </c>
    </row>
    <row r="34" spans="1:8" x14ac:dyDescent="0.2">
      <c r="A34" s="54" t="s">
        <v>96</v>
      </c>
      <c r="B34" s="54">
        <v>110958</v>
      </c>
      <c r="C34" s="54">
        <v>5</v>
      </c>
      <c r="D34" s="54">
        <v>250</v>
      </c>
      <c r="E34" s="54">
        <v>9</v>
      </c>
      <c r="F34" s="54">
        <v>128</v>
      </c>
      <c r="G34" s="54">
        <v>125</v>
      </c>
      <c r="H34" s="54">
        <v>0</v>
      </c>
    </row>
    <row r="35" spans="1:8" x14ac:dyDescent="0.2">
      <c r="A35" s="54" t="s">
        <v>97</v>
      </c>
      <c r="B35" s="54">
        <v>107824</v>
      </c>
      <c r="C35" s="54">
        <v>565</v>
      </c>
      <c r="D35" s="54">
        <v>505</v>
      </c>
      <c r="E35" s="54">
        <v>10</v>
      </c>
      <c r="F35" s="54">
        <v>6</v>
      </c>
      <c r="G35" s="54">
        <v>33</v>
      </c>
      <c r="H35" s="54">
        <v>64</v>
      </c>
    </row>
    <row r="36" spans="1:8" x14ac:dyDescent="0.2">
      <c r="A36" s="54" t="s">
        <v>98</v>
      </c>
      <c r="B36" s="54">
        <v>109479</v>
      </c>
      <c r="C36" s="54">
        <v>205</v>
      </c>
      <c r="D36" s="54">
        <v>200</v>
      </c>
      <c r="E36" s="54">
        <v>9</v>
      </c>
      <c r="F36" s="54">
        <v>26</v>
      </c>
      <c r="G36" s="54">
        <v>9</v>
      </c>
      <c r="H36" s="54">
        <v>0</v>
      </c>
    </row>
    <row r="37" spans="1:8" x14ac:dyDescent="0.2">
      <c r="A37" s="54" t="s">
        <v>99</v>
      </c>
      <c r="B37" s="54">
        <v>313790</v>
      </c>
      <c r="C37" s="54">
        <v>295</v>
      </c>
      <c r="D37" s="54">
        <v>150</v>
      </c>
      <c r="E37" s="54">
        <v>13</v>
      </c>
      <c r="F37" s="54">
        <v>0</v>
      </c>
      <c r="G37" s="54">
        <v>30</v>
      </c>
      <c r="H37" s="54">
        <v>0</v>
      </c>
    </row>
    <row r="38" spans="1:8" x14ac:dyDescent="0.2">
      <c r="A38" s="54" t="s">
        <v>100</v>
      </c>
      <c r="B38" s="54">
        <v>106569</v>
      </c>
      <c r="C38" s="54">
        <v>407</v>
      </c>
      <c r="D38" s="54">
        <v>565</v>
      </c>
      <c r="E38" s="54">
        <v>45</v>
      </c>
      <c r="F38" s="54">
        <v>0</v>
      </c>
      <c r="G38" s="54">
        <v>0</v>
      </c>
      <c r="H38" s="54">
        <v>0</v>
      </c>
    </row>
    <row r="39" spans="1:8" x14ac:dyDescent="0.2">
      <c r="A39" s="54" t="s">
        <v>101</v>
      </c>
      <c r="B39" s="54">
        <v>107272</v>
      </c>
      <c r="C39" s="54">
        <v>130</v>
      </c>
      <c r="D39" s="54">
        <v>240</v>
      </c>
      <c r="E39" s="54">
        <v>18</v>
      </c>
      <c r="F39" s="54">
        <v>181</v>
      </c>
      <c r="G39" s="54">
        <v>8</v>
      </c>
      <c r="H39" s="54">
        <v>16</v>
      </c>
    </row>
    <row r="40" spans="1:8" x14ac:dyDescent="0.2">
      <c r="A40" s="54" t="s">
        <v>102</v>
      </c>
      <c r="B40" s="54">
        <v>471191</v>
      </c>
      <c r="C40" s="54">
        <v>239</v>
      </c>
      <c r="D40" s="54">
        <v>190</v>
      </c>
      <c r="E40" s="54">
        <v>10</v>
      </c>
      <c r="F40" s="54">
        <v>21</v>
      </c>
      <c r="G40" s="54">
        <v>6</v>
      </c>
      <c r="H40" s="54">
        <v>11</v>
      </c>
    </row>
    <row r="41" spans="1:8" x14ac:dyDescent="0.2">
      <c r="A41" s="54" t="s">
        <v>103</v>
      </c>
      <c r="B41" s="54">
        <v>107750</v>
      </c>
      <c r="C41" s="54">
        <v>745</v>
      </c>
      <c r="D41" s="54">
        <v>715</v>
      </c>
      <c r="E41" s="54">
        <v>25</v>
      </c>
      <c r="F41" s="54">
        <v>89</v>
      </c>
      <c r="G41" s="54">
        <v>0</v>
      </c>
      <c r="H41" s="54">
        <v>0</v>
      </c>
    </row>
    <row r="42" spans="1:8" x14ac:dyDescent="0.2">
      <c r="A42" s="54" t="s">
        <v>104</v>
      </c>
      <c r="B42" s="54">
        <v>109291</v>
      </c>
      <c r="C42" s="54">
        <v>210</v>
      </c>
      <c r="D42" s="54">
        <v>200</v>
      </c>
      <c r="E42" s="54">
        <v>22</v>
      </c>
      <c r="F42" s="54">
        <v>815</v>
      </c>
      <c r="G42" s="54">
        <v>236</v>
      </c>
      <c r="H42" s="54">
        <v>0</v>
      </c>
    </row>
    <row r="43" spans="1:8" x14ac:dyDescent="0.2">
      <c r="A43" s="54" t="s">
        <v>105</v>
      </c>
      <c r="B43" s="54">
        <v>115929</v>
      </c>
      <c r="C43" s="54">
        <v>187</v>
      </c>
      <c r="D43" s="54">
        <v>205</v>
      </c>
      <c r="E43" s="54">
        <v>8</v>
      </c>
      <c r="F43" s="54">
        <v>14</v>
      </c>
      <c r="G43" s="54">
        <v>4</v>
      </c>
      <c r="H43" s="54">
        <v>0</v>
      </c>
    </row>
    <row r="44" spans="1:8" x14ac:dyDescent="0.2">
      <c r="A44" s="54" t="s">
        <v>106</v>
      </c>
      <c r="B44" s="54">
        <v>109867</v>
      </c>
      <c r="C44" s="54">
        <v>558</v>
      </c>
      <c r="D44" s="54">
        <v>830</v>
      </c>
      <c r="E44" s="54">
        <v>11</v>
      </c>
      <c r="F44" s="54">
        <v>595</v>
      </c>
      <c r="G44" s="54">
        <v>368</v>
      </c>
      <c r="H44" s="54">
        <v>343</v>
      </c>
    </row>
    <row r="45" spans="1:8" x14ac:dyDescent="0.2">
      <c r="A45" s="54" t="s">
        <v>107</v>
      </c>
      <c r="B45" s="54">
        <v>309995</v>
      </c>
      <c r="C45" s="54">
        <v>458</v>
      </c>
      <c r="D45" s="54">
        <v>450</v>
      </c>
      <c r="E45" s="54">
        <v>10</v>
      </c>
      <c r="F45" s="54">
        <v>0</v>
      </c>
      <c r="G45" s="54">
        <v>4</v>
      </c>
      <c r="H45" s="54">
        <v>0</v>
      </c>
    </row>
    <row r="46" spans="1:8" x14ac:dyDescent="0.2">
      <c r="A46" s="54" t="s">
        <v>108</v>
      </c>
      <c r="B46" s="54">
        <v>141269</v>
      </c>
      <c r="C46" s="54">
        <v>314</v>
      </c>
      <c r="D46" s="54">
        <v>300</v>
      </c>
      <c r="E46" s="54">
        <v>21</v>
      </c>
      <c r="F46" s="54">
        <v>15</v>
      </c>
      <c r="G46" s="54">
        <v>0</v>
      </c>
      <c r="H46" s="54">
        <v>0</v>
      </c>
    </row>
    <row r="47" spans="1:8" x14ac:dyDescent="0.2">
      <c r="A47" s="54" t="s">
        <v>109</v>
      </c>
      <c r="B47" s="54">
        <v>128775</v>
      </c>
      <c r="C47" s="54">
        <v>12</v>
      </c>
      <c r="D47" s="54">
        <v>586</v>
      </c>
      <c r="E47" s="54">
        <v>12</v>
      </c>
      <c r="F47" s="54">
        <v>45</v>
      </c>
      <c r="G47" s="54">
        <v>5</v>
      </c>
      <c r="H47" s="54">
        <v>36</v>
      </c>
    </row>
    <row r="48" spans="1:8" x14ac:dyDescent="0.2">
      <c r="A48" s="54" t="s">
        <v>110</v>
      </c>
      <c r="B48" s="54">
        <v>106669</v>
      </c>
      <c r="C48" s="54">
        <v>200</v>
      </c>
      <c r="D48" s="54">
        <v>83</v>
      </c>
      <c r="E48" s="54">
        <v>11</v>
      </c>
      <c r="F48" s="54">
        <v>145</v>
      </c>
      <c r="G48" s="54">
        <v>30</v>
      </c>
      <c r="H48" s="54">
        <v>7</v>
      </c>
    </row>
    <row r="49" spans="1:8" x14ac:dyDescent="0.2">
      <c r="A49" s="54" t="s">
        <v>111</v>
      </c>
      <c r="B49" s="54">
        <v>109269</v>
      </c>
      <c r="C49" s="54">
        <v>140</v>
      </c>
      <c r="D49" s="54">
        <v>120</v>
      </c>
      <c r="E49" s="54">
        <v>48</v>
      </c>
      <c r="F49" s="54">
        <v>190</v>
      </c>
      <c r="G49" s="54">
        <v>41</v>
      </c>
      <c r="H49" s="54">
        <v>0</v>
      </c>
    </row>
    <row r="50" spans="1:8" x14ac:dyDescent="0.2">
      <c r="A50" s="54" t="s">
        <v>112</v>
      </c>
      <c r="B50" s="54">
        <v>459269</v>
      </c>
      <c r="C50" s="54">
        <v>104</v>
      </c>
      <c r="D50" s="54">
        <v>10</v>
      </c>
      <c r="E50" s="54">
        <v>12</v>
      </c>
      <c r="F50" s="54">
        <v>13</v>
      </c>
      <c r="G50" s="54">
        <v>0</v>
      </c>
      <c r="H50" s="54">
        <v>9</v>
      </c>
    </row>
    <row r="51" spans="1:8" x14ac:dyDescent="0.2">
      <c r="A51" s="54" t="s">
        <v>113</v>
      </c>
      <c r="B51" s="54">
        <v>106698</v>
      </c>
      <c r="C51" s="54">
        <v>78</v>
      </c>
      <c r="D51" s="54">
        <v>169</v>
      </c>
      <c r="E51" s="54">
        <v>37</v>
      </c>
      <c r="F51" s="54">
        <v>7</v>
      </c>
      <c r="G51" s="54">
        <v>4</v>
      </c>
      <c r="H51" s="54">
        <v>12</v>
      </c>
    </row>
    <row r="52" spans="1:8" x14ac:dyDescent="0.2">
      <c r="A52" s="54" t="s">
        <v>114</v>
      </c>
      <c r="B52" s="54">
        <v>107124</v>
      </c>
      <c r="C52" s="54">
        <v>327</v>
      </c>
      <c r="D52" s="54">
        <v>364</v>
      </c>
      <c r="E52" s="54">
        <v>34</v>
      </c>
      <c r="F52" s="54">
        <v>27</v>
      </c>
      <c r="G52" s="54">
        <v>67</v>
      </c>
      <c r="H52" s="54">
        <v>31</v>
      </c>
    </row>
    <row r="53" spans="1:8" x14ac:dyDescent="0.2">
      <c r="A53" s="54" t="s">
        <v>115</v>
      </c>
      <c r="B53" s="54">
        <v>323664</v>
      </c>
      <c r="C53" s="54">
        <v>1240</v>
      </c>
      <c r="D53" s="54">
        <v>1335</v>
      </c>
      <c r="E53" s="54">
        <v>12</v>
      </c>
      <c r="F53" s="54">
        <v>70</v>
      </c>
      <c r="G53" s="54">
        <v>36</v>
      </c>
      <c r="H53" s="54">
        <v>0</v>
      </c>
    </row>
    <row r="54" spans="1:8" x14ac:dyDescent="0.2">
      <c r="A54" s="54" t="s">
        <v>116</v>
      </c>
      <c r="B54" s="54">
        <v>186872</v>
      </c>
      <c r="C54" s="54">
        <v>98</v>
      </c>
      <c r="D54" s="54">
        <v>98</v>
      </c>
      <c r="E54" s="54">
        <v>9</v>
      </c>
      <c r="F54" s="54">
        <v>0</v>
      </c>
      <c r="G54" s="54">
        <v>0</v>
      </c>
      <c r="H54" s="54">
        <v>48</v>
      </c>
    </row>
    <row r="55" spans="1:8" x14ac:dyDescent="0.2">
      <c r="A55" s="54" t="s">
        <v>117</v>
      </c>
      <c r="B55" s="54">
        <v>113111</v>
      </c>
      <c r="C55" s="54">
        <v>117</v>
      </c>
      <c r="D55" s="54">
        <v>115</v>
      </c>
      <c r="E55" s="54">
        <v>9</v>
      </c>
      <c r="F55" s="54">
        <v>22</v>
      </c>
      <c r="G55" s="54">
        <v>0</v>
      </c>
      <c r="H55" s="54">
        <v>0</v>
      </c>
    </row>
    <row r="56" spans="1:8" x14ac:dyDescent="0.2">
      <c r="A56" s="54" t="s">
        <v>118</v>
      </c>
      <c r="B56" s="54">
        <v>115314</v>
      </c>
      <c r="C56" s="54">
        <v>487</v>
      </c>
      <c r="D56" s="54">
        <v>450</v>
      </c>
      <c r="E56" s="54">
        <v>21</v>
      </c>
      <c r="F56" s="54">
        <v>305</v>
      </c>
      <c r="G56" s="54">
        <v>0</v>
      </c>
      <c r="H56" s="54">
        <v>0</v>
      </c>
    </row>
    <row r="57" spans="1:8" x14ac:dyDescent="0.2">
      <c r="A57" s="54" t="s">
        <v>119</v>
      </c>
      <c r="B57" s="54">
        <v>106976</v>
      </c>
      <c r="C57" s="54">
        <v>350</v>
      </c>
      <c r="D57" s="54">
        <v>242</v>
      </c>
      <c r="E57" s="54">
        <v>7</v>
      </c>
      <c r="F57" s="54">
        <v>0</v>
      </c>
      <c r="G57" s="54">
        <v>2</v>
      </c>
      <c r="H57" s="54">
        <v>1</v>
      </c>
    </row>
    <row r="58" spans="1:8" x14ac:dyDescent="0.2">
      <c r="A58" s="54" t="s">
        <v>120</v>
      </c>
      <c r="B58" s="54">
        <v>108490</v>
      </c>
      <c r="C58" s="54">
        <v>2088</v>
      </c>
      <c r="D58" s="54">
        <v>2580</v>
      </c>
      <c r="E58" s="54">
        <v>11</v>
      </c>
      <c r="F58" s="54">
        <v>0</v>
      </c>
      <c r="G58" s="54">
        <v>0</v>
      </c>
      <c r="H58" s="54">
        <v>0</v>
      </c>
    </row>
    <row r="59" spans="1:8" x14ac:dyDescent="0.2">
      <c r="A59" s="54" t="s">
        <v>121</v>
      </c>
      <c r="B59" s="54">
        <v>187670</v>
      </c>
      <c r="C59" s="54">
        <v>75</v>
      </c>
      <c r="D59" s="54">
        <v>105</v>
      </c>
      <c r="E59" s="54">
        <v>12</v>
      </c>
      <c r="F59" s="54">
        <v>4</v>
      </c>
      <c r="G59" s="54">
        <v>1</v>
      </c>
      <c r="H59" s="54">
        <v>63</v>
      </c>
    </row>
    <row r="60" spans="1:8" x14ac:dyDescent="0.2">
      <c r="A60" s="54" t="s">
        <v>122</v>
      </c>
      <c r="B60" s="54">
        <v>111064</v>
      </c>
      <c r="C60" s="54">
        <v>327</v>
      </c>
      <c r="D60" s="54">
        <v>515</v>
      </c>
      <c r="E60" s="54">
        <v>18</v>
      </c>
      <c r="F60" s="54">
        <v>4</v>
      </c>
      <c r="G60" s="54">
        <v>885</v>
      </c>
      <c r="H60" s="54">
        <v>361</v>
      </c>
    </row>
    <row r="61" spans="1:8" x14ac:dyDescent="0.2">
      <c r="A61" s="54" t="s">
        <v>123</v>
      </c>
      <c r="B61" s="54">
        <v>107619</v>
      </c>
      <c r="C61" s="54">
        <v>255</v>
      </c>
      <c r="D61" s="54">
        <v>255</v>
      </c>
      <c r="E61" s="54">
        <v>13</v>
      </c>
      <c r="F61" s="54">
        <v>103</v>
      </c>
      <c r="G61" s="54">
        <v>68</v>
      </c>
      <c r="H61" s="54">
        <v>22</v>
      </c>
    </row>
    <row r="62" spans="1:8" x14ac:dyDescent="0.2">
      <c r="A62" s="54" t="s">
        <v>124</v>
      </c>
      <c r="B62" s="54">
        <v>132232</v>
      </c>
      <c r="C62" s="54">
        <v>300</v>
      </c>
      <c r="D62" s="54">
        <v>499</v>
      </c>
      <c r="E62" s="54">
        <v>22</v>
      </c>
      <c r="F62" s="54">
        <v>0</v>
      </c>
      <c r="G62" s="54">
        <v>24</v>
      </c>
      <c r="H62" s="54">
        <v>0</v>
      </c>
    </row>
    <row r="63" spans="1:8" x14ac:dyDescent="0.2">
      <c r="A63" s="54" t="s">
        <v>125</v>
      </c>
      <c r="B63" s="54">
        <v>325338</v>
      </c>
      <c r="C63" s="54">
        <v>20</v>
      </c>
      <c r="D63" s="54">
        <v>180</v>
      </c>
      <c r="E63" s="54">
        <v>13</v>
      </c>
      <c r="F63" s="54">
        <v>144</v>
      </c>
      <c r="G63" s="54">
        <v>171</v>
      </c>
      <c r="H63" s="54">
        <v>511</v>
      </c>
    </row>
    <row r="64" spans="1:8" x14ac:dyDescent="0.2">
      <c r="A64" s="54" t="s">
        <v>126</v>
      </c>
      <c r="B64" s="54">
        <v>106711</v>
      </c>
      <c r="C64" s="54">
        <v>171</v>
      </c>
      <c r="D64" s="54">
        <v>270</v>
      </c>
      <c r="E64" s="54">
        <v>6</v>
      </c>
      <c r="F64" s="54">
        <v>43</v>
      </c>
      <c r="G64" s="54">
        <v>22</v>
      </c>
      <c r="H64" s="54">
        <v>0</v>
      </c>
    </row>
    <row r="65" spans="1:8" x14ac:dyDescent="0.2">
      <c r="A65" s="54" t="s">
        <v>127</v>
      </c>
      <c r="B65" s="54">
        <v>111124</v>
      </c>
      <c r="C65" s="54">
        <v>88</v>
      </c>
      <c r="D65" s="54">
        <v>87</v>
      </c>
      <c r="E65" s="54">
        <v>60</v>
      </c>
      <c r="F65" s="54">
        <v>95</v>
      </c>
      <c r="G65" s="54">
        <v>102</v>
      </c>
      <c r="H65" s="54">
        <v>24</v>
      </c>
    </row>
    <row r="66" spans="1:8" x14ac:dyDescent="0.2">
      <c r="A66" s="54" t="s">
        <v>128</v>
      </c>
      <c r="B66" s="54">
        <v>327797</v>
      </c>
      <c r="C66" s="54">
        <v>4184</v>
      </c>
      <c r="D66" s="54">
        <v>4500</v>
      </c>
      <c r="E66" s="54">
        <v>10</v>
      </c>
      <c r="F66" s="54">
        <v>86</v>
      </c>
      <c r="G66" s="54">
        <v>158</v>
      </c>
      <c r="H66" s="54">
        <v>9</v>
      </c>
    </row>
    <row r="67" spans="1:8" x14ac:dyDescent="0.2">
      <c r="A67" s="54" t="s">
        <v>129</v>
      </c>
      <c r="B67" s="54">
        <v>305896</v>
      </c>
      <c r="C67" s="54">
        <v>152</v>
      </c>
      <c r="D67" s="54">
        <v>130</v>
      </c>
      <c r="E67" s="54">
        <v>8</v>
      </c>
      <c r="F67" s="54">
        <v>76</v>
      </c>
      <c r="G67" s="54">
        <v>251</v>
      </c>
      <c r="H67" s="54">
        <v>0</v>
      </c>
    </row>
    <row r="68" spans="1:8" x14ac:dyDescent="0.2">
      <c r="A68" s="54" t="s">
        <v>130</v>
      </c>
      <c r="B68" s="54" t="s">
        <v>131</v>
      </c>
      <c r="C68" s="54">
        <v>322</v>
      </c>
      <c r="D68" s="54">
        <v>155</v>
      </c>
      <c r="E68" s="54">
        <v>17</v>
      </c>
      <c r="F68" s="54">
        <v>10</v>
      </c>
      <c r="G68" s="54">
        <v>0</v>
      </c>
      <c r="H68" s="54">
        <v>20</v>
      </c>
    </row>
    <row r="69" spans="1:8" x14ac:dyDescent="0.2">
      <c r="A69" s="54" t="s">
        <v>132</v>
      </c>
      <c r="B69" s="54">
        <v>155263</v>
      </c>
      <c r="C69" s="54">
        <v>154</v>
      </c>
      <c r="D69" s="54">
        <v>178</v>
      </c>
      <c r="E69" s="54">
        <v>14</v>
      </c>
      <c r="F69" s="54">
        <v>270</v>
      </c>
      <c r="G69" s="54">
        <v>0</v>
      </c>
      <c r="H69" s="54">
        <v>9</v>
      </c>
    </row>
    <row r="70" spans="1:8" x14ac:dyDescent="0.2">
      <c r="A70" s="54" t="s">
        <v>133</v>
      </c>
      <c r="B70" s="54">
        <v>157071</v>
      </c>
      <c r="C70" s="54">
        <v>151</v>
      </c>
      <c r="D70" s="54">
        <v>140</v>
      </c>
      <c r="E70" s="54">
        <v>34</v>
      </c>
      <c r="F70" s="54">
        <v>0</v>
      </c>
      <c r="G70" s="54">
        <v>27</v>
      </c>
      <c r="H70" s="54">
        <v>0</v>
      </c>
    </row>
    <row r="71" spans="1:8" x14ac:dyDescent="0.2">
      <c r="A71" s="54" t="s">
        <v>134</v>
      </c>
      <c r="B71" s="54">
        <v>532247</v>
      </c>
      <c r="C71" s="54">
        <v>703</v>
      </c>
      <c r="D71" s="54">
        <v>480</v>
      </c>
      <c r="E71" s="54">
        <v>24</v>
      </c>
      <c r="F71" s="54">
        <v>204</v>
      </c>
      <c r="G71" s="54">
        <v>142</v>
      </c>
      <c r="H71" s="54">
        <v>0</v>
      </c>
    </row>
    <row r="72" spans="1:8" x14ac:dyDescent="0.2">
      <c r="A72" s="54" t="s">
        <v>135</v>
      </c>
      <c r="B72" s="54">
        <v>105702</v>
      </c>
      <c r="C72" s="54">
        <v>928</v>
      </c>
      <c r="D72" s="54">
        <v>1000</v>
      </c>
      <c r="E72" s="54">
        <v>11</v>
      </c>
      <c r="F72" s="54">
        <v>1</v>
      </c>
      <c r="G72" s="54">
        <v>3</v>
      </c>
      <c r="H72" s="54">
        <v>95</v>
      </c>
    </row>
    <row r="73" spans="1:8" x14ac:dyDescent="0.2">
      <c r="A73" s="54" t="s">
        <v>136</v>
      </c>
      <c r="B73" s="54">
        <v>112305</v>
      </c>
      <c r="C73" s="54">
        <v>888</v>
      </c>
      <c r="D73" s="54">
        <v>508</v>
      </c>
      <c r="E73" s="54">
        <v>52</v>
      </c>
      <c r="F73" s="54">
        <v>12</v>
      </c>
      <c r="G73" s="54">
        <v>0</v>
      </c>
      <c r="H73" s="54">
        <v>0</v>
      </c>
    </row>
    <row r="74" spans="1:8" x14ac:dyDescent="0.2">
      <c r="A74" s="54" t="s">
        <v>137</v>
      </c>
      <c r="B74" s="54">
        <v>112129</v>
      </c>
      <c r="C74" s="54">
        <v>538</v>
      </c>
      <c r="D74" s="54">
        <v>473</v>
      </c>
      <c r="E74" s="54">
        <v>25</v>
      </c>
      <c r="F74" s="54">
        <v>44</v>
      </c>
      <c r="G74" s="54">
        <v>290</v>
      </c>
      <c r="H74" s="54">
        <v>0</v>
      </c>
    </row>
    <row r="75" spans="1:8" x14ac:dyDescent="0.2">
      <c r="A75" s="54" t="s">
        <v>138</v>
      </c>
      <c r="B75" s="54">
        <v>451087</v>
      </c>
      <c r="C75" s="54">
        <v>191</v>
      </c>
      <c r="D75" s="54">
        <v>180</v>
      </c>
      <c r="E75" s="54">
        <v>11</v>
      </c>
      <c r="F75" s="54">
        <v>133</v>
      </c>
      <c r="G75" s="54">
        <v>88</v>
      </c>
      <c r="H75" s="54">
        <v>70</v>
      </c>
    </row>
    <row r="76" spans="1:8" x14ac:dyDescent="0.2">
      <c r="A76" s="54" t="s">
        <v>139</v>
      </c>
      <c r="B76" s="54">
        <v>175721</v>
      </c>
      <c r="C76" s="54">
        <v>2200</v>
      </c>
      <c r="D76" s="54">
        <v>1570</v>
      </c>
      <c r="E76" s="54">
        <v>23</v>
      </c>
      <c r="F76" s="54">
        <v>266</v>
      </c>
      <c r="G76" s="54">
        <v>27</v>
      </c>
      <c r="H76" s="54">
        <v>117</v>
      </c>
    </row>
    <row r="77" spans="1:8" x14ac:dyDescent="0.2">
      <c r="A77" s="54" t="s">
        <v>140</v>
      </c>
      <c r="B77" s="54">
        <v>107969</v>
      </c>
      <c r="C77" s="54">
        <v>7</v>
      </c>
      <c r="D77" s="54">
        <v>136</v>
      </c>
      <c r="E77" s="54">
        <v>9</v>
      </c>
      <c r="F77" s="54">
        <v>15</v>
      </c>
      <c r="G77" s="54">
        <v>0</v>
      </c>
      <c r="H77" s="54">
        <v>0</v>
      </c>
    </row>
    <row r="78" spans="1:8" x14ac:dyDescent="0.2">
      <c r="A78" s="54" t="s">
        <v>141</v>
      </c>
      <c r="B78" s="54">
        <v>110526</v>
      </c>
      <c r="C78" s="54">
        <v>119</v>
      </c>
      <c r="D78" s="54">
        <v>125</v>
      </c>
      <c r="E78" s="54">
        <v>10</v>
      </c>
      <c r="F78" s="54">
        <v>10</v>
      </c>
      <c r="G78" s="54">
        <v>6</v>
      </c>
      <c r="H78" s="54">
        <v>4</v>
      </c>
    </row>
    <row r="79" spans="1:8" x14ac:dyDescent="0.2">
      <c r="A79" s="54" t="s">
        <v>142</v>
      </c>
      <c r="B79" s="54">
        <v>107741</v>
      </c>
      <c r="C79" s="54">
        <v>1651</v>
      </c>
      <c r="D79" s="54">
        <v>1466</v>
      </c>
      <c r="E79" s="54">
        <v>6</v>
      </c>
      <c r="F79" s="54">
        <v>143</v>
      </c>
      <c r="G79" s="54">
        <v>28</v>
      </c>
      <c r="H79" s="54">
        <v>346</v>
      </c>
    </row>
    <row r="80" spans="1:8" x14ac:dyDescent="0.2">
      <c r="A80" s="54" t="s">
        <v>143</v>
      </c>
      <c r="B80" s="54" t="s">
        <v>144</v>
      </c>
      <c r="C80" s="54">
        <v>2119</v>
      </c>
      <c r="D80" s="54">
        <v>750</v>
      </c>
      <c r="E80" s="54">
        <v>7</v>
      </c>
      <c r="F80" s="54">
        <v>125</v>
      </c>
      <c r="G80" s="54">
        <v>56</v>
      </c>
      <c r="H80" s="54">
        <v>27</v>
      </c>
    </row>
    <row r="81" spans="1:8" x14ac:dyDescent="0.2">
      <c r="A81" s="54" t="s">
        <v>145</v>
      </c>
      <c r="B81" s="54">
        <v>511036</v>
      </c>
      <c r="C81" s="54">
        <v>231</v>
      </c>
      <c r="D81" s="54">
        <v>240</v>
      </c>
      <c r="E81" s="54">
        <v>21</v>
      </c>
      <c r="F81" s="54">
        <v>43</v>
      </c>
      <c r="G81" s="54">
        <v>0</v>
      </c>
      <c r="H81" s="54">
        <v>0</v>
      </c>
    </row>
    <row r="82" spans="1:8" x14ac:dyDescent="0.2">
      <c r="A82" s="54" t="s">
        <v>146</v>
      </c>
      <c r="B82" s="54">
        <v>106528</v>
      </c>
      <c r="C82" s="54">
        <v>120</v>
      </c>
      <c r="D82" s="54">
        <v>150</v>
      </c>
      <c r="E82" s="54">
        <v>7</v>
      </c>
      <c r="F82" s="54">
        <v>2</v>
      </c>
      <c r="G82" s="54">
        <v>430</v>
      </c>
      <c r="H82" s="54">
        <v>24</v>
      </c>
    </row>
    <row r="83" spans="1:8" x14ac:dyDescent="0.2">
      <c r="A83" s="54" t="s">
        <v>147</v>
      </c>
      <c r="B83" s="54">
        <v>179811</v>
      </c>
      <c r="C83" s="54">
        <v>48</v>
      </c>
      <c r="D83" s="54">
        <v>43</v>
      </c>
      <c r="E83" s="54">
        <v>13</v>
      </c>
      <c r="F83" s="54">
        <v>0</v>
      </c>
      <c r="G83" s="54">
        <v>6</v>
      </c>
      <c r="H83" s="54">
        <v>16</v>
      </c>
    </row>
    <row r="84" spans="1:8" x14ac:dyDescent="0.2">
      <c r="A84" s="54" t="s">
        <v>148</v>
      </c>
      <c r="B84" s="54">
        <v>109079</v>
      </c>
      <c r="C84" s="54">
        <v>280</v>
      </c>
      <c r="D84" s="54">
        <v>274</v>
      </c>
      <c r="E84" s="54">
        <v>34</v>
      </c>
      <c r="F84" s="54">
        <v>1</v>
      </c>
      <c r="G84" s="54">
        <v>0</v>
      </c>
      <c r="H84" s="54">
        <v>0</v>
      </c>
    </row>
    <row r="85" spans="1:8" x14ac:dyDescent="0.2">
      <c r="A85" s="54" t="s">
        <v>149</v>
      </c>
      <c r="B85" s="54">
        <v>155646</v>
      </c>
      <c r="C85" s="54">
        <v>29</v>
      </c>
      <c r="D85" s="54">
        <v>26</v>
      </c>
      <c r="E85" s="54">
        <v>9</v>
      </c>
      <c r="F85" s="54">
        <v>0</v>
      </c>
      <c r="G85" s="54">
        <v>33</v>
      </c>
      <c r="H85" s="54">
        <v>7</v>
      </c>
    </row>
    <row r="86" spans="1:8" x14ac:dyDescent="0.2">
      <c r="A86" s="54" t="s">
        <v>150</v>
      </c>
      <c r="B86" s="54">
        <v>108570</v>
      </c>
      <c r="C86" s="54">
        <v>115</v>
      </c>
      <c r="D86" s="54">
        <v>100</v>
      </c>
      <c r="E86" s="54">
        <v>13</v>
      </c>
      <c r="F86" s="54">
        <v>8</v>
      </c>
      <c r="G86" s="54">
        <v>4</v>
      </c>
      <c r="H86" s="54">
        <v>5</v>
      </c>
    </row>
    <row r="87" spans="1:8" x14ac:dyDescent="0.2">
      <c r="A87" s="54" t="s">
        <v>151</v>
      </c>
      <c r="B87" s="54">
        <v>149220</v>
      </c>
      <c r="C87" s="54">
        <v>0</v>
      </c>
      <c r="D87" s="54">
        <v>100</v>
      </c>
      <c r="E87" s="54">
        <v>7</v>
      </c>
      <c r="F87" s="54">
        <v>8</v>
      </c>
      <c r="G87" s="54">
        <v>8</v>
      </c>
      <c r="H87" s="54">
        <v>61</v>
      </c>
    </row>
    <row r="88" spans="1:8" x14ac:dyDescent="0.2">
      <c r="A88" s="54" t="s">
        <v>151</v>
      </c>
      <c r="B88" s="54">
        <v>149220</v>
      </c>
      <c r="C88" s="54">
        <v>103</v>
      </c>
      <c r="D88" s="54">
        <v>100</v>
      </c>
      <c r="E88" s="54">
        <v>7</v>
      </c>
      <c r="F88" s="54">
        <v>8</v>
      </c>
      <c r="G88" s="54">
        <v>8</v>
      </c>
      <c r="H88" s="54">
        <v>61</v>
      </c>
    </row>
    <row r="89" spans="1:8" x14ac:dyDescent="0.2">
      <c r="A89" s="54" t="s">
        <v>152</v>
      </c>
      <c r="B89" s="54">
        <v>107794</v>
      </c>
      <c r="C89" s="54">
        <v>250</v>
      </c>
      <c r="D89" s="54">
        <v>274</v>
      </c>
      <c r="E89" s="54">
        <v>25</v>
      </c>
      <c r="F89" s="54">
        <v>51</v>
      </c>
      <c r="G89" s="54">
        <v>42</v>
      </c>
      <c r="H89" s="54">
        <v>0</v>
      </c>
    </row>
    <row r="90" spans="1:8" x14ac:dyDescent="0.2">
      <c r="A90" s="54" t="s">
        <v>153</v>
      </c>
      <c r="B90" s="54">
        <v>109160</v>
      </c>
      <c r="C90" s="54">
        <v>120</v>
      </c>
      <c r="D90" s="54">
        <v>1450</v>
      </c>
      <c r="E90" s="54">
        <v>34</v>
      </c>
      <c r="F90" s="54">
        <v>3</v>
      </c>
      <c r="G90" s="54">
        <v>69</v>
      </c>
      <c r="H90" s="54">
        <v>0</v>
      </c>
    </row>
    <row r="91" spans="1:8" x14ac:dyDescent="0.2">
      <c r="A91" s="54" t="s">
        <v>154</v>
      </c>
      <c r="B91" s="54">
        <v>112209</v>
      </c>
      <c r="C91" s="54">
        <v>123</v>
      </c>
      <c r="D91" s="54">
        <v>75</v>
      </c>
      <c r="E91" s="54">
        <v>9</v>
      </c>
      <c r="F91" s="54">
        <v>0</v>
      </c>
      <c r="G91" s="54">
        <v>0</v>
      </c>
      <c r="H91" s="54">
        <v>0</v>
      </c>
    </row>
    <row r="92" spans="1:8" x14ac:dyDescent="0.2">
      <c r="A92" s="54" t="s">
        <v>155</v>
      </c>
      <c r="B92" s="54">
        <v>446518</v>
      </c>
      <c r="C92" s="54">
        <v>344</v>
      </c>
      <c r="D92" s="54">
        <v>343</v>
      </c>
      <c r="E92" s="54">
        <v>40</v>
      </c>
      <c r="F92" s="54">
        <v>96</v>
      </c>
      <c r="G92" s="54">
        <v>348</v>
      </c>
      <c r="H92" s="54">
        <v>20</v>
      </c>
    </row>
    <row r="93" spans="1:8" x14ac:dyDescent="0.2">
      <c r="A93" s="54" t="s">
        <v>156</v>
      </c>
      <c r="B93" s="54">
        <v>119697</v>
      </c>
      <c r="C93" s="54">
        <v>3</v>
      </c>
      <c r="D93" s="54">
        <v>225</v>
      </c>
      <c r="E93" s="54">
        <v>8</v>
      </c>
      <c r="F93" s="54">
        <v>66</v>
      </c>
      <c r="G93" s="54">
        <v>96</v>
      </c>
      <c r="H93" s="54">
        <v>124</v>
      </c>
    </row>
    <row r="94" spans="1:8" x14ac:dyDescent="0.2">
      <c r="A94" s="54" t="s">
        <v>157</v>
      </c>
      <c r="B94" s="54">
        <v>109374</v>
      </c>
      <c r="C94" s="54">
        <v>101</v>
      </c>
      <c r="D94" s="54">
        <v>100</v>
      </c>
      <c r="E94" s="54">
        <v>10</v>
      </c>
      <c r="F94" s="54">
        <v>12</v>
      </c>
      <c r="G94" s="54">
        <v>0</v>
      </c>
      <c r="H94" s="54">
        <v>12</v>
      </c>
    </row>
    <row r="95" spans="1:8" x14ac:dyDescent="0.2">
      <c r="A95" s="54" t="s">
        <v>158</v>
      </c>
      <c r="B95" s="54">
        <v>106587</v>
      </c>
      <c r="C95" s="54">
        <v>114</v>
      </c>
      <c r="D95" s="54">
        <v>112</v>
      </c>
      <c r="E95" s="54">
        <v>9</v>
      </c>
      <c r="F95" s="54">
        <v>0</v>
      </c>
      <c r="G95" s="54">
        <v>0</v>
      </c>
      <c r="H95" s="54">
        <v>0</v>
      </c>
    </row>
    <row r="96" spans="1:8" x14ac:dyDescent="0.2">
      <c r="A96" s="54" t="s">
        <v>159</v>
      </c>
      <c r="B96" s="54">
        <v>105780</v>
      </c>
      <c r="C96" s="54">
        <v>120</v>
      </c>
      <c r="D96" s="54">
        <v>156</v>
      </c>
      <c r="E96" s="54">
        <v>7</v>
      </c>
      <c r="F96" s="54">
        <v>161</v>
      </c>
      <c r="G96" s="54">
        <v>165</v>
      </c>
      <c r="H96" s="54">
        <v>0</v>
      </c>
    </row>
    <row r="97" spans="1:8" x14ac:dyDescent="0.2">
      <c r="A97" s="54" t="s">
        <v>160</v>
      </c>
      <c r="B97" s="54">
        <v>306038</v>
      </c>
      <c r="C97" s="54">
        <v>105</v>
      </c>
      <c r="D97" s="54">
        <v>90</v>
      </c>
      <c r="E97" s="54">
        <v>49</v>
      </c>
      <c r="F97" s="54">
        <v>153</v>
      </c>
      <c r="G97" s="54">
        <v>63</v>
      </c>
      <c r="H97" s="54">
        <v>15</v>
      </c>
    </row>
    <row r="98" spans="1:8" x14ac:dyDescent="0.2">
      <c r="A98" s="54" t="s">
        <v>161</v>
      </c>
      <c r="B98" s="54">
        <v>117733</v>
      </c>
      <c r="C98" s="54">
        <v>90</v>
      </c>
      <c r="D98" s="54">
        <v>90</v>
      </c>
      <c r="E98" s="54">
        <v>12</v>
      </c>
      <c r="F98" s="54">
        <v>137</v>
      </c>
      <c r="G98" s="54">
        <v>16</v>
      </c>
      <c r="H98" s="54">
        <v>52</v>
      </c>
    </row>
    <row r="99" spans="1:8" x14ac:dyDescent="0.2">
      <c r="A99" s="54" t="s">
        <v>162</v>
      </c>
      <c r="B99" s="54">
        <v>107993</v>
      </c>
      <c r="C99" s="54">
        <v>157</v>
      </c>
      <c r="D99" s="54">
        <v>151</v>
      </c>
      <c r="E99" s="54">
        <v>20</v>
      </c>
      <c r="F99" s="54">
        <v>25</v>
      </c>
      <c r="G99" s="54">
        <v>0</v>
      </c>
      <c r="H99" s="54">
        <v>265</v>
      </c>
    </row>
    <row r="100" spans="1:8" x14ac:dyDescent="0.2">
      <c r="A100" s="54" t="s">
        <v>163</v>
      </c>
      <c r="B100" s="54">
        <v>126746</v>
      </c>
      <c r="C100" s="54">
        <v>0</v>
      </c>
      <c r="D100" s="54">
        <v>516</v>
      </c>
      <c r="E100" s="54">
        <v>13</v>
      </c>
      <c r="F100" s="54">
        <v>3</v>
      </c>
      <c r="G100" s="54">
        <v>5</v>
      </c>
      <c r="H100" s="54">
        <v>71</v>
      </c>
    </row>
    <row r="101" spans="1:8" x14ac:dyDescent="0.2">
      <c r="A101" s="54" t="s">
        <v>164</v>
      </c>
      <c r="B101" s="54">
        <v>303223</v>
      </c>
      <c r="C101" s="54">
        <v>247</v>
      </c>
      <c r="D101" s="54">
        <v>232</v>
      </c>
      <c r="E101" s="54">
        <v>33</v>
      </c>
      <c r="F101" s="54">
        <v>85</v>
      </c>
      <c r="G101" s="54">
        <v>44</v>
      </c>
      <c r="H101" s="54">
        <v>11</v>
      </c>
    </row>
    <row r="102" spans="1:8" x14ac:dyDescent="0.2">
      <c r="A102" s="54" t="s">
        <v>165</v>
      </c>
      <c r="B102" s="54">
        <v>110308</v>
      </c>
      <c r="C102" s="54">
        <v>11</v>
      </c>
      <c r="D102" s="54">
        <v>215</v>
      </c>
      <c r="E102" s="54">
        <v>7</v>
      </c>
      <c r="F102" s="54">
        <v>28</v>
      </c>
      <c r="G102" s="54">
        <v>108</v>
      </c>
      <c r="H102" s="54">
        <v>44</v>
      </c>
    </row>
    <row r="103" spans="1:8" x14ac:dyDescent="0.2">
      <c r="A103" s="54" t="s">
        <v>166</v>
      </c>
      <c r="B103" s="54">
        <v>108601</v>
      </c>
      <c r="C103" s="54">
        <v>58</v>
      </c>
      <c r="D103" s="54">
        <v>135</v>
      </c>
      <c r="E103" s="54">
        <v>49</v>
      </c>
      <c r="F103" s="54">
        <v>6</v>
      </c>
      <c r="G103" s="54">
        <v>0</v>
      </c>
      <c r="H103" s="54">
        <v>1</v>
      </c>
    </row>
    <row r="104" spans="1:8" x14ac:dyDescent="0.2">
      <c r="A104" s="54" t="s">
        <v>167</v>
      </c>
      <c r="B104" s="54">
        <v>106273</v>
      </c>
      <c r="C104" s="54">
        <v>0</v>
      </c>
      <c r="D104" s="54">
        <v>30</v>
      </c>
      <c r="E104" s="54">
        <v>20</v>
      </c>
      <c r="F104" s="54">
        <v>68</v>
      </c>
      <c r="G104" s="54">
        <v>0</v>
      </c>
      <c r="H104" s="54">
        <v>0</v>
      </c>
    </row>
    <row r="105" spans="1:8" x14ac:dyDescent="0.2">
      <c r="A105" s="54" t="s">
        <v>168</v>
      </c>
      <c r="B105" s="54">
        <v>113358</v>
      </c>
      <c r="C105" s="54">
        <v>6</v>
      </c>
      <c r="D105" s="54">
        <v>150</v>
      </c>
      <c r="E105" s="54">
        <v>8</v>
      </c>
      <c r="F105" s="54">
        <v>0</v>
      </c>
      <c r="G105" s="54">
        <v>13</v>
      </c>
      <c r="H105" s="54">
        <v>0</v>
      </c>
    </row>
    <row r="106" spans="1:8" x14ac:dyDescent="0.2">
      <c r="A106" s="54" t="s">
        <v>169</v>
      </c>
      <c r="B106" s="54">
        <v>108080</v>
      </c>
      <c r="C106" s="54">
        <v>152</v>
      </c>
      <c r="D106" s="54">
        <v>120</v>
      </c>
      <c r="E106" s="54">
        <v>45</v>
      </c>
      <c r="F106" s="54">
        <v>13</v>
      </c>
      <c r="G106" s="54">
        <v>96</v>
      </c>
      <c r="H106" s="54">
        <v>14</v>
      </c>
    </row>
    <row r="107" spans="1:8" x14ac:dyDescent="0.2">
      <c r="A107" s="54" t="s">
        <v>170</v>
      </c>
      <c r="B107" s="54">
        <v>105516</v>
      </c>
      <c r="C107" s="54">
        <v>1079</v>
      </c>
      <c r="D107" s="54">
        <v>720</v>
      </c>
      <c r="E107" s="54">
        <v>16</v>
      </c>
      <c r="F107" s="54">
        <v>85</v>
      </c>
      <c r="G107" s="54">
        <v>272</v>
      </c>
      <c r="H107" s="54">
        <v>190</v>
      </c>
    </row>
    <row r="108" spans="1:8" x14ac:dyDescent="0.2">
      <c r="A108" s="54" t="s">
        <v>171</v>
      </c>
      <c r="B108" s="54">
        <v>497705</v>
      </c>
      <c r="C108" s="54">
        <v>5115</v>
      </c>
      <c r="D108" s="54">
        <v>1834</v>
      </c>
      <c r="E108" s="54">
        <v>6</v>
      </c>
      <c r="F108" s="54">
        <v>188</v>
      </c>
      <c r="G108" s="54">
        <v>9</v>
      </c>
      <c r="H108" s="54">
        <v>0</v>
      </c>
    </row>
    <row r="109" spans="1:8" x14ac:dyDescent="0.2">
      <c r="A109" s="54" t="s">
        <v>172</v>
      </c>
      <c r="B109" s="54">
        <v>466491</v>
      </c>
      <c r="C109" s="54">
        <v>3</v>
      </c>
      <c r="D109" s="54">
        <v>135</v>
      </c>
      <c r="E109" s="54">
        <v>9</v>
      </c>
      <c r="F109" s="54">
        <v>0</v>
      </c>
      <c r="G109" s="54">
        <v>3</v>
      </c>
      <c r="H109" s="54">
        <v>2</v>
      </c>
    </row>
    <row r="110" spans="1:8" x14ac:dyDescent="0.2">
      <c r="A110" s="54" t="s">
        <v>173</v>
      </c>
      <c r="B110" s="54">
        <v>108792</v>
      </c>
      <c r="C110" s="54">
        <v>106</v>
      </c>
      <c r="D110" s="54">
        <v>130</v>
      </c>
      <c r="E110" s="54">
        <v>11</v>
      </c>
      <c r="F110" s="54">
        <v>11</v>
      </c>
      <c r="G110" s="54">
        <v>17</v>
      </c>
      <c r="H110" s="54">
        <v>3</v>
      </c>
    </row>
    <row r="111" spans="1:8" x14ac:dyDescent="0.2">
      <c r="A111" s="54" t="s">
        <v>174</v>
      </c>
      <c r="B111" s="54">
        <v>110173</v>
      </c>
      <c r="C111" s="54">
        <v>43</v>
      </c>
      <c r="D111" s="54">
        <v>41</v>
      </c>
      <c r="E111" s="54">
        <v>8</v>
      </c>
      <c r="F111" s="54">
        <v>147</v>
      </c>
      <c r="G111" s="54">
        <v>69</v>
      </c>
      <c r="H111" s="54">
        <v>16</v>
      </c>
    </row>
    <row r="112" spans="1:8" x14ac:dyDescent="0.2">
      <c r="A112" s="54" t="s">
        <v>175</v>
      </c>
      <c r="B112" s="54">
        <v>167139</v>
      </c>
      <c r="C112" s="54">
        <v>160</v>
      </c>
      <c r="D112" s="54">
        <v>99</v>
      </c>
      <c r="E112" s="54">
        <v>17</v>
      </c>
      <c r="F112" s="54">
        <v>6</v>
      </c>
      <c r="G112" s="54">
        <v>22</v>
      </c>
      <c r="H112" s="54">
        <v>1</v>
      </c>
    </row>
    <row r="113" spans="1:8" x14ac:dyDescent="0.2">
      <c r="A113" s="54" t="s">
        <v>176</v>
      </c>
      <c r="B113" s="54">
        <v>110628</v>
      </c>
      <c r="C113" s="54">
        <v>3</v>
      </c>
      <c r="D113" s="54">
        <v>40</v>
      </c>
      <c r="E113" s="54">
        <v>8</v>
      </c>
      <c r="F113" s="54">
        <v>0</v>
      </c>
      <c r="G113" s="54">
        <v>0</v>
      </c>
      <c r="H113" s="54">
        <v>3</v>
      </c>
    </row>
    <row r="114" spans="1:8" x14ac:dyDescent="0.2">
      <c r="A114" s="54" t="s">
        <v>177</v>
      </c>
      <c r="B114" s="54">
        <v>454367</v>
      </c>
      <c r="C114" s="54">
        <v>403</v>
      </c>
      <c r="D114" s="54">
        <v>400</v>
      </c>
      <c r="E114" s="54">
        <v>12</v>
      </c>
      <c r="F114" s="54">
        <v>31</v>
      </c>
      <c r="G114" s="54">
        <v>21</v>
      </c>
      <c r="H114" s="54">
        <v>0</v>
      </c>
    </row>
    <row r="115" spans="1:8" x14ac:dyDescent="0.2">
      <c r="A115" s="54" t="s">
        <v>178</v>
      </c>
      <c r="B115" s="54">
        <v>106590</v>
      </c>
      <c r="C115" s="54">
        <v>150</v>
      </c>
      <c r="D115" s="54">
        <v>115</v>
      </c>
      <c r="E115" s="54">
        <v>49</v>
      </c>
      <c r="F115" s="54">
        <v>41</v>
      </c>
      <c r="G115" s="54">
        <v>165</v>
      </c>
      <c r="H115" s="54">
        <v>100</v>
      </c>
    </row>
    <row r="116" spans="1:8" x14ac:dyDescent="0.2">
      <c r="A116" s="54" t="s">
        <v>179</v>
      </c>
      <c r="B116" s="54">
        <v>305997</v>
      </c>
      <c r="C116" s="54">
        <v>32</v>
      </c>
      <c r="D116" s="54">
        <v>27</v>
      </c>
      <c r="E116" s="54">
        <v>6</v>
      </c>
      <c r="F116" s="54">
        <v>0</v>
      </c>
      <c r="G116" s="54">
        <v>0</v>
      </c>
      <c r="H116" s="54">
        <v>0</v>
      </c>
    </row>
    <row r="117" spans="1:8" x14ac:dyDescent="0.2">
      <c r="A117" s="54" t="s">
        <v>180</v>
      </c>
      <c r="B117" s="54">
        <v>129179</v>
      </c>
      <c r="C117" s="54">
        <v>12</v>
      </c>
      <c r="D117" s="54">
        <v>52</v>
      </c>
      <c r="E117" s="54">
        <v>9</v>
      </c>
      <c r="F117" s="54">
        <v>0</v>
      </c>
      <c r="G117" s="54">
        <v>0</v>
      </c>
      <c r="H117" s="54">
        <v>0</v>
      </c>
    </row>
    <row r="118" spans="1:8" x14ac:dyDescent="0.2">
      <c r="A118" s="54" t="s">
        <v>181</v>
      </c>
      <c r="B118" s="54">
        <v>106478</v>
      </c>
      <c r="C118" s="54">
        <v>1286</v>
      </c>
      <c r="D118" s="54">
        <v>800</v>
      </c>
      <c r="E118" s="54">
        <v>16</v>
      </c>
      <c r="F118" s="54">
        <v>56</v>
      </c>
      <c r="G118" s="54">
        <v>3</v>
      </c>
      <c r="H118" s="54">
        <v>2</v>
      </c>
    </row>
    <row r="119" spans="1:8" x14ac:dyDescent="0.2">
      <c r="A119" s="54" t="s">
        <v>182</v>
      </c>
      <c r="B119" s="54">
        <v>149335</v>
      </c>
      <c r="C119" s="54">
        <v>47</v>
      </c>
      <c r="D119" s="54">
        <v>42</v>
      </c>
      <c r="E119" s="54">
        <v>10</v>
      </c>
      <c r="F119" s="54">
        <v>3</v>
      </c>
      <c r="G119" s="54">
        <v>0</v>
      </c>
      <c r="H119" s="54">
        <v>0</v>
      </c>
    </row>
    <row r="120" spans="1:8" x14ac:dyDescent="0.2">
      <c r="A120" s="54" t="s">
        <v>183</v>
      </c>
      <c r="B120" s="54">
        <v>198611</v>
      </c>
      <c r="C120" s="54">
        <v>105</v>
      </c>
      <c r="D120" s="54">
        <v>105</v>
      </c>
      <c r="E120" s="54">
        <v>11</v>
      </c>
      <c r="F120" s="54">
        <v>4</v>
      </c>
      <c r="G120" s="54">
        <v>3</v>
      </c>
      <c r="H120" s="54">
        <v>3</v>
      </c>
    </row>
    <row r="121" spans="1:8" x14ac:dyDescent="0.2">
      <c r="A121" s="54" t="s">
        <v>184</v>
      </c>
      <c r="B121" s="54">
        <v>154313</v>
      </c>
      <c r="C121" s="54">
        <v>24</v>
      </c>
      <c r="D121" s="54">
        <v>40</v>
      </c>
      <c r="E121" s="54">
        <v>9</v>
      </c>
      <c r="F121" s="54">
        <v>0</v>
      </c>
      <c r="G121" s="54">
        <v>0</v>
      </c>
      <c r="H121" s="54">
        <v>38</v>
      </c>
    </row>
    <row r="122" spans="1:8" x14ac:dyDescent="0.2">
      <c r="A122" s="54" t="s">
        <v>185</v>
      </c>
      <c r="B122" s="54">
        <v>109178</v>
      </c>
      <c r="C122" s="54">
        <v>165</v>
      </c>
      <c r="D122" s="54">
        <v>193</v>
      </c>
      <c r="E122" s="54">
        <v>15</v>
      </c>
      <c r="F122" s="54">
        <v>0</v>
      </c>
      <c r="G122" s="54">
        <v>0</v>
      </c>
      <c r="H122" s="54">
        <v>0</v>
      </c>
    </row>
    <row r="123" spans="1:8" x14ac:dyDescent="0.2">
      <c r="A123" s="54" t="s">
        <v>186</v>
      </c>
      <c r="B123" s="54">
        <v>105751</v>
      </c>
      <c r="C123" s="54">
        <v>248</v>
      </c>
      <c r="D123" s="54">
        <v>205</v>
      </c>
      <c r="E123" s="54">
        <v>10</v>
      </c>
      <c r="F123" s="54">
        <v>5</v>
      </c>
      <c r="G123" s="54">
        <v>50</v>
      </c>
      <c r="H123" s="54">
        <v>49</v>
      </c>
    </row>
    <row r="124" spans="1:8" x14ac:dyDescent="0.2">
      <c r="A124" s="54" t="s">
        <v>187</v>
      </c>
      <c r="B124" s="54">
        <v>109785</v>
      </c>
      <c r="C124" s="54">
        <v>141</v>
      </c>
      <c r="D124" s="54">
        <v>115</v>
      </c>
      <c r="E124" s="54">
        <v>13</v>
      </c>
      <c r="F124" s="54">
        <v>0</v>
      </c>
      <c r="G124" s="54">
        <v>0</v>
      </c>
      <c r="H124" s="54">
        <v>0</v>
      </c>
    </row>
    <row r="125" spans="1:8" x14ac:dyDescent="0.2">
      <c r="A125" s="54" t="s">
        <v>188</v>
      </c>
      <c r="B125" s="54">
        <v>172686</v>
      </c>
      <c r="C125" s="54">
        <v>1</v>
      </c>
      <c r="D125" s="54">
        <v>73</v>
      </c>
      <c r="E125" s="54">
        <v>9</v>
      </c>
      <c r="F125" s="54">
        <v>36</v>
      </c>
      <c r="G125" s="54">
        <v>77</v>
      </c>
      <c r="H125" s="54">
        <v>10</v>
      </c>
    </row>
    <row r="126" spans="1:8" x14ac:dyDescent="0.2">
      <c r="A126" s="54" t="s">
        <v>189</v>
      </c>
      <c r="B126" s="54">
        <v>113335</v>
      </c>
      <c r="C126" s="54">
        <v>84</v>
      </c>
      <c r="D126" s="54">
        <v>90</v>
      </c>
      <c r="E126" s="54">
        <v>11</v>
      </c>
      <c r="F126" s="54">
        <v>0</v>
      </c>
      <c r="G126" s="54">
        <v>6</v>
      </c>
      <c r="H126" s="54">
        <v>11</v>
      </c>
    </row>
    <row r="127" spans="1:8" x14ac:dyDescent="0.2">
      <c r="A127" s="54" t="s">
        <v>190</v>
      </c>
      <c r="B127" s="54">
        <v>185357</v>
      </c>
      <c r="C127" s="54">
        <v>100</v>
      </c>
      <c r="D127" s="54">
        <v>241</v>
      </c>
      <c r="E127" s="54">
        <v>43</v>
      </c>
      <c r="F127" s="54">
        <v>44</v>
      </c>
      <c r="G127" s="54">
        <v>0</v>
      </c>
      <c r="H127" s="54">
        <v>0</v>
      </c>
    </row>
    <row r="128" spans="1:8" x14ac:dyDescent="0.2">
      <c r="A128" s="54" t="s">
        <v>191</v>
      </c>
      <c r="B128" s="54">
        <v>108462</v>
      </c>
      <c r="C128" s="54">
        <v>25</v>
      </c>
      <c r="D128" s="54">
        <v>25</v>
      </c>
      <c r="E128" s="54">
        <v>11</v>
      </c>
      <c r="F128" s="54">
        <v>0</v>
      </c>
      <c r="G128" s="54">
        <v>4</v>
      </c>
      <c r="H128" s="54">
        <v>1</v>
      </c>
    </row>
    <row r="129" spans="1:8" x14ac:dyDescent="0.2">
      <c r="A129" s="54" t="s">
        <v>192</v>
      </c>
      <c r="B129" s="54">
        <v>112636</v>
      </c>
      <c r="C129" s="54">
        <v>85</v>
      </c>
      <c r="D129" s="54">
        <v>76</v>
      </c>
      <c r="E129" s="54">
        <v>47</v>
      </c>
      <c r="F129" s="54">
        <v>104</v>
      </c>
      <c r="G129" s="54">
        <v>1</v>
      </c>
      <c r="H129" s="54">
        <v>0</v>
      </c>
    </row>
    <row r="130" spans="1:8" x14ac:dyDescent="0.2">
      <c r="A130" s="54" t="s">
        <v>193</v>
      </c>
      <c r="B130" s="54">
        <v>150938</v>
      </c>
      <c r="C130" s="54">
        <v>185</v>
      </c>
      <c r="D130" s="54">
        <v>230</v>
      </c>
      <c r="E130" s="54">
        <v>22</v>
      </c>
      <c r="F130" s="54">
        <v>14</v>
      </c>
      <c r="G130" s="54">
        <v>0</v>
      </c>
      <c r="H130" s="54">
        <v>41</v>
      </c>
    </row>
    <row r="131" spans="1:8" x14ac:dyDescent="0.2">
      <c r="A131" s="54" t="s">
        <v>194</v>
      </c>
      <c r="B131" s="54">
        <v>119937</v>
      </c>
      <c r="C131" s="54">
        <v>377</v>
      </c>
      <c r="D131" s="54">
        <v>385</v>
      </c>
      <c r="E131" s="54">
        <v>27</v>
      </c>
      <c r="F131" s="54">
        <v>0</v>
      </c>
      <c r="G131" s="54">
        <v>2</v>
      </c>
      <c r="H131" s="54">
        <v>261</v>
      </c>
    </row>
    <row r="132" spans="1:8" x14ac:dyDescent="0.2">
      <c r="A132" s="54" t="s">
        <v>195</v>
      </c>
      <c r="B132" s="54">
        <v>108237</v>
      </c>
      <c r="C132" s="54">
        <v>131</v>
      </c>
      <c r="D132" s="54">
        <v>111</v>
      </c>
      <c r="E132" s="54">
        <v>22</v>
      </c>
      <c r="F132" s="54">
        <v>6</v>
      </c>
      <c r="G132" s="54">
        <v>25</v>
      </c>
      <c r="H132" s="54">
        <v>43</v>
      </c>
    </row>
    <row r="133" spans="1:8" x14ac:dyDescent="0.2">
      <c r="A133" s="54" t="s">
        <v>196</v>
      </c>
      <c r="B133" s="54">
        <v>478812</v>
      </c>
      <c r="C133" s="54">
        <v>164</v>
      </c>
      <c r="D133" s="54">
        <v>135</v>
      </c>
      <c r="E133" s="54">
        <v>8</v>
      </c>
      <c r="F133" s="54">
        <v>35</v>
      </c>
      <c r="G133" s="54">
        <v>9</v>
      </c>
      <c r="H133" s="54">
        <v>0</v>
      </c>
    </row>
    <row r="134" spans="1:8" x14ac:dyDescent="0.2">
      <c r="A134" s="54" t="s">
        <v>197</v>
      </c>
      <c r="B134" s="54">
        <v>106658</v>
      </c>
      <c r="C134" s="54">
        <v>449</v>
      </c>
      <c r="D134" s="54">
        <v>490</v>
      </c>
      <c r="E134" s="54">
        <v>46</v>
      </c>
      <c r="F134" s="54">
        <v>1</v>
      </c>
      <c r="G134" s="54">
        <v>0</v>
      </c>
      <c r="H134" s="54">
        <v>3</v>
      </c>
    </row>
    <row r="135" spans="1:8" x14ac:dyDescent="0.2">
      <c r="A135" s="54" t="s">
        <v>198</v>
      </c>
      <c r="B135" s="54">
        <v>300074</v>
      </c>
      <c r="C135" s="54">
        <v>1</v>
      </c>
      <c r="D135" s="54">
        <v>200</v>
      </c>
      <c r="E135" s="54">
        <v>12</v>
      </c>
      <c r="F135" s="54">
        <v>67</v>
      </c>
      <c r="G135" s="54">
        <v>20</v>
      </c>
      <c r="H135" s="54">
        <v>1</v>
      </c>
    </row>
    <row r="136" spans="1:8" x14ac:dyDescent="0.2">
      <c r="A136" s="54" t="s">
        <v>199</v>
      </c>
      <c r="B136" s="54">
        <v>466044</v>
      </c>
      <c r="C136" s="54">
        <v>70</v>
      </c>
      <c r="D136" s="54">
        <v>82</v>
      </c>
      <c r="E136" s="54">
        <v>9</v>
      </c>
      <c r="F136" s="54">
        <v>109</v>
      </c>
      <c r="G136" s="54">
        <v>6</v>
      </c>
      <c r="H136" s="54">
        <v>0</v>
      </c>
    </row>
    <row r="137" spans="1:8" x14ac:dyDescent="0.2">
      <c r="A137" s="54" t="s">
        <v>200</v>
      </c>
      <c r="B137" s="54">
        <v>140442</v>
      </c>
      <c r="C137" s="54">
        <v>4</v>
      </c>
      <c r="D137" s="54">
        <v>189</v>
      </c>
      <c r="E137" s="54">
        <v>46</v>
      </c>
      <c r="F137" s="54">
        <v>99</v>
      </c>
      <c r="G137" s="54">
        <v>52</v>
      </c>
      <c r="H137" s="54">
        <v>0</v>
      </c>
    </row>
    <row r="138" spans="1:8" x14ac:dyDescent="0.2">
      <c r="A138" s="54" t="s">
        <v>201</v>
      </c>
      <c r="B138" s="54">
        <v>321833</v>
      </c>
      <c r="C138" s="54">
        <v>206</v>
      </c>
      <c r="D138" s="54">
        <v>250</v>
      </c>
      <c r="E138" s="54">
        <v>10</v>
      </c>
      <c r="F138" s="54">
        <v>38</v>
      </c>
      <c r="G138" s="54">
        <v>27</v>
      </c>
      <c r="H138" s="54">
        <v>0</v>
      </c>
    </row>
    <row r="139" spans="1:8" x14ac:dyDescent="0.2">
      <c r="A139" s="54" t="s">
        <v>202</v>
      </c>
      <c r="B139" s="54">
        <v>195409</v>
      </c>
      <c r="C139" s="54">
        <v>39</v>
      </c>
      <c r="D139" s="54">
        <v>41</v>
      </c>
      <c r="E139" s="54">
        <v>8</v>
      </c>
      <c r="F139" s="54">
        <v>112</v>
      </c>
      <c r="G139" s="54">
        <v>105</v>
      </c>
      <c r="H139" s="54">
        <v>129</v>
      </c>
    </row>
    <row r="140" spans="1:8" x14ac:dyDescent="0.2">
      <c r="A140" s="54" t="s">
        <v>203</v>
      </c>
      <c r="B140" s="54">
        <v>107206</v>
      </c>
      <c r="C140" s="54">
        <v>896</v>
      </c>
      <c r="D140" s="54">
        <v>859</v>
      </c>
      <c r="E140" s="54">
        <v>10</v>
      </c>
      <c r="F140" s="54">
        <v>114</v>
      </c>
      <c r="G140" s="54">
        <v>236</v>
      </c>
      <c r="H140" s="54">
        <v>244</v>
      </c>
    </row>
    <row r="141" spans="1:8" x14ac:dyDescent="0.2">
      <c r="A141" s="54" t="s">
        <v>204</v>
      </c>
      <c r="B141" s="54">
        <v>111065</v>
      </c>
      <c r="C141" s="54">
        <v>160</v>
      </c>
      <c r="D141" s="54">
        <v>828</v>
      </c>
      <c r="E141" s="54">
        <v>19</v>
      </c>
      <c r="F141" s="54">
        <v>17</v>
      </c>
      <c r="G141" s="54">
        <v>0</v>
      </c>
      <c r="H141" s="54">
        <v>3</v>
      </c>
    </row>
    <row r="142" spans="1:8" x14ac:dyDescent="0.2">
      <c r="A142" s="54" t="s">
        <v>205</v>
      </c>
      <c r="B142" s="54">
        <v>185176</v>
      </c>
      <c r="C142" s="54">
        <v>49</v>
      </c>
      <c r="D142" s="54">
        <v>53</v>
      </c>
      <c r="E142" s="54">
        <v>9</v>
      </c>
      <c r="F142" s="54">
        <v>132</v>
      </c>
      <c r="G142" s="54">
        <v>44</v>
      </c>
      <c r="H142" s="54">
        <v>43</v>
      </c>
    </row>
    <row r="143" spans="1:8" x14ac:dyDescent="0.2">
      <c r="A143" s="54" t="s">
        <v>206</v>
      </c>
      <c r="B143" s="54">
        <v>320923</v>
      </c>
      <c r="C143" s="54">
        <v>67</v>
      </c>
      <c r="D143" s="54">
        <v>80</v>
      </c>
      <c r="E143" s="54">
        <v>12</v>
      </c>
      <c r="F143" s="54">
        <v>0</v>
      </c>
      <c r="G143" s="54">
        <v>41</v>
      </c>
      <c r="H143" s="54">
        <v>0</v>
      </c>
    </row>
    <row r="144" spans="1:8" x14ac:dyDescent="0.2">
      <c r="A144" s="54" t="s">
        <v>207</v>
      </c>
      <c r="B144" s="54">
        <v>154340</v>
      </c>
      <c r="C144" s="54">
        <v>0</v>
      </c>
      <c r="D144" s="54">
        <v>180</v>
      </c>
      <c r="E144" s="54">
        <v>16</v>
      </c>
      <c r="F144" s="54">
        <v>3</v>
      </c>
      <c r="G144" s="54">
        <v>0</v>
      </c>
      <c r="H144" s="54">
        <v>14</v>
      </c>
    </row>
    <row r="145" spans="1:8" x14ac:dyDescent="0.2">
      <c r="A145" s="54" t="s">
        <v>208</v>
      </c>
      <c r="B145" s="54">
        <v>121102</v>
      </c>
      <c r="C145" s="54">
        <v>25</v>
      </c>
      <c r="D145" s="54">
        <v>20</v>
      </c>
      <c r="E145" s="54">
        <v>14</v>
      </c>
      <c r="F145" s="54">
        <v>21</v>
      </c>
      <c r="G145" s="54">
        <v>19</v>
      </c>
      <c r="H145" s="54">
        <v>0</v>
      </c>
    </row>
    <row r="146" spans="1:8" x14ac:dyDescent="0.2">
      <c r="A146" s="54" t="s">
        <v>209</v>
      </c>
      <c r="B146" s="54">
        <v>108787</v>
      </c>
      <c r="C146" s="54">
        <v>718</v>
      </c>
      <c r="D146" s="54">
        <v>645</v>
      </c>
      <c r="E146" s="54">
        <v>12</v>
      </c>
      <c r="F146" s="54">
        <v>15</v>
      </c>
      <c r="G146" s="54">
        <v>1</v>
      </c>
      <c r="H146" s="54">
        <v>0</v>
      </c>
    </row>
    <row r="147" spans="1:8" x14ac:dyDescent="0.2">
      <c r="A147" s="54" t="s">
        <v>210</v>
      </c>
      <c r="B147" s="54">
        <v>109093</v>
      </c>
      <c r="C147" s="54">
        <v>58</v>
      </c>
      <c r="D147" s="54">
        <v>43</v>
      </c>
      <c r="E147" s="54">
        <v>11</v>
      </c>
      <c r="F147" s="54">
        <v>0</v>
      </c>
      <c r="G147" s="54">
        <v>0</v>
      </c>
      <c r="H147" s="54">
        <v>8</v>
      </c>
    </row>
    <row r="148" spans="1:8" x14ac:dyDescent="0.2">
      <c r="A148" s="54" t="s">
        <v>211</v>
      </c>
      <c r="B148" s="54">
        <v>113552</v>
      </c>
      <c r="C148" s="54">
        <v>50</v>
      </c>
      <c r="D148" s="54">
        <v>45</v>
      </c>
      <c r="E148" s="54">
        <v>9</v>
      </c>
      <c r="F148" s="54">
        <v>69</v>
      </c>
      <c r="G148" s="54">
        <v>97</v>
      </c>
      <c r="H148" s="54">
        <v>67</v>
      </c>
    </row>
    <row r="149" spans="1:8" x14ac:dyDescent="0.2">
      <c r="A149" s="54" t="s">
        <v>212</v>
      </c>
      <c r="B149" s="54">
        <v>499976</v>
      </c>
      <c r="C149" s="54">
        <v>266</v>
      </c>
      <c r="D149" s="54">
        <v>236</v>
      </c>
      <c r="E149" s="54">
        <v>11</v>
      </c>
      <c r="F149" s="54">
        <v>0</v>
      </c>
      <c r="G149" s="54">
        <v>1</v>
      </c>
      <c r="H149" s="54">
        <v>0</v>
      </c>
    </row>
    <row r="150" spans="1:8" x14ac:dyDescent="0.2">
      <c r="A150" s="54" t="s">
        <v>213</v>
      </c>
      <c r="B150" s="54">
        <v>112375</v>
      </c>
      <c r="C150" s="54">
        <v>189</v>
      </c>
      <c r="D150" s="54">
        <v>174</v>
      </c>
      <c r="E150" s="54">
        <v>24</v>
      </c>
      <c r="F150" s="54">
        <v>6</v>
      </c>
      <c r="G150" s="54">
        <v>0</v>
      </c>
      <c r="H150" s="54">
        <v>77</v>
      </c>
    </row>
    <row r="151" spans="1:8" x14ac:dyDescent="0.2">
      <c r="A151" s="54" t="s">
        <v>214</v>
      </c>
      <c r="B151" s="54">
        <v>365837</v>
      </c>
      <c r="C151" s="54">
        <v>0</v>
      </c>
      <c r="D151" s="54">
        <v>23</v>
      </c>
      <c r="E151" s="54">
        <v>24</v>
      </c>
      <c r="F151" s="54">
        <v>0</v>
      </c>
      <c r="G151" s="54">
        <v>203</v>
      </c>
      <c r="H151" s="54">
        <v>25</v>
      </c>
    </row>
    <row r="152" spans="1:8" x14ac:dyDescent="0.2">
      <c r="A152" s="54" t="s">
        <v>215</v>
      </c>
      <c r="B152" s="54">
        <v>109011</v>
      </c>
      <c r="C152" s="54">
        <v>40</v>
      </c>
      <c r="D152" s="54">
        <v>38</v>
      </c>
      <c r="E152" s="54">
        <v>9</v>
      </c>
      <c r="F152" s="54">
        <v>14</v>
      </c>
      <c r="G152" s="54">
        <v>2</v>
      </c>
      <c r="H152" s="54">
        <v>7</v>
      </c>
    </row>
    <row r="153" spans="1:8" x14ac:dyDescent="0.2">
      <c r="A153" s="54" t="s">
        <v>216</v>
      </c>
      <c r="B153" s="54">
        <v>216820</v>
      </c>
      <c r="C153" s="54">
        <v>100</v>
      </c>
      <c r="D153" s="54">
        <v>115</v>
      </c>
      <c r="E153" s="54">
        <v>21</v>
      </c>
      <c r="F153" s="54">
        <v>0</v>
      </c>
      <c r="G153" s="54">
        <v>12</v>
      </c>
      <c r="H153" s="54">
        <v>185</v>
      </c>
    </row>
    <row r="154" spans="1:8" x14ac:dyDescent="0.2">
      <c r="A154" s="54" t="s">
        <v>217</v>
      </c>
      <c r="B154" s="54">
        <v>106135</v>
      </c>
      <c r="C154" s="54">
        <v>92</v>
      </c>
      <c r="D154" s="54">
        <v>145</v>
      </c>
      <c r="E154" s="54">
        <v>11</v>
      </c>
      <c r="F154" s="54">
        <v>0</v>
      </c>
      <c r="G154" s="54">
        <v>4</v>
      </c>
      <c r="H154" s="54">
        <v>19</v>
      </c>
    </row>
    <row r="155" spans="1:8" x14ac:dyDescent="0.2">
      <c r="A155" s="54" t="s">
        <v>218</v>
      </c>
      <c r="B155" s="54">
        <v>310911</v>
      </c>
      <c r="C155" s="54">
        <v>58</v>
      </c>
      <c r="D155" s="54">
        <v>51</v>
      </c>
      <c r="E155" s="54">
        <v>10</v>
      </c>
      <c r="F155" s="54">
        <v>0</v>
      </c>
      <c r="G155" s="54">
        <v>0</v>
      </c>
      <c r="H155" s="54">
        <v>0</v>
      </c>
    </row>
    <row r="156" spans="1:8" x14ac:dyDescent="0.2">
      <c r="A156" s="54" t="s">
        <v>219</v>
      </c>
      <c r="B156" s="54">
        <v>108500</v>
      </c>
      <c r="C156" s="54">
        <v>59</v>
      </c>
      <c r="D156" s="54">
        <v>92</v>
      </c>
      <c r="E156" s="54">
        <v>14</v>
      </c>
      <c r="F156" s="54">
        <v>51</v>
      </c>
      <c r="G156" s="54">
        <v>48</v>
      </c>
      <c r="H156" s="54">
        <v>56</v>
      </c>
    </row>
    <row r="157" spans="1:8" x14ac:dyDescent="0.2">
      <c r="A157" s="54" t="s">
        <v>220</v>
      </c>
      <c r="B157" s="54">
        <v>114759</v>
      </c>
      <c r="C157" s="54">
        <v>51</v>
      </c>
      <c r="D157" s="54">
        <v>67</v>
      </c>
      <c r="E157" s="54">
        <v>10</v>
      </c>
      <c r="F157" s="54">
        <v>7</v>
      </c>
      <c r="G157" s="54">
        <v>5</v>
      </c>
      <c r="H157" s="54">
        <v>14</v>
      </c>
    </row>
    <row r="158" spans="1:8" x14ac:dyDescent="0.2">
      <c r="A158" s="54" t="s">
        <v>221</v>
      </c>
      <c r="B158" s="54">
        <v>474623</v>
      </c>
      <c r="C158" s="54">
        <v>16</v>
      </c>
      <c r="D158" s="54">
        <v>31</v>
      </c>
      <c r="E158" s="54">
        <v>22</v>
      </c>
      <c r="F158" s="54">
        <v>0</v>
      </c>
      <c r="G158" s="54">
        <v>31</v>
      </c>
      <c r="H158" s="54">
        <v>7</v>
      </c>
    </row>
    <row r="159" spans="1:8" x14ac:dyDescent="0.2">
      <c r="A159" s="54" t="s">
        <v>222</v>
      </c>
      <c r="B159" s="54">
        <v>109294</v>
      </c>
      <c r="C159" s="54">
        <v>62</v>
      </c>
      <c r="D159" s="54">
        <v>26</v>
      </c>
      <c r="E159" s="54">
        <v>9</v>
      </c>
      <c r="F159" s="54">
        <v>0</v>
      </c>
      <c r="G159" s="54">
        <v>5</v>
      </c>
      <c r="H159" s="54">
        <v>1</v>
      </c>
    </row>
    <row r="160" spans="1:8" x14ac:dyDescent="0.2">
      <c r="A160" s="54" t="s">
        <v>223</v>
      </c>
      <c r="B160" s="54">
        <v>484843</v>
      </c>
      <c r="C160" s="54">
        <v>111</v>
      </c>
      <c r="D160" s="54">
        <v>675</v>
      </c>
      <c r="E160" s="54">
        <v>16</v>
      </c>
      <c r="F160" s="54">
        <v>71</v>
      </c>
      <c r="G160" s="54">
        <v>81</v>
      </c>
      <c r="H160" s="54">
        <v>121</v>
      </c>
    </row>
    <row r="161" spans="1:8" x14ac:dyDescent="0.2">
      <c r="A161" s="54" t="s">
        <v>224</v>
      </c>
      <c r="B161" s="54">
        <v>135368</v>
      </c>
      <c r="C161" s="54">
        <v>139</v>
      </c>
      <c r="D161" s="54">
        <v>129</v>
      </c>
      <c r="E161" s="54">
        <v>13</v>
      </c>
      <c r="F161" s="54">
        <v>0</v>
      </c>
      <c r="G161" s="54">
        <v>7</v>
      </c>
      <c r="H161" s="54">
        <v>4</v>
      </c>
    </row>
    <row r="162" spans="1:8" x14ac:dyDescent="0.2">
      <c r="A162" s="54" t="s">
        <v>225</v>
      </c>
      <c r="B162" s="54">
        <v>113592</v>
      </c>
      <c r="C162" s="54">
        <v>22</v>
      </c>
      <c r="D162" s="54">
        <v>320</v>
      </c>
      <c r="E162" s="54">
        <v>11</v>
      </c>
      <c r="F162" s="54">
        <v>81</v>
      </c>
      <c r="G162" s="54">
        <v>259</v>
      </c>
      <c r="H162" s="54">
        <v>0</v>
      </c>
    </row>
    <row r="163" spans="1:8" x14ac:dyDescent="0.2">
      <c r="A163" s="54" t="s">
        <v>226</v>
      </c>
      <c r="B163" s="54">
        <v>109806</v>
      </c>
      <c r="C163" s="54">
        <v>75</v>
      </c>
      <c r="D163" s="54">
        <v>71</v>
      </c>
      <c r="E163" s="54">
        <v>33</v>
      </c>
      <c r="F163" s="54">
        <v>0</v>
      </c>
      <c r="G163" s="54">
        <v>0</v>
      </c>
      <c r="H163" s="54">
        <v>220</v>
      </c>
    </row>
    <row r="164" spans="1:8" x14ac:dyDescent="0.2">
      <c r="A164" s="54" t="s">
        <v>227</v>
      </c>
      <c r="B164" s="54">
        <v>106896</v>
      </c>
      <c r="C164" s="54">
        <v>1515</v>
      </c>
      <c r="D164" s="54">
        <v>1210</v>
      </c>
      <c r="E164" s="54">
        <v>7</v>
      </c>
      <c r="F164" s="54">
        <v>0</v>
      </c>
      <c r="G164" s="54">
        <v>1</v>
      </c>
      <c r="H164" s="54">
        <v>0</v>
      </c>
    </row>
    <row r="165" spans="1:8" x14ac:dyDescent="0.2">
      <c r="A165" s="54" t="s">
        <v>228</v>
      </c>
      <c r="B165" s="54">
        <v>157831</v>
      </c>
      <c r="C165" s="54">
        <v>5</v>
      </c>
      <c r="D165" s="54">
        <v>70</v>
      </c>
      <c r="E165" s="54">
        <v>9</v>
      </c>
      <c r="F165" s="54">
        <v>0</v>
      </c>
      <c r="G165" s="54">
        <v>0</v>
      </c>
      <c r="H165" s="54">
        <v>0</v>
      </c>
    </row>
    <row r="166" spans="1:8" x14ac:dyDescent="0.2">
      <c r="A166" s="54" t="s">
        <v>229</v>
      </c>
      <c r="B166" s="54">
        <v>116147</v>
      </c>
      <c r="C166" s="54">
        <v>128</v>
      </c>
      <c r="D166" s="54">
        <v>190</v>
      </c>
      <c r="E166" s="54">
        <v>10</v>
      </c>
      <c r="F166" s="54">
        <v>0</v>
      </c>
      <c r="G166" s="54">
        <v>0</v>
      </c>
      <c r="H166" s="54">
        <v>0</v>
      </c>
    </row>
    <row r="167" spans="1:8" x14ac:dyDescent="0.2">
      <c r="A167" s="54" t="s">
        <v>230</v>
      </c>
      <c r="B167" s="54">
        <v>147636</v>
      </c>
      <c r="C167" s="54">
        <v>91</v>
      </c>
      <c r="D167" s="54">
        <v>97</v>
      </c>
      <c r="E167" s="54">
        <v>13</v>
      </c>
      <c r="F167" s="54">
        <v>11</v>
      </c>
      <c r="G167" s="54">
        <v>3</v>
      </c>
      <c r="H167" s="54">
        <v>50</v>
      </c>
    </row>
    <row r="168" spans="1:8" x14ac:dyDescent="0.2">
      <c r="A168" s="54" t="s">
        <v>231</v>
      </c>
      <c r="B168" s="54">
        <v>108566</v>
      </c>
      <c r="C168" s="54">
        <v>20</v>
      </c>
      <c r="D168" s="54">
        <v>550</v>
      </c>
      <c r="E168" s="54">
        <v>10</v>
      </c>
      <c r="F168" s="54">
        <v>0</v>
      </c>
      <c r="G168" s="54">
        <v>4</v>
      </c>
      <c r="H168" s="54">
        <v>8</v>
      </c>
    </row>
    <row r="169" spans="1:8" x14ac:dyDescent="0.2">
      <c r="A169" s="54" t="s">
        <v>232</v>
      </c>
      <c r="B169" s="54">
        <v>108276</v>
      </c>
      <c r="C169" s="54">
        <v>38</v>
      </c>
      <c r="D169" s="54">
        <v>46</v>
      </c>
      <c r="E169" s="54">
        <v>46</v>
      </c>
      <c r="F169" s="54">
        <v>15</v>
      </c>
      <c r="G169" s="54">
        <v>4</v>
      </c>
      <c r="H169" s="54">
        <v>19</v>
      </c>
    </row>
    <row r="170" spans="1:8" x14ac:dyDescent="0.2">
      <c r="A170" s="54" t="s">
        <v>233</v>
      </c>
      <c r="B170" s="54">
        <v>113390</v>
      </c>
      <c r="C170" s="54">
        <v>120</v>
      </c>
      <c r="D170" s="54">
        <v>180</v>
      </c>
      <c r="E170" s="54">
        <v>7</v>
      </c>
      <c r="F170" s="54">
        <v>0</v>
      </c>
      <c r="G170" s="54">
        <v>0</v>
      </c>
      <c r="H170" s="54">
        <v>3</v>
      </c>
    </row>
    <row r="171" spans="1:8" x14ac:dyDescent="0.2">
      <c r="A171" s="54" t="s">
        <v>234</v>
      </c>
      <c r="B171" s="54">
        <v>106750</v>
      </c>
      <c r="C171" s="54">
        <v>1</v>
      </c>
      <c r="D171" s="54">
        <v>37</v>
      </c>
      <c r="E171" s="54">
        <v>9</v>
      </c>
      <c r="F171" s="54">
        <v>0</v>
      </c>
      <c r="G171" s="54">
        <v>0</v>
      </c>
      <c r="H171" s="54">
        <v>0</v>
      </c>
    </row>
    <row r="172" spans="1:8" x14ac:dyDescent="0.2">
      <c r="A172" s="54" t="s">
        <v>235</v>
      </c>
      <c r="B172" s="54">
        <v>109207</v>
      </c>
      <c r="C172" s="54">
        <v>162</v>
      </c>
      <c r="D172" s="54">
        <v>166</v>
      </c>
      <c r="E172" s="54">
        <v>50</v>
      </c>
      <c r="F172" s="54">
        <v>0</v>
      </c>
      <c r="G172" s="54">
        <v>82</v>
      </c>
      <c r="H172" s="54">
        <v>61</v>
      </c>
    </row>
    <row r="173" spans="1:8" x14ac:dyDescent="0.2">
      <c r="A173" s="54" t="s">
        <v>236</v>
      </c>
      <c r="B173" s="54">
        <v>145461</v>
      </c>
      <c r="C173" s="54">
        <v>54</v>
      </c>
      <c r="D173" s="54">
        <v>64</v>
      </c>
      <c r="E173" s="54">
        <v>20</v>
      </c>
      <c r="F173" s="54">
        <v>0</v>
      </c>
      <c r="G173" s="54">
        <v>0</v>
      </c>
      <c r="H173" s="54">
        <v>0</v>
      </c>
    </row>
    <row r="174" spans="1:8" x14ac:dyDescent="0.2">
      <c r="A174" s="54" t="s">
        <v>237</v>
      </c>
      <c r="B174" s="54">
        <v>112596</v>
      </c>
      <c r="C174" s="54">
        <v>3</v>
      </c>
      <c r="D174" s="54">
        <v>90</v>
      </c>
      <c r="E174" s="54">
        <v>8</v>
      </c>
      <c r="F174" s="54">
        <v>0</v>
      </c>
      <c r="G174" s="54">
        <v>0</v>
      </c>
      <c r="H174" s="54">
        <v>0</v>
      </c>
    </row>
    <row r="175" spans="1:8" x14ac:dyDescent="0.2">
      <c r="A175" s="54" t="s">
        <v>238</v>
      </c>
      <c r="B175" s="54">
        <v>138516</v>
      </c>
      <c r="C175" s="54">
        <v>140</v>
      </c>
      <c r="D175" s="54">
        <v>168</v>
      </c>
      <c r="E175" s="54">
        <v>20</v>
      </c>
      <c r="F175" s="54">
        <v>70</v>
      </c>
      <c r="G175" s="54">
        <v>100</v>
      </c>
      <c r="H175" s="54">
        <v>50</v>
      </c>
    </row>
    <row r="176" spans="1:8" x14ac:dyDescent="0.2">
      <c r="A176" s="54" t="s">
        <v>239</v>
      </c>
      <c r="B176" s="54">
        <v>105506</v>
      </c>
      <c r="C176" s="54">
        <v>394</v>
      </c>
      <c r="D176" s="54">
        <v>364</v>
      </c>
      <c r="E176" s="54">
        <v>13</v>
      </c>
      <c r="F176" s="54">
        <v>0</v>
      </c>
      <c r="G176" s="54">
        <v>16</v>
      </c>
      <c r="H176" s="54">
        <v>36</v>
      </c>
    </row>
    <row r="177" spans="1:8" x14ac:dyDescent="0.2">
      <c r="A177" s="54" t="s">
        <v>240</v>
      </c>
      <c r="B177" s="54">
        <v>106297</v>
      </c>
      <c r="C177" s="54">
        <v>296</v>
      </c>
      <c r="D177" s="54">
        <v>235</v>
      </c>
      <c r="E177" s="54">
        <v>21</v>
      </c>
      <c r="F177" s="54">
        <v>0</v>
      </c>
      <c r="G177" s="54">
        <v>0</v>
      </c>
      <c r="H177" s="54">
        <v>0</v>
      </c>
    </row>
    <row r="178" spans="1:8" x14ac:dyDescent="0.2">
      <c r="A178" s="54" t="s">
        <v>241</v>
      </c>
      <c r="B178" s="54">
        <v>316716</v>
      </c>
      <c r="C178" s="54">
        <v>724</v>
      </c>
      <c r="D178" s="54">
        <v>580</v>
      </c>
      <c r="E178" s="54">
        <v>28</v>
      </c>
      <c r="F178" s="54">
        <v>6</v>
      </c>
      <c r="G178" s="54">
        <v>0</v>
      </c>
      <c r="H178" s="54">
        <v>51</v>
      </c>
    </row>
    <row r="179" spans="1:8" x14ac:dyDescent="0.2">
      <c r="A179" s="54" t="s">
        <v>242</v>
      </c>
      <c r="B179" s="54">
        <v>156561</v>
      </c>
      <c r="C179" s="54">
        <v>49</v>
      </c>
      <c r="D179" s="54">
        <v>37</v>
      </c>
      <c r="E179" s="54">
        <v>9</v>
      </c>
      <c r="F179" s="54">
        <v>32</v>
      </c>
      <c r="G179" s="54">
        <v>55</v>
      </c>
      <c r="H179" s="54">
        <v>43</v>
      </c>
    </row>
    <row r="180" spans="1:8" x14ac:dyDescent="0.2">
      <c r="A180" s="54" t="s">
        <v>243</v>
      </c>
      <c r="B180" s="54">
        <v>110594</v>
      </c>
      <c r="C180" s="54">
        <v>399</v>
      </c>
      <c r="D180" s="54">
        <v>385</v>
      </c>
      <c r="E180" s="54">
        <v>6</v>
      </c>
      <c r="F180" s="54">
        <v>0</v>
      </c>
      <c r="G180" s="54">
        <v>169</v>
      </c>
      <c r="H180" s="54">
        <v>0</v>
      </c>
    </row>
    <row r="181" spans="1:8" x14ac:dyDescent="0.2">
      <c r="A181" s="54" t="s">
        <v>244</v>
      </c>
      <c r="B181" s="54">
        <v>114833</v>
      </c>
      <c r="C181" s="54">
        <v>50</v>
      </c>
      <c r="D181" s="54">
        <v>34</v>
      </c>
      <c r="E181" s="54">
        <v>9</v>
      </c>
      <c r="F181" s="54">
        <v>0</v>
      </c>
      <c r="G181" s="54">
        <v>0</v>
      </c>
      <c r="H181" s="54">
        <v>0</v>
      </c>
    </row>
    <row r="182" spans="1:8" x14ac:dyDescent="0.2">
      <c r="A182" s="54" t="s">
        <v>245</v>
      </c>
      <c r="B182" s="54">
        <v>156843</v>
      </c>
      <c r="C182" s="54">
        <v>43</v>
      </c>
      <c r="D182" s="54">
        <v>36</v>
      </c>
      <c r="E182" s="54">
        <v>9</v>
      </c>
      <c r="F182" s="54">
        <v>0</v>
      </c>
      <c r="G182" s="54">
        <v>0</v>
      </c>
      <c r="H182" s="54">
        <v>0</v>
      </c>
    </row>
    <row r="183" spans="1:8" x14ac:dyDescent="0.2">
      <c r="A183" s="54" t="s">
        <v>246</v>
      </c>
      <c r="B183" s="54">
        <v>223835</v>
      </c>
      <c r="C183" s="54">
        <v>147</v>
      </c>
      <c r="D183" s="54">
        <v>80</v>
      </c>
      <c r="E183" s="54">
        <v>7</v>
      </c>
      <c r="F183" s="54">
        <v>12</v>
      </c>
      <c r="G183" s="54">
        <v>10</v>
      </c>
      <c r="H183" s="54">
        <v>284</v>
      </c>
    </row>
    <row r="184" spans="1:8" x14ac:dyDescent="0.2">
      <c r="A184" s="54" t="s">
        <v>247</v>
      </c>
      <c r="B184" s="54">
        <v>118223</v>
      </c>
      <c r="C184" s="54">
        <v>183</v>
      </c>
      <c r="D184" s="54">
        <v>186</v>
      </c>
      <c r="E184" s="54">
        <v>25</v>
      </c>
      <c r="F184" s="54">
        <v>6</v>
      </c>
      <c r="G184" s="54">
        <v>0</v>
      </c>
      <c r="H184" s="54">
        <v>0</v>
      </c>
    </row>
    <row r="185" spans="1:8" x14ac:dyDescent="0.2">
      <c r="A185" s="54" t="s">
        <v>248</v>
      </c>
      <c r="B185" s="54">
        <v>113410</v>
      </c>
      <c r="C185" s="54">
        <v>552</v>
      </c>
      <c r="D185" s="54">
        <v>457</v>
      </c>
      <c r="E185" s="54">
        <v>34</v>
      </c>
      <c r="F185" s="54">
        <v>159</v>
      </c>
      <c r="G185" s="54">
        <v>8</v>
      </c>
      <c r="H185" s="54">
        <v>72</v>
      </c>
    </row>
    <row r="186" spans="1:8" x14ac:dyDescent="0.2">
      <c r="A186" s="54" t="s">
        <v>249</v>
      </c>
      <c r="B186" s="54">
        <v>112546</v>
      </c>
      <c r="C186" s="54">
        <v>82</v>
      </c>
      <c r="D186" s="54">
        <v>130</v>
      </c>
      <c r="E186" s="54">
        <v>10</v>
      </c>
      <c r="F186" s="54">
        <v>5</v>
      </c>
      <c r="G186" s="54">
        <v>0</v>
      </c>
      <c r="H186" s="54">
        <v>339</v>
      </c>
    </row>
    <row r="187" spans="1:8" x14ac:dyDescent="0.2">
      <c r="A187" s="54" t="s">
        <v>250</v>
      </c>
      <c r="B187" s="54">
        <v>112610</v>
      </c>
      <c r="C187" s="54">
        <v>144</v>
      </c>
      <c r="D187" s="54">
        <v>126</v>
      </c>
      <c r="E187" s="54">
        <v>10</v>
      </c>
      <c r="F187" s="54">
        <v>8</v>
      </c>
      <c r="G187" s="54">
        <v>0</v>
      </c>
      <c r="H187" s="54">
        <v>0</v>
      </c>
    </row>
    <row r="188" spans="1:8" x14ac:dyDescent="0.2">
      <c r="A188" s="54" t="s">
        <v>251</v>
      </c>
      <c r="B188" s="54">
        <v>467119</v>
      </c>
      <c r="C188" s="54">
        <v>164</v>
      </c>
      <c r="D188" s="54">
        <v>140</v>
      </c>
      <c r="E188" s="54">
        <v>14</v>
      </c>
      <c r="F188" s="54">
        <v>21</v>
      </c>
      <c r="G188" s="54">
        <v>293</v>
      </c>
      <c r="H188" s="54">
        <v>26</v>
      </c>
    </row>
    <row r="189" spans="1:8" x14ac:dyDescent="0.2">
      <c r="A189" s="54" t="s">
        <v>252</v>
      </c>
      <c r="B189" s="54">
        <v>106304</v>
      </c>
      <c r="C189" s="54">
        <v>6053</v>
      </c>
      <c r="D189" s="54">
        <v>3197</v>
      </c>
      <c r="E189" s="54">
        <v>19</v>
      </c>
      <c r="F189" s="54">
        <v>17</v>
      </c>
      <c r="G189" s="54">
        <v>7</v>
      </c>
      <c r="H189" s="54">
        <v>0</v>
      </c>
    </row>
    <row r="190" spans="1:8" x14ac:dyDescent="0.2">
      <c r="A190" s="54" t="s">
        <v>253</v>
      </c>
      <c r="B190" s="54">
        <v>112545</v>
      </c>
      <c r="C190" s="54">
        <v>25</v>
      </c>
      <c r="D190" s="54">
        <v>15</v>
      </c>
      <c r="E190" s="54">
        <v>10</v>
      </c>
      <c r="F190" s="54">
        <v>0</v>
      </c>
      <c r="G190" s="54">
        <v>2</v>
      </c>
      <c r="H190" s="54">
        <v>0</v>
      </c>
    </row>
    <row r="191" spans="1:8" x14ac:dyDescent="0.2">
      <c r="A191" s="54" t="s">
        <v>254</v>
      </c>
      <c r="B191" s="54">
        <v>543347</v>
      </c>
      <c r="C191" s="54">
        <v>28</v>
      </c>
      <c r="D191" s="54">
        <v>104</v>
      </c>
      <c r="E191" s="54">
        <v>20</v>
      </c>
      <c r="F191" s="54">
        <v>0</v>
      </c>
      <c r="G191" s="54">
        <v>0</v>
      </c>
      <c r="H191" s="54">
        <v>0</v>
      </c>
    </row>
    <row r="192" spans="1:8" x14ac:dyDescent="0.2">
      <c r="A192" s="54" t="s">
        <v>255</v>
      </c>
      <c r="B192" s="54">
        <v>132962</v>
      </c>
      <c r="C192" s="54">
        <v>123</v>
      </c>
      <c r="D192" s="54">
        <v>120</v>
      </c>
      <c r="E192" s="54">
        <v>14</v>
      </c>
      <c r="F192" s="54">
        <v>7</v>
      </c>
      <c r="G192" s="54">
        <v>0</v>
      </c>
      <c r="H192" s="54">
        <v>3</v>
      </c>
    </row>
    <row r="193" spans="1:8" x14ac:dyDescent="0.2">
      <c r="A193" s="54" t="s">
        <v>256</v>
      </c>
      <c r="B193" s="54">
        <v>105904</v>
      </c>
      <c r="C193" s="54">
        <v>45</v>
      </c>
      <c r="D193" s="54">
        <v>46</v>
      </c>
      <c r="E193" s="54">
        <v>7</v>
      </c>
      <c r="F193" s="54">
        <v>14</v>
      </c>
      <c r="G193" s="54">
        <v>0</v>
      </c>
      <c r="H193" s="54">
        <v>147</v>
      </c>
    </row>
    <row r="194" spans="1:8" x14ac:dyDescent="0.2">
      <c r="A194" s="54" t="s">
        <v>257</v>
      </c>
      <c r="B194" s="54">
        <v>108869</v>
      </c>
      <c r="C194" s="54">
        <v>85</v>
      </c>
      <c r="D194" s="54">
        <v>97</v>
      </c>
      <c r="E194" s="54">
        <v>41</v>
      </c>
      <c r="F194" s="54">
        <v>13</v>
      </c>
      <c r="G194" s="54">
        <v>171</v>
      </c>
      <c r="H194" s="54">
        <v>0</v>
      </c>
    </row>
    <row r="195" spans="1:8" x14ac:dyDescent="0.2">
      <c r="A195" s="54" t="s">
        <v>258</v>
      </c>
      <c r="B195" s="54">
        <v>105756</v>
      </c>
      <c r="C195" s="54">
        <v>195</v>
      </c>
      <c r="D195" s="54">
        <v>271</v>
      </c>
      <c r="E195" s="54">
        <v>9</v>
      </c>
      <c r="F195" s="54">
        <v>9</v>
      </c>
      <c r="G195" s="54">
        <v>0</v>
      </c>
      <c r="H195" s="54">
        <v>95</v>
      </c>
    </row>
    <row r="196" spans="1:8" x14ac:dyDescent="0.2">
      <c r="A196" s="54" t="s">
        <v>259</v>
      </c>
      <c r="B196" s="54">
        <v>108109</v>
      </c>
      <c r="C196" s="54">
        <v>499</v>
      </c>
      <c r="D196" s="54">
        <v>470</v>
      </c>
      <c r="E196" s="54">
        <v>40</v>
      </c>
      <c r="F196" s="54">
        <v>1</v>
      </c>
      <c r="G196" s="54">
        <v>14</v>
      </c>
      <c r="H196" s="54">
        <v>41</v>
      </c>
    </row>
    <row r="197" spans="1:8" x14ac:dyDescent="0.2">
      <c r="A197" s="54" t="s">
        <v>260</v>
      </c>
      <c r="B197" s="54">
        <v>105779</v>
      </c>
      <c r="C197" s="54">
        <v>446</v>
      </c>
      <c r="D197" s="54">
        <v>268</v>
      </c>
      <c r="E197" s="54">
        <v>18</v>
      </c>
      <c r="F197" s="54">
        <v>0</v>
      </c>
      <c r="G197" s="54">
        <v>0</v>
      </c>
      <c r="H197" s="54">
        <v>5</v>
      </c>
    </row>
    <row r="198" spans="1:8" x14ac:dyDescent="0.2">
      <c r="A198" s="54" t="s">
        <v>261</v>
      </c>
      <c r="B198" s="54">
        <v>106000</v>
      </c>
      <c r="C198" s="54">
        <v>1800</v>
      </c>
      <c r="D198" s="54">
        <v>2337</v>
      </c>
      <c r="E198" s="54">
        <v>33</v>
      </c>
      <c r="F198" s="54">
        <v>82</v>
      </c>
      <c r="G198" s="54">
        <v>52</v>
      </c>
      <c r="H198" s="54">
        <v>0</v>
      </c>
    </row>
    <row r="199" spans="1:8" x14ac:dyDescent="0.2">
      <c r="A199" s="54" t="s">
        <v>262</v>
      </c>
      <c r="B199" s="54">
        <v>106346</v>
      </c>
      <c r="C199" s="54">
        <v>1340</v>
      </c>
      <c r="D199" s="54">
        <v>1200</v>
      </c>
      <c r="E199" s="54">
        <v>47</v>
      </c>
      <c r="F199" s="54">
        <v>11</v>
      </c>
      <c r="G199" s="54">
        <v>0</v>
      </c>
      <c r="H199" s="54">
        <v>0</v>
      </c>
    </row>
    <row r="200" spans="1:8" x14ac:dyDescent="0.2">
      <c r="A200" s="54" t="s">
        <v>263</v>
      </c>
      <c r="B200" s="54">
        <v>309704</v>
      </c>
      <c r="C200" s="54">
        <v>198</v>
      </c>
      <c r="D200" s="54">
        <v>157</v>
      </c>
      <c r="E200" s="54">
        <v>41</v>
      </c>
      <c r="F200" s="54">
        <v>9</v>
      </c>
      <c r="G200" s="54">
        <v>54</v>
      </c>
      <c r="H200" s="54">
        <v>80</v>
      </c>
    </row>
    <row r="201" spans="1:8" x14ac:dyDescent="0.2">
      <c r="A201" s="54" t="s">
        <v>264</v>
      </c>
      <c r="B201" s="54">
        <v>551353</v>
      </c>
      <c r="C201" s="54">
        <v>85</v>
      </c>
      <c r="D201" s="54">
        <v>85</v>
      </c>
      <c r="E201" s="54">
        <v>12</v>
      </c>
      <c r="F201" s="54">
        <v>46</v>
      </c>
      <c r="G201" s="54">
        <v>0</v>
      </c>
      <c r="H201" s="54">
        <v>1</v>
      </c>
    </row>
    <row r="202" spans="1:8" x14ac:dyDescent="0.2">
      <c r="A202" s="54" t="s">
        <v>265</v>
      </c>
      <c r="B202" s="54" t="s">
        <v>266</v>
      </c>
      <c r="C202" s="54">
        <v>0</v>
      </c>
      <c r="D202" s="54">
        <v>42</v>
      </c>
      <c r="E202" s="54">
        <v>21</v>
      </c>
      <c r="F202" s="54">
        <v>0</v>
      </c>
      <c r="G202" s="54">
        <v>47</v>
      </c>
      <c r="H202" s="54">
        <v>35</v>
      </c>
    </row>
    <row r="203" spans="1:8" x14ac:dyDescent="0.2">
      <c r="A203" s="54" t="s">
        <v>267</v>
      </c>
      <c r="B203" s="54">
        <v>112177</v>
      </c>
      <c r="C203" s="54">
        <v>78</v>
      </c>
      <c r="D203" s="54">
        <v>5</v>
      </c>
      <c r="E203" s="54">
        <v>47</v>
      </c>
      <c r="F203" s="54">
        <v>0</v>
      </c>
      <c r="G203" s="54">
        <v>0</v>
      </c>
      <c r="H203" s="54">
        <v>152</v>
      </c>
    </row>
    <row r="204" spans="1:8" x14ac:dyDescent="0.2">
      <c r="A204" s="54" t="s">
        <v>268</v>
      </c>
      <c r="B204" s="54">
        <v>107430</v>
      </c>
      <c r="C204" s="54">
        <v>7</v>
      </c>
      <c r="D204" s="54">
        <v>34</v>
      </c>
      <c r="E204" s="54">
        <v>9</v>
      </c>
      <c r="F204" s="54">
        <v>77</v>
      </c>
      <c r="G204" s="54">
        <v>45</v>
      </c>
      <c r="H204" s="54">
        <v>3</v>
      </c>
    </row>
    <row r="205" spans="1:8" x14ac:dyDescent="0.2">
      <c r="A205" s="54" t="s">
        <v>269</v>
      </c>
      <c r="B205" s="54">
        <v>108354</v>
      </c>
      <c r="C205" s="54">
        <v>35</v>
      </c>
      <c r="D205" s="54">
        <v>35</v>
      </c>
      <c r="E205" s="54">
        <v>10</v>
      </c>
      <c r="F205" s="54">
        <v>1</v>
      </c>
      <c r="G205" s="54">
        <v>0</v>
      </c>
      <c r="H205" s="54">
        <v>0</v>
      </c>
    </row>
    <row r="206" spans="1:8" x14ac:dyDescent="0.2">
      <c r="A206" s="54" t="s">
        <v>270</v>
      </c>
      <c r="B206" s="54">
        <v>144320</v>
      </c>
      <c r="C206" s="54">
        <v>148</v>
      </c>
      <c r="D206" s="54">
        <v>126</v>
      </c>
      <c r="E206" s="54">
        <v>14</v>
      </c>
      <c r="F206" s="54">
        <v>0</v>
      </c>
      <c r="G206" s="54">
        <v>39</v>
      </c>
      <c r="H206" s="54">
        <v>40</v>
      </c>
    </row>
    <row r="207" spans="1:8" x14ac:dyDescent="0.2">
      <c r="A207" s="54" t="s">
        <v>271</v>
      </c>
      <c r="B207" s="54">
        <v>132066</v>
      </c>
      <c r="C207" s="54">
        <v>133</v>
      </c>
      <c r="D207" s="54">
        <v>140</v>
      </c>
      <c r="E207" s="54">
        <v>25</v>
      </c>
      <c r="F207" s="54">
        <v>12</v>
      </c>
      <c r="G207" s="54">
        <v>20</v>
      </c>
      <c r="H207" s="54">
        <v>0</v>
      </c>
    </row>
    <row r="208" spans="1:8" x14ac:dyDescent="0.2">
      <c r="A208" s="54" t="s">
        <v>272</v>
      </c>
      <c r="B208" s="54">
        <v>112044</v>
      </c>
      <c r="C208" s="54">
        <v>162</v>
      </c>
      <c r="D208" s="54">
        <v>150</v>
      </c>
      <c r="E208" s="54">
        <v>8</v>
      </c>
      <c r="F208" s="54">
        <v>0</v>
      </c>
      <c r="G208" s="54">
        <v>10</v>
      </c>
      <c r="H208" s="54">
        <v>54</v>
      </c>
    </row>
    <row r="209" spans="1:8" x14ac:dyDescent="0.2">
      <c r="A209" s="54" t="s">
        <v>273</v>
      </c>
      <c r="B209" s="54">
        <v>106774</v>
      </c>
      <c r="C209" s="54">
        <v>1018</v>
      </c>
      <c r="D209" s="54">
        <v>998</v>
      </c>
      <c r="E209" s="54">
        <v>25</v>
      </c>
      <c r="F209" s="54">
        <v>41</v>
      </c>
      <c r="G209" s="54">
        <v>30</v>
      </c>
      <c r="H209" s="54">
        <v>2</v>
      </c>
    </row>
    <row r="210" spans="1:8" x14ac:dyDescent="0.2">
      <c r="A210" s="54" t="s">
        <v>274</v>
      </c>
      <c r="B210" s="54">
        <v>114264</v>
      </c>
      <c r="C210" s="54">
        <v>3</v>
      </c>
      <c r="D210" s="54">
        <v>90</v>
      </c>
      <c r="E210" s="54">
        <v>11</v>
      </c>
      <c r="F210" s="54">
        <v>4</v>
      </c>
      <c r="G210" s="54">
        <v>0</v>
      </c>
      <c r="H210" s="54">
        <v>0</v>
      </c>
    </row>
    <row r="211" spans="1:8" x14ac:dyDescent="0.2">
      <c r="A211" s="54" t="s">
        <v>275</v>
      </c>
      <c r="B211" s="54">
        <v>108635</v>
      </c>
      <c r="C211" s="54">
        <v>41</v>
      </c>
      <c r="D211" s="54">
        <v>109</v>
      </c>
      <c r="E211" s="54">
        <v>11</v>
      </c>
      <c r="F211" s="54">
        <v>4</v>
      </c>
      <c r="G211" s="54">
        <v>6</v>
      </c>
      <c r="H211" s="54">
        <v>0</v>
      </c>
    </row>
    <row r="212" spans="1:8" x14ac:dyDescent="0.2">
      <c r="A212" s="54" t="s">
        <v>276</v>
      </c>
      <c r="B212" s="54">
        <v>114763</v>
      </c>
      <c r="C212" s="54">
        <v>54</v>
      </c>
      <c r="D212" s="54">
        <v>45</v>
      </c>
      <c r="E212" s="54">
        <v>11</v>
      </c>
      <c r="F212" s="54">
        <v>0</v>
      </c>
      <c r="G212" s="54">
        <v>18</v>
      </c>
      <c r="H212" s="54">
        <v>0</v>
      </c>
    </row>
    <row r="213" spans="1:8" x14ac:dyDescent="0.2">
      <c r="A213" s="54" t="s">
        <v>277</v>
      </c>
      <c r="B213" s="54">
        <v>205360</v>
      </c>
      <c r="C213" s="54">
        <v>356</v>
      </c>
      <c r="D213" s="54">
        <v>320</v>
      </c>
      <c r="E213" s="54">
        <v>14</v>
      </c>
      <c r="F213" s="54">
        <v>0</v>
      </c>
      <c r="G213" s="54">
        <v>0</v>
      </c>
      <c r="H213" s="54">
        <v>1</v>
      </c>
    </row>
    <row r="214" spans="1:8" x14ac:dyDescent="0.2">
      <c r="A214" s="54" t="s">
        <v>278</v>
      </c>
      <c r="B214" s="54">
        <v>106516</v>
      </c>
      <c r="C214" s="54">
        <v>101</v>
      </c>
      <c r="D214" s="54">
        <v>80</v>
      </c>
      <c r="E214" s="54">
        <v>26</v>
      </c>
      <c r="F214" s="54">
        <v>10</v>
      </c>
      <c r="G214" s="54">
        <v>7</v>
      </c>
      <c r="H214" s="54">
        <v>12</v>
      </c>
    </row>
    <row r="215" spans="1:8" x14ac:dyDescent="0.2">
      <c r="A215" s="54" t="s">
        <v>279</v>
      </c>
      <c r="B215" s="54">
        <v>109265</v>
      </c>
      <c r="C215" s="54">
        <v>445</v>
      </c>
      <c r="D215" s="54">
        <v>300</v>
      </c>
      <c r="E215" s="54">
        <v>25</v>
      </c>
      <c r="F215" s="54">
        <v>18</v>
      </c>
      <c r="G215" s="54">
        <v>40</v>
      </c>
      <c r="H215" s="54">
        <v>34</v>
      </c>
    </row>
    <row r="216" spans="1:8" x14ac:dyDescent="0.2">
      <c r="A216" s="54" t="s">
        <v>280</v>
      </c>
      <c r="B216" s="54">
        <v>109267</v>
      </c>
      <c r="C216" s="54">
        <v>55</v>
      </c>
      <c r="D216" s="54">
        <v>252</v>
      </c>
      <c r="E216" s="54">
        <v>49</v>
      </c>
      <c r="F216" s="54">
        <v>0</v>
      </c>
      <c r="G216" s="54">
        <v>0</v>
      </c>
      <c r="H216" s="54">
        <v>198</v>
      </c>
    </row>
    <row r="217" spans="1:8" x14ac:dyDescent="0.2">
      <c r="A217" s="54" t="s">
        <v>281</v>
      </c>
      <c r="B217" s="54">
        <v>116046</v>
      </c>
      <c r="C217" s="54">
        <v>242</v>
      </c>
      <c r="D217" s="54">
        <v>220</v>
      </c>
      <c r="E217" s="54">
        <v>16</v>
      </c>
      <c r="F217" s="54">
        <v>6</v>
      </c>
      <c r="G217" s="54">
        <v>34</v>
      </c>
      <c r="H217" s="54">
        <v>8</v>
      </c>
    </row>
    <row r="218" spans="1:8" x14ac:dyDescent="0.2">
      <c r="A218" s="54" t="s">
        <v>282</v>
      </c>
      <c r="B218" s="54">
        <v>160259</v>
      </c>
      <c r="C218" s="54">
        <v>84</v>
      </c>
      <c r="D218" s="54">
        <v>77</v>
      </c>
      <c r="E218" s="54">
        <v>35</v>
      </c>
      <c r="F218" s="54">
        <v>0</v>
      </c>
      <c r="G218" s="54">
        <v>0</v>
      </c>
      <c r="H218" s="54">
        <v>0</v>
      </c>
    </row>
    <row r="219" spans="1:8" x14ac:dyDescent="0.2">
      <c r="A219" s="54" t="s">
        <v>283</v>
      </c>
      <c r="B219" s="54">
        <v>107887</v>
      </c>
      <c r="C219" s="54">
        <v>2281</v>
      </c>
      <c r="D219" s="54">
        <v>2300</v>
      </c>
      <c r="E219" s="54">
        <v>27</v>
      </c>
      <c r="F219" s="54">
        <v>0</v>
      </c>
      <c r="G219" s="54">
        <v>2</v>
      </c>
      <c r="H219" s="54">
        <v>0</v>
      </c>
    </row>
    <row r="220" spans="1:8" x14ac:dyDescent="0.2">
      <c r="A220" s="54" t="s">
        <v>284</v>
      </c>
      <c r="B220" s="54">
        <v>477587</v>
      </c>
      <c r="C220" s="54">
        <v>10</v>
      </c>
      <c r="D220" s="54">
        <v>10</v>
      </c>
      <c r="E220" s="54">
        <v>9</v>
      </c>
      <c r="F220" s="54">
        <v>0</v>
      </c>
      <c r="G220" s="54">
        <v>7</v>
      </c>
      <c r="H220" s="54">
        <v>27</v>
      </c>
    </row>
    <row r="221" spans="1:8" x14ac:dyDescent="0.2">
      <c r="A221" s="54" t="s">
        <v>285</v>
      </c>
      <c r="B221" s="54">
        <v>173528</v>
      </c>
      <c r="C221" s="54">
        <v>75</v>
      </c>
      <c r="D221" s="54">
        <v>82</v>
      </c>
      <c r="E221" s="54">
        <v>45</v>
      </c>
      <c r="F221" s="54">
        <v>89</v>
      </c>
      <c r="G221" s="54">
        <v>34</v>
      </c>
      <c r="H221" s="54">
        <v>0</v>
      </c>
    </row>
    <row r="222" spans="1:8" x14ac:dyDescent="0.2">
      <c r="A222" s="54" t="s">
        <v>286</v>
      </c>
      <c r="B222" s="54">
        <v>124863</v>
      </c>
      <c r="C222" s="54">
        <v>114</v>
      </c>
      <c r="D222" s="54">
        <v>100</v>
      </c>
      <c r="E222" s="54">
        <v>8</v>
      </c>
      <c r="F222" s="54">
        <v>1</v>
      </c>
      <c r="G222" s="54">
        <v>0</v>
      </c>
      <c r="H222" s="54">
        <v>0</v>
      </c>
    </row>
    <row r="223" spans="1:8" x14ac:dyDescent="0.2">
      <c r="A223" s="54" t="s">
        <v>287</v>
      </c>
      <c r="B223" s="54">
        <v>112053</v>
      </c>
      <c r="C223" s="54">
        <v>870</v>
      </c>
      <c r="D223" s="54">
        <v>900</v>
      </c>
      <c r="E223" s="54">
        <v>50</v>
      </c>
      <c r="F223" s="54">
        <v>0</v>
      </c>
      <c r="G223" s="54">
        <v>0</v>
      </c>
      <c r="H223" s="54">
        <v>0</v>
      </c>
    </row>
    <row r="224" spans="1:8" x14ac:dyDescent="0.2">
      <c r="A224" s="54" t="s">
        <v>288</v>
      </c>
      <c r="B224" s="54">
        <v>109765</v>
      </c>
      <c r="C224" s="54">
        <v>67</v>
      </c>
      <c r="D224" s="54">
        <v>66</v>
      </c>
      <c r="E224" s="54">
        <v>14</v>
      </c>
      <c r="F224" s="54">
        <v>0</v>
      </c>
      <c r="G224" s="54">
        <v>0</v>
      </c>
      <c r="H224" s="54">
        <v>18</v>
      </c>
    </row>
    <row r="225" spans="1:8" x14ac:dyDescent="0.2">
      <c r="A225" s="54" t="s">
        <v>289</v>
      </c>
      <c r="B225" s="54">
        <v>106990</v>
      </c>
      <c r="C225" s="54">
        <v>88</v>
      </c>
      <c r="D225" s="54">
        <v>84</v>
      </c>
      <c r="E225" s="54">
        <v>9</v>
      </c>
      <c r="F225" s="54">
        <v>0</v>
      </c>
      <c r="G225" s="54">
        <v>1</v>
      </c>
      <c r="H225" s="54">
        <v>0</v>
      </c>
    </row>
    <row r="226" spans="1:8" x14ac:dyDescent="0.2">
      <c r="A226" s="54" t="s">
        <v>290</v>
      </c>
      <c r="B226" s="54">
        <v>109208</v>
      </c>
      <c r="C226" s="54">
        <v>1200</v>
      </c>
      <c r="D226" s="54">
        <v>1062</v>
      </c>
      <c r="E226" s="54">
        <v>7</v>
      </c>
      <c r="F226" s="54">
        <v>40</v>
      </c>
      <c r="G226" s="54">
        <v>5</v>
      </c>
      <c r="H226" s="54">
        <v>128</v>
      </c>
    </row>
    <row r="227" spans="1:8" x14ac:dyDescent="0.2">
      <c r="A227" s="54" t="s">
        <v>291</v>
      </c>
      <c r="B227" s="54">
        <v>109685</v>
      </c>
      <c r="C227" s="54">
        <v>219</v>
      </c>
      <c r="D227" s="54">
        <v>218</v>
      </c>
      <c r="E227" s="54">
        <v>10</v>
      </c>
      <c r="F227" s="54">
        <v>2</v>
      </c>
      <c r="G227" s="54">
        <v>0</v>
      </c>
      <c r="H227" s="54">
        <v>0</v>
      </c>
    </row>
    <row r="228" spans="1:8" x14ac:dyDescent="0.2">
      <c r="A228" s="54" t="s">
        <v>292</v>
      </c>
      <c r="B228" s="54">
        <v>109256</v>
      </c>
      <c r="C228" s="54">
        <v>82</v>
      </c>
      <c r="D228" s="54">
        <v>75</v>
      </c>
      <c r="E228" s="54">
        <v>11</v>
      </c>
      <c r="F228" s="54">
        <v>0</v>
      </c>
      <c r="G228" s="54">
        <v>0</v>
      </c>
      <c r="H228" s="54">
        <v>0</v>
      </c>
    </row>
    <row r="229" spans="1:8" x14ac:dyDescent="0.2">
      <c r="A229" s="54" t="s">
        <v>293</v>
      </c>
      <c r="B229" s="54">
        <v>112577</v>
      </c>
      <c r="C229" s="54">
        <v>202</v>
      </c>
      <c r="D229" s="54">
        <v>134</v>
      </c>
      <c r="E229" s="54">
        <v>10</v>
      </c>
      <c r="F229" s="54">
        <v>0</v>
      </c>
      <c r="G229" s="54">
        <v>0</v>
      </c>
      <c r="H229" s="54">
        <v>2</v>
      </c>
    </row>
    <row r="230" spans="1:8" x14ac:dyDescent="0.2">
      <c r="A230" s="54" t="s">
        <v>294</v>
      </c>
      <c r="B230" s="54">
        <v>112461</v>
      </c>
      <c r="C230" s="54">
        <v>29</v>
      </c>
      <c r="D230" s="54">
        <v>57</v>
      </c>
      <c r="E230" s="54">
        <v>49</v>
      </c>
      <c r="F230" s="54">
        <v>15</v>
      </c>
      <c r="G230" s="54">
        <v>2</v>
      </c>
      <c r="H230" s="54">
        <v>24</v>
      </c>
    </row>
    <row r="231" spans="1:8" x14ac:dyDescent="0.2">
      <c r="A231" s="54" t="s">
        <v>295</v>
      </c>
      <c r="B231" s="54">
        <v>508779</v>
      </c>
      <c r="C231" s="54">
        <v>79</v>
      </c>
      <c r="D231" s="54">
        <v>106</v>
      </c>
      <c r="E231" s="54">
        <v>6</v>
      </c>
      <c r="F231" s="54">
        <v>0</v>
      </c>
      <c r="G231" s="54">
        <v>68</v>
      </c>
      <c r="H231" s="54">
        <v>127</v>
      </c>
    </row>
    <row r="232" spans="1:8" x14ac:dyDescent="0.2">
      <c r="A232" s="54" t="s">
        <v>296</v>
      </c>
      <c r="B232" s="54">
        <v>129200</v>
      </c>
      <c r="C232" s="54">
        <v>216</v>
      </c>
      <c r="D232" s="54">
        <v>210</v>
      </c>
      <c r="E232" s="54">
        <v>33</v>
      </c>
      <c r="F232" s="54">
        <v>0</v>
      </c>
      <c r="G232" s="54">
        <v>5</v>
      </c>
      <c r="H232" s="54">
        <v>4</v>
      </c>
    </row>
    <row r="233" spans="1:8" x14ac:dyDescent="0.2">
      <c r="A233" s="54" t="s">
        <v>297</v>
      </c>
      <c r="B233" s="54">
        <v>107197</v>
      </c>
      <c r="C233" s="54">
        <v>1202</v>
      </c>
      <c r="D233" s="54">
        <v>1202</v>
      </c>
      <c r="E233" s="54">
        <v>16</v>
      </c>
      <c r="F233" s="54">
        <v>0</v>
      </c>
      <c r="G233" s="54">
        <v>13</v>
      </c>
      <c r="H233" s="54">
        <v>0</v>
      </c>
    </row>
    <row r="234" spans="1:8" x14ac:dyDescent="0.2">
      <c r="A234" s="54" t="s">
        <v>298</v>
      </c>
      <c r="B234" s="54" t="s">
        <v>299</v>
      </c>
      <c r="C234" s="54">
        <v>1</v>
      </c>
      <c r="D234" s="54">
        <v>57</v>
      </c>
      <c r="E234" s="54">
        <v>31</v>
      </c>
      <c r="F234" s="54">
        <v>0</v>
      </c>
      <c r="G234" s="54">
        <v>0</v>
      </c>
      <c r="H234" s="54">
        <v>0</v>
      </c>
    </row>
    <row r="235" spans="1:8" x14ac:dyDescent="0.2">
      <c r="A235" s="54" t="s">
        <v>300</v>
      </c>
      <c r="B235" s="54">
        <v>230607</v>
      </c>
      <c r="C235" s="54">
        <v>2</v>
      </c>
      <c r="D235" s="54">
        <v>116</v>
      </c>
      <c r="E235" s="54">
        <v>6</v>
      </c>
      <c r="F235" s="54">
        <v>0</v>
      </c>
      <c r="G235" s="54">
        <v>96</v>
      </c>
      <c r="H235" s="54">
        <v>0</v>
      </c>
    </row>
    <row r="236" spans="1:8" x14ac:dyDescent="0.2">
      <c r="A236" s="54" t="s">
        <v>301</v>
      </c>
      <c r="B236" s="54">
        <v>141887</v>
      </c>
      <c r="C236" s="54">
        <v>276</v>
      </c>
      <c r="D236" s="54">
        <v>365</v>
      </c>
      <c r="E236" s="54">
        <v>46</v>
      </c>
      <c r="F236" s="54">
        <v>0</v>
      </c>
      <c r="G236" s="54">
        <v>10</v>
      </c>
      <c r="H236" s="54">
        <v>109</v>
      </c>
    </row>
    <row r="237" spans="1:8" x14ac:dyDescent="0.2">
      <c r="A237" s="54" t="s">
        <v>302</v>
      </c>
      <c r="B237" s="54">
        <v>491705</v>
      </c>
      <c r="C237" s="54">
        <v>226</v>
      </c>
      <c r="D237" s="54">
        <v>140</v>
      </c>
      <c r="E237" s="54">
        <v>10</v>
      </c>
      <c r="F237" s="54">
        <v>20</v>
      </c>
      <c r="G237" s="54">
        <v>5</v>
      </c>
      <c r="H237" s="54">
        <v>6</v>
      </c>
    </row>
    <row r="238" spans="1:8" x14ac:dyDescent="0.2">
      <c r="A238" s="54" t="s">
        <v>303</v>
      </c>
      <c r="B238" s="54">
        <v>127501</v>
      </c>
      <c r="C238" s="54">
        <v>33</v>
      </c>
      <c r="D238" s="54">
        <v>28</v>
      </c>
      <c r="E238" s="54">
        <v>11</v>
      </c>
      <c r="F238" s="54">
        <v>0</v>
      </c>
      <c r="G238" s="54">
        <v>0</v>
      </c>
      <c r="H238" s="54">
        <v>0</v>
      </c>
    </row>
    <row r="239" spans="1:8" x14ac:dyDescent="0.2">
      <c r="A239" s="54" t="s">
        <v>304</v>
      </c>
      <c r="B239" s="54">
        <v>320631</v>
      </c>
      <c r="C239" s="54">
        <v>0</v>
      </c>
      <c r="D239" s="54">
        <v>63</v>
      </c>
      <c r="E239" s="54">
        <v>12</v>
      </c>
      <c r="F239" s="54">
        <v>0</v>
      </c>
      <c r="G239" s="54">
        <v>9</v>
      </c>
      <c r="H239" s="54">
        <v>0</v>
      </c>
    </row>
    <row r="240" spans="1:8" x14ac:dyDescent="0.2">
      <c r="A240" s="54" t="s">
        <v>305</v>
      </c>
      <c r="B240" s="54">
        <v>108767</v>
      </c>
      <c r="C240" s="54">
        <v>10</v>
      </c>
      <c r="D240" s="54">
        <v>45</v>
      </c>
      <c r="E240" s="54">
        <v>8</v>
      </c>
      <c r="F240" s="54">
        <v>6</v>
      </c>
      <c r="G240" s="54">
        <v>80</v>
      </c>
      <c r="H240" s="54">
        <v>25</v>
      </c>
    </row>
    <row r="241" spans="1:8" x14ac:dyDescent="0.2">
      <c r="A241" s="54" t="s">
        <v>306</v>
      </c>
      <c r="B241" s="54">
        <v>311450</v>
      </c>
      <c r="C241" s="54">
        <v>17</v>
      </c>
      <c r="D241" s="54">
        <v>14</v>
      </c>
      <c r="E241" s="54">
        <v>12</v>
      </c>
      <c r="F241" s="54">
        <v>0</v>
      </c>
      <c r="G241" s="54">
        <v>0</v>
      </c>
      <c r="H241" s="54">
        <v>0</v>
      </c>
    </row>
    <row r="242" spans="1:8" x14ac:dyDescent="0.2">
      <c r="A242" s="54" t="s">
        <v>307</v>
      </c>
      <c r="B242" s="54">
        <v>116208</v>
      </c>
      <c r="C242" s="54">
        <v>3</v>
      </c>
      <c r="D242" s="54">
        <v>30</v>
      </c>
      <c r="E242" s="54">
        <v>7</v>
      </c>
      <c r="F242" s="54">
        <v>66</v>
      </c>
      <c r="G242" s="54">
        <v>0</v>
      </c>
      <c r="H242" s="54">
        <v>20</v>
      </c>
    </row>
    <row r="243" spans="1:8" x14ac:dyDescent="0.2">
      <c r="A243" s="54" t="s">
        <v>308</v>
      </c>
      <c r="B243" s="54">
        <v>107397</v>
      </c>
      <c r="C243" s="54">
        <v>673</v>
      </c>
      <c r="D243" s="54">
        <v>857</v>
      </c>
      <c r="E243" s="54">
        <v>37</v>
      </c>
      <c r="F243" s="54">
        <v>0</v>
      </c>
      <c r="G243" s="54">
        <v>16</v>
      </c>
      <c r="H243" s="54">
        <v>0</v>
      </c>
    </row>
    <row r="244" spans="1:8" x14ac:dyDescent="0.2">
      <c r="A244" s="54" t="s">
        <v>309</v>
      </c>
      <c r="B244" s="54">
        <v>108877</v>
      </c>
      <c r="C244" s="54">
        <v>63</v>
      </c>
      <c r="D244" s="54">
        <v>81</v>
      </c>
      <c r="E244" s="54">
        <v>10</v>
      </c>
      <c r="F244" s="54">
        <v>0</v>
      </c>
      <c r="G244" s="54">
        <v>1</v>
      </c>
      <c r="H244" s="54">
        <v>5</v>
      </c>
    </row>
    <row r="245" spans="1:8" x14ac:dyDescent="0.2">
      <c r="A245" s="54" t="s">
        <v>310</v>
      </c>
      <c r="B245" s="54">
        <v>100239</v>
      </c>
      <c r="C245" s="54">
        <v>100</v>
      </c>
      <c r="D245" s="54">
        <v>100</v>
      </c>
      <c r="E245" s="54">
        <v>11</v>
      </c>
      <c r="F245" s="54">
        <v>0</v>
      </c>
      <c r="G245" s="54">
        <v>0</v>
      </c>
      <c r="H245" s="54">
        <v>0</v>
      </c>
    </row>
    <row r="246" spans="1:8" x14ac:dyDescent="0.2">
      <c r="A246" s="54" t="s">
        <v>311</v>
      </c>
      <c r="B246" s="54">
        <v>470672</v>
      </c>
      <c r="C246" s="54">
        <v>0</v>
      </c>
      <c r="D246" s="54">
        <v>73</v>
      </c>
      <c r="E246" s="54">
        <v>28</v>
      </c>
      <c r="F246" s="54">
        <v>1</v>
      </c>
      <c r="G246" s="54">
        <v>10</v>
      </c>
      <c r="H246" s="54">
        <v>76</v>
      </c>
    </row>
    <row r="247" spans="1:8" x14ac:dyDescent="0.2">
      <c r="A247" s="54" t="s">
        <v>312</v>
      </c>
      <c r="B247" s="54">
        <v>465977</v>
      </c>
      <c r="C247" s="54">
        <v>1</v>
      </c>
      <c r="D247" s="54">
        <v>90</v>
      </c>
      <c r="E247" s="54">
        <v>18</v>
      </c>
      <c r="F247" s="54">
        <v>21</v>
      </c>
      <c r="G247" s="54">
        <v>34</v>
      </c>
      <c r="H247" s="54">
        <v>0</v>
      </c>
    </row>
    <row r="248" spans="1:8" x14ac:dyDescent="0.2">
      <c r="A248" s="54" t="s">
        <v>313</v>
      </c>
      <c r="B248" s="54">
        <v>328024</v>
      </c>
      <c r="C248" s="54">
        <v>85</v>
      </c>
      <c r="D248" s="54">
        <v>64</v>
      </c>
      <c r="E248" s="54">
        <v>17</v>
      </c>
      <c r="F248" s="54">
        <v>0</v>
      </c>
      <c r="G248" s="54">
        <v>0</v>
      </c>
      <c r="H248" s="54">
        <v>0</v>
      </c>
    </row>
    <row r="249" spans="1:8" x14ac:dyDescent="0.2">
      <c r="A249" s="54" t="s">
        <v>314</v>
      </c>
      <c r="B249" s="54">
        <v>108106</v>
      </c>
      <c r="C249" s="54">
        <v>51</v>
      </c>
      <c r="D249" s="54">
        <v>35</v>
      </c>
      <c r="E249" s="54">
        <v>10</v>
      </c>
      <c r="F249" s="54">
        <v>12</v>
      </c>
      <c r="G249" s="54">
        <v>1</v>
      </c>
      <c r="H249" s="54">
        <v>12</v>
      </c>
    </row>
    <row r="250" spans="1:8" x14ac:dyDescent="0.2">
      <c r="A250" s="54" t="s">
        <v>315</v>
      </c>
      <c r="B250" s="54">
        <v>108011</v>
      </c>
      <c r="C250" s="54">
        <v>476</v>
      </c>
      <c r="D250" s="54">
        <v>464</v>
      </c>
      <c r="E250" s="54">
        <v>7</v>
      </c>
      <c r="F250" s="54">
        <v>76</v>
      </c>
      <c r="G250" s="54">
        <v>117</v>
      </c>
      <c r="H250" s="54">
        <v>13</v>
      </c>
    </row>
    <row r="251" spans="1:8" x14ac:dyDescent="0.2">
      <c r="A251" s="54" t="s">
        <v>316</v>
      </c>
      <c r="B251" s="54" t="s">
        <v>317</v>
      </c>
      <c r="C251" s="54">
        <v>1800</v>
      </c>
      <c r="D251" s="54">
        <v>280</v>
      </c>
      <c r="E251" s="54">
        <v>16</v>
      </c>
      <c r="F251" s="54">
        <v>31</v>
      </c>
      <c r="G251" s="54">
        <v>0</v>
      </c>
      <c r="H251" s="54">
        <v>22</v>
      </c>
    </row>
    <row r="252" spans="1:8" x14ac:dyDescent="0.2">
      <c r="A252" s="54" t="s">
        <v>318</v>
      </c>
      <c r="B252" s="54">
        <v>169787</v>
      </c>
      <c r="C252" s="54">
        <v>515</v>
      </c>
      <c r="D252" s="54">
        <v>549</v>
      </c>
      <c r="E252" s="54">
        <v>46</v>
      </c>
      <c r="F252" s="54">
        <v>13</v>
      </c>
      <c r="G252" s="54">
        <v>0</v>
      </c>
      <c r="H252" s="54">
        <v>0</v>
      </c>
    </row>
    <row r="253" spans="1:8" x14ac:dyDescent="0.2">
      <c r="A253" s="54" t="s">
        <v>319</v>
      </c>
      <c r="B253" s="54">
        <v>510427</v>
      </c>
      <c r="C253" s="54">
        <v>78</v>
      </c>
      <c r="D253" s="54">
        <v>40</v>
      </c>
      <c r="E253" s="54">
        <v>49</v>
      </c>
      <c r="F253" s="54">
        <v>36</v>
      </c>
      <c r="G253" s="54">
        <v>0</v>
      </c>
      <c r="H253" s="54">
        <v>0</v>
      </c>
    </row>
    <row r="254" spans="1:8" x14ac:dyDescent="0.2">
      <c r="A254" s="54" t="s">
        <v>320</v>
      </c>
      <c r="B254" s="54">
        <v>109610</v>
      </c>
      <c r="C254" s="54">
        <v>38</v>
      </c>
      <c r="D254" s="54">
        <v>300</v>
      </c>
      <c r="E254" s="54">
        <v>38</v>
      </c>
      <c r="F254" s="54">
        <v>7</v>
      </c>
      <c r="G254" s="54">
        <v>54</v>
      </c>
      <c r="H254" s="54">
        <v>39</v>
      </c>
    </row>
    <row r="255" spans="1:8" x14ac:dyDescent="0.2">
      <c r="A255" s="54" t="s">
        <v>321</v>
      </c>
      <c r="B255" s="54">
        <v>127119</v>
      </c>
      <c r="C255" s="54">
        <v>14</v>
      </c>
      <c r="D255" s="54">
        <v>14</v>
      </c>
      <c r="E255" s="54">
        <v>21</v>
      </c>
      <c r="F255" s="54">
        <v>1</v>
      </c>
      <c r="G255" s="54">
        <v>7</v>
      </c>
      <c r="H255" s="54">
        <v>63</v>
      </c>
    </row>
    <row r="256" spans="1:8" x14ac:dyDescent="0.2">
      <c r="A256" s="54" t="s">
        <v>322</v>
      </c>
      <c r="B256" s="54">
        <v>111020</v>
      </c>
      <c r="C256" s="54">
        <v>67</v>
      </c>
      <c r="D256" s="54">
        <v>70</v>
      </c>
      <c r="E256" s="54">
        <v>11</v>
      </c>
      <c r="F256" s="54">
        <v>0</v>
      </c>
      <c r="G256" s="54">
        <v>9</v>
      </c>
      <c r="H256" s="54">
        <v>8</v>
      </c>
    </row>
    <row r="257" spans="1:8" x14ac:dyDescent="0.2">
      <c r="A257" s="54" t="s">
        <v>323</v>
      </c>
      <c r="B257" s="54">
        <v>324163</v>
      </c>
      <c r="C257" s="54">
        <v>2</v>
      </c>
      <c r="D257" s="54">
        <v>44</v>
      </c>
      <c r="E257" s="54">
        <v>8</v>
      </c>
      <c r="F257" s="54">
        <v>0</v>
      </c>
      <c r="G257" s="54">
        <v>0</v>
      </c>
      <c r="H257" s="54">
        <v>0</v>
      </c>
    </row>
    <row r="258" spans="1:8" x14ac:dyDescent="0.2">
      <c r="A258" s="54" t="s">
        <v>324</v>
      </c>
      <c r="B258" s="54">
        <v>117408</v>
      </c>
      <c r="C258" s="54">
        <v>25</v>
      </c>
      <c r="D258" s="54">
        <v>65</v>
      </c>
      <c r="E258" s="54">
        <v>30</v>
      </c>
      <c r="F258" s="54">
        <v>0</v>
      </c>
      <c r="G258" s="54">
        <v>0</v>
      </c>
      <c r="H258" s="54">
        <v>0</v>
      </c>
    </row>
    <row r="259" spans="1:8" x14ac:dyDescent="0.2">
      <c r="A259" s="54" t="s">
        <v>325</v>
      </c>
      <c r="B259" s="54">
        <v>112511</v>
      </c>
      <c r="C259" s="54">
        <v>129</v>
      </c>
      <c r="D259" s="54">
        <v>73</v>
      </c>
      <c r="E259" s="54">
        <v>12</v>
      </c>
      <c r="F259" s="54">
        <v>0</v>
      </c>
      <c r="G259" s="54">
        <v>5</v>
      </c>
      <c r="H259" s="54">
        <v>12</v>
      </c>
    </row>
    <row r="260" spans="1:8" x14ac:dyDescent="0.2">
      <c r="A260" s="54" t="s">
        <v>326</v>
      </c>
      <c r="B260" s="54">
        <v>109197</v>
      </c>
      <c r="C260" s="54">
        <v>347</v>
      </c>
      <c r="D260" s="54">
        <v>363</v>
      </c>
      <c r="E260" s="54">
        <v>8</v>
      </c>
      <c r="F260" s="54">
        <v>0</v>
      </c>
      <c r="G260" s="54">
        <v>0</v>
      </c>
      <c r="H260" s="54">
        <v>0</v>
      </c>
    </row>
    <row r="261" spans="1:8" x14ac:dyDescent="0.2">
      <c r="A261" s="54" t="s">
        <v>327</v>
      </c>
      <c r="B261" s="54">
        <v>570556</v>
      </c>
      <c r="C261" s="54">
        <v>3</v>
      </c>
      <c r="D261" s="54">
        <v>35</v>
      </c>
      <c r="E261" s="54">
        <v>10</v>
      </c>
      <c r="F261" s="54">
        <v>0</v>
      </c>
      <c r="G261" s="54">
        <v>0</v>
      </c>
      <c r="H261" s="54">
        <v>0</v>
      </c>
    </row>
    <row r="262" spans="1:8" x14ac:dyDescent="0.2">
      <c r="A262" s="54" t="s">
        <v>328</v>
      </c>
      <c r="B262" s="54">
        <v>106916</v>
      </c>
      <c r="C262" s="54">
        <v>533</v>
      </c>
      <c r="D262" s="54">
        <v>500</v>
      </c>
      <c r="E262" s="54">
        <v>34</v>
      </c>
      <c r="F262" s="54">
        <v>0</v>
      </c>
      <c r="G262" s="54">
        <v>5</v>
      </c>
      <c r="H262" s="54">
        <v>4</v>
      </c>
    </row>
    <row r="263" spans="1:8" x14ac:dyDescent="0.2">
      <c r="A263" s="54" t="s">
        <v>329</v>
      </c>
      <c r="B263" s="54">
        <v>109708</v>
      </c>
      <c r="C263" s="54">
        <v>236</v>
      </c>
      <c r="D263" s="54">
        <v>135</v>
      </c>
      <c r="E263" s="54">
        <v>19</v>
      </c>
      <c r="F263" s="54">
        <v>42</v>
      </c>
      <c r="G263" s="54">
        <v>0</v>
      </c>
      <c r="H263" s="54">
        <v>33</v>
      </c>
    </row>
    <row r="264" spans="1:8" x14ac:dyDescent="0.2">
      <c r="A264" s="54" t="s">
        <v>330</v>
      </c>
      <c r="B264" s="54">
        <v>478409</v>
      </c>
      <c r="C264" s="54">
        <v>0</v>
      </c>
      <c r="D264" s="54">
        <v>25</v>
      </c>
      <c r="E264" s="54">
        <v>19</v>
      </c>
      <c r="F264" s="54">
        <v>0</v>
      </c>
      <c r="G264" s="54">
        <v>4</v>
      </c>
      <c r="H264" s="54">
        <v>5</v>
      </c>
    </row>
    <row r="265" spans="1:8" x14ac:dyDescent="0.2">
      <c r="A265" s="54" t="s">
        <v>331</v>
      </c>
      <c r="B265" s="54">
        <v>119803</v>
      </c>
      <c r="C265" s="54">
        <v>24</v>
      </c>
      <c r="D265" s="54">
        <v>32</v>
      </c>
      <c r="E265" s="54">
        <v>6</v>
      </c>
      <c r="F265" s="54">
        <v>16</v>
      </c>
      <c r="G265" s="54">
        <v>20</v>
      </c>
      <c r="H265" s="54">
        <v>71</v>
      </c>
    </row>
    <row r="266" spans="1:8" x14ac:dyDescent="0.2">
      <c r="A266" s="54" t="s">
        <v>332</v>
      </c>
      <c r="B266" s="54">
        <v>322638</v>
      </c>
      <c r="C266" s="54">
        <v>10</v>
      </c>
      <c r="D266" s="54">
        <v>225</v>
      </c>
      <c r="E266" s="54">
        <v>19</v>
      </c>
      <c r="F266" s="54">
        <v>0</v>
      </c>
      <c r="G266" s="54">
        <v>0</v>
      </c>
      <c r="H266" s="54">
        <v>34</v>
      </c>
    </row>
    <row r="267" spans="1:8" x14ac:dyDescent="0.2">
      <c r="A267" s="54" t="s">
        <v>333</v>
      </c>
      <c r="B267" s="54">
        <v>462933</v>
      </c>
      <c r="C267" s="54">
        <v>151</v>
      </c>
      <c r="D267" s="54">
        <v>5</v>
      </c>
      <c r="E267" s="54">
        <v>7</v>
      </c>
      <c r="F267" s="54">
        <v>61</v>
      </c>
      <c r="G267" s="54">
        <v>34</v>
      </c>
      <c r="H267" s="54">
        <v>23</v>
      </c>
    </row>
    <row r="268" spans="1:8" x14ac:dyDescent="0.2">
      <c r="A268" s="54" t="s">
        <v>334</v>
      </c>
      <c r="B268" s="54">
        <v>164977</v>
      </c>
      <c r="C268" s="54">
        <v>5</v>
      </c>
      <c r="D268" s="54">
        <v>22</v>
      </c>
      <c r="E268" s="54">
        <v>8</v>
      </c>
      <c r="F268" s="54">
        <v>0</v>
      </c>
      <c r="G268" s="54">
        <v>24</v>
      </c>
      <c r="H268" s="54">
        <v>13</v>
      </c>
    </row>
    <row r="269" spans="1:8" x14ac:dyDescent="0.2">
      <c r="A269" s="54" t="s">
        <v>335</v>
      </c>
      <c r="B269" s="54">
        <v>452290</v>
      </c>
      <c r="C269" s="54">
        <v>2</v>
      </c>
      <c r="D269" s="54">
        <v>10</v>
      </c>
      <c r="E269" s="54">
        <v>7</v>
      </c>
      <c r="F269" s="54">
        <v>10</v>
      </c>
      <c r="G269" s="54">
        <v>0</v>
      </c>
      <c r="H269" s="54">
        <v>0</v>
      </c>
    </row>
    <row r="270" spans="1:8" x14ac:dyDescent="0.2">
      <c r="A270" s="54" t="s">
        <v>336</v>
      </c>
      <c r="B270" s="54">
        <v>106735</v>
      </c>
      <c r="C270" s="54">
        <v>0</v>
      </c>
      <c r="D270" s="54">
        <v>65</v>
      </c>
      <c r="E270" s="54">
        <v>19</v>
      </c>
      <c r="F270" s="54">
        <v>0</v>
      </c>
      <c r="G270" s="54">
        <v>0</v>
      </c>
      <c r="H270" s="54">
        <v>15</v>
      </c>
    </row>
    <row r="271" spans="1:8" x14ac:dyDescent="0.2">
      <c r="A271" s="54" t="s">
        <v>337</v>
      </c>
      <c r="B271" s="54">
        <v>114564</v>
      </c>
      <c r="C271" s="54">
        <v>30</v>
      </c>
      <c r="D271" s="54">
        <v>32</v>
      </c>
      <c r="E271" s="54">
        <v>21</v>
      </c>
      <c r="F271" s="54">
        <v>5</v>
      </c>
      <c r="G271" s="54">
        <v>91</v>
      </c>
      <c r="H271" s="54">
        <v>0</v>
      </c>
    </row>
    <row r="272" spans="1:8" x14ac:dyDescent="0.2">
      <c r="A272" s="54" t="s">
        <v>338</v>
      </c>
      <c r="B272" s="54">
        <v>107126</v>
      </c>
      <c r="C272" s="54">
        <v>129</v>
      </c>
      <c r="D272" s="54">
        <v>120</v>
      </c>
      <c r="E272" s="54">
        <v>36</v>
      </c>
      <c r="F272" s="54">
        <v>0</v>
      </c>
      <c r="G272" s="54">
        <v>31</v>
      </c>
      <c r="H272" s="54">
        <v>27</v>
      </c>
    </row>
    <row r="273" spans="1:8" x14ac:dyDescent="0.2">
      <c r="A273" s="54" t="s">
        <v>339</v>
      </c>
      <c r="B273" s="54">
        <v>204311</v>
      </c>
      <c r="C273" s="54">
        <v>26</v>
      </c>
      <c r="D273" s="54">
        <v>20</v>
      </c>
      <c r="E273" s="54">
        <v>27</v>
      </c>
      <c r="F273" s="54">
        <v>0</v>
      </c>
      <c r="G273" s="54">
        <v>0</v>
      </c>
      <c r="H273" s="54">
        <v>2</v>
      </c>
    </row>
    <row r="274" spans="1:8" x14ac:dyDescent="0.2">
      <c r="A274" s="54" t="s">
        <v>340</v>
      </c>
      <c r="B274" s="54">
        <v>554048</v>
      </c>
      <c r="C274" s="54">
        <v>19</v>
      </c>
      <c r="D274" s="54">
        <v>20</v>
      </c>
      <c r="E274" s="54">
        <v>9</v>
      </c>
      <c r="F274" s="54">
        <v>0</v>
      </c>
      <c r="G274" s="54">
        <v>0</v>
      </c>
      <c r="H274" s="54">
        <v>0</v>
      </c>
    </row>
    <row r="275" spans="1:8" x14ac:dyDescent="0.2">
      <c r="A275" s="54" t="s">
        <v>341</v>
      </c>
      <c r="B275" s="54">
        <v>307831</v>
      </c>
      <c r="C275" s="54">
        <v>28</v>
      </c>
      <c r="D275" s="54">
        <v>28</v>
      </c>
      <c r="E275" s="54">
        <v>7</v>
      </c>
      <c r="F275" s="54">
        <v>0</v>
      </c>
      <c r="G275" s="54">
        <v>6</v>
      </c>
      <c r="H275" s="54">
        <v>0</v>
      </c>
    </row>
    <row r="276" spans="1:8" x14ac:dyDescent="0.2">
      <c r="A276" s="54" t="s">
        <v>342</v>
      </c>
      <c r="B276" s="54">
        <v>108003</v>
      </c>
      <c r="C276" s="54">
        <v>79</v>
      </c>
      <c r="D276" s="54">
        <v>75</v>
      </c>
      <c r="E276" s="54">
        <v>24</v>
      </c>
      <c r="F276" s="54">
        <v>6</v>
      </c>
      <c r="G276" s="54">
        <v>5</v>
      </c>
      <c r="H276" s="54">
        <v>5</v>
      </c>
    </row>
    <row r="277" spans="1:8" x14ac:dyDescent="0.2">
      <c r="A277" s="54" t="s">
        <v>343</v>
      </c>
      <c r="B277" s="54">
        <v>109148</v>
      </c>
      <c r="C277" s="54">
        <v>92</v>
      </c>
      <c r="D277" s="54">
        <v>85</v>
      </c>
      <c r="E277" s="54">
        <v>7</v>
      </c>
      <c r="F277" s="54">
        <v>22</v>
      </c>
      <c r="G277" s="54">
        <v>49</v>
      </c>
      <c r="H277" s="54">
        <v>11</v>
      </c>
    </row>
    <row r="278" spans="1:8" x14ac:dyDescent="0.2">
      <c r="A278" s="54" t="s">
        <v>344</v>
      </c>
      <c r="B278" s="54">
        <v>164112</v>
      </c>
      <c r="C278" s="54">
        <v>27</v>
      </c>
      <c r="D278" s="54">
        <v>56</v>
      </c>
      <c r="E278" s="54">
        <v>7</v>
      </c>
      <c r="F278" s="54">
        <v>14</v>
      </c>
      <c r="G278" s="54">
        <v>0</v>
      </c>
      <c r="H278" s="54">
        <v>10</v>
      </c>
    </row>
    <row r="279" spans="1:8" x14ac:dyDescent="0.2">
      <c r="A279" s="54" t="s">
        <v>345</v>
      </c>
      <c r="B279" s="54">
        <v>301506</v>
      </c>
      <c r="C279" s="54">
        <v>0</v>
      </c>
      <c r="D279" s="54">
        <v>20</v>
      </c>
      <c r="E279" s="54">
        <v>14</v>
      </c>
      <c r="F279" s="54">
        <v>0</v>
      </c>
      <c r="G279" s="54">
        <v>0</v>
      </c>
      <c r="H279" s="54">
        <v>0</v>
      </c>
    </row>
    <row r="280" spans="1:8" x14ac:dyDescent="0.2">
      <c r="A280" s="54" t="s">
        <v>346</v>
      </c>
      <c r="B280" s="54">
        <v>107156</v>
      </c>
      <c r="C280" s="54">
        <v>123</v>
      </c>
      <c r="D280" s="54">
        <v>123</v>
      </c>
      <c r="E280" s="54">
        <v>7</v>
      </c>
      <c r="F280" s="54">
        <v>0</v>
      </c>
      <c r="G280" s="54">
        <v>5</v>
      </c>
      <c r="H280" s="54">
        <v>0</v>
      </c>
    </row>
    <row r="281" spans="1:8" x14ac:dyDescent="0.2">
      <c r="A281" s="54" t="s">
        <v>347</v>
      </c>
      <c r="B281" s="54">
        <v>127414</v>
      </c>
      <c r="C281" s="54">
        <v>59</v>
      </c>
      <c r="D281" s="54">
        <v>70</v>
      </c>
      <c r="E281" s="54">
        <v>9</v>
      </c>
      <c r="F281" s="54">
        <v>0</v>
      </c>
      <c r="G281" s="54">
        <v>17</v>
      </c>
      <c r="H281" s="54">
        <v>0</v>
      </c>
    </row>
    <row r="282" spans="1:8" x14ac:dyDescent="0.2">
      <c r="A282" s="54" t="s">
        <v>348</v>
      </c>
      <c r="B282" s="54">
        <v>108398</v>
      </c>
      <c r="C282" s="54">
        <v>38</v>
      </c>
      <c r="D282" s="54">
        <v>40</v>
      </c>
      <c r="E282" s="54">
        <v>15</v>
      </c>
      <c r="F282" s="54">
        <v>0</v>
      </c>
      <c r="G282" s="54">
        <v>0</v>
      </c>
      <c r="H282" s="54">
        <v>0</v>
      </c>
    </row>
    <row r="283" spans="1:8" x14ac:dyDescent="0.2">
      <c r="A283" s="54" t="s">
        <v>349</v>
      </c>
      <c r="B283" s="54">
        <v>193540</v>
      </c>
      <c r="C283" s="54">
        <v>80</v>
      </c>
      <c r="D283" s="54">
        <v>70</v>
      </c>
      <c r="E283" s="54">
        <v>16</v>
      </c>
      <c r="F283" s="54">
        <v>0</v>
      </c>
      <c r="G283" s="54">
        <v>0</v>
      </c>
      <c r="H283" s="54">
        <v>0</v>
      </c>
    </row>
    <row r="284" spans="1:8" x14ac:dyDescent="0.2">
      <c r="A284" s="54" t="s">
        <v>350</v>
      </c>
      <c r="B284" s="54">
        <v>552247</v>
      </c>
      <c r="C284" s="54">
        <v>30</v>
      </c>
      <c r="D284" s="54">
        <v>25</v>
      </c>
      <c r="E284" s="54">
        <v>11</v>
      </c>
      <c r="F284" s="54">
        <v>2</v>
      </c>
      <c r="G284" s="54">
        <v>9</v>
      </c>
      <c r="H284" s="54">
        <v>0</v>
      </c>
    </row>
    <row r="285" spans="1:8" x14ac:dyDescent="0.2">
      <c r="A285" s="54" t="s">
        <v>351</v>
      </c>
      <c r="B285" s="54">
        <v>106155</v>
      </c>
      <c r="C285" s="54">
        <v>3183</v>
      </c>
      <c r="D285" s="54">
        <v>2850</v>
      </c>
      <c r="E285" s="54">
        <v>22</v>
      </c>
      <c r="F285" s="54">
        <v>0</v>
      </c>
      <c r="G285" s="54">
        <v>0</v>
      </c>
      <c r="H285" s="54">
        <v>0</v>
      </c>
    </row>
    <row r="286" spans="1:8" x14ac:dyDescent="0.2">
      <c r="A286" s="54" t="s">
        <v>352</v>
      </c>
      <c r="B286" s="54">
        <v>462647</v>
      </c>
      <c r="C286" s="54">
        <v>2</v>
      </c>
      <c r="D286" s="54">
        <v>32</v>
      </c>
      <c r="E286" s="54">
        <v>6</v>
      </c>
      <c r="F286" s="54">
        <v>0</v>
      </c>
      <c r="G286" s="54">
        <v>42</v>
      </c>
      <c r="H286" s="54">
        <v>4</v>
      </c>
    </row>
    <row r="287" spans="1:8" x14ac:dyDescent="0.2">
      <c r="A287" s="54" t="s">
        <v>353</v>
      </c>
      <c r="B287" s="54">
        <v>143651</v>
      </c>
      <c r="C287" s="54">
        <v>40</v>
      </c>
      <c r="D287" s="54">
        <v>30</v>
      </c>
      <c r="E287" s="54">
        <v>9</v>
      </c>
      <c r="F287" s="54">
        <v>0</v>
      </c>
      <c r="G287" s="54">
        <v>11</v>
      </c>
      <c r="H287" s="54">
        <v>37</v>
      </c>
    </row>
    <row r="288" spans="1:8" x14ac:dyDescent="0.2">
      <c r="A288" s="54" t="s">
        <v>354</v>
      </c>
      <c r="B288" s="54" t="s">
        <v>355</v>
      </c>
      <c r="C288" s="54">
        <v>10</v>
      </c>
      <c r="D288" s="54">
        <v>2</v>
      </c>
      <c r="E288" s="54">
        <v>13</v>
      </c>
      <c r="F288" s="54">
        <v>0</v>
      </c>
      <c r="G288" s="54">
        <v>0</v>
      </c>
      <c r="H288" s="54">
        <v>0</v>
      </c>
    </row>
    <row r="289" spans="1:8" x14ac:dyDescent="0.2">
      <c r="A289" s="54" t="s">
        <v>356</v>
      </c>
      <c r="B289" s="54">
        <v>109719</v>
      </c>
      <c r="C289" s="54">
        <v>85</v>
      </c>
      <c r="D289" s="54">
        <v>61</v>
      </c>
      <c r="E289" s="54">
        <v>12</v>
      </c>
      <c r="F289" s="54">
        <v>0</v>
      </c>
      <c r="G289" s="54">
        <v>0</v>
      </c>
      <c r="H289" s="54">
        <v>0</v>
      </c>
    </row>
    <row r="290" spans="1:8" x14ac:dyDescent="0.2">
      <c r="A290" s="54" t="s">
        <v>357</v>
      </c>
      <c r="B290" s="54">
        <v>108880</v>
      </c>
      <c r="C290" s="54">
        <v>115</v>
      </c>
      <c r="D290" s="54">
        <v>95</v>
      </c>
      <c r="E290" s="54">
        <v>9</v>
      </c>
      <c r="F290" s="54">
        <v>0</v>
      </c>
      <c r="G290" s="54">
        <v>3</v>
      </c>
      <c r="H290" s="54">
        <v>1</v>
      </c>
    </row>
    <row r="291" spans="1:8" x14ac:dyDescent="0.2">
      <c r="A291" s="54" t="s">
        <v>358</v>
      </c>
      <c r="B291" s="54">
        <v>105678</v>
      </c>
      <c r="C291" s="54">
        <v>90</v>
      </c>
      <c r="D291" s="54">
        <v>115</v>
      </c>
      <c r="E291" s="54">
        <v>42</v>
      </c>
      <c r="F291" s="54">
        <v>31</v>
      </c>
      <c r="G291" s="54">
        <v>0</v>
      </c>
      <c r="H291" s="54">
        <v>33</v>
      </c>
    </row>
    <row r="292" spans="1:8" x14ac:dyDescent="0.2">
      <c r="A292" s="54" t="s">
        <v>359</v>
      </c>
      <c r="B292" s="54">
        <v>116203</v>
      </c>
      <c r="C292" s="54">
        <v>22</v>
      </c>
      <c r="D292" s="54">
        <v>27</v>
      </c>
      <c r="E292" s="54">
        <v>13</v>
      </c>
      <c r="F292" s="54">
        <v>3</v>
      </c>
      <c r="G292" s="54">
        <v>2</v>
      </c>
      <c r="H292" s="54">
        <v>2</v>
      </c>
    </row>
    <row r="293" spans="1:8" x14ac:dyDescent="0.2">
      <c r="A293" s="54" t="s">
        <v>360</v>
      </c>
      <c r="B293" s="54">
        <v>219125</v>
      </c>
      <c r="C293" s="54">
        <v>9</v>
      </c>
      <c r="D293" s="54">
        <v>8</v>
      </c>
      <c r="E293" s="54">
        <v>9</v>
      </c>
      <c r="F293" s="54">
        <v>0</v>
      </c>
      <c r="G293" s="54">
        <v>0</v>
      </c>
      <c r="H293" s="54">
        <v>0</v>
      </c>
    </row>
    <row r="294" spans="1:8" x14ac:dyDescent="0.2">
      <c r="A294" s="54" t="s">
        <v>361</v>
      </c>
      <c r="B294" s="54">
        <v>158258</v>
      </c>
      <c r="C294" s="54">
        <v>250</v>
      </c>
      <c r="D294" s="54">
        <v>223</v>
      </c>
      <c r="E294" s="54">
        <v>40</v>
      </c>
      <c r="F294" s="54">
        <v>20</v>
      </c>
      <c r="G294" s="54">
        <v>0</v>
      </c>
      <c r="H294" s="54">
        <v>6</v>
      </c>
    </row>
    <row r="295" spans="1:8" x14ac:dyDescent="0.2">
      <c r="A295" s="54" t="s">
        <v>362</v>
      </c>
      <c r="B295" s="54">
        <v>132998</v>
      </c>
      <c r="C295" s="54">
        <v>82</v>
      </c>
      <c r="D295" s="54">
        <v>80</v>
      </c>
      <c r="E295" s="54">
        <v>8</v>
      </c>
      <c r="F295" s="54">
        <v>0</v>
      </c>
      <c r="G295" s="54">
        <v>5</v>
      </c>
      <c r="H295" s="54">
        <v>0</v>
      </c>
    </row>
    <row r="296" spans="1:8" x14ac:dyDescent="0.2">
      <c r="A296" s="54" t="s">
        <v>363</v>
      </c>
      <c r="B296" s="54">
        <v>579148</v>
      </c>
      <c r="C296" s="54">
        <v>1</v>
      </c>
      <c r="D296" s="54">
        <v>6</v>
      </c>
      <c r="E296" s="54">
        <v>8</v>
      </c>
      <c r="F296" s="54">
        <v>0</v>
      </c>
      <c r="G296" s="54">
        <v>0</v>
      </c>
      <c r="H296" s="54">
        <v>0</v>
      </c>
    </row>
    <row r="297" spans="1:8" x14ac:dyDescent="0.2">
      <c r="A297" s="54" t="s">
        <v>364</v>
      </c>
      <c r="B297" s="54">
        <v>148303</v>
      </c>
      <c r="C297" s="54">
        <v>15</v>
      </c>
      <c r="D297" s="54">
        <v>11</v>
      </c>
      <c r="E297" s="54">
        <v>7</v>
      </c>
      <c r="F297" s="54">
        <v>4</v>
      </c>
      <c r="G297" s="54">
        <v>41</v>
      </c>
      <c r="H297" s="54">
        <v>0</v>
      </c>
    </row>
    <row r="298" spans="1:8" x14ac:dyDescent="0.2">
      <c r="A298" s="54" t="s">
        <v>365</v>
      </c>
      <c r="B298" s="54">
        <v>493856</v>
      </c>
      <c r="C298" s="54">
        <v>25</v>
      </c>
      <c r="D298" s="54">
        <v>2</v>
      </c>
      <c r="E298" s="54">
        <v>10</v>
      </c>
      <c r="F298" s="54">
        <v>0</v>
      </c>
      <c r="G298" s="54">
        <v>0</v>
      </c>
      <c r="H298" s="54">
        <v>0</v>
      </c>
    </row>
    <row r="299" spans="1:8" x14ac:dyDescent="0.2">
      <c r="A299" s="54" t="s">
        <v>366</v>
      </c>
      <c r="B299" s="54">
        <v>307838</v>
      </c>
      <c r="C299" s="54">
        <v>10</v>
      </c>
      <c r="D299" s="54">
        <v>32</v>
      </c>
      <c r="E299" s="54">
        <v>6</v>
      </c>
      <c r="F299" s="54">
        <v>17</v>
      </c>
      <c r="G299" s="54">
        <v>0</v>
      </c>
      <c r="H299" s="54">
        <v>66</v>
      </c>
    </row>
    <row r="300" spans="1:8" x14ac:dyDescent="0.2">
      <c r="A300" s="54" t="s">
        <v>367</v>
      </c>
      <c r="B300" s="54">
        <v>488116</v>
      </c>
      <c r="C300" s="54">
        <v>8</v>
      </c>
      <c r="D300" s="54">
        <v>8</v>
      </c>
      <c r="E300" s="54">
        <v>9</v>
      </c>
      <c r="F300" s="54">
        <v>7</v>
      </c>
      <c r="G300" s="54">
        <v>54</v>
      </c>
      <c r="H300" s="54">
        <v>16</v>
      </c>
    </row>
    <row r="301" spans="1:8" x14ac:dyDescent="0.2">
      <c r="A301" s="54" t="s">
        <v>368</v>
      </c>
      <c r="B301" s="54">
        <v>326941</v>
      </c>
      <c r="C301" s="54">
        <v>1358</v>
      </c>
      <c r="D301" s="54">
        <v>80</v>
      </c>
      <c r="E301" s="54">
        <v>9</v>
      </c>
      <c r="F301" s="54">
        <v>0</v>
      </c>
      <c r="G301" s="54">
        <v>0</v>
      </c>
      <c r="H301" s="54">
        <v>0</v>
      </c>
    </row>
    <row r="302" spans="1:8" x14ac:dyDescent="0.2">
      <c r="A302" s="54" t="s">
        <v>369</v>
      </c>
      <c r="B302" s="54">
        <v>115901</v>
      </c>
      <c r="C302" s="54">
        <v>48</v>
      </c>
      <c r="D302" s="54">
        <v>45</v>
      </c>
      <c r="E302" s="54">
        <v>14</v>
      </c>
      <c r="F302" s="54">
        <v>46</v>
      </c>
      <c r="G302" s="54">
        <v>0</v>
      </c>
      <c r="H302" s="54">
        <v>0</v>
      </c>
    </row>
    <row r="303" spans="1:8" x14ac:dyDescent="0.2">
      <c r="A303" s="54" t="s">
        <v>370</v>
      </c>
      <c r="B303" s="54">
        <v>105706</v>
      </c>
      <c r="C303" s="54">
        <v>760</v>
      </c>
      <c r="D303" s="54">
        <v>778</v>
      </c>
      <c r="E303" s="54">
        <v>34</v>
      </c>
      <c r="F303" s="54">
        <v>2</v>
      </c>
      <c r="G303" s="54">
        <v>17</v>
      </c>
      <c r="H303" s="54">
        <v>2</v>
      </c>
    </row>
    <row r="304" spans="1:8" x14ac:dyDescent="0.2">
      <c r="A304" s="54" t="s">
        <v>371</v>
      </c>
      <c r="B304" s="54">
        <v>156030</v>
      </c>
      <c r="C304" s="54">
        <v>38</v>
      </c>
      <c r="D304" s="54">
        <v>25</v>
      </c>
      <c r="E304" s="54">
        <v>13</v>
      </c>
      <c r="F304" s="54">
        <v>0</v>
      </c>
      <c r="G304" s="54">
        <v>0</v>
      </c>
      <c r="H304" s="54">
        <v>0</v>
      </c>
    </row>
    <row r="305" spans="1:8" x14ac:dyDescent="0.2">
      <c r="A305" s="54" t="s">
        <v>372</v>
      </c>
      <c r="B305" s="54">
        <v>336327</v>
      </c>
      <c r="C305" s="54">
        <v>82</v>
      </c>
      <c r="D305" s="54">
        <v>119</v>
      </c>
      <c r="E305" s="54">
        <v>12</v>
      </c>
      <c r="F305" s="54">
        <v>1</v>
      </c>
      <c r="G305" s="54">
        <v>0</v>
      </c>
      <c r="H305" s="54">
        <v>0</v>
      </c>
    </row>
    <row r="306" spans="1:8" x14ac:dyDescent="0.2">
      <c r="A306" s="54" t="s">
        <v>373</v>
      </c>
      <c r="B306" s="54">
        <v>156634</v>
      </c>
      <c r="C306" s="54">
        <v>8</v>
      </c>
      <c r="D306" s="54">
        <v>7</v>
      </c>
      <c r="E306" s="54">
        <v>9</v>
      </c>
      <c r="F306" s="54">
        <v>0</v>
      </c>
      <c r="G306" s="54">
        <v>0</v>
      </c>
      <c r="H306" s="54">
        <v>0</v>
      </c>
    </row>
    <row r="307" spans="1:8" x14ac:dyDescent="0.2">
      <c r="A307" s="54" t="s">
        <v>374</v>
      </c>
      <c r="B307" s="54">
        <v>110318</v>
      </c>
      <c r="C307" s="54">
        <v>533</v>
      </c>
      <c r="D307" s="54">
        <v>312</v>
      </c>
      <c r="E307" s="54">
        <v>25</v>
      </c>
      <c r="F307" s="54">
        <v>0</v>
      </c>
      <c r="G307" s="54">
        <v>0</v>
      </c>
      <c r="H307" s="54">
        <v>5</v>
      </c>
    </row>
    <row r="308" spans="1:8" x14ac:dyDescent="0.2">
      <c r="A308" s="54" t="s">
        <v>375</v>
      </c>
      <c r="B308" s="54">
        <v>116180</v>
      </c>
      <c r="C308" s="54">
        <v>213</v>
      </c>
      <c r="D308" s="54">
        <v>87</v>
      </c>
      <c r="E308" s="54">
        <v>13</v>
      </c>
      <c r="F308" s="54">
        <v>0</v>
      </c>
      <c r="G308" s="54">
        <v>0</v>
      </c>
      <c r="H308" s="54">
        <v>0</v>
      </c>
    </row>
    <row r="309" spans="1:8" x14ac:dyDescent="0.2">
      <c r="A309" s="54" t="s">
        <v>376</v>
      </c>
      <c r="B309" s="54">
        <v>461977</v>
      </c>
      <c r="C309" s="54">
        <v>18</v>
      </c>
      <c r="D309" s="54">
        <v>10</v>
      </c>
      <c r="E309" s="54">
        <v>9</v>
      </c>
      <c r="F309" s="54">
        <v>0</v>
      </c>
      <c r="G309" s="54">
        <v>0</v>
      </c>
      <c r="H309" s="54">
        <v>0</v>
      </c>
    </row>
    <row r="310" spans="1:8" x14ac:dyDescent="0.2">
      <c r="A310" s="54" t="s">
        <v>377</v>
      </c>
      <c r="B310" s="54">
        <v>110274</v>
      </c>
      <c r="C310" s="54">
        <v>223</v>
      </c>
      <c r="D310" s="54">
        <v>160</v>
      </c>
      <c r="E310" s="54">
        <v>40</v>
      </c>
      <c r="F310" s="54">
        <v>18</v>
      </c>
      <c r="G310" s="54">
        <v>131</v>
      </c>
      <c r="H310" s="54">
        <v>10</v>
      </c>
    </row>
    <row r="311" spans="1:8" x14ac:dyDescent="0.2">
      <c r="A311" s="54" t="s">
        <v>378</v>
      </c>
      <c r="B311" s="54">
        <v>324380</v>
      </c>
      <c r="C311" s="54">
        <v>43</v>
      </c>
      <c r="D311" s="54">
        <v>41</v>
      </c>
      <c r="E311" s="54">
        <v>7</v>
      </c>
      <c r="F311" s="54">
        <v>7</v>
      </c>
      <c r="G311" s="54">
        <v>4</v>
      </c>
      <c r="H311" s="54">
        <v>6</v>
      </c>
    </row>
    <row r="312" spans="1:8" x14ac:dyDescent="0.2">
      <c r="A312" s="54" t="s">
        <v>379</v>
      </c>
      <c r="B312" s="54">
        <v>109678</v>
      </c>
      <c r="C312" s="54">
        <v>157</v>
      </c>
      <c r="D312" s="54">
        <v>150</v>
      </c>
      <c r="E312" s="54">
        <v>7</v>
      </c>
      <c r="F312" s="54">
        <v>0</v>
      </c>
      <c r="G312" s="54">
        <v>0</v>
      </c>
      <c r="H312" s="54">
        <v>14</v>
      </c>
    </row>
    <row r="313" spans="1:8" x14ac:dyDescent="0.2">
      <c r="A313" s="54" t="s">
        <v>380</v>
      </c>
      <c r="B313" s="54">
        <v>106566</v>
      </c>
      <c r="C313" s="54">
        <v>88</v>
      </c>
      <c r="D313" s="54">
        <v>90</v>
      </c>
      <c r="E313" s="54">
        <v>45</v>
      </c>
      <c r="F313" s="54">
        <v>0</v>
      </c>
      <c r="G313" s="54">
        <v>0</v>
      </c>
      <c r="H313" s="54">
        <v>0</v>
      </c>
    </row>
    <row r="314" spans="1:8" x14ac:dyDescent="0.2">
      <c r="A314" s="54" t="s">
        <v>381</v>
      </c>
      <c r="B314" s="54">
        <v>112627</v>
      </c>
      <c r="C314" s="54">
        <v>71</v>
      </c>
      <c r="D314" s="54">
        <v>35</v>
      </c>
      <c r="E314" s="54">
        <v>10</v>
      </c>
      <c r="F314" s="54">
        <v>0</v>
      </c>
      <c r="G314" s="54">
        <v>0</v>
      </c>
      <c r="H314" s="54">
        <v>0</v>
      </c>
    </row>
    <row r="315" spans="1:8" x14ac:dyDescent="0.2">
      <c r="A315" s="54" t="s">
        <v>382</v>
      </c>
      <c r="B315" s="54">
        <v>133567</v>
      </c>
      <c r="C315" s="54">
        <v>463</v>
      </c>
      <c r="D315" s="54">
        <v>340</v>
      </c>
      <c r="E315" s="54">
        <v>12</v>
      </c>
      <c r="F315" s="54">
        <v>0</v>
      </c>
      <c r="G315" s="54">
        <v>0</v>
      </c>
      <c r="H315" s="54">
        <v>0</v>
      </c>
    </row>
    <row r="316" spans="1:8" x14ac:dyDescent="0.2">
      <c r="A316" s="54" t="s">
        <v>383</v>
      </c>
      <c r="B316" s="54">
        <v>441034</v>
      </c>
      <c r="C316" s="54">
        <v>210</v>
      </c>
      <c r="D316" s="54">
        <v>40</v>
      </c>
      <c r="E316" s="54">
        <v>8</v>
      </c>
      <c r="F316" s="54">
        <v>36</v>
      </c>
      <c r="G316" s="54">
        <v>0</v>
      </c>
      <c r="H316" s="54">
        <v>0</v>
      </c>
    </row>
    <row r="317" spans="1:8" x14ac:dyDescent="0.2">
      <c r="A317" s="54" t="s">
        <v>384</v>
      </c>
      <c r="B317" s="54">
        <v>120234</v>
      </c>
      <c r="C317" s="54">
        <v>1</v>
      </c>
      <c r="D317" s="54">
        <v>22</v>
      </c>
      <c r="E317" s="54">
        <v>8</v>
      </c>
      <c r="F317" s="54">
        <v>0</v>
      </c>
      <c r="G317" s="54">
        <v>2</v>
      </c>
      <c r="H317" s="54">
        <v>0</v>
      </c>
    </row>
    <row r="318" spans="1:8" x14ac:dyDescent="0.2">
      <c r="A318" s="54" t="s">
        <v>385</v>
      </c>
      <c r="B318" s="54">
        <v>448278</v>
      </c>
      <c r="C318" s="54">
        <v>2</v>
      </c>
      <c r="D318" s="54">
        <v>13</v>
      </c>
      <c r="E318" s="54">
        <v>13</v>
      </c>
      <c r="F318" s="54">
        <v>14</v>
      </c>
      <c r="G318" s="54">
        <v>0</v>
      </c>
      <c r="H318" s="54">
        <v>11</v>
      </c>
    </row>
    <row r="319" spans="1:8" x14ac:dyDescent="0.2">
      <c r="A319" s="54" t="s">
        <v>386</v>
      </c>
      <c r="B319" s="54">
        <v>131884</v>
      </c>
      <c r="C319" s="54">
        <v>82</v>
      </c>
      <c r="D319" s="54">
        <v>95</v>
      </c>
      <c r="E319" s="54">
        <v>10</v>
      </c>
      <c r="F319" s="54">
        <v>0</v>
      </c>
      <c r="G319" s="54">
        <v>0</v>
      </c>
      <c r="H319" s="54">
        <v>0</v>
      </c>
    </row>
    <row r="320" spans="1:8" x14ac:dyDescent="0.2">
      <c r="A320" s="54" t="s">
        <v>387</v>
      </c>
      <c r="B320" s="54">
        <v>205183</v>
      </c>
      <c r="C320" s="54">
        <v>5</v>
      </c>
      <c r="D320" s="54">
        <v>10</v>
      </c>
      <c r="E320" s="54">
        <v>6</v>
      </c>
      <c r="F320" s="54">
        <v>0</v>
      </c>
      <c r="G320" s="54">
        <v>0</v>
      </c>
      <c r="H320" s="54">
        <v>0</v>
      </c>
    </row>
    <row r="321" spans="1:8" x14ac:dyDescent="0.2">
      <c r="A321" s="54" t="s">
        <v>388</v>
      </c>
      <c r="B321" s="54">
        <v>113399</v>
      </c>
      <c r="C321" s="54">
        <v>125</v>
      </c>
      <c r="D321" s="54">
        <v>100</v>
      </c>
      <c r="E321" s="54">
        <v>21</v>
      </c>
      <c r="F321" s="54">
        <v>0</v>
      </c>
      <c r="G321" s="54">
        <v>33</v>
      </c>
      <c r="H321" s="54">
        <v>89</v>
      </c>
    </row>
    <row r="322" spans="1:8" x14ac:dyDescent="0.2">
      <c r="A322" s="54" t="s">
        <v>389</v>
      </c>
      <c r="B322" s="54">
        <v>109229</v>
      </c>
      <c r="C322" s="54">
        <v>285</v>
      </c>
      <c r="D322" s="54">
        <v>228</v>
      </c>
      <c r="E322" s="54">
        <v>25</v>
      </c>
      <c r="F322" s="54">
        <v>0</v>
      </c>
      <c r="G322" s="54">
        <v>0</v>
      </c>
      <c r="H322" s="54">
        <v>0</v>
      </c>
    </row>
    <row r="323" spans="1:8" x14ac:dyDescent="0.2">
      <c r="A323" s="54" t="s">
        <v>390</v>
      </c>
      <c r="B323" s="54">
        <v>106876</v>
      </c>
      <c r="C323" s="54">
        <v>3</v>
      </c>
      <c r="D323" s="54">
        <v>48</v>
      </c>
      <c r="E323" s="54">
        <v>45</v>
      </c>
      <c r="F323" s="54">
        <v>0</v>
      </c>
      <c r="G323" s="54">
        <v>10</v>
      </c>
      <c r="H323" s="54">
        <v>0</v>
      </c>
    </row>
    <row r="324" spans="1:8" x14ac:dyDescent="0.2">
      <c r="A324" s="54" t="s">
        <v>391</v>
      </c>
      <c r="B324" s="54">
        <v>108379</v>
      </c>
      <c r="C324" s="54">
        <v>461</v>
      </c>
      <c r="D324" s="54">
        <v>368</v>
      </c>
      <c r="E324" s="54">
        <v>13</v>
      </c>
      <c r="F324" s="54">
        <v>34</v>
      </c>
      <c r="G324" s="54">
        <v>0</v>
      </c>
      <c r="H324" s="54">
        <v>5</v>
      </c>
    </row>
    <row r="325" spans="1:8" x14ac:dyDescent="0.2">
      <c r="A325" s="54" t="s">
        <v>392</v>
      </c>
      <c r="B325" s="54">
        <v>201477</v>
      </c>
      <c r="C325" s="54">
        <v>52</v>
      </c>
      <c r="D325" s="54">
        <v>55</v>
      </c>
      <c r="E325" s="54">
        <v>38</v>
      </c>
      <c r="F325" s="54">
        <v>8</v>
      </c>
      <c r="G325" s="54">
        <v>0</v>
      </c>
      <c r="H325" s="54">
        <v>92</v>
      </c>
    </row>
    <row r="326" spans="1:8" x14ac:dyDescent="0.2">
      <c r="A326" s="54" t="s">
        <v>393</v>
      </c>
      <c r="B326" s="54">
        <v>480877</v>
      </c>
      <c r="C326" s="54">
        <v>15</v>
      </c>
      <c r="D326" s="54">
        <v>15</v>
      </c>
      <c r="E326" s="54">
        <v>10</v>
      </c>
      <c r="F326" s="54">
        <v>0</v>
      </c>
      <c r="G326" s="54">
        <v>2</v>
      </c>
      <c r="H326" s="54">
        <v>1</v>
      </c>
    </row>
    <row r="327" spans="1:8" x14ac:dyDescent="0.2">
      <c r="A327" s="54" t="s">
        <v>394</v>
      </c>
      <c r="B327" s="54">
        <v>107920</v>
      </c>
      <c r="C327" s="54">
        <v>150</v>
      </c>
      <c r="D327" s="54">
        <v>140</v>
      </c>
      <c r="E327" s="54">
        <v>9</v>
      </c>
      <c r="F327" s="54">
        <v>108</v>
      </c>
      <c r="G327" s="54">
        <v>0</v>
      </c>
      <c r="H327" s="54">
        <v>0</v>
      </c>
    </row>
    <row r="328" spans="1:8" x14ac:dyDescent="0.2">
      <c r="A328" s="54" t="s">
        <v>395</v>
      </c>
      <c r="B328" s="54">
        <v>512912</v>
      </c>
      <c r="C328" s="54">
        <v>0</v>
      </c>
      <c r="D328" s="54">
        <v>40</v>
      </c>
      <c r="E328" s="54">
        <v>21</v>
      </c>
      <c r="F328" s="54">
        <v>0</v>
      </c>
      <c r="G328" s="54">
        <v>0</v>
      </c>
      <c r="H328" s="54">
        <v>0</v>
      </c>
    </row>
    <row r="329" spans="1:8" x14ac:dyDescent="0.2">
      <c r="A329" s="54" t="s">
        <v>396</v>
      </c>
      <c r="B329" s="54">
        <v>108283</v>
      </c>
      <c r="C329" s="54">
        <v>0</v>
      </c>
      <c r="D329" s="54">
        <v>12</v>
      </c>
      <c r="E329" s="54">
        <v>12</v>
      </c>
      <c r="F329" s="54">
        <v>0</v>
      </c>
      <c r="G329" s="54">
        <v>0</v>
      </c>
      <c r="H329" s="54">
        <v>2</v>
      </c>
    </row>
    <row r="330" spans="1:8" x14ac:dyDescent="0.2">
      <c r="A330" s="54" t="s">
        <v>397</v>
      </c>
      <c r="B330" s="54">
        <v>108403</v>
      </c>
      <c r="C330" s="54">
        <v>121</v>
      </c>
      <c r="D330" s="54">
        <v>109</v>
      </c>
      <c r="E330" s="54">
        <v>9</v>
      </c>
      <c r="F330" s="54">
        <v>1</v>
      </c>
      <c r="G330" s="54">
        <v>0</v>
      </c>
      <c r="H330" s="54">
        <v>0</v>
      </c>
    </row>
    <row r="331" spans="1:8" x14ac:dyDescent="0.2">
      <c r="A331" s="54" t="s">
        <v>398</v>
      </c>
      <c r="B331" s="54">
        <v>157734</v>
      </c>
      <c r="C331" s="54">
        <v>68</v>
      </c>
      <c r="D331" s="54">
        <v>73</v>
      </c>
      <c r="E331" s="54">
        <v>15</v>
      </c>
      <c r="F331" s="54">
        <v>0</v>
      </c>
      <c r="G331" s="54">
        <v>1</v>
      </c>
      <c r="H331" s="54">
        <v>3</v>
      </c>
    </row>
    <row r="332" spans="1:8" x14ac:dyDescent="0.2">
      <c r="A332" s="54" t="s">
        <v>399</v>
      </c>
      <c r="B332" s="54">
        <v>108014</v>
      </c>
      <c r="C332" s="54">
        <v>157</v>
      </c>
      <c r="D332" s="54">
        <v>250</v>
      </c>
      <c r="E332" s="54">
        <v>49</v>
      </c>
      <c r="F332" s="54">
        <v>9</v>
      </c>
      <c r="G332" s="54">
        <v>0</v>
      </c>
      <c r="H332" s="54">
        <v>3</v>
      </c>
    </row>
    <row r="333" spans="1:8" x14ac:dyDescent="0.2">
      <c r="A333" s="54" t="s">
        <v>400</v>
      </c>
      <c r="B333" s="54">
        <v>112152</v>
      </c>
      <c r="C333" s="54">
        <v>60</v>
      </c>
      <c r="D333" s="54">
        <v>60</v>
      </c>
      <c r="E333" s="54">
        <v>25</v>
      </c>
      <c r="F333" s="54">
        <v>0</v>
      </c>
      <c r="G333" s="54">
        <v>0</v>
      </c>
      <c r="H333" s="54">
        <v>36</v>
      </c>
    </row>
    <row r="334" spans="1:8" x14ac:dyDescent="0.2">
      <c r="A334" s="54" t="s">
        <v>401</v>
      </c>
      <c r="B334" s="54">
        <v>322803</v>
      </c>
      <c r="C334" s="54">
        <v>31</v>
      </c>
      <c r="D334" s="54">
        <v>12</v>
      </c>
      <c r="E334" s="54">
        <v>12</v>
      </c>
      <c r="F334" s="54">
        <v>0</v>
      </c>
      <c r="G334" s="54">
        <v>0</v>
      </c>
      <c r="H334" s="54">
        <v>0</v>
      </c>
    </row>
    <row r="335" spans="1:8" x14ac:dyDescent="0.2">
      <c r="A335" s="54" t="s">
        <v>402</v>
      </c>
      <c r="B335" s="54">
        <v>110248</v>
      </c>
      <c r="C335" s="54">
        <v>4</v>
      </c>
      <c r="D335" s="54">
        <v>48</v>
      </c>
      <c r="E335" s="54">
        <v>6</v>
      </c>
      <c r="F335" s="54">
        <v>46</v>
      </c>
      <c r="G335" s="54">
        <v>12</v>
      </c>
      <c r="H335" s="54">
        <v>0</v>
      </c>
    </row>
    <row r="336" spans="1:8" x14ac:dyDescent="0.2">
      <c r="A336" s="54" t="s">
        <v>403</v>
      </c>
      <c r="B336" s="54">
        <v>106627</v>
      </c>
      <c r="C336" s="54">
        <v>80</v>
      </c>
      <c r="D336" s="54">
        <v>40</v>
      </c>
      <c r="E336" s="54">
        <v>11</v>
      </c>
      <c r="F336" s="54">
        <v>2</v>
      </c>
      <c r="G336" s="54">
        <v>4</v>
      </c>
      <c r="H336" s="54">
        <v>2</v>
      </c>
    </row>
    <row r="337" spans="1:8" x14ac:dyDescent="0.2">
      <c r="A337" s="54" t="s">
        <v>404</v>
      </c>
      <c r="B337" s="54">
        <v>326240</v>
      </c>
      <c r="C337" s="54">
        <v>0</v>
      </c>
      <c r="D337" s="54">
        <v>54</v>
      </c>
      <c r="E337" s="54">
        <v>19</v>
      </c>
      <c r="F337" s="54">
        <v>0</v>
      </c>
      <c r="G337" s="54">
        <v>1</v>
      </c>
      <c r="H337" s="54">
        <v>0</v>
      </c>
    </row>
    <row r="338" spans="1:8" x14ac:dyDescent="0.2">
      <c r="A338" s="54" t="s">
        <v>405</v>
      </c>
      <c r="B338" s="54">
        <v>109149</v>
      </c>
      <c r="C338" s="54">
        <v>14</v>
      </c>
      <c r="D338" s="54">
        <v>14</v>
      </c>
      <c r="E338" s="54">
        <v>10</v>
      </c>
      <c r="F338" s="54">
        <v>0</v>
      </c>
      <c r="G338" s="54">
        <v>0</v>
      </c>
      <c r="H338" s="54">
        <v>0</v>
      </c>
    </row>
    <row r="339" spans="1:8" x14ac:dyDescent="0.2">
      <c r="A339" s="54" t="s">
        <v>406</v>
      </c>
      <c r="B339" s="54">
        <v>112992</v>
      </c>
      <c r="C339" s="54">
        <v>14</v>
      </c>
      <c r="D339" s="54">
        <v>12</v>
      </c>
      <c r="E339" s="54">
        <v>15</v>
      </c>
      <c r="F339" s="54">
        <v>0</v>
      </c>
      <c r="G339" s="54">
        <v>0</v>
      </c>
      <c r="H339" s="54">
        <v>1</v>
      </c>
    </row>
    <row r="340" spans="1:8" x14ac:dyDescent="0.2">
      <c r="A340" s="54" t="s">
        <v>407</v>
      </c>
      <c r="B340" s="54">
        <v>482999</v>
      </c>
      <c r="C340" s="54">
        <v>18</v>
      </c>
      <c r="D340" s="54">
        <v>16</v>
      </c>
      <c r="E340" s="54">
        <v>49</v>
      </c>
      <c r="F340" s="54">
        <v>27</v>
      </c>
      <c r="G340" s="54">
        <v>20</v>
      </c>
      <c r="H340" s="54">
        <v>0</v>
      </c>
    </row>
    <row r="341" spans="1:8" x14ac:dyDescent="0.2">
      <c r="A341" s="54" t="s">
        <v>408</v>
      </c>
      <c r="B341" s="54">
        <v>115661</v>
      </c>
      <c r="C341" s="54">
        <v>107</v>
      </c>
      <c r="D341" s="54">
        <v>125</v>
      </c>
      <c r="E341" s="54">
        <v>11</v>
      </c>
      <c r="F341" s="54">
        <v>0</v>
      </c>
      <c r="G341" s="54">
        <v>0</v>
      </c>
      <c r="H341" s="54">
        <v>0</v>
      </c>
    </row>
    <row r="342" spans="1:8" x14ac:dyDescent="0.2">
      <c r="A342" s="54" t="s">
        <v>409</v>
      </c>
      <c r="B342" s="54">
        <v>315428</v>
      </c>
      <c r="C342" s="54">
        <v>28</v>
      </c>
      <c r="D342" s="54">
        <v>48</v>
      </c>
      <c r="E342" s="54">
        <v>13</v>
      </c>
      <c r="F342" s="54">
        <v>0</v>
      </c>
      <c r="G342" s="54">
        <v>0</v>
      </c>
      <c r="H342" s="54">
        <v>0</v>
      </c>
    </row>
    <row r="343" spans="1:8" x14ac:dyDescent="0.2">
      <c r="A343" s="54" t="s">
        <v>410</v>
      </c>
      <c r="B343" s="54">
        <v>141725</v>
      </c>
      <c r="C343" s="54">
        <v>1</v>
      </c>
      <c r="D343" s="54">
        <v>50</v>
      </c>
      <c r="E343" s="54">
        <v>9</v>
      </c>
      <c r="F343" s="54">
        <v>0</v>
      </c>
      <c r="G343" s="54">
        <v>95</v>
      </c>
      <c r="H343" s="54">
        <v>6</v>
      </c>
    </row>
    <row r="344" spans="1:8" x14ac:dyDescent="0.2">
      <c r="A344" s="54" t="s">
        <v>411</v>
      </c>
      <c r="B344" s="54">
        <v>107787</v>
      </c>
      <c r="C344" s="54">
        <v>119</v>
      </c>
      <c r="D344" s="54">
        <v>287</v>
      </c>
      <c r="E344" s="54">
        <v>12</v>
      </c>
      <c r="F344" s="54">
        <v>0</v>
      </c>
      <c r="G344" s="54">
        <v>0</v>
      </c>
      <c r="H344" s="54">
        <v>0</v>
      </c>
    </row>
    <row r="345" spans="1:8" x14ac:dyDescent="0.2">
      <c r="A345" s="54" t="s">
        <v>412</v>
      </c>
      <c r="B345" s="54">
        <v>486478</v>
      </c>
      <c r="C345" s="54">
        <v>155</v>
      </c>
      <c r="D345" s="54">
        <v>350</v>
      </c>
      <c r="E345" s="54">
        <v>15</v>
      </c>
      <c r="F345" s="54">
        <v>4</v>
      </c>
      <c r="G345" s="54">
        <v>1</v>
      </c>
      <c r="H345" s="54">
        <v>0</v>
      </c>
    </row>
    <row r="346" spans="1:8" x14ac:dyDescent="0.2">
      <c r="A346" s="54" t="s">
        <v>413</v>
      </c>
      <c r="B346" s="54">
        <v>321467</v>
      </c>
      <c r="C346" s="54">
        <v>9</v>
      </c>
      <c r="D346" s="54">
        <v>36</v>
      </c>
      <c r="E346" s="54">
        <v>8</v>
      </c>
      <c r="F346" s="54">
        <v>3</v>
      </c>
      <c r="G346" s="54">
        <v>3</v>
      </c>
      <c r="H346" s="54">
        <v>0</v>
      </c>
    </row>
    <row r="347" spans="1:8" x14ac:dyDescent="0.2">
      <c r="A347" s="54" t="s">
        <v>414</v>
      </c>
      <c r="B347" s="54">
        <v>107372</v>
      </c>
      <c r="C347" s="54">
        <v>3</v>
      </c>
      <c r="D347" s="54">
        <v>65</v>
      </c>
      <c r="E347" s="54">
        <v>9</v>
      </c>
      <c r="F347" s="54">
        <v>0</v>
      </c>
      <c r="G347" s="54">
        <v>0</v>
      </c>
      <c r="H347" s="54">
        <v>0</v>
      </c>
    </row>
    <row r="348" spans="1:8" x14ac:dyDescent="0.2">
      <c r="A348" s="54" t="s">
        <v>415</v>
      </c>
      <c r="B348" s="54">
        <v>135122</v>
      </c>
      <c r="C348" s="54">
        <v>862</v>
      </c>
      <c r="D348" s="54">
        <v>800</v>
      </c>
      <c r="E348" s="54">
        <v>28</v>
      </c>
      <c r="F348" s="54">
        <v>0</v>
      </c>
      <c r="G348" s="54">
        <v>1</v>
      </c>
      <c r="H348" s="54">
        <v>0</v>
      </c>
    </row>
    <row r="349" spans="1:8" x14ac:dyDescent="0.2">
      <c r="A349" s="54" t="s">
        <v>416</v>
      </c>
      <c r="B349" s="54">
        <v>310479</v>
      </c>
      <c r="C349" s="54">
        <v>44</v>
      </c>
      <c r="D349" s="54">
        <v>45</v>
      </c>
      <c r="E349" s="54">
        <v>8</v>
      </c>
      <c r="F349" s="54">
        <v>8</v>
      </c>
      <c r="G349" s="54">
        <v>1</v>
      </c>
      <c r="H349" s="54">
        <v>4</v>
      </c>
    </row>
    <row r="350" spans="1:8" x14ac:dyDescent="0.2">
      <c r="A350" s="54" t="s">
        <v>417</v>
      </c>
      <c r="B350" s="54">
        <v>493451</v>
      </c>
      <c r="C350" s="54">
        <v>5</v>
      </c>
      <c r="D350" s="54">
        <v>8</v>
      </c>
      <c r="E350" s="54">
        <v>6</v>
      </c>
      <c r="F350" s="54">
        <v>0</v>
      </c>
      <c r="G350" s="54">
        <v>0</v>
      </c>
      <c r="H350" s="54">
        <v>0</v>
      </c>
    </row>
    <row r="351" spans="1:8" x14ac:dyDescent="0.2">
      <c r="A351" s="54" t="s">
        <v>418</v>
      </c>
      <c r="B351" s="54">
        <v>108263</v>
      </c>
      <c r="C351" s="54">
        <v>0</v>
      </c>
      <c r="D351" s="54">
        <v>16</v>
      </c>
      <c r="E351" s="54">
        <v>13</v>
      </c>
      <c r="F351" s="54">
        <v>0</v>
      </c>
      <c r="G351" s="54">
        <v>10</v>
      </c>
      <c r="H351" s="54">
        <v>38</v>
      </c>
    </row>
    <row r="352" spans="1:8" x14ac:dyDescent="0.2">
      <c r="A352" s="54" t="s">
        <v>419</v>
      </c>
      <c r="B352" s="54">
        <v>494655</v>
      </c>
      <c r="C352" s="54">
        <v>17</v>
      </c>
      <c r="D352" s="54">
        <v>15</v>
      </c>
      <c r="E352" s="54">
        <v>44</v>
      </c>
      <c r="F352" s="54">
        <v>0</v>
      </c>
      <c r="G352" s="54">
        <v>0</v>
      </c>
      <c r="H352" s="54">
        <v>0</v>
      </c>
    </row>
    <row r="353" spans="1:8" x14ac:dyDescent="0.2">
      <c r="A353" s="54" t="s">
        <v>420</v>
      </c>
      <c r="B353" s="54">
        <v>108060</v>
      </c>
      <c r="C353" s="54">
        <v>31</v>
      </c>
      <c r="D353" s="54">
        <v>45</v>
      </c>
      <c r="E353" s="54">
        <v>46</v>
      </c>
      <c r="F353" s="54">
        <v>0</v>
      </c>
      <c r="G353" s="54">
        <v>0</v>
      </c>
      <c r="H353" s="54">
        <v>0</v>
      </c>
    </row>
    <row r="354" spans="1:8" x14ac:dyDescent="0.2">
      <c r="A354" s="54" t="s">
        <v>421</v>
      </c>
      <c r="B354" s="54">
        <v>129244</v>
      </c>
      <c r="C354" s="54">
        <v>215</v>
      </c>
      <c r="D354" s="54">
        <v>1050</v>
      </c>
      <c r="E354" s="54">
        <v>10</v>
      </c>
      <c r="F354" s="54">
        <v>4</v>
      </c>
      <c r="G354" s="54">
        <v>6</v>
      </c>
      <c r="H354" s="54">
        <v>60</v>
      </c>
    </row>
    <row r="355" spans="1:8" x14ac:dyDescent="0.2">
      <c r="A355" s="54" t="s">
        <v>422</v>
      </c>
      <c r="B355" s="54">
        <v>107137</v>
      </c>
      <c r="C355" s="54">
        <v>255</v>
      </c>
      <c r="D355" s="54">
        <v>64</v>
      </c>
      <c r="E355" s="54">
        <v>12</v>
      </c>
      <c r="F355" s="54">
        <v>10</v>
      </c>
      <c r="G355" s="54">
        <v>1</v>
      </c>
      <c r="H355" s="54">
        <v>0</v>
      </c>
    </row>
    <row r="356" spans="1:8" x14ac:dyDescent="0.2">
      <c r="A356" s="54" t="s">
        <v>423</v>
      </c>
      <c r="B356" s="54">
        <v>109369</v>
      </c>
      <c r="C356" s="54">
        <v>94</v>
      </c>
      <c r="D356" s="54">
        <v>86</v>
      </c>
      <c r="E356" s="54">
        <v>40</v>
      </c>
      <c r="F356" s="54">
        <v>6</v>
      </c>
      <c r="G356" s="54">
        <v>12</v>
      </c>
      <c r="H356" s="54">
        <v>27</v>
      </c>
    </row>
    <row r="357" spans="1:8" x14ac:dyDescent="0.2">
      <c r="A357" s="54" t="s">
        <v>424</v>
      </c>
      <c r="B357" s="54">
        <v>132097</v>
      </c>
      <c r="C357" s="54">
        <v>377</v>
      </c>
      <c r="D357" s="54">
        <v>785</v>
      </c>
      <c r="E357" s="54">
        <v>12</v>
      </c>
      <c r="F357" s="54">
        <v>0</v>
      </c>
      <c r="G357" s="54">
        <v>0</v>
      </c>
      <c r="H357" s="54">
        <v>0</v>
      </c>
    </row>
    <row r="358" spans="1:8" x14ac:dyDescent="0.2">
      <c r="A358" s="54" t="s">
        <v>425</v>
      </c>
      <c r="B358" s="54">
        <v>106841</v>
      </c>
      <c r="C358" s="54">
        <v>20</v>
      </c>
      <c r="D358" s="54">
        <v>54</v>
      </c>
      <c r="E358" s="54">
        <v>10</v>
      </c>
      <c r="F358" s="54">
        <v>0</v>
      </c>
      <c r="G358" s="54">
        <v>0</v>
      </c>
      <c r="H358" s="54">
        <v>0</v>
      </c>
    </row>
    <row r="359" spans="1:8" x14ac:dyDescent="0.2">
      <c r="A359" s="54" t="s">
        <v>426</v>
      </c>
      <c r="B359" s="54">
        <v>174235</v>
      </c>
      <c r="C359" s="54">
        <v>44</v>
      </c>
      <c r="D359" s="54">
        <v>40</v>
      </c>
      <c r="E359" s="54">
        <v>33</v>
      </c>
      <c r="F359" s="54">
        <v>0</v>
      </c>
      <c r="G359" s="54">
        <v>0</v>
      </c>
      <c r="H359" s="54">
        <v>0</v>
      </c>
    </row>
    <row r="360" spans="1:8" x14ac:dyDescent="0.2">
      <c r="A360" s="54" t="s">
        <v>427</v>
      </c>
      <c r="B360" s="54">
        <v>117857</v>
      </c>
      <c r="C360" s="54">
        <v>38</v>
      </c>
      <c r="D360" s="54">
        <v>230</v>
      </c>
      <c r="E360" s="54">
        <v>10</v>
      </c>
      <c r="F360" s="54">
        <v>11</v>
      </c>
      <c r="G360" s="54">
        <v>0</v>
      </c>
      <c r="H360" s="54">
        <v>0</v>
      </c>
    </row>
    <row r="361" spans="1:8" x14ac:dyDescent="0.2">
      <c r="A361" s="54" t="s">
        <v>428</v>
      </c>
      <c r="B361" s="54">
        <v>109013</v>
      </c>
      <c r="C361" s="54">
        <v>80</v>
      </c>
      <c r="D361" s="54">
        <v>145</v>
      </c>
      <c r="E361" s="54">
        <v>11</v>
      </c>
      <c r="F361" s="54">
        <v>0</v>
      </c>
      <c r="G361" s="54">
        <v>7</v>
      </c>
      <c r="H361" s="54">
        <v>0</v>
      </c>
    </row>
    <row r="362" spans="1:8" x14ac:dyDescent="0.2">
      <c r="A362" s="54" t="s">
        <v>429</v>
      </c>
      <c r="B362" s="54">
        <v>228700</v>
      </c>
      <c r="C362" s="54">
        <v>608</v>
      </c>
      <c r="D362" s="54">
        <v>550</v>
      </c>
      <c r="E362" s="54">
        <v>16</v>
      </c>
      <c r="F362" s="54">
        <v>0</v>
      </c>
      <c r="G362" s="54">
        <v>7</v>
      </c>
      <c r="H362" s="54">
        <v>0</v>
      </c>
    </row>
    <row r="363" spans="1:8" x14ac:dyDescent="0.2">
      <c r="A363" s="54" t="s">
        <v>430</v>
      </c>
      <c r="B363" s="54">
        <v>458721</v>
      </c>
      <c r="C363" s="54">
        <v>23</v>
      </c>
      <c r="D363" s="54">
        <v>46</v>
      </c>
      <c r="E363" s="54">
        <v>7</v>
      </c>
      <c r="F363" s="54">
        <v>0</v>
      </c>
      <c r="G363" s="54">
        <v>0</v>
      </c>
      <c r="H363" s="54">
        <v>0</v>
      </c>
    </row>
    <row r="364" spans="1:8" x14ac:dyDescent="0.2">
      <c r="A364" s="54" t="s">
        <v>431</v>
      </c>
      <c r="B364" s="54">
        <v>479807</v>
      </c>
      <c r="C364" s="54">
        <v>63</v>
      </c>
      <c r="D364" s="54">
        <v>60</v>
      </c>
      <c r="E364" s="54">
        <v>21</v>
      </c>
      <c r="F364" s="54">
        <v>0</v>
      </c>
      <c r="G364" s="54">
        <v>0</v>
      </c>
      <c r="H364" s="54">
        <v>0</v>
      </c>
    </row>
    <row r="365" spans="1:8" x14ac:dyDescent="0.2">
      <c r="A365" s="54" t="s">
        <v>432</v>
      </c>
      <c r="B365" s="54">
        <v>157728</v>
      </c>
      <c r="C365" s="54">
        <v>95</v>
      </c>
      <c r="D365" s="54">
        <v>45</v>
      </c>
      <c r="E365" s="54">
        <v>8</v>
      </c>
      <c r="F365" s="54">
        <v>0</v>
      </c>
      <c r="G365" s="54">
        <v>0</v>
      </c>
      <c r="H365" s="54">
        <v>0</v>
      </c>
    </row>
    <row r="366" spans="1:8" x14ac:dyDescent="0.2">
      <c r="A366" s="54" t="s">
        <v>433</v>
      </c>
      <c r="B366" s="54">
        <v>108766</v>
      </c>
      <c r="C366" s="54">
        <v>24</v>
      </c>
      <c r="D366" s="54">
        <v>19</v>
      </c>
      <c r="E366" s="54">
        <v>11</v>
      </c>
      <c r="F366" s="54">
        <v>0</v>
      </c>
      <c r="G366" s="54">
        <v>0</v>
      </c>
      <c r="H366" s="54">
        <v>0</v>
      </c>
    </row>
    <row r="367" spans="1:8" x14ac:dyDescent="0.2">
      <c r="A367" s="54" t="s">
        <v>434</v>
      </c>
      <c r="B367" s="54">
        <v>109353</v>
      </c>
      <c r="C367" s="54">
        <v>40</v>
      </c>
      <c r="D367" s="54">
        <v>34</v>
      </c>
      <c r="E367" s="54">
        <v>6</v>
      </c>
      <c r="F367" s="54">
        <v>31</v>
      </c>
      <c r="G367" s="54">
        <v>0</v>
      </c>
      <c r="H367" s="54">
        <v>0</v>
      </c>
    </row>
    <row r="368" spans="1:8" x14ac:dyDescent="0.2">
      <c r="A368" s="54" t="s">
        <v>435</v>
      </c>
      <c r="B368" s="54">
        <v>113149</v>
      </c>
      <c r="C368" s="54">
        <v>16</v>
      </c>
      <c r="D368" s="54">
        <v>12</v>
      </c>
      <c r="E368" s="54">
        <v>6</v>
      </c>
      <c r="F368" s="54">
        <v>0</v>
      </c>
      <c r="G368" s="54">
        <v>20</v>
      </c>
      <c r="H368" s="54">
        <v>0</v>
      </c>
    </row>
    <row r="369" spans="1:8" x14ac:dyDescent="0.2">
      <c r="A369" s="54" t="s">
        <v>436</v>
      </c>
      <c r="B369" s="54">
        <v>108412</v>
      </c>
      <c r="C369" s="54">
        <v>93</v>
      </c>
      <c r="D369" s="54">
        <v>205</v>
      </c>
      <c r="E369" s="54">
        <v>34</v>
      </c>
      <c r="F369" s="54">
        <v>4</v>
      </c>
      <c r="G369" s="54">
        <v>0</v>
      </c>
      <c r="H369" s="54">
        <v>0</v>
      </c>
    </row>
    <row r="370" spans="1:8" x14ac:dyDescent="0.2">
      <c r="A370" s="54" t="s">
        <v>437</v>
      </c>
      <c r="B370" s="54">
        <v>107189</v>
      </c>
      <c r="C370" s="54">
        <v>16</v>
      </c>
      <c r="D370" s="54">
        <v>25</v>
      </c>
      <c r="E370" s="54">
        <v>11</v>
      </c>
      <c r="F370" s="54">
        <v>0</v>
      </c>
      <c r="G370" s="54">
        <v>0</v>
      </c>
      <c r="H370" s="54">
        <v>0</v>
      </c>
    </row>
    <row r="371" spans="1:8" x14ac:dyDescent="0.2">
      <c r="A371" s="54" t="s">
        <v>438</v>
      </c>
      <c r="B371" s="54">
        <v>105721</v>
      </c>
      <c r="C371" s="54">
        <v>142</v>
      </c>
      <c r="D371" s="54">
        <v>132</v>
      </c>
      <c r="E371" s="54">
        <v>36</v>
      </c>
      <c r="F371" s="54">
        <v>2</v>
      </c>
      <c r="G371" s="54">
        <v>0</v>
      </c>
      <c r="H371" s="54">
        <v>7</v>
      </c>
    </row>
    <row r="372" spans="1:8" x14ac:dyDescent="0.2">
      <c r="A372" s="54" t="s">
        <v>439</v>
      </c>
      <c r="B372" s="54">
        <v>308856</v>
      </c>
      <c r="C372" s="54">
        <v>275</v>
      </c>
      <c r="D372" s="54">
        <v>350</v>
      </c>
      <c r="E372" s="54">
        <v>11</v>
      </c>
      <c r="F372" s="54">
        <v>0</v>
      </c>
      <c r="G372" s="54">
        <v>7</v>
      </c>
      <c r="H372" s="54">
        <v>3</v>
      </c>
    </row>
    <row r="373" spans="1:8" x14ac:dyDescent="0.2">
      <c r="A373" s="54" t="s">
        <v>440</v>
      </c>
      <c r="B373" s="54">
        <v>110487</v>
      </c>
      <c r="C373" s="54">
        <v>296</v>
      </c>
      <c r="D373" s="54">
        <v>175</v>
      </c>
      <c r="E373" s="54">
        <v>7</v>
      </c>
      <c r="F373" s="54">
        <v>0</v>
      </c>
      <c r="G373" s="54">
        <v>0</v>
      </c>
      <c r="H373" s="54">
        <v>39</v>
      </c>
    </row>
    <row r="374" spans="1:8" x14ac:dyDescent="0.2">
      <c r="A374" s="54" t="s">
        <v>441</v>
      </c>
      <c r="B374" s="54">
        <v>542050</v>
      </c>
      <c r="C374" s="54">
        <v>101</v>
      </c>
      <c r="D374" s="54">
        <v>100</v>
      </c>
      <c r="E374" s="54">
        <v>24</v>
      </c>
      <c r="F374" s="54">
        <v>0</v>
      </c>
      <c r="G374" s="54">
        <v>9</v>
      </c>
      <c r="H374" s="54">
        <v>17</v>
      </c>
    </row>
    <row r="375" spans="1:8" x14ac:dyDescent="0.2">
      <c r="A375" s="54" t="s">
        <v>442</v>
      </c>
      <c r="B375" s="54">
        <v>107937</v>
      </c>
      <c r="C375" s="54">
        <v>2</v>
      </c>
      <c r="D375" s="54">
        <v>5</v>
      </c>
      <c r="E375" s="54">
        <v>9</v>
      </c>
      <c r="F375" s="54">
        <v>3</v>
      </c>
      <c r="G375" s="54">
        <v>0</v>
      </c>
      <c r="H375" s="54">
        <v>0</v>
      </c>
    </row>
    <row r="376" spans="1:8" x14ac:dyDescent="0.2">
      <c r="A376" s="54" t="s">
        <v>443</v>
      </c>
      <c r="B376" s="54">
        <v>222038</v>
      </c>
      <c r="C376" s="54">
        <v>11</v>
      </c>
      <c r="D376" s="54">
        <v>20</v>
      </c>
      <c r="E376" s="54">
        <v>6</v>
      </c>
      <c r="F376" s="54">
        <v>2</v>
      </c>
      <c r="G376" s="54">
        <v>0</v>
      </c>
      <c r="H376" s="54">
        <v>0</v>
      </c>
    </row>
    <row r="377" spans="1:8" x14ac:dyDescent="0.2">
      <c r="A377" s="54" t="s">
        <v>444</v>
      </c>
      <c r="B377" s="54">
        <v>134938</v>
      </c>
      <c r="C377" s="54">
        <v>204</v>
      </c>
      <c r="D377" s="54">
        <v>193</v>
      </c>
      <c r="E377" s="54">
        <v>10</v>
      </c>
      <c r="F377" s="54">
        <v>0</v>
      </c>
      <c r="G377" s="54">
        <v>10</v>
      </c>
      <c r="H377" s="54">
        <v>0</v>
      </c>
    </row>
    <row r="378" spans="1:8" x14ac:dyDescent="0.2">
      <c r="A378" s="54" t="s">
        <v>445</v>
      </c>
      <c r="B378" s="54">
        <v>422611</v>
      </c>
      <c r="C378" s="54">
        <v>62</v>
      </c>
      <c r="D378" s="54">
        <v>72</v>
      </c>
      <c r="E378" s="54">
        <v>12</v>
      </c>
      <c r="F378" s="54">
        <v>0</v>
      </c>
      <c r="G378" s="54">
        <v>0</v>
      </c>
      <c r="H378" s="54">
        <v>0</v>
      </c>
    </row>
    <row r="379" spans="1:8" x14ac:dyDescent="0.2">
      <c r="A379" s="54" t="s">
        <v>446</v>
      </c>
      <c r="B379" s="54">
        <v>470907</v>
      </c>
      <c r="C379" s="54">
        <v>2</v>
      </c>
      <c r="D379" s="54">
        <v>15</v>
      </c>
      <c r="E379" s="54">
        <v>8</v>
      </c>
      <c r="F379" s="54">
        <v>0</v>
      </c>
      <c r="G379" s="54">
        <v>15</v>
      </c>
      <c r="H379" s="54">
        <v>6</v>
      </c>
    </row>
    <row r="380" spans="1:8" x14ac:dyDescent="0.2">
      <c r="A380" s="54" t="s">
        <v>447</v>
      </c>
      <c r="B380" s="54">
        <v>300687</v>
      </c>
      <c r="C380" s="54">
        <v>120</v>
      </c>
      <c r="D380" s="54">
        <v>175</v>
      </c>
      <c r="E380" s="54">
        <v>46</v>
      </c>
      <c r="F380" s="54">
        <v>12</v>
      </c>
      <c r="G380" s="54">
        <v>0</v>
      </c>
      <c r="H380" s="54">
        <v>0</v>
      </c>
    </row>
    <row r="381" spans="1:8" x14ac:dyDescent="0.2">
      <c r="A381" s="54" t="s">
        <v>448</v>
      </c>
      <c r="B381" s="54">
        <v>128220</v>
      </c>
      <c r="C381" s="54">
        <v>14</v>
      </c>
      <c r="D381" s="54">
        <v>11</v>
      </c>
      <c r="E381" s="54">
        <v>15</v>
      </c>
      <c r="F381" s="54">
        <v>10</v>
      </c>
      <c r="G381" s="54">
        <v>0</v>
      </c>
      <c r="H381" s="54">
        <v>0</v>
      </c>
    </row>
    <row r="382" spans="1:8" x14ac:dyDescent="0.2">
      <c r="A382" s="54" t="s">
        <v>449</v>
      </c>
      <c r="B382" s="54">
        <v>293426</v>
      </c>
      <c r="C382" s="54">
        <v>8</v>
      </c>
      <c r="D382" s="54">
        <v>16</v>
      </c>
      <c r="E382" s="54">
        <v>30</v>
      </c>
      <c r="F382" s="54">
        <v>0</v>
      </c>
      <c r="G382" s="54">
        <v>0</v>
      </c>
      <c r="H382" s="54">
        <v>0</v>
      </c>
    </row>
    <row r="383" spans="1:8" x14ac:dyDescent="0.2">
      <c r="A383" s="54" t="s">
        <v>450</v>
      </c>
      <c r="B383" s="54">
        <v>112966</v>
      </c>
      <c r="C383" s="54">
        <v>2</v>
      </c>
      <c r="D383" s="54">
        <v>118</v>
      </c>
      <c r="E383" s="54">
        <v>11</v>
      </c>
      <c r="F383" s="54">
        <v>0</v>
      </c>
      <c r="G383" s="54">
        <v>0</v>
      </c>
      <c r="H383" s="54">
        <v>0</v>
      </c>
    </row>
    <row r="384" spans="1:8" x14ac:dyDescent="0.2">
      <c r="A384" s="54" t="s">
        <v>451</v>
      </c>
      <c r="B384" s="54">
        <v>479509</v>
      </c>
      <c r="C384" s="54">
        <v>8</v>
      </c>
      <c r="D384" s="54">
        <v>7</v>
      </c>
      <c r="E384" s="54">
        <v>14</v>
      </c>
      <c r="F384" s="54">
        <v>20</v>
      </c>
      <c r="G384" s="54">
        <v>0</v>
      </c>
      <c r="H384" s="54">
        <v>0</v>
      </c>
    </row>
    <row r="385" spans="1:8" x14ac:dyDescent="0.2">
      <c r="A385" s="54" t="s">
        <v>452</v>
      </c>
      <c r="B385" s="54">
        <v>109744</v>
      </c>
      <c r="C385" s="54">
        <v>1571</v>
      </c>
      <c r="D385" s="54">
        <v>1962</v>
      </c>
      <c r="E385" s="54">
        <v>10</v>
      </c>
      <c r="F385" s="54">
        <v>0</v>
      </c>
      <c r="G385" s="54">
        <v>0</v>
      </c>
      <c r="H385" s="54">
        <v>6</v>
      </c>
    </row>
    <row r="386" spans="1:8" x14ac:dyDescent="0.2">
      <c r="A386" s="54" t="s">
        <v>453</v>
      </c>
      <c r="B386" s="54">
        <v>109892</v>
      </c>
      <c r="C386" s="54">
        <v>51</v>
      </c>
      <c r="D386" s="54">
        <v>54</v>
      </c>
      <c r="E386" s="54">
        <v>21</v>
      </c>
      <c r="F386" s="54">
        <v>0</v>
      </c>
      <c r="G386" s="54">
        <v>0</v>
      </c>
      <c r="H386" s="54">
        <v>0</v>
      </c>
    </row>
    <row r="387" spans="1:8" x14ac:dyDescent="0.2">
      <c r="A387" s="54" t="s">
        <v>454</v>
      </c>
      <c r="B387" s="54">
        <v>164536</v>
      </c>
      <c r="C387" s="54">
        <v>196</v>
      </c>
      <c r="D387" s="54">
        <v>195</v>
      </c>
      <c r="E387" s="54">
        <v>25</v>
      </c>
      <c r="F387" s="54">
        <v>0</v>
      </c>
      <c r="G387" s="54">
        <v>0</v>
      </c>
      <c r="H387" s="54">
        <v>2</v>
      </c>
    </row>
    <row r="388" spans="1:8" x14ac:dyDescent="0.2">
      <c r="A388" s="54" t="s">
        <v>455</v>
      </c>
      <c r="B388" s="54">
        <v>465304</v>
      </c>
      <c r="C388" s="54">
        <v>18</v>
      </c>
      <c r="D388" s="54">
        <v>24</v>
      </c>
      <c r="E388" s="54">
        <v>27</v>
      </c>
      <c r="F388" s="54">
        <v>0</v>
      </c>
      <c r="G388" s="54">
        <v>0</v>
      </c>
      <c r="H388" s="54">
        <v>0</v>
      </c>
    </row>
    <row r="389" spans="1:8" x14ac:dyDescent="0.2">
      <c r="A389" s="54" t="s">
        <v>456</v>
      </c>
      <c r="B389" s="54">
        <v>316023</v>
      </c>
      <c r="C389" s="54">
        <v>28</v>
      </c>
      <c r="D389" s="54">
        <v>26</v>
      </c>
      <c r="E389" s="54">
        <v>11</v>
      </c>
      <c r="F389" s="54">
        <v>0</v>
      </c>
      <c r="G389" s="54">
        <v>0</v>
      </c>
      <c r="H389" s="54">
        <v>0</v>
      </c>
    </row>
    <row r="390" spans="1:8" x14ac:dyDescent="0.2">
      <c r="A390" s="54" t="s">
        <v>457</v>
      </c>
      <c r="B390" s="54">
        <v>485670</v>
      </c>
      <c r="C390" s="54">
        <v>18</v>
      </c>
      <c r="D390" s="54">
        <v>32</v>
      </c>
      <c r="E390" s="54">
        <v>49</v>
      </c>
      <c r="F390" s="54">
        <v>9</v>
      </c>
      <c r="G390" s="54">
        <v>0</v>
      </c>
      <c r="H390" s="54">
        <v>0</v>
      </c>
    </row>
    <row r="391" spans="1:8" x14ac:dyDescent="0.2">
      <c r="A391" s="54" t="s">
        <v>458</v>
      </c>
      <c r="B391" s="54">
        <v>521948</v>
      </c>
      <c r="C391" s="54">
        <v>25</v>
      </c>
      <c r="D391" s="54">
        <v>17</v>
      </c>
      <c r="E391" s="54">
        <v>10</v>
      </c>
      <c r="F391" s="54">
        <v>39</v>
      </c>
      <c r="G391" s="54">
        <v>26</v>
      </c>
      <c r="H391" s="54">
        <v>0</v>
      </c>
    </row>
    <row r="392" spans="1:8" x14ac:dyDescent="0.2">
      <c r="A392" s="54" t="s">
        <v>459</v>
      </c>
      <c r="B392" s="54">
        <v>305996</v>
      </c>
      <c r="C392" s="54">
        <v>16</v>
      </c>
      <c r="D392" s="54">
        <v>12</v>
      </c>
      <c r="E392" s="54">
        <v>6</v>
      </c>
      <c r="F392" s="54">
        <v>38</v>
      </c>
      <c r="G392" s="54">
        <v>6</v>
      </c>
      <c r="H392" s="54">
        <v>4</v>
      </c>
    </row>
    <row r="393" spans="1:8" x14ac:dyDescent="0.2">
      <c r="A393" s="54" t="s">
        <v>460</v>
      </c>
      <c r="B393" s="54">
        <v>158519</v>
      </c>
      <c r="C393" s="54">
        <v>14</v>
      </c>
      <c r="D393" s="54">
        <v>13</v>
      </c>
      <c r="E393" s="54">
        <v>6</v>
      </c>
      <c r="F393" s="54">
        <v>20</v>
      </c>
      <c r="G393" s="54">
        <v>11</v>
      </c>
      <c r="H393" s="54">
        <v>11</v>
      </c>
    </row>
    <row r="394" spans="1:8" x14ac:dyDescent="0.2">
      <c r="A394" s="54" t="s">
        <v>461</v>
      </c>
      <c r="B394" s="54">
        <v>465967</v>
      </c>
      <c r="C394" s="54">
        <v>109</v>
      </c>
      <c r="D394" s="54">
        <v>125</v>
      </c>
      <c r="E394" s="54">
        <v>10</v>
      </c>
      <c r="F394" s="54">
        <v>0</v>
      </c>
      <c r="G394" s="54">
        <v>0</v>
      </c>
      <c r="H394" s="54">
        <v>0</v>
      </c>
    </row>
    <row r="395" spans="1:8" x14ac:dyDescent="0.2">
      <c r="A395" s="54" t="s">
        <v>462</v>
      </c>
      <c r="B395" s="54">
        <v>468524</v>
      </c>
      <c r="C395" s="54">
        <v>8</v>
      </c>
      <c r="D395" s="54">
        <v>7</v>
      </c>
      <c r="E395" s="54">
        <v>10</v>
      </c>
      <c r="F395" s="54">
        <v>0</v>
      </c>
      <c r="G395" s="54">
        <v>0</v>
      </c>
      <c r="H395" s="54">
        <v>0</v>
      </c>
    </row>
    <row r="396" spans="1:8" x14ac:dyDescent="0.2">
      <c r="A396" s="54" t="s">
        <v>463</v>
      </c>
      <c r="B396" s="54">
        <v>304016</v>
      </c>
      <c r="C396" s="54">
        <v>15</v>
      </c>
      <c r="D396" s="54">
        <v>5</v>
      </c>
      <c r="E396" s="54">
        <v>9</v>
      </c>
      <c r="F396" s="54">
        <v>0</v>
      </c>
      <c r="G396" s="54">
        <v>0</v>
      </c>
      <c r="H396" s="54">
        <v>0</v>
      </c>
    </row>
    <row r="397" spans="1:8" x14ac:dyDescent="0.2">
      <c r="A397" s="54" t="s">
        <v>464</v>
      </c>
      <c r="B397" s="54">
        <v>106950</v>
      </c>
      <c r="C397" s="54">
        <v>30</v>
      </c>
      <c r="D397" s="54">
        <v>35</v>
      </c>
      <c r="E397" s="54">
        <v>21</v>
      </c>
      <c r="F397" s="54">
        <v>0</v>
      </c>
      <c r="G397" s="54">
        <v>0</v>
      </c>
      <c r="H397" s="54">
        <v>8</v>
      </c>
    </row>
    <row r="398" spans="1:8" x14ac:dyDescent="0.2">
      <c r="A398" s="54" t="s">
        <v>465</v>
      </c>
      <c r="B398" s="54">
        <v>110142</v>
      </c>
      <c r="C398" s="54">
        <v>482</v>
      </c>
      <c r="D398" s="54">
        <v>437</v>
      </c>
      <c r="E398" s="54">
        <v>13</v>
      </c>
      <c r="F398" s="54">
        <v>14</v>
      </c>
      <c r="G398" s="54">
        <v>0</v>
      </c>
      <c r="H398" s="54">
        <v>4</v>
      </c>
    </row>
    <row r="399" spans="1:8" x14ac:dyDescent="0.2">
      <c r="A399" s="54" t="s">
        <v>466</v>
      </c>
      <c r="B399" s="54">
        <v>241689</v>
      </c>
      <c r="C399" s="54">
        <v>1</v>
      </c>
      <c r="D399" s="54">
        <v>6</v>
      </c>
      <c r="E399" s="54">
        <v>8</v>
      </c>
      <c r="F399" s="54">
        <v>0</v>
      </c>
      <c r="G399" s="54">
        <v>7</v>
      </c>
      <c r="H399" s="54">
        <v>2</v>
      </c>
    </row>
    <row r="400" spans="1:8" x14ac:dyDescent="0.2">
      <c r="A400" s="54" t="s">
        <v>467</v>
      </c>
      <c r="B400" s="54">
        <v>109084</v>
      </c>
      <c r="C400" s="54">
        <v>10</v>
      </c>
      <c r="D400" s="54">
        <v>21</v>
      </c>
      <c r="E400" s="54">
        <v>7</v>
      </c>
      <c r="F400" s="54">
        <v>0</v>
      </c>
      <c r="G400" s="54">
        <v>0</v>
      </c>
      <c r="H400" s="54">
        <v>7</v>
      </c>
    </row>
    <row r="401" spans="1:8" x14ac:dyDescent="0.2">
      <c r="A401" s="54" t="s">
        <v>468</v>
      </c>
      <c r="B401" s="54">
        <v>107214</v>
      </c>
      <c r="C401" s="54">
        <v>7</v>
      </c>
      <c r="D401" s="54">
        <v>20</v>
      </c>
      <c r="E401" s="54">
        <v>9</v>
      </c>
      <c r="F401" s="54">
        <v>0</v>
      </c>
      <c r="G401" s="54">
        <v>0</v>
      </c>
      <c r="H401" s="54">
        <v>0</v>
      </c>
    </row>
    <row r="402" spans="1:8" x14ac:dyDescent="0.2">
      <c r="A402" s="54" t="s">
        <v>469</v>
      </c>
      <c r="B402" s="54">
        <v>156114</v>
      </c>
      <c r="C402" s="54">
        <v>47</v>
      </c>
      <c r="D402" s="54">
        <v>25</v>
      </c>
      <c r="E402" s="54">
        <v>11</v>
      </c>
      <c r="F402" s="54">
        <v>0</v>
      </c>
      <c r="G402" s="54">
        <v>0</v>
      </c>
      <c r="H402" s="54">
        <v>0</v>
      </c>
    </row>
    <row r="403" spans="1:8" x14ac:dyDescent="0.2">
      <c r="A403" s="54" t="s">
        <v>470</v>
      </c>
      <c r="B403" s="54">
        <v>110360</v>
      </c>
      <c r="C403" s="54">
        <v>85</v>
      </c>
      <c r="D403" s="54">
        <v>133</v>
      </c>
      <c r="E403" s="54">
        <v>20</v>
      </c>
      <c r="F403" s="54">
        <v>0</v>
      </c>
      <c r="G403" s="54">
        <v>0</v>
      </c>
      <c r="H403" s="54">
        <v>0</v>
      </c>
    </row>
    <row r="404" spans="1:8" x14ac:dyDescent="0.2">
      <c r="A404" s="54" t="s">
        <v>471</v>
      </c>
      <c r="B404" s="54">
        <v>465602</v>
      </c>
      <c r="C404" s="54">
        <v>13</v>
      </c>
      <c r="D404" s="54">
        <v>15</v>
      </c>
      <c r="E404" s="54">
        <v>13</v>
      </c>
      <c r="F404" s="54">
        <v>0</v>
      </c>
      <c r="G404" s="54">
        <v>11</v>
      </c>
      <c r="H404" s="54">
        <v>10</v>
      </c>
    </row>
    <row r="405" spans="1:8" x14ac:dyDescent="0.2">
      <c r="A405" s="54" t="s">
        <v>472</v>
      </c>
      <c r="B405" s="54">
        <v>183987</v>
      </c>
      <c r="C405" s="54">
        <v>65</v>
      </c>
      <c r="D405" s="54">
        <v>27</v>
      </c>
      <c r="E405" s="54">
        <v>6</v>
      </c>
      <c r="F405" s="54">
        <v>22</v>
      </c>
      <c r="G405" s="54">
        <v>6</v>
      </c>
      <c r="H405" s="54">
        <v>0</v>
      </c>
    </row>
    <row r="406" spans="1:8" x14ac:dyDescent="0.2">
      <c r="A406" s="54" t="s">
        <v>473</v>
      </c>
      <c r="B406" s="54">
        <v>108260</v>
      </c>
      <c r="C406" s="54">
        <v>59</v>
      </c>
      <c r="D406" s="54">
        <v>60</v>
      </c>
      <c r="E406" s="54">
        <v>8</v>
      </c>
      <c r="F406" s="54">
        <v>0</v>
      </c>
      <c r="G406" s="54">
        <v>0</v>
      </c>
      <c r="H406" s="54">
        <v>0</v>
      </c>
    </row>
    <row r="407" spans="1:8" x14ac:dyDescent="0.2">
      <c r="A407" s="54" t="s">
        <v>474</v>
      </c>
      <c r="B407" s="54">
        <v>106603</v>
      </c>
      <c r="C407" s="54">
        <v>378</v>
      </c>
      <c r="D407" s="54">
        <v>622</v>
      </c>
      <c r="E407" s="54">
        <v>25</v>
      </c>
      <c r="F407" s="54">
        <v>20</v>
      </c>
      <c r="G407" s="54">
        <v>6</v>
      </c>
      <c r="H407" s="54">
        <v>0</v>
      </c>
    </row>
    <row r="408" spans="1:8" x14ac:dyDescent="0.2">
      <c r="A408" s="54" t="s">
        <v>475</v>
      </c>
      <c r="B408" s="54">
        <v>108484</v>
      </c>
      <c r="C408" s="54">
        <v>218</v>
      </c>
      <c r="D408" s="54">
        <v>150</v>
      </c>
      <c r="E408" s="54">
        <v>16</v>
      </c>
      <c r="F408" s="54">
        <v>0</v>
      </c>
      <c r="G408" s="54">
        <v>0</v>
      </c>
      <c r="H408" s="54">
        <v>1</v>
      </c>
    </row>
    <row r="409" spans="1:8" x14ac:dyDescent="0.2">
      <c r="A409" s="54" t="s">
        <v>476</v>
      </c>
      <c r="B409" s="54">
        <v>106477</v>
      </c>
      <c r="C409" s="54">
        <v>158</v>
      </c>
      <c r="D409" s="54">
        <v>156</v>
      </c>
      <c r="E409" s="54">
        <v>45</v>
      </c>
      <c r="F409" s="54">
        <v>0</v>
      </c>
      <c r="G409" s="54">
        <v>0</v>
      </c>
      <c r="H409" s="54">
        <v>28</v>
      </c>
    </row>
    <row r="410" spans="1:8" x14ac:dyDescent="0.2">
      <c r="A410" s="54" t="s">
        <v>477</v>
      </c>
      <c r="B410" s="54">
        <v>107396</v>
      </c>
      <c r="C410" s="54">
        <v>106</v>
      </c>
      <c r="D410" s="54">
        <v>135</v>
      </c>
      <c r="E410" s="54">
        <v>50</v>
      </c>
      <c r="F410" s="54">
        <v>0</v>
      </c>
      <c r="G410" s="54">
        <v>25</v>
      </c>
      <c r="H410" s="54">
        <v>0</v>
      </c>
    </row>
    <row r="411" spans="1:8" x14ac:dyDescent="0.2">
      <c r="A411" s="54" t="s">
        <v>478</v>
      </c>
      <c r="B411" s="54">
        <v>317638</v>
      </c>
      <c r="C411" s="54">
        <v>23</v>
      </c>
      <c r="D411" s="54">
        <v>23</v>
      </c>
      <c r="E411" s="54">
        <v>8</v>
      </c>
      <c r="F411" s="54">
        <v>0</v>
      </c>
      <c r="G411" s="54">
        <v>0</v>
      </c>
      <c r="H411" s="54">
        <v>0</v>
      </c>
    </row>
    <row r="412" spans="1:8" x14ac:dyDescent="0.2">
      <c r="A412" s="54" t="s">
        <v>479</v>
      </c>
      <c r="B412" s="54">
        <v>109947</v>
      </c>
      <c r="C412" s="54">
        <v>15</v>
      </c>
      <c r="D412" s="54">
        <v>12</v>
      </c>
      <c r="E412" s="54">
        <v>13</v>
      </c>
      <c r="F412" s="54">
        <v>0</v>
      </c>
      <c r="G412" s="54">
        <v>0</v>
      </c>
      <c r="H412" s="54">
        <v>0</v>
      </c>
    </row>
    <row r="413" spans="1:8" x14ac:dyDescent="0.2">
      <c r="A413" s="54" t="s">
        <v>480</v>
      </c>
      <c r="B413" s="54">
        <v>166224</v>
      </c>
      <c r="C413" s="54">
        <v>22</v>
      </c>
      <c r="D413" s="54">
        <v>24</v>
      </c>
      <c r="E413" s="54">
        <v>33</v>
      </c>
      <c r="F413" s="54">
        <v>0</v>
      </c>
      <c r="G413" s="54">
        <v>1</v>
      </c>
      <c r="H413" s="54">
        <v>0</v>
      </c>
    </row>
    <row r="414" spans="1:8" x14ac:dyDescent="0.2">
      <c r="A414" s="54" t="s">
        <v>481</v>
      </c>
      <c r="B414" s="54">
        <v>313924</v>
      </c>
      <c r="C414" s="54">
        <v>61</v>
      </c>
      <c r="D414" s="54">
        <v>46</v>
      </c>
      <c r="E414" s="54">
        <v>9</v>
      </c>
      <c r="F414" s="54">
        <v>0</v>
      </c>
      <c r="G414" s="54">
        <v>3</v>
      </c>
      <c r="H414" s="54">
        <v>49</v>
      </c>
    </row>
    <row r="415" spans="1:8" x14ac:dyDescent="0.2">
      <c r="A415" s="54" t="s">
        <v>482</v>
      </c>
      <c r="B415" s="54">
        <v>475512</v>
      </c>
      <c r="C415" s="54">
        <v>1</v>
      </c>
      <c r="D415" s="54">
        <v>10</v>
      </c>
      <c r="E415" s="54">
        <v>6</v>
      </c>
      <c r="F415" s="54">
        <v>0</v>
      </c>
      <c r="G415" s="54">
        <v>0</v>
      </c>
      <c r="H415" s="54">
        <v>0</v>
      </c>
    </row>
    <row r="416" spans="1:8" x14ac:dyDescent="0.2">
      <c r="A416" s="54" t="s">
        <v>483</v>
      </c>
      <c r="B416" s="54">
        <v>549754</v>
      </c>
      <c r="C416" s="54">
        <v>16</v>
      </c>
      <c r="D416" s="54">
        <v>25</v>
      </c>
      <c r="E416" s="54">
        <v>12</v>
      </c>
      <c r="F416" s="54">
        <v>1</v>
      </c>
      <c r="G416" s="54">
        <v>0</v>
      </c>
      <c r="H416" s="54">
        <v>0</v>
      </c>
    </row>
    <row r="417" spans="1:8" x14ac:dyDescent="0.2">
      <c r="A417" s="54" t="s">
        <v>484</v>
      </c>
      <c r="B417" s="54">
        <v>106616</v>
      </c>
      <c r="C417" s="54">
        <v>4</v>
      </c>
      <c r="D417" s="54">
        <v>92</v>
      </c>
      <c r="E417" s="54">
        <v>30</v>
      </c>
      <c r="F417" s="54">
        <v>0</v>
      </c>
      <c r="G417" s="54">
        <v>1</v>
      </c>
      <c r="H417" s="54">
        <v>0</v>
      </c>
    </row>
    <row r="418" spans="1:8" x14ac:dyDescent="0.2">
      <c r="A418" s="54" t="s">
        <v>485</v>
      </c>
      <c r="B418" s="54">
        <v>110380</v>
      </c>
      <c r="C418" s="54">
        <v>36</v>
      </c>
      <c r="D418" s="54">
        <v>43</v>
      </c>
      <c r="E418" s="54">
        <v>22</v>
      </c>
      <c r="F418" s="54">
        <v>0</v>
      </c>
      <c r="G418" s="54">
        <v>0</v>
      </c>
      <c r="H418" s="54">
        <v>11</v>
      </c>
    </row>
    <row r="419" spans="1:8" x14ac:dyDescent="0.2">
      <c r="A419" s="54" t="s">
        <v>486</v>
      </c>
      <c r="B419" s="54">
        <v>146835</v>
      </c>
      <c r="C419" s="54">
        <v>198</v>
      </c>
      <c r="D419" s="54">
        <v>210</v>
      </c>
      <c r="E419" s="54">
        <v>24</v>
      </c>
      <c r="F419" s="54">
        <v>0</v>
      </c>
      <c r="G419" s="54">
        <v>3</v>
      </c>
      <c r="H419" s="54">
        <v>1</v>
      </c>
    </row>
    <row r="420" spans="1:8" x14ac:dyDescent="0.2">
      <c r="A420" s="54" t="s">
        <v>487</v>
      </c>
      <c r="B420" s="54">
        <v>108360</v>
      </c>
      <c r="C420" s="54">
        <v>782</v>
      </c>
      <c r="D420" s="54">
        <v>800</v>
      </c>
      <c r="E420" s="54">
        <v>50</v>
      </c>
      <c r="F420" s="54">
        <v>0</v>
      </c>
      <c r="G420" s="54">
        <v>0</v>
      </c>
      <c r="H420" s="54">
        <v>1</v>
      </c>
    </row>
    <row r="421" spans="1:8" x14ac:dyDescent="0.2">
      <c r="A421" s="54" t="s">
        <v>488</v>
      </c>
      <c r="B421" s="54">
        <v>110385</v>
      </c>
      <c r="C421" s="54">
        <v>9</v>
      </c>
      <c r="D421" s="54">
        <v>23</v>
      </c>
      <c r="E421" s="54">
        <v>9</v>
      </c>
      <c r="F421" s="54">
        <v>0</v>
      </c>
      <c r="G421" s="54">
        <v>0</v>
      </c>
      <c r="H421" s="54">
        <v>0</v>
      </c>
    </row>
    <row r="422" spans="1:8" x14ac:dyDescent="0.2">
      <c r="A422" s="54" t="s">
        <v>489</v>
      </c>
      <c r="B422" s="54">
        <v>116153</v>
      </c>
      <c r="C422" s="54">
        <v>37</v>
      </c>
      <c r="D422" s="54">
        <v>36</v>
      </c>
      <c r="E422" s="54">
        <v>35</v>
      </c>
      <c r="F422" s="54">
        <v>0</v>
      </c>
      <c r="G422" s="54">
        <v>0</v>
      </c>
      <c r="H422" s="54">
        <v>21</v>
      </c>
    </row>
    <row r="423" spans="1:8" x14ac:dyDescent="0.2">
      <c r="A423" s="54" t="s">
        <v>490</v>
      </c>
      <c r="B423" s="54">
        <v>111138</v>
      </c>
      <c r="C423" s="54">
        <v>24</v>
      </c>
      <c r="D423" s="54">
        <v>28</v>
      </c>
      <c r="E423" s="54">
        <v>19</v>
      </c>
      <c r="F423" s="54">
        <v>0</v>
      </c>
      <c r="G423" s="54">
        <v>0</v>
      </c>
      <c r="H423" s="54">
        <v>0</v>
      </c>
    </row>
    <row r="424" spans="1:8" x14ac:dyDescent="0.2">
      <c r="A424" s="54" t="s">
        <v>491</v>
      </c>
      <c r="B424" s="54">
        <v>109205</v>
      </c>
      <c r="C424" s="54">
        <v>249</v>
      </c>
      <c r="D424" s="54">
        <v>429</v>
      </c>
      <c r="E424" s="54">
        <v>10</v>
      </c>
      <c r="F424" s="54">
        <v>0</v>
      </c>
      <c r="G424" s="54">
        <v>0</v>
      </c>
      <c r="H424" s="54">
        <v>0</v>
      </c>
    </row>
    <row r="425" spans="1:8" x14ac:dyDescent="0.2">
      <c r="A425" s="54" t="s">
        <v>492</v>
      </c>
      <c r="B425" s="54">
        <v>551150</v>
      </c>
      <c r="C425" s="54">
        <v>3</v>
      </c>
      <c r="D425" s="54">
        <v>18</v>
      </c>
      <c r="E425" s="54">
        <v>8</v>
      </c>
      <c r="F425" s="54">
        <v>0</v>
      </c>
      <c r="G425" s="54">
        <v>0</v>
      </c>
      <c r="H425" s="54">
        <v>0</v>
      </c>
    </row>
    <row r="426" spans="1:8" x14ac:dyDescent="0.2">
      <c r="A426" s="54" t="s">
        <v>493</v>
      </c>
      <c r="B426" s="54">
        <v>126094</v>
      </c>
      <c r="C426" s="54">
        <v>36</v>
      </c>
      <c r="D426" s="54">
        <v>32</v>
      </c>
      <c r="E426" s="54">
        <v>26</v>
      </c>
      <c r="F426" s="54">
        <v>29</v>
      </c>
      <c r="G426" s="54">
        <v>5</v>
      </c>
      <c r="H426" s="54">
        <v>18</v>
      </c>
    </row>
    <row r="427" spans="1:8" x14ac:dyDescent="0.2">
      <c r="A427" s="54" t="s">
        <v>494</v>
      </c>
      <c r="B427" s="54">
        <v>110252</v>
      </c>
      <c r="C427" s="54">
        <v>41</v>
      </c>
      <c r="D427" s="54">
        <v>41</v>
      </c>
      <c r="E427" s="54">
        <v>12</v>
      </c>
      <c r="F427" s="54">
        <v>0</v>
      </c>
      <c r="G427" s="54">
        <v>0</v>
      </c>
      <c r="H427" s="54">
        <v>20</v>
      </c>
    </row>
    <row r="428" spans="1:8" x14ac:dyDescent="0.2">
      <c r="A428" s="54" t="s">
        <v>495</v>
      </c>
      <c r="B428" s="54">
        <v>110104</v>
      </c>
      <c r="C428" s="54">
        <v>1</v>
      </c>
      <c r="D428" s="54">
        <v>12</v>
      </c>
      <c r="E428" s="54">
        <v>50</v>
      </c>
      <c r="F428" s="54">
        <v>0</v>
      </c>
      <c r="G428" s="54">
        <v>0</v>
      </c>
      <c r="H428" s="54">
        <v>0</v>
      </c>
    </row>
    <row r="429" spans="1:8" x14ac:dyDescent="0.2">
      <c r="A429" s="54" t="s">
        <v>496</v>
      </c>
      <c r="B429" s="54">
        <v>512879</v>
      </c>
      <c r="C429" s="54">
        <v>1841</v>
      </c>
      <c r="D429" s="54">
        <v>300</v>
      </c>
      <c r="E429" s="54">
        <v>7</v>
      </c>
      <c r="F429" s="54">
        <v>3</v>
      </c>
      <c r="G429" s="54">
        <v>0</v>
      </c>
      <c r="H429" s="54">
        <v>0</v>
      </c>
    </row>
    <row r="430" spans="1:8" x14ac:dyDescent="0.2">
      <c r="A430" s="54" t="s">
        <v>497</v>
      </c>
      <c r="B430" s="54">
        <v>189441</v>
      </c>
      <c r="C430" s="54">
        <v>50</v>
      </c>
      <c r="D430" s="54">
        <v>82</v>
      </c>
      <c r="E430" s="54">
        <v>37</v>
      </c>
      <c r="F430" s="54">
        <v>5</v>
      </c>
      <c r="G430" s="54">
        <v>0</v>
      </c>
      <c r="H430" s="54">
        <v>0</v>
      </c>
    </row>
    <row r="431" spans="1:8" x14ac:dyDescent="0.2">
      <c r="A431" s="54" t="s">
        <v>498</v>
      </c>
      <c r="B431" s="54">
        <v>470994</v>
      </c>
      <c r="C431" s="54">
        <v>18</v>
      </c>
      <c r="D431" s="54">
        <v>16</v>
      </c>
      <c r="E431" s="54">
        <v>14</v>
      </c>
      <c r="F431" s="54">
        <v>0</v>
      </c>
      <c r="G431" s="54">
        <v>0</v>
      </c>
      <c r="H431" s="54">
        <v>0</v>
      </c>
    </row>
    <row r="432" spans="1:8" x14ac:dyDescent="0.2">
      <c r="A432" s="54" t="s">
        <v>499</v>
      </c>
      <c r="B432" s="54">
        <v>109997</v>
      </c>
      <c r="C432" s="54">
        <v>119</v>
      </c>
      <c r="D432" s="54">
        <v>125</v>
      </c>
      <c r="E432" s="54">
        <v>50</v>
      </c>
      <c r="F432" s="54">
        <v>9</v>
      </c>
      <c r="G432" s="54">
        <v>0</v>
      </c>
      <c r="H432" s="54">
        <v>15</v>
      </c>
    </row>
    <row r="433" spans="1:8" x14ac:dyDescent="0.2">
      <c r="A433" s="54" t="s">
        <v>500</v>
      </c>
      <c r="B433" s="54">
        <v>157441</v>
      </c>
      <c r="C433" s="54">
        <v>650</v>
      </c>
      <c r="D433" s="54">
        <v>250</v>
      </c>
      <c r="E433" s="54">
        <v>6</v>
      </c>
      <c r="F433" s="54">
        <v>7</v>
      </c>
      <c r="G433" s="54">
        <v>0</v>
      </c>
      <c r="H433" s="54">
        <v>27</v>
      </c>
    </row>
    <row r="434" spans="1:8" x14ac:dyDescent="0.2">
      <c r="A434" s="54" t="s">
        <v>501</v>
      </c>
      <c r="B434" s="54">
        <v>106752</v>
      </c>
      <c r="C434" s="54">
        <v>55</v>
      </c>
      <c r="D434" s="54">
        <v>81</v>
      </c>
      <c r="E434" s="54">
        <v>13</v>
      </c>
      <c r="F434" s="54">
        <v>0</v>
      </c>
      <c r="G434" s="54">
        <v>0</v>
      </c>
      <c r="H434" s="54">
        <v>14</v>
      </c>
    </row>
    <row r="435" spans="1:8" x14ac:dyDescent="0.2">
      <c r="A435" s="54" t="s">
        <v>502</v>
      </c>
      <c r="B435" s="54">
        <v>500453</v>
      </c>
      <c r="C435" s="54">
        <v>4</v>
      </c>
      <c r="D435" s="54">
        <v>4</v>
      </c>
      <c r="E435" s="54">
        <v>6</v>
      </c>
      <c r="F435" s="54">
        <v>0</v>
      </c>
      <c r="G435" s="54">
        <v>14</v>
      </c>
      <c r="H435" s="54">
        <v>0</v>
      </c>
    </row>
    <row r="436" spans="1:8" x14ac:dyDescent="0.2">
      <c r="A436" s="54" t="s">
        <v>503</v>
      </c>
      <c r="B436" s="54">
        <v>109365</v>
      </c>
      <c r="C436" s="54">
        <v>58</v>
      </c>
      <c r="D436" s="54">
        <v>50</v>
      </c>
      <c r="E436" s="54">
        <v>7</v>
      </c>
      <c r="F436" s="54">
        <v>0</v>
      </c>
      <c r="G436" s="54">
        <v>9</v>
      </c>
      <c r="H436" s="54">
        <v>7</v>
      </c>
    </row>
    <row r="437" spans="1:8" x14ac:dyDescent="0.2">
      <c r="A437" s="54" t="s">
        <v>504</v>
      </c>
      <c r="B437" s="54">
        <v>106743</v>
      </c>
      <c r="C437" s="54">
        <v>122</v>
      </c>
      <c r="D437" s="54">
        <v>125</v>
      </c>
      <c r="E437" s="54">
        <v>13</v>
      </c>
      <c r="F437" s="54">
        <v>0</v>
      </c>
      <c r="G437" s="54">
        <v>0</v>
      </c>
      <c r="H437" s="54">
        <v>0</v>
      </c>
    </row>
    <row r="438" spans="1:8" x14ac:dyDescent="0.2">
      <c r="A438" s="54" t="s">
        <v>505</v>
      </c>
      <c r="B438" s="54">
        <v>114556</v>
      </c>
      <c r="C438" s="54">
        <v>414</v>
      </c>
      <c r="D438" s="54">
        <v>450</v>
      </c>
      <c r="E438" s="54">
        <v>49</v>
      </c>
      <c r="F438" s="54">
        <v>0</v>
      </c>
      <c r="G438" s="54">
        <v>0</v>
      </c>
      <c r="H438" s="54">
        <v>0</v>
      </c>
    </row>
    <row r="439" spans="1:8" x14ac:dyDescent="0.2">
      <c r="A439" s="54" t="s">
        <v>506</v>
      </c>
      <c r="B439" s="54">
        <v>137813</v>
      </c>
      <c r="C439" s="54">
        <v>274</v>
      </c>
      <c r="D439" s="54">
        <v>220</v>
      </c>
      <c r="E439" s="54">
        <v>23</v>
      </c>
      <c r="F439" s="54">
        <v>0</v>
      </c>
      <c r="G439" s="54">
        <v>0</v>
      </c>
      <c r="H439" s="54">
        <v>0</v>
      </c>
    </row>
    <row r="440" spans="1:8" x14ac:dyDescent="0.2">
      <c r="A440" s="54" t="s">
        <v>507</v>
      </c>
      <c r="B440" s="54">
        <v>212348</v>
      </c>
      <c r="C440" s="54">
        <v>32</v>
      </c>
      <c r="D440" s="54">
        <v>5</v>
      </c>
      <c r="E440" s="54">
        <v>6</v>
      </c>
      <c r="F440" s="54">
        <v>0</v>
      </c>
      <c r="G440" s="54">
        <v>0</v>
      </c>
      <c r="H440" s="54">
        <v>0</v>
      </c>
    </row>
    <row r="441" spans="1:8" x14ac:dyDescent="0.2">
      <c r="A441" s="54" t="s">
        <v>508</v>
      </c>
      <c r="B441" s="54">
        <v>118351</v>
      </c>
      <c r="C441" s="54">
        <v>325</v>
      </c>
      <c r="D441" s="54">
        <v>371</v>
      </c>
      <c r="E441" s="54">
        <v>50</v>
      </c>
      <c r="F441" s="54">
        <v>5</v>
      </c>
      <c r="G441" s="54">
        <v>6</v>
      </c>
      <c r="H441" s="54">
        <v>0</v>
      </c>
    </row>
    <row r="442" spans="1:8" x14ac:dyDescent="0.2">
      <c r="A442" s="54" t="s">
        <v>509</v>
      </c>
      <c r="B442" s="54">
        <v>106169</v>
      </c>
      <c r="C442" s="54">
        <v>1</v>
      </c>
      <c r="D442" s="54">
        <v>20</v>
      </c>
      <c r="E442" s="54">
        <v>26</v>
      </c>
      <c r="F442" s="54">
        <v>0</v>
      </c>
      <c r="G442" s="54">
        <v>0</v>
      </c>
      <c r="H442" s="54">
        <v>0</v>
      </c>
    </row>
    <row r="443" spans="1:8" x14ac:dyDescent="0.2">
      <c r="A443" s="54" t="s">
        <v>510</v>
      </c>
      <c r="B443" s="54">
        <v>107160</v>
      </c>
      <c r="C443" s="54">
        <v>50</v>
      </c>
      <c r="D443" s="54">
        <v>45</v>
      </c>
      <c r="E443" s="54">
        <v>14</v>
      </c>
      <c r="F443" s="54">
        <v>0</v>
      </c>
      <c r="G443" s="54">
        <v>12</v>
      </c>
      <c r="H443" s="54">
        <v>0</v>
      </c>
    </row>
    <row r="444" spans="1:8" x14ac:dyDescent="0.2">
      <c r="A444" s="54" t="s">
        <v>511</v>
      </c>
      <c r="B444" s="54">
        <v>476910</v>
      </c>
      <c r="C444" s="54">
        <v>1</v>
      </c>
      <c r="D444" s="54">
        <v>4</v>
      </c>
      <c r="E444" s="54">
        <v>6</v>
      </c>
      <c r="F444" s="54">
        <v>0</v>
      </c>
      <c r="G444" s="54">
        <v>0</v>
      </c>
      <c r="H444" s="54">
        <v>0</v>
      </c>
    </row>
    <row r="445" spans="1:8" x14ac:dyDescent="0.2">
      <c r="A445" s="54" t="s">
        <v>512</v>
      </c>
      <c r="B445" s="54">
        <v>152571</v>
      </c>
      <c r="C445" s="54">
        <v>1</v>
      </c>
      <c r="D445" s="54">
        <v>60</v>
      </c>
      <c r="E445" s="54">
        <v>6</v>
      </c>
      <c r="F445" s="54">
        <v>0</v>
      </c>
      <c r="G445" s="54">
        <v>13</v>
      </c>
      <c r="H445" s="54">
        <v>1</v>
      </c>
    </row>
    <row r="446" spans="1:8" x14ac:dyDescent="0.2">
      <c r="A446" s="54" t="s">
        <v>513</v>
      </c>
      <c r="B446" s="54">
        <v>210852</v>
      </c>
      <c r="C446" s="54">
        <v>21</v>
      </c>
      <c r="D446" s="54">
        <v>24</v>
      </c>
      <c r="E446" s="54">
        <v>24</v>
      </c>
      <c r="F446" s="54">
        <v>0</v>
      </c>
      <c r="G446" s="54">
        <v>0</v>
      </c>
      <c r="H446" s="54">
        <v>0</v>
      </c>
    </row>
    <row r="447" spans="1:8" x14ac:dyDescent="0.2">
      <c r="A447" s="54" t="s">
        <v>514</v>
      </c>
      <c r="B447" s="54">
        <v>109740</v>
      </c>
      <c r="C447" s="54">
        <v>40</v>
      </c>
      <c r="D447" s="54">
        <v>10</v>
      </c>
      <c r="E447" s="54">
        <v>12</v>
      </c>
      <c r="F447" s="54">
        <v>1</v>
      </c>
      <c r="G447" s="54">
        <v>0</v>
      </c>
      <c r="H447" s="54">
        <v>1</v>
      </c>
    </row>
    <row r="448" spans="1:8" x14ac:dyDescent="0.2">
      <c r="A448" s="54" t="s">
        <v>515</v>
      </c>
      <c r="B448" s="54">
        <v>112348</v>
      </c>
      <c r="C448" s="54">
        <v>0</v>
      </c>
      <c r="D448" s="54">
        <v>40</v>
      </c>
      <c r="E448" s="54">
        <v>21</v>
      </c>
      <c r="F448" s="54">
        <v>0</v>
      </c>
      <c r="G448" s="54">
        <v>0</v>
      </c>
      <c r="H448" s="54">
        <v>6</v>
      </c>
    </row>
    <row r="449" spans="1:8" x14ac:dyDescent="0.2">
      <c r="A449" s="54" t="s">
        <v>516</v>
      </c>
      <c r="B449" s="54">
        <v>547648</v>
      </c>
      <c r="C449" s="54">
        <v>0</v>
      </c>
      <c r="D449" s="54">
        <v>100</v>
      </c>
      <c r="E449" s="54">
        <v>13</v>
      </c>
      <c r="F449" s="54">
        <v>0</v>
      </c>
      <c r="G449" s="54">
        <v>0</v>
      </c>
      <c r="H449" s="54">
        <v>0</v>
      </c>
    </row>
    <row r="450" spans="1:8" x14ac:dyDescent="0.2">
      <c r="A450" s="54" t="s">
        <v>517</v>
      </c>
      <c r="B450" s="54">
        <v>542060</v>
      </c>
      <c r="C450" s="54">
        <v>2</v>
      </c>
      <c r="D450" s="54">
        <v>9</v>
      </c>
      <c r="E450" s="54">
        <v>18</v>
      </c>
      <c r="F450" s="54">
        <v>9</v>
      </c>
      <c r="G450" s="54">
        <v>0</v>
      </c>
      <c r="H450" s="54">
        <v>5</v>
      </c>
    </row>
    <row r="451" spans="1:8" x14ac:dyDescent="0.2">
      <c r="A451" s="54" t="s">
        <v>518</v>
      </c>
      <c r="B451" s="54">
        <v>464691</v>
      </c>
      <c r="C451" s="54">
        <v>66</v>
      </c>
      <c r="D451" s="54">
        <v>20</v>
      </c>
      <c r="E451" s="54">
        <v>9</v>
      </c>
      <c r="F451" s="54">
        <v>0</v>
      </c>
      <c r="G451" s="54">
        <v>0</v>
      </c>
      <c r="H451" s="54">
        <v>0</v>
      </c>
    </row>
    <row r="452" spans="1:8" x14ac:dyDescent="0.2">
      <c r="A452" s="54" t="s">
        <v>519</v>
      </c>
      <c r="B452" s="54">
        <v>493927</v>
      </c>
      <c r="C452" s="54">
        <v>17</v>
      </c>
      <c r="D452" s="54">
        <v>17</v>
      </c>
      <c r="E452" s="54">
        <v>19</v>
      </c>
      <c r="F452" s="54">
        <v>0</v>
      </c>
      <c r="G452" s="54">
        <v>1</v>
      </c>
      <c r="H452" s="54">
        <v>41</v>
      </c>
    </row>
    <row r="453" spans="1:8" x14ac:dyDescent="0.2">
      <c r="A453" s="54" t="s">
        <v>520</v>
      </c>
      <c r="B453" s="54">
        <v>321168</v>
      </c>
      <c r="C453" s="54">
        <v>36</v>
      </c>
      <c r="D453" s="54">
        <v>115</v>
      </c>
      <c r="E453" s="54">
        <v>7</v>
      </c>
      <c r="F453" s="54">
        <v>0</v>
      </c>
      <c r="G453" s="54">
        <v>0</v>
      </c>
      <c r="H453" s="54">
        <v>0</v>
      </c>
    </row>
    <row r="454" spans="1:8" x14ac:dyDescent="0.2">
      <c r="A454" s="54" t="s">
        <v>521</v>
      </c>
      <c r="B454" s="54">
        <v>313325</v>
      </c>
      <c r="C454" s="54">
        <v>1</v>
      </c>
      <c r="D454" s="54">
        <v>6</v>
      </c>
      <c r="E454" s="54">
        <v>6</v>
      </c>
      <c r="F454" s="54">
        <v>5</v>
      </c>
      <c r="G454" s="54">
        <v>0</v>
      </c>
      <c r="H454" s="54">
        <v>0</v>
      </c>
    </row>
    <row r="455" spans="1:8" x14ac:dyDescent="0.2">
      <c r="A455" s="54" t="s">
        <v>522</v>
      </c>
      <c r="B455" s="54">
        <v>143994</v>
      </c>
      <c r="C455" s="54">
        <v>31</v>
      </c>
      <c r="D455" s="54">
        <v>35</v>
      </c>
      <c r="E455" s="54">
        <v>8</v>
      </c>
      <c r="F455" s="54">
        <v>0</v>
      </c>
      <c r="G455" s="54">
        <v>0</v>
      </c>
      <c r="H455" s="54">
        <v>0</v>
      </c>
    </row>
    <row r="456" spans="1:8" x14ac:dyDescent="0.2">
      <c r="A456" s="54" t="s">
        <v>523</v>
      </c>
      <c r="B456" s="54">
        <v>198139</v>
      </c>
      <c r="C456" s="54">
        <v>25</v>
      </c>
      <c r="D456" s="54">
        <v>16</v>
      </c>
      <c r="E456" s="54">
        <v>29</v>
      </c>
      <c r="F456" s="54">
        <v>0</v>
      </c>
      <c r="G456" s="54">
        <v>12</v>
      </c>
      <c r="H456" s="54">
        <v>0</v>
      </c>
    </row>
    <row r="457" spans="1:8" x14ac:dyDescent="0.2">
      <c r="A457" s="54" t="s">
        <v>524</v>
      </c>
      <c r="B457" s="54">
        <v>252871</v>
      </c>
      <c r="C457" s="54">
        <v>1</v>
      </c>
      <c r="D457" s="54">
        <v>6</v>
      </c>
      <c r="E457" s="54">
        <v>6</v>
      </c>
      <c r="F457" s="54">
        <v>0</v>
      </c>
      <c r="G457" s="54">
        <v>0</v>
      </c>
      <c r="H457" s="54">
        <v>0</v>
      </c>
    </row>
    <row r="458" spans="1:8" x14ac:dyDescent="0.2">
      <c r="A458" s="54" t="s">
        <v>525</v>
      </c>
      <c r="B458" s="54">
        <v>113502</v>
      </c>
      <c r="C458" s="54">
        <v>145</v>
      </c>
      <c r="D458" s="54">
        <v>128</v>
      </c>
      <c r="E458" s="54">
        <v>10</v>
      </c>
      <c r="F458" s="54">
        <v>0</v>
      </c>
      <c r="G458" s="54">
        <v>0</v>
      </c>
      <c r="H458" s="54">
        <v>0</v>
      </c>
    </row>
    <row r="459" spans="1:8" x14ac:dyDescent="0.2">
      <c r="A459" s="54" t="s">
        <v>526</v>
      </c>
      <c r="B459" s="54">
        <v>112630</v>
      </c>
      <c r="C459" s="54">
        <v>0</v>
      </c>
      <c r="D459" s="54">
        <v>20</v>
      </c>
      <c r="E459" s="54">
        <v>21</v>
      </c>
      <c r="F459" s="54">
        <v>7</v>
      </c>
      <c r="G459" s="54">
        <v>0</v>
      </c>
      <c r="H459" s="54">
        <v>0</v>
      </c>
    </row>
    <row r="460" spans="1:8" x14ac:dyDescent="0.2">
      <c r="A460" s="54" t="s">
        <v>527</v>
      </c>
      <c r="B460" s="54">
        <v>461758</v>
      </c>
      <c r="C460" s="54">
        <v>9</v>
      </c>
      <c r="D460" s="54">
        <v>5</v>
      </c>
      <c r="E460" s="54">
        <v>6</v>
      </c>
      <c r="F460" s="54">
        <v>7</v>
      </c>
      <c r="G460" s="54">
        <v>5</v>
      </c>
      <c r="H460" s="54">
        <v>0</v>
      </c>
    </row>
    <row r="461" spans="1:8" x14ac:dyDescent="0.2">
      <c r="A461" s="54" t="s">
        <v>528</v>
      </c>
      <c r="B461" s="54">
        <v>477467</v>
      </c>
      <c r="C461" s="54">
        <v>6</v>
      </c>
      <c r="D461" s="54">
        <v>6</v>
      </c>
      <c r="E461" s="54">
        <v>17</v>
      </c>
      <c r="F461" s="54">
        <v>0</v>
      </c>
      <c r="G461" s="54">
        <v>0</v>
      </c>
      <c r="H461" s="54">
        <v>0</v>
      </c>
    </row>
    <row r="462" spans="1:8" x14ac:dyDescent="0.2">
      <c r="A462" s="54" t="s">
        <v>529</v>
      </c>
      <c r="B462" s="54">
        <v>109735</v>
      </c>
      <c r="C462" s="54">
        <v>162</v>
      </c>
      <c r="D462" s="54">
        <v>166</v>
      </c>
      <c r="E462" s="54">
        <v>33</v>
      </c>
      <c r="F462" s="54">
        <v>0</v>
      </c>
      <c r="G462" s="54">
        <v>0</v>
      </c>
      <c r="H462" s="54">
        <v>19</v>
      </c>
    </row>
    <row r="463" spans="1:8" x14ac:dyDescent="0.2">
      <c r="A463" s="54" t="s">
        <v>530</v>
      </c>
      <c r="B463" s="54">
        <v>172684</v>
      </c>
      <c r="C463" s="54">
        <v>20</v>
      </c>
      <c r="D463" s="54">
        <v>15</v>
      </c>
      <c r="E463" s="54">
        <v>11</v>
      </c>
      <c r="F463" s="54">
        <v>0</v>
      </c>
      <c r="G463" s="54">
        <v>4</v>
      </c>
      <c r="H463" s="54">
        <v>0</v>
      </c>
    </row>
    <row r="464" spans="1:8" x14ac:dyDescent="0.2">
      <c r="A464" s="54" t="s">
        <v>531</v>
      </c>
      <c r="B464" s="54">
        <v>204302</v>
      </c>
      <c r="C464" s="54">
        <v>55</v>
      </c>
      <c r="D464" s="54">
        <v>50</v>
      </c>
      <c r="E464" s="54">
        <v>10</v>
      </c>
      <c r="F464" s="54">
        <v>2</v>
      </c>
      <c r="G464" s="54">
        <v>0</v>
      </c>
      <c r="H464" s="54">
        <v>0</v>
      </c>
    </row>
    <row r="465" spans="1:8" x14ac:dyDescent="0.2">
      <c r="A465" s="54" t="s">
        <v>532</v>
      </c>
      <c r="B465" s="54">
        <v>110479</v>
      </c>
      <c r="C465" s="54">
        <v>103</v>
      </c>
      <c r="D465" s="54">
        <v>170</v>
      </c>
      <c r="E465" s="54">
        <v>24</v>
      </c>
      <c r="F465" s="54">
        <v>0</v>
      </c>
      <c r="G465" s="54">
        <v>0</v>
      </c>
      <c r="H465" s="54">
        <v>0</v>
      </c>
    </row>
    <row r="466" spans="1:8" x14ac:dyDescent="0.2">
      <c r="A466" s="54" t="s">
        <v>533</v>
      </c>
      <c r="B466" s="54">
        <v>128688</v>
      </c>
      <c r="C466" s="54">
        <v>89</v>
      </c>
      <c r="D466" s="54">
        <v>89</v>
      </c>
      <c r="E466" s="54">
        <v>23</v>
      </c>
      <c r="F466" s="54">
        <v>0</v>
      </c>
      <c r="G466" s="54">
        <v>0</v>
      </c>
      <c r="H466" s="54">
        <v>0</v>
      </c>
    </row>
    <row r="467" spans="1:8" x14ac:dyDescent="0.2">
      <c r="A467" s="54" t="s">
        <v>534</v>
      </c>
      <c r="B467" s="54">
        <v>502025</v>
      </c>
      <c r="C467" s="54">
        <v>1</v>
      </c>
      <c r="D467" s="54">
        <v>1</v>
      </c>
      <c r="E467" s="54">
        <v>6</v>
      </c>
      <c r="F467" s="54">
        <v>0</v>
      </c>
      <c r="G467" s="54">
        <v>6</v>
      </c>
      <c r="H467" s="54">
        <v>0</v>
      </c>
    </row>
    <row r="468" spans="1:8" x14ac:dyDescent="0.2">
      <c r="A468" s="54" t="s">
        <v>535</v>
      </c>
      <c r="B468" s="54" t="s">
        <v>536</v>
      </c>
      <c r="C468" s="54">
        <v>139</v>
      </c>
      <c r="D468" s="54">
        <v>30</v>
      </c>
      <c r="E468" s="54">
        <v>13</v>
      </c>
      <c r="F468" s="54">
        <v>0</v>
      </c>
      <c r="G468" s="54">
        <v>4</v>
      </c>
      <c r="H468" s="54">
        <v>0</v>
      </c>
    </row>
    <row r="469" spans="1:8" x14ac:dyDescent="0.2">
      <c r="A469" s="54" t="s">
        <v>537</v>
      </c>
      <c r="B469" s="54">
        <v>108627</v>
      </c>
      <c r="C469" s="54">
        <v>36</v>
      </c>
      <c r="D469" s="54">
        <v>35</v>
      </c>
      <c r="E469" s="54">
        <v>8</v>
      </c>
      <c r="F469" s="54">
        <v>2</v>
      </c>
      <c r="G469" s="54">
        <v>0</v>
      </c>
      <c r="H469" s="54">
        <v>0</v>
      </c>
    </row>
    <row r="470" spans="1:8" x14ac:dyDescent="0.2">
      <c r="A470" s="54" t="s">
        <v>538</v>
      </c>
      <c r="B470" s="54">
        <v>500661</v>
      </c>
      <c r="C470" s="54">
        <v>2</v>
      </c>
      <c r="D470" s="54">
        <v>9</v>
      </c>
      <c r="E470" s="54">
        <v>9</v>
      </c>
      <c r="F470" s="54">
        <v>0</v>
      </c>
      <c r="G470" s="54">
        <v>0</v>
      </c>
      <c r="H470" s="54">
        <v>0</v>
      </c>
    </row>
    <row r="471" spans="1:8" x14ac:dyDescent="0.2">
      <c r="A471" s="54" t="s">
        <v>539</v>
      </c>
      <c r="B471" s="54">
        <v>115132</v>
      </c>
      <c r="C471" s="54">
        <v>39</v>
      </c>
      <c r="D471" s="54">
        <v>69</v>
      </c>
      <c r="E471" s="54">
        <v>47</v>
      </c>
      <c r="F471" s="54">
        <v>0</v>
      </c>
      <c r="G471" s="54">
        <v>0</v>
      </c>
      <c r="H471" s="54">
        <v>0</v>
      </c>
    </row>
    <row r="472" spans="1:8" x14ac:dyDescent="0.2">
      <c r="A472" s="54" t="s">
        <v>540</v>
      </c>
      <c r="B472" s="54">
        <v>120210</v>
      </c>
      <c r="C472" s="54">
        <v>15</v>
      </c>
      <c r="D472" s="54">
        <v>15</v>
      </c>
      <c r="E472" s="54">
        <v>6</v>
      </c>
      <c r="F472" s="54">
        <v>10</v>
      </c>
      <c r="G472" s="54">
        <v>0</v>
      </c>
      <c r="H472" s="54">
        <v>0</v>
      </c>
    </row>
    <row r="473" spans="1:8" x14ac:dyDescent="0.2">
      <c r="A473" s="54" t="s">
        <v>541</v>
      </c>
      <c r="B473" s="54">
        <v>130140</v>
      </c>
      <c r="C473" s="54">
        <v>7</v>
      </c>
      <c r="D473" s="54">
        <v>7</v>
      </c>
      <c r="E473" s="54">
        <v>22</v>
      </c>
      <c r="F473" s="54">
        <v>0</v>
      </c>
      <c r="G473" s="54">
        <v>0</v>
      </c>
      <c r="H473" s="54">
        <v>0</v>
      </c>
    </row>
    <row r="474" spans="1:8" x14ac:dyDescent="0.2">
      <c r="A474" s="54" t="s">
        <v>542</v>
      </c>
      <c r="B474" s="54">
        <v>105331</v>
      </c>
      <c r="C474" s="54">
        <v>480</v>
      </c>
      <c r="D474" s="54">
        <v>487</v>
      </c>
      <c r="E474" s="54">
        <v>40</v>
      </c>
      <c r="F474" s="54">
        <v>0</v>
      </c>
      <c r="G474" s="54">
        <v>0</v>
      </c>
      <c r="H474" s="54">
        <v>0</v>
      </c>
    </row>
    <row r="475" spans="1:8" x14ac:dyDescent="0.2">
      <c r="A475" s="54" t="s">
        <v>543</v>
      </c>
      <c r="B475" s="54">
        <v>321757</v>
      </c>
      <c r="C475" s="54">
        <v>12</v>
      </c>
      <c r="D475" s="54">
        <v>6</v>
      </c>
      <c r="E475" s="54">
        <v>6</v>
      </c>
      <c r="F475" s="54">
        <v>0</v>
      </c>
      <c r="G475" s="54">
        <v>0</v>
      </c>
      <c r="H475" s="54">
        <v>0</v>
      </c>
    </row>
    <row r="476" spans="1:8" x14ac:dyDescent="0.2">
      <c r="A476" s="54" t="s">
        <v>544</v>
      </c>
      <c r="B476" s="54">
        <v>318425</v>
      </c>
      <c r="C476" s="54">
        <v>25</v>
      </c>
      <c r="D476" s="54">
        <v>40</v>
      </c>
      <c r="E476" s="54">
        <v>25</v>
      </c>
      <c r="F476" s="54">
        <v>0</v>
      </c>
      <c r="G476" s="54">
        <v>0</v>
      </c>
      <c r="H476" s="54">
        <v>0</v>
      </c>
    </row>
    <row r="477" spans="1:8" x14ac:dyDescent="0.2">
      <c r="A477" s="54" t="s">
        <v>545</v>
      </c>
      <c r="B477" s="54">
        <v>328240</v>
      </c>
      <c r="C477" s="54">
        <v>88</v>
      </c>
      <c r="D477" s="54">
        <v>92</v>
      </c>
      <c r="E477" s="54">
        <v>13</v>
      </c>
      <c r="F477" s="54">
        <v>0</v>
      </c>
      <c r="G477" s="54">
        <v>0</v>
      </c>
      <c r="H477" s="54">
        <v>0</v>
      </c>
    </row>
    <row r="478" spans="1:8" x14ac:dyDescent="0.2">
      <c r="A478" s="54" t="s">
        <v>546</v>
      </c>
      <c r="B478" s="54">
        <v>106197</v>
      </c>
      <c r="C478" s="54">
        <v>100</v>
      </c>
      <c r="D478" s="54">
        <v>100</v>
      </c>
      <c r="E478" s="54">
        <v>11</v>
      </c>
      <c r="F478" s="54">
        <v>5</v>
      </c>
      <c r="G478" s="54">
        <v>4</v>
      </c>
      <c r="H478" s="54">
        <v>0</v>
      </c>
    </row>
    <row r="479" spans="1:8" x14ac:dyDescent="0.2">
      <c r="A479" s="54" t="s">
        <v>547</v>
      </c>
      <c r="B479" s="54">
        <v>109762</v>
      </c>
      <c r="C479" s="54">
        <v>0</v>
      </c>
      <c r="D479" s="54">
        <v>10</v>
      </c>
      <c r="E479" s="54">
        <v>21</v>
      </c>
      <c r="F479" s="54">
        <v>0</v>
      </c>
      <c r="G479" s="54">
        <v>0</v>
      </c>
      <c r="H479" s="54">
        <v>0</v>
      </c>
    </row>
    <row r="480" spans="1:8" x14ac:dyDescent="0.2">
      <c r="A480" s="54" t="s">
        <v>548</v>
      </c>
      <c r="B480" s="54">
        <v>110482</v>
      </c>
      <c r="C480" s="54">
        <v>22</v>
      </c>
      <c r="D480" s="54">
        <v>13</v>
      </c>
      <c r="E480" s="54">
        <v>6</v>
      </c>
      <c r="F480" s="54">
        <v>9</v>
      </c>
      <c r="G480" s="54">
        <v>0</v>
      </c>
      <c r="H480" s="54">
        <v>0</v>
      </c>
    </row>
    <row r="481" spans="1:8" x14ac:dyDescent="0.2">
      <c r="A481" s="54" t="s">
        <v>549</v>
      </c>
      <c r="B481" s="54">
        <v>114873</v>
      </c>
      <c r="C481" s="54">
        <v>216</v>
      </c>
      <c r="D481" s="54">
        <v>216</v>
      </c>
      <c r="E481" s="54">
        <v>22</v>
      </c>
      <c r="F481" s="54">
        <v>0</v>
      </c>
      <c r="G481" s="54">
        <v>0</v>
      </c>
      <c r="H481" s="54">
        <v>0</v>
      </c>
    </row>
    <row r="482" spans="1:8" x14ac:dyDescent="0.2">
      <c r="A482" s="54" t="s">
        <v>550</v>
      </c>
      <c r="B482" s="54">
        <v>114232</v>
      </c>
      <c r="C482" s="54">
        <v>57</v>
      </c>
      <c r="D482" s="54">
        <v>12</v>
      </c>
      <c r="E482" s="54">
        <v>6</v>
      </c>
      <c r="F482" s="54">
        <v>8</v>
      </c>
      <c r="G482" s="54">
        <v>0</v>
      </c>
      <c r="H482" s="54">
        <v>5</v>
      </c>
    </row>
    <row r="483" spans="1:8" x14ac:dyDescent="0.2">
      <c r="A483" s="54" t="s">
        <v>551</v>
      </c>
      <c r="B483" s="54">
        <v>491098</v>
      </c>
      <c r="C483" s="54">
        <v>0</v>
      </c>
      <c r="D483" s="54">
        <v>15</v>
      </c>
      <c r="E483" s="54">
        <v>21</v>
      </c>
      <c r="F483" s="54">
        <v>0</v>
      </c>
      <c r="G483" s="54">
        <v>1</v>
      </c>
      <c r="H483" s="54">
        <v>0</v>
      </c>
    </row>
    <row r="484" spans="1:8" x14ac:dyDescent="0.2">
      <c r="A484" s="54" t="s">
        <v>552</v>
      </c>
      <c r="B484" s="54">
        <v>515108</v>
      </c>
      <c r="C484" s="54">
        <v>15</v>
      </c>
      <c r="D484" s="54">
        <v>3</v>
      </c>
      <c r="E484" s="54">
        <v>9</v>
      </c>
      <c r="F484" s="54">
        <v>0</v>
      </c>
      <c r="G484" s="54">
        <v>0</v>
      </c>
      <c r="H484" s="54">
        <v>0</v>
      </c>
    </row>
    <row r="485" spans="1:8" x14ac:dyDescent="0.2">
      <c r="A485" s="54" t="s">
        <v>553</v>
      </c>
      <c r="B485" s="54">
        <v>105389</v>
      </c>
      <c r="C485" s="54">
        <v>111</v>
      </c>
      <c r="D485" s="54">
        <v>92</v>
      </c>
      <c r="E485" s="54">
        <v>48</v>
      </c>
      <c r="F485" s="54">
        <v>6</v>
      </c>
      <c r="G485" s="54">
        <v>0</v>
      </c>
      <c r="H485" s="54">
        <v>0</v>
      </c>
    </row>
    <row r="486" spans="1:8" x14ac:dyDescent="0.2">
      <c r="A486" s="54" t="s">
        <v>554</v>
      </c>
      <c r="B486" s="54">
        <v>166614</v>
      </c>
      <c r="C486" s="54">
        <v>19</v>
      </c>
      <c r="D486" s="54">
        <v>18</v>
      </c>
      <c r="E486" s="54">
        <v>6</v>
      </c>
      <c r="F486" s="54">
        <v>0</v>
      </c>
      <c r="G486" s="54">
        <v>8</v>
      </c>
      <c r="H486" s="54">
        <v>0</v>
      </c>
    </row>
    <row r="487" spans="1:8" x14ac:dyDescent="0.2">
      <c r="A487" s="54" t="s">
        <v>555</v>
      </c>
      <c r="B487" s="54">
        <v>113444</v>
      </c>
      <c r="C487" s="54">
        <v>2</v>
      </c>
      <c r="D487" s="54">
        <v>34</v>
      </c>
      <c r="E487" s="54">
        <v>10</v>
      </c>
      <c r="F487" s="54">
        <v>0</v>
      </c>
      <c r="G487" s="54">
        <v>0</v>
      </c>
      <c r="H487" s="54">
        <v>0</v>
      </c>
    </row>
    <row r="488" spans="1:8" x14ac:dyDescent="0.2">
      <c r="A488" s="54" t="s">
        <v>556</v>
      </c>
      <c r="B488" s="54">
        <v>302987</v>
      </c>
      <c r="C488" s="54">
        <v>16</v>
      </c>
      <c r="D488" s="54">
        <v>28</v>
      </c>
      <c r="E488" s="54">
        <v>50</v>
      </c>
      <c r="F488" s="54">
        <v>0</v>
      </c>
      <c r="G488" s="54">
        <v>0</v>
      </c>
      <c r="H488" s="54">
        <v>0</v>
      </c>
    </row>
    <row r="489" spans="1:8" x14ac:dyDescent="0.2">
      <c r="A489" s="54" t="s">
        <v>557</v>
      </c>
      <c r="B489" s="54">
        <v>217880</v>
      </c>
      <c r="C489" s="54">
        <v>21</v>
      </c>
      <c r="D489" s="54">
        <v>25</v>
      </c>
      <c r="E489" s="54">
        <v>16</v>
      </c>
      <c r="F489" s="54">
        <v>0</v>
      </c>
      <c r="G489" s="54">
        <v>0</v>
      </c>
      <c r="H489" s="54">
        <v>0</v>
      </c>
    </row>
    <row r="490" spans="1:8" x14ac:dyDescent="0.2">
      <c r="A490" s="54" t="s">
        <v>558</v>
      </c>
      <c r="B490" s="54">
        <v>112780</v>
      </c>
      <c r="C490" s="54">
        <v>37</v>
      </c>
      <c r="D490" s="54">
        <v>24</v>
      </c>
      <c r="E490" s="54">
        <v>6</v>
      </c>
      <c r="F490" s="54">
        <v>24</v>
      </c>
      <c r="G490" s="54">
        <v>0</v>
      </c>
      <c r="H490" s="54">
        <v>0</v>
      </c>
    </row>
    <row r="491" spans="1:8" x14ac:dyDescent="0.2">
      <c r="A491" s="54" t="s">
        <v>559</v>
      </c>
      <c r="B491" s="54">
        <v>106509</v>
      </c>
      <c r="C491" s="54">
        <v>341</v>
      </c>
      <c r="D491" s="54">
        <v>330</v>
      </c>
      <c r="E491" s="54">
        <v>33</v>
      </c>
      <c r="F491" s="54">
        <v>0</v>
      </c>
      <c r="G491" s="54">
        <v>30</v>
      </c>
      <c r="H491" s="54">
        <v>0</v>
      </c>
    </row>
    <row r="492" spans="1:8" x14ac:dyDescent="0.2">
      <c r="A492" s="54" t="s">
        <v>560</v>
      </c>
      <c r="B492" s="54">
        <v>124527</v>
      </c>
      <c r="C492" s="54">
        <v>50</v>
      </c>
      <c r="D492" s="54">
        <v>37</v>
      </c>
      <c r="E492" s="54">
        <v>13</v>
      </c>
      <c r="F492" s="54">
        <v>0</v>
      </c>
      <c r="G492" s="54">
        <v>0</v>
      </c>
      <c r="H492" s="54">
        <v>0</v>
      </c>
    </row>
    <row r="493" spans="1:8" x14ac:dyDescent="0.2">
      <c r="A493" s="54" t="s">
        <v>561</v>
      </c>
      <c r="B493" s="54">
        <v>145570</v>
      </c>
      <c r="C493" s="54">
        <v>189</v>
      </c>
      <c r="D493" s="54">
        <v>153</v>
      </c>
      <c r="E493" s="54">
        <v>26</v>
      </c>
      <c r="F493" s="54">
        <v>8</v>
      </c>
      <c r="G493" s="54">
        <v>0</v>
      </c>
      <c r="H493" s="54">
        <v>0</v>
      </c>
    </row>
    <row r="494" spans="1:8" x14ac:dyDescent="0.2">
      <c r="A494" s="54" t="s">
        <v>562</v>
      </c>
      <c r="B494" s="54">
        <v>327053</v>
      </c>
      <c r="C494" s="54">
        <v>10</v>
      </c>
      <c r="D494" s="54">
        <v>10</v>
      </c>
      <c r="E494" s="54">
        <v>18</v>
      </c>
      <c r="F494" s="54">
        <v>0</v>
      </c>
      <c r="G494" s="54">
        <v>0</v>
      </c>
      <c r="H494" s="54">
        <v>0</v>
      </c>
    </row>
    <row r="495" spans="1:8" x14ac:dyDescent="0.2">
      <c r="A495" s="54" t="s">
        <v>563</v>
      </c>
      <c r="B495" s="54">
        <v>108481</v>
      </c>
      <c r="C495" s="54">
        <v>2000</v>
      </c>
      <c r="D495" s="54">
        <v>4700</v>
      </c>
      <c r="E495" s="54">
        <v>36</v>
      </c>
      <c r="F495" s="54">
        <v>0</v>
      </c>
      <c r="G495" s="54">
        <v>0</v>
      </c>
      <c r="H495" s="54">
        <v>2</v>
      </c>
    </row>
    <row r="496" spans="1:8" x14ac:dyDescent="0.2">
      <c r="A496" s="54" t="s">
        <v>564</v>
      </c>
      <c r="B496" s="54">
        <v>110485</v>
      </c>
      <c r="C496" s="54">
        <v>0</v>
      </c>
      <c r="D496" s="54">
        <v>7</v>
      </c>
      <c r="E496" s="54">
        <v>15</v>
      </c>
      <c r="F496" s="54">
        <v>0</v>
      </c>
      <c r="G496" s="54">
        <v>0</v>
      </c>
      <c r="H496" s="54">
        <v>0</v>
      </c>
    </row>
    <row r="497" spans="1:8" x14ac:dyDescent="0.2">
      <c r="A497" s="54" t="s">
        <v>565</v>
      </c>
      <c r="B497" s="54">
        <v>110673</v>
      </c>
      <c r="C497" s="54">
        <v>190</v>
      </c>
      <c r="D497" s="54">
        <v>150</v>
      </c>
      <c r="E497" s="54">
        <v>28</v>
      </c>
      <c r="F497" s="54">
        <v>9</v>
      </c>
      <c r="G497" s="54">
        <v>0</v>
      </c>
      <c r="H497" s="54">
        <v>0</v>
      </c>
    </row>
    <row r="498" spans="1:8" x14ac:dyDescent="0.2">
      <c r="A498" s="54" t="s">
        <v>566</v>
      </c>
      <c r="B498" s="54">
        <v>110715</v>
      </c>
      <c r="C498" s="54">
        <v>117</v>
      </c>
      <c r="D498" s="54">
        <v>107</v>
      </c>
      <c r="E498" s="54">
        <v>16</v>
      </c>
      <c r="F498" s="54">
        <v>0</v>
      </c>
      <c r="G498" s="54">
        <v>0</v>
      </c>
      <c r="H498" s="54">
        <v>0</v>
      </c>
    </row>
    <row r="499" spans="1:8" x14ac:dyDescent="0.2">
      <c r="A499" s="54" t="s">
        <v>567</v>
      </c>
      <c r="B499" s="54">
        <v>163211</v>
      </c>
      <c r="C499" s="54">
        <v>200</v>
      </c>
      <c r="D499" s="54">
        <v>560</v>
      </c>
      <c r="E499" s="54">
        <v>49</v>
      </c>
      <c r="F499" s="54">
        <v>0</v>
      </c>
      <c r="G499" s="54">
        <v>0</v>
      </c>
      <c r="H499" s="54">
        <v>0</v>
      </c>
    </row>
    <row r="500" spans="1:8" x14ac:dyDescent="0.2">
      <c r="A500" s="54" t="s">
        <v>568</v>
      </c>
      <c r="B500" s="54">
        <v>518257</v>
      </c>
      <c r="C500" s="54">
        <v>44</v>
      </c>
      <c r="D500" s="54">
        <v>65</v>
      </c>
      <c r="E500" s="54">
        <v>47</v>
      </c>
      <c r="F500" s="54">
        <v>12</v>
      </c>
      <c r="G500" s="54">
        <v>0</v>
      </c>
      <c r="H500" s="54">
        <v>0</v>
      </c>
    </row>
    <row r="501" spans="1:8" x14ac:dyDescent="0.2">
      <c r="A501" s="54" t="s">
        <v>569</v>
      </c>
      <c r="B501" s="54">
        <v>304056</v>
      </c>
      <c r="C501" s="54">
        <v>1</v>
      </c>
      <c r="D501" s="54">
        <v>5</v>
      </c>
      <c r="E501" s="54">
        <v>9</v>
      </c>
      <c r="F501" s="54">
        <v>0</v>
      </c>
      <c r="G501" s="54">
        <v>0</v>
      </c>
      <c r="H501" s="54">
        <v>7</v>
      </c>
    </row>
    <row r="502" spans="1:8" x14ac:dyDescent="0.2">
      <c r="A502" s="54" t="s">
        <v>570</v>
      </c>
      <c r="B502" s="54">
        <v>442328</v>
      </c>
      <c r="C502" s="54">
        <v>18</v>
      </c>
      <c r="D502" s="54">
        <v>25</v>
      </c>
      <c r="E502" s="54">
        <v>13</v>
      </c>
      <c r="F502" s="54">
        <v>1</v>
      </c>
      <c r="G502" s="54">
        <v>0</v>
      </c>
      <c r="H502" s="54">
        <v>0</v>
      </c>
    </row>
    <row r="503" spans="1:8" x14ac:dyDescent="0.2">
      <c r="A503" s="54" t="s">
        <v>571</v>
      </c>
      <c r="B503" s="54">
        <v>513921</v>
      </c>
      <c r="C503" s="54">
        <v>649</v>
      </c>
      <c r="D503" s="54">
        <v>470</v>
      </c>
      <c r="E503" s="54">
        <v>8</v>
      </c>
      <c r="F503" s="54">
        <v>0</v>
      </c>
      <c r="G503" s="54">
        <v>0</v>
      </c>
      <c r="H503" s="54">
        <v>0</v>
      </c>
    </row>
    <row r="504" spans="1:8" x14ac:dyDescent="0.2">
      <c r="A504" s="54" t="s">
        <v>572</v>
      </c>
      <c r="B504" s="54">
        <v>148367</v>
      </c>
      <c r="C504" s="54">
        <v>46</v>
      </c>
      <c r="D504" s="54">
        <v>47</v>
      </c>
      <c r="E504" s="54">
        <v>13</v>
      </c>
      <c r="F504" s="54">
        <v>0</v>
      </c>
      <c r="G504" s="54">
        <v>0</v>
      </c>
      <c r="H504" s="54">
        <v>0</v>
      </c>
    </row>
    <row r="505" spans="1:8" x14ac:dyDescent="0.2">
      <c r="A505" s="54" t="s">
        <v>573</v>
      </c>
      <c r="B505" s="54">
        <v>135100</v>
      </c>
      <c r="C505" s="54">
        <v>4</v>
      </c>
      <c r="D505" s="54">
        <v>43</v>
      </c>
      <c r="E505" s="54">
        <v>49</v>
      </c>
      <c r="F505" s="54">
        <v>0</v>
      </c>
      <c r="G505" s="54">
        <v>0</v>
      </c>
      <c r="H505" s="54">
        <v>0</v>
      </c>
    </row>
    <row r="506" spans="1:8" x14ac:dyDescent="0.2">
      <c r="A506" s="54" t="s">
        <v>574</v>
      </c>
      <c r="B506" s="54">
        <v>108362</v>
      </c>
      <c r="C506" s="54">
        <v>215</v>
      </c>
      <c r="D506" s="54">
        <v>290</v>
      </c>
      <c r="E506" s="54">
        <v>10</v>
      </c>
      <c r="F506" s="54">
        <v>5</v>
      </c>
      <c r="G506" s="54">
        <v>0</v>
      </c>
      <c r="H506" s="54">
        <v>0</v>
      </c>
    </row>
    <row r="507" spans="1:8" x14ac:dyDescent="0.2">
      <c r="A507" s="54" t="s">
        <v>575</v>
      </c>
      <c r="B507" s="54">
        <v>467660</v>
      </c>
      <c r="C507" s="54">
        <v>26</v>
      </c>
      <c r="D507" s="54">
        <v>19</v>
      </c>
      <c r="E507" s="54">
        <v>6</v>
      </c>
      <c r="F507" s="54">
        <v>4</v>
      </c>
      <c r="G507" s="54">
        <v>2</v>
      </c>
      <c r="H507" s="54">
        <v>0</v>
      </c>
    </row>
    <row r="508" spans="1:8" x14ac:dyDescent="0.2">
      <c r="A508" s="54" t="s">
        <v>576</v>
      </c>
      <c r="B508" s="54">
        <v>193887</v>
      </c>
      <c r="C508" s="54">
        <v>0</v>
      </c>
      <c r="D508" s="54">
        <v>8</v>
      </c>
      <c r="E508" s="54">
        <v>12</v>
      </c>
      <c r="F508" s="54">
        <v>0</v>
      </c>
      <c r="G508" s="54">
        <v>0</v>
      </c>
      <c r="H508" s="54">
        <v>0</v>
      </c>
    </row>
    <row r="509" spans="1:8" x14ac:dyDescent="0.2">
      <c r="A509" s="54" t="s">
        <v>577</v>
      </c>
      <c r="B509" s="54">
        <v>112123</v>
      </c>
      <c r="C509" s="54">
        <v>27</v>
      </c>
      <c r="D509" s="54">
        <v>23</v>
      </c>
      <c r="E509" s="54">
        <v>15</v>
      </c>
      <c r="F509" s="54">
        <v>0</v>
      </c>
      <c r="G509" s="54">
        <v>0</v>
      </c>
      <c r="H509" s="54">
        <v>0</v>
      </c>
    </row>
    <row r="510" spans="1:8" x14ac:dyDescent="0.2">
      <c r="A510" s="54" t="s">
        <v>578</v>
      </c>
      <c r="B510" s="54">
        <v>461447</v>
      </c>
      <c r="C510" s="54">
        <v>1</v>
      </c>
      <c r="D510" s="54">
        <v>2</v>
      </c>
      <c r="E510" s="54">
        <v>7</v>
      </c>
      <c r="F510" s="54">
        <v>0</v>
      </c>
      <c r="G510" s="54">
        <v>0</v>
      </c>
      <c r="H510" s="54">
        <v>0</v>
      </c>
    </row>
    <row r="511" spans="1:8" x14ac:dyDescent="0.2">
      <c r="A511" s="54" t="s">
        <v>579</v>
      </c>
      <c r="B511" s="54">
        <v>442850</v>
      </c>
      <c r="C511" s="54">
        <v>36</v>
      </c>
      <c r="D511" s="54">
        <v>51</v>
      </c>
      <c r="E511" s="54">
        <v>21</v>
      </c>
      <c r="F511" s="54">
        <v>7</v>
      </c>
      <c r="G511" s="54">
        <v>6</v>
      </c>
      <c r="H511" s="54">
        <v>7</v>
      </c>
    </row>
    <row r="512" spans="1:8" x14ac:dyDescent="0.2">
      <c r="A512" s="54" t="s">
        <v>580</v>
      </c>
      <c r="B512" s="54">
        <v>472299</v>
      </c>
      <c r="C512" s="54">
        <v>20</v>
      </c>
      <c r="D512" s="54">
        <v>36</v>
      </c>
      <c r="E512" s="54">
        <v>6</v>
      </c>
      <c r="F512" s="54">
        <v>3</v>
      </c>
      <c r="G512" s="54">
        <v>5</v>
      </c>
      <c r="H512" s="54">
        <v>0</v>
      </c>
    </row>
    <row r="513" spans="1:8" x14ac:dyDescent="0.2">
      <c r="A513" s="54" t="s">
        <v>581</v>
      </c>
      <c r="B513" s="54">
        <v>177293</v>
      </c>
      <c r="C513" s="54">
        <v>46</v>
      </c>
      <c r="D513" s="54">
        <v>44</v>
      </c>
      <c r="E513" s="54">
        <v>36</v>
      </c>
      <c r="F513" s="54">
        <v>5</v>
      </c>
      <c r="G513" s="54">
        <v>0</v>
      </c>
      <c r="H513" s="54">
        <v>0</v>
      </c>
    </row>
    <row r="514" spans="1:8" x14ac:dyDescent="0.2">
      <c r="A514" s="54" t="s">
        <v>582</v>
      </c>
      <c r="B514" s="54">
        <v>315176</v>
      </c>
      <c r="C514" s="54">
        <v>83</v>
      </c>
      <c r="D514" s="54">
        <v>64</v>
      </c>
      <c r="E514" s="54">
        <v>13</v>
      </c>
      <c r="F514" s="54">
        <v>0</v>
      </c>
      <c r="G514" s="54">
        <v>0</v>
      </c>
      <c r="H514" s="54">
        <v>0</v>
      </c>
    </row>
    <row r="515" spans="1:8" x14ac:dyDescent="0.2">
      <c r="A515" s="54" t="s">
        <v>583</v>
      </c>
      <c r="B515" s="54">
        <v>319698</v>
      </c>
      <c r="C515" s="54">
        <v>2037</v>
      </c>
      <c r="D515" s="54">
        <v>400</v>
      </c>
      <c r="E515" s="54">
        <v>6</v>
      </c>
      <c r="F515" s="54">
        <v>25</v>
      </c>
      <c r="G515" s="54">
        <v>0</v>
      </c>
      <c r="H515" s="54">
        <v>0</v>
      </c>
    </row>
    <row r="516" spans="1:8" x14ac:dyDescent="0.2">
      <c r="A516" s="54" t="s">
        <v>584</v>
      </c>
      <c r="B516" s="54">
        <v>237422</v>
      </c>
      <c r="C516" s="54">
        <v>15</v>
      </c>
      <c r="D516" s="54">
        <v>16</v>
      </c>
      <c r="E516" s="54">
        <v>7</v>
      </c>
      <c r="F516" s="54">
        <v>0</v>
      </c>
      <c r="G516" s="54">
        <v>0</v>
      </c>
      <c r="H516" s="54">
        <v>6</v>
      </c>
    </row>
    <row r="517" spans="1:8" x14ac:dyDescent="0.2">
      <c r="A517" s="54" t="s">
        <v>585</v>
      </c>
      <c r="B517" s="54">
        <v>451492</v>
      </c>
      <c r="C517" s="54">
        <v>1</v>
      </c>
      <c r="D517" s="54">
        <v>8</v>
      </c>
      <c r="E517" s="54">
        <v>6</v>
      </c>
      <c r="F517" s="54">
        <v>0</v>
      </c>
      <c r="G517" s="54">
        <v>0</v>
      </c>
      <c r="H517" s="54">
        <v>0</v>
      </c>
    </row>
    <row r="518" spans="1:8" x14ac:dyDescent="0.2">
      <c r="A518" s="54" t="s">
        <v>586</v>
      </c>
      <c r="B518" s="54">
        <v>109686</v>
      </c>
      <c r="C518" s="54">
        <v>165</v>
      </c>
      <c r="D518" s="54">
        <v>171</v>
      </c>
      <c r="E518" s="54">
        <v>24</v>
      </c>
      <c r="F518" s="54">
        <v>0</v>
      </c>
      <c r="G518" s="54">
        <v>0</v>
      </c>
      <c r="H518" s="54">
        <v>0</v>
      </c>
    </row>
    <row r="519" spans="1:8" x14ac:dyDescent="0.2">
      <c r="A519" s="54" t="s">
        <v>587</v>
      </c>
      <c r="B519" s="54">
        <v>106199</v>
      </c>
      <c r="C519" s="54">
        <v>109</v>
      </c>
      <c r="D519" s="54">
        <v>62</v>
      </c>
      <c r="E519" s="54">
        <v>34</v>
      </c>
      <c r="F519" s="54">
        <v>0</v>
      </c>
      <c r="G519" s="54">
        <v>0</v>
      </c>
      <c r="H519" s="54">
        <v>7</v>
      </c>
    </row>
    <row r="520" spans="1:8" x14ac:dyDescent="0.2">
      <c r="A520" s="54" t="s">
        <v>588</v>
      </c>
      <c r="B520" s="54">
        <v>170384</v>
      </c>
      <c r="C520" s="54">
        <v>20</v>
      </c>
      <c r="D520" s="54">
        <v>18</v>
      </c>
      <c r="E520" s="54">
        <v>8</v>
      </c>
      <c r="F520" s="54">
        <v>0</v>
      </c>
      <c r="G520" s="54">
        <v>0</v>
      </c>
      <c r="H520" s="54">
        <v>0</v>
      </c>
    </row>
    <row r="521" spans="1:8" x14ac:dyDescent="0.2">
      <c r="A521" s="54" t="s">
        <v>589</v>
      </c>
      <c r="B521" s="54">
        <v>141788</v>
      </c>
      <c r="C521" s="54">
        <v>72</v>
      </c>
      <c r="D521" s="54">
        <v>35</v>
      </c>
      <c r="E521" s="54">
        <v>8</v>
      </c>
      <c r="F521" s="54">
        <v>4</v>
      </c>
      <c r="G521" s="54">
        <v>0</v>
      </c>
      <c r="H521" s="54">
        <v>0</v>
      </c>
    </row>
    <row r="522" spans="1:8" x14ac:dyDescent="0.2">
      <c r="A522" s="54" t="s">
        <v>590</v>
      </c>
      <c r="B522" s="54">
        <v>480485</v>
      </c>
      <c r="C522" s="54">
        <v>4</v>
      </c>
      <c r="D522" s="54">
        <v>4</v>
      </c>
      <c r="E522" s="54">
        <v>22</v>
      </c>
      <c r="F522" s="54">
        <v>0</v>
      </c>
      <c r="G522" s="54">
        <v>0</v>
      </c>
      <c r="H522" s="54">
        <v>0</v>
      </c>
    </row>
    <row r="523" spans="1:8" x14ac:dyDescent="0.2">
      <c r="A523" s="54" t="s">
        <v>591</v>
      </c>
      <c r="B523" s="54">
        <v>112745</v>
      </c>
      <c r="C523" s="54">
        <v>46</v>
      </c>
      <c r="D523" s="54">
        <v>47</v>
      </c>
      <c r="E523" s="54">
        <v>37</v>
      </c>
      <c r="F523" s="54">
        <v>0</v>
      </c>
      <c r="G523" s="54">
        <v>0</v>
      </c>
      <c r="H523" s="54">
        <v>230</v>
      </c>
    </row>
    <row r="524" spans="1:8" x14ac:dyDescent="0.2">
      <c r="A524" s="54" t="s">
        <v>592</v>
      </c>
      <c r="B524" s="54">
        <v>164535</v>
      </c>
      <c r="C524" s="54">
        <v>0</v>
      </c>
      <c r="D524" s="54">
        <v>13</v>
      </c>
      <c r="E524" s="54">
        <v>12</v>
      </c>
      <c r="F524" s="54">
        <v>0</v>
      </c>
      <c r="G524" s="54">
        <v>0</v>
      </c>
      <c r="H524" s="54">
        <v>0</v>
      </c>
    </row>
    <row r="525" spans="1:8" x14ac:dyDescent="0.2">
      <c r="A525" s="54" t="s">
        <v>593</v>
      </c>
      <c r="B525" s="54">
        <v>213659</v>
      </c>
      <c r="C525" s="54">
        <v>13</v>
      </c>
      <c r="D525" s="54">
        <v>5</v>
      </c>
      <c r="E525" s="54">
        <v>43</v>
      </c>
      <c r="F525" s="54">
        <v>0</v>
      </c>
      <c r="G525" s="54">
        <v>0</v>
      </c>
      <c r="H525" s="54">
        <v>0</v>
      </c>
    </row>
    <row r="526" spans="1:8" x14ac:dyDescent="0.2">
      <c r="A526" s="54" t="s">
        <v>594</v>
      </c>
      <c r="B526" s="54">
        <v>112987</v>
      </c>
      <c r="C526" s="54">
        <v>9</v>
      </c>
      <c r="D526" s="54">
        <v>16</v>
      </c>
      <c r="E526" s="54">
        <v>6</v>
      </c>
      <c r="F526" s="54">
        <v>0</v>
      </c>
      <c r="G526" s="54">
        <v>0</v>
      </c>
      <c r="H526" s="54">
        <v>0</v>
      </c>
    </row>
    <row r="527" spans="1:8" x14ac:dyDescent="0.2">
      <c r="A527" s="54" t="s">
        <v>595</v>
      </c>
      <c r="B527" s="54">
        <v>110545</v>
      </c>
      <c r="C527" s="54">
        <v>198</v>
      </c>
      <c r="D527" s="54">
        <v>250</v>
      </c>
      <c r="E527" s="54">
        <v>34</v>
      </c>
      <c r="F527" s="54">
        <v>0</v>
      </c>
      <c r="G527" s="54">
        <v>0</v>
      </c>
      <c r="H527" s="54">
        <v>0</v>
      </c>
    </row>
    <row r="528" spans="1:8" x14ac:dyDescent="0.2">
      <c r="A528" s="54" t="s">
        <v>596</v>
      </c>
      <c r="B528" s="54">
        <v>108015</v>
      </c>
      <c r="C528" s="54">
        <v>775</v>
      </c>
      <c r="D528" s="54">
        <v>768</v>
      </c>
      <c r="E528" s="54">
        <v>28</v>
      </c>
      <c r="F528" s="54">
        <v>0</v>
      </c>
      <c r="G528" s="54">
        <v>0</v>
      </c>
      <c r="H528" s="54">
        <v>0</v>
      </c>
    </row>
    <row r="529" spans="1:8" x14ac:dyDescent="0.2">
      <c r="A529" s="54" t="s">
        <v>597</v>
      </c>
      <c r="B529" s="54">
        <v>557455</v>
      </c>
      <c r="C529" s="54">
        <v>0</v>
      </c>
      <c r="D529" s="54">
        <v>68</v>
      </c>
      <c r="E529" s="54">
        <v>12</v>
      </c>
      <c r="F529" s="54">
        <v>0</v>
      </c>
      <c r="G529" s="54">
        <v>0</v>
      </c>
      <c r="H529" s="54">
        <v>0</v>
      </c>
    </row>
    <row r="530" spans="1:8" x14ac:dyDescent="0.2">
      <c r="A530" s="54" t="s">
        <v>598</v>
      </c>
      <c r="B530" s="54">
        <v>325495</v>
      </c>
      <c r="C530" s="54">
        <v>45</v>
      </c>
      <c r="D530" s="54">
        <v>37</v>
      </c>
      <c r="E530" s="54">
        <v>14</v>
      </c>
      <c r="F530" s="54">
        <v>0</v>
      </c>
      <c r="G530" s="54">
        <v>1</v>
      </c>
      <c r="H530" s="54">
        <v>4</v>
      </c>
    </row>
    <row r="531" spans="1:8" x14ac:dyDescent="0.2">
      <c r="A531" s="54" t="s">
        <v>599</v>
      </c>
      <c r="B531" s="54">
        <v>107911</v>
      </c>
      <c r="C531" s="54">
        <v>1312</v>
      </c>
      <c r="D531" s="54">
        <v>1215</v>
      </c>
      <c r="E531" s="54">
        <v>47</v>
      </c>
      <c r="F531" s="54">
        <v>0</v>
      </c>
      <c r="G531" s="54">
        <v>0</v>
      </c>
      <c r="H531" s="54">
        <v>0</v>
      </c>
    </row>
    <row r="532" spans="1:8" x14ac:dyDescent="0.2">
      <c r="A532" s="54" t="s">
        <v>600</v>
      </c>
      <c r="B532" s="54">
        <v>158758</v>
      </c>
      <c r="C532" s="54">
        <v>53</v>
      </c>
      <c r="D532" s="54">
        <v>80</v>
      </c>
      <c r="E532" s="54">
        <v>7</v>
      </c>
      <c r="F532" s="54">
        <v>0</v>
      </c>
      <c r="G532" s="54">
        <v>1</v>
      </c>
      <c r="H532" s="54">
        <v>0</v>
      </c>
    </row>
    <row r="533" spans="1:8" x14ac:dyDescent="0.2">
      <c r="A533" s="54" t="s">
        <v>601</v>
      </c>
      <c r="B533" s="54">
        <v>113387</v>
      </c>
      <c r="C533" s="54">
        <v>267</v>
      </c>
      <c r="D533" s="54">
        <v>255</v>
      </c>
      <c r="E533" s="54">
        <v>21</v>
      </c>
      <c r="F533" s="54">
        <v>0</v>
      </c>
      <c r="G533" s="54">
        <v>0</v>
      </c>
      <c r="H533" s="54">
        <v>0</v>
      </c>
    </row>
    <row r="534" spans="1:8" x14ac:dyDescent="0.2">
      <c r="A534" s="54" t="s">
        <v>602</v>
      </c>
      <c r="B534" s="54">
        <v>143890</v>
      </c>
      <c r="C534" s="54">
        <v>670</v>
      </c>
      <c r="D534" s="54">
        <v>550</v>
      </c>
      <c r="E534" s="54">
        <v>39</v>
      </c>
      <c r="F534" s="54">
        <v>0</v>
      </c>
      <c r="G534" s="54">
        <v>0</v>
      </c>
      <c r="H534" s="54">
        <v>0</v>
      </c>
    </row>
    <row r="535" spans="1:8" x14ac:dyDescent="0.2">
      <c r="A535" s="54" t="s">
        <v>603</v>
      </c>
      <c r="B535" s="54">
        <v>113397</v>
      </c>
      <c r="C535" s="54">
        <v>93</v>
      </c>
      <c r="D535" s="54">
        <v>145</v>
      </c>
      <c r="E535" s="54">
        <v>45</v>
      </c>
      <c r="F535" s="54">
        <v>0</v>
      </c>
      <c r="G535" s="54">
        <v>0</v>
      </c>
      <c r="H535" s="54">
        <v>0</v>
      </c>
    </row>
    <row r="536" spans="1:8" x14ac:dyDescent="0.2">
      <c r="A536" s="54" t="s">
        <v>604</v>
      </c>
      <c r="B536" s="54">
        <v>193186</v>
      </c>
      <c r="C536" s="54">
        <v>0</v>
      </c>
      <c r="D536" s="54">
        <v>25</v>
      </c>
      <c r="E536" s="54">
        <v>12</v>
      </c>
      <c r="F536" s="54">
        <v>0</v>
      </c>
      <c r="G536" s="54">
        <v>0</v>
      </c>
      <c r="H536" s="54">
        <v>0</v>
      </c>
    </row>
    <row r="537" spans="1:8" x14ac:dyDescent="0.2">
      <c r="A537" s="54" t="s">
        <v>605</v>
      </c>
      <c r="B537" s="54">
        <v>512963</v>
      </c>
      <c r="C537" s="54">
        <v>30</v>
      </c>
      <c r="D537" s="54">
        <v>32</v>
      </c>
      <c r="E537" s="54">
        <v>37</v>
      </c>
      <c r="F537" s="54">
        <v>0</v>
      </c>
      <c r="G537" s="54">
        <v>0</v>
      </c>
      <c r="H537" s="54">
        <v>0</v>
      </c>
    </row>
    <row r="538" spans="1:8" x14ac:dyDescent="0.2">
      <c r="A538" s="54" t="s">
        <v>606</v>
      </c>
      <c r="B538" s="54">
        <v>515162</v>
      </c>
      <c r="C538" s="54">
        <v>0</v>
      </c>
      <c r="D538" s="54">
        <v>6</v>
      </c>
      <c r="E538" s="54">
        <v>25</v>
      </c>
      <c r="F538" s="54">
        <v>0</v>
      </c>
      <c r="G538" s="54">
        <v>0</v>
      </c>
      <c r="H538" s="54">
        <v>0</v>
      </c>
    </row>
    <row r="539" spans="1:8" x14ac:dyDescent="0.2">
      <c r="A539" s="54" t="s">
        <v>607</v>
      </c>
      <c r="B539" s="54">
        <v>121105</v>
      </c>
      <c r="C539" s="54">
        <v>8</v>
      </c>
      <c r="D539" s="54">
        <v>20</v>
      </c>
      <c r="E539" s="54">
        <v>44</v>
      </c>
      <c r="F539" s="54">
        <v>0</v>
      </c>
      <c r="G539" s="54">
        <v>0</v>
      </c>
      <c r="H539" s="54">
        <v>0</v>
      </c>
    </row>
    <row r="540" spans="1:8" x14ac:dyDescent="0.2">
      <c r="A540" s="54" t="s">
        <v>608</v>
      </c>
      <c r="B540" s="54">
        <v>122506</v>
      </c>
      <c r="C540" s="54">
        <v>25</v>
      </c>
      <c r="D540" s="54">
        <v>24</v>
      </c>
      <c r="E540" s="54">
        <v>10</v>
      </c>
      <c r="F540" s="54">
        <v>0</v>
      </c>
      <c r="G540" s="54">
        <v>0</v>
      </c>
      <c r="H540" s="54">
        <v>0</v>
      </c>
    </row>
    <row r="541" spans="1:8" x14ac:dyDescent="0.2">
      <c r="A541" s="54" t="s">
        <v>609</v>
      </c>
      <c r="B541" s="54">
        <v>142059</v>
      </c>
      <c r="C541" s="54">
        <v>10</v>
      </c>
      <c r="D541" s="54">
        <v>9</v>
      </c>
      <c r="E541" s="54">
        <v>17</v>
      </c>
      <c r="F541" s="54">
        <v>0</v>
      </c>
      <c r="G541" s="54">
        <v>0</v>
      </c>
      <c r="H541" s="54">
        <v>0</v>
      </c>
    </row>
    <row r="542" spans="1:8" x14ac:dyDescent="0.2">
      <c r="A542" s="54" t="s">
        <v>610</v>
      </c>
      <c r="B542" s="54">
        <v>206457</v>
      </c>
      <c r="C542" s="54">
        <v>18</v>
      </c>
      <c r="D542" s="54">
        <v>20</v>
      </c>
      <c r="E542" s="54">
        <v>50</v>
      </c>
      <c r="F542" s="54">
        <v>0</v>
      </c>
      <c r="G542" s="54">
        <v>0</v>
      </c>
      <c r="H542" s="54">
        <v>0</v>
      </c>
    </row>
    <row r="543" spans="1:8" x14ac:dyDescent="0.2">
      <c r="A543" s="54" t="s">
        <v>611</v>
      </c>
      <c r="B543" s="54">
        <v>107174</v>
      </c>
      <c r="C543" s="54">
        <v>34</v>
      </c>
      <c r="D543" s="54">
        <v>38</v>
      </c>
      <c r="E543" s="54">
        <v>38</v>
      </c>
      <c r="F543" s="54">
        <v>0</v>
      </c>
      <c r="G543" s="54">
        <v>0</v>
      </c>
      <c r="H543" s="54">
        <v>0</v>
      </c>
    </row>
    <row r="544" spans="1:8" x14ac:dyDescent="0.2">
      <c r="A544" s="54" t="s">
        <v>612</v>
      </c>
      <c r="B544" s="54">
        <v>584550</v>
      </c>
      <c r="C544" s="54">
        <v>1</v>
      </c>
      <c r="D544" s="54">
        <v>2</v>
      </c>
      <c r="E544" s="54">
        <v>6</v>
      </c>
      <c r="F544" s="54">
        <v>0</v>
      </c>
      <c r="G544" s="54">
        <v>1</v>
      </c>
      <c r="H544" s="54">
        <v>0</v>
      </c>
    </row>
    <row r="545" spans="1:8" x14ac:dyDescent="0.2">
      <c r="A545" s="54" t="s">
        <v>613</v>
      </c>
      <c r="B545" s="54">
        <v>310328</v>
      </c>
      <c r="C545" s="54">
        <v>3</v>
      </c>
      <c r="D545" s="54">
        <v>12</v>
      </c>
      <c r="E545" s="54">
        <v>6</v>
      </c>
      <c r="F545" s="54">
        <v>0</v>
      </c>
      <c r="G545" s="54">
        <v>0</v>
      </c>
      <c r="H545" s="54">
        <v>0</v>
      </c>
    </row>
    <row r="546" spans="1:8" x14ac:dyDescent="0.2">
      <c r="A546" s="54" t="s">
        <v>614</v>
      </c>
      <c r="B546" s="54">
        <v>153711</v>
      </c>
      <c r="C546" s="54">
        <v>15</v>
      </c>
      <c r="D546" s="54">
        <v>16</v>
      </c>
      <c r="E546" s="54">
        <v>20</v>
      </c>
      <c r="F546" s="54">
        <v>0</v>
      </c>
      <c r="G546" s="54">
        <v>0</v>
      </c>
      <c r="H546" s="54">
        <v>0</v>
      </c>
    </row>
    <row r="547" spans="1:8" x14ac:dyDescent="0.2">
      <c r="A547" s="54" t="s">
        <v>615</v>
      </c>
      <c r="B547" s="54">
        <v>158327</v>
      </c>
      <c r="C547" s="54">
        <v>323</v>
      </c>
      <c r="D547" s="54">
        <v>263</v>
      </c>
      <c r="E547" s="54">
        <v>12</v>
      </c>
      <c r="F547" s="54">
        <v>0</v>
      </c>
      <c r="G547" s="54">
        <v>0</v>
      </c>
      <c r="H547" s="54">
        <v>0</v>
      </c>
    </row>
    <row r="548" spans="1:8" x14ac:dyDescent="0.2">
      <c r="A548" s="54" t="s">
        <v>616</v>
      </c>
      <c r="B548" s="54">
        <v>115809</v>
      </c>
      <c r="C548" s="54">
        <v>0</v>
      </c>
      <c r="D548" s="54">
        <v>15</v>
      </c>
      <c r="E548" s="54">
        <v>21</v>
      </c>
      <c r="F548" s="54">
        <v>0</v>
      </c>
      <c r="G548" s="54">
        <v>0</v>
      </c>
      <c r="H548" s="54">
        <v>0</v>
      </c>
    </row>
    <row r="549" spans="1:8" x14ac:dyDescent="0.2">
      <c r="A549" s="54" t="s">
        <v>617</v>
      </c>
      <c r="B549" s="54">
        <v>551261</v>
      </c>
      <c r="C549" s="54">
        <v>0</v>
      </c>
      <c r="D549" s="54">
        <v>50</v>
      </c>
      <c r="E549" s="54">
        <v>17</v>
      </c>
      <c r="F549" s="54">
        <v>0</v>
      </c>
      <c r="G549" s="54">
        <v>0</v>
      </c>
      <c r="H549" s="54">
        <v>0</v>
      </c>
    </row>
    <row r="550" spans="1:8" x14ac:dyDescent="0.2">
      <c r="A550" s="54" t="s">
        <v>618</v>
      </c>
      <c r="B550" s="54" t="s">
        <v>619</v>
      </c>
      <c r="C550" s="54">
        <v>0</v>
      </c>
      <c r="D550" s="54">
        <v>100</v>
      </c>
      <c r="E550" s="54">
        <v>6</v>
      </c>
      <c r="F550" s="54">
        <v>0</v>
      </c>
      <c r="G550" s="54">
        <v>0</v>
      </c>
      <c r="H550" s="54">
        <v>0</v>
      </c>
    </row>
    <row r="551" spans="1:8" x14ac:dyDescent="0.2">
      <c r="A551" s="54" t="s">
        <v>620</v>
      </c>
      <c r="B551" s="54" t="s">
        <v>621</v>
      </c>
      <c r="C551" s="54">
        <v>0</v>
      </c>
      <c r="D551" s="54">
        <v>250</v>
      </c>
      <c r="E551" s="54">
        <v>8</v>
      </c>
      <c r="F551" s="54">
        <v>0</v>
      </c>
      <c r="G551" s="54">
        <v>0</v>
      </c>
      <c r="H551" s="54">
        <v>0</v>
      </c>
    </row>
    <row r="552" spans="1:8" x14ac:dyDescent="0.2">
      <c r="A552" s="54" t="s">
        <v>622</v>
      </c>
      <c r="B552" s="54">
        <v>115965</v>
      </c>
      <c r="C552" s="54">
        <v>151</v>
      </c>
      <c r="D552" s="54">
        <v>140</v>
      </c>
      <c r="E552" s="54">
        <v>22</v>
      </c>
      <c r="F552" s="54">
        <v>0</v>
      </c>
      <c r="G552" s="54">
        <v>0</v>
      </c>
      <c r="H552" s="54">
        <v>0</v>
      </c>
    </row>
    <row r="553" spans="1:8" x14ac:dyDescent="0.2">
      <c r="A553" s="54" t="s">
        <v>623</v>
      </c>
      <c r="B553" s="54">
        <v>323066</v>
      </c>
      <c r="C553" s="54">
        <v>6</v>
      </c>
      <c r="D553" s="54">
        <v>4</v>
      </c>
      <c r="E553" s="54">
        <v>11</v>
      </c>
      <c r="F553" s="54">
        <v>0</v>
      </c>
      <c r="G553" s="54">
        <v>0</v>
      </c>
      <c r="H553" s="54">
        <v>0</v>
      </c>
    </row>
    <row r="554" spans="1:8" x14ac:dyDescent="0.2">
      <c r="A554" s="54" t="s">
        <v>624</v>
      </c>
      <c r="B554" s="54">
        <v>478423</v>
      </c>
      <c r="C554" s="54">
        <v>14</v>
      </c>
      <c r="D554" s="54">
        <v>14</v>
      </c>
      <c r="E554" s="54">
        <v>21</v>
      </c>
      <c r="F554" s="54">
        <v>0</v>
      </c>
      <c r="G554" s="54">
        <v>0</v>
      </c>
      <c r="H554" s="54">
        <v>0</v>
      </c>
    </row>
    <row r="555" spans="1:8" x14ac:dyDescent="0.2">
      <c r="A555" s="54" t="s">
        <v>625</v>
      </c>
      <c r="B555" s="54">
        <v>556953</v>
      </c>
      <c r="C555" s="54">
        <v>6</v>
      </c>
      <c r="D555" s="54">
        <v>5</v>
      </c>
      <c r="E555" s="54">
        <v>13</v>
      </c>
      <c r="F555" s="54">
        <v>0</v>
      </c>
      <c r="G555" s="54">
        <v>0</v>
      </c>
      <c r="H555" s="54">
        <v>0</v>
      </c>
    </row>
    <row r="556" spans="1:8" x14ac:dyDescent="0.2">
      <c r="A556" s="54" t="s">
        <v>626</v>
      </c>
      <c r="B556" s="54">
        <v>305999</v>
      </c>
      <c r="C556" s="54">
        <v>28</v>
      </c>
      <c r="D556" s="54">
        <v>24</v>
      </c>
      <c r="E556" s="54">
        <v>6</v>
      </c>
      <c r="F556" s="54">
        <v>0</v>
      </c>
      <c r="G556" s="54">
        <v>0</v>
      </c>
      <c r="H556" s="54">
        <v>0</v>
      </c>
    </row>
    <row r="557" spans="1:8" x14ac:dyDescent="0.2">
      <c r="A557" s="54" t="s">
        <v>627</v>
      </c>
      <c r="B557" s="54">
        <v>109105</v>
      </c>
      <c r="C557" s="54">
        <v>24</v>
      </c>
      <c r="D557" s="54">
        <v>27</v>
      </c>
      <c r="E557" s="54">
        <v>36</v>
      </c>
      <c r="F557" s="54">
        <v>0</v>
      </c>
      <c r="G557" s="54">
        <v>0</v>
      </c>
      <c r="H557" s="54">
        <v>0</v>
      </c>
    </row>
    <row r="558" spans="1:8" x14ac:dyDescent="0.2">
      <c r="A558" s="54" t="s">
        <v>620</v>
      </c>
      <c r="B558" s="54" t="s">
        <v>621</v>
      </c>
      <c r="C558" s="54">
        <v>0</v>
      </c>
      <c r="D558" s="54">
        <v>250</v>
      </c>
      <c r="E558" s="54">
        <v>8</v>
      </c>
      <c r="F558" s="54">
        <v>0</v>
      </c>
      <c r="G558" s="54">
        <v>0</v>
      </c>
      <c r="H558" s="54">
        <v>0</v>
      </c>
    </row>
    <row r="559" spans="1:8" x14ac:dyDescent="0.2">
      <c r="A559" s="54" t="s">
        <v>628</v>
      </c>
      <c r="B559" s="54">
        <v>305998</v>
      </c>
      <c r="C559" s="54">
        <v>17</v>
      </c>
      <c r="D559" s="54">
        <v>17</v>
      </c>
      <c r="E559" s="54">
        <v>6</v>
      </c>
      <c r="F559" s="54">
        <v>0</v>
      </c>
      <c r="G559" s="54">
        <v>0</v>
      </c>
      <c r="H559" s="54">
        <v>0</v>
      </c>
    </row>
    <row r="560" spans="1:8" x14ac:dyDescent="0.2">
      <c r="A560" s="54" t="s">
        <v>629</v>
      </c>
      <c r="B560" s="54">
        <v>309455</v>
      </c>
      <c r="C560" s="54">
        <v>0</v>
      </c>
      <c r="D560" s="54">
        <v>10</v>
      </c>
      <c r="E560" s="54">
        <v>23</v>
      </c>
      <c r="F560" s="54">
        <v>0</v>
      </c>
      <c r="G560" s="54">
        <v>0</v>
      </c>
      <c r="H560" s="54">
        <v>1</v>
      </c>
    </row>
    <row r="561" spans="1:8" x14ac:dyDescent="0.2">
      <c r="A561" s="54" t="s">
        <v>630</v>
      </c>
      <c r="B561" s="54">
        <v>328070</v>
      </c>
      <c r="C561" s="54">
        <v>45</v>
      </c>
      <c r="D561" s="54">
        <v>50</v>
      </c>
      <c r="E561" s="54">
        <v>48</v>
      </c>
      <c r="F561" s="54">
        <v>0</v>
      </c>
      <c r="G561" s="54">
        <v>0</v>
      </c>
      <c r="H561" s="54">
        <v>0</v>
      </c>
    </row>
    <row r="562" spans="1:8" x14ac:dyDescent="0.2">
      <c r="A562" s="54" t="s">
        <v>631</v>
      </c>
      <c r="B562" s="54">
        <v>305270</v>
      </c>
      <c r="C562" s="54">
        <v>4</v>
      </c>
      <c r="D562" s="54">
        <v>4</v>
      </c>
      <c r="E562" s="54">
        <v>20</v>
      </c>
      <c r="F562" s="54">
        <v>0</v>
      </c>
      <c r="G562" s="54">
        <v>0</v>
      </c>
      <c r="H562" s="54">
        <v>0</v>
      </c>
    </row>
    <row r="563" spans="1:8" x14ac:dyDescent="0.2">
      <c r="A563" s="54" t="s">
        <v>632</v>
      </c>
      <c r="B563" s="54">
        <v>321548</v>
      </c>
      <c r="C563" s="54">
        <v>2</v>
      </c>
      <c r="D563" s="54">
        <v>10</v>
      </c>
      <c r="E563" s="54">
        <v>6</v>
      </c>
      <c r="F563" s="54">
        <v>0</v>
      </c>
      <c r="G563" s="54">
        <v>0</v>
      </c>
      <c r="H563" s="54">
        <v>0</v>
      </c>
    </row>
    <row r="564" spans="1:8" x14ac:dyDescent="0.2">
      <c r="A564" s="54" t="s">
        <v>633</v>
      </c>
      <c r="B564" s="54">
        <v>112666</v>
      </c>
      <c r="C564" s="54">
        <v>145</v>
      </c>
      <c r="D564" s="54">
        <v>62</v>
      </c>
      <c r="E564" s="54">
        <v>19</v>
      </c>
      <c r="F564" s="54">
        <v>0</v>
      </c>
      <c r="G564" s="54">
        <v>0</v>
      </c>
      <c r="H564" s="54">
        <v>0</v>
      </c>
    </row>
    <row r="565" spans="1:8" x14ac:dyDescent="0.2">
      <c r="A565" s="54" t="s">
        <v>634</v>
      </c>
      <c r="B565" s="54">
        <v>110771</v>
      </c>
      <c r="C565" s="54">
        <v>406</v>
      </c>
      <c r="D565" s="54">
        <v>140</v>
      </c>
      <c r="E565" s="54">
        <v>31</v>
      </c>
      <c r="F565" s="54">
        <v>0</v>
      </c>
      <c r="G565" s="54">
        <v>0</v>
      </c>
      <c r="H565" s="54">
        <v>0</v>
      </c>
    </row>
    <row r="566" spans="1:8" x14ac:dyDescent="0.2">
      <c r="A566" s="54" t="s">
        <v>635</v>
      </c>
      <c r="B566" s="54">
        <v>110456</v>
      </c>
      <c r="C566" s="54">
        <v>78</v>
      </c>
      <c r="D566" s="54">
        <v>91</v>
      </c>
      <c r="E566" s="54">
        <v>51</v>
      </c>
      <c r="F566" s="54">
        <v>0</v>
      </c>
      <c r="G566" s="54">
        <v>0</v>
      </c>
      <c r="H566" s="54">
        <v>0</v>
      </c>
    </row>
    <row r="567" spans="1:8" x14ac:dyDescent="0.2">
      <c r="A567" s="54" t="s">
        <v>636</v>
      </c>
      <c r="B567" s="54">
        <v>128243</v>
      </c>
      <c r="C567" s="54">
        <v>1</v>
      </c>
      <c r="D567" s="54">
        <v>20</v>
      </c>
      <c r="E567" s="54">
        <v>50</v>
      </c>
      <c r="F567" s="54">
        <v>0</v>
      </c>
      <c r="G567" s="54">
        <v>0</v>
      </c>
      <c r="H567" s="54">
        <v>0</v>
      </c>
    </row>
    <row r="568" spans="1:8" x14ac:dyDescent="0.2">
      <c r="A568" s="54" t="s">
        <v>637</v>
      </c>
      <c r="B568" s="54">
        <v>458279</v>
      </c>
      <c r="C568" s="54">
        <v>0</v>
      </c>
      <c r="D568" s="54">
        <v>30</v>
      </c>
      <c r="E568" s="54">
        <v>20</v>
      </c>
      <c r="F568" s="54">
        <v>0</v>
      </c>
      <c r="G568" s="54">
        <v>0</v>
      </c>
      <c r="H568" s="54">
        <v>0</v>
      </c>
    </row>
    <row r="569" spans="1:8" x14ac:dyDescent="0.2">
      <c r="A569" s="54" t="s">
        <v>638</v>
      </c>
      <c r="B569" s="54">
        <v>306001</v>
      </c>
      <c r="C569" s="54">
        <v>25</v>
      </c>
      <c r="D569" s="54">
        <v>20</v>
      </c>
      <c r="E569" s="54">
        <v>6</v>
      </c>
      <c r="F569" s="54">
        <v>0</v>
      </c>
      <c r="G569" s="54">
        <v>0</v>
      </c>
      <c r="H569" s="54">
        <v>0</v>
      </c>
    </row>
    <row r="570" spans="1:8" x14ac:dyDescent="0.2">
      <c r="A570" s="54" t="s">
        <v>639</v>
      </c>
      <c r="B570" s="54">
        <v>459683</v>
      </c>
      <c r="C570" s="54">
        <v>45</v>
      </c>
      <c r="D570" s="54">
        <v>40</v>
      </c>
      <c r="E570" s="54">
        <v>18</v>
      </c>
      <c r="F570" s="54">
        <v>0</v>
      </c>
      <c r="G570" s="54">
        <v>0</v>
      </c>
      <c r="H570" s="54">
        <v>0</v>
      </c>
    </row>
    <row r="571" spans="1:8" x14ac:dyDescent="0.2">
      <c r="A571" s="54" t="s">
        <v>640</v>
      </c>
      <c r="B571" s="54">
        <v>111152</v>
      </c>
      <c r="C571" s="54">
        <v>130</v>
      </c>
      <c r="D571" s="54">
        <v>150</v>
      </c>
      <c r="E571" s="54">
        <v>50</v>
      </c>
      <c r="F571" s="54">
        <v>0</v>
      </c>
      <c r="G571" s="54">
        <v>0</v>
      </c>
      <c r="H571" s="54">
        <v>0</v>
      </c>
    </row>
    <row r="572" spans="1:8" x14ac:dyDescent="0.2">
      <c r="A572" s="54" t="s">
        <v>641</v>
      </c>
      <c r="B572" s="54">
        <v>113228</v>
      </c>
      <c r="C572" s="54">
        <v>580</v>
      </c>
      <c r="D572" s="54">
        <v>645</v>
      </c>
      <c r="E572" s="54">
        <v>20</v>
      </c>
      <c r="F572" s="54">
        <v>0</v>
      </c>
      <c r="G572" s="54">
        <v>0</v>
      </c>
      <c r="H572" s="54">
        <v>0</v>
      </c>
    </row>
    <row r="573" spans="1:8" x14ac:dyDescent="0.2">
      <c r="A573" s="54" t="s">
        <v>642</v>
      </c>
      <c r="B573" s="54">
        <v>106844</v>
      </c>
      <c r="C573" s="54">
        <v>456</v>
      </c>
      <c r="D573" s="54">
        <v>193</v>
      </c>
      <c r="E573" s="54">
        <v>49</v>
      </c>
      <c r="F573" s="54">
        <v>0</v>
      </c>
      <c r="G573" s="54">
        <v>0</v>
      </c>
      <c r="H573" s="54">
        <v>0</v>
      </c>
    </row>
    <row r="574" spans="1:8" x14ac:dyDescent="0.2">
      <c r="A574" s="54" t="s">
        <v>643</v>
      </c>
      <c r="B574" s="54">
        <v>498161</v>
      </c>
      <c r="C574" s="54">
        <v>6</v>
      </c>
      <c r="D574" s="54">
        <v>4</v>
      </c>
      <c r="E574" s="54">
        <v>16</v>
      </c>
      <c r="F574" s="54">
        <v>0</v>
      </c>
      <c r="G574" s="54">
        <v>0</v>
      </c>
      <c r="H574" s="54">
        <v>0</v>
      </c>
    </row>
    <row r="575" spans="1:8" x14ac:dyDescent="0.2">
      <c r="A575" s="54" t="s">
        <v>644</v>
      </c>
      <c r="B575" s="54">
        <v>106575</v>
      </c>
      <c r="C575" s="54">
        <v>142</v>
      </c>
      <c r="D575" s="54">
        <v>166</v>
      </c>
      <c r="E575" s="54">
        <v>34</v>
      </c>
      <c r="F575" s="54">
        <v>0</v>
      </c>
      <c r="G575" s="54">
        <v>0</v>
      </c>
      <c r="H575" s="54">
        <v>0</v>
      </c>
    </row>
    <row r="576" spans="1:8" x14ac:dyDescent="0.2">
      <c r="A576" s="54" t="s">
        <v>645</v>
      </c>
      <c r="B576" s="54">
        <v>456328</v>
      </c>
      <c r="C576" s="54">
        <v>1</v>
      </c>
      <c r="D576" s="54">
        <v>40</v>
      </c>
      <c r="E576" s="54">
        <v>6</v>
      </c>
      <c r="F576" s="54">
        <v>0</v>
      </c>
      <c r="G576" s="54">
        <v>0</v>
      </c>
      <c r="H576" s="54">
        <v>0</v>
      </c>
    </row>
    <row r="577" spans="1:8" x14ac:dyDescent="0.2">
      <c r="A577" s="54" t="s">
        <v>646</v>
      </c>
      <c r="B577" s="54">
        <v>325652</v>
      </c>
      <c r="C577" s="54">
        <v>7</v>
      </c>
      <c r="D577" s="54">
        <v>320</v>
      </c>
      <c r="E577" s="54">
        <v>45</v>
      </c>
      <c r="F577" s="54">
        <v>0</v>
      </c>
      <c r="G577" s="54">
        <v>0</v>
      </c>
      <c r="H577" s="54">
        <v>7</v>
      </c>
    </row>
    <row r="578" spans="1:8" x14ac:dyDescent="0.2">
      <c r="A578" s="54" t="s">
        <v>647</v>
      </c>
      <c r="B578" s="54">
        <v>113455</v>
      </c>
      <c r="C578" s="54">
        <v>42</v>
      </c>
      <c r="D578" s="54">
        <v>35</v>
      </c>
      <c r="E578" s="54">
        <v>38</v>
      </c>
      <c r="F578" s="54">
        <v>0</v>
      </c>
      <c r="G578" s="54">
        <v>0</v>
      </c>
      <c r="H578" s="54">
        <v>0</v>
      </c>
    </row>
    <row r="579" spans="1:8" x14ac:dyDescent="0.2">
      <c r="A579" s="54" t="s">
        <v>648</v>
      </c>
      <c r="B579" s="54">
        <v>108406</v>
      </c>
      <c r="C579" s="54">
        <v>280</v>
      </c>
      <c r="D579" s="54">
        <v>200</v>
      </c>
      <c r="E579" s="54">
        <v>19</v>
      </c>
      <c r="F579" s="54">
        <v>0</v>
      </c>
      <c r="G579" s="54">
        <v>0</v>
      </c>
      <c r="H579" s="54">
        <v>0</v>
      </c>
    </row>
    <row r="580" spans="1:8" x14ac:dyDescent="0.2">
      <c r="A580" s="54" t="s">
        <v>649</v>
      </c>
      <c r="B580" s="54">
        <v>277916</v>
      </c>
      <c r="C580" s="54">
        <v>7</v>
      </c>
      <c r="D580" s="54">
        <v>7</v>
      </c>
      <c r="E580" s="54">
        <v>22</v>
      </c>
      <c r="F580" s="54">
        <v>0</v>
      </c>
      <c r="G580" s="54">
        <v>0</v>
      </c>
      <c r="H580" s="54">
        <v>0</v>
      </c>
    </row>
    <row r="581" spans="1:8" x14ac:dyDescent="0.2">
      <c r="A581" s="54" t="s">
        <v>650</v>
      </c>
      <c r="B581" s="54">
        <v>323651</v>
      </c>
      <c r="C581" s="54">
        <v>0</v>
      </c>
      <c r="D581" s="54">
        <v>20</v>
      </c>
      <c r="E581" s="54">
        <v>12</v>
      </c>
      <c r="F581" s="54">
        <v>0</v>
      </c>
      <c r="G581" s="54">
        <v>0</v>
      </c>
      <c r="H581" s="54">
        <v>0</v>
      </c>
    </row>
    <row r="582" spans="1:8" x14ac:dyDescent="0.2">
      <c r="A582" s="54" t="s">
        <v>651</v>
      </c>
      <c r="B582" s="54">
        <v>115752</v>
      </c>
      <c r="C582" s="54">
        <v>60</v>
      </c>
      <c r="D582" s="54">
        <v>130</v>
      </c>
      <c r="E582" s="54">
        <v>39</v>
      </c>
      <c r="F582" s="54">
        <v>0</v>
      </c>
      <c r="G582" s="54">
        <v>0</v>
      </c>
      <c r="H582" s="54">
        <v>0</v>
      </c>
    </row>
    <row r="583" spans="1:8" x14ac:dyDescent="0.2">
      <c r="A583" s="54" t="s">
        <v>652</v>
      </c>
      <c r="B583" s="54">
        <v>154518</v>
      </c>
      <c r="C583" s="54">
        <v>899</v>
      </c>
      <c r="D583" s="54">
        <v>201</v>
      </c>
      <c r="E583" s="54">
        <v>9</v>
      </c>
      <c r="F583" s="54">
        <v>0</v>
      </c>
      <c r="G583" s="54">
        <v>0</v>
      </c>
      <c r="H583" s="54">
        <v>0</v>
      </c>
    </row>
    <row r="584" spans="1:8" x14ac:dyDescent="0.2">
      <c r="A584" s="54" t="s">
        <v>653</v>
      </c>
      <c r="B584" s="54">
        <v>513206</v>
      </c>
      <c r="C584" s="54">
        <v>22</v>
      </c>
      <c r="D584" s="54">
        <v>14</v>
      </c>
      <c r="E584" s="54">
        <v>10</v>
      </c>
      <c r="F584" s="54">
        <v>0</v>
      </c>
      <c r="G584" s="54">
        <v>0</v>
      </c>
      <c r="H584" s="54">
        <v>0</v>
      </c>
    </row>
    <row r="585" spans="1:8" x14ac:dyDescent="0.2">
      <c r="A585" s="54" t="s">
        <v>654</v>
      </c>
      <c r="B585" s="54">
        <v>213641</v>
      </c>
      <c r="C585" s="54">
        <v>2</v>
      </c>
      <c r="D585" s="54">
        <v>20</v>
      </c>
      <c r="E585" s="54">
        <v>6</v>
      </c>
      <c r="F585" s="54">
        <v>0</v>
      </c>
      <c r="G585" s="54">
        <v>0</v>
      </c>
      <c r="H585" s="54">
        <v>0</v>
      </c>
    </row>
    <row r="586" spans="1:8" x14ac:dyDescent="0.2">
      <c r="A586" s="54" t="s">
        <v>655</v>
      </c>
      <c r="B586" s="54">
        <v>106139</v>
      </c>
      <c r="C586" s="54">
        <v>50</v>
      </c>
      <c r="D586" s="54">
        <v>92</v>
      </c>
      <c r="E586" s="54">
        <v>6</v>
      </c>
      <c r="F586" s="54">
        <v>0</v>
      </c>
      <c r="G586" s="54">
        <v>0</v>
      </c>
      <c r="H586" s="54">
        <v>0</v>
      </c>
    </row>
    <row r="587" spans="1:8" x14ac:dyDescent="0.2">
      <c r="A587" s="54" t="s">
        <v>656</v>
      </c>
      <c r="B587" s="54">
        <v>126706</v>
      </c>
      <c r="C587" s="54">
        <v>41</v>
      </c>
      <c r="D587" s="54">
        <v>35</v>
      </c>
      <c r="E587" s="54">
        <v>16</v>
      </c>
      <c r="F587" s="54">
        <v>0</v>
      </c>
      <c r="G587" s="54">
        <v>0</v>
      </c>
      <c r="H587" s="54">
        <v>2</v>
      </c>
    </row>
    <row r="588" spans="1:8" x14ac:dyDescent="0.2">
      <c r="A588" s="54" t="s">
        <v>657</v>
      </c>
      <c r="B588" s="54">
        <v>110737</v>
      </c>
      <c r="C588" s="54">
        <v>138</v>
      </c>
      <c r="D588" s="54">
        <v>120</v>
      </c>
      <c r="E588" s="54">
        <v>20</v>
      </c>
      <c r="F588" s="54">
        <v>0</v>
      </c>
      <c r="G588" s="54">
        <v>0</v>
      </c>
      <c r="H588" s="54">
        <v>0</v>
      </c>
    </row>
    <row r="589" spans="1:8" x14ac:dyDescent="0.2">
      <c r="A589" s="54" t="s">
        <v>658</v>
      </c>
      <c r="B589" s="54">
        <v>114486</v>
      </c>
      <c r="C589" s="54">
        <v>19</v>
      </c>
      <c r="D589" s="54">
        <v>20</v>
      </c>
      <c r="E589" s="54">
        <v>6</v>
      </c>
      <c r="F589" s="54">
        <v>0</v>
      </c>
      <c r="G589" s="54">
        <v>0</v>
      </c>
      <c r="H589" s="54">
        <v>0</v>
      </c>
    </row>
    <row r="590" spans="1:8" x14ac:dyDescent="0.2">
      <c r="A590" s="54" t="s">
        <v>659</v>
      </c>
      <c r="B590" s="54">
        <v>319013</v>
      </c>
      <c r="C590" s="54">
        <v>0</v>
      </c>
      <c r="D590" s="54">
        <v>16</v>
      </c>
      <c r="E590" s="54">
        <v>23</v>
      </c>
      <c r="F590" s="54">
        <v>0</v>
      </c>
      <c r="G590" s="54">
        <v>0</v>
      </c>
      <c r="H590" s="54">
        <v>0</v>
      </c>
    </row>
    <row r="591" spans="1:8" x14ac:dyDescent="0.2">
      <c r="A591" s="54" t="s">
        <v>660</v>
      </c>
      <c r="B591" s="54">
        <v>306000</v>
      </c>
      <c r="C591" s="54">
        <v>20</v>
      </c>
      <c r="D591" s="54">
        <v>17</v>
      </c>
      <c r="E591" s="54">
        <v>6</v>
      </c>
      <c r="F591" s="54">
        <v>0</v>
      </c>
      <c r="G591" s="54">
        <v>0</v>
      </c>
      <c r="H591" s="54">
        <v>0</v>
      </c>
    </row>
    <row r="592" spans="1:8" x14ac:dyDescent="0.2">
      <c r="A592" s="54" t="s">
        <v>661</v>
      </c>
      <c r="B592" s="54">
        <v>123323</v>
      </c>
      <c r="C592" s="54">
        <v>21</v>
      </c>
      <c r="D592" s="54">
        <v>20</v>
      </c>
      <c r="E592" s="54">
        <v>6</v>
      </c>
      <c r="F592" s="54">
        <v>0</v>
      </c>
      <c r="G592" s="54">
        <v>0</v>
      </c>
      <c r="H592" s="54">
        <v>0</v>
      </c>
    </row>
    <row r="593" spans="1:8" x14ac:dyDescent="0.2">
      <c r="A593" s="54" t="s">
        <v>662</v>
      </c>
      <c r="B593" s="54">
        <v>106562</v>
      </c>
      <c r="C593" s="54">
        <v>1800</v>
      </c>
      <c r="D593" s="54">
        <v>1200</v>
      </c>
      <c r="E593" s="54">
        <v>10</v>
      </c>
      <c r="F593" s="54">
        <v>0</v>
      </c>
      <c r="G593" s="54">
        <v>0</v>
      </c>
      <c r="H593" s="54">
        <v>0</v>
      </c>
    </row>
    <row r="594" spans="1:8" x14ac:dyDescent="0.2">
      <c r="A594" s="54" t="s">
        <v>663</v>
      </c>
      <c r="B594" s="54">
        <v>488474</v>
      </c>
      <c r="C594" s="54">
        <v>8</v>
      </c>
      <c r="D594" s="54">
        <v>7</v>
      </c>
      <c r="E594" s="54">
        <v>36</v>
      </c>
      <c r="F594" s="54">
        <v>0</v>
      </c>
      <c r="G594" s="54">
        <v>0</v>
      </c>
      <c r="H594" s="54">
        <v>0</v>
      </c>
    </row>
    <row r="595" spans="1:8" x14ac:dyDescent="0.2">
      <c r="A595" s="54" t="s">
        <v>664</v>
      </c>
      <c r="B595" s="54">
        <v>462439</v>
      </c>
      <c r="C595" s="54">
        <v>4</v>
      </c>
      <c r="D595" s="54">
        <v>23</v>
      </c>
      <c r="E595" s="54">
        <v>6</v>
      </c>
      <c r="F595" s="54">
        <v>0</v>
      </c>
      <c r="G595" s="54">
        <v>0</v>
      </c>
      <c r="H595" s="54">
        <v>0</v>
      </c>
    </row>
    <row r="596" spans="1:8" x14ac:dyDescent="0.2">
      <c r="A596" s="54" t="s">
        <v>665</v>
      </c>
      <c r="B596" s="54">
        <v>110580</v>
      </c>
      <c r="C596" s="54">
        <v>1</v>
      </c>
      <c r="D596" s="54">
        <v>70</v>
      </c>
      <c r="E596" s="54">
        <v>9</v>
      </c>
      <c r="F596" s="54">
        <v>0</v>
      </c>
      <c r="G596" s="54">
        <v>0</v>
      </c>
      <c r="H596" s="54">
        <v>0</v>
      </c>
    </row>
    <row r="597" spans="1:8" x14ac:dyDescent="0.2">
      <c r="A597" s="54" t="s">
        <v>666</v>
      </c>
      <c r="B597" s="54">
        <v>305994</v>
      </c>
      <c r="C597" s="54">
        <v>4</v>
      </c>
      <c r="D597" s="54">
        <v>18</v>
      </c>
      <c r="E597" s="54">
        <v>6</v>
      </c>
      <c r="F597" s="54">
        <v>0</v>
      </c>
      <c r="G597" s="54">
        <v>0</v>
      </c>
      <c r="H597" s="54">
        <v>0</v>
      </c>
    </row>
    <row r="598" spans="1:8" x14ac:dyDescent="0.2">
      <c r="A598" s="54" t="s">
        <v>667</v>
      </c>
      <c r="B598" s="54">
        <v>157301</v>
      </c>
      <c r="C598" s="54">
        <v>13</v>
      </c>
      <c r="D598" s="54">
        <v>15</v>
      </c>
      <c r="E598" s="54">
        <v>19</v>
      </c>
      <c r="F598" s="54">
        <v>0</v>
      </c>
      <c r="G598" s="54">
        <v>0</v>
      </c>
      <c r="H598" s="54">
        <v>0</v>
      </c>
    </row>
    <row r="599" spans="1:8" x14ac:dyDescent="0.2">
      <c r="A599" s="54" t="s">
        <v>668</v>
      </c>
      <c r="B599" s="54">
        <v>112069</v>
      </c>
      <c r="C599" s="54">
        <v>32</v>
      </c>
      <c r="D599" s="54">
        <v>42</v>
      </c>
      <c r="E599" s="54">
        <v>18</v>
      </c>
      <c r="F599" s="54">
        <v>0</v>
      </c>
      <c r="G599" s="54">
        <v>0</v>
      </c>
      <c r="H599" s="54">
        <v>0</v>
      </c>
    </row>
    <row r="600" spans="1:8" x14ac:dyDescent="0.2">
      <c r="A600" s="54" t="s">
        <v>669</v>
      </c>
      <c r="B600" s="54">
        <v>313390</v>
      </c>
      <c r="C600" s="54">
        <v>18</v>
      </c>
      <c r="D600" s="54">
        <v>12</v>
      </c>
      <c r="E600" s="54">
        <v>6</v>
      </c>
      <c r="F600" s="54">
        <v>0</v>
      </c>
      <c r="G600" s="54">
        <v>0</v>
      </c>
      <c r="H600" s="54">
        <v>0</v>
      </c>
    </row>
    <row r="601" spans="1:8" x14ac:dyDescent="0.2">
      <c r="A601" s="54" t="s">
        <v>670</v>
      </c>
      <c r="B601" s="54">
        <v>481940</v>
      </c>
      <c r="C601" s="54">
        <v>23</v>
      </c>
      <c r="D601" s="54">
        <v>24</v>
      </c>
      <c r="E601" s="54">
        <v>21</v>
      </c>
      <c r="F601" s="54">
        <v>0</v>
      </c>
      <c r="G601" s="54">
        <v>0</v>
      </c>
      <c r="H601" s="54">
        <v>0</v>
      </c>
    </row>
    <row r="602" spans="1:8" x14ac:dyDescent="0.2">
      <c r="A602" s="54" t="s">
        <v>671</v>
      </c>
      <c r="B602" s="54">
        <v>471807</v>
      </c>
      <c r="C602" s="54">
        <v>1</v>
      </c>
      <c r="D602" s="54">
        <v>4</v>
      </c>
      <c r="E602" s="54">
        <v>13</v>
      </c>
      <c r="F602" s="54">
        <v>0</v>
      </c>
      <c r="G602" s="54">
        <v>0</v>
      </c>
      <c r="H602" s="54">
        <v>0</v>
      </c>
    </row>
    <row r="603" spans="1:8" x14ac:dyDescent="0.2">
      <c r="A603" s="54" t="s">
        <v>672</v>
      </c>
      <c r="B603" s="54">
        <v>116353</v>
      </c>
      <c r="C603" s="54">
        <v>72</v>
      </c>
      <c r="D603" s="54">
        <v>72</v>
      </c>
      <c r="E603" s="54">
        <v>6</v>
      </c>
      <c r="F603" s="54">
        <v>0</v>
      </c>
      <c r="G603" s="54">
        <v>0</v>
      </c>
      <c r="H603" s="54">
        <v>0</v>
      </c>
    </row>
    <row r="604" spans="1:8" x14ac:dyDescent="0.2">
      <c r="A604" s="54" t="s">
        <v>673</v>
      </c>
      <c r="B604" s="54">
        <v>485188</v>
      </c>
      <c r="C604" s="54">
        <v>1</v>
      </c>
      <c r="D604" s="54">
        <v>6</v>
      </c>
      <c r="E604" s="54">
        <v>21</v>
      </c>
      <c r="F604" s="54">
        <v>0</v>
      </c>
      <c r="G604" s="54">
        <v>0</v>
      </c>
      <c r="H604" s="54">
        <v>0</v>
      </c>
    </row>
    <row r="605" spans="1:8" x14ac:dyDescent="0.2">
      <c r="A605" s="54" t="s">
        <v>674</v>
      </c>
      <c r="B605" s="54">
        <v>454236</v>
      </c>
      <c r="C605" s="54">
        <v>2</v>
      </c>
      <c r="D605" s="54">
        <v>36</v>
      </c>
      <c r="E605" s="54">
        <v>7</v>
      </c>
      <c r="F605" s="54">
        <v>0</v>
      </c>
      <c r="G605" s="54">
        <v>0</v>
      </c>
      <c r="H605" s="54">
        <v>0</v>
      </c>
    </row>
    <row r="606" spans="1:8" x14ac:dyDescent="0.2">
      <c r="A606" s="54" t="s">
        <v>675</v>
      </c>
      <c r="B606" s="54">
        <v>106938</v>
      </c>
      <c r="C606" s="54">
        <v>5</v>
      </c>
      <c r="D606" s="54">
        <v>11</v>
      </c>
      <c r="E606" s="54">
        <v>6</v>
      </c>
      <c r="F606" s="54">
        <v>0</v>
      </c>
      <c r="G606" s="54">
        <v>0</v>
      </c>
      <c r="H606" s="54">
        <v>0</v>
      </c>
    </row>
    <row r="607" spans="1:8" x14ac:dyDescent="0.2">
      <c r="A607" s="54" t="s">
        <v>676</v>
      </c>
      <c r="B607" s="54">
        <v>105754</v>
      </c>
      <c r="C607" s="54">
        <v>228</v>
      </c>
      <c r="D607" s="54">
        <v>166</v>
      </c>
      <c r="E607" s="54">
        <v>21</v>
      </c>
      <c r="F607" s="54">
        <v>0</v>
      </c>
      <c r="G607" s="54">
        <v>0</v>
      </c>
      <c r="H607" s="54">
        <v>0</v>
      </c>
    </row>
    <row r="608" spans="1:8" x14ac:dyDescent="0.2">
      <c r="A608" s="54" t="s">
        <v>677</v>
      </c>
      <c r="B608" s="54">
        <v>475505</v>
      </c>
      <c r="C608" s="54">
        <v>31</v>
      </c>
      <c r="D608" s="54">
        <v>31</v>
      </c>
      <c r="E608" s="54">
        <v>12</v>
      </c>
      <c r="F608" s="54">
        <v>0</v>
      </c>
      <c r="G608" s="54">
        <v>0</v>
      </c>
      <c r="H608" s="54">
        <v>0</v>
      </c>
    </row>
    <row r="609" spans="1:8" x14ac:dyDescent="0.2">
      <c r="A609" s="54" t="s">
        <v>678</v>
      </c>
      <c r="B609" s="54">
        <v>210651</v>
      </c>
      <c r="C609" s="54">
        <v>150</v>
      </c>
      <c r="D609" s="54">
        <v>180</v>
      </c>
      <c r="E609" s="54">
        <v>10</v>
      </c>
      <c r="F609" s="54">
        <v>0</v>
      </c>
      <c r="G609" s="54">
        <v>0</v>
      </c>
      <c r="H609" s="54">
        <v>0</v>
      </c>
    </row>
    <row r="610" spans="1:8" x14ac:dyDescent="0.2">
      <c r="A610" s="54" t="s">
        <v>679</v>
      </c>
      <c r="B610" s="54">
        <v>108380</v>
      </c>
      <c r="C610" s="54">
        <v>1</v>
      </c>
      <c r="D610" s="54">
        <v>28</v>
      </c>
      <c r="E610" s="54">
        <v>34</v>
      </c>
      <c r="F610" s="54">
        <v>0</v>
      </c>
      <c r="G610" s="54">
        <v>0</v>
      </c>
      <c r="H610" s="54">
        <v>0</v>
      </c>
    </row>
    <row r="611" spans="1:8" x14ac:dyDescent="0.2">
      <c r="A611" s="54" t="s">
        <v>680</v>
      </c>
      <c r="B611" s="54">
        <v>315246</v>
      </c>
      <c r="C611" s="54">
        <v>57</v>
      </c>
      <c r="D611" s="54">
        <v>27</v>
      </c>
      <c r="E611" s="54">
        <v>49</v>
      </c>
      <c r="F611" s="54">
        <v>0</v>
      </c>
      <c r="G611" s="54">
        <v>0</v>
      </c>
      <c r="H611" s="54">
        <v>0</v>
      </c>
    </row>
    <row r="612" spans="1:8" x14ac:dyDescent="0.2">
      <c r="A612" s="54" t="s">
        <v>681</v>
      </c>
      <c r="B612" s="54">
        <v>481694</v>
      </c>
      <c r="C612" s="54">
        <v>1</v>
      </c>
      <c r="D612" s="54">
        <v>1</v>
      </c>
      <c r="E612" s="54">
        <v>1</v>
      </c>
      <c r="F612" s="54">
        <v>0</v>
      </c>
      <c r="G612" s="54">
        <v>0</v>
      </c>
      <c r="H612" s="54">
        <v>0</v>
      </c>
    </row>
    <row r="613" spans="1:8" x14ac:dyDescent="0.2">
      <c r="A613" s="54" t="s">
        <v>682</v>
      </c>
      <c r="B613" s="54">
        <v>114913</v>
      </c>
      <c r="C613" s="54">
        <v>1</v>
      </c>
      <c r="D613" s="54">
        <v>43</v>
      </c>
      <c r="E613" s="54">
        <v>1</v>
      </c>
      <c r="F613" s="54">
        <v>0</v>
      </c>
      <c r="G613" s="54">
        <v>0</v>
      </c>
      <c r="H613" s="54">
        <v>124</v>
      </c>
    </row>
    <row r="614" spans="1:8" x14ac:dyDescent="0.2">
      <c r="A614" s="54" t="s">
        <v>683</v>
      </c>
      <c r="B614" s="54">
        <v>472834</v>
      </c>
      <c r="C614" s="54">
        <v>1</v>
      </c>
      <c r="D614" s="54">
        <v>1</v>
      </c>
      <c r="E614" s="54">
        <v>1</v>
      </c>
      <c r="F614" s="54">
        <v>0</v>
      </c>
      <c r="G614" s="54">
        <v>0</v>
      </c>
      <c r="H614" s="54">
        <v>0</v>
      </c>
    </row>
    <row r="615" spans="1:8" x14ac:dyDescent="0.2">
      <c r="A615" s="54" t="s">
        <v>684</v>
      </c>
      <c r="B615" s="54">
        <v>607351</v>
      </c>
      <c r="C615" s="54">
        <v>1</v>
      </c>
      <c r="D615" s="54">
        <v>1</v>
      </c>
      <c r="E615" s="54">
        <v>1</v>
      </c>
      <c r="F615" s="54">
        <v>0</v>
      </c>
      <c r="G615" s="54">
        <v>0</v>
      </c>
      <c r="H615" s="54">
        <v>0</v>
      </c>
    </row>
    <row r="616" spans="1:8" x14ac:dyDescent="0.2">
      <c r="A616" s="54" t="s">
        <v>685</v>
      </c>
      <c r="B616" s="54">
        <v>210057</v>
      </c>
      <c r="C616" s="54">
        <v>1</v>
      </c>
      <c r="D616" s="54">
        <v>6</v>
      </c>
      <c r="E616" s="54">
        <v>1</v>
      </c>
      <c r="F616" s="54">
        <v>0</v>
      </c>
      <c r="G616" s="54">
        <v>5</v>
      </c>
      <c r="H616" s="54">
        <v>0</v>
      </c>
    </row>
    <row r="617" spans="1:8" x14ac:dyDescent="0.2">
      <c r="A617" s="54" t="s">
        <v>686</v>
      </c>
      <c r="B617" s="54">
        <v>119959</v>
      </c>
      <c r="C617" s="54">
        <v>1</v>
      </c>
      <c r="D617" s="54">
        <v>10</v>
      </c>
      <c r="E617" s="54">
        <v>1</v>
      </c>
      <c r="F617" s="54">
        <v>19</v>
      </c>
      <c r="G617" s="54">
        <v>16</v>
      </c>
      <c r="H617" s="54">
        <v>0</v>
      </c>
    </row>
    <row r="618" spans="1:8" x14ac:dyDescent="0.2">
      <c r="A618" s="54" t="s">
        <v>687</v>
      </c>
      <c r="B618" s="54">
        <v>211664</v>
      </c>
      <c r="C618" s="54">
        <v>1</v>
      </c>
      <c r="D618" s="54">
        <v>5</v>
      </c>
      <c r="E618" s="54">
        <v>1</v>
      </c>
      <c r="F618" s="54">
        <v>0</v>
      </c>
      <c r="G618" s="54">
        <v>0</v>
      </c>
      <c r="H618" s="54">
        <v>0</v>
      </c>
    </row>
    <row r="619" spans="1:8" x14ac:dyDescent="0.2">
      <c r="A619" s="54" t="s">
        <v>688</v>
      </c>
      <c r="B619" s="54">
        <v>304014</v>
      </c>
      <c r="C619" s="54">
        <v>1</v>
      </c>
      <c r="D619" s="54">
        <v>15</v>
      </c>
      <c r="E619" s="54">
        <v>1</v>
      </c>
      <c r="F619" s="54">
        <v>0</v>
      </c>
      <c r="G619" s="54">
        <v>0</v>
      </c>
      <c r="H619" s="54">
        <v>0</v>
      </c>
    </row>
    <row r="620" spans="1:8" x14ac:dyDescent="0.2">
      <c r="A620" s="54" t="s">
        <v>689</v>
      </c>
      <c r="B620" s="54">
        <v>470029</v>
      </c>
      <c r="C620" s="54">
        <v>1</v>
      </c>
      <c r="D620" s="54">
        <v>7</v>
      </c>
      <c r="E620" s="54">
        <v>2</v>
      </c>
      <c r="F620" s="54">
        <v>6</v>
      </c>
      <c r="G620" s="54">
        <v>0</v>
      </c>
      <c r="H620" s="54">
        <v>5</v>
      </c>
    </row>
    <row r="621" spans="1:8" x14ac:dyDescent="0.2">
      <c r="A621" s="54" t="s">
        <v>690</v>
      </c>
      <c r="B621" s="54">
        <v>321708</v>
      </c>
      <c r="C621" s="54">
        <v>1</v>
      </c>
      <c r="D621" s="54">
        <v>2</v>
      </c>
      <c r="E621" s="54">
        <v>2</v>
      </c>
      <c r="F621" s="54">
        <v>2</v>
      </c>
      <c r="G621" s="54">
        <v>0</v>
      </c>
      <c r="H621" s="54">
        <v>7</v>
      </c>
    </row>
    <row r="622" spans="1:8" x14ac:dyDescent="0.2">
      <c r="A622" s="54" t="s">
        <v>691</v>
      </c>
      <c r="B622" s="54">
        <v>106418</v>
      </c>
      <c r="C622" s="54">
        <v>1</v>
      </c>
      <c r="D622" s="54">
        <v>55</v>
      </c>
      <c r="E622" s="54">
        <v>2</v>
      </c>
      <c r="F622" s="54">
        <v>4</v>
      </c>
      <c r="G622" s="54">
        <v>9</v>
      </c>
      <c r="H622" s="54">
        <v>0</v>
      </c>
    </row>
    <row r="623" spans="1:8" x14ac:dyDescent="0.2">
      <c r="A623" s="54" t="s">
        <v>692</v>
      </c>
      <c r="B623" s="54">
        <v>327328</v>
      </c>
      <c r="C623" s="54">
        <v>1</v>
      </c>
      <c r="D623" s="54">
        <v>25</v>
      </c>
      <c r="E623" s="54">
        <v>2</v>
      </c>
      <c r="F623" s="54">
        <v>0</v>
      </c>
      <c r="G623" s="54">
        <v>2</v>
      </c>
      <c r="H623" s="54">
        <v>28</v>
      </c>
    </row>
    <row r="624" spans="1:8" x14ac:dyDescent="0.2">
      <c r="A624" s="54" t="s">
        <v>693</v>
      </c>
      <c r="B624" s="54">
        <v>587055</v>
      </c>
      <c r="C624" s="54">
        <v>1</v>
      </c>
      <c r="D624" s="54">
        <v>8</v>
      </c>
      <c r="E624" s="54">
        <v>2</v>
      </c>
      <c r="F624" s="54">
        <v>0</v>
      </c>
      <c r="G624" s="54">
        <v>0</v>
      </c>
      <c r="H624" s="54">
        <v>14</v>
      </c>
    </row>
    <row r="625" spans="1:8" x14ac:dyDescent="0.2">
      <c r="A625" s="54" t="s">
        <v>694</v>
      </c>
      <c r="B625" s="54">
        <v>124340</v>
      </c>
      <c r="C625" s="54">
        <v>1</v>
      </c>
      <c r="D625" s="54">
        <v>22</v>
      </c>
      <c r="E625" s="54">
        <v>2</v>
      </c>
      <c r="F625" s="54">
        <v>12</v>
      </c>
      <c r="G625" s="54">
        <v>0</v>
      </c>
      <c r="H625" s="54">
        <v>0</v>
      </c>
    </row>
    <row r="626" spans="1:8" x14ac:dyDescent="0.2">
      <c r="A626" s="54" t="s">
        <v>695</v>
      </c>
      <c r="B626" s="54">
        <v>160268</v>
      </c>
      <c r="C626" s="54">
        <v>1</v>
      </c>
      <c r="D626" s="54">
        <v>4</v>
      </c>
      <c r="E626" s="54">
        <v>2</v>
      </c>
      <c r="F626" s="54">
        <v>0</v>
      </c>
      <c r="G626" s="54">
        <v>0</v>
      </c>
      <c r="H626" s="54">
        <v>4</v>
      </c>
    </row>
    <row r="627" spans="1:8" x14ac:dyDescent="0.2">
      <c r="A627" s="54" t="s">
        <v>696</v>
      </c>
      <c r="B627" s="54">
        <v>509881</v>
      </c>
      <c r="C627" s="54">
        <v>1</v>
      </c>
      <c r="D627" s="54">
        <v>3</v>
      </c>
      <c r="E627" s="54">
        <v>2</v>
      </c>
      <c r="F627" s="54">
        <v>0</v>
      </c>
      <c r="G627" s="54">
        <v>0</v>
      </c>
      <c r="H627" s="54">
        <v>0</v>
      </c>
    </row>
    <row r="628" spans="1:8" x14ac:dyDescent="0.2">
      <c r="A628" s="54" t="s">
        <v>697</v>
      </c>
      <c r="B628" s="54">
        <v>112088</v>
      </c>
      <c r="C628" s="54">
        <v>1</v>
      </c>
      <c r="D628" s="54">
        <v>702</v>
      </c>
      <c r="E628" s="54">
        <v>2</v>
      </c>
      <c r="F628" s="54">
        <v>0</v>
      </c>
      <c r="G628" s="54">
        <v>0</v>
      </c>
      <c r="H628" s="54">
        <v>0</v>
      </c>
    </row>
    <row r="629" spans="1:8" x14ac:dyDescent="0.2">
      <c r="A629" s="54" t="s">
        <v>698</v>
      </c>
      <c r="B629" s="54">
        <v>595748</v>
      </c>
      <c r="C629" s="54">
        <v>1</v>
      </c>
      <c r="D629" s="54">
        <v>1</v>
      </c>
      <c r="E629" s="54">
        <v>3</v>
      </c>
      <c r="F629" s="54">
        <v>0</v>
      </c>
      <c r="G629" s="54">
        <v>0</v>
      </c>
      <c r="H629" s="54">
        <v>0</v>
      </c>
    </row>
    <row r="630" spans="1:8" x14ac:dyDescent="0.2">
      <c r="A630" s="54" t="s">
        <v>699</v>
      </c>
      <c r="B630" s="54">
        <v>106436</v>
      </c>
      <c r="C630" s="54">
        <v>1</v>
      </c>
      <c r="D630" s="54">
        <v>41</v>
      </c>
      <c r="E630" s="54">
        <v>3</v>
      </c>
      <c r="F630" s="54">
        <v>56</v>
      </c>
      <c r="G630" s="54">
        <v>1</v>
      </c>
      <c r="H630" s="54">
        <v>2</v>
      </c>
    </row>
    <row r="631" spans="1:8" x14ac:dyDescent="0.2">
      <c r="A631" s="54" t="s">
        <v>700</v>
      </c>
      <c r="B631" s="54">
        <v>477326</v>
      </c>
      <c r="C631" s="54">
        <v>1</v>
      </c>
      <c r="D631" s="54">
        <v>2</v>
      </c>
      <c r="E631" s="54">
        <v>3</v>
      </c>
      <c r="F631" s="54">
        <v>0</v>
      </c>
      <c r="G631" s="54">
        <v>0</v>
      </c>
      <c r="H631" s="54">
        <v>0</v>
      </c>
    </row>
    <row r="632" spans="1:8" x14ac:dyDescent="0.2">
      <c r="A632" s="54" t="s">
        <v>701</v>
      </c>
      <c r="B632" s="54">
        <v>466199</v>
      </c>
      <c r="C632" s="54">
        <v>1</v>
      </c>
      <c r="D632" s="54">
        <v>1</v>
      </c>
      <c r="E632" s="54">
        <v>3</v>
      </c>
      <c r="F632" s="54">
        <v>0</v>
      </c>
      <c r="G632" s="54">
        <v>0</v>
      </c>
      <c r="H632" s="54">
        <v>0</v>
      </c>
    </row>
    <row r="633" spans="1:8" x14ac:dyDescent="0.2">
      <c r="A633" s="54" t="s">
        <v>702</v>
      </c>
      <c r="B633" s="54">
        <v>163254</v>
      </c>
      <c r="C633" s="54">
        <v>1</v>
      </c>
      <c r="D633" s="54">
        <v>25</v>
      </c>
      <c r="E633" s="54">
        <v>3</v>
      </c>
      <c r="F633" s="54">
        <v>7</v>
      </c>
      <c r="G633" s="54">
        <v>0</v>
      </c>
      <c r="H633" s="54">
        <v>0</v>
      </c>
    </row>
    <row r="634" spans="1:8" x14ac:dyDescent="0.2">
      <c r="A634" s="54" t="s">
        <v>703</v>
      </c>
      <c r="B634" s="54">
        <v>513872</v>
      </c>
      <c r="C634" s="54">
        <v>1</v>
      </c>
      <c r="D634" s="54">
        <v>3</v>
      </c>
      <c r="E634" s="54">
        <v>4</v>
      </c>
      <c r="F634" s="54">
        <v>0</v>
      </c>
      <c r="G634" s="54">
        <v>0</v>
      </c>
      <c r="H634" s="54">
        <v>0</v>
      </c>
    </row>
    <row r="635" spans="1:8" x14ac:dyDescent="0.2">
      <c r="A635" s="54" t="s">
        <v>704</v>
      </c>
      <c r="B635" s="54">
        <v>571755</v>
      </c>
      <c r="C635" s="54">
        <v>1</v>
      </c>
      <c r="D635" s="54">
        <v>1</v>
      </c>
      <c r="E635" s="54">
        <v>4</v>
      </c>
      <c r="F635" s="54">
        <v>0</v>
      </c>
      <c r="G635" s="54">
        <v>0</v>
      </c>
      <c r="H635" s="54">
        <v>0</v>
      </c>
    </row>
    <row r="636" spans="1:8" x14ac:dyDescent="0.2">
      <c r="A636" s="54" t="s">
        <v>705</v>
      </c>
      <c r="B636" s="54">
        <v>586447</v>
      </c>
      <c r="C636" s="54">
        <v>1</v>
      </c>
      <c r="D636" s="54">
        <v>1</v>
      </c>
      <c r="E636" s="54">
        <v>4</v>
      </c>
      <c r="F636" s="54">
        <v>0</v>
      </c>
      <c r="G636" s="54">
        <v>0</v>
      </c>
      <c r="H636" s="54">
        <v>0</v>
      </c>
    </row>
    <row r="637" spans="1:8" x14ac:dyDescent="0.2">
      <c r="A637" s="54" t="s">
        <v>706</v>
      </c>
      <c r="B637" s="54">
        <v>466928</v>
      </c>
      <c r="C637" s="54">
        <v>1</v>
      </c>
      <c r="D637" s="54">
        <v>1</v>
      </c>
      <c r="E637" s="54">
        <v>4</v>
      </c>
      <c r="F637" s="54">
        <v>0</v>
      </c>
      <c r="G637" s="54">
        <v>0</v>
      </c>
      <c r="H637" s="54">
        <v>0</v>
      </c>
    </row>
    <row r="638" spans="1:8" x14ac:dyDescent="0.2">
      <c r="A638" s="54" t="s">
        <v>707</v>
      </c>
      <c r="B638" s="54">
        <v>328345</v>
      </c>
      <c r="C638" s="54">
        <v>1</v>
      </c>
      <c r="D638" s="54">
        <v>1</v>
      </c>
      <c r="E638" s="54">
        <v>5</v>
      </c>
      <c r="F638" s="54">
        <v>0</v>
      </c>
      <c r="G638" s="54">
        <v>0</v>
      </c>
      <c r="H638" s="54">
        <v>0</v>
      </c>
    </row>
    <row r="639" spans="1:8" x14ac:dyDescent="0.2">
      <c r="A639" s="54" t="s">
        <v>708</v>
      </c>
      <c r="B639" s="54">
        <v>119244</v>
      </c>
      <c r="C639" s="54">
        <v>1</v>
      </c>
      <c r="D639" s="54">
        <v>18</v>
      </c>
      <c r="E639" s="54">
        <v>5</v>
      </c>
      <c r="F639" s="54">
        <v>0</v>
      </c>
      <c r="G639" s="54">
        <v>0</v>
      </c>
      <c r="H639" s="54">
        <v>0</v>
      </c>
    </row>
    <row r="640" spans="1:8" x14ac:dyDescent="0.2">
      <c r="A640" s="54" t="s">
        <v>709</v>
      </c>
      <c r="B640" s="54">
        <v>493704</v>
      </c>
      <c r="C640" s="54">
        <v>1</v>
      </c>
      <c r="D640" s="54">
        <v>1</v>
      </c>
      <c r="E640" s="54">
        <v>5</v>
      </c>
      <c r="F640" s="54">
        <v>0</v>
      </c>
      <c r="G640" s="54">
        <v>0</v>
      </c>
      <c r="H640" s="54">
        <v>0</v>
      </c>
    </row>
    <row r="641" spans="1:8" x14ac:dyDescent="0.2">
      <c r="A641" s="54" t="s">
        <v>710</v>
      </c>
      <c r="B641" s="54">
        <v>110284</v>
      </c>
      <c r="C641" s="54">
        <v>1</v>
      </c>
      <c r="D641" s="54">
        <v>5</v>
      </c>
      <c r="E641" s="54">
        <v>5</v>
      </c>
      <c r="F641" s="54">
        <v>15</v>
      </c>
      <c r="G641" s="54">
        <v>0</v>
      </c>
      <c r="H641" s="54">
        <v>4</v>
      </c>
    </row>
    <row r="642" spans="1:8" x14ac:dyDescent="0.2">
      <c r="A642" s="54" t="s">
        <v>711</v>
      </c>
      <c r="B642" s="54">
        <v>490173</v>
      </c>
      <c r="C642" s="54">
        <v>1</v>
      </c>
      <c r="D642" s="54">
        <v>17</v>
      </c>
      <c r="E642" s="54">
        <v>0</v>
      </c>
      <c r="F642" s="54">
        <v>0</v>
      </c>
      <c r="G642" s="54">
        <v>0</v>
      </c>
      <c r="H642" s="54">
        <v>0</v>
      </c>
    </row>
    <row r="643" spans="1:8" x14ac:dyDescent="0.2">
      <c r="A643" s="54" t="s">
        <v>712</v>
      </c>
      <c r="B643" s="54">
        <v>466251</v>
      </c>
      <c r="C643" s="54">
        <v>2</v>
      </c>
      <c r="D643" s="54">
        <v>11</v>
      </c>
      <c r="E643" s="54">
        <v>1</v>
      </c>
      <c r="F643" s="54">
        <v>0</v>
      </c>
      <c r="G643" s="54">
        <v>0</v>
      </c>
      <c r="H643" s="54">
        <v>0</v>
      </c>
    </row>
    <row r="644" spans="1:8" x14ac:dyDescent="0.2">
      <c r="A644" s="54" t="s">
        <v>713</v>
      </c>
      <c r="B644" s="54">
        <v>112815</v>
      </c>
      <c r="C644" s="54">
        <v>2</v>
      </c>
      <c r="D644" s="54">
        <v>100</v>
      </c>
      <c r="E644" s="54">
        <v>1</v>
      </c>
      <c r="F644" s="54">
        <v>0</v>
      </c>
      <c r="G644" s="54">
        <v>0</v>
      </c>
      <c r="H644" s="54">
        <v>0</v>
      </c>
    </row>
    <row r="645" spans="1:8" x14ac:dyDescent="0.2">
      <c r="A645" s="54" t="s">
        <v>714</v>
      </c>
      <c r="B645" s="54">
        <v>154022</v>
      </c>
      <c r="C645" s="54">
        <v>2</v>
      </c>
      <c r="D645" s="54">
        <v>34</v>
      </c>
      <c r="E645" s="54">
        <v>1</v>
      </c>
      <c r="F645" s="54">
        <v>0</v>
      </c>
      <c r="G645" s="54">
        <v>0</v>
      </c>
      <c r="H645" s="54">
        <v>0</v>
      </c>
    </row>
    <row r="646" spans="1:8" x14ac:dyDescent="0.2">
      <c r="A646" s="54" t="s">
        <v>715</v>
      </c>
      <c r="B646" s="54">
        <v>115267</v>
      </c>
      <c r="C646" s="54">
        <v>2</v>
      </c>
      <c r="D646" s="54">
        <v>7</v>
      </c>
      <c r="E646" s="54">
        <v>1</v>
      </c>
      <c r="F646" s="54">
        <v>0</v>
      </c>
      <c r="G646" s="54">
        <v>12</v>
      </c>
      <c r="H646" s="54">
        <v>2</v>
      </c>
    </row>
    <row r="647" spans="1:8" x14ac:dyDescent="0.2">
      <c r="A647" s="54" t="s">
        <v>716</v>
      </c>
      <c r="B647" s="54">
        <v>607152</v>
      </c>
      <c r="C647" s="54">
        <v>2</v>
      </c>
      <c r="D647" s="54">
        <v>2</v>
      </c>
      <c r="E647" s="54">
        <v>1</v>
      </c>
      <c r="F647" s="54">
        <v>0</v>
      </c>
      <c r="G647" s="54">
        <v>0</v>
      </c>
      <c r="H647" s="54">
        <v>0</v>
      </c>
    </row>
    <row r="648" spans="1:8" x14ac:dyDescent="0.2">
      <c r="A648" s="54" t="s">
        <v>717</v>
      </c>
      <c r="B648" s="54">
        <v>302910</v>
      </c>
      <c r="C648" s="54">
        <v>2</v>
      </c>
      <c r="D648" s="54">
        <v>10</v>
      </c>
      <c r="E648" s="54">
        <v>2</v>
      </c>
      <c r="F648" s="54">
        <v>0</v>
      </c>
      <c r="G648" s="54">
        <v>0</v>
      </c>
      <c r="H648" s="54">
        <v>13</v>
      </c>
    </row>
    <row r="649" spans="1:8" x14ac:dyDescent="0.2">
      <c r="A649" s="54" t="s">
        <v>718</v>
      </c>
      <c r="B649" s="54">
        <v>185502</v>
      </c>
      <c r="C649" s="54">
        <v>2</v>
      </c>
      <c r="D649" s="54">
        <v>12</v>
      </c>
      <c r="E649" s="54">
        <v>2</v>
      </c>
      <c r="F649" s="54">
        <v>0</v>
      </c>
      <c r="G649" s="54">
        <v>0</v>
      </c>
      <c r="H649" s="54">
        <v>0</v>
      </c>
    </row>
    <row r="650" spans="1:8" x14ac:dyDescent="0.2">
      <c r="A650" s="54" t="s">
        <v>719</v>
      </c>
      <c r="B650" s="54">
        <v>130683</v>
      </c>
      <c r="C650" s="54">
        <v>2</v>
      </c>
      <c r="D650" s="54">
        <v>5</v>
      </c>
      <c r="E650" s="54">
        <v>2</v>
      </c>
      <c r="F650" s="54">
        <v>35</v>
      </c>
      <c r="G650" s="54">
        <v>10</v>
      </c>
      <c r="H650" s="54">
        <v>0</v>
      </c>
    </row>
    <row r="651" spans="1:8" x14ac:dyDescent="0.2">
      <c r="A651" s="54" t="s">
        <v>720</v>
      </c>
      <c r="B651" s="54">
        <v>487376</v>
      </c>
      <c r="C651" s="54">
        <v>2</v>
      </c>
      <c r="D651" s="54">
        <v>2</v>
      </c>
      <c r="E651" s="54">
        <v>2</v>
      </c>
      <c r="F651" s="54">
        <v>0</v>
      </c>
      <c r="G651" s="54">
        <v>0</v>
      </c>
      <c r="H651" s="54">
        <v>0</v>
      </c>
    </row>
    <row r="652" spans="1:8" x14ac:dyDescent="0.2">
      <c r="A652" s="54" t="s">
        <v>721</v>
      </c>
      <c r="B652" s="54">
        <v>462446</v>
      </c>
      <c r="C652" s="54">
        <v>2</v>
      </c>
      <c r="D652" s="54">
        <v>16</v>
      </c>
      <c r="E652" s="54">
        <v>2</v>
      </c>
      <c r="F652" s="54">
        <v>11</v>
      </c>
      <c r="G652" s="54">
        <v>0</v>
      </c>
      <c r="H652" s="54">
        <v>0</v>
      </c>
    </row>
    <row r="653" spans="1:8" x14ac:dyDescent="0.2">
      <c r="A653" s="54" t="s">
        <v>722</v>
      </c>
      <c r="B653" s="54">
        <v>108453</v>
      </c>
      <c r="C653" s="54">
        <v>2</v>
      </c>
      <c r="D653" s="54">
        <v>30</v>
      </c>
      <c r="E653" s="54">
        <v>2</v>
      </c>
      <c r="F653" s="54">
        <v>9</v>
      </c>
      <c r="G653" s="54">
        <v>0</v>
      </c>
      <c r="H653" s="54">
        <v>10</v>
      </c>
    </row>
    <row r="654" spans="1:8" x14ac:dyDescent="0.2">
      <c r="A654" s="54" t="s">
        <v>723</v>
      </c>
      <c r="B654" s="54">
        <v>485667</v>
      </c>
      <c r="C654" s="54">
        <v>2</v>
      </c>
      <c r="D654" s="54">
        <v>2</v>
      </c>
      <c r="E654" s="54">
        <v>2</v>
      </c>
      <c r="F654" s="54">
        <v>0</v>
      </c>
      <c r="G654" s="54">
        <v>0</v>
      </c>
      <c r="H654" s="54">
        <v>0</v>
      </c>
    </row>
    <row r="655" spans="1:8" x14ac:dyDescent="0.2">
      <c r="A655" s="54" t="s">
        <v>724</v>
      </c>
      <c r="B655" s="54">
        <v>112101</v>
      </c>
      <c r="C655" s="54">
        <v>2</v>
      </c>
      <c r="D655" s="54">
        <v>25</v>
      </c>
      <c r="E655" s="54">
        <v>2</v>
      </c>
      <c r="F655" s="54">
        <v>9</v>
      </c>
      <c r="G655" s="54">
        <v>3</v>
      </c>
      <c r="H655" s="54">
        <v>0</v>
      </c>
    </row>
    <row r="656" spans="1:8" x14ac:dyDescent="0.2">
      <c r="A656" s="54" t="s">
        <v>725</v>
      </c>
      <c r="B656" s="54">
        <v>136506</v>
      </c>
      <c r="C656" s="54">
        <v>2</v>
      </c>
      <c r="D656" s="54">
        <v>192</v>
      </c>
      <c r="E656" s="54">
        <v>2</v>
      </c>
      <c r="F656" s="54">
        <v>0</v>
      </c>
      <c r="G656" s="54">
        <v>50</v>
      </c>
      <c r="H656" s="54">
        <v>0</v>
      </c>
    </row>
    <row r="657" spans="1:8" x14ac:dyDescent="0.2">
      <c r="A657" s="54" t="s">
        <v>726</v>
      </c>
      <c r="B657" s="54">
        <v>115092</v>
      </c>
      <c r="C657" s="54">
        <v>2</v>
      </c>
      <c r="D657" s="54">
        <v>6</v>
      </c>
      <c r="E657" s="54">
        <v>2</v>
      </c>
      <c r="F657" s="54">
        <v>0</v>
      </c>
      <c r="G657" s="54">
        <v>0</v>
      </c>
      <c r="H657" s="54">
        <v>26</v>
      </c>
    </row>
    <row r="658" spans="1:8" x14ac:dyDescent="0.2">
      <c r="A658" s="54" t="s">
        <v>727</v>
      </c>
      <c r="B658" s="54">
        <v>217054</v>
      </c>
      <c r="C658" s="54">
        <v>2</v>
      </c>
      <c r="D658" s="54">
        <v>30</v>
      </c>
      <c r="E658" s="54">
        <v>2</v>
      </c>
      <c r="F658" s="54">
        <v>71</v>
      </c>
      <c r="G658" s="54">
        <v>0</v>
      </c>
      <c r="H658" s="54">
        <v>0</v>
      </c>
    </row>
    <row r="659" spans="1:8" x14ac:dyDescent="0.2">
      <c r="A659" s="54" t="s">
        <v>728</v>
      </c>
      <c r="B659" s="54">
        <v>115736</v>
      </c>
      <c r="C659" s="54">
        <v>2</v>
      </c>
      <c r="D659" s="54">
        <v>4</v>
      </c>
      <c r="E659" s="54">
        <v>2</v>
      </c>
      <c r="F659" s="54">
        <v>2</v>
      </c>
      <c r="G659" s="54">
        <v>0</v>
      </c>
      <c r="H659" s="54">
        <v>12</v>
      </c>
    </row>
    <row r="660" spans="1:8" x14ac:dyDescent="0.2">
      <c r="A660" s="54" t="s">
        <v>729</v>
      </c>
      <c r="B660" s="54">
        <v>114071</v>
      </c>
      <c r="C660" s="54">
        <v>2</v>
      </c>
      <c r="D660" s="54">
        <v>17</v>
      </c>
      <c r="E660" s="54">
        <v>3</v>
      </c>
      <c r="F660" s="54">
        <v>15</v>
      </c>
      <c r="G660" s="54">
        <v>27</v>
      </c>
      <c r="H660" s="54">
        <v>0</v>
      </c>
    </row>
    <row r="661" spans="1:8" x14ac:dyDescent="0.2">
      <c r="A661" s="54" t="s">
        <v>730</v>
      </c>
      <c r="B661" s="54">
        <v>146186</v>
      </c>
      <c r="C661" s="54">
        <v>2</v>
      </c>
      <c r="D661" s="54">
        <v>88</v>
      </c>
      <c r="E661" s="54">
        <v>3</v>
      </c>
      <c r="F661" s="54">
        <v>13</v>
      </c>
      <c r="G661" s="54">
        <v>23</v>
      </c>
      <c r="H661" s="54">
        <v>0</v>
      </c>
    </row>
    <row r="662" spans="1:8" x14ac:dyDescent="0.2">
      <c r="A662" s="54" t="s">
        <v>731</v>
      </c>
      <c r="B662" s="54">
        <v>480908</v>
      </c>
      <c r="C662" s="54">
        <v>2</v>
      </c>
      <c r="D662" s="54">
        <v>10</v>
      </c>
      <c r="E662" s="54">
        <v>3</v>
      </c>
      <c r="F662" s="54">
        <v>6</v>
      </c>
      <c r="G662" s="54">
        <v>20</v>
      </c>
      <c r="H662" s="54">
        <v>0</v>
      </c>
    </row>
    <row r="663" spans="1:8" x14ac:dyDescent="0.2">
      <c r="A663" s="54" t="s">
        <v>732</v>
      </c>
      <c r="B663" s="54">
        <v>489433</v>
      </c>
      <c r="C663" s="54">
        <v>2</v>
      </c>
      <c r="D663" s="54">
        <v>2</v>
      </c>
      <c r="E663" s="54">
        <v>4</v>
      </c>
      <c r="F663" s="54">
        <v>0</v>
      </c>
      <c r="G663" s="54">
        <v>0</v>
      </c>
      <c r="H663" s="54">
        <v>4</v>
      </c>
    </row>
    <row r="664" spans="1:8" x14ac:dyDescent="0.2">
      <c r="A664" s="54" t="s">
        <v>733</v>
      </c>
      <c r="B664" s="54">
        <v>115433</v>
      </c>
      <c r="C664" s="54">
        <v>2</v>
      </c>
      <c r="D664" s="54">
        <v>20</v>
      </c>
      <c r="E664" s="54">
        <v>4</v>
      </c>
      <c r="F664" s="54">
        <v>0</v>
      </c>
      <c r="G664" s="54">
        <v>9</v>
      </c>
      <c r="H664" s="54">
        <v>0</v>
      </c>
    </row>
    <row r="665" spans="1:8" x14ac:dyDescent="0.2">
      <c r="A665" s="54" t="s">
        <v>734</v>
      </c>
      <c r="B665" s="54">
        <v>584056</v>
      </c>
      <c r="C665" s="54">
        <v>2</v>
      </c>
      <c r="D665" s="54">
        <v>2</v>
      </c>
      <c r="E665" s="54">
        <v>5</v>
      </c>
      <c r="F665" s="54">
        <v>0</v>
      </c>
      <c r="G665" s="54">
        <v>0</v>
      </c>
      <c r="H665" s="54">
        <v>0</v>
      </c>
    </row>
    <row r="666" spans="1:8" x14ac:dyDescent="0.2">
      <c r="A666" s="54" t="s">
        <v>735</v>
      </c>
      <c r="B666" s="54">
        <v>509966</v>
      </c>
      <c r="C666" s="54">
        <v>2</v>
      </c>
      <c r="D666" s="54">
        <v>2</v>
      </c>
      <c r="E666" s="54">
        <v>5</v>
      </c>
      <c r="F666" s="54">
        <v>0</v>
      </c>
      <c r="G666" s="54">
        <v>0</v>
      </c>
      <c r="H666" s="54">
        <v>0</v>
      </c>
    </row>
    <row r="667" spans="1:8" x14ac:dyDescent="0.2">
      <c r="A667" s="54" t="s">
        <v>736</v>
      </c>
      <c r="B667" s="54">
        <v>458584</v>
      </c>
      <c r="C667" s="54">
        <v>2</v>
      </c>
      <c r="D667" s="54">
        <v>17</v>
      </c>
      <c r="E667" s="54">
        <v>5</v>
      </c>
      <c r="F667" s="54">
        <v>2</v>
      </c>
      <c r="G667" s="54">
        <v>0</v>
      </c>
      <c r="H667" s="54">
        <v>0</v>
      </c>
    </row>
    <row r="668" spans="1:8" x14ac:dyDescent="0.2">
      <c r="A668" s="54" t="s">
        <v>737</v>
      </c>
      <c r="B668" s="54">
        <v>488120</v>
      </c>
      <c r="C668" s="54">
        <v>2</v>
      </c>
      <c r="D668" s="54">
        <v>2</v>
      </c>
      <c r="E668" s="54">
        <v>0</v>
      </c>
      <c r="F668" s="54">
        <v>0</v>
      </c>
      <c r="G668" s="54">
        <v>0</v>
      </c>
      <c r="H668" s="54">
        <v>8</v>
      </c>
    </row>
    <row r="669" spans="1:8" x14ac:dyDescent="0.2">
      <c r="A669" s="54" t="s">
        <v>738</v>
      </c>
      <c r="B669" s="54">
        <v>115241</v>
      </c>
      <c r="C669" s="54">
        <v>2</v>
      </c>
      <c r="D669" s="54">
        <v>40</v>
      </c>
      <c r="E669" s="54">
        <v>0</v>
      </c>
      <c r="F669" s="54">
        <v>6</v>
      </c>
      <c r="G669" s="54">
        <v>0</v>
      </c>
      <c r="H669" s="54">
        <v>0</v>
      </c>
    </row>
    <row r="670" spans="1:8" x14ac:dyDescent="0.2">
      <c r="A670" s="54" t="s">
        <v>739</v>
      </c>
      <c r="B670" s="54">
        <v>113258</v>
      </c>
      <c r="C670" s="54">
        <v>2</v>
      </c>
      <c r="D670" s="54">
        <v>2</v>
      </c>
      <c r="E670" s="54">
        <v>0</v>
      </c>
      <c r="F670" s="54">
        <v>0</v>
      </c>
      <c r="G670" s="54">
        <v>0</v>
      </c>
      <c r="H670" s="54">
        <v>0</v>
      </c>
    </row>
    <row r="671" spans="1:8" x14ac:dyDescent="0.2">
      <c r="A671" s="54" t="s">
        <v>740</v>
      </c>
      <c r="B671" s="54">
        <v>106340</v>
      </c>
      <c r="C671" s="54">
        <v>3</v>
      </c>
      <c r="D671" s="54">
        <v>86</v>
      </c>
      <c r="E671" s="54">
        <v>1</v>
      </c>
      <c r="F671" s="54">
        <v>19</v>
      </c>
      <c r="G671" s="54">
        <v>1</v>
      </c>
      <c r="H671" s="54">
        <v>0</v>
      </c>
    </row>
    <row r="672" spans="1:8" x14ac:dyDescent="0.2">
      <c r="A672" s="54" t="s">
        <v>741</v>
      </c>
      <c r="B672" s="54">
        <v>537147</v>
      </c>
      <c r="C672" s="54">
        <v>3</v>
      </c>
      <c r="D672" s="54">
        <v>1</v>
      </c>
      <c r="E672" s="54">
        <v>1</v>
      </c>
      <c r="F672" s="54">
        <v>0</v>
      </c>
      <c r="G672" s="54">
        <v>0</v>
      </c>
      <c r="H672" s="54">
        <v>0</v>
      </c>
    </row>
    <row r="673" spans="1:8" x14ac:dyDescent="0.2">
      <c r="A673" s="54" t="s">
        <v>742</v>
      </c>
      <c r="B673" s="54">
        <v>325444</v>
      </c>
      <c r="C673" s="54">
        <v>3</v>
      </c>
      <c r="D673" s="54">
        <v>3</v>
      </c>
      <c r="E673" s="54">
        <v>1</v>
      </c>
      <c r="F673" s="54">
        <v>0</v>
      </c>
      <c r="G673" s="54">
        <v>1</v>
      </c>
      <c r="H673" s="54">
        <v>0</v>
      </c>
    </row>
    <row r="674" spans="1:8" x14ac:dyDescent="0.2">
      <c r="A674" s="54" t="s">
        <v>743</v>
      </c>
      <c r="B674" s="54">
        <v>314695</v>
      </c>
      <c r="C674" s="54">
        <v>3</v>
      </c>
      <c r="D674" s="54">
        <v>3</v>
      </c>
      <c r="E674" s="54">
        <v>1</v>
      </c>
      <c r="F674" s="54">
        <v>0</v>
      </c>
      <c r="G674" s="54">
        <v>8</v>
      </c>
      <c r="H674" s="54">
        <v>2</v>
      </c>
    </row>
    <row r="675" spans="1:8" x14ac:dyDescent="0.2">
      <c r="A675" s="54" t="s">
        <v>744</v>
      </c>
      <c r="B675" s="54">
        <v>114973</v>
      </c>
      <c r="C675" s="54">
        <v>3</v>
      </c>
      <c r="D675" s="54">
        <v>5</v>
      </c>
      <c r="E675" s="54">
        <v>1</v>
      </c>
      <c r="F675" s="54">
        <v>0</v>
      </c>
      <c r="G675" s="54">
        <v>0</v>
      </c>
      <c r="H675" s="54">
        <v>0</v>
      </c>
    </row>
    <row r="676" spans="1:8" x14ac:dyDescent="0.2">
      <c r="A676" s="54" t="s">
        <v>745</v>
      </c>
      <c r="B676" s="54">
        <v>128005</v>
      </c>
      <c r="C676" s="54">
        <v>3</v>
      </c>
      <c r="D676" s="54">
        <v>3</v>
      </c>
      <c r="E676" s="54">
        <v>1</v>
      </c>
      <c r="F676" s="54">
        <v>0</v>
      </c>
      <c r="G676" s="54">
        <v>0</v>
      </c>
      <c r="H676" s="54">
        <v>0</v>
      </c>
    </row>
    <row r="677" spans="1:8" x14ac:dyDescent="0.2">
      <c r="A677" s="54" t="s">
        <v>746</v>
      </c>
      <c r="B677" s="54">
        <v>151907</v>
      </c>
      <c r="C677" s="54">
        <v>3</v>
      </c>
      <c r="D677" s="54">
        <v>30</v>
      </c>
      <c r="E677" s="54">
        <v>2</v>
      </c>
      <c r="F677" s="54">
        <v>0</v>
      </c>
      <c r="G677" s="54">
        <v>0</v>
      </c>
      <c r="H677" s="54">
        <v>3</v>
      </c>
    </row>
    <row r="678" spans="1:8" x14ac:dyDescent="0.2">
      <c r="A678" s="54" t="s">
        <v>747</v>
      </c>
      <c r="B678" s="54">
        <v>106394</v>
      </c>
      <c r="C678" s="54">
        <v>3</v>
      </c>
      <c r="D678" s="54">
        <v>142</v>
      </c>
      <c r="E678" s="54">
        <v>2</v>
      </c>
      <c r="F678" s="54">
        <v>0</v>
      </c>
      <c r="G678" s="54">
        <v>0</v>
      </c>
      <c r="H678" s="54">
        <v>28</v>
      </c>
    </row>
    <row r="679" spans="1:8" x14ac:dyDescent="0.2">
      <c r="A679" s="54" t="s">
        <v>748</v>
      </c>
      <c r="B679" s="54">
        <v>114678</v>
      </c>
      <c r="C679" s="54">
        <v>3</v>
      </c>
      <c r="D679" s="54">
        <v>35</v>
      </c>
      <c r="E679" s="54">
        <v>2</v>
      </c>
      <c r="F679" s="54">
        <v>54</v>
      </c>
      <c r="G679" s="54">
        <v>2</v>
      </c>
      <c r="H679" s="54">
        <v>0</v>
      </c>
    </row>
    <row r="680" spans="1:8" x14ac:dyDescent="0.2">
      <c r="A680" s="54" t="s">
        <v>749</v>
      </c>
      <c r="B680" s="54">
        <v>109462</v>
      </c>
      <c r="C680" s="54">
        <v>3</v>
      </c>
      <c r="D680" s="54">
        <v>140</v>
      </c>
      <c r="E680" s="54">
        <v>3</v>
      </c>
      <c r="F680" s="54">
        <v>0</v>
      </c>
      <c r="G680" s="54">
        <v>0</v>
      </c>
      <c r="H680" s="54">
        <v>21</v>
      </c>
    </row>
    <row r="681" spans="1:8" x14ac:dyDescent="0.2">
      <c r="A681" s="54" t="s">
        <v>750</v>
      </c>
      <c r="B681" s="54">
        <v>133873</v>
      </c>
      <c r="C681" s="54">
        <v>3</v>
      </c>
      <c r="D681" s="54">
        <v>5</v>
      </c>
      <c r="E681" s="54">
        <v>3</v>
      </c>
      <c r="F681" s="54">
        <v>0</v>
      </c>
      <c r="G681" s="54">
        <v>0</v>
      </c>
      <c r="H681" s="54">
        <v>0</v>
      </c>
    </row>
    <row r="682" spans="1:8" x14ac:dyDescent="0.2">
      <c r="A682" s="54" t="s">
        <v>751</v>
      </c>
      <c r="B682" s="54">
        <v>327314</v>
      </c>
      <c r="C682" s="54">
        <v>3</v>
      </c>
      <c r="D682" s="54">
        <v>8</v>
      </c>
      <c r="E682" s="54">
        <v>3</v>
      </c>
      <c r="F682" s="54">
        <v>2</v>
      </c>
      <c r="G682" s="54">
        <v>0</v>
      </c>
      <c r="H682" s="54">
        <v>0</v>
      </c>
    </row>
    <row r="683" spans="1:8" x14ac:dyDescent="0.2">
      <c r="A683" s="54" t="s">
        <v>752</v>
      </c>
      <c r="B683" s="54">
        <v>202077</v>
      </c>
      <c r="C683" s="54">
        <v>3</v>
      </c>
      <c r="D683" s="54">
        <v>6</v>
      </c>
      <c r="E683" s="54">
        <v>4</v>
      </c>
      <c r="F683" s="54">
        <v>0</v>
      </c>
      <c r="G683" s="54">
        <v>0</v>
      </c>
      <c r="H683" s="54">
        <v>0</v>
      </c>
    </row>
    <row r="684" spans="1:8" x14ac:dyDescent="0.2">
      <c r="A684" s="54" t="s">
        <v>753</v>
      </c>
      <c r="B684" s="54">
        <v>119976</v>
      </c>
      <c r="C684" s="54">
        <v>3</v>
      </c>
      <c r="D684" s="54">
        <v>6</v>
      </c>
      <c r="E684" s="54">
        <v>4</v>
      </c>
      <c r="F684" s="54">
        <v>0</v>
      </c>
      <c r="G684" s="54">
        <v>0</v>
      </c>
      <c r="H684" s="54">
        <v>0</v>
      </c>
    </row>
    <row r="685" spans="1:8" x14ac:dyDescent="0.2">
      <c r="A685" s="54" t="s">
        <v>754</v>
      </c>
      <c r="B685" s="54">
        <v>454683</v>
      </c>
      <c r="C685" s="54">
        <v>3</v>
      </c>
      <c r="D685" s="54">
        <v>6</v>
      </c>
      <c r="E685" s="54">
        <v>4</v>
      </c>
      <c r="F685" s="54">
        <v>0</v>
      </c>
      <c r="G685" s="54">
        <v>0</v>
      </c>
      <c r="H685" s="54">
        <v>0</v>
      </c>
    </row>
    <row r="686" spans="1:8" x14ac:dyDescent="0.2">
      <c r="A686" s="54" t="s">
        <v>755</v>
      </c>
      <c r="B686" s="54">
        <v>134990</v>
      </c>
      <c r="C686" s="54">
        <v>3</v>
      </c>
      <c r="D686" s="54">
        <v>33</v>
      </c>
      <c r="E686" s="54">
        <v>4</v>
      </c>
      <c r="F686" s="54">
        <v>15</v>
      </c>
      <c r="G686" s="54">
        <v>0</v>
      </c>
      <c r="H686" s="54">
        <v>0</v>
      </c>
    </row>
    <row r="687" spans="1:8" x14ac:dyDescent="0.2">
      <c r="A687" s="54" t="s">
        <v>756</v>
      </c>
      <c r="B687" s="54">
        <v>303321</v>
      </c>
      <c r="C687" s="54">
        <v>3</v>
      </c>
      <c r="D687" s="54">
        <v>1</v>
      </c>
      <c r="E687" s="54">
        <v>4</v>
      </c>
      <c r="F687" s="54">
        <v>0</v>
      </c>
      <c r="G687" s="54">
        <v>0</v>
      </c>
      <c r="H687" s="54">
        <v>0</v>
      </c>
    </row>
    <row r="688" spans="1:8" x14ac:dyDescent="0.2">
      <c r="A688" s="54" t="s">
        <v>757</v>
      </c>
      <c r="B688" s="54">
        <v>456357</v>
      </c>
      <c r="C688" s="54">
        <v>3</v>
      </c>
      <c r="D688" s="54">
        <v>4</v>
      </c>
      <c r="E688" s="54">
        <v>5</v>
      </c>
      <c r="F688" s="54">
        <v>0</v>
      </c>
      <c r="G688" s="54">
        <v>0</v>
      </c>
      <c r="H688" s="54">
        <v>0</v>
      </c>
    </row>
    <row r="689" spans="1:8" x14ac:dyDescent="0.2">
      <c r="A689" s="54" t="s">
        <v>758</v>
      </c>
      <c r="B689" s="54">
        <v>586658</v>
      </c>
      <c r="C689" s="54">
        <v>3</v>
      </c>
      <c r="D689" s="54">
        <v>3</v>
      </c>
      <c r="E689" s="54">
        <v>5</v>
      </c>
      <c r="F689" s="54">
        <v>0</v>
      </c>
      <c r="G689" s="54">
        <v>0</v>
      </c>
      <c r="H689" s="54">
        <v>0</v>
      </c>
    </row>
    <row r="690" spans="1:8" x14ac:dyDescent="0.2">
      <c r="A690" s="54" t="s">
        <v>759</v>
      </c>
      <c r="B690" s="54">
        <v>454239</v>
      </c>
      <c r="C690" s="54">
        <v>3</v>
      </c>
      <c r="D690" s="54">
        <v>5</v>
      </c>
      <c r="E690" s="54">
        <v>5</v>
      </c>
      <c r="F690" s="54">
        <v>4</v>
      </c>
      <c r="G690" s="54">
        <v>0</v>
      </c>
      <c r="H690" s="54">
        <v>0</v>
      </c>
    </row>
    <row r="691" spans="1:8" x14ac:dyDescent="0.2">
      <c r="A691" s="54" t="s">
        <v>760</v>
      </c>
      <c r="B691" s="54">
        <v>107453</v>
      </c>
      <c r="C691" s="54">
        <v>3</v>
      </c>
      <c r="D691" s="54">
        <v>34</v>
      </c>
      <c r="E691" s="54">
        <v>0</v>
      </c>
      <c r="F691" s="54">
        <v>0</v>
      </c>
      <c r="G691" s="54">
        <v>0</v>
      </c>
      <c r="H691" s="54">
        <v>0</v>
      </c>
    </row>
    <row r="692" spans="1:8" x14ac:dyDescent="0.2">
      <c r="A692" s="54" t="s">
        <v>761</v>
      </c>
      <c r="B692" s="54">
        <v>427790</v>
      </c>
      <c r="C692" s="54">
        <v>3</v>
      </c>
      <c r="D692" s="54">
        <v>39</v>
      </c>
      <c r="E692" s="54">
        <v>0</v>
      </c>
      <c r="F692" s="54">
        <v>0</v>
      </c>
      <c r="G692" s="54">
        <v>0</v>
      </c>
      <c r="H692" s="54">
        <v>0</v>
      </c>
    </row>
    <row r="693" spans="1:8" x14ac:dyDescent="0.2">
      <c r="A693" s="54" t="s">
        <v>762</v>
      </c>
      <c r="B693" s="54">
        <v>113153</v>
      </c>
      <c r="C693" s="54">
        <v>4</v>
      </c>
      <c r="D693" s="54">
        <v>4</v>
      </c>
      <c r="E693" s="54">
        <v>1</v>
      </c>
      <c r="F693" s="54">
        <v>0</v>
      </c>
      <c r="G693" s="54">
        <v>0</v>
      </c>
      <c r="H693" s="54">
        <v>0</v>
      </c>
    </row>
    <row r="694" spans="1:8" x14ac:dyDescent="0.2">
      <c r="A694" s="54" t="s">
        <v>763</v>
      </c>
      <c r="B694" s="54">
        <v>528556</v>
      </c>
      <c r="C694" s="54">
        <v>4</v>
      </c>
      <c r="D694" s="54">
        <v>6</v>
      </c>
      <c r="E694" s="54">
        <v>1</v>
      </c>
      <c r="F694" s="54">
        <v>0</v>
      </c>
      <c r="G694" s="54">
        <v>0</v>
      </c>
      <c r="H694" s="54">
        <v>0</v>
      </c>
    </row>
    <row r="695" spans="1:8" x14ac:dyDescent="0.2">
      <c r="A695" s="54" t="s">
        <v>764</v>
      </c>
      <c r="B695" s="54">
        <v>106753</v>
      </c>
      <c r="C695" s="54">
        <v>4</v>
      </c>
      <c r="D695" s="54">
        <v>19</v>
      </c>
      <c r="E695" s="54">
        <v>1</v>
      </c>
      <c r="F695" s="54">
        <v>0</v>
      </c>
      <c r="G695" s="54">
        <v>22</v>
      </c>
      <c r="H695" s="54">
        <v>0</v>
      </c>
    </row>
    <row r="696" spans="1:8" x14ac:dyDescent="0.2">
      <c r="A696" s="54" t="s">
        <v>765</v>
      </c>
      <c r="B696" s="54">
        <v>114425</v>
      </c>
      <c r="C696" s="54">
        <v>4</v>
      </c>
      <c r="D696" s="54">
        <v>10</v>
      </c>
      <c r="E696" s="54">
        <v>1</v>
      </c>
      <c r="F696" s="54">
        <v>0</v>
      </c>
      <c r="G696" s="54">
        <v>0</v>
      </c>
      <c r="H696" s="54">
        <v>0</v>
      </c>
    </row>
    <row r="697" spans="1:8" x14ac:dyDescent="0.2">
      <c r="A697" s="54" t="s">
        <v>766</v>
      </c>
      <c r="B697" s="54">
        <v>133163</v>
      </c>
      <c r="C697" s="54">
        <v>4</v>
      </c>
      <c r="D697" s="54">
        <v>25</v>
      </c>
      <c r="E697" s="54">
        <v>1</v>
      </c>
      <c r="F697" s="54">
        <v>0</v>
      </c>
      <c r="G697" s="54">
        <v>0</v>
      </c>
      <c r="H697" s="54">
        <v>0</v>
      </c>
    </row>
    <row r="698" spans="1:8" x14ac:dyDescent="0.2">
      <c r="A698" s="54" t="s">
        <v>767</v>
      </c>
      <c r="B698" s="54">
        <v>461472</v>
      </c>
      <c r="C698" s="54">
        <v>4</v>
      </c>
      <c r="D698" s="54">
        <v>1</v>
      </c>
      <c r="E698" s="54">
        <v>2</v>
      </c>
      <c r="F698" s="54">
        <v>0</v>
      </c>
      <c r="G698" s="54">
        <v>0</v>
      </c>
      <c r="H698" s="54">
        <v>0</v>
      </c>
    </row>
    <row r="699" spans="1:8" x14ac:dyDescent="0.2">
      <c r="A699" s="54" t="s">
        <v>768</v>
      </c>
      <c r="B699" s="54">
        <v>114970</v>
      </c>
      <c r="C699" s="54">
        <v>4</v>
      </c>
      <c r="D699" s="54">
        <v>4</v>
      </c>
      <c r="E699" s="54">
        <v>2</v>
      </c>
      <c r="F699" s="54">
        <v>0</v>
      </c>
      <c r="G699" s="54">
        <v>3</v>
      </c>
      <c r="H699" s="54">
        <v>0</v>
      </c>
    </row>
    <row r="700" spans="1:8" x14ac:dyDescent="0.2">
      <c r="A700" s="54" t="s">
        <v>769</v>
      </c>
      <c r="B700" s="54">
        <v>111040</v>
      </c>
      <c r="C700" s="54">
        <v>4</v>
      </c>
      <c r="D700" s="54">
        <v>4</v>
      </c>
      <c r="E700" s="54">
        <v>2</v>
      </c>
      <c r="F700" s="54">
        <v>2</v>
      </c>
      <c r="G700" s="54">
        <v>0</v>
      </c>
      <c r="H700" s="54">
        <v>0</v>
      </c>
    </row>
    <row r="701" spans="1:8" x14ac:dyDescent="0.2">
      <c r="A701" s="54" t="s">
        <v>770</v>
      </c>
      <c r="B701" s="54">
        <v>463227</v>
      </c>
      <c r="C701" s="54">
        <v>4</v>
      </c>
      <c r="D701" s="54">
        <v>110</v>
      </c>
      <c r="E701" s="54">
        <v>2</v>
      </c>
      <c r="F701" s="54">
        <v>8</v>
      </c>
      <c r="G701" s="54">
        <v>0</v>
      </c>
      <c r="H701" s="54">
        <v>0</v>
      </c>
    </row>
    <row r="702" spans="1:8" x14ac:dyDescent="0.2">
      <c r="A702" s="54" t="s">
        <v>771</v>
      </c>
      <c r="B702" s="54">
        <v>327530</v>
      </c>
      <c r="C702" s="54">
        <v>4</v>
      </c>
      <c r="D702" s="54">
        <v>30</v>
      </c>
      <c r="E702" s="54">
        <v>2</v>
      </c>
      <c r="F702" s="54">
        <v>0</v>
      </c>
      <c r="G702" s="54">
        <v>0</v>
      </c>
      <c r="H702" s="54">
        <v>0</v>
      </c>
    </row>
    <row r="703" spans="1:8" x14ac:dyDescent="0.2">
      <c r="A703" s="54" t="s">
        <v>772</v>
      </c>
      <c r="B703" s="54">
        <v>175106</v>
      </c>
      <c r="C703" s="54">
        <v>4</v>
      </c>
      <c r="D703" s="54">
        <v>10</v>
      </c>
      <c r="E703" s="54">
        <v>3</v>
      </c>
      <c r="F703" s="54">
        <v>0</v>
      </c>
      <c r="G703" s="54">
        <v>0</v>
      </c>
      <c r="H703" s="54">
        <v>0</v>
      </c>
    </row>
    <row r="704" spans="1:8" x14ac:dyDescent="0.2">
      <c r="A704" s="54" t="s">
        <v>773</v>
      </c>
      <c r="B704" s="54">
        <v>487132</v>
      </c>
      <c r="C704" s="54">
        <v>4</v>
      </c>
      <c r="D704" s="54">
        <v>4</v>
      </c>
      <c r="E704" s="54">
        <v>3</v>
      </c>
      <c r="F704" s="54">
        <v>4</v>
      </c>
      <c r="G704" s="54">
        <v>0</v>
      </c>
      <c r="H704" s="54">
        <v>0</v>
      </c>
    </row>
    <row r="705" spans="1:8" x14ac:dyDescent="0.2">
      <c r="A705" s="54" t="s">
        <v>774</v>
      </c>
      <c r="B705" s="54">
        <v>326208</v>
      </c>
      <c r="C705" s="54">
        <v>4</v>
      </c>
      <c r="D705" s="54">
        <v>28</v>
      </c>
      <c r="E705" s="54">
        <v>4</v>
      </c>
      <c r="F705" s="54">
        <v>0</v>
      </c>
      <c r="G705" s="54">
        <v>0</v>
      </c>
      <c r="H705" s="54">
        <v>22</v>
      </c>
    </row>
    <row r="706" spans="1:8" x14ac:dyDescent="0.2">
      <c r="A706" s="54" t="s">
        <v>775</v>
      </c>
      <c r="B706" s="54">
        <v>106824</v>
      </c>
      <c r="C706" s="54">
        <v>4</v>
      </c>
      <c r="D706" s="54">
        <v>57</v>
      </c>
      <c r="E706" s="54">
        <v>4</v>
      </c>
      <c r="F706" s="54">
        <v>0</v>
      </c>
      <c r="G706" s="54">
        <v>0</v>
      </c>
      <c r="H706" s="54">
        <v>0</v>
      </c>
    </row>
    <row r="707" spans="1:8" x14ac:dyDescent="0.2">
      <c r="A707" s="54" t="s">
        <v>776</v>
      </c>
      <c r="B707" s="54">
        <v>316775</v>
      </c>
      <c r="C707" s="54">
        <v>4</v>
      </c>
      <c r="D707" s="54">
        <v>160</v>
      </c>
      <c r="E707" s="54">
        <v>0</v>
      </c>
      <c r="F707" s="54">
        <v>0</v>
      </c>
      <c r="G707" s="54">
        <v>0</v>
      </c>
      <c r="H707" s="54">
        <v>0</v>
      </c>
    </row>
    <row r="708" spans="1:8" x14ac:dyDescent="0.2">
      <c r="A708" s="54" t="s">
        <v>777</v>
      </c>
      <c r="B708" s="54">
        <v>141533</v>
      </c>
      <c r="C708" s="54">
        <v>4</v>
      </c>
      <c r="D708" s="54">
        <v>57</v>
      </c>
      <c r="E708" s="54">
        <v>0</v>
      </c>
      <c r="F708" s="54">
        <v>0</v>
      </c>
      <c r="G708" s="54">
        <v>0</v>
      </c>
      <c r="H708" s="54">
        <v>0</v>
      </c>
    </row>
    <row r="709" spans="1:8" x14ac:dyDescent="0.2">
      <c r="A709" s="54" t="s">
        <v>778</v>
      </c>
      <c r="B709" s="54">
        <v>221765</v>
      </c>
      <c r="C709" s="54">
        <v>4</v>
      </c>
      <c r="D709" s="54">
        <v>4</v>
      </c>
      <c r="E709" s="54">
        <v>0</v>
      </c>
      <c r="F709" s="54">
        <v>0</v>
      </c>
      <c r="G709" s="54">
        <v>0</v>
      </c>
      <c r="H709" s="54">
        <v>0</v>
      </c>
    </row>
    <row r="710" spans="1:8" x14ac:dyDescent="0.2">
      <c r="A710" s="54" t="s">
        <v>779</v>
      </c>
      <c r="B710" s="54">
        <v>443479</v>
      </c>
      <c r="C710" s="54">
        <v>4</v>
      </c>
      <c r="D710" s="54">
        <v>3</v>
      </c>
      <c r="E710" s="54">
        <v>0</v>
      </c>
      <c r="F710" s="54">
        <v>0</v>
      </c>
      <c r="G710" s="54">
        <v>0</v>
      </c>
      <c r="H710" s="54">
        <v>0</v>
      </c>
    </row>
    <row r="711" spans="1:8" x14ac:dyDescent="0.2">
      <c r="A711" s="54" t="s">
        <v>780</v>
      </c>
      <c r="B711" s="54">
        <v>107747</v>
      </c>
      <c r="C711" s="54">
        <v>4</v>
      </c>
      <c r="D711" s="54">
        <v>40</v>
      </c>
      <c r="E711" s="54">
        <v>0</v>
      </c>
      <c r="F711" s="54">
        <v>0</v>
      </c>
      <c r="G711" s="54">
        <v>0</v>
      </c>
      <c r="H711" s="54">
        <v>0</v>
      </c>
    </row>
    <row r="712" spans="1:8" x14ac:dyDescent="0.2">
      <c r="A712" s="54" t="s">
        <v>781</v>
      </c>
      <c r="B712" s="54">
        <v>595453</v>
      </c>
      <c r="C712" s="54">
        <v>5</v>
      </c>
      <c r="D712" s="54">
        <v>9</v>
      </c>
      <c r="E712" s="54">
        <v>1</v>
      </c>
      <c r="F712" s="54">
        <v>0</v>
      </c>
      <c r="G712" s="54">
        <v>0</v>
      </c>
      <c r="H712" s="54">
        <v>0</v>
      </c>
    </row>
    <row r="713" spans="1:8" x14ac:dyDescent="0.2">
      <c r="A713" s="54" t="s">
        <v>782</v>
      </c>
      <c r="B713" s="54">
        <v>325705</v>
      </c>
      <c r="C713" s="54">
        <v>5</v>
      </c>
      <c r="D713" s="54">
        <v>350</v>
      </c>
      <c r="E713" s="54">
        <v>1</v>
      </c>
      <c r="F713" s="54">
        <v>0</v>
      </c>
      <c r="G713" s="54">
        <v>0</v>
      </c>
      <c r="H713" s="54">
        <v>0</v>
      </c>
    </row>
    <row r="714" spans="1:8" x14ac:dyDescent="0.2">
      <c r="A714" s="54" t="s">
        <v>783</v>
      </c>
      <c r="B714" s="54">
        <v>490548</v>
      </c>
      <c r="C714" s="54">
        <v>5</v>
      </c>
      <c r="D714" s="54">
        <v>6</v>
      </c>
      <c r="E714" s="54">
        <v>1</v>
      </c>
      <c r="F714" s="54">
        <v>0</v>
      </c>
      <c r="G714" s="54">
        <v>0</v>
      </c>
      <c r="H714" s="54">
        <v>0</v>
      </c>
    </row>
    <row r="715" spans="1:8" x14ac:dyDescent="0.2">
      <c r="A715" s="54" t="s">
        <v>784</v>
      </c>
      <c r="B715" s="54">
        <v>477682</v>
      </c>
      <c r="C715" s="54">
        <v>5</v>
      </c>
      <c r="D715" s="54">
        <v>5</v>
      </c>
      <c r="E715" s="54">
        <v>1</v>
      </c>
      <c r="F715" s="54">
        <v>0</v>
      </c>
      <c r="G715" s="54">
        <v>0</v>
      </c>
      <c r="H715" s="54">
        <v>0</v>
      </c>
    </row>
    <row r="716" spans="1:8" x14ac:dyDescent="0.2">
      <c r="A716" s="54" t="s">
        <v>785</v>
      </c>
      <c r="B716" s="54">
        <v>463052</v>
      </c>
      <c r="C716" s="54">
        <v>5</v>
      </c>
      <c r="D716" s="54">
        <v>6</v>
      </c>
      <c r="E716" s="54">
        <v>1</v>
      </c>
      <c r="F716" s="54">
        <v>0</v>
      </c>
      <c r="G716" s="54">
        <v>0</v>
      </c>
      <c r="H716" s="54">
        <v>0</v>
      </c>
    </row>
    <row r="717" spans="1:8" x14ac:dyDescent="0.2">
      <c r="A717" s="54" t="s">
        <v>786</v>
      </c>
      <c r="B717" s="54">
        <v>313841</v>
      </c>
      <c r="C717" s="54">
        <v>5</v>
      </c>
      <c r="D717" s="54">
        <v>3</v>
      </c>
      <c r="E717" s="54">
        <v>2</v>
      </c>
      <c r="F717" s="54">
        <v>0</v>
      </c>
      <c r="G717" s="54">
        <v>0</v>
      </c>
      <c r="H717" s="54">
        <v>0</v>
      </c>
    </row>
    <row r="718" spans="1:8" x14ac:dyDescent="0.2">
      <c r="A718" s="54" t="s">
        <v>787</v>
      </c>
      <c r="B718" s="54">
        <v>111195</v>
      </c>
      <c r="C718" s="54">
        <v>5</v>
      </c>
      <c r="D718" s="54">
        <v>16</v>
      </c>
      <c r="E718" s="54">
        <v>2</v>
      </c>
      <c r="F718" s="54">
        <v>28</v>
      </c>
      <c r="G718" s="54">
        <v>3</v>
      </c>
      <c r="H718" s="54">
        <v>0</v>
      </c>
    </row>
    <row r="719" spans="1:8" x14ac:dyDescent="0.2">
      <c r="A719" s="54" t="s">
        <v>788</v>
      </c>
      <c r="B719" s="54">
        <v>308828</v>
      </c>
      <c r="C719" s="54">
        <v>5</v>
      </c>
      <c r="D719" s="54">
        <v>140</v>
      </c>
      <c r="E719" s="54">
        <v>2</v>
      </c>
      <c r="F719" s="54">
        <v>0</v>
      </c>
      <c r="G719" s="54">
        <v>0</v>
      </c>
      <c r="H719" s="54">
        <v>0</v>
      </c>
    </row>
    <row r="720" spans="1:8" x14ac:dyDescent="0.2">
      <c r="A720" s="54" t="s">
        <v>789</v>
      </c>
      <c r="B720" s="54">
        <v>510989</v>
      </c>
      <c r="C720" s="54">
        <v>5</v>
      </c>
      <c r="D720" s="54">
        <v>5</v>
      </c>
      <c r="E720" s="54">
        <v>2</v>
      </c>
      <c r="F720" s="54">
        <v>0</v>
      </c>
      <c r="G720" s="54">
        <v>0</v>
      </c>
      <c r="H720" s="54">
        <v>0</v>
      </c>
    </row>
    <row r="721" spans="1:8" x14ac:dyDescent="0.2">
      <c r="A721" s="54" t="s">
        <v>790</v>
      </c>
      <c r="B721" s="54">
        <v>115592</v>
      </c>
      <c r="C721" s="54">
        <v>5</v>
      </c>
      <c r="D721" s="54">
        <v>4</v>
      </c>
      <c r="E721" s="54">
        <v>2</v>
      </c>
      <c r="F721" s="54">
        <v>0</v>
      </c>
      <c r="G721" s="54">
        <v>0</v>
      </c>
      <c r="H721" s="54">
        <v>0</v>
      </c>
    </row>
    <row r="722" spans="1:8" x14ac:dyDescent="0.2">
      <c r="A722" s="54" t="s">
        <v>791</v>
      </c>
      <c r="B722" s="54">
        <v>499870</v>
      </c>
      <c r="C722" s="54">
        <v>5</v>
      </c>
      <c r="D722" s="54">
        <v>5</v>
      </c>
      <c r="E722" s="54">
        <v>2</v>
      </c>
      <c r="F722" s="54">
        <v>34</v>
      </c>
      <c r="G722" s="54">
        <v>24</v>
      </c>
      <c r="H722" s="54">
        <v>0</v>
      </c>
    </row>
    <row r="723" spans="1:8" x14ac:dyDescent="0.2">
      <c r="A723" s="54" t="s">
        <v>792</v>
      </c>
      <c r="B723" s="54">
        <v>457172</v>
      </c>
      <c r="C723" s="54">
        <v>5</v>
      </c>
      <c r="D723" s="54">
        <v>4</v>
      </c>
      <c r="E723" s="54">
        <v>3</v>
      </c>
      <c r="F723" s="54">
        <v>0</v>
      </c>
      <c r="G723" s="54">
        <v>0</v>
      </c>
      <c r="H723" s="54">
        <v>0</v>
      </c>
    </row>
    <row r="724" spans="1:8" x14ac:dyDescent="0.2">
      <c r="A724" s="54" t="s">
        <v>793</v>
      </c>
      <c r="B724" s="54">
        <v>109962</v>
      </c>
      <c r="C724" s="54">
        <v>5</v>
      </c>
      <c r="D724" s="54">
        <v>39</v>
      </c>
      <c r="E724" s="54">
        <v>3</v>
      </c>
      <c r="F724" s="54">
        <v>117</v>
      </c>
      <c r="G724" s="54">
        <v>31</v>
      </c>
      <c r="H724" s="54">
        <v>0</v>
      </c>
    </row>
    <row r="725" spans="1:8" x14ac:dyDescent="0.2">
      <c r="A725" s="54" t="s">
        <v>794</v>
      </c>
      <c r="B725" s="54">
        <v>458741</v>
      </c>
      <c r="C725" s="54">
        <v>5</v>
      </c>
      <c r="D725" s="54">
        <v>6</v>
      </c>
      <c r="E725" s="54">
        <v>4</v>
      </c>
      <c r="F725" s="54">
        <v>0</v>
      </c>
      <c r="G725" s="54">
        <v>0</v>
      </c>
      <c r="H725" s="54">
        <v>0</v>
      </c>
    </row>
    <row r="726" spans="1:8" x14ac:dyDescent="0.2">
      <c r="A726" s="54" t="s">
        <v>795</v>
      </c>
      <c r="B726" s="54">
        <v>469448</v>
      </c>
      <c r="C726" s="54">
        <v>5</v>
      </c>
      <c r="D726" s="54">
        <v>6</v>
      </c>
      <c r="E726" s="54">
        <v>4</v>
      </c>
      <c r="F726" s="54">
        <v>0</v>
      </c>
      <c r="G726" s="54">
        <v>0</v>
      </c>
      <c r="H726" s="54">
        <v>7</v>
      </c>
    </row>
    <row r="727" spans="1:8" x14ac:dyDescent="0.2">
      <c r="A727" s="54" t="s">
        <v>796</v>
      </c>
      <c r="B727" s="54">
        <v>452068</v>
      </c>
      <c r="C727" s="54">
        <v>5</v>
      </c>
      <c r="D727" s="54">
        <v>25</v>
      </c>
      <c r="E727" s="54">
        <v>4</v>
      </c>
      <c r="F727" s="54">
        <v>19</v>
      </c>
      <c r="G727" s="54">
        <v>1</v>
      </c>
      <c r="H727" s="54">
        <v>23</v>
      </c>
    </row>
    <row r="728" spans="1:8" x14ac:dyDescent="0.2">
      <c r="A728" s="54" t="s">
        <v>797</v>
      </c>
      <c r="B728" s="54" t="s">
        <v>798</v>
      </c>
      <c r="C728" s="54">
        <v>5</v>
      </c>
      <c r="D728" s="54">
        <v>5</v>
      </c>
      <c r="E728" s="54">
        <v>5</v>
      </c>
      <c r="F728" s="54">
        <v>0</v>
      </c>
      <c r="G728" s="54">
        <v>0</v>
      </c>
      <c r="H728" s="54">
        <v>0</v>
      </c>
    </row>
    <row r="729" spans="1:8" x14ac:dyDescent="0.2">
      <c r="A729" s="54" t="s">
        <v>799</v>
      </c>
      <c r="B729" s="54">
        <v>313412</v>
      </c>
      <c r="C729" s="54">
        <v>5</v>
      </c>
      <c r="D729" s="54">
        <v>5</v>
      </c>
      <c r="E729" s="54">
        <v>5</v>
      </c>
      <c r="F729" s="54">
        <v>7</v>
      </c>
      <c r="G729" s="54">
        <v>0</v>
      </c>
      <c r="H729" s="54">
        <v>0</v>
      </c>
    </row>
    <row r="730" spans="1:8" x14ac:dyDescent="0.2">
      <c r="A730" s="54" t="s">
        <v>800</v>
      </c>
      <c r="B730" s="54">
        <v>163159</v>
      </c>
      <c r="C730" s="54">
        <v>5</v>
      </c>
      <c r="D730" s="54">
        <v>92</v>
      </c>
      <c r="E730" s="54">
        <v>0</v>
      </c>
      <c r="F730" s="54">
        <v>0</v>
      </c>
      <c r="G730" s="54">
        <v>0</v>
      </c>
      <c r="H730" s="54">
        <v>0</v>
      </c>
    </row>
    <row r="731" spans="1:8" x14ac:dyDescent="0.2">
      <c r="A731" s="54" t="s">
        <v>801</v>
      </c>
      <c r="B731" s="54">
        <v>135021</v>
      </c>
      <c r="C731" s="54">
        <v>5</v>
      </c>
      <c r="D731" s="54">
        <v>6</v>
      </c>
      <c r="E731" s="54">
        <v>0</v>
      </c>
      <c r="F731" s="54">
        <v>0</v>
      </c>
      <c r="G731" s="54">
        <v>7</v>
      </c>
      <c r="H731" s="54">
        <v>4</v>
      </c>
    </row>
    <row r="732" spans="1:8" x14ac:dyDescent="0.2">
      <c r="A732" s="54" t="s">
        <v>802</v>
      </c>
      <c r="B732" s="54">
        <v>313885</v>
      </c>
      <c r="C732" s="54">
        <v>5</v>
      </c>
      <c r="D732" s="54">
        <v>3</v>
      </c>
      <c r="E732" s="54">
        <v>0</v>
      </c>
      <c r="F732" s="54">
        <v>0</v>
      </c>
      <c r="G732" s="54">
        <v>0</v>
      </c>
      <c r="H732" s="54">
        <v>0</v>
      </c>
    </row>
    <row r="733" spans="1:8" x14ac:dyDescent="0.2">
      <c r="A733" s="54" t="s">
        <v>803</v>
      </c>
      <c r="B733" s="54">
        <v>462592</v>
      </c>
      <c r="C733" s="54">
        <v>6</v>
      </c>
      <c r="D733" s="54">
        <v>6</v>
      </c>
      <c r="E733" s="54">
        <v>1</v>
      </c>
      <c r="F733" s="54">
        <v>0</v>
      </c>
      <c r="G733" s="54">
        <v>0</v>
      </c>
      <c r="H733" s="54">
        <v>0</v>
      </c>
    </row>
    <row r="734" spans="1:8" x14ac:dyDescent="0.2">
      <c r="A734" s="54" t="s">
        <v>804</v>
      </c>
      <c r="B734" s="54">
        <v>311621</v>
      </c>
      <c r="C734" s="54">
        <v>6</v>
      </c>
      <c r="D734" s="54">
        <v>7</v>
      </c>
      <c r="E734" s="54">
        <v>1</v>
      </c>
      <c r="F734" s="54">
        <v>0</v>
      </c>
      <c r="G734" s="54">
        <v>0</v>
      </c>
      <c r="H734" s="54">
        <v>0</v>
      </c>
    </row>
    <row r="735" spans="1:8" x14ac:dyDescent="0.2">
      <c r="A735" s="54" t="s">
        <v>805</v>
      </c>
      <c r="B735" s="54">
        <v>169396</v>
      </c>
      <c r="C735" s="54">
        <v>6</v>
      </c>
      <c r="D735" s="54">
        <v>6</v>
      </c>
      <c r="E735" s="54">
        <v>1</v>
      </c>
      <c r="F735" s="54">
        <v>2</v>
      </c>
      <c r="G735" s="54">
        <v>1</v>
      </c>
      <c r="H735" s="54">
        <v>19</v>
      </c>
    </row>
    <row r="736" spans="1:8" x14ac:dyDescent="0.2">
      <c r="A736" s="54" t="s">
        <v>806</v>
      </c>
      <c r="B736" s="54">
        <v>176517</v>
      </c>
      <c r="C736" s="54">
        <v>6</v>
      </c>
      <c r="D736" s="54">
        <v>6</v>
      </c>
      <c r="E736" s="54">
        <v>1</v>
      </c>
      <c r="F736" s="54">
        <v>0</v>
      </c>
      <c r="G736" s="54">
        <v>0</v>
      </c>
      <c r="H736" s="54">
        <v>0</v>
      </c>
    </row>
    <row r="737" spans="1:8" x14ac:dyDescent="0.2">
      <c r="A737" s="54" t="s">
        <v>807</v>
      </c>
      <c r="B737" s="54">
        <v>143646</v>
      </c>
      <c r="C737" s="54">
        <v>6</v>
      </c>
      <c r="D737" s="54">
        <v>6</v>
      </c>
      <c r="E737" s="54">
        <v>1</v>
      </c>
      <c r="F737" s="54">
        <v>0</v>
      </c>
      <c r="G737" s="54">
        <v>3</v>
      </c>
      <c r="H737" s="54">
        <v>0</v>
      </c>
    </row>
    <row r="738" spans="1:8" x14ac:dyDescent="0.2">
      <c r="A738" s="54" t="s">
        <v>808</v>
      </c>
      <c r="B738" s="54">
        <v>142334</v>
      </c>
      <c r="C738" s="54">
        <v>6</v>
      </c>
      <c r="D738" s="54">
        <v>5</v>
      </c>
      <c r="E738" s="54">
        <v>2</v>
      </c>
      <c r="F738" s="54">
        <v>3</v>
      </c>
      <c r="G738" s="54">
        <v>0</v>
      </c>
      <c r="H738" s="54">
        <v>0</v>
      </c>
    </row>
    <row r="739" spans="1:8" x14ac:dyDescent="0.2">
      <c r="A739" s="54" t="s">
        <v>809</v>
      </c>
      <c r="B739" s="54">
        <v>531557</v>
      </c>
      <c r="C739" s="54">
        <v>6</v>
      </c>
      <c r="D739" s="54">
        <v>6</v>
      </c>
      <c r="E739" s="54">
        <v>2</v>
      </c>
      <c r="F739" s="54">
        <v>3</v>
      </c>
      <c r="G739" s="54">
        <v>0</v>
      </c>
      <c r="H739" s="54">
        <v>0</v>
      </c>
    </row>
    <row r="740" spans="1:8" x14ac:dyDescent="0.2">
      <c r="A740" s="54" t="s">
        <v>810</v>
      </c>
      <c r="B740" s="54">
        <v>109631</v>
      </c>
      <c r="C740" s="54">
        <v>6</v>
      </c>
      <c r="D740" s="54">
        <v>93</v>
      </c>
      <c r="E740" s="54">
        <v>2</v>
      </c>
      <c r="F740" s="54">
        <v>8</v>
      </c>
      <c r="G740" s="54">
        <v>0</v>
      </c>
      <c r="H740" s="54">
        <v>0</v>
      </c>
    </row>
    <row r="741" spans="1:8" x14ac:dyDescent="0.2">
      <c r="A741" s="54" t="s">
        <v>811</v>
      </c>
      <c r="B741" s="54">
        <v>318133</v>
      </c>
      <c r="C741" s="54">
        <v>6</v>
      </c>
      <c r="D741" s="54">
        <v>4</v>
      </c>
      <c r="E741" s="54">
        <v>2</v>
      </c>
      <c r="F741" s="54">
        <v>4</v>
      </c>
      <c r="G741" s="54">
        <v>0</v>
      </c>
      <c r="H741" s="54">
        <v>0</v>
      </c>
    </row>
    <row r="742" spans="1:8" x14ac:dyDescent="0.2">
      <c r="A742" s="54" t="s">
        <v>812</v>
      </c>
      <c r="B742" s="54">
        <v>460013</v>
      </c>
      <c r="C742" s="54">
        <v>6</v>
      </c>
      <c r="D742" s="54">
        <v>32</v>
      </c>
      <c r="E742" s="54">
        <v>2</v>
      </c>
      <c r="F742" s="54">
        <v>0</v>
      </c>
      <c r="G742" s="54">
        <v>0</v>
      </c>
      <c r="H742" s="54">
        <v>0</v>
      </c>
    </row>
    <row r="743" spans="1:8" x14ac:dyDescent="0.2">
      <c r="A743" s="54" t="s">
        <v>813</v>
      </c>
      <c r="B743" s="54">
        <v>575949</v>
      </c>
      <c r="C743" s="54">
        <v>6</v>
      </c>
      <c r="D743" s="54">
        <v>6</v>
      </c>
      <c r="E743" s="54">
        <v>3</v>
      </c>
      <c r="F743" s="54">
        <v>0</v>
      </c>
      <c r="G743" s="54">
        <v>0</v>
      </c>
      <c r="H743" s="54">
        <v>0</v>
      </c>
    </row>
    <row r="744" spans="1:8" x14ac:dyDescent="0.2">
      <c r="A744" s="54" t="s">
        <v>814</v>
      </c>
      <c r="B744" s="54">
        <v>534156</v>
      </c>
      <c r="C744" s="54">
        <v>6</v>
      </c>
      <c r="D744" s="54">
        <v>2</v>
      </c>
      <c r="E744" s="54">
        <v>3</v>
      </c>
      <c r="F744" s="54">
        <v>0</v>
      </c>
      <c r="G744" s="54">
        <v>0</v>
      </c>
      <c r="H744" s="54">
        <v>0</v>
      </c>
    </row>
    <row r="745" spans="1:8" x14ac:dyDescent="0.2">
      <c r="A745" s="54" t="s">
        <v>815</v>
      </c>
      <c r="B745" s="54">
        <v>497274</v>
      </c>
      <c r="C745" s="54">
        <v>6</v>
      </c>
      <c r="D745" s="54">
        <v>6</v>
      </c>
      <c r="E745" s="54">
        <v>4</v>
      </c>
      <c r="F745" s="54">
        <v>0</v>
      </c>
      <c r="G745" s="54">
        <v>8</v>
      </c>
      <c r="H745" s="54">
        <v>0</v>
      </c>
    </row>
    <row r="746" spans="1:8" x14ac:dyDescent="0.2">
      <c r="A746" s="54" t="s">
        <v>816</v>
      </c>
      <c r="B746" s="54">
        <v>477054</v>
      </c>
      <c r="C746" s="54">
        <v>6</v>
      </c>
      <c r="D746" s="54">
        <v>6</v>
      </c>
      <c r="E746" s="54">
        <v>4</v>
      </c>
      <c r="F746" s="54">
        <v>0</v>
      </c>
      <c r="G746" s="54">
        <v>0</v>
      </c>
      <c r="H746" s="54">
        <v>0</v>
      </c>
    </row>
    <row r="747" spans="1:8" x14ac:dyDescent="0.2">
      <c r="A747" s="54" t="s">
        <v>817</v>
      </c>
      <c r="B747" s="54">
        <v>447364</v>
      </c>
      <c r="C747" s="54">
        <v>6</v>
      </c>
      <c r="D747" s="54">
        <v>8</v>
      </c>
      <c r="E747" s="54">
        <v>4</v>
      </c>
      <c r="F747" s="54">
        <v>0</v>
      </c>
      <c r="G747" s="54">
        <v>0</v>
      </c>
      <c r="H747" s="54">
        <v>0</v>
      </c>
    </row>
    <row r="748" spans="1:8" x14ac:dyDescent="0.2">
      <c r="A748" s="54" t="s">
        <v>818</v>
      </c>
      <c r="B748" s="54">
        <v>164778</v>
      </c>
      <c r="C748" s="54">
        <v>6</v>
      </c>
      <c r="D748" s="54">
        <v>6</v>
      </c>
      <c r="E748" s="54">
        <v>5</v>
      </c>
      <c r="F748" s="54">
        <v>1</v>
      </c>
      <c r="G748" s="54">
        <v>1</v>
      </c>
      <c r="H748" s="54">
        <v>0</v>
      </c>
    </row>
    <row r="749" spans="1:8" x14ac:dyDescent="0.2">
      <c r="A749" s="54" t="s">
        <v>819</v>
      </c>
      <c r="B749" s="54">
        <v>316390</v>
      </c>
      <c r="C749" s="54">
        <v>6</v>
      </c>
      <c r="D749" s="54">
        <v>11</v>
      </c>
      <c r="E749" s="54">
        <v>5</v>
      </c>
      <c r="F749" s="54">
        <v>0</v>
      </c>
      <c r="G749" s="54">
        <v>0</v>
      </c>
      <c r="H749" s="54">
        <v>0</v>
      </c>
    </row>
    <row r="750" spans="1:8" x14ac:dyDescent="0.2">
      <c r="A750" s="54" t="s">
        <v>820</v>
      </c>
      <c r="B750" s="54">
        <v>164979</v>
      </c>
      <c r="C750" s="54">
        <v>6</v>
      </c>
      <c r="D750" s="54">
        <v>25</v>
      </c>
      <c r="E750" s="54">
        <v>0</v>
      </c>
      <c r="F750" s="54">
        <v>0</v>
      </c>
      <c r="G750" s="54">
        <v>0</v>
      </c>
      <c r="H750" s="54">
        <v>0</v>
      </c>
    </row>
    <row r="751" spans="1:8" x14ac:dyDescent="0.2">
      <c r="A751" s="54" t="s">
        <v>821</v>
      </c>
      <c r="B751" s="54">
        <v>302284</v>
      </c>
      <c r="C751" s="54">
        <v>6</v>
      </c>
      <c r="D751" s="54">
        <v>9</v>
      </c>
      <c r="E751" s="54">
        <v>0</v>
      </c>
      <c r="F751" s="54">
        <v>0</v>
      </c>
      <c r="G751" s="54">
        <v>0</v>
      </c>
      <c r="H751" s="54">
        <v>0</v>
      </c>
    </row>
    <row r="752" spans="1:8" x14ac:dyDescent="0.2">
      <c r="A752" s="54" t="s">
        <v>822</v>
      </c>
      <c r="B752" s="54">
        <v>321423</v>
      </c>
      <c r="C752" s="54">
        <v>7</v>
      </c>
      <c r="D752" s="54">
        <v>6</v>
      </c>
      <c r="E752" s="54">
        <v>1</v>
      </c>
      <c r="F752" s="54">
        <v>0</v>
      </c>
      <c r="G752" s="54">
        <v>0</v>
      </c>
      <c r="H752" s="54">
        <v>0</v>
      </c>
    </row>
    <row r="753" spans="1:8" x14ac:dyDescent="0.2">
      <c r="A753" s="54" t="s">
        <v>823</v>
      </c>
      <c r="B753" s="54">
        <v>303536</v>
      </c>
      <c r="C753" s="54">
        <v>7</v>
      </c>
      <c r="D753" s="54">
        <v>5</v>
      </c>
      <c r="E753" s="54">
        <v>1</v>
      </c>
      <c r="F753" s="54">
        <v>0</v>
      </c>
      <c r="G753" s="54">
        <v>0</v>
      </c>
      <c r="H753" s="54">
        <v>2</v>
      </c>
    </row>
    <row r="754" spans="1:8" x14ac:dyDescent="0.2">
      <c r="A754" s="54" t="s">
        <v>824</v>
      </c>
      <c r="B754" s="54">
        <v>168226</v>
      </c>
      <c r="C754" s="54">
        <v>7</v>
      </c>
      <c r="D754" s="54">
        <v>18</v>
      </c>
      <c r="E754" s="54">
        <v>2</v>
      </c>
      <c r="F754" s="54">
        <v>6</v>
      </c>
      <c r="G754" s="54">
        <v>0</v>
      </c>
      <c r="H754" s="54">
        <v>0</v>
      </c>
    </row>
    <row r="755" spans="1:8" x14ac:dyDescent="0.2">
      <c r="A755" s="54" t="s">
        <v>825</v>
      </c>
      <c r="B755" s="54">
        <v>143871</v>
      </c>
      <c r="C755" s="54">
        <v>7</v>
      </c>
      <c r="D755" s="54">
        <v>5</v>
      </c>
      <c r="E755" s="54">
        <v>2</v>
      </c>
      <c r="F755" s="54">
        <v>2</v>
      </c>
      <c r="G755" s="54">
        <v>0</v>
      </c>
      <c r="H755" s="54">
        <v>0</v>
      </c>
    </row>
    <row r="756" spans="1:8" x14ac:dyDescent="0.2">
      <c r="A756" s="54" t="s">
        <v>826</v>
      </c>
      <c r="B756" s="54">
        <v>108786</v>
      </c>
      <c r="C756" s="54">
        <v>7</v>
      </c>
      <c r="D756" s="54">
        <v>7</v>
      </c>
      <c r="E756" s="54">
        <v>3</v>
      </c>
      <c r="F756" s="54">
        <v>23</v>
      </c>
      <c r="G756" s="54">
        <v>4</v>
      </c>
      <c r="H756" s="54">
        <v>0</v>
      </c>
    </row>
    <row r="757" spans="1:8" x14ac:dyDescent="0.2">
      <c r="A757" s="54" t="s">
        <v>827</v>
      </c>
      <c r="B757" s="54">
        <v>582251</v>
      </c>
      <c r="C757" s="54">
        <v>7</v>
      </c>
      <c r="D757" s="54">
        <v>7</v>
      </c>
      <c r="E757" s="54">
        <v>3</v>
      </c>
      <c r="F757" s="54">
        <v>0</v>
      </c>
      <c r="G757" s="54">
        <v>0</v>
      </c>
      <c r="H757" s="54">
        <v>0</v>
      </c>
    </row>
    <row r="758" spans="1:8" x14ac:dyDescent="0.2">
      <c r="A758" s="54" t="s">
        <v>828</v>
      </c>
      <c r="B758" s="54">
        <v>112359</v>
      </c>
      <c r="C758" s="54">
        <v>7</v>
      </c>
      <c r="D758" s="54">
        <v>7</v>
      </c>
      <c r="E758" s="54">
        <v>3</v>
      </c>
      <c r="F758" s="54">
        <v>84</v>
      </c>
      <c r="G758" s="54">
        <v>0</v>
      </c>
      <c r="H758" s="54">
        <v>0</v>
      </c>
    </row>
    <row r="759" spans="1:8" x14ac:dyDescent="0.2">
      <c r="A759" s="54" t="s">
        <v>829</v>
      </c>
      <c r="B759" s="54">
        <v>322540</v>
      </c>
      <c r="C759" s="54">
        <v>7</v>
      </c>
      <c r="D759" s="54">
        <v>7</v>
      </c>
      <c r="E759" s="54">
        <v>4</v>
      </c>
      <c r="F759" s="54">
        <v>5</v>
      </c>
      <c r="G759" s="54">
        <v>0</v>
      </c>
      <c r="H759" s="54">
        <v>0</v>
      </c>
    </row>
    <row r="760" spans="1:8" x14ac:dyDescent="0.2">
      <c r="A760" s="54" t="s">
        <v>830</v>
      </c>
      <c r="B760" s="54">
        <v>152332</v>
      </c>
      <c r="C760" s="54">
        <v>7</v>
      </c>
      <c r="D760" s="54">
        <v>4</v>
      </c>
      <c r="E760" s="54">
        <v>4</v>
      </c>
      <c r="F760" s="54">
        <v>0</v>
      </c>
      <c r="G760" s="54">
        <v>0</v>
      </c>
      <c r="H760" s="54">
        <v>0</v>
      </c>
    </row>
    <row r="761" spans="1:8" x14ac:dyDescent="0.2">
      <c r="A761" s="54" t="s">
        <v>831</v>
      </c>
      <c r="B761" s="54">
        <v>114947</v>
      </c>
      <c r="C761" s="54">
        <v>7</v>
      </c>
      <c r="D761" s="54">
        <v>6</v>
      </c>
      <c r="E761" s="54">
        <v>5</v>
      </c>
      <c r="F761" s="54">
        <v>4</v>
      </c>
      <c r="G761" s="54">
        <v>1</v>
      </c>
      <c r="H761" s="54">
        <v>0</v>
      </c>
    </row>
    <row r="762" spans="1:8" x14ac:dyDescent="0.2">
      <c r="A762" s="54" t="s">
        <v>832</v>
      </c>
      <c r="B762" s="54">
        <v>586347</v>
      </c>
      <c r="C762" s="54">
        <v>7</v>
      </c>
      <c r="D762" s="54">
        <v>7</v>
      </c>
      <c r="E762" s="54">
        <v>5</v>
      </c>
      <c r="F762" s="54">
        <v>0</v>
      </c>
      <c r="G762" s="54">
        <v>0</v>
      </c>
      <c r="H762" s="54">
        <v>3</v>
      </c>
    </row>
    <row r="763" spans="1:8" x14ac:dyDescent="0.2">
      <c r="A763" s="54" t="s">
        <v>833</v>
      </c>
      <c r="B763" s="54">
        <v>513509</v>
      </c>
      <c r="C763" s="54">
        <v>7</v>
      </c>
      <c r="D763" s="54">
        <v>10</v>
      </c>
      <c r="E763" s="54">
        <v>0</v>
      </c>
      <c r="F763" s="54">
        <v>0</v>
      </c>
      <c r="G763" s="54">
        <v>0</v>
      </c>
      <c r="H763" s="54">
        <v>0</v>
      </c>
    </row>
    <row r="764" spans="1:8" x14ac:dyDescent="0.2">
      <c r="A764" s="54" t="s">
        <v>834</v>
      </c>
      <c r="B764" s="54">
        <v>203187</v>
      </c>
      <c r="C764" s="54">
        <v>8</v>
      </c>
      <c r="D764" s="54">
        <v>4</v>
      </c>
      <c r="E764" s="54">
        <v>1</v>
      </c>
      <c r="F764" s="54">
        <v>0</v>
      </c>
      <c r="G764" s="54">
        <v>0</v>
      </c>
      <c r="H764" s="54">
        <v>0</v>
      </c>
    </row>
    <row r="765" spans="1:8" x14ac:dyDescent="0.2">
      <c r="A765" s="54" t="s">
        <v>835</v>
      </c>
      <c r="B765" s="54">
        <v>208498</v>
      </c>
      <c r="C765" s="54">
        <v>8</v>
      </c>
      <c r="D765" s="54">
        <v>7</v>
      </c>
      <c r="E765" s="54">
        <v>1</v>
      </c>
      <c r="F765" s="54">
        <v>0</v>
      </c>
      <c r="G765" s="54">
        <v>0</v>
      </c>
      <c r="H765" s="54">
        <v>0</v>
      </c>
    </row>
    <row r="766" spans="1:8" x14ac:dyDescent="0.2">
      <c r="A766" s="54" t="s">
        <v>836</v>
      </c>
      <c r="B766" s="54">
        <v>578855</v>
      </c>
      <c r="C766" s="54">
        <v>8</v>
      </c>
      <c r="D766" s="54">
        <v>8</v>
      </c>
      <c r="E766" s="54">
        <v>1</v>
      </c>
      <c r="F766" s="54">
        <v>0</v>
      </c>
      <c r="G766" s="54">
        <v>0</v>
      </c>
      <c r="H766" s="54">
        <v>0</v>
      </c>
    </row>
    <row r="767" spans="1:8" x14ac:dyDescent="0.2">
      <c r="A767" s="54" t="s">
        <v>837</v>
      </c>
      <c r="B767" s="54">
        <v>327017</v>
      </c>
      <c r="C767" s="54">
        <v>8</v>
      </c>
      <c r="D767" s="54">
        <v>8</v>
      </c>
      <c r="E767" s="54">
        <v>1</v>
      </c>
      <c r="F767" s="54">
        <v>0</v>
      </c>
      <c r="G767" s="54">
        <v>0</v>
      </c>
      <c r="H767" s="54">
        <v>16</v>
      </c>
    </row>
    <row r="768" spans="1:8" x14ac:dyDescent="0.2">
      <c r="A768" s="54" t="s">
        <v>838</v>
      </c>
      <c r="B768" s="54">
        <v>411270</v>
      </c>
      <c r="C768" s="54">
        <v>8</v>
      </c>
      <c r="D768" s="54">
        <v>8</v>
      </c>
      <c r="E768" s="54">
        <v>2</v>
      </c>
      <c r="F768" s="54">
        <v>16</v>
      </c>
      <c r="G768" s="54">
        <v>10</v>
      </c>
      <c r="H768" s="54">
        <v>9</v>
      </c>
    </row>
    <row r="769" spans="1:8" x14ac:dyDescent="0.2">
      <c r="A769" s="54" t="s">
        <v>839</v>
      </c>
      <c r="B769" s="54">
        <v>136308</v>
      </c>
      <c r="C769" s="54">
        <v>8</v>
      </c>
      <c r="D769" s="54">
        <v>8</v>
      </c>
      <c r="E769" s="54">
        <v>2</v>
      </c>
      <c r="F769" s="54">
        <v>4</v>
      </c>
      <c r="G769" s="54">
        <v>0</v>
      </c>
      <c r="H769" s="54">
        <v>0</v>
      </c>
    </row>
    <row r="770" spans="1:8" x14ac:dyDescent="0.2">
      <c r="A770" s="54" t="s">
        <v>840</v>
      </c>
      <c r="B770" s="54">
        <v>467078</v>
      </c>
      <c r="C770" s="54">
        <v>8</v>
      </c>
      <c r="D770" s="54">
        <v>7</v>
      </c>
      <c r="E770" s="54">
        <v>2</v>
      </c>
      <c r="F770" s="54">
        <v>0</v>
      </c>
      <c r="G770" s="54">
        <v>0</v>
      </c>
      <c r="H770" s="54">
        <v>0</v>
      </c>
    </row>
    <row r="771" spans="1:8" x14ac:dyDescent="0.2">
      <c r="A771" s="54" t="s">
        <v>841</v>
      </c>
      <c r="B771" s="54">
        <v>218005</v>
      </c>
      <c r="C771" s="54">
        <v>8</v>
      </c>
      <c r="D771" s="54">
        <v>20</v>
      </c>
      <c r="E771" s="54">
        <v>2</v>
      </c>
      <c r="F771" s="54">
        <v>0</v>
      </c>
      <c r="G771" s="54">
        <v>0</v>
      </c>
      <c r="H771" s="54">
        <v>20</v>
      </c>
    </row>
    <row r="772" spans="1:8" x14ac:dyDescent="0.2">
      <c r="A772" s="54" t="s">
        <v>842</v>
      </c>
      <c r="B772" s="54">
        <v>112487</v>
      </c>
      <c r="C772" s="54">
        <v>8</v>
      </c>
      <c r="D772" s="54">
        <v>8</v>
      </c>
      <c r="E772" s="54">
        <v>2</v>
      </c>
      <c r="F772" s="54">
        <v>0</v>
      </c>
      <c r="G772" s="54">
        <v>0</v>
      </c>
      <c r="H772" s="54">
        <v>0</v>
      </c>
    </row>
    <row r="773" spans="1:8" x14ac:dyDescent="0.2">
      <c r="A773" s="54" t="s">
        <v>843</v>
      </c>
      <c r="B773" s="54">
        <v>472006</v>
      </c>
      <c r="C773" s="54">
        <v>8</v>
      </c>
      <c r="D773" s="54">
        <v>8</v>
      </c>
      <c r="E773" s="54">
        <v>2</v>
      </c>
      <c r="F773" s="54">
        <v>0</v>
      </c>
      <c r="G773" s="54">
        <v>1</v>
      </c>
      <c r="H773" s="54">
        <v>0</v>
      </c>
    </row>
    <row r="774" spans="1:8" x14ac:dyDescent="0.2">
      <c r="A774" s="54" t="s">
        <v>844</v>
      </c>
      <c r="B774" s="54">
        <v>524778</v>
      </c>
      <c r="C774" s="54">
        <v>8</v>
      </c>
      <c r="D774" s="54">
        <v>8</v>
      </c>
      <c r="E774" s="54">
        <v>2</v>
      </c>
      <c r="F774" s="54">
        <v>0</v>
      </c>
      <c r="G774" s="54">
        <v>21</v>
      </c>
      <c r="H774" s="54">
        <v>10</v>
      </c>
    </row>
    <row r="775" spans="1:8" x14ac:dyDescent="0.2">
      <c r="A775" s="54" t="s">
        <v>845</v>
      </c>
      <c r="B775" s="54">
        <v>183514</v>
      </c>
      <c r="C775" s="54">
        <v>8</v>
      </c>
      <c r="D775" s="54">
        <v>6</v>
      </c>
      <c r="E775" s="54">
        <v>2</v>
      </c>
      <c r="F775" s="54">
        <v>13</v>
      </c>
      <c r="G775" s="54">
        <v>23</v>
      </c>
      <c r="H775" s="54">
        <v>0</v>
      </c>
    </row>
    <row r="776" spans="1:8" x14ac:dyDescent="0.2">
      <c r="A776" s="54" t="s">
        <v>846</v>
      </c>
      <c r="B776" s="54">
        <v>157396</v>
      </c>
      <c r="C776" s="54">
        <v>8</v>
      </c>
      <c r="D776" s="54">
        <v>40</v>
      </c>
      <c r="E776" s="54">
        <v>3</v>
      </c>
      <c r="F776" s="54">
        <v>5</v>
      </c>
      <c r="G776" s="54">
        <v>0</v>
      </c>
      <c r="H776" s="54">
        <v>0</v>
      </c>
    </row>
    <row r="777" spans="1:8" x14ac:dyDescent="0.2">
      <c r="A777" s="54" t="s">
        <v>847</v>
      </c>
      <c r="B777" s="54">
        <v>472627</v>
      </c>
      <c r="C777" s="54">
        <v>8</v>
      </c>
      <c r="D777" s="54">
        <v>8</v>
      </c>
      <c r="E777" s="54">
        <v>3</v>
      </c>
      <c r="F777" s="54">
        <v>0</v>
      </c>
      <c r="G777" s="54">
        <v>0</v>
      </c>
      <c r="H777" s="54">
        <v>0</v>
      </c>
    </row>
    <row r="778" spans="1:8" x14ac:dyDescent="0.2">
      <c r="A778" s="54" t="s">
        <v>848</v>
      </c>
      <c r="B778" s="54">
        <v>476202</v>
      </c>
      <c r="C778" s="54">
        <v>8</v>
      </c>
      <c r="D778" s="54">
        <v>8</v>
      </c>
      <c r="E778" s="54">
        <v>3</v>
      </c>
      <c r="F778" s="54">
        <v>0</v>
      </c>
      <c r="G778" s="54">
        <v>0</v>
      </c>
      <c r="H778" s="54">
        <v>32</v>
      </c>
    </row>
    <row r="779" spans="1:8" x14ac:dyDescent="0.2">
      <c r="A779" s="54" t="s">
        <v>849</v>
      </c>
      <c r="B779" s="54">
        <v>306040</v>
      </c>
      <c r="C779" s="54">
        <v>8</v>
      </c>
      <c r="D779" s="54">
        <v>34</v>
      </c>
      <c r="E779" s="54">
        <v>4</v>
      </c>
      <c r="F779" s="54">
        <v>1</v>
      </c>
      <c r="G779" s="54">
        <v>14</v>
      </c>
      <c r="H779" s="54">
        <v>15</v>
      </c>
    </row>
    <row r="780" spans="1:8" x14ac:dyDescent="0.2">
      <c r="A780" s="54" t="s">
        <v>850</v>
      </c>
      <c r="B780" s="54">
        <v>110914</v>
      </c>
      <c r="C780" s="54">
        <v>8</v>
      </c>
      <c r="D780" s="54">
        <v>10</v>
      </c>
      <c r="E780" s="54">
        <v>4</v>
      </c>
      <c r="F780" s="54">
        <v>0</v>
      </c>
      <c r="G780" s="54">
        <v>0</v>
      </c>
      <c r="H780" s="54">
        <v>0</v>
      </c>
    </row>
    <row r="781" spans="1:8" x14ac:dyDescent="0.2">
      <c r="A781" s="54" t="s">
        <v>851</v>
      </c>
      <c r="B781" s="54">
        <v>236186</v>
      </c>
      <c r="C781" s="54">
        <v>8</v>
      </c>
      <c r="D781" s="54">
        <v>8</v>
      </c>
      <c r="E781" s="54">
        <v>4</v>
      </c>
      <c r="F781" s="54">
        <v>0</v>
      </c>
      <c r="G781" s="54">
        <v>0</v>
      </c>
      <c r="H781" s="54">
        <v>0</v>
      </c>
    </row>
    <row r="782" spans="1:8" x14ac:dyDescent="0.2">
      <c r="A782" s="54" t="s">
        <v>852</v>
      </c>
      <c r="B782" s="54">
        <v>472541</v>
      </c>
      <c r="C782" s="54">
        <v>8</v>
      </c>
      <c r="D782" s="54">
        <v>8</v>
      </c>
      <c r="E782" s="54">
        <v>4</v>
      </c>
      <c r="F782" s="54">
        <v>0</v>
      </c>
      <c r="G782" s="54">
        <v>0</v>
      </c>
      <c r="H782" s="54">
        <v>0</v>
      </c>
    </row>
    <row r="783" spans="1:8" x14ac:dyDescent="0.2">
      <c r="A783" s="54" t="s">
        <v>853</v>
      </c>
      <c r="B783" s="54">
        <v>470764</v>
      </c>
      <c r="C783" s="54">
        <v>8</v>
      </c>
      <c r="D783" s="54">
        <v>10</v>
      </c>
      <c r="E783" s="54">
        <v>5</v>
      </c>
      <c r="F783" s="54">
        <v>0</v>
      </c>
      <c r="G783" s="54">
        <v>0</v>
      </c>
      <c r="H783" s="54">
        <v>0</v>
      </c>
    </row>
    <row r="784" spans="1:8" x14ac:dyDescent="0.2">
      <c r="A784" s="54" t="s">
        <v>854</v>
      </c>
      <c r="B784" s="54">
        <v>198166</v>
      </c>
      <c r="C784" s="54">
        <v>8</v>
      </c>
      <c r="D784" s="54">
        <v>8</v>
      </c>
      <c r="E784" s="54">
        <v>5</v>
      </c>
      <c r="F784" s="54">
        <v>0</v>
      </c>
      <c r="G784" s="54">
        <v>0</v>
      </c>
      <c r="H784" s="54">
        <v>0</v>
      </c>
    </row>
    <row r="785" spans="1:8" x14ac:dyDescent="0.2">
      <c r="A785" s="54" t="s">
        <v>855</v>
      </c>
      <c r="B785" s="54">
        <v>109085</v>
      </c>
      <c r="C785" s="54">
        <v>9</v>
      </c>
      <c r="D785" s="54">
        <v>8</v>
      </c>
      <c r="E785" s="54">
        <v>1</v>
      </c>
      <c r="F785" s="54">
        <v>0</v>
      </c>
      <c r="G785" s="54">
        <v>0</v>
      </c>
      <c r="H785" s="54">
        <v>0</v>
      </c>
    </row>
    <row r="786" spans="1:8" x14ac:dyDescent="0.2">
      <c r="A786" s="54" t="s">
        <v>856</v>
      </c>
      <c r="B786" s="54">
        <v>155268</v>
      </c>
      <c r="C786" s="54">
        <v>9</v>
      </c>
      <c r="D786" s="54">
        <v>9</v>
      </c>
      <c r="E786" s="54">
        <v>1</v>
      </c>
      <c r="F786" s="54">
        <v>0</v>
      </c>
      <c r="G786" s="54">
        <v>17</v>
      </c>
      <c r="H786" s="54">
        <v>41</v>
      </c>
    </row>
    <row r="787" spans="1:8" x14ac:dyDescent="0.2">
      <c r="A787" s="54" t="s">
        <v>857</v>
      </c>
      <c r="B787" s="54">
        <v>149648</v>
      </c>
      <c r="C787" s="54">
        <v>9</v>
      </c>
      <c r="D787" s="54">
        <v>30</v>
      </c>
      <c r="E787" s="54">
        <v>2</v>
      </c>
      <c r="F787" s="54">
        <v>0</v>
      </c>
      <c r="G787" s="54">
        <v>4</v>
      </c>
      <c r="H787" s="54">
        <v>0</v>
      </c>
    </row>
    <row r="788" spans="1:8" x14ac:dyDescent="0.2">
      <c r="A788" s="54" t="s">
        <v>858</v>
      </c>
      <c r="B788" s="54">
        <v>600593</v>
      </c>
      <c r="C788" s="54">
        <v>9</v>
      </c>
      <c r="D788" s="54">
        <v>9</v>
      </c>
      <c r="E788" s="54">
        <v>2</v>
      </c>
      <c r="F788" s="54">
        <v>12</v>
      </c>
      <c r="G788" s="54">
        <v>0</v>
      </c>
      <c r="H788" s="54">
        <v>0</v>
      </c>
    </row>
    <row r="789" spans="1:8" x14ac:dyDescent="0.2">
      <c r="A789" s="54" t="s">
        <v>859</v>
      </c>
      <c r="B789" s="54">
        <v>113500</v>
      </c>
      <c r="C789" s="54">
        <v>9</v>
      </c>
      <c r="D789" s="54">
        <v>10</v>
      </c>
      <c r="E789" s="54">
        <v>2</v>
      </c>
      <c r="F789" s="54">
        <v>0</v>
      </c>
      <c r="G789" s="54">
        <v>0</v>
      </c>
      <c r="H789" s="54">
        <v>0</v>
      </c>
    </row>
    <row r="790" spans="1:8" x14ac:dyDescent="0.2">
      <c r="A790" s="54" t="s">
        <v>860</v>
      </c>
      <c r="B790" s="54">
        <v>140244</v>
      </c>
      <c r="C790" s="54">
        <v>9</v>
      </c>
      <c r="D790" s="54">
        <v>8</v>
      </c>
      <c r="E790" s="54">
        <v>2</v>
      </c>
      <c r="F790" s="54">
        <v>0</v>
      </c>
      <c r="G790" s="54">
        <v>0</v>
      </c>
      <c r="H790" s="54">
        <v>0</v>
      </c>
    </row>
    <row r="791" spans="1:8" x14ac:dyDescent="0.2">
      <c r="A791" s="54" t="s">
        <v>861</v>
      </c>
      <c r="B791" s="54">
        <v>164265</v>
      </c>
      <c r="C791" s="54">
        <v>9</v>
      </c>
      <c r="D791" s="54">
        <v>8</v>
      </c>
      <c r="E791" s="54">
        <v>2</v>
      </c>
      <c r="F791" s="54">
        <v>0</v>
      </c>
      <c r="G791" s="54">
        <v>1</v>
      </c>
      <c r="H791" s="54">
        <v>53</v>
      </c>
    </row>
    <row r="792" spans="1:8" x14ac:dyDescent="0.2">
      <c r="A792" s="54" t="s">
        <v>862</v>
      </c>
      <c r="B792" s="54">
        <v>317802</v>
      </c>
      <c r="C792" s="54">
        <v>9</v>
      </c>
      <c r="D792" s="54">
        <v>1</v>
      </c>
      <c r="E792" s="54">
        <v>3</v>
      </c>
      <c r="F792" s="54">
        <v>0</v>
      </c>
      <c r="G792" s="54">
        <v>0</v>
      </c>
      <c r="H792" s="54">
        <v>0</v>
      </c>
    </row>
    <row r="793" spans="1:8" x14ac:dyDescent="0.2">
      <c r="A793" s="54" t="s">
        <v>863</v>
      </c>
      <c r="B793" s="54">
        <v>106525</v>
      </c>
      <c r="C793" s="54">
        <v>9</v>
      </c>
      <c r="D793" s="54">
        <v>9</v>
      </c>
      <c r="E793" s="54">
        <v>3</v>
      </c>
      <c r="F793" s="54">
        <v>3</v>
      </c>
      <c r="G793" s="54">
        <v>1</v>
      </c>
      <c r="H793" s="54">
        <v>2</v>
      </c>
    </row>
    <row r="794" spans="1:8" x14ac:dyDescent="0.2">
      <c r="A794" s="54" t="s">
        <v>864</v>
      </c>
      <c r="B794" s="54">
        <v>328319</v>
      </c>
      <c r="C794" s="54">
        <v>9</v>
      </c>
      <c r="D794" s="54">
        <v>9</v>
      </c>
      <c r="E794" s="54">
        <v>3</v>
      </c>
      <c r="F794" s="54">
        <v>0</v>
      </c>
      <c r="G794" s="54">
        <v>0</v>
      </c>
      <c r="H794" s="54">
        <v>0</v>
      </c>
    </row>
    <row r="795" spans="1:8" x14ac:dyDescent="0.2">
      <c r="A795" s="54" t="s">
        <v>865</v>
      </c>
      <c r="B795" s="54">
        <v>125286</v>
      </c>
      <c r="C795" s="54">
        <v>9</v>
      </c>
      <c r="D795" s="54">
        <v>9</v>
      </c>
      <c r="E795" s="54">
        <v>3</v>
      </c>
      <c r="F795" s="54">
        <v>0</v>
      </c>
      <c r="G795" s="54">
        <v>0</v>
      </c>
      <c r="H795" s="54">
        <v>0</v>
      </c>
    </row>
    <row r="796" spans="1:8" x14ac:dyDescent="0.2">
      <c r="A796" s="54" t="s">
        <v>866</v>
      </c>
      <c r="B796" s="54">
        <v>305582</v>
      </c>
      <c r="C796" s="54">
        <v>9</v>
      </c>
      <c r="D796" s="54">
        <v>9</v>
      </c>
      <c r="E796" s="54">
        <v>5</v>
      </c>
      <c r="F796" s="54">
        <v>0</v>
      </c>
      <c r="G796" s="54">
        <v>11</v>
      </c>
      <c r="H796" s="54">
        <v>9</v>
      </c>
    </row>
    <row r="797" spans="1:8" x14ac:dyDescent="0.2">
      <c r="A797" s="54" t="s">
        <v>867</v>
      </c>
      <c r="B797" s="54">
        <v>110825</v>
      </c>
      <c r="C797" s="54">
        <v>9</v>
      </c>
      <c r="D797" s="54">
        <v>8</v>
      </c>
      <c r="E797" s="54">
        <v>5</v>
      </c>
      <c r="F797" s="54">
        <v>7</v>
      </c>
      <c r="G797" s="54">
        <v>12</v>
      </c>
      <c r="H797" s="54">
        <v>14</v>
      </c>
    </row>
    <row r="798" spans="1:8" x14ac:dyDescent="0.2">
      <c r="A798" s="54" t="s">
        <v>868</v>
      </c>
      <c r="B798" s="54">
        <v>470041</v>
      </c>
      <c r="C798" s="54">
        <v>10</v>
      </c>
      <c r="D798" s="54">
        <v>8</v>
      </c>
      <c r="E798" s="54">
        <v>1</v>
      </c>
      <c r="F798" s="54">
        <v>0</v>
      </c>
      <c r="G798" s="54">
        <v>0</v>
      </c>
      <c r="H798" s="54">
        <v>0</v>
      </c>
    </row>
    <row r="799" spans="1:8" x14ac:dyDescent="0.2">
      <c r="A799" s="54" t="s">
        <v>869</v>
      </c>
      <c r="B799" s="54">
        <v>305183</v>
      </c>
      <c r="C799" s="54">
        <v>10</v>
      </c>
      <c r="D799" s="54">
        <v>10</v>
      </c>
      <c r="E799" s="54">
        <v>1</v>
      </c>
      <c r="F799" s="54">
        <v>25</v>
      </c>
      <c r="G799" s="54">
        <v>5</v>
      </c>
      <c r="H799" s="54">
        <v>0</v>
      </c>
    </row>
    <row r="800" spans="1:8" x14ac:dyDescent="0.2">
      <c r="A800" s="54" t="s">
        <v>870</v>
      </c>
      <c r="B800" s="54">
        <v>476352</v>
      </c>
      <c r="C800" s="54">
        <v>10</v>
      </c>
      <c r="D800" s="54">
        <v>10</v>
      </c>
      <c r="E800" s="54">
        <v>1</v>
      </c>
      <c r="F800" s="54">
        <v>0</v>
      </c>
      <c r="G800" s="54">
        <v>16</v>
      </c>
      <c r="H800" s="54">
        <v>0</v>
      </c>
    </row>
    <row r="801" spans="1:8" x14ac:dyDescent="0.2">
      <c r="A801" s="54" t="s">
        <v>871</v>
      </c>
      <c r="B801" s="54">
        <v>508610</v>
      </c>
      <c r="C801" s="54">
        <v>10</v>
      </c>
      <c r="D801" s="54">
        <v>10</v>
      </c>
      <c r="E801" s="54">
        <v>1</v>
      </c>
      <c r="F801" s="54">
        <v>0</v>
      </c>
      <c r="G801" s="54">
        <v>0</v>
      </c>
      <c r="H801" s="54">
        <v>0</v>
      </c>
    </row>
    <row r="802" spans="1:8" x14ac:dyDescent="0.2">
      <c r="A802" s="54" t="s">
        <v>872</v>
      </c>
      <c r="B802" s="54">
        <v>448018</v>
      </c>
      <c r="C802" s="54">
        <v>10</v>
      </c>
      <c r="D802" s="54">
        <v>10</v>
      </c>
      <c r="E802" s="54">
        <v>1</v>
      </c>
      <c r="F802" s="54">
        <v>5</v>
      </c>
      <c r="G802" s="54">
        <v>2</v>
      </c>
      <c r="H802" s="54">
        <v>0</v>
      </c>
    </row>
    <row r="803" spans="1:8" x14ac:dyDescent="0.2">
      <c r="A803" s="54" t="s">
        <v>873</v>
      </c>
      <c r="B803" s="54">
        <v>110838</v>
      </c>
      <c r="C803" s="54">
        <v>10</v>
      </c>
      <c r="D803" s="54">
        <v>10</v>
      </c>
      <c r="E803" s="54">
        <v>1</v>
      </c>
      <c r="F803" s="54">
        <v>0</v>
      </c>
      <c r="G803" s="54">
        <v>20</v>
      </c>
      <c r="H803" s="54">
        <v>28</v>
      </c>
    </row>
    <row r="804" spans="1:8" x14ac:dyDescent="0.2">
      <c r="A804" s="54" t="s">
        <v>874</v>
      </c>
      <c r="B804" s="54">
        <v>112309</v>
      </c>
      <c r="C804" s="54">
        <v>10</v>
      </c>
      <c r="D804" s="54">
        <v>10</v>
      </c>
      <c r="E804" s="54">
        <v>1</v>
      </c>
      <c r="F804" s="54">
        <v>0</v>
      </c>
      <c r="G804" s="54">
        <v>0</v>
      </c>
      <c r="H804" s="54">
        <v>0</v>
      </c>
    </row>
    <row r="805" spans="1:8" x14ac:dyDescent="0.2">
      <c r="A805" s="54" t="s">
        <v>875</v>
      </c>
      <c r="B805" s="54">
        <v>242096</v>
      </c>
      <c r="C805" s="54">
        <v>10</v>
      </c>
      <c r="D805" s="54">
        <v>10</v>
      </c>
      <c r="E805" s="54">
        <v>1</v>
      </c>
      <c r="F805" s="54">
        <v>0</v>
      </c>
      <c r="G805" s="54">
        <v>0</v>
      </c>
      <c r="H805" s="54">
        <v>0</v>
      </c>
    </row>
    <row r="806" spans="1:8" x14ac:dyDescent="0.2">
      <c r="A806" s="54" t="s">
        <v>876</v>
      </c>
      <c r="B806" s="54">
        <v>126651</v>
      </c>
      <c r="C806" s="54">
        <v>10</v>
      </c>
      <c r="D806" s="54">
        <v>10</v>
      </c>
      <c r="E806" s="54">
        <v>1</v>
      </c>
      <c r="F806" s="54">
        <v>0</v>
      </c>
      <c r="G806" s="54">
        <v>0</v>
      </c>
      <c r="H806" s="54">
        <v>0</v>
      </c>
    </row>
    <row r="807" spans="1:8" x14ac:dyDescent="0.2">
      <c r="A807" s="54" t="s">
        <v>877</v>
      </c>
      <c r="B807" s="54">
        <v>327717</v>
      </c>
      <c r="C807" s="54">
        <v>10</v>
      </c>
      <c r="D807" s="54">
        <v>10</v>
      </c>
      <c r="E807" s="54">
        <v>1</v>
      </c>
      <c r="F807" s="54">
        <v>0</v>
      </c>
      <c r="G807" s="54">
        <v>0</v>
      </c>
      <c r="H807" s="54">
        <v>0</v>
      </c>
    </row>
    <row r="808" spans="1:8" x14ac:dyDescent="0.2">
      <c r="A808" s="54" t="s">
        <v>878</v>
      </c>
      <c r="B808" s="54">
        <v>110777</v>
      </c>
      <c r="C808" s="54">
        <v>10</v>
      </c>
      <c r="D808" s="54">
        <v>39</v>
      </c>
      <c r="E808" s="54">
        <v>2</v>
      </c>
      <c r="F808" s="54">
        <v>49</v>
      </c>
      <c r="G808" s="54">
        <v>21</v>
      </c>
      <c r="H808" s="54">
        <v>0</v>
      </c>
    </row>
    <row r="809" spans="1:8" x14ac:dyDescent="0.2">
      <c r="A809" s="54" t="s">
        <v>879</v>
      </c>
      <c r="B809" s="54">
        <v>473714</v>
      </c>
      <c r="C809" s="54">
        <v>10</v>
      </c>
      <c r="D809" s="54">
        <v>10</v>
      </c>
      <c r="E809" s="54">
        <v>2</v>
      </c>
      <c r="F809" s="54">
        <v>12</v>
      </c>
      <c r="G809" s="54">
        <v>9</v>
      </c>
      <c r="H809" s="54">
        <v>0</v>
      </c>
    </row>
    <row r="810" spans="1:8" x14ac:dyDescent="0.2">
      <c r="A810" s="54" t="s">
        <v>880</v>
      </c>
      <c r="B810" s="54">
        <v>198541</v>
      </c>
      <c r="C810" s="54">
        <v>10</v>
      </c>
      <c r="D810" s="54">
        <v>1</v>
      </c>
      <c r="E810" s="54">
        <v>2</v>
      </c>
      <c r="F810" s="54">
        <v>45</v>
      </c>
      <c r="G810" s="54">
        <v>204</v>
      </c>
      <c r="H810" s="54">
        <v>33</v>
      </c>
    </row>
    <row r="811" spans="1:8" x14ac:dyDescent="0.2">
      <c r="A811" s="54" t="s">
        <v>881</v>
      </c>
      <c r="B811" s="54">
        <v>110012</v>
      </c>
      <c r="C811" s="54">
        <v>10</v>
      </c>
      <c r="D811" s="54">
        <v>10</v>
      </c>
      <c r="E811" s="54">
        <v>2</v>
      </c>
      <c r="F811" s="54">
        <v>1</v>
      </c>
      <c r="G811" s="54">
        <v>0</v>
      </c>
      <c r="H811" s="54">
        <v>0</v>
      </c>
    </row>
    <row r="812" spans="1:8" x14ac:dyDescent="0.2">
      <c r="A812" s="54" t="s">
        <v>882</v>
      </c>
      <c r="B812" s="54">
        <v>309173</v>
      </c>
      <c r="C812" s="54">
        <v>10</v>
      </c>
      <c r="D812" s="54">
        <v>7</v>
      </c>
      <c r="E812" s="54">
        <v>2</v>
      </c>
      <c r="F812" s="54">
        <v>14</v>
      </c>
      <c r="G812" s="54">
        <v>5</v>
      </c>
      <c r="H812" s="54">
        <v>0</v>
      </c>
    </row>
    <row r="813" spans="1:8" x14ac:dyDescent="0.2">
      <c r="A813" s="54" t="s">
        <v>883</v>
      </c>
      <c r="B813" s="54">
        <v>232925</v>
      </c>
      <c r="C813" s="54">
        <v>10</v>
      </c>
      <c r="D813" s="54">
        <v>10</v>
      </c>
      <c r="E813" s="54">
        <v>3</v>
      </c>
      <c r="F813" s="54">
        <v>20</v>
      </c>
      <c r="G813" s="54">
        <v>1</v>
      </c>
      <c r="H813" s="54">
        <v>0</v>
      </c>
    </row>
    <row r="814" spans="1:8" x14ac:dyDescent="0.2">
      <c r="A814" s="54" t="s">
        <v>884</v>
      </c>
      <c r="B814" s="54">
        <v>546361</v>
      </c>
      <c r="C814" s="54">
        <v>10</v>
      </c>
      <c r="D814" s="54">
        <v>10</v>
      </c>
      <c r="E814" s="54">
        <v>3</v>
      </c>
      <c r="F814" s="54">
        <v>2</v>
      </c>
      <c r="G814" s="54">
        <v>0</v>
      </c>
      <c r="H814" s="54">
        <v>0</v>
      </c>
    </row>
    <row r="815" spans="1:8" x14ac:dyDescent="0.2">
      <c r="A815" s="54" t="s">
        <v>885</v>
      </c>
      <c r="B815" s="54">
        <v>115480</v>
      </c>
      <c r="C815" s="54">
        <v>10</v>
      </c>
      <c r="D815" s="54">
        <v>15</v>
      </c>
      <c r="E815" s="54">
        <v>3</v>
      </c>
      <c r="F815" s="54">
        <v>0</v>
      </c>
      <c r="G815" s="54">
        <v>0</v>
      </c>
      <c r="H815" s="54">
        <v>0</v>
      </c>
    </row>
    <row r="816" spans="1:8" x14ac:dyDescent="0.2">
      <c r="A816" s="54" t="s">
        <v>886</v>
      </c>
      <c r="B816" s="54">
        <v>466424</v>
      </c>
      <c r="C816" s="54">
        <v>10</v>
      </c>
      <c r="D816" s="54">
        <v>24</v>
      </c>
      <c r="E816" s="54">
        <v>3</v>
      </c>
      <c r="F816" s="54">
        <v>0</v>
      </c>
      <c r="G816" s="54">
        <v>0</v>
      </c>
      <c r="H816" s="54">
        <v>0</v>
      </c>
    </row>
    <row r="817" spans="1:8" x14ac:dyDescent="0.2">
      <c r="A817" s="54" t="s">
        <v>887</v>
      </c>
      <c r="B817" s="54">
        <v>233432</v>
      </c>
      <c r="C817" s="54">
        <v>10</v>
      </c>
      <c r="D817" s="54">
        <v>10</v>
      </c>
      <c r="E817" s="54">
        <v>3</v>
      </c>
      <c r="F817" s="54">
        <v>0</v>
      </c>
      <c r="G817" s="54">
        <v>29</v>
      </c>
      <c r="H817" s="54">
        <v>14</v>
      </c>
    </row>
    <row r="818" spans="1:8" x14ac:dyDescent="0.2">
      <c r="A818" s="54" t="s">
        <v>888</v>
      </c>
      <c r="B818" s="54">
        <v>322144</v>
      </c>
      <c r="C818" s="54">
        <v>10</v>
      </c>
      <c r="D818" s="54">
        <v>7</v>
      </c>
      <c r="E818" s="54">
        <v>4</v>
      </c>
      <c r="F818" s="54">
        <v>6</v>
      </c>
      <c r="G818" s="54">
        <v>0</v>
      </c>
      <c r="H818" s="54">
        <v>0</v>
      </c>
    </row>
    <row r="819" spans="1:8" x14ac:dyDescent="0.2">
      <c r="A819" s="54" t="s">
        <v>889</v>
      </c>
      <c r="B819" s="54">
        <v>469988</v>
      </c>
      <c r="C819" s="54">
        <v>10</v>
      </c>
      <c r="D819" s="54">
        <v>10</v>
      </c>
      <c r="E819" s="54">
        <v>5</v>
      </c>
      <c r="F819" s="54">
        <v>22</v>
      </c>
      <c r="G819" s="54">
        <v>0</v>
      </c>
      <c r="H819" s="54">
        <v>0</v>
      </c>
    </row>
    <row r="820" spans="1:8" x14ac:dyDescent="0.2">
      <c r="A820" s="54" t="s">
        <v>890</v>
      </c>
      <c r="B820" s="54">
        <v>110554</v>
      </c>
      <c r="C820" s="54">
        <v>10</v>
      </c>
      <c r="D820" s="54">
        <v>7</v>
      </c>
      <c r="E820" s="54">
        <v>5</v>
      </c>
      <c r="F820" s="54">
        <v>0</v>
      </c>
      <c r="G820" s="54">
        <v>0</v>
      </c>
      <c r="H820" s="54">
        <v>0</v>
      </c>
    </row>
    <row r="821" spans="1:8" x14ac:dyDescent="0.2">
      <c r="A821" s="54" t="s">
        <v>891</v>
      </c>
      <c r="B821" s="54">
        <v>487525</v>
      </c>
      <c r="C821" s="54">
        <v>10</v>
      </c>
      <c r="D821" s="54">
        <v>10</v>
      </c>
      <c r="E821" s="54">
        <v>5</v>
      </c>
      <c r="F821" s="54">
        <v>13</v>
      </c>
      <c r="G821" s="54">
        <v>0</v>
      </c>
      <c r="H821" s="54">
        <v>0</v>
      </c>
    </row>
    <row r="822" spans="1:8" x14ac:dyDescent="0.2">
      <c r="A822" s="54" t="s">
        <v>892</v>
      </c>
      <c r="B822" s="54">
        <v>191881</v>
      </c>
      <c r="C822" s="54">
        <v>10</v>
      </c>
      <c r="D822" s="54">
        <v>9</v>
      </c>
      <c r="E822" s="54">
        <v>5</v>
      </c>
      <c r="F822" s="54">
        <v>0</v>
      </c>
      <c r="G822" s="54">
        <v>0</v>
      </c>
      <c r="H822" s="54">
        <v>0</v>
      </c>
    </row>
    <row r="823" spans="1:8" x14ac:dyDescent="0.2">
      <c r="A823" s="54" t="s">
        <v>893</v>
      </c>
      <c r="B823" s="54">
        <v>113133</v>
      </c>
      <c r="C823" s="54">
        <v>10</v>
      </c>
      <c r="D823" s="54">
        <v>12</v>
      </c>
      <c r="E823" s="54">
        <v>0</v>
      </c>
      <c r="F823" s="54">
        <v>0</v>
      </c>
      <c r="G823" s="54">
        <v>0</v>
      </c>
      <c r="H823" s="54">
        <v>0</v>
      </c>
    </row>
    <row r="824" spans="1:8" x14ac:dyDescent="0.2">
      <c r="A824" s="54" t="s">
        <v>894</v>
      </c>
      <c r="B824" s="54">
        <v>144671</v>
      </c>
      <c r="C824" s="54">
        <v>10</v>
      </c>
      <c r="D824" s="54">
        <v>7</v>
      </c>
      <c r="E824" s="54">
        <v>0</v>
      </c>
      <c r="F824" s="54">
        <v>0</v>
      </c>
      <c r="G824" s="54">
        <v>0</v>
      </c>
      <c r="H824" s="54">
        <v>0</v>
      </c>
    </row>
    <row r="825" spans="1:8" x14ac:dyDescent="0.2">
      <c r="A825" s="54" t="s">
        <v>895</v>
      </c>
      <c r="B825" s="54">
        <v>232200</v>
      </c>
      <c r="C825" s="54">
        <v>10</v>
      </c>
      <c r="D825" s="54">
        <v>16</v>
      </c>
      <c r="E825" s="54">
        <v>0</v>
      </c>
      <c r="F825" s="54">
        <v>0</v>
      </c>
      <c r="G825" s="54">
        <v>0</v>
      </c>
      <c r="H825" s="54">
        <v>0</v>
      </c>
    </row>
    <row r="826" spans="1:8" x14ac:dyDescent="0.2">
      <c r="A826" s="54" t="s">
        <v>896</v>
      </c>
      <c r="B826" s="54">
        <v>107916</v>
      </c>
      <c r="C826" s="54">
        <v>11</v>
      </c>
      <c r="D826" s="54">
        <v>8</v>
      </c>
      <c r="E826" s="54">
        <v>1</v>
      </c>
      <c r="F826" s="54">
        <v>0</v>
      </c>
      <c r="G826" s="54">
        <v>0</v>
      </c>
      <c r="H826" s="54">
        <v>0</v>
      </c>
    </row>
    <row r="827" spans="1:8" x14ac:dyDescent="0.2">
      <c r="A827" s="54" t="s">
        <v>897</v>
      </c>
      <c r="B827" s="54">
        <v>460768</v>
      </c>
      <c r="C827" s="54">
        <v>11</v>
      </c>
      <c r="D827" s="54">
        <v>11</v>
      </c>
      <c r="E827" s="54">
        <v>2</v>
      </c>
      <c r="F827" s="54">
        <v>0</v>
      </c>
      <c r="G827" s="54">
        <v>9</v>
      </c>
      <c r="H827" s="54">
        <v>0</v>
      </c>
    </row>
    <row r="828" spans="1:8" x14ac:dyDescent="0.2">
      <c r="A828" s="54" t="s">
        <v>898</v>
      </c>
      <c r="B828" s="54">
        <v>301497</v>
      </c>
      <c r="C828" s="54">
        <v>11</v>
      </c>
      <c r="D828" s="54">
        <v>7</v>
      </c>
      <c r="E828" s="54">
        <v>2</v>
      </c>
      <c r="F828" s="54">
        <v>16</v>
      </c>
      <c r="G828" s="54">
        <v>0</v>
      </c>
      <c r="H828" s="54">
        <v>43</v>
      </c>
    </row>
    <row r="829" spans="1:8" x14ac:dyDescent="0.2">
      <c r="A829" s="54" t="s">
        <v>899</v>
      </c>
      <c r="B829" s="54">
        <v>110505</v>
      </c>
      <c r="C829" s="54">
        <v>11</v>
      </c>
      <c r="D829" s="54">
        <v>11</v>
      </c>
      <c r="E829" s="54">
        <v>2</v>
      </c>
      <c r="F829" s="54">
        <v>10</v>
      </c>
      <c r="G829" s="54">
        <v>2</v>
      </c>
      <c r="H829" s="54">
        <v>1</v>
      </c>
    </row>
    <row r="830" spans="1:8" x14ac:dyDescent="0.2">
      <c r="A830" s="54" t="s">
        <v>900</v>
      </c>
      <c r="B830" s="54">
        <v>477343</v>
      </c>
      <c r="C830" s="54">
        <v>11</v>
      </c>
      <c r="D830" s="54">
        <v>11</v>
      </c>
      <c r="E830" s="54">
        <v>3</v>
      </c>
      <c r="F830" s="54">
        <v>0</v>
      </c>
      <c r="G830" s="54">
        <v>0</v>
      </c>
      <c r="H830" s="54">
        <v>0</v>
      </c>
    </row>
    <row r="831" spans="1:8" x14ac:dyDescent="0.2">
      <c r="A831" s="54" t="s">
        <v>901</v>
      </c>
      <c r="B831" s="54">
        <v>108428</v>
      </c>
      <c r="C831" s="54">
        <v>11</v>
      </c>
      <c r="D831" s="54">
        <v>21</v>
      </c>
      <c r="E831" s="54">
        <v>3</v>
      </c>
      <c r="F831" s="54">
        <v>0</v>
      </c>
      <c r="G831" s="54">
        <v>0</v>
      </c>
      <c r="H831" s="54">
        <v>8</v>
      </c>
    </row>
    <row r="832" spans="1:8" x14ac:dyDescent="0.2">
      <c r="A832" s="54" t="s">
        <v>902</v>
      </c>
      <c r="B832" s="54">
        <v>509692</v>
      </c>
      <c r="C832" s="54">
        <v>11</v>
      </c>
      <c r="D832" s="54">
        <v>26</v>
      </c>
      <c r="E832" s="54">
        <v>5</v>
      </c>
      <c r="F832" s="54">
        <v>16</v>
      </c>
      <c r="G832" s="54">
        <v>12</v>
      </c>
      <c r="H832" s="54">
        <v>0</v>
      </c>
    </row>
    <row r="833" spans="1:8" x14ac:dyDescent="0.2">
      <c r="A833" s="54" t="s">
        <v>903</v>
      </c>
      <c r="B833" s="54">
        <v>456321</v>
      </c>
      <c r="C833" s="54">
        <v>11</v>
      </c>
      <c r="D833" s="54">
        <v>10</v>
      </c>
      <c r="E833" s="54">
        <v>0</v>
      </c>
      <c r="F833" s="54">
        <v>0</v>
      </c>
      <c r="G833" s="54">
        <v>0</v>
      </c>
      <c r="H833" s="54">
        <v>0</v>
      </c>
    </row>
    <row r="834" spans="1:8" x14ac:dyDescent="0.2">
      <c r="A834" s="54" t="s">
        <v>904</v>
      </c>
      <c r="B834" s="54">
        <v>485006</v>
      </c>
      <c r="C834" s="54">
        <v>11</v>
      </c>
      <c r="D834" s="54">
        <v>20</v>
      </c>
      <c r="E834" s="54">
        <v>0</v>
      </c>
      <c r="F834" s="54">
        <v>0</v>
      </c>
      <c r="G834" s="54">
        <v>0</v>
      </c>
      <c r="H834" s="54">
        <v>0</v>
      </c>
    </row>
    <row r="835" spans="1:8" x14ac:dyDescent="0.2">
      <c r="A835" s="54" t="s">
        <v>905</v>
      </c>
      <c r="B835" s="54">
        <v>323370</v>
      </c>
      <c r="C835" s="54">
        <v>12</v>
      </c>
      <c r="D835" s="54">
        <v>12</v>
      </c>
      <c r="E835" s="54">
        <v>1</v>
      </c>
      <c r="F835" s="54">
        <v>3</v>
      </c>
      <c r="G835" s="54">
        <v>0</v>
      </c>
      <c r="H835" s="54">
        <v>0</v>
      </c>
    </row>
    <row r="836" spans="1:8" x14ac:dyDescent="0.2">
      <c r="A836" s="54" t="s">
        <v>906</v>
      </c>
      <c r="B836" s="54">
        <v>106051</v>
      </c>
      <c r="C836" s="54">
        <v>12</v>
      </c>
      <c r="D836" s="54">
        <v>11</v>
      </c>
      <c r="E836" s="54">
        <v>1</v>
      </c>
      <c r="F836" s="54">
        <v>0</v>
      </c>
      <c r="G836" s="54">
        <v>0</v>
      </c>
      <c r="H836" s="54">
        <v>23</v>
      </c>
    </row>
    <row r="837" spans="1:8" x14ac:dyDescent="0.2">
      <c r="A837" s="54" t="s">
        <v>907</v>
      </c>
      <c r="B837" s="54">
        <v>477147</v>
      </c>
      <c r="C837" s="54">
        <v>12</v>
      </c>
      <c r="D837" s="54">
        <v>16</v>
      </c>
      <c r="E837" s="54">
        <v>1</v>
      </c>
      <c r="F837" s="54">
        <v>0</v>
      </c>
      <c r="G837" s="54">
        <v>0</v>
      </c>
      <c r="H837" s="54">
        <v>0</v>
      </c>
    </row>
    <row r="838" spans="1:8" x14ac:dyDescent="0.2">
      <c r="A838" s="54" t="s">
        <v>908</v>
      </c>
      <c r="B838" s="54">
        <v>115693</v>
      </c>
      <c r="C838" s="54">
        <v>12</v>
      </c>
      <c r="D838" s="54">
        <v>11</v>
      </c>
      <c r="E838" s="54">
        <v>2</v>
      </c>
      <c r="F838" s="54">
        <v>0</v>
      </c>
      <c r="G838" s="54">
        <v>0</v>
      </c>
      <c r="H838" s="54">
        <v>0</v>
      </c>
    </row>
    <row r="839" spans="1:8" x14ac:dyDescent="0.2">
      <c r="A839" s="54" t="s">
        <v>909</v>
      </c>
      <c r="B839" s="54">
        <v>110342</v>
      </c>
      <c r="C839" s="54">
        <v>12</v>
      </c>
      <c r="D839" s="54">
        <v>11</v>
      </c>
      <c r="E839" s="54">
        <v>3</v>
      </c>
      <c r="F839" s="54">
        <v>3</v>
      </c>
      <c r="G839" s="54">
        <v>0</v>
      </c>
      <c r="H839" s="54">
        <v>0</v>
      </c>
    </row>
    <row r="840" spans="1:8" x14ac:dyDescent="0.2">
      <c r="A840" s="54" t="s">
        <v>910</v>
      </c>
      <c r="B840" s="54">
        <v>206493</v>
      </c>
      <c r="C840" s="54">
        <v>12</v>
      </c>
      <c r="D840" s="54">
        <v>2</v>
      </c>
      <c r="E840" s="54">
        <v>3</v>
      </c>
      <c r="F840" s="54">
        <v>0</v>
      </c>
      <c r="G840" s="54">
        <v>0</v>
      </c>
      <c r="H840" s="54">
        <v>0</v>
      </c>
    </row>
    <row r="841" spans="1:8" x14ac:dyDescent="0.2">
      <c r="A841" s="54" t="s">
        <v>911</v>
      </c>
      <c r="B841" s="54">
        <v>480740</v>
      </c>
      <c r="C841" s="54">
        <v>12</v>
      </c>
      <c r="D841" s="54">
        <v>6</v>
      </c>
      <c r="E841" s="54">
        <v>4</v>
      </c>
      <c r="F841" s="54">
        <v>12</v>
      </c>
      <c r="G841" s="54">
        <v>0</v>
      </c>
      <c r="H841" s="54">
        <v>21</v>
      </c>
    </row>
    <row r="842" spans="1:8" x14ac:dyDescent="0.2">
      <c r="A842" s="54" t="s">
        <v>912</v>
      </c>
      <c r="B842" s="54">
        <v>148352</v>
      </c>
      <c r="C842" s="54">
        <v>12</v>
      </c>
      <c r="D842" s="54">
        <v>12</v>
      </c>
      <c r="E842" s="54">
        <v>5</v>
      </c>
      <c r="F842" s="54">
        <v>0</v>
      </c>
      <c r="G842" s="54">
        <v>0</v>
      </c>
      <c r="H842" s="54">
        <v>0</v>
      </c>
    </row>
    <row r="843" spans="1:8" x14ac:dyDescent="0.2">
      <c r="A843" s="54" t="s">
        <v>913</v>
      </c>
      <c r="B843" s="54">
        <v>309450</v>
      </c>
      <c r="C843" s="54">
        <v>12</v>
      </c>
      <c r="D843" s="54">
        <v>14</v>
      </c>
      <c r="E843" s="54">
        <v>5</v>
      </c>
      <c r="F843" s="54">
        <v>0</v>
      </c>
      <c r="G843" s="54">
        <v>0</v>
      </c>
      <c r="H843" s="54">
        <v>0</v>
      </c>
    </row>
    <row r="844" spans="1:8" x14ac:dyDescent="0.2">
      <c r="A844" s="54" t="s">
        <v>914</v>
      </c>
      <c r="B844" s="54">
        <v>112563</v>
      </c>
      <c r="C844" s="54">
        <v>12</v>
      </c>
      <c r="D844" s="54">
        <v>23</v>
      </c>
      <c r="E844" s="54">
        <v>0</v>
      </c>
      <c r="F844" s="54">
        <v>0</v>
      </c>
      <c r="G844" s="54">
        <v>0</v>
      </c>
      <c r="H844" s="54">
        <v>0</v>
      </c>
    </row>
    <row r="845" spans="1:8" x14ac:dyDescent="0.2">
      <c r="A845" s="54" t="s">
        <v>915</v>
      </c>
      <c r="B845" s="54">
        <v>107871</v>
      </c>
      <c r="C845" s="54">
        <v>12</v>
      </c>
      <c r="D845" s="54">
        <v>20</v>
      </c>
      <c r="E845" s="54">
        <v>0</v>
      </c>
      <c r="F845" s="54">
        <v>0</v>
      </c>
      <c r="G845" s="54">
        <v>5</v>
      </c>
      <c r="H845" s="54">
        <v>2</v>
      </c>
    </row>
    <row r="846" spans="1:8" x14ac:dyDescent="0.2">
      <c r="A846" s="54" t="s">
        <v>916</v>
      </c>
      <c r="B846" s="54">
        <v>115373</v>
      </c>
      <c r="C846" s="54">
        <v>12</v>
      </c>
      <c r="D846" s="54">
        <v>13</v>
      </c>
      <c r="E846" s="54">
        <v>0</v>
      </c>
      <c r="F846" s="54">
        <v>0</v>
      </c>
      <c r="G846" s="54">
        <v>0</v>
      </c>
      <c r="H846" s="54">
        <v>0</v>
      </c>
    </row>
    <row r="847" spans="1:8" x14ac:dyDescent="0.2">
      <c r="A847" s="54" t="s">
        <v>917</v>
      </c>
      <c r="B847" s="54">
        <v>324011</v>
      </c>
      <c r="C847" s="54">
        <v>13</v>
      </c>
      <c r="D847" s="54">
        <v>10</v>
      </c>
      <c r="E847" s="54">
        <v>1</v>
      </c>
      <c r="F847" s="54">
        <v>0</v>
      </c>
      <c r="G847" s="54">
        <v>0</v>
      </c>
      <c r="H847" s="54">
        <v>0</v>
      </c>
    </row>
    <row r="848" spans="1:8" x14ac:dyDescent="0.2">
      <c r="A848" s="54" t="s">
        <v>918</v>
      </c>
      <c r="B848" s="54">
        <v>209124</v>
      </c>
      <c r="C848" s="54">
        <v>13</v>
      </c>
      <c r="D848" s="54">
        <v>12</v>
      </c>
      <c r="E848" s="54">
        <v>1</v>
      </c>
      <c r="F848" s="54">
        <v>0</v>
      </c>
      <c r="G848" s="54">
        <v>0</v>
      </c>
      <c r="H848" s="54">
        <v>8</v>
      </c>
    </row>
    <row r="849" spans="1:8" x14ac:dyDescent="0.2">
      <c r="A849" s="54" t="s">
        <v>919</v>
      </c>
      <c r="B849" s="54">
        <v>170572</v>
      </c>
      <c r="C849" s="54">
        <v>13</v>
      </c>
      <c r="D849" s="54">
        <v>69</v>
      </c>
      <c r="E849" s="54">
        <v>1</v>
      </c>
      <c r="F849" s="54">
        <v>11</v>
      </c>
      <c r="G849" s="54">
        <v>2</v>
      </c>
      <c r="H849" s="54">
        <v>20</v>
      </c>
    </row>
    <row r="850" spans="1:8" x14ac:dyDescent="0.2">
      <c r="A850" s="54" t="s">
        <v>920</v>
      </c>
      <c r="B850" s="54">
        <v>114821</v>
      </c>
      <c r="C850" s="54">
        <v>13</v>
      </c>
      <c r="D850" s="54">
        <v>14</v>
      </c>
      <c r="E850" s="54">
        <v>1</v>
      </c>
      <c r="F850" s="54">
        <v>14</v>
      </c>
      <c r="G850" s="54">
        <v>0</v>
      </c>
      <c r="H850" s="54">
        <v>1</v>
      </c>
    </row>
    <row r="851" spans="1:8" x14ac:dyDescent="0.2">
      <c r="A851" s="54" t="s">
        <v>921</v>
      </c>
      <c r="B851" s="54">
        <v>236367</v>
      </c>
      <c r="C851" s="54">
        <v>13</v>
      </c>
      <c r="D851" s="54">
        <v>13</v>
      </c>
      <c r="E851" s="54">
        <v>2</v>
      </c>
      <c r="F851" s="54">
        <v>6</v>
      </c>
      <c r="G851" s="54">
        <v>0</v>
      </c>
      <c r="H851" s="54">
        <v>1</v>
      </c>
    </row>
    <row r="852" spans="1:8" x14ac:dyDescent="0.2">
      <c r="A852" s="54" t="s">
        <v>922</v>
      </c>
      <c r="B852" s="54">
        <v>120176</v>
      </c>
      <c r="C852" s="54">
        <v>13</v>
      </c>
      <c r="D852" s="54">
        <v>6</v>
      </c>
      <c r="E852" s="54">
        <v>2</v>
      </c>
      <c r="F852" s="54">
        <v>0</v>
      </c>
      <c r="G852" s="54">
        <v>0</v>
      </c>
      <c r="H852" s="54">
        <v>11</v>
      </c>
    </row>
    <row r="853" spans="1:8" x14ac:dyDescent="0.2">
      <c r="A853" s="54" t="s">
        <v>923</v>
      </c>
      <c r="B853" s="54">
        <v>518248</v>
      </c>
      <c r="C853" s="54">
        <v>13</v>
      </c>
      <c r="D853" s="54">
        <v>13</v>
      </c>
      <c r="E853" s="54">
        <v>2</v>
      </c>
      <c r="F853" s="54">
        <v>0</v>
      </c>
      <c r="G853" s="54">
        <v>0</v>
      </c>
      <c r="H853" s="54">
        <v>0</v>
      </c>
    </row>
    <row r="854" spans="1:8" x14ac:dyDescent="0.2">
      <c r="A854" s="54" t="s">
        <v>924</v>
      </c>
      <c r="B854" s="54">
        <v>481041</v>
      </c>
      <c r="C854" s="54">
        <v>13</v>
      </c>
      <c r="D854" s="54">
        <v>13</v>
      </c>
      <c r="E854" s="54">
        <v>3</v>
      </c>
      <c r="F854" s="54">
        <v>0</v>
      </c>
      <c r="G854" s="54">
        <v>0</v>
      </c>
      <c r="H854" s="54">
        <v>0</v>
      </c>
    </row>
    <row r="855" spans="1:8" x14ac:dyDescent="0.2">
      <c r="A855" s="54" t="s">
        <v>925</v>
      </c>
      <c r="B855" s="54">
        <v>448412</v>
      </c>
      <c r="C855" s="54">
        <v>13</v>
      </c>
      <c r="D855" s="54">
        <v>13</v>
      </c>
      <c r="E855" s="54">
        <v>4</v>
      </c>
      <c r="F855" s="54">
        <v>0</v>
      </c>
      <c r="G855" s="54">
        <v>0</v>
      </c>
      <c r="H855" s="54">
        <v>0</v>
      </c>
    </row>
    <row r="856" spans="1:8" x14ac:dyDescent="0.2">
      <c r="A856" s="54" t="s">
        <v>926</v>
      </c>
      <c r="B856" s="54">
        <v>466244</v>
      </c>
      <c r="C856" s="54">
        <v>13</v>
      </c>
      <c r="D856" s="54">
        <v>28</v>
      </c>
      <c r="E856" s="54">
        <v>4</v>
      </c>
      <c r="F856" s="54">
        <v>0</v>
      </c>
      <c r="G856" s="54">
        <v>0</v>
      </c>
      <c r="H856" s="54">
        <v>0</v>
      </c>
    </row>
    <row r="857" spans="1:8" x14ac:dyDescent="0.2">
      <c r="A857" s="54" t="s">
        <v>927</v>
      </c>
      <c r="B857" s="54">
        <v>109834</v>
      </c>
      <c r="C857" s="54">
        <v>13</v>
      </c>
      <c r="D857" s="54">
        <v>1</v>
      </c>
      <c r="E857" s="54">
        <v>5</v>
      </c>
      <c r="F857" s="54">
        <v>0</v>
      </c>
      <c r="G857" s="54">
        <v>0</v>
      </c>
      <c r="H857" s="54">
        <v>0</v>
      </c>
    </row>
    <row r="858" spans="1:8" x14ac:dyDescent="0.2">
      <c r="A858" s="54" t="s">
        <v>928</v>
      </c>
      <c r="B858" s="54">
        <v>149197</v>
      </c>
      <c r="C858" s="54">
        <v>13</v>
      </c>
      <c r="D858" s="54">
        <v>11</v>
      </c>
      <c r="E858" s="54">
        <v>5</v>
      </c>
      <c r="F858" s="54">
        <v>49</v>
      </c>
      <c r="G858" s="54">
        <v>0</v>
      </c>
      <c r="H858" s="54">
        <v>0</v>
      </c>
    </row>
    <row r="859" spans="1:8" x14ac:dyDescent="0.2">
      <c r="A859" s="54" t="s">
        <v>929</v>
      </c>
      <c r="B859" s="54">
        <v>225032</v>
      </c>
      <c r="C859" s="54">
        <v>13</v>
      </c>
      <c r="D859" s="54">
        <v>10</v>
      </c>
      <c r="E859" s="54">
        <v>5</v>
      </c>
      <c r="F859" s="54">
        <v>0</v>
      </c>
      <c r="G859" s="54">
        <v>0</v>
      </c>
      <c r="H859" s="54">
        <v>0</v>
      </c>
    </row>
    <row r="860" spans="1:8" x14ac:dyDescent="0.2">
      <c r="A860" s="54" t="s">
        <v>930</v>
      </c>
      <c r="B860" s="54">
        <v>109720</v>
      </c>
      <c r="C860" s="54">
        <v>13</v>
      </c>
      <c r="D860" s="54">
        <v>12</v>
      </c>
      <c r="E860" s="54">
        <v>0</v>
      </c>
      <c r="F860" s="54">
        <v>0</v>
      </c>
      <c r="G860" s="54">
        <v>0</v>
      </c>
      <c r="H860" s="54">
        <v>3</v>
      </c>
    </row>
    <row r="861" spans="1:8" x14ac:dyDescent="0.2">
      <c r="A861" s="54" t="s">
        <v>931</v>
      </c>
      <c r="B861" s="54">
        <v>322489</v>
      </c>
      <c r="C861" s="54">
        <v>14</v>
      </c>
      <c r="D861" s="54">
        <v>15</v>
      </c>
      <c r="E861" s="54">
        <v>1</v>
      </c>
      <c r="F861" s="54">
        <v>0</v>
      </c>
      <c r="G861" s="54">
        <v>0</v>
      </c>
      <c r="H861" s="54">
        <v>0</v>
      </c>
    </row>
    <row r="862" spans="1:8" x14ac:dyDescent="0.2">
      <c r="A862" s="54" t="s">
        <v>932</v>
      </c>
      <c r="B862" s="54">
        <v>115212</v>
      </c>
      <c r="C862" s="54">
        <v>14</v>
      </c>
      <c r="D862" s="54">
        <v>14</v>
      </c>
      <c r="E862" s="54">
        <v>1</v>
      </c>
      <c r="F862" s="54">
        <v>0</v>
      </c>
      <c r="G862" s="54">
        <v>0</v>
      </c>
      <c r="H862" s="54">
        <v>56</v>
      </c>
    </row>
    <row r="863" spans="1:8" x14ac:dyDescent="0.2">
      <c r="A863" s="54" t="s">
        <v>933</v>
      </c>
      <c r="B863" s="54">
        <v>108630</v>
      </c>
      <c r="C863" s="54">
        <v>14</v>
      </c>
      <c r="D863" s="54">
        <v>13</v>
      </c>
      <c r="E863" s="54">
        <v>1</v>
      </c>
      <c r="F863" s="54">
        <v>0</v>
      </c>
      <c r="G863" s="54">
        <v>0</v>
      </c>
      <c r="H863" s="54">
        <v>0</v>
      </c>
    </row>
    <row r="864" spans="1:8" x14ac:dyDescent="0.2">
      <c r="A864" s="54" t="s">
        <v>934</v>
      </c>
      <c r="B864" s="54">
        <v>179820</v>
      </c>
      <c r="C864" s="54">
        <v>14</v>
      </c>
      <c r="D864" s="54">
        <v>14</v>
      </c>
      <c r="E864" s="54">
        <v>2</v>
      </c>
      <c r="F864" s="54">
        <v>2</v>
      </c>
      <c r="G864" s="54">
        <v>2</v>
      </c>
      <c r="H864" s="54">
        <v>3</v>
      </c>
    </row>
    <row r="865" spans="1:8" x14ac:dyDescent="0.2">
      <c r="A865" s="54" t="s">
        <v>935</v>
      </c>
      <c r="B865" s="54">
        <v>322022</v>
      </c>
      <c r="C865" s="54">
        <v>14</v>
      </c>
      <c r="D865" s="54">
        <v>215</v>
      </c>
      <c r="E865" s="54">
        <v>2</v>
      </c>
      <c r="F865" s="54">
        <v>0</v>
      </c>
      <c r="G865" s="54">
        <v>0</v>
      </c>
      <c r="H865" s="54">
        <v>27</v>
      </c>
    </row>
    <row r="866" spans="1:8" x14ac:dyDescent="0.2">
      <c r="A866" s="54" t="s">
        <v>936</v>
      </c>
      <c r="B866" s="54">
        <v>110147</v>
      </c>
      <c r="C866" s="54">
        <v>14</v>
      </c>
      <c r="D866" s="54">
        <v>14</v>
      </c>
      <c r="E866" s="54">
        <v>2</v>
      </c>
      <c r="F866" s="54">
        <v>0</v>
      </c>
      <c r="G866" s="54">
        <v>0</v>
      </c>
      <c r="H866" s="54">
        <v>27</v>
      </c>
    </row>
    <row r="867" spans="1:8" x14ac:dyDescent="0.2">
      <c r="A867" s="54" t="s">
        <v>937</v>
      </c>
      <c r="B867" s="54">
        <v>318806</v>
      </c>
      <c r="C867" s="54">
        <v>14</v>
      </c>
      <c r="D867" s="54">
        <v>15</v>
      </c>
      <c r="E867" s="54">
        <v>2</v>
      </c>
      <c r="F867" s="54">
        <v>0</v>
      </c>
      <c r="G867" s="54">
        <v>3</v>
      </c>
      <c r="H867" s="54">
        <v>0</v>
      </c>
    </row>
    <row r="868" spans="1:8" x14ac:dyDescent="0.2">
      <c r="A868" s="54" t="s">
        <v>938</v>
      </c>
      <c r="B868" s="54">
        <v>472380</v>
      </c>
      <c r="C868" s="54">
        <v>14</v>
      </c>
      <c r="D868" s="54">
        <v>13</v>
      </c>
      <c r="E868" s="54">
        <v>2</v>
      </c>
      <c r="F868" s="54">
        <v>0</v>
      </c>
      <c r="G868" s="54">
        <v>0</v>
      </c>
      <c r="H868" s="54">
        <v>0</v>
      </c>
    </row>
    <row r="869" spans="1:8" x14ac:dyDescent="0.2">
      <c r="A869" s="54" t="s">
        <v>939</v>
      </c>
      <c r="B869" s="54">
        <v>409151</v>
      </c>
      <c r="C869" s="54">
        <v>14</v>
      </c>
      <c r="D869" s="54">
        <v>10</v>
      </c>
      <c r="E869" s="54">
        <v>2</v>
      </c>
      <c r="F869" s="54">
        <v>0</v>
      </c>
      <c r="G869" s="54">
        <v>6</v>
      </c>
      <c r="H869" s="54">
        <v>4</v>
      </c>
    </row>
    <row r="870" spans="1:8" x14ac:dyDescent="0.2">
      <c r="A870" s="54" t="s">
        <v>940</v>
      </c>
      <c r="B870" s="54">
        <v>479222</v>
      </c>
      <c r="C870" s="54">
        <v>14</v>
      </c>
      <c r="D870" s="54">
        <v>15</v>
      </c>
      <c r="E870" s="54">
        <v>2</v>
      </c>
      <c r="F870" s="54">
        <v>29</v>
      </c>
      <c r="G870" s="54">
        <v>0</v>
      </c>
      <c r="H870" s="54">
        <v>0</v>
      </c>
    </row>
    <row r="871" spans="1:8" x14ac:dyDescent="0.2">
      <c r="A871" s="54" t="s">
        <v>941</v>
      </c>
      <c r="B871" s="54">
        <v>107758</v>
      </c>
      <c r="C871" s="54">
        <v>14</v>
      </c>
      <c r="D871" s="54">
        <v>13</v>
      </c>
      <c r="E871" s="54">
        <v>3</v>
      </c>
      <c r="F871" s="54">
        <v>1</v>
      </c>
      <c r="G871" s="54">
        <v>0</v>
      </c>
      <c r="H871" s="54">
        <v>0</v>
      </c>
    </row>
    <row r="872" spans="1:8" x14ac:dyDescent="0.2">
      <c r="A872" s="54" t="s">
        <v>942</v>
      </c>
      <c r="B872" s="54">
        <v>155722</v>
      </c>
      <c r="C872" s="54">
        <v>14</v>
      </c>
      <c r="D872" s="54">
        <v>13</v>
      </c>
      <c r="E872" s="54">
        <v>3</v>
      </c>
      <c r="F872" s="54">
        <v>0</v>
      </c>
      <c r="G872" s="54">
        <v>0</v>
      </c>
      <c r="H872" s="54">
        <v>0</v>
      </c>
    </row>
    <row r="873" spans="1:8" x14ac:dyDescent="0.2">
      <c r="A873" s="54" t="s">
        <v>943</v>
      </c>
      <c r="B873" s="54">
        <v>115279</v>
      </c>
      <c r="C873" s="54">
        <v>14</v>
      </c>
      <c r="D873" s="54">
        <v>14</v>
      </c>
      <c r="E873" s="54">
        <v>4</v>
      </c>
      <c r="F873" s="54">
        <v>0</v>
      </c>
      <c r="G873" s="54">
        <v>0</v>
      </c>
      <c r="H873" s="54">
        <v>0</v>
      </c>
    </row>
    <row r="874" spans="1:8" x14ac:dyDescent="0.2">
      <c r="A874" s="54" t="s">
        <v>944</v>
      </c>
      <c r="B874" s="54">
        <v>123145</v>
      </c>
      <c r="C874" s="54">
        <v>14</v>
      </c>
      <c r="D874" s="54">
        <v>26</v>
      </c>
      <c r="E874" s="54">
        <v>4</v>
      </c>
      <c r="F874" s="54">
        <v>2</v>
      </c>
      <c r="G874" s="54">
        <v>2</v>
      </c>
      <c r="H874" s="54">
        <v>0</v>
      </c>
    </row>
    <row r="875" spans="1:8" x14ac:dyDescent="0.2">
      <c r="A875" s="54" t="s">
        <v>945</v>
      </c>
      <c r="B875" s="54">
        <v>146825</v>
      </c>
      <c r="C875" s="54">
        <v>14</v>
      </c>
      <c r="D875" s="54">
        <v>14</v>
      </c>
      <c r="E875" s="54">
        <v>4</v>
      </c>
      <c r="F875" s="54">
        <v>0</v>
      </c>
      <c r="G875" s="54">
        <v>0</v>
      </c>
      <c r="H875" s="54">
        <v>0</v>
      </c>
    </row>
    <row r="876" spans="1:8" x14ac:dyDescent="0.2">
      <c r="A876" s="54" t="s">
        <v>946</v>
      </c>
      <c r="B876" s="54">
        <v>109017</v>
      </c>
      <c r="C876" s="54">
        <v>14</v>
      </c>
      <c r="D876" s="54">
        <v>15</v>
      </c>
      <c r="E876" s="54">
        <v>0</v>
      </c>
      <c r="F876" s="54">
        <v>0</v>
      </c>
      <c r="G876" s="54">
        <v>0</v>
      </c>
      <c r="H876" s="54">
        <v>16</v>
      </c>
    </row>
    <row r="877" spans="1:8" x14ac:dyDescent="0.2">
      <c r="A877" s="54" t="s">
        <v>947</v>
      </c>
      <c r="B877" s="54">
        <v>515418</v>
      </c>
      <c r="C877" s="54">
        <v>14</v>
      </c>
      <c r="D877" s="54">
        <v>8</v>
      </c>
      <c r="E877" s="54">
        <v>0</v>
      </c>
      <c r="F877" s="54">
        <v>0</v>
      </c>
      <c r="G877" s="54">
        <v>0</v>
      </c>
      <c r="H877" s="54">
        <v>0</v>
      </c>
    </row>
    <row r="878" spans="1:8" x14ac:dyDescent="0.2">
      <c r="A878" s="54" t="s">
        <v>948</v>
      </c>
      <c r="B878" s="54">
        <v>110423</v>
      </c>
      <c r="C878" s="54">
        <v>14</v>
      </c>
      <c r="D878" s="54">
        <v>62</v>
      </c>
      <c r="E878" s="54">
        <v>0</v>
      </c>
      <c r="F878" s="54">
        <v>0</v>
      </c>
      <c r="G878" s="54">
        <v>0</v>
      </c>
      <c r="H878" s="54">
        <v>3</v>
      </c>
    </row>
    <row r="879" spans="1:8" x14ac:dyDescent="0.2">
      <c r="A879" s="54" t="s">
        <v>949</v>
      </c>
      <c r="B879" s="54">
        <v>129206</v>
      </c>
      <c r="C879" s="54">
        <v>15</v>
      </c>
      <c r="D879" s="54">
        <v>1</v>
      </c>
      <c r="E879" s="54">
        <v>1</v>
      </c>
      <c r="F879" s="54">
        <v>0</v>
      </c>
      <c r="G879" s="54">
        <v>0</v>
      </c>
      <c r="H879" s="54">
        <v>0</v>
      </c>
    </row>
    <row r="880" spans="1:8" x14ac:dyDescent="0.2">
      <c r="A880" s="54" t="s">
        <v>950</v>
      </c>
      <c r="B880" s="54">
        <v>583348</v>
      </c>
      <c r="C880" s="54">
        <v>15</v>
      </c>
      <c r="D880" s="54">
        <v>15</v>
      </c>
      <c r="E880" s="54">
        <v>1</v>
      </c>
      <c r="F880" s="54">
        <v>0</v>
      </c>
      <c r="G880" s="54">
        <v>0</v>
      </c>
      <c r="H880" s="54">
        <v>7</v>
      </c>
    </row>
    <row r="881" spans="1:8" x14ac:dyDescent="0.2">
      <c r="A881" s="54" t="s">
        <v>951</v>
      </c>
      <c r="B881" s="54">
        <v>464190</v>
      </c>
      <c r="C881" s="54">
        <v>15</v>
      </c>
      <c r="D881" s="54">
        <v>15</v>
      </c>
      <c r="E881" s="54">
        <v>1</v>
      </c>
      <c r="F881" s="54">
        <v>0</v>
      </c>
      <c r="G881" s="54">
        <v>3</v>
      </c>
      <c r="H881" s="54">
        <v>2</v>
      </c>
    </row>
    <row r="882" spans="1:8" x14ac:dyDescent="0.2">
      <c r="A882" s="54" t="s">
        <v>952</v>
      </c>
      <c r="B882" s="54">
        <v>556150</v>
      </c>
      <c r="C882" s="54">
        <v>15</v>
      </c>
      <c r="D882" s="54">
        <v>4</v>
      </c>
      <c r="E882" s="54">
        <v>1</v>
      </c>
      <c r="F882" s="54">
        <v>4</v>
      </c>
      <c r="G882" s="54">
        <v>0</v>
      </c>
      <c r="H882" s="54">
        <v>1</v>
      </c>
    </row>
    <row r="883" spans="1:8" x14ac:dyDescent="0.2">
      <c r="A883" s="54" t="s">
        <v>953</v>
      </c>
      <c r="B883" s="54">
        <v>493249</v>
      </c>
      <c r="C883" s="54">
        <v>15</v>
      </c>
      <c r="D883" s="54">
        <v>15</v>
      </c>
      <c r="E883" s="54">
        <v>2</v>
      </c>
      <c r="F883" s="54">
        <v>0</v>
      </c>
      <c r="G883" s="54">
        <v>0</v>
      </c>
      <c r="H883" s="54">
        <v>0</v>
      </c>
    </row>
    <row r="884" spans="1:8" x14ac:dyDescent="0.2">
      <c r="A884" s="54" t="s">
        <v>954</v>
      </c>
      <c r="B884" s="54">
        <v>129030</v>
      </c>
      <c r="C884" s="54">
        <v>15</v>
      </c>
      <c r="D884" s="54">
        <v>15</v>
      </c>
      <c r="E884" s="54">
        <v>2</v>
      </c>
      <c r="F884" s="54">
        <v>0</v>
      </c>
      <c r="G884" s="54">
        <v>0</v>
      </c>
      <c r="H884" s="54">
        <v>2</v>
      </c>
    </row>
    <row r="885" spans="1:8" x14ac:dyDescent="0.2">
      <c r="A885" s="54" t="s">
        <v>955</v>
      </c>
      <c r="B885" s="54">
        <v>105730</v>
      </c>
      <c r="C885" s="54">
        <v>15</v>
      </c>
      <c r="D885" s="54">
        <v>23</v>
      </c>
      <c r="E885" s="54">
        <v>2</v>
      </c>
      <c r="F885" s="54">
        <v>0</v>
      </c>
      <c r="G885" s="54">
        <v>5</v>
      </c>
      <c r="H885" s="54">
        <v>0</v>
      </c>
    </row>
    <row r="886" spans="1:8" x14ac:dyDescent="0.2">
      <c r="A886" s="54" t="s">
        <v>956</v>
      </c>
      <c r="B886" s="54">
        <v>316715</v>
      </c>
      <c r="C886" s="54">
        <v>15</v>
      </c>
      <c r="D886" s="54">
        <v>40</v>
      </c>
      <c r="E886" s="54">
        <v>2</v>
      </c>
      <c r="F886" s="54">
        <v>0</v>
      </c>
      <c r="G886" s="54">
        <v>0</v>
      </c>
      <c r="H886" s="54">
        <v>6</v>
      </c>
    </row>
    <row r="887" spans="1:8" x14ac:dyDescent="0.2">
      <c r="A887" s="54" t="s">
        <v>957</v>
      </c>
      <c r="B887" s="54">
        <v>514054</v>
      </c>
      <c r="C887" s="54">
        <v>15</v>
      </c>
      <c r="D887" s="54">
        <v>14</v>
      </c>
      <c r="E887" s="54">
        <v>2</v>
      </c>
      <c r="F887" s="54">
        <v>9</v>
      </c>
      <c r="G887" s="54">
        <v>0</v>
      </c>
      <c r="H887" s="54">
        <v>0</v>
      </c>
    </row>
    <row r="888" spans="1:8" x14ac:dyDescent="0.2">
      <c r="A888" s="54" t="s">
        <v>958</v>
      </c>
      <c r="B888" s="54">
        <v>517964</v>
      </c>
      <c r="C888" s="54">
        <v>15</v>
      </c>
      <c r="D888" s="54">
        <v>16</v>
      </c>
      <c r="E888" s="54">
        <v>3</v>
      </c>
      <c r="F888" s="54">
        <v>0</v>
      </c>
      <c r="G888" s="54">
        <v>0</v>
      </c>
      <c r="H888" s="54">
        <v>0</v>
      </c>
    </row>
    <row r="889" spans="1:8" x14ac:dyDescent="0.2">
      <c r="A889" s="54" t="s">
        <v>959</v>
      </c>
      <c r="B889" s="54">
        <v>165139</v>
      </c>
      <c r="C889" s="54">
        <v>15</v>
      </c>
      <c r="D889" s="54">
        <v>18</v>
      </c>
      <c r="E889" s="54">
        <v>3</v>
      </c>
      <c r="F889" s="54">
        <v>0</v>
      </c>
      <c r="G889" s="54">
        <v>0</v>
      </c>
      <c r="H889" s="54">
        <v>0</v>
      </c>
    </row>
    <row r="890" spans="1:8" x14ac:dyDescent="0.2">
      <c r="A890" s="54" t="s">
        <v>960</v>
      </c>
      <c r="B890" s="54">
        <v>451996</v>
      </c>
      <c r="C890" s="54">
        <v>15</v>
      </c>
      <c r="D890" s="54">
        <v>13</v>
      </c>
      <c r="E890" s="54">
        <v>4</v>
      </c>
      <c r="F890" s="54">
        <v>0</v>
      </c>
      <c r="G890" s="54">
        <v>0</v>
      </c>
      <c r="H890" s="54">
        <v>0</v>
      </c>
    </row>
    <row r="891" spans="1:8" x14ac:dyDescent="0.2">
      <c r="A891" s="54" t="s">
        <v>961</v>
      </c>
      <c r="B891" s="54">
        <v>171614</v>
      </c>
      <c r="C891" s="54">
        <v>15</v>
      </c>
      <c r="D891" s="54">
        <v>15</v>
      </c>
      <c r="E891" s="54">
        <v>5</v>
      </c>
      <c r="F891" s="54">
        <v>0</v>
      </c>
      <c r="G891" s="54">
        <v>0</v>
      </c>
      <c r="H891" s="54">
        <v>0</v>
      </c>
    </row>
    <row r="892" spans="1:8" x14ac:dyDescent="0.2">
      <c r="A892" s="54" t="s">
        <v>962</v>
      </c>
      <c r="B892" s="54">
        <v>327518</v>
      </c>
      <c r="C892" s="54">
        <v>15</v>
      </c>
      <c r="D892" s="54">
        <v>16</v>
      </c>
      <c r="E892" s="54">
        <v>0</v>
      </c>
      <c r="F892" s="54">
        <v>0</v>
      </c>
      <c r="G892" s="54">
        <v>0</v>
      </c>
      <c r="H892" s="54">
        <v>0</v>
      </c>
    </row>
    <row r="893" spans="1:8" x14ac:dyDescent="0.2">
      <c r="A893" s="54" t="s">
        <v>963</v>
      </c>
      <c r="B893" s="54">
        <v>208421</v>
      </c>
      <c r="C893" s="54">
        <v>15</v>
      </c>
      <c r="D893" s="54">
        <v>13</v>
      </c>
      <c r="E893" s="54">
        <v>0</v>
      </c>
      <c r="F893" s="54">
        <v>0</v>
      </c>
      <c r="G893" s="54">
        <v>0</v>
      </c>
      <c r="H893" s="54">
        <v>0</v>
      </c>
    </row>
    <row r="894" spans="1:8" x14ac:dyDescent="0.2">
      <c r="A894" s="54" t="s">
        <v>964</v>
      </c>
      <c r="B894" s="54">
        <v>145550</v>
      </c>
      <c r="C894" s="54">
        <v>15</v>
      </c>
      <c r="D894" s="54">
        <v>7</v>
      </c>
      <c r="E894" s="54">
        <v>0</v>
      </c>
      <c r="F894" s="54">
        <v>0</v>
      </c>
      <c r="G894" s="54">
        <v>0</v>
      </c>
      <c r="H894" s="54">
        <v>0</v>
      </c>
    </row>
    <row r="895" spans="1:8" x14ac:dyDescent="0.2">
      <c r="A895" s="54" t="s">
        <v>965</v>
      </c>
      <c r="B895" s="54">
        <v>155353</v>
      </c>
      <c r="C895" s="54">
        <v>15</v>
      </c>
      <c r="D895" s="54">
        <v>15</v>
      </c>
      <c r="E895" s="54">
        <v>0</v>
      </c>
      <c r="F895" s="54">
        <v>0</v>
      </c>
      <c r="G895" s="54">
        <v>0</v>
      </c>
      <c r="H895" s="54">
        <v>0</v>
      </c>
    </row>
    <row r="896" spans="1:8" x14ac:dyDescent="0.2">
      <c r="A896" s="54" t="s">
        <v>966</v>
      </c>
      <c r="B896" s="54">
        <v>326529</v>
      </c>
      <c r="C896" s="54">
        <v>16</v>
      </c>
      <c r="D896" s="54">
        <v>18</v>
      </c>
      <c r="E896" s="54">
        <v>1</v>
      </c>
      <c r="F896" s="54">
        <v>0</v>
      </c>
      <c r="G896" s="54">
        <v>0</v>
      </c>
      <c r="H896" s="54">
        <v>0</v>
      </c>
    </row>
    <row r="897" spans="1:8" x14ac:dyDescent="0.2">
      <c r="A897" s="54" t="s">
        <v>967</v>
      </c>
      <c r="B897" s="54">
        <v>465215</v>
      </c>
      <c r="C897" s="54">
        <v>16</v>
      </c>
      <c r="D897" s="54">
        <v>16</v>
      </c>
      <c r="E897" s="54">
        <v>1</v>
      </c>
      <c r="F897" s="54">
        <v>0</v>
      </c>
      <c r="G897" s="54">
        <v>0</v>
      </c>
      <c r="H897" s="54">
        <v>0</v>
      </c>
    </row>
    <row r="898" spans="1:8" x14ac:dyDescent="0.2">
      <c r="A898" s="54" t="s">
        <v>968</v>
      </c>
      <c r="B898" s="54">
        <v>235511</v>
      </c>
      <c r="C898" s="54">
        <v>16</v>
      </c>
      <c r="D898" s="54">
        <v>16</v>
      </c>
      <c r="E898" s="54">
        <v>1</v>
      </c>
      <c r="F898" s="54">
        <v>0</v>
      </c>
      <c r="G898" s="54">
        <v>0</v>
      </c>
      <c r="H898" s="54">
        <v>0</v>
      </c>
    </row>
    <row r="899" spans="1:8" x14ac:dyDescent="0.2">
      <c r="A899" s="54" t="s">
        <v>969</v>
      </c>
      <c r="B899" s="54">
        <v>108558</v>
      </c>
      <c r="C899" s="54">
        <v>16</v>
      </c>
      <c r="D899" s="54">
        <v>14</v>
      </c>
      <c r="E899" s="54">
        <v>1</v>
      </c>
      <c r="F899" s="54">
        <v>0</v>
      </c>
      <c r="G899" s="54">
        <v>0</v>
      </c>
      <c r="H899" s="54">
        <v>0</v>
      </c>
    </row>
    <row r="900" spans="1:8" x14ac:dyDescent="0.2">
      <c r="A900" s="54" t="s">
        <v>970</v>
      </c>
      <c r="B900" s="54">
        <v>493195</v>
      </c>
      <c r="C900" s="54">
        <v>16</v>
      </c>
      <c r="D900" s="54">
        <v>10</v>
      </c>
      <c r="E900" s="54">
        <v>2</v>
      </c>
      <c r="F900" s="54">
        <v>0</v>
      </c>
      <c r="G900" s="54">
        <v>0</v>
      </c>
      <c r="H900" s="54">
        <v>0</v>
      </c>
    </row>
    <row r="901" spans="1:8" x14ac:dyDescent="0.2">
      <c r="A901" s="54" t="s">
        <v>971</v>
      </c>
      <c r="B901" s="54">
        <v>497501</v>
      </c>
      <c r="C901" s="54">
        <v>16</v>
      </c>
      <c r="D901" s="54">
        <v>16</v>
      </c>
      <c r="E901" s="54">
        <v>2</v>
      </c>
      <c r="F901" s="54">
        <v>0</v>
      </c>
      <c r="G901" s="54">
        <v>0</v>
      </c>
      <c r="H901" s="54">
        <v>0</v>
      </c>
    </row>
    <row r="902" spans="1:8" x14ac:dyDescent="0.2">
      <c r="A902" s="54" t="s">
        <v>972</v>
      </c>
      <c r="B902" s="54">
        <v>114245</v>
      </c>
      <c r="C902" s="54">
        <v>16</v>
      </c>
      <c r="D902" s="54">
        <v>12</v>
      </c>
      <c r="E902" s="54">
        <v>2</v>
      </c>
      <c r="F902" s="54">
        <v>6</v>
      </c>
      <c r="G902" s="54">
        <v>0</v>
      </c>
      <c r="H902" s="54">
        <v>0</v>
      </c>
    </row>
    <row r="903" spans="1:8" x14ac:dyDescent="0.2">
      <c r="A903" s="54" t="s">
        <v>973</v>
      </c>
      <c r="B903" s="54">
        <v>107918</v>
      </c>
      <c r="C903" s="54">
        <v>16</v>
      </c>
      <c r="D903" s="54">
        <v>17</v>
      </c>
      <c r="E903" s="54">
        <v>2</v>
      </c>
      <c r="F903" s="54">
        <v>13</v>
      </c>
      <c r="G903" s="54">
        <v>0</v>
      </c>
      <c r="H903" s="54">
        <v>6</v>
      </c>
    </row>
    <row r="904" spans="1:8" x14ac:dyDescent="0.2">
      <c r="A904" s="54" t="s">
        <v>974</v>
      </c>
      <c r="B904" s="54">
        <v>116126</v>
      </c>
      <c r="C904" s="54">
        <v>16</v>
      </c>
      <c r="D904" s="54">
        <v>17</v>
      </c>
      <c r="E904" s="54">
        <v>2</v>
      </c>
      <c r="F904" s="54">
        <v>0</v>
      </c>
      <c r="G904" s="54">
        <v>1</v>
      </c>
      <c r="H904" s="54">
        <v>0</v>
      </c>
    </row>
    <row r="905" spans="1:8" x14ac:dyDescent="0.2">
      <c r="A905" s="54" t="s">
        <v>975</v>
      </c>
      <c r="B905" s="54">
        <v>209634</v>
      </c>
      <c r="C905" s="54">
        <v>16</v>
      </c>
      <c r="D905" s="54">
        <v>16</v>
      </c>
      <c r="E905" s="54">
        <v>2</v>
      </c>
      <c r="F905" s="54">
        <v>0</v>
      </c>
      <c r="G905" s="54">
        <v>0</v>
      </c>
      <c r="H905" s="54">
        <v>27</v>
      </c>
    </row>
    <row r="906" spans="1:8" x14ac:dyDescent="0.2">
      <c r="A906" s="54" t="s">
        <v>976</v>
      </c>
      <c r="B906" s="54">
        <v>202744</v>
      </c>
      <c r="C906" s="54">
        <v>16</v>
      </c>
      <c r="D906" s="54">
        <v>16</v>
      </c>
      <c r="E906" s="54">
        <v>3</v>
      </c>
      <c r="F906" s="54">
        <v>21</v>
      </c>
      <c r="G906" s="54">
        <v>0</v>
      </c>
      <c r="H906" s="54">
        <v>17</v>
      </c>
    </row>
    <row r="907" spans="1:8" x14ac:dyDescent="0.2">
      <c r="A907" s="54" t="s">
        <v>977</v>
      </c>
      <c r="B907" s="54">
        <v>154192</v>
      </c>
      <c r="C907" s="54">
        <v>16</v>
      </c>
      <c r="D907" s="54">
        <v>7</v>
      </c>
      <c r="E907" s="54">
        <v>3</v>
      </c>
      <c r="F907" s="54">
        <v>0</v>
      </c>
      <c r="G907" s="54">
        <v>0</v>
      </c>
      <c r="H907" s="54">
        <v>0</v>
      </c>
    </row>
    <row r="908" spans="1:8" x14ac:dyDescent="0.2">
      <c r="A908" s="54" t="s">
        <v>978</v>
      </c>
      <c r="B908" s="54">
        <v>470515</v>
      </c>
      <c r="C908" s="54">
        <v>16</v>
      </c>
      <c r="D908" s="54">
        <v>16</v>
      </c>
      <c r="E908" s="54">
        <v>4</v>
      </c>
      <c r="F908" s="54">
        <v>0</v>
      </c>
      <c r="G908" s="54">
        <v>0</v>
      </c>
      <c r="H908" s="54">
        <v>0</v>
      </c>
    </row>
    <row r="909" spans="1:8" x14ac:dyDescent="0.2">
      <c r="A909" s="54" t="s">
        <v>979</v>
      </c>
      <c r="B909" s="54">
        <v>309225</v>
      </c>
      <c r="C909" s="54">
        <v>16</v>
      </c>
      <c r="D909" s="54">
        <v>16</v>
      </c>
      <c r="E909" s="54">
        <v>5</v>
      </c>
      <c r="F909" s="54">
        <v>0</v>
      </c>
      <c r="G909" s="54">
        <v>0</v>
      </c>
      <c r="H909" s="54">
        <v>68</v>
      </c>
    </row>
    <row r="910" spans="1:8" x14ac:dyDescent="0.2">
      <c r="A910" s="54" t="s">
        <v>980</v>
      </c>
      <c r="B910" s="54">
        <v>116337</v>
      </c>
      <c r="C910" s="54">
        <v>16</v>
      </c>
      <c r="D910" s="54">
        <v>8</v>
      </c>
      <c r="E910" s="54">
        <v>5</v>
      </c>
      <c r="F910" s="54">
        <v>0</v>
      </c>
      <c r="G910" s="54">
        <v>4</v>
      </c>
      <c r="H910" s="54">
        <v>43</v>
      </c>
    </row>
    <row r="911" spans="1:8" x14ac:dyDescent="0.2">
      <c r="A911" s="54" t="s">
        <v>981</v>
      </c>
      <c r="B911" s="54">
        <v>115403</v>
      </c>
      <c r="C911" s="54">
        <v>16</v>
      </c>
      <c r="D911" s="54">
        <v>15</v>
      </c>
      <c r="E911" s="54">
        <v>5</v>
      </c>
      <c r="F911" s="54">
        <v>0</v>
      </c>
      <c r="G911" s="54">
        <v>0</v>
      </c>
      <c r="H911" s="54">
        <v>0</v>
      </c>
    </row>
    <row r="912" spans="1:8" x14ac:dyDescent="0.2">
      <c r="A912" s="54" t="s">
        <v>982</v>
      </c>
      <c r="B912" s="54">
        <v>485748</v>
      </c>
      <c r="C912" s="54">
        <v>17</v>
      </c>
      <c r="D912" s="54">
        <v>17</v>
      </c>
      <c r="E912" s="54">
        <v>1</v>
      </c>
      <c r="F912" s="54">
        <v>0</v>
      </c>
      <c r="G912" s="54">
        <v>0</v>
      </c>
      <c r="H912" s="54">
        <v>0</v>
      </c>
    </row>
    <row r="913" spans="1:8" x14ac:dyDescent="0.2">
      <c r="A913" s="54" t="s">
        <v>983</v>
      </c>
      <c r="B913" s="54">
        <v>110870</v>
      </c>
      <c r="C913" s="54">
        <v>17</v>
      </c>
      <c r="D913" s="54">
        <v>27</v>
      </c>
      <c r="E913" s="54">
        <v>3</v>
      </c>
      <c r="F913" s="54">
        <v>0</v>
      </c>
      <c r="G913" s="54">
        <v>0</v>
      </c>
      <c r="H913" s="54">
        <v>0</v>
      </c>
    </row>
    <row r="914" spans="1:8" x14ac:dyDescent="0.2">
      <c r="A914" s="54" t="s">
        <v>984</v>
      </c>
      <c r="B914" s="54">
        <v>327410</v>
      </c>
      <c r="C914" s="54">
        <v>17</v>
      </c>
      <c r="D914" s="54">
        <v>17</v>
      </c>
      <c r="E914" s="54">
        <v>4</v>
      </c>
      <c r="F914" s="54">
        <v>0</v>
      </c>
      <c r="G914" s="54">
        <v>0</v>
      </c>
      <c r="H914" s="54">
        <v>0</v>
      </c>
    </row>
    <row r="915" spans="1:8" x14ac:dyDescent="0.2">
      <c r="A915" s="54" t="s">
        <v>985</v>
      </c>
      <c r="B915" s="54">
        <v>170623</v>
      </c>
      <c r="C915" s="54">
        <v>17</v>
      </c>
      <c r="D915" s="54">
        <v>28</v>
      </c>
      <c r="E915" s="54">
        <v>5</v>
      </c>
      <c r="F915" s="54">
        <v>6</v>
      </c>
      <c r="G915" s="54">
        <v>0</v>
      </c>
      <c r="H915" s="54">
        <v>1</v>
      </c>
    </row>
    <row r="916" spans="1:8" x14ac:dyDescent="0.2">
      <c r="A916" s="54" t="s">
        <v>986</v>
      </c>
      <c r="B916" s="54">
        <v>501804</v>
      </c>
      <c r="C916" s="54">
        <v>17</v>
      </c>
      <c r="D916" s="54">
        <v>6</v>
      </c>
      <c r="E916" s="54">
        <v>5</v>
      </c>
      <c r="F916" s="54">
        <v>0</v>
      </c>
      <c r="G916" s="54">
        <v>0</v>
      </c>
      <c r="H916" s="54">
        <v>0</v>
      </c>
    </row>
    <row r="917" spans="1:8" x14ac:dyDescent="0.2">
      <c r="A917" s="54" t="s">
        <v>987</v>
      </c>
      <c r="B917" s="54">
        <v>237178</v>
      </c>
      <c r="C917" s="54">
        <v>18</v>
      </c>
      <c r="D917" s="54">
        <v>175</v>
      </c>
      <c r="E917" s="54">
        <v>1</v>
      </c>
      <c r="F917" s="54">
        <v>0</v>
      </c>
      <c r="G917" s="54">
        <v>0</v>
      </c>
      <c r="H917" s="54">
        <v>19</v>
      </c>
    </row>
    <row r="918" spans="1:8" x14ac:dyDescent="0.2">
      <c r="A918" s="54" t="s">
        <v>988</v>
      </c>
      <c r="B918" s="54">
        <v>148782</v>
      </c>
      <c r="C918" s="54">
        <v>18</v>
      </c>
      <c r="D918" s="54">
        <v>50</v>
      </c>
      <c r="E918" s="54">
        <v>1</v>
      </c>
      <c r="F918" s="54">
        <v>0</v>
      </c>
      <c r="G918" s="54">
        <v>0</v>
      </c>
      <c r="H918" s="54">
        <v>0</v>
      </c>
    </row>
    <row r="919" spans="1:8" x14ac:dyDescent="0.2">
      <c r="A919" s="54" t="s">
        <v>989</v>
      </c>
      <c r="B919" s="54">
        <v>114398</v>
      </c>
      <c r="C919" s="54">
        <v>18</v>
      </c>
      <c r="D919" s="54">
        <v>20</v>
      </c>
      <c r="E919" s="54">
        <v>2</v>
      </c>
      <c r="F919" s="54">
        <v>0</v>
      </c>
      <c r="G919" s="54">
        <v>0</v>
      </c>
      <c r="H919" s="54">
        <v>0</v>
      </c>
    </row>
    <row r="920" spans="1:8" x14ac:dyDescent="0.2">
      <c r="A920" s="54" t="s">
        <v>990</v>
      </c>
      <c r="B920" s="54">
        <v>168376</v>
      </c>
      <c r="C920" s="54">
        <v>18</v>
      </c>
      <c r="D920" s="54">
        <v>18</v>
      </c>
      <c r="E920" s="54">
        <v>2</v>
      </c>
      <c r="F920" s="54">
        <v>21</v>
      </c>
      <c r="G920" s="54">
        <v>0</v>
      </c>
      <c r="H920" s="54">
        <v>0</v>
      </c>
    </row>
    <row r="921" spans="1:8" x14ac:dyDescent="0.2">
      <c r="A921" s="54" t="s">
        <v>991</v>
      </c>
      <c r="B921" s="54">
        <v>209541</v>
      </c>
      <c r="C921" s="54">
        <v>18</v>
      </c>
      <c r="D921" s="54">
        <v>18</v>
      </c>
      <c r="E921" s="54">
        <v>2</v>
      </c>
      <c r="F921" s="54">
        <v>0</v>
      </c>
      <c r="G921" s="54">
        <v>0</v>
      </c>
      <c r="H921" s="54">
        <v>0</v>
      </c>
    </row>
    <row r="922" spans="1:8" x14ac:dyDescent="0.2">
      <c r="A922" s="54" t="s">
        <v>992</v>
      </c>
      <c r="B922" s="54">
        <v>106446</v>
      </c>
      <c r="C922" s="54">
        <v>18</v>
      </c>
      <c r="D922" s="54">
        <v>16</v>
      </c>
      <c r="E922" s="54">
        <v>2</v>
      </c>
      <c r="F922" s="54">
        <v>69</v>
      </c>
      <c r="G922" s="54">
        <v>0</v>
      </c>
      <c r="H922" s="54">
        <v>12</v>
      </c>
    </row>
    <row r="923" spans="1:8" x14ac:dyDescent="0.2">
      <c r="A923" s="54" t="s">
        <v>993</v>
      </c>
      <c r="B923" s="54">
        <v>108291</v>
      </c>
      <c r="C923" s="54">
        <v>18</v>
      </c>
      <c r="D923" s="54">
        <v>18</v>
      </c>
      <c r="E923" s="54">
        <v>2</v>
      </c>
      <c r="F923" s="54">
        <v>56</v>
      </c>
      <c r="G923" s="54">
        <v>1</v>
      </c>
      <c r="H923" s="54">
        <v>0</v>
      </c>
    </row>
    <row r="924" spans="1:8" x14ac:dyDescent="0.2">
      <c r="A924" s="54" t="s">
        <v>994</v>
      </c>
      <c r="B924" s="54">
        <v>521750</v>
      </c>
      <c r="C924" s="54">
        <v>18</v>
      </c>
      <c r="D924" s="54">
        <v>88</v>
      </c>
      <c r="E924" s="54">
        <v>3</v>
      </c>
      <c r="F924" s="54">
        <v>111</v>
      </c>
      <c r="G924" s="54">
        <v>2</v>
      </c>
      <c r="H924" s="54">
        <v>0</v>
      </c>
    </row>
    <row r="925" spans="1:8" x14ac:dyDescent="0.2">
      <c r="A925" s="54" t="s">
        <v>995</v>
      </c>
      <c r="B925" s="54">
        <v>110305</v>
      </c>
      <c r="C925" s="54">
        <v>18</v>
      </c>
      <c r="D925" s="54">
        <v>522</v>
      </c>
      <c r="E925" s="54">
        <v>3</v>
      </c>
      <c r="F925" s="54">
        <v>7</v>
      </c>
      <c r="G925" s="54">
        <v>19</v>
      </c>
      <c r="H925" s="54">
        <v>0</v>
      </c>
    </row>
    <row r="926" spans="1:8" x14ac:dyDescent="0.2">
      <c r="A926" s="54" t="s">
        <v>996</v>
      </c>
      <c r="B926" s="54">
        <v>180045</v>
      </c>
      <c r="C926" s="54">
        <v>18</v>
      </c>
      <c r="D926" s="54">
        <v>80</v>
      </c>
      <c r="E926" s="54">
        <v>4</v>
      </c>
      <c r="F926" s="54">
        <v>1</v>
      </c>
      <c r="G926" s="54">
        <v>8</v>
      </c>
      <c r="H926" s="54">
        <v>0</v>
      </c>
    </row>
    <row r="927" spans="1:8" x14ac:dyDescent="0.2">
      <c r="A927" s="54" t="s">
        <v>997</v>
      </c>
      <c r="B927" s="54">
        <v>129050</v>
      </c>
      <c r="C927" s="54">
        <v>18</v>
      </c>
      <c r="D927" s="54">
        <v>19</v>
      </c>
      <c r="E927" s="54">
        <v>0</v>
      </c>
      <c r="F927" s="54">
        <v>0</v>
      </c>
      <c r="G927" s="54">
        <v>0</v>
      </c>
      <c r="H927" s="54">
        <v>0</v>
      </c>
    </row>
    <row r="928" spans="1:8" x14ac:dyDescent="0.2">
      <c r="A928" s="54" t="s">
        <v>998</v>
      </c>
      <c r="B928" s="54">
        <v>443871</v>
      </c>
      <c r="C928" s="54">
        <v>18</v>
      </c>
      <c r="D928" s="54">
        <v>18</v>
      </c>
      <c r="E928" s="54">
        <v>0</v>
      </c>
      <c r="F928" s="54">
        <v>0</v>
      </c>
      <c r="G928" s="54">
        <v>0</v>
      </c>
      <c r="H928" s="54">
        <v>0</v>
      </c>
    </row>
    <row r="929" spans="1:8" x14ac:dyDescent="0.2">
      <c r="A929" s="54" t="s">
        <v>999</v>
      </c>
      <c r="B929" s="54">
        <v>107984</v>
      </c>
      <c r="C929" s="54">
        <v>18</v>
      </c>
      <c r="D929" s="54">
        <v>18</v>
      </c>
      <c r="E929" s="54">
        <v>0</v>
      </c>
      <c r="F929" s="54">
        <v>0</v>
      </c>
      <c r="G929" s="54">
        <v>0</v>
      </c>
      <c r="H929" s="54">
        <v>8</v>
      </c>
    </row>
    <row r="930" spans="1:8" x14ac:dyDescent="0.2">
      <c r="A930" s="54" t="s">
        <v>1000</v>
      </c>
      <c r="B930" s="54">
        <v>216488</v>
      </c>
      <c r="C930" s="54">
        <v>19</v>
      </c>
      <c r="D930" s="54">
        <v>17</v>
      </c>
      <c r="E930" s="54">
        <v>3</v>
      </c>
      <c r="F930" s="54">
        <v>3</v>
      </c>
      <c r="G930" s="54">
        <v>0</v>
      </c>
      <c r="H930" s="54">
        <v>2</v>
      </c>
    </row>
    <row r="931" spans="1:8" x14ac:dyDescent="0.2">
      <c r="A931" s="54" t="s">
        <v>1001</v>
      </c>
      <c r="B931" s="54">
        <v>183838</v>
      </c>
      <c r="C931" s="54">
        <v>19</v>
      </c>
      <c r="D931" s="54">
        <v>115</v>
      </c>
      <c r="E931" s="54">
        <v>3</v>
      </c>
      <c r="F931" s="54">
        <v>0</v>
      </c>
      <c r="G931" s="54">
        <v>22</v>
      </c>
      <c r="H931" s="54">
        <v>13</v>
      </c>
    </row>
    <row r="932" spans="1:8" x14ac:dyDescent="0.2">
      <c r="A932" s="54" t="s">
        <v>1002</v>
      </c>
      <c r="B932" s="54">
        <v>157038</v>
      </c>
      <c r="C932" s="54">
        <v>19</v>
      </c>
      <c r="D932" s="54">
        <v>17</v>
      </c>
      <c r="E932" s="54">
        <v>4</v>
      </c>
      <c r="F932" s="54">
        <v>0</v>
      </c>
      <c r="G932" s="54">
        <v>0</v>
      </c>
      <c r="H932" s="54">
        <v>0</v>
      </c>
    </row>
    <row r="933" spans="1:8" x14ac:dyDescent="0.2">
      <c r="A933" s="54" t="s">
        <v>1003</v>
      </c>
      <c r="B933" s="54">
        <v>200469</v>
      </c>
      <c r="C933" s="54">
        <v>19</v>
      </c>
      <c r="D933" s="54">
        <v>10</v>
      </c>
      <c r="E933" s="54">
        <v>0</v>
      </c>
      <c r="F933" s="54">
        <v>0</v>
      </c>
      <c r="G933" s="54">
        <v>0</v>
      </c>
      <c r="H933" s="54">
        <v>8</v>
      </c>
    </row>
    <row r="934" spans="1:8" x14ac:dyDescent="0.2">
      <c r="A934" s="54" t="s">
        <v>1004</v>
      </c>
      <c r="B934" s="54">
        <v>185240</v>
      </c>
      <c r="C934" s="54">
        <v>19</v>
      </c>
      <c r="D934" s="54">
        <v>20</v>
      </c>
      <c r="E934" s="54">
        <v>0</v>
      </c>
      <c r="F934" s="54">
        <v>0</v>
      </c>
      <c r="G934" s="54">
        <v>0</v>
      </c>
      <c r="H934" s="54">
        <v>0</v>
      </c>
    </row>
    <row r="935" spans="1:8" x14ac:dyDescent="0.2">
      <c r="A935" s="54" t="s">
        <v>1005</v>
      </c>
      <c r="B935" s="54">
        <v>108600</v>
      </c>
      <c r="C935" s="54">
        <v>20</v>
      </c>
      <c r="D935" s="54">
        <v>20</v>
      </c>
      <c r="E935" s="54">
        <v>2</v>
      </c>
      <c r="F935" s="54">
        <v>88</v>
      </c>
      <c r="G935" s="54">
        <v>8</v>
      </c>
      <c r="H935" s="54">
        <v>0</v>
      </c>
    </row>
    <row r="936" spans="1:8" x14ac:dyDescent="0.2">
      <c r="A936" s="54" t="s">
        <v>1006</v>
      </c>
      <c r="B936" s="54">
        <v>115080</v>
      </c>
      <c r="C936" s="54">
        <v>20</v>
      </c>
      <c r="D936" s="54">
        <v>20</v>
      </c>
      <c r="E936" s="54">
        <v>2</v>
      </c>
      <c r="F936" s="54">
        <v>0</v>
      </c>
      <c r="G936" s="54">
        <v>0</v>
      </c>
      <c r="H936" s="54">
        <v>2</v>
      </c>
    </row>
    <row r="937" spans="1:8" x14ac:dyDescent="0.2">
      <c r="A937" s="54" t="s">
        <v>1007</v>
      </c>
      <c r="B937" s="54">
        <v>115379</v>
      </c>
      <c r="C937" s="54">
        <v>20</v>
      </c>
      <c r="D937" s="54">
        <v>20</v>
      </c>
      <c r="E937" s="54">
        <v>2</v>
      </c>
      <c r="F937" s="54">
        <v>0</v>
      </c>
      <c r="G937" s="54">
        <v>0</v>
      </c>
      <c r="H937" s="54">
        <v>0</v>
      </c>
    </row>
    <row r="938" spans="1:8" x14ac:dyDescent="0.2">
      <c r="A938" s="54" t="s">
        <v>1008</v>
      </c>
      <c r="B938" s="54">
        <v>140147</v>
      </c>
      <c r="C938" s="54">
        <v>20</v>
      </c>
      <c r="D938" s="54">
        <v>30</v>
      </c>
      <c r="E938" s="54">
        <v>3</v>
      </c>
      <c r="F938" s="54">
        <v>0</v>
      </c>
      <c r="G938" s="54">
        <v>0</v>
      </c>
      <c r="H938" s="54">
        <v>0</v>
      </c>
    </row>
    <row r="939" spans="1:8" x14ac:dyDescent="0.2">
      <c r="A939" s="54" t="s">
        <v>1009</v>
      </c>
      <c r="B939" s="54">
        <v>470991</v>
      </c>
      <c r="C939" s="54">
        <v>20</v>
      </c>
      <c r="D939" s="54">
        <v>15</v>
      </c>
      <c r="E939" s="54">
        <v>3</v>
      </c>
      <c r="F939" s="54">
        <v>0</v>
      </c>
      <c r="G939" s="54">
        <v>0</v>
      </c>
      <c r="H939" s="54">
        <v>0</v>
      </c>
    </row>
    <row r="940" spans="1:8" x14ac:dyDescent="0.2">
      <c r="A940" s="54" t="s">
        <v>1010</v>
      </c>
      <c r="B940" s="54">
        <v>239968</v>
      </c>
      <c r="C940" s="54">
        <v>20</v>
      </c>
      <c r="D940" s="54">
        <v>25</v>
      </c>
      <c r="E940" s="54">
        <v>3</v>
      </c>
      <c r="F940" s="54">
        <v>0</v>
      </c>
      <c r="G940" s="54">
        <v>0</v>
      </c>
      <c r="H940" s="54">
        <v>0</v>
      </c>
    </row>
    <row r="941" spans="1:8" x14ac:dyDescent="0.2">
      <c r="A941" s="54" t="s">
        <v>1011</v>
      </c>
      <c r="B941" s="54">
        <v>198111</v>
      </c>
      <c r="C941" s="54">
        <v>20</v>
      </c>
      <c r="D941" s="54">
        <v>20</v>
      </c>
      <c r="E941" s="54">
        <v>3</v>
      </c>
      <c r="F941" s="54">
        <v>0</v>
      </c>
      <c r="G941" s="54">
        <v>0</v>
      </c>
      <c r="H941" s="54">
        <v>5</v>
      </c>
    </row>
    <row r="942" spans="1:8" x14ac:dyDescent="0.2">
      <c r="A942" s="54" t="s">
        <v>1012</v>
      </c>
      <c r="B942" s="54">
        <v>129372</v>
      </c>
      <c r="C942" s="54">
        <v>20</v>
      </c>
      <c r="D942" s="54">
        <v>17</v>
      </c>
      <c r="E942" s="54">
        <v>3</v>
      </c>
      <c r="F942" s="54">
        <v>0</v>
      </c>
      <c r="G942" s="54">
        <v>0</v>
      </c>
      <c r="H942" s="54">
        <v>0</v>
      </c>
    </row>
    <row r="943" spans="1:8" x14ac:dyDescent="0.2">
      <c r="A943" s="54" t="s">
        <v>1013</v>
      </c>
      <c r="B943" s="54">
        <v>327051</v>
      </c>
      <c r="C943" s="54">
        <v>20</v>
      </c>
      <c r="D943" s="54">
        <v>20</v>
      </c>
      <c r="E943" s="54">
        <v>4</v>
      </c>
      <c r="F943" s="54">
        <v>39</v>
      </c>
      <c r="G943" s="54">
        <v>22</v>
      </c>
      <c r="H943" s="54">
        <v>6</v>
      </c>
    </row>
    <row r="944" spans="1:8" x14ac:dyDescent="0.2">
      <c r="A944" s="54" t="s">
        <v>1014</v>
      </c>
      <c r="B944" s="54">
        <v>110080</v>
      </c>
      <c r="C944" s="54">
        <v>20</v>
      </c>
      <c r="D944" s="54">
        <v>20</v>
      </c>
      <c r="E944" s="54">
        <v>4</v>
      </c>
      <c r="F944" s="54">
        <v>0</v>
      </c>
      <c r="G944" s="54">
        <v>0</v>
      </c>
      <c r="H944" s="54">
        <v>0</v>
      </c>
    </row>
    <row r="945" spans="1:8" x14ac:dyDescent="0.2">
      <c r="A945" s="54" t="s">
        <v>1015</v>
      </c>
      <c r="B945" s="54">
        <v>440255</v>
      </c>
      <c r="C945" s="54">
        <v>20</v>
      </c>
      <c r="D945" s="54">
        <v>20</v>
      </c>
      <c r="E945" s="54">
        <v>5</v>
      </c>
      <c r="F945" s="54">
        <v>15</v>
      </c>
      <c r="G945" s="54">
        <v>0</v>
      </c>
      <c r="H945" s="54">
        <v>0</v>
      </c>
    </row>
    <row r="946" spans="1:8" x14ac:dyDescent="0.2">
      <c r="A946" s="54" t="s">
        <v>1016</v>
      </c>
      <c r="B946" s="54">
        <v>319148</v>
      </c>
      <c r="C946" s="54">
        <v>20</v>
      </c>
      <c r="D946" s="54">
        <v>16</v>
      </c>
      <c r="E946" s="54">
        <v>5</v>
      </c>
      <c r="F946" s="54">
        <v>16</v>
      </c>
      <c r="G946" s="54">
        <v>0</v>
      </c>
      <c r="H946" s="54">
        <v>0</v>
      </c>
    </row>
    <row r="947" spans="1:8" x14ac:dyDescent="0.2">
      <c r="A947" s="54" t="s">
        <v>1017</v>
      </c>
      <c r="B947" s="54">
        <v>493599</v>
      </c>
      <c r="C947" s="54">
        <v>20</v>
      </c>
      <c r="D947" s="54">
        <v>20</v>
      </c>
      <c r="E947" s="54">
        <v>5</v>
      </c>
      <c r="F947" s="54">
        <v>0</v>
      </c>
      <c r="G947" s="54">
        <v>0</v>
      </c>
      <c r="H947" s="54">
        <v>1</v>
      </c>
    </row>
    <row r="948" spans="1:8" x14ac:dyDescent="0.2">
      <c r="A948" s="54" t="s">
        <v>1018</v>
      </c>
      <c r="B948" s="54">
        <v>448619</v>
      </c>
      <c r="C948" s="54">
        <v>20</v>
      </c>
      <c r="D948" s="54">
        <v>22</v>
      </c>
      <c r="E948" s="54">
        <v>0</v>
      </c>
      <c r="F948" s="54">
        <v>0</v>
      </c>
      <c r="G948" s="54">
        <v>0</v>
      </c>
      <c r="H948" s="54">
        <v>0</v>
      </c>
    </row>
    <row r="949" spans="1:8" x14ac:dyDescent="0.2">
      <c r="A949" s="54" t="s">
        <v>1019</v>
      </c>
      <c r="B949" s="54">
        <v>326543</v>
      </c>
      <c r="C949" s="54">
        <v>21</v>
      </c>
      <c r="D949" s="54">
        <v>25</v>
      </c>
      <c r="E949" s="54">
        <v>1</v>
      </c>
      <c r="F949" s="54">
        <v>0</v>
      </c>
      <c r="G949" s="54">
        <v>0</v>
      </c>
      <c r="H949" s="54">
        <v>6</v>
      </c>
    </row>
    <row r="950" spans="1:8" x14ac:dyDescent="0.2">
      <c r="A950" s="54" t="s">
        <v>1020</v>
      </c>
      <c r="B950" s="54">
        <v>111999</v>
      </c>
      <c r="C950" s="54">
        <v>21</v>
      </c>
      <c r="D950" s="54">
        <v>20</v>
      </c>
      <c r="E950" s="54">
        <v>2</v>
      </c>
      <c r="F950" s="54">
        <v>0</v>
      </c>
      <c r="G950" s="54">
        <v>0</v>
      </c>
      <c r="H950" s="54">
        <v>0</v>
      </c>
    </row>
    <row r="951" spans="1:8" x14ac:dyDescent="0.2">
      <c r="A951" s="54" t="s">
        <v>1021</v>
      </c>
      <c r="B951" s="54">
        <v>112696</v>
      </c>
      <c r="C951" s="54">
        <v>21</v>
      </c>
      <c r="D951" s="54">
        <v>14</v>
      </c>
      <c r="E951" s="54">
        <v>4</v>
      </c>
      <c r="F951" s="54">
        <v>27</v>
      </c>
      <c r="G951" s="54">
        <v>28</v>
      </c>
      <c r="H951" s="54">
        <v>0</v>
      </c>
    </row>
    <row r="952" spans="1:8" x14ac:dyDescent="0.2">
      <c r="A952" s="54" t="s">
        <v>1022</v>
      </c>
      <c r="B952" s="54">
        <v>106576</v>
      </c>
      <c r="C952" s="54">
        <v>21</v>
      </c>
      <c r="D952" s="54">
        <v>2</v>
      </c>
      <c r="E952" s="54">
        <v>5</v>
      </c>
      <c r="F952" s="54">
        <v>0</v>
      </c>
      <c r="G952" s="54">
        <v>0</v>
      </c>
      <c r="H952" s="54">
        <v>0</v>
      </c>
    </row>
    <row r="953" spans="1:8" x14ac:dyDescent="0.2">
      <c r="A953" s="54" t="s">
        <v>1023</v>
      </c>
      <c r="B953" s="54">
        <v>113553</v>
      </c>
      <c r="C953" s="54">
        <v>22</v>
      </c>
      <c r="D953" s="54">
        <v>14</v>
      </c>
      <c r="E953" s="54">
        <v>1</v>
      </c>
      <c r="F953" s="54">
        <v>3</v>
      </c>
      <c r="G953" s="54">
        <v>19</v>
      </c>
      <c r="H953" s="54">
        <v>10</v>
      </c>
    </row>
    <row r="954" spans="1:8" x14ac:dyDescent="0.2">
      <c r="A954" s="54" t="s">
        <v>1024</v>
      </c>
      <c r="B954" s="54">
        <v>317556</v>
      </c>
      <c r="C954" s="54">
        <v>22</v>
      </c>
      <c r="D954" s="54">
        <v>24</v>
      </c>
      <c r="E954" s="54">
        <v>1</v>
      </c>
      <c r="F954" s="54">
        <v>0</v>
      </c>
      <c r="G954" s="54">
        <v>0</v>
      </c>
      <c r="H954" s="54">
        <v>3</v>
      </c>
    </row>
    <row r="955" spans="1:8" x14ac:dyDescent="0.2">
      <c r="A955" s="54" t="s">
        <v>1025</v>
      </c>
      <c r="B955" s="54">
        <v>135461</v>
      </c>
      <c r="C955" s="54">
        <v>22</v>
      </c>
      <c r="D955" s="54">
        <v>20</v>
      </c>
      <c r="E955" s="54">
        <v>1</v>
      </c>
      <c r="F955" s="54">
        <v>2</v>
      </c>
      <c r="G955" s="54">
        <v>10</v>
      </c>
      <c r="H955" s="54">
        <v>0</v>
      </c>
    </row>
    <row r="956" spans="1:8" x14ac:dyDescent="0.2">
      <c r="A956" s="54" t="s">
        <v>1026</v>
      </c>
      <c r="B956" s="54">
        <v>110264</v>
      </c>
      <c r="C956" s="54">
        <v>22</v>
      </c>
      <c r="D956" s="54">
        <v>23</v>
      </c>
      <c r="E956" s="54">
        <v>2</v>
      </c>
      <c r="F956" s="54">
        <v>31</v>
      </c>
      <c r="G956" s="54">
        <v>0</v>
      </c>
      <c r="H956" s="54">
        <v>0</v>
      </c>
    </row>
    <row r="957" spans="1:8" x14ac:dyDescent="0.2">
      <c r="A957" s="54" t="s">
        <v>1027</v>
      </c>
      <c r="B957" s="54">
        <v>118387</v>
      </c>
      <c r="C957" s="54">
        <v>22</v>
      </c>
      <c r="D957" s="54">
        <v>20</v>
      </c>
      <c r="E957" s="54">
        <v>2</v>
      </c>
      <c r="F957" s="54">
        <v>0</v>
      </c>
      <c r="G957" s="54">
        <v>4</v>
      </c>
      <c r="H957" s="54">
        <v>30</v>
      </c>
    </row>
    <row r="958" spans="1:8" x14ac:dyDescent="0.2">
      <c r="A958" s="54" t="s">
        <v>1028</v>
      </c>
      <c r="B958" s="54">
        <v>488231</v>
      </c>
      <c r="C958" s="54">
        <v>22</v>
      </c>
      <c r="D958" s="54">
        <v>22</v>
      </c>
      <c r="E958" s="54">
        <v>2</v>
      </c>
      <c r="F958" s="54">
        <v>8</v>
      </c>
      <c r="G958" s="54">
        <v>0</v>
      </c>
      <c r="H958" s="54">
        <v>15</v>
      </c>
    </row>
    <row r="959" spans="1:8" x14ac:dyDescent="0.2">
      <c r="A959" s="54" t="s">
        <v>1029</v>
      </c>
      <c r="B959" s="54">
        <v>115798</v>
      </c>
      <c r="C959" s="54">
        <v>22</v>
      </c>
      <c r="D959" s="54">
        <v>20</v>
      </c>
      <c r="E959" s="54">
        <v>2</v>
      </c>
      <c r="F959" s="54">
        <v>0</v>
      </c>
      <c r="G959" s="54">
        <v>6</v>
      </c>
      <c r="H959" s="54">
        <v>41</v>
      </c>
    </row>
    <row r="960" spans="1:8" x14ac:dyDescent="0.2">
      <c r="A960" s="54" t="s">
        <v>1030</v>
      </c>
      <c r="B960" s="54">
        <v>315562</v>
      </c>
      <c r="C960" s="54">
        <v>22</v>
      </c>
      <c r="D960" s="54">
        <v>22</v>
      </c>
      <c r="E960" s="54">
        <v>3</v>
      </c>
      <c r="F960" s="54">
        <v>7</v>
      </c>
      <c r="G960" s="54">
        <v>2</v>
      </c>
      <c r="H960" s="54">
        <v>25</v>
      </c>
    </row>
    <row r="961" spans="1:8" x14ac:dyDescent="0.2">
      <c r="A961" s="54" t="s">
        <v>1031</v>
      </c>
      <c r="B961" s="54">
        <v>311124</v>
      </c>
      <c r="C961" s="54">
        <v>22</v>
      </c>
      <c r="D961" s="54">
        <v>20</v>
      </c>
      <c r="E961" s="54">
        <v>0</v>
      </c>
      <c r="F961" s="54">
        <v>0</v>
      </c>
      <c r="G961" s="54">
        <v>0</v>
      </c>
      <c r="H961" s="54">
        <v>0</v>
      </c>
    </row>
    <row r="962" spans="1:8" x14ac:dyDescent="0.2">
      <c r="A962" s="54" t="s">
        <v>1032</v>
      </c>
      <c r="B962" s="54">
        <v>516051</v>
      </c>
      <c r="C962" s="54">
        <v>22</v>
      </c>
      <c r="D962" s="54">
        <v>22</v>
      </c>
      <c r="E962" s="54">
        <v>0</v>
      </c>
      <c r="F962" s="54">
        <v>0</v>
      </c>
      <c r="G962" s="54">
        <v>0</v>
      </c>
      <c r="H962" s="54">
        <v>0</v>
      </c>
    </row>
    <row r="963" spans="1:8" x14ac:dyDescent="0.2">
      <c r="A963" s="54" t="s">
        <v>1033</v>
      </c>
      <c r="B963" s="54">
        <v>211950</v>
      </c>
      <c r="C963" s="54">
        <v>23</v>
      </c>
      <c r="D963" s="54">
        <v>23</v>
      </c>
      <c r="E963" s="54">
        <v>1</v>
      </c>
      <c r="F963" s="54">
        <v>6</v>
      </c>
      <c r="G963" s="54">
        <v>0</v>
      </c>
      <c r="H963" s="54">
        <v>14</v>
      </c>
    </row>
    <row r="964" spans="1:8" x14ac:dyDescent="0.2">
      <c r="A964" s="54" t="s">
        <v>1034</v>
      </c>
      <c r="B964" s="54">
        <v>459792</v>
      </c>
      <c r="C964" s="54">
        <v>23</v>
      </c>
      <c r="D964" s="54">
        <v>20</v>
      </c>
      <c r="E964" s="54">
        <v>3</v>
      </c>
      <c r="F964" s="54">
        <v>0</v>
      </c>
      <c r="G964" s="54">
        <v>0</v>
      </c>
      <c r="H964" s="54">
        <v>0</v>
      </c>
    </row>
    <row r="965" spans="1:8" x14ac:dyDescent="0.2">
      <c r="A965" s="54" t="s">
        <v>1035</v>
      </c>
      <c r="B965" s="54">
        <v>452370</v>
      </c>
      <c r="C965" s="54">
        <v>23</v>
      </c>
      <c r="D965" s="54">
        <v>20</v>
      </c>
      <c r="E965" s="54">
        <v>3</v>
      </c>
      <c r="F965" s="54">
        <v>0</v>
      </c>
      <c r="G965" s="54">
        <v>0</v>
      </c>
      <c r="H965" s="54">
        <v>0</v>
      </c>
    </row>
    <row r="966" spans="1:8" x14ac:dyDescent="0.2">
      <c r="A966" s="54" t="s">
        <v>1036</v>
      </c>
      <c r="B966" s="54">
        <v>198552</v>
      </c>
      <c r="C966" s="54">
        <v>23</v>
      </c>
      <c r="D966" s="54">
        <v>17</v>
      </c>
      <c r="E966" s="54">
        <v>4</v>
      </c>
      <c r="F966" s="54">
        <v>48</v>
      </c>
      <c r="G966" s="54">
        <v>8</v>
      </c>
      <c r="H966" s="54">
        <v>0</v>
      </c>
    </row>
    <row r="967" spans="1:8" x14ac:dyDescent="0.2">
      <c r="A967" s="54" t="s">
        <v>1037</v>
      </c>
      <c r="B967" s="54">
        <v>321213</v>
      </c>
      <c r="C967" s="54">
        <v>23</v>
      </c>
      <c r="D967" s="54">
        <v>7</v>
      </c>
      <c r="E967" s="54">
        <v>5</v>
      </c>
      <c r="F967" s="54">
        <v>0</v>
      </c>
      <c r="G967" s="54">
        <v>0</v>
      </c>
      <c r="H967" s="54">
        <v>19</v>
      </c>
    </row>
    <row r="968" spans="1:8" x14ac:dyDescent="0.2">
      <c r="A968" s="54" t="s">
        <v>1038</v>
      </c>
      <c r="B968" s="54">
        <v>105459</v>
      </c>
      <c r="C968" s="54">
        <v>23</v>
      </c>
      <c r="D968" s="54">
        <v>21</v>
      </c>
      <c r="E968" s="54">
        <v>0</v>
      </c>
      <c r="F968" s="54">
        <v>0</v>
      </c>
      <c r="G968" s="54">
        <v>0</v>
      </c>
      <c r="H968" s="54">
        <v>0</v>
      </c>
    </row>
    <row r="969" spans="1:8" x14ac:dyDescent="0.2">
      <c r="A969" s="54" t="s">
        <v>1039</v>
      </c>
      <c r="B969" s="54">
        <v>109968</v>
      </c>
      <c r="C969" s="54">
        <v>24</v>
      </c>
      <c r="D969" s="54">
        <v>24</v>
      </c>
      <c r="E969" s="54">
        <v>1</v>
      </c>
      <c r="F969" s="54">
        <v>0</v>
      </c>
      <c r="G969" s="54">
        <v>0</v>
      </c>
      <c r="H969" s="54">
        <v>0</v>
      </c>
    </row>
    <row r="970" spans="1:8" x14ac:dyDescent="0.2">
      <c r="A970" s="54" t="s">
        <v>1040</v>
      </c>
      <c r="B970" s="54">
        <v>413118</v>
      </c>
      <c r="C970" s="54">
        <v>24</v>
      </c>
      <c r="D970" s="54">
        <v>24</v>
      </c>
      <c r="E970" s="54">
        <v>3</v>
      </c>
      <c r="F970" s="54">
        <v>0</v>
      </c>
      <c r="G970" s="54">
        <v>0</v>
      </c>
      <c r="H970" s="54">
        <v>4</v>
      </c>
    </row>
    <row r="971" spans="1:8" x14ac:dyDescent="0.2">
      <c r="A971" s="54" t="s">
        <v>1041</v>
      </c>
      <c r="B971" s="54">
        <v>109081</v>
      </c>
      <c r="C971" s="54">
        <v>24</v>
      </c>
      <c r="D971" s="54">
        <v>20</v>
      </c>
      <c r="E971" s="54">
        <v>4</v>
      </c>
      <c r="F971" s="54">
        <v>0</v>
      </c>
      <c r="G971" s="54">
        <v>0</v>
      </c>
      <c r="H971" s="54">
        <v>0</v>
      </c>
    </row>
    <row r="972" spans="1:8" x14ac:dyDescent="0.2">
      <c r="A972" s="54" t="s">
        <v>1042</v>
      </c>
      <c r="B972" s="54">
        <v>116393</v>
      </c>
      <c r="C972" s="54">
        <v>25</v>
      </c>
      <c r="D972" s="54">
        <v>25</v>
      </c>
      <c r="E972" s="54">
        <v>1</v>
      </c>
      <c r="F972" s="54">
        <v>5</v>
      </c>
      <c r="G972" s="54">
        <v>28</v>
      </c>
      <c r="H972" s="54">
        <v>19</v>
      </c>
    </row>
    <row r="973" spans="1:8" x14ac:dyDescent="0.2">
      <c r="A973" s="54" t="s">
        <v>1043</v>
      </c>
      <c r="B973" s="54">
        <v>451573</v>
      </c>
      <c r="C973" s="54">
        <v>25</v>
      </c>
      <c r="D973" s="54">
        <v>25</v>
      </c>
      <c r="E973" s="54">
        <v>3</v>
      </c>
      <c r="F973" s="54">
        <v>0</v>
      </c>
      <c r="G973" s="54">
        <v>0</v>
      </c>
      <c r="H973" s="54">
        <v>0</v>
      </c>
    </row>
    <row r="974" spans="1:8" x14ac:dyDescent="0.2">
      <c r="A974" s="54" t="s">
        <v>1044</v>
      </c>
      <c r="B974" s="54">
        <v>107826</v>
      </c>
      <c r="C974" s="54">
        <v>25</v>
      </c>
      <c r="D974" s="54">
        <v>1150</v>
      </c>
      <c r="E974" s="54">
        <v>3</v>
      </c>
      <c r="F974" s="54">
        <v>46</v>
      </c>
      <c r="G974" s="54">
        <v>139</v>
      </c>
      <c r="H974" s="54">
        <v>37</v>
      </c>
    </row>
    <row r="975" spans="1:8" x14ac:dyDescent="0.2">
      <c r="A975" s="54" t="s">
        <v>1045</v>
      </c>
      <c r="B975" s="54">
        <v>113326</v>
      </c>
      <c r="C975" s="54">
        <v>25</v>
      </c>
      <c r="D975" s="54">
        <v>22</v>
      </c>
      <c r="E975" s="54">
        <v>3</v>
      </c>
      <c r="F975" s="54">
        <v>8</v>
      </c>
      <c r="G975" s="54">
        <v>0</v>
      </c>
      <c r="H975" s="54">
        <v>0</v>
      </c>
    </row>
    <row r="976" spans="1:8" x14ac:dyDescent="0.2">
      <c r="A976" s="54" t="s">
        <v>1046</v>
      </c>
      <c r="B976" s="54">
        <v>125102</v>
      </c>
      <c r="C976" s="54">
        <v>25</v>
      </c>
      <c r="D976" s="54">
        <v>25</v>
      </c>
      <c r="E976" s="54">
        <v>3</v>
      </c>
      <c r="F976" s="54">
        <v>11</v>
      </c>
      <c r="G976" s="54">
        <v>0</v>
      </c>
      <c r="H976" s="54">
        <v>0</v>
      </c>
    </row>
    <row r="977" spans="1:8" x14ac:dyDescent="0.2">
      <c r="A977" s="54" t="s">
        <v>1047</v>
      </c>
      <c r="B977" s="54">
        <v>132522</v>
      </c>
      <c r="C977" s="54">
        <v>25</v>
      </c>
      <c r="D977" s="54">
        <v>25</v>
      </c>
      <c r="E977" s="54">
        <v>4</v>
      </c>
      <c r="F977" s="54">
        <v>34</v>
      </c>
      <c r="G977" s="54">
        <v>9</v>
      </c>
      <c r="H977" s="54">
        <v>0</v>
      </c>
    </row>
    <row r="978" spans="1:8" x14ac:dyDescent="0.2">
      <c r="A978" s="54" t="s">
        <v>1048</v>
      </c>
      <c r="B978" s="54">
        <v>124098</v>
      </c>
      <c r="C978" s="54">
        <v>25</v>
      </c>
      <c r="D978" s="54">
        <v>28</v>
      </c>
      <c r="E978" s="54">
        <v>4</v>
      </c>
      <c r="F978" s="54">
        <v>9</v>
      </c>
      <c r="G978" s="54">
        <v>0</v>
      </c>
      <c r="H978" s="54">
        <v>0</v>
      </c>
    </row>
    <row r="979" spans="1:8" x14ac:dyDescent="0.2">
      <c r="A979" s="54" t="s">
        <v>1049</v>
      </c>
      <c r="B979" s="54">
        <v>471744</v>
      </c>
      <c r="C979" s="54">
        <v>25</v>
      </c>
      <c r="D979" s="54">
        <v>23</v>
      </c>
      <c r="E979" s="54">
        <v>4</v>
      </c>
      <c r="F979" s="54">
        <v>0</v>
      </c>
      <c r="G979" s="54">
        <v>0</v>
      </c>
      <c r="H979" s="54">
        <v>0</v>
      </c>
    </row>
    <row r="980" spans="1:8" x14ac:dyDescent="0.2">
      <c r="A980" s="54" t="s">
        <v>1050</v>
      </c>
      <c r="B980" s="54">
        <v>115904</v>
      </c>
      <c r="C980" s="54">
        <v>25</v>
      </c>
      <c r="D980" s="54">
        <v>10</v>
      </c>
      <c r="E980" s="54">
        <v>5</v>
      </c>
      <c r="F980" s="54">
        <v>3</v>
      </c>
      <c r="G980" s="54">
        <v>0</v>
      </c>
      <c r="H980" s="54">
        <v>0</v>
      </c>
    </row>
    <row r="981" spans="1:8" x14ac:dyDescent="0.2">
      <c r="A981" s="54" t="s">
        <v>1051</v>
      </c>
      <c r="B981" s="54">
        <v>115574</v>
      </c>
      <c r="C981" s="54">
        <v>25</v>
      </c>
      <c r="D981" s="54">
        <v>15</v>
      </c>
      <c r="E981" s="54">
        <v>0</v>
      </c>
      <c r="F981" s="54">
        <v>0</v>
      </c>
      <c r="G981" s="54">
        <v>0</v>
      </c>
      <c r="H981" s="54">
        <v>0</v>
      </c>
    </row>
    <row r="982" spans="1:8" x14ac:dyDescent="0.2">
      <c r="A982" s="54" t="s">
        <v>1052</v>
      </c>
      <c r="B982" s="54">
        <v>465880</v>
      </c>
      <c r="C982" s="54">
        <v>25</v>
      </c>
      <c r="D982" s="54">
        <v>20</v>
      </c>
      <c r="E982" s="54">
        <v>0</v>
      </c>
      <c r="F982" s="54">
        <v>0</v>
      </c>
      <c r="G982" s="54">
        <v>0</v>
      </c>
      <c r="H982" s="54">
        <v>0</v>
      </c>
    </row>
    <row r="983" spans="1:8" x14ac:dyDescent="0.2">
      <c r="A983" s="54" t="s">
        <v>1053</v>
      </c>
      <c r="B983" s="54">
        <v>154280</v>
      </c>
      <c r="C983" s="54">
        <v>26</v>
      </c>
      <c r="D983" s="54">
        <v>15</v>
      </c>
      <c r="E983" s="54">
        <v>1</v>
      </c>
      <c r="F983" s="54">
        <v>4</v>
      </c>
      <c r="G983" s="54">
        <v>0</v>
      </c>
      <c r="H983" s="54">
        <v>0</v>
      </c>
    </row>
    <row r="984" spans="1:8" x14ac:dyDescent="0.2">
      <c r="A984" s="54" t="s">
        <v>1054</v>
      </c>
      <c r="B984" s="54">
        <v>115913</v>
      </c>
      <c r="C984" s="54">
        <v>26</v>
      </c>
      <c r="D984" s="54">
        <v>14</v>
      </c>
      <c r="E984" s="54">
        <v>1</v>
      </c>
      <c r="F984" s="54">
        <v>0</v>
      </c>
      <c r="G984" s="54">
        <v>0</v>
      </c>
      <c r="H984" s="54">
        <v>0</v>
      </c>
    </row>
    <row r="985" spans="1:8" x14ac:dyDescent="0.2">
      <c r="A985" s="54" t="s">
        <v>1055</v>
      </c>
      <c r="B985" s="54">
        <v>444824</v>
      </c>
      <c r="C985" s="54">
        <v>26</v>
      </c>
      <c r="D985" s="54">
        <v>10</v>
      </c>
      <c r="E985" s="54">
        <v>1</v>
      </c>
      <c r="F985" s="54">
        <v>0</v>
      </c>
      <c r="G985" s="54">
        <v>3</v>
      </c>
      <c r="H985" s="54">
        <v>1</v>
      </c>
    </row>
    <row r="986" spans="1:8" x14ac:dyDescent="0.2">
      <c r="A986" s="54" t="s">
        <v>1056</v>
      </c>
      <c r="B986" s="54">
        <v>130931</v>
      </c>
      <c r="C986" s="54">
        <v>26</v>
      </c>
      <c r="D986" s="54">
        <v>23</v>
      </c>
      <c r="E986" s="54">
        <v>2</v>
      </c>
      <c r="F986" s="54">
        <v>0</v>
      </c>
      <c r="G986" s="54">
        <v>0</v>
      </c>
      <c r="H986" s="54">
        <v>8</v>
      </c>
    </row>
    <row r="987" spans="1:8" x14ac:dyDescent="0.2">
      <c r="A987" s="54" t="s">
        <v>1057</v>
      </c>
      <c r="B987" s="54">
        <v>209176</v>
      </c>
      <c r="C987" s="54">
        <v>26</v>
      </c>
      <c r="D987" s="54">
        <v>40</v>
      </c>
      <c r="E987" s="54">
        <v>10</v>
      </c>
      <c r="F987" s="54">
        <v>0</v>
      </c>
      <c r="G987" s="54">
        <v>0</v>
      </c>
      <c r="H987" s="54">
        <v>0</v>
      </c>
    </row>
    <row r="988" spans="1:8" x14ac:dyDescent="0.2">
      <c r="A988" s="54" t="s">
        <v>1058</v>
      </c>
      <c r="B988" s="54">
        <v>459920</v>
      </c>
      <c r="C988" s="54">
        <v>27</v>
      </c>
      <c r="D988" s="54">
        <v>37</v>
      </c>
      <c r="E988" s="54">
        <v>1</v>
      </c>
      <c r="F988" s="54">
        <v>0</v>
      </c>
      <c r="G988" s="54">
        <v>0</v>
      </c>
      <c r="H988" s="54">
        <v>0</v>
      </c>
    </row>
    <row r="989" spans="1:8" x14ac:dyDescent="0.2">
      <c r="A989" s="54" t="s">
        <v>1059</v>
      </c>
      <c r="B989" s="54">
        <v>302704</v>
      </c>
      <c r="C989" s="54">
        <v>27</v>
      </c>
      <c r="D989" s="54">
        <v>27</v>
      </c>
      <c r="E989" s="54">
        <v>1</v>
      </c>
      <c r="F989" s="54">
        <v>0</v>
      </c>
      <c r="G989" s="54">
        <v>0</v>
      </c>
      <c r="H989" s="54">
        <v>42</v>
      </c>
    </row>
    <row r="990" spans="1:8" x14ac:dyDescent="0.2">
      <c r="A990" s="54" t="s">
        <v>1060</v>
      </c>
      <c r="B990" s="54">
        <v>108333</v>
      </c>
      <c r="C990" s="54">
        <v>27</v>
      </c>
      <c r="D990" s="54">
        <v>27</v>
      </c>
      <c r="E990" s="54">
        <v>1</v>
      </c>
      <c r="F990" s="54">
        <v>0</v>
      </c>
      <c r="G990" s="54">
        <v>0</v>
      </c>
      <c r="H990" s="54">
        <v>3</v>
      </c>
    </row>
    <row r="991" spans="1:8" x14ac:dyDescent="0.2">
      <c r="A991" s="54" t="s">
        <v>1061</v>
      </c>
      <c r="B991" s="54">
        <v>476210</v>
      </c>
      <c r="C991" s="54">
        <v>27</v>
      </c>
      <c r="D991" s="54">
        <v>30</v>
      </c>
      <c r="E991" s="54">
        <v>2</v>
      </c>
      <c r="F991" s="54">
        <v>0</v>
      </c>
      <c r="G991" s="54">
        <v>0</v>
      </c>
      <c r="H991" s="54">
        <v>0</v>
      </c>
    </row>
    <row r="992" spans="1:8" x14ac:dyDescent="0.2">
      <c r="A992" s="54" t="s">
        <v>1062</v>
      </c>
      <c r="B992" s="54">
        <v>461574</v>
      </c>
      <c r="C992" s="54">
        <v>27</v>
      </c>
      <c r="D992" s="54">
        <v>30</v>
      </c>
      <c r="E992" s="54">
        <v>2</v>
      </c>
      <c r="F992" s="54">
        <v>9</v>
      </c>
      <c r="G992" s="54">
        <v>0</v>
      </c>
      <c r="H992" s="54">
        <v>0</v>
      </c>
    </row>
    <row r="993" spans="1:8" x14ac:dyDescent="0.2">
      <c r="A993" s="54" t="s">
        <v>1063</v>
      </c>
      <c r="B993" s="54">
        <v>230170</v>
      </c>
      <c r="C993" s="54">
        <v>27</v>
      </c>
      <c r="D993" s="54">
        <v>19</v>
      </c>
      <c r="E993" s="54">
        <v>0</v>
      </c>
      <c r="F993" s="54">
        <v>0</v>
      </c>
      <c r="G993" s="54">
        <v>0</v>
      </c>
      <c r="H993" s="54">
        <v>0</v>
      </c>
    </row>
    <row r="994" spans="1:8" x14ac:dyDescent="0.2">
      <c r="A994" s="54" t="s">
        <v>1064</v>
      </c>
      <c r="B994" s="54">
        <v>193151</v>
      </c>
      <c r="C994" s="54">
        <v>27</v>
      </c>
      <c r="D994" s="54">
        <v>41</v>
      </c>
      <c r="E994" s="54">
        <v>0</v>
      </c>
      <c r="F994" s="54">
        <v>0</v>
      </c>
      <c r="G994" s="54">
        <v>0</v>
      </c>
      <c r="H994" s="54">
        <v>0</v>
      </c>
    </row>
    <row r="995" spans="1:8" x14ac:dyDescent="0.2">
      <c r="A995" s="54" t="s">
        <v>1065</v>
      </c>
      <c r="B995" s="54">
        <v>460848</v>
      </c>
      <c r="C995" s="54">
        <v>28</v>
      </c>
      <c r="D995" s="54">
        <v>28</v>
      </c>
      <c r="E995" s="54">
        <v>1</v>
      </c>
      <c r="F995" s="54">
        <v>0</v>
      </c>
      <c r="G995" s="54">
        <v>0</v>
      </c>
      <c r="H995" s="54">
        <v>54</v>
      </c>
    </row>
    <row r="996" spans="1:8" x14ac:dyDescent="0.2">
      <c r="A996" s="54" t="s">
        <v>1066</v>
      </c>
      <c r="B996" s="54">
        <v>114136</v>
      </c>
      <c r="C996" s="54">
        <v>28</v>
      </c>
      <c r="D996" s="54">
        <v>16</v>
      </c>
      <c r="E996" s="54">
        <v>2</v>
      </c>
      <c r="F996" s="54">
        <v>0</v>
      </c>
      <c r="G996" s="54">
        <v>2</v>
      </c>
      <c r="H996" s="54">
        <v>0</v>
      </c>
    </row>
    <row r="997" spans="1:8" x14ac:dyDescent="0.2">
      <c r="A997" s="54" t="s">
        <v>1067</v>
      </c>
      <c r="B997" s="54">
        <v>137418</v>
      </c>
      <c r="C997" s="54">
        <v>28</v>
      </c>
      <c r="D997" s="54">
        <v>22</v>
      </c>
      <c r="E997" s="54">
        <v>2</v>
      </c>
      <c r="F997" s="54">
        <v>0</v>
      </c>
      <c r="G997" s="54">
        <v>23</v>
      </c>
      <c r="H997" s="54">
        <v>0</v>
      </c>
    </row>
    <row r="998" spans="1:8" x14ac:dyDescent="0.2">
      <c r="A998" s="54" t="s">
        <v>1068</v>
      </c>
      <c r="B998" s="54">
        <v>270032</v>
      </c>
      <c r="C998" s="54">
        <v>28</v>
      </c>
      <c r="D998" s="54">
        <v>28</v>
      </c>
      <c r="E998" s="54">
        <v>5</v>
      </c>
      <c r="F998" s="54">
        <v>0</v>
      </c>
      <c r="G998" s="54">
        <v>0</v>
      </c>
      <c r="H998" s="54">
        <v>0</v>
      </c>
    </row>
    <row r="999" spans="1:8" x14ac:dyDescent="0.2">
      <c r="A999" s="54" t="s">
        <v>1069</v>
      </c>
      <c r="B999" s="54">
        <v>175962</v>
      </c>
      <c r="C999" s="54">
        <v>29</v>
      </c>
      <c r="D999" s="54">
        <v>8</v>
      </c>
      <c r="E999" s="54">
        <v>2</v>
      </c>
      <c r="F999" s="54">
        <v>0</v>
      </c>
      <c r="G999" s="54">
        <v>0</v>
      </c>
      <c r="H999" s="54">
        <v>0</v>
      </c>
    </row>
    <row r="1000" spans="1:8" x14ac:dyDescent="0.2">
      <c r="A1000" s="54" t="s">
        <v>1070</v>
      </c>
      <c r="B1000" s="54">
        <v>187291</v>
      </c>
      <c r="C1000" s="54">
        <v>29</v>
      </c>
      <c r="D1000" s="54">
        <v>29</v>
      </c>
      <c r="E1000" s="54">
        <v>3</v>
      </c>
      <c r="F1000" s="54">
        <v>0</v>
      </c>
      <c r="G1000" s="54">
        <v>0</v>
      </c>
      <c r="H1000" s="54">
        <v>0</v>
      </c>
    </row>
    <row r="1001" spans="1:8" x14ac:dyDescent="0.2">
      <c r="A1001" s="54" t="s">
        <v>1071</v>
      </c>
      <c r="B1001" s="54">
        <v>190854</v>
      </c>
      <c r="C1001" s="54">
        <v>29</v>
      </c>
      <c r="D1001" s="54">
        <v>20</v>
      </c>
      <c r="E1001" s="54">
        <v>3</v>
      </c>
      <c r="F1001" s="54">
        <v>0</v>
      </c>
      <c r="G1001" s="54">
        <v>3</v>
      </c>
      <c r="H1001" s="54">
        <v>0</v>
      </c>
    </row>
    <row r="1002" spans="1:8" x14ac:dyDescent="0.2">
      <c r="A1002" s="54" t="s">
        <v>1072</v>
      </c>
      <c r="B1002" s="54">
        <v>515229</v>
      </c>
      <c r="C1002" s="54">
        <v>29</v>
      </c>
      <c r="D1002" s="54">
        <v>31</v>
      </c>
      <c r="E1002" s="54">
        <v>0</v>
      </c>
      <c r="F1002" s="54">
        <v>0</v>
      </c>
      <c r="G1002" s="54">
        <v>0</v>
      </c>
      <c r="H1002" s="54">
        <v>0</v>
      </c>
    </row>
    <row r="1003" spans="1:8" x14ac:dyDescent="0.2">
      <c r="A1003" s="54" t="s">
        <v>1073</v>
      </c>
      <c r="B1003" s="54">
        <v>132109</v>
      </c>
      <c r="C1003" s="54">
        <v>29</v>
      </c>
      <c r="D1003" s="54">
        <v>19</v>
      </c>
      <c r="E1003" s="54">
        <v>0</v>
      </c>
      <c r="F1003" s="54">
        <v>0</v>
      </c>
      <c r="G1003" s="54">
        <v>0</v>
      </c>
      <c r="H1003" s="54">
        <v>0</v>
      </c>
    </row>
    <row r="1004" spans="1:8" x14ac:dyDescent="0.2">
      <c r="A1004" s="54" t="s">
        <v>1074</v>
      </c>
      <c r="B1004" s="54">
        <v>108763</v>
      </c>
      <c r="C1004" s="54">
        <v>29</v>
      </c>
      <c r="D1004" s="54">
        <v>35</v>
      </c>
      <c r="E1004" s="54">
        <v>0</v>
      </c>
      <c r="F1004" s="54">
        <v>18</v>
      </c>
      <c r="G1004" s="54">
        <v>2</v>
      </c>
      <c r="H1004" s="54">
        <v>3</v>
      </c>
    </row>
    <row r="1005" spans="1:8" x14ac:dyDescent="0.2">
      <c r="A1005" s="54" t="s">
        <v>1075</v>
      </c>
      <c r="B1005" s="54">
        <v>106964</v>
      </c>
      <c r="C1005" s="54">
        <v>30</v>
      </c>
      <c r="D1005" s="54">
        <v>30</v>
      </c>
      <c r="E1005" s="54">
        <v>1</v>
      </c>
      <c r="F1005" s="54">
        <v>0</v>
      </c>
      <c r="G1005" s="54">
        <v>0</v>
      </c>
      <c r="H1005" s="54">
        <v>0</v>
      </c>
    </row>
    <row r="1006" spans="1:8" x14ac:dyDescent="0.2">
      <c r="A1006" s="54" t="s">
        <v>1076</v>
      </c>
      <c r="B1006" s="54">
        <v>468613</v>
      </c>
      <c r="C1006" s="54">
        <v>30</v>
      </c>
      <c r="D1006" s="54">
        <v>30</v>
      </c>
      <c r="E1006" s="54">
        <v>1</v>
      </c>
      <c r="F1006" s="54">
        <v>0</v>
      </c>
      <c r="G1006" s="54">
        <v>0</v>
      </c>
      <c r="H1006" s="54">
        <v>0</v>
      </c>
    </row>
    <row r="1007" spans="1:8" x14ac:dyDescent="0.2">
      <c r="A1007" s="54" t="s">
        <v>1077</v>
      </c>
      <c r="B1007" s="54">
        <v>110634</v>
      </c>
      <c r="C1007" s="54">
        <v>30</v>
      </c>
      <c r="D1007" s="54">
        <v>106</v>
      </c>
      <c r="E1007" s="54">
        <v>1</v>
      </c>
      <c r="F1007" s="54">
        <v>0</v>
      </c>
      <c r="G1007" s="54">
        <v>0</v>
      </c>
      <c r="H1007" s="54">
        <v>4</v>
      </c>
    </row>
    <row r="1008" spans="1:8" x14ac:dyDescent="0.2">
      <c r="A1008" s="54" t="s">
        <v>1078</v>
      </c>
      <c r="B1008" s="54">
        <v>134271</v>
      </c>
      <c r="C1008" s="54">
        <v>30</v>
      </c>
      <c r="D1008" s="54">
        <v>15</v>
      </c>
      <c r="E1008" s="54">
        <v>1</v>
      </c>
      <c r="F1008" s="54">
        <v>0</v>
      </c>
      <c r="G1008" s="54">
        <v>0</v>
      </c>
      <c r="H1008" s="54">
        <v>13</v>
      </c>
    </row>
    <row r="1009" spans="1:8" x14ac:dyDescent="0.2">
      <c r="A1009" s="54" t="s">
        <v>1079</v>
      </c>
      <c r="B1009" s="54">
        <v>466249</v>
      </c>
      <c r="C1009" s="54">
        <v>30</v>
      </c>
      <c r="D1009" s="54">
        <v>20</v>
      </c>
      <c r="E1009" s="54">
        <v>2</v>
      </c>
      <c r="F1009" s="54">
        <v>0</v>
      </c>
      <c r="G1009" s="54">
        <v>0</v>
      </c>
      <c r="H1009" s="54">
        <v>0</v>
      </c>
    </row>
    <row r="1010" spans="1:8" x14ac:dyDescent="0.2">
      <c r="A1010" s="54" t="s">
        <v>1080</v>
      </c>
      <c r="B1010" s="54">
        <v>114269</v>
      </c>
      <c r="C1010" s="54">
        <v>30</v>
      </c>
      <c r="D1010" s="54">
        <v>30</v>
      </c>
      <c r="E1010" s="54">
        <v>2</v>
      </c>
      <c r="F1010" s="54">
        <v>0</v>
      </c>
      <c r="G1010" s="54">
        <v>0</v>
      </c>
      <c r="H1010" s="54">
        <v>3</v>
      </c>
    </row>
    <row r="1011" spans="1:8" x14ac:dyDescent="0.2">
      <c r="A1011" s="54" t="s">
        <v>1081</v>
      </c>
      <c r="B1011" s="54">
        <v>155477</v>
      </c>
      <c r="C1011" s="54">
        <v>30</v>
      </c>
      <c r="D1011" s="54">
        <v>28</v>
      </c>
      <c r="E1011" s="54">
        <v>2</v>
      </c>
      <c r="F1011" s="54">
        <v>0</v>
      </c>
      <c r="G1011" s="54">
        <v>0</v>
      </c>
      <c r="H1011" s="54">
        <v>0</v>
      </c>
    </row>
    <row r="1012" spans="1:8" x14ac:dyDescent="0.2">
      <c r="A1012" s="54" t="s">
        <v>1082</v>
      </c>
      <c r="B1012" s="54">
        <v>228826</v>
      </c>
      <c r="C1012" s="54">
        <v>30</v>
      </c>
      <c r="D1012" s="54">
        <v>30</v>
      </c>
      <c r="E1012" s="54">
        <v>3</v>
      </c>
      <c r="F1012" s="54">
        <v>0</v>
      </c>
      <c r="G1012" s="54">
        <v>0</v>
      </c>
      <c r="H1012" s="54">
        <v>9</v>
      </c>
    </row>
    <row r="1013" spans="1:8" x14ac:dyDescent="0.2">
      <c r="A1013" s="54" t="s">
        <v>1083</v>
      </c>
      <c r="B1013" s="54">
        <v>128823</v>
      </c>
      <c r="C1013" s="54">
        <v>30</v>
      </c>
      <c r="D1013" s="54">
        <v>30</v>
      </c>
      <c r="E1013" s="54">
        <v>4</v>
      </c>
      <c r="F1013" s="54">
        <v>0</v>
      </c>
      <c r="G1013" s="54">
        <v>0</v>
      </c>
      <c r="H1013" s="54">
        <v>0</v>
      </c>
    </row>
    <row r="1014" spans="1:8" x14ac:dyDescent="0.2">
      <c r="A1014" s="54" t="s">
        <v>1084</v>
      </c>
      <c r="B1014" s="54">
        <v>108982</v>
      </c>
      <c r="C1014" s="54">
        <v>30</v>
      </c>
      <c r="D1014" s="54">
        <v>14</v>
      </c>
      <c r="E1014" s="54">
        <v>0</v>
      </c>
      <c r="F1014" s="54">
        <v>23</v>
      </c>
      <c r="G1014" s="54">
        <v>8</v>
      </c>
      <c r="H1014" s="54">
        <v>0</v>
      </c>
    </row>
    <row r="1015" spans="1:8" x14ac:dyDescent="0.2">
      <c r="A1015" s="54" t="s">
        <v>1085</v>
      </c>
      <c r="B1015" s="54">
        <v>467901</v>
      </c>
      <c r="C1015" s="54">
        <v>30</v>
      </c>
      <c r="D1015" s="54">
        <v>40</v>
      </c>
      <c r="E1015" s="54">
        <v>0</v>
      </c>
      <c r="F1015" s="54">
        <v>0</v>
      </c>
      <c r="G1015" s="54">
        <v>0</v>
      </c>
      <c r="H1015" s="54">
        <v>0</v>
      </c>
    </row>
    <row r="1016" spans="1:8" x14ac:dyDescent="0.2">
      <c r="A1016" s="54" t="s">
        <v>1086</v>
      </c>
      <c r="B1016" s="54">
        <v>117129</v>
      </c>
      <c r="C1016" s="54">
        <v>31</v>
      </c>
      <c r="D1016" s="54">
        <v>31</v>
      </c>
      <c r="E1016" s="54">
        <v>1</v>
      </c>
      <c r="F1016" s="54">
        <v>50</v>
      </c>
      <c r="G1016" s="54">
        <v>4</v>
      </c>
      <c r="H1016" s="54">
        <v>46</v>
      </c>
    </row>
    <row r="1017" spans="1:8" x14ac:dyDescent="0.2">
      <c r="A1017" s="54" t="s">
        <v>1087</v>
      </c>
      <c r="B1017" s="54">
        <v>461052</v>
      </c>
      <c r="C1017" s="54">
        <v>31</v>
      </c>
      <c r="D1017" s="54">
        <v>35</v>
      </c>
      <c r="E1017" s="54">
        <v>1</v>
      </c>
      <c r="F1017" s="54">
        <v>0</v>
      </c>
      <c r="G1017" s="54">
        <v>0</v>
      </c>
      <c r="H1017" s="54">
        <v>0</v>
      </c>
    </row>
    <row r="1018" spans="1:8" x14ac:dyDescent="0.2">
      <c r="A1018" s="54" t="s">
        <v>1088</v>
      </c>
      <c r="B1018" s="54">
        <v>466375</v>
      </c>
      <c r="C1018" s="54">
        <v>31</v>
      </c>
      <c r="D1018" s="54">
        <v>32</v>
      </c>
      <c r="E1018" s="54">
        <v>2</v>
      </c>
      <c r="F1018" s="54">
        <v>15</v>
      </c>
      <c r="G1018" s="54">
        <v>19</v>
      </c>
      <c r="H1018" s="54">
        <v>0</v>
      </c>
    </row>
    <row r="1019" spans="1:8" x14ac:dyDescent="0.2">
      <c r="A1019" s="54" t="s">
        <v>1089</v>
      </c>
      <c r="B1019" s="54">
        <v>107368</v>
      </c>
      <c r="C1019" s="54">
        <v>31</v>
      </c>
      <c r="D1019" s="54">
        <v>167</v>
      </c>
      <c r="E1019" s="54">
        <v>5</v>
      </c>
      <c r="F1019" s="54">
        <v>394</v>
      </c>
      <c r="G1019" s="54">
        <v>0</v>
      </c>
      <c r="H1019" s="54">
        <v>0</v>
      </c>
    </row>
    <row r="1020" spans="1:8" x14ac:dyDescent="0.2">
      <c r="A1020" s="54" t="s">
        <v>1090</v>
      </c>
      <c r="B1020" s="54">
        <v>108939</v>
      </c>
      <c r="C1020" s="54">
        <v>31</v>
      </c>
      <c r="D1020" s="54">
        <v>20</v>
      </c>
      <c r="E1020" s="54">
        <v>0</v>
      </c>
      <c r="F1020" s="54">
        <v>0</v>
      </c>
      <c r="G1020" s="54">
        <v>0</v>
      </c>
      <c r="H1020" s="54">
        <v>0</v>
      </c>
    </row>
    <row r="1021" spans="1:8" x14ac:dyDescent="0.2">
      <c r="A1021" s="54" t="s">
        <v>1091</v>
      </c>
      <c r="B1021" s="54">
        <v>108253</v>
      </c>
      <c r="C1021" s="54">
        <v>32</v>
      </c>
      <c r="D1021" s="54">
        <v>42</v>
      </c>
      <c r="E1021" s="54">
        <v>2</v>
      </c>
      <c r="F1021" s="54">
        <v>0</v>
      </c>
      <c r="G1021" s="54">
        <v>4</v>
      </c>
      <c r="H1021" s="54">
        <v>0</v>
      </c>
    </row>
    <row r="1022" spans="1:8" x14ac:dyDescent="0.2">
      <c r="A1022" s="54" t="s">
        <v>1092</v>
      </c>
      <c r="B1022" s="54">
        <v>109969</v>
      </c>
      <c r="C1022" s="54">
        <v>32</v>
      </c>
      <c r="D1022" s="54">
        <v>21</v>
      </c>
      <c r="E1022" s="54">
        <v>3</v>
      </c>
      <c r="F1022" s="54">
        <v>5</v>
      </c>
      <c r="G1022" s="54">
        <v>0</v>
      </c>
      <c r="H1022" s="54">
        <v>0</v>
      </c>
    </row>
    <row r="1023" spans="1:8" x14ac:dyDescent="0.2">
      <c r="A1023" s="54" t="s">
        <v>1093</v>
      </c>
      <c r="B1023" s="54">
        <v>114954</v>
      </c>
      <c r="C1023" s="54">
        <v>32</v>
      </c>
      <c r="D1023" s="54">
        <v>32</v>
      </c>
      <c r="E1023" s="54">
        <v>3</v>
      </c>
      <c r="F1023" s="54">
        <v>35</v>
      </c>
      <c r="G1023" s="54">
        <v>0</v>
      </c>
      <c r="H1023" s="54">
        <v>0</v>
      </c>
    </row>
    <row r="1024" spans="1:8" x14ac:dyDescent="0.2">
      <c r="A1024" s="54" t="s">
        <v>1094</v>
      </c>
      <c r="B1024" s="54">
        <v>327790</v>
      </c>
      <c r="C1024" s="54">
        <v>32</v>
      </c>
      <c r="D1024" s="54">
        <v>32</v>
      </c>
      <c r="E1024" s="54">
        <v>3</v>
      </c>
      <c r="F1024" s="54">
        <v>55</v>
      </c>
      <c r="G1024" s="54">
        <v>13</v>
      </c>
      <c r="H1024" s="54">
        <v>0</v>
      </c>
    </row>
    <row r="1025" spans="1:8" x14ac:dyDescent="0.2">
      <c r="A1025" s="54" t="s">
        <v>1095</v>
      </c>
      <c r="B1025" s="54">
        <v>128946</v>
      </c>
      <c r="C1025" s="54">
        <v>32</v>
      </c>
      <c r="D1025" s="54">
        <v>27</v>
      </c>
      <c r="E1025" s="54">
        <v>5</v>
      </c>
      <c r="F1025" s="54">
        <v>0</v>
      </c>
      <c r="G1025" s="54">
        <v>0</v>
      </c>
      <c r="H1025" s="54">
        <v>0</v>
      </c>
    </row>
    <row r="1026" spans="1:8" x14ac:dyDescent="0.2">
      <c r="A1026" s="54" t="s">
        <v>1096</v>
      </c>
      <c r="B1026" s="54">
        <v>460944</v>
      </c>
      <c r="C1026" s="54">
        <v>32</v>
      </c>
      <c r="D1026" s="54">
        <v>25</v>
      </c>
      <c r="E1026" s="54">
        <v>0</v>
      </c>
      <c r="F1026" s="54">
        <v>0</v>
      </c>
      <c r="G1026" s="54">
        <v>0</v>
      </c>
      <c r="H1026" s="54">
        <v>0</v>
      </c>
    </row>
    <row r="1027" spans="1:8" x14ac:dyDescent="0.2">
      <c r="A1027" s="54" t="s">
        <v>1097</v>
      </c>
      <c r="B1027" s="54">
        <v>164827</v>
      </c>
      <c r="C1027" s="54">
        <v>33</v>
      </c>
      <c r="D1027" s="54">
        <v>30</v>
      </c>
      <c r="E1027" s="54">
        <v>1</v>
      </c>
      <c r="F1027" s="54">
        <v>69</v>
      </c>
      <c r="G1027" s="54">
        <v>3</v>
      </c>
      <c r="H1027" s="54">
        <v>0</v>
      </c>
    </row>
    <row r="1028" spans="1:8" x14ac:dyDescent="0.2">
      <c r="A1028" s="54" t="s">
        <v>1098</v>
      </c>
      <c r="B1028" s="54">
        <v>109818</v>
      </c>
      <c r="C1028" s="54">
        <v>33</v>
      </c>
      <c r="D1028" s="54">
        <v>33</v>
      </c>
      <c r="E1028" s="54">
        <v>2</v>
      </c>
      <c r="F1028" s="54">
        <v>0</v>
      </c>
      <c r="G1028" s="54">
        <v>13</v>
      </c>
      <c r="H1028" s="54">
        <v>17</v>
      </c>
    </row>
    <row r="1029" spans="1:8" x14ac:dyDescent="0.2">
      <c r="A1029" s="54" t="s">
        <v>1099</v>
      </c>
      <c r="B1029" s="54">
        <v>318176</v>
      </c>
      <c r="C1029" s="54">
        <v>33</v>
      </c>
      <c r="D1029" s="54">
        <v>25</v>
      </c>
      <c r="E1029" s="54">
        <v>2</v>
      </c>
      <c r="F1029" s="54">
        <v>0</v>
      </c>
      <c r="G1029" s="54">
        <v>0</v>
      </c>
      <c r="H1029" s="54">
        <v>1</v>
      </c>
    </row>
    <row r="1030" spans="1:8" x14ac:dyDescent="0.2">
      <c r="A1030" s="54" t="s">
        <v>1100</v>
      </c>
      <c r="B1030" s="54">
        <v>109470</v>
      </c>
      <c r="C1030" s="54">
        <v>33</v>
      </c>
      <c r="D1030" s="54">
        <v>34</v>
      </c>
      <c r="E1030" s="54">
        <v>4</v>
      </c>
      <c r="F1030" s="54">
        <v>0</v>
      </c>
      <c r="G1030" s="54">
        <v>0</v>
      </c>
      <c r="H1030" s="54">
        <v>0</v>
      </c>
    </row>
    <row r="1031" spans="1:8" x14ac:dyDescent="0.2">
      <c r="A1031" s="54" t="s">
        <v>1101</v>
      </c>
      <c r="B1031" s="54">
        <v>106654</v>
      </c>
      <c r="C1031" s="54">
        <v>33</v>
      </c>
      <c r="D1031" s="54">
        <v>35</v>
      </c>
      <c r="E1031" s="54">
        <v>4</v>
      </c>
      <c r="F1031" s="54">
        <v>54</v>
      </c>
      <c r="G1031" s="54">
        <v>2</v>
      </c>
      <c r="H1031" s="54">
        <v>0</v>
      </c>
    </row>
    <row r="1032" spans="1:8" x14ac:dyDescent="0.2">
      <c r="A1032" s="54" t="s">
        <v>1102</v>
      </c>
      <c r="B1032" s="54">
        <v>300623</v>
      </c>
      <c r="C1032" s="54">
        <v>33</v>
      </c>
      <c r="D1032" s="54">
        <v>28</v>
      </c>
      <c r="E1032" s="54">
        <v>4</v>
      </c>
      <c r="F1032" s="54">
        <v>2</v>
      </c>
      <c r="G1032" s="54">
        <v>0</v>
      </c>
      <c r="H1032" s="54">
        <v>0</v>
      </c>
    </row>
    <row r="1033" spans="1:8" x14ac:dyDescent="0.2">
      <c r="A1033" s="54" t="s">
        <v>1103</v>
      </c>
      <c r="B1033" s="54">
        <v>469776</v>
      </c>
      <c r="C1033" s="54">
        <v>33</v>
      </c>
      <c r="D1033" s="54">
        <v>20</v>
      </c>
      <c r="E1033" s="54">
        <v>4</v>
      </c>
      <c r="F1033" s="54">
        <v>0</v>
      </c>
      <c r="G1033" s="54">
        <v>4</v>
      </c>
      <c r="H1033" s="54">
        <v>0</v>
      </c>
    </row>
    <row r="1034" spans="1:8" x14ac:dyDescent="0.2">
      <c r="A1034" s="54" t="s">
        <v>1104</v>
      </c>
      <c r="B1034" s="54">
        <v>453249</v>
      </c>
      <c r="C1034" s="54">
        <v>34</v>
      </c>
      <c r="D1034" s="54">
        <v>41</v>
      </c>
      <c r="E1034" s="54">
        <v>3</v>
      </c>
      <c r="F1034" s="54">
        <v>11</v>
      </c>
      <c r="G1034" s="54">
        <v>0</v>
      </c>
      <c r="H1034" s="54">
        <v>0</v>
      </c>
    </row>
    <row r="1035" spans="1:8" x14ac:dyDescent="0.2">
      <c r="A1035" s="54" t="s">
        <v>1105</v>
      </c>
      <c r="B1035" s="54">
        <v>108005</v>
      </c>
      <c r="C1035" s="54">
        <v>34</v>
      </c>
      <c r="D1035" s="54">
        <v>15</v>
      </c>
      <c r="E1035" s="54">
        <v>3</v>
      </c>
      <c r="F1035" s="54">
        <v>8</v>
      </c>
      <c r="G1035" s="54">
        <v>0</v>
      </c>
      <c r="H1035" s="54">
        <v>0</v>
      </c>
    </row>
    <row r="1036" spans="1:8" x14ac:dyDescent="0.2">
      <c r="A1036" s="54" t="s">
        <v>1106</v>
      </c>
      <c r="B1036" s="54">
        <v>447257</v>
      </c>
      <c r="C1036" s="54">
        <v>35</v>
      </c>
      <c r="D1036" s="54">
        <v>38</v>
      </c>
      <c r="E1036" s="54">
        <v>1</v>
      </c>
      <c r="F1036" s="54">
        <v>81</v>
      </c>
      <c r="G1036" s="54">
        <v>0</v>
      </c>
      <c r="H1036" s="54">
        <v>0</v>
      </c>
    </row>
    <row r="1037" spans="1:8" x14ac:dyDescent="0.2">
      <c r="A1037" s="54" t="s">
        <v>1107</v>
      </c>
      <c r="B1037" s="54">
        <v>122943</v>
      </c>
      <c r="C1037" s="54">
        <v>35</v>
      </c>
      <c r="D1037" s="54">
        <v>38</v>
      </c>
      <c r="E1037" s="54">
        <v>2</v>
      </c>
      <c r="F1037" s="54">
        <v>0</v>
      </c>
      <c r="G1037" s="54">
        <v>0</v>
      </c>
      <c r="H1037" s="54">
        <v>34</v>
      </c>
    </row>
    <row r="1038" spans="1:8" x14ac:dyDescent="0.2">
      <c r="A1038" s="54" t="s">
        <v>1108</v>
      </c>
      <c r="B1038" s="54">
        <v>587054</v>
      </c>
      <c r="C1038" s="54">
        <v>35</v>
      </c>
      <c r="D1038" s="54">
        <v>35</v>
      </c>
      <c r="E1038" s="54">
        <v>2</v>
      </c>
      <c r="F1038" s="54">
        <v>17</v>
      </c>
      <c r="G1038" s="54">
        <v>4</v>
      </c>
      <c r="H1038" s="54">
        <v>0</v>
      </c>
    </row>
    <row r="1039" spans="1:8" x14ac:dyDescent="0.2">
      <c r="A1039" s="54" t="s">
        <v>1109</v>
      </c>
      <c r="B1039" s="54">
        <v>171769</v>
      </c>
      <c r="C1039" s="54">
        <v>35</v>
      </c>
      <c r="D1039" s="54">
        <v>35</v>
      </c>
      <c r="E1039" s="54">
        <v>4</v>
      </c>
      <c r="F1039" s="54">
        <v>12</v>
      </c>
      <c r="G1039" s="54">
        <v>13</v>
      </c>
      <c r="H1039" s="54">
        <v>0</v>
      </c>
    </row>
    <row r="1040" spans="1:8" x14ac:dyDescent="0.2">
      <c r="A1040" s="54" t="s">
        <v>1110</v>
      </c>
      <c r="B1040" s="54">
        <v>154999</v>
      </c>
      <c r="C1040" s="54">
        <v>35</v>
      </c>
      <c r="D1040" s="54">
        <v>50</v>
      </c>
      <c r="E1040" s="54">
        <v>5</v>
      </c>
      <c r="F1040" s="54">
        <v>0</v>
      </c>
      <c r="G1040" s="54">
        <v>0</v>
      </c>
      <c r="H1040" s="54">
        <v>0</v>
      </c>
    </row>
    <row r="1041" spans="1:8" x14ac:dyDescent="0.2">
      <c r="A1041" s="54" t="s">
        <v>1111</v>
      </c>
      <c r="B1041" s="54">
        <v>119874</v>
      </c>
      <c r="C1041" s="54">
        <v>35</v>
      </c>
      <c r="D1041" s="54">
        <v>24</v>
      </c>
      <c r="E1041" s="54">
        <v>6</v>
      </c>
      <c r="F1041" s="54">
        <v>0</v>
      </c>
      <c r="G1041" s="54">
        <v>0</v>
      </c>
      <c r="H1041" s="54">
        <v>0</v>
      </c>
    </row>
    <row r="1042" spans="1:8" x14ac:dyDescent="0.2">
      <c r="A1042" s="54" t="s">
        <v>1112</v>
      </c>
      <c r="B1042" s="54">
        <v>270751</v>
      </c>
      <c r="C1042" s="54">
        <v>35</v>
      </c>
      <c r="D1042" s="54">
        <v>48</v>
      </c>
      <c r="E1042" s="54">
        <v>0</v>
      </c>
      <c r="F1042" s="54">
        <v>0</v>
      </c>
      <c r="G1042" s="54">
        <v>0</v>
      </c>
      <c r="H1042" s="54">
        <v>0</v>
      </c>
    </row>
    <row r="1043" spans="1:8" x14ac:dyDescent="0.2">
      <c r="A1043" s="54" t="s">
        <v>1113</v>
      </c>
      <c r="B1043" s="54">
        <v>455491</v>
      </c>
      <c r="C1043" s="54">
        <v>36</v>
      </c>
      <c r="D1043" s="54">
        <v>36</v>
      </c>
      <c r="E1043" s="54">
        <v>1</v>
      </c>
      <c r="F1043" s="54">
        <v>0</v>
      </c>
      <c r="G1043" s="54">
        <v>0</v>
      </c>
      <c r="H1043" s="54">
        <v>0</v>
      </c>
    </row>
    <row r="1044" spans="1:8" x14ac:dyDescent="0.2">
      <c r="A1044" s="54" t="s">
        <v>1114</v>
      </c>
      <c r="B1044" s="54">
        <v>327329</v>
      </c>
      <c r="C1044" s="54">
        <v>36</v>
      </c>
      <c r="D1044" s="54">
        <v>28</v>
      </c>
      <c r="E1044" s="54">
        <v>2</v>
      </c>
      <c r="F1044" s="54">
        <v>0</v>
      </c>
      <c r="G1044" s="54">
        <v>10</v>
      </c>
      <c r="H1044" s="54">
        <v>0</v>
      </c>
    </row>
    <row r="1045" spans="1:8" x14ac:dyDescent="0.2">
      <c r="A1045" s="54" t="s">
        <v>1115</v>
      </c>
      <c r="B1045" s="54">
        <v>305835</v>
      </c>
      <c r="C1045" s="54">
        <v>36</v>
      </c>
      <c r="D1045" s="54">
        <v>34</v>
      </c>
      <c r="E1045" s="54">
        <v>2</v>
      </c>
      <c r="F1045" s="54">
        <v>3</v>
      </c>
      <c r="G1045" s="54">
        <v>0</v>
      </c>
      <c r="H1045" s="54">
        <v>0</v>
      </c>
    </row>
    <row r="1046" spans="1:8" x14ac:dyDescent="0.2">
      <c r="A1046" s="54" t="s">
        <v>1116</v>
      </c>
      <c r="B1046" s="54">
        <v>558558</v>
      </c>
      <c r="C1046" s="54">
        <v>36</v>
      </c>
      <c r="D1046" s="54">
        <v>35</v>
      </c>
      <c r="E1046" s="54">
        <v>5</v>
      </c>
      <c r="F1046" s="54">
        <v>15</v>
      </c>
      <c r="G1046" s="54">
        <v>0</v>
      </c>
      <c r="H1046" s="54">
        <v>0</v>
      </c>
    </row>
    <row r="1047" spans="1:8" x14ac:dyDescent="0.2">
      <c r="A1047" s="54" t="s">
        <v>1117</v>
      </c>
      <c r="B1047" s="54">
        <v>106409</v>
      </c>
      <c r="C1047" s="54">
        <v>37</v>
      </c>
      <c r="D1047" s="54">
        <v>37</v>
      </c>
      <c r="E1047" s="54">
        <v>1</v>
      </c>
      <c r="F1047" s="54">
        <v>0</v>
      </c>
      <c r="G1047" s="54">
        <v>0</v>
      </c>
      <c r="H1047" s="54">
        <v>19</v>
      </c>
    </row>
    <row r="1048" spans="1:8" x14ac:dyDescent="0.2">
      <c r="A1048" s="54" t="s">
        <v>1118</v>
      </c>
      <c r="B1048" s="54">
        <v>476935</v>
      </c>
      <c r="C1048" s="54">
        <v>37</v>
      </c>
      <c r="D1048" s="54">
        <v>30</v>
      </c>
      <c r="E1048" s="54">
        <v>4</v>
      </c>
      <c r="F1048" s="54">
        <v>0</v>
      </c>
      <c r="G1048" s="54">
        <v>0</v>
      </c>
      <c r="H1048" s="54">
        <v>0</v>
      </c>
    </row>
    <row r="1049" spans="1:8" x14ac:dyDescent="0.2">
      <c r="A1049" s="54" t="s">
        <v>1119</v>
      </c>
      <c r="B1049" s="54">
        <v>194782</v>
      </c>
      <c r="C1049" s="54">
        <v>38</v>
      </c>
      <c r="D1049" s="54">
        <v>38</v>
      </c>
      <c r="E1049" s="54">
        <v>1</v>
      </c>
      <c r="F1049" s="54">
        <v>0</v>
      </c>
      <c r="G1049" s="54">
        <v>0</v>
      </c>
      <c r="H1049" s="54">
        <v>0</v>
      </c>
    </row>
    <row r="1050" spans="1:8" x14ac:dyDescent="0.2">
      <c r="A1050" s="54" t="s">
        <v>1120</v>
      </c>
      <c r="B1050" s="54">
        <v>321952</v>
      </c>
      <c r="C1050" s="54">
        <v>38</v>
      </c>
      <c r="D1050" s="54">
        <v>30</v>
      </c>
      <c r="E1050" s="54">
        <v>2</v>
      </c>
      <c r="F1050" s="54">
        <v>0</v>
      </c>
      <c r="G1050" s="54">
        <v>0</v>
      </c>
      <c r="H1050" s="54">
        <v>1</v>
      </c>
    </row>
    <row r="1051" spans="1:8" x14ac:dyDescent="0.2">
      <c r="A1051" s="54" t="s">
        <v>1121</v>
      </c>
      <c r="B1051" s="54">
        <v>153097</v>
      </c>
      <c r="C1051" s="54">
        <v>38</v>
      </c>
      <c r="D1051" s="54">
        <v>38</v>
      </c>
      <c r="E1051" s="54">
        <v>4</v>
      </c>
      <c r="F1051" s="54">
        <v>0</v>
      </c>
      <c r="G1051" s="54">
        <v>0</v>
      </c>
      <c r="H1051" s="54">
        <v>0</v>
      </c>
    </row>
    <row r="1052" spans="1:8" x14ac:dyDescent="0.2">
      <c r="A1052" s="54" t="s">
        <v>1122</v>
      </c>
      <c r="B1052" s="54">
        <v>305674</v>
      </c>
      <c r="C1052" s="54">
        <v>39</v>
      </c>
      <c r="D1052" s="54">
        <v>41</v>
      </c>
      <c r="E1052" s="54">
        <v>1</v>
      </c>
      <c r="F1052" s="54">
        <v>0</v>
      </c>
      <c r="G1052" s="54">
        <v>0</v>
      </c>
      <c r="H1052" s="54">
        <v>1</v>
      </c>
    </row>
    <row r="1053" spans="1:8" x14ac:dyDescent="0.2">
      <c r="A1053" s="54" t="s">
        <v>1123</v>
      </c>
      <c r="B1053" s="54">
        <v>193670</v>
      </c>
      <c r="C1053" s="54">
        <v>39</v>
      </c>
      <c r="D1053" s="54">
        <v>40</v>
      </c>
      <c r="E1053" s="54">
        <v>2</v>
      </c>
      <c r="F1053" s="54">
        <v>0</v>
      </c>
      <c r="G1053" s="54">
        <v>0</v>
      </c>
      <c r="H1053" s="54">
        <v>15</v>
      </c>
    </row>
    <row r="1054" spans="1:8" x14ac:dyDescent="0.2">
      <c r="A1054" s="54" t="s">
        <v>1124</v>
      </c>
      <c r="B1054" s="54">
        <v>113219</v>
      </c>
      <c r="C1054" s="54">
        <v>39</v>
      </c>
      <c r="D1054" s="54">
        <v>40</v>
      </c>
      <c r="E1054" s="54">
        <v>4</v>
      </c>
      <c r="F1054" s="54">
        <v>0</v>
      </c>
      <c r="G1054" s="54">
        <v>0</v>
      </c>
      <c r="H1054" s="54">
        <v>0</v>
      </c>
    </row>
    <row r="1055" spans="1:8" x14ac:dyDescent="0.2">
      <c r="A1055" s="54" t="s">
        <v>1125</v>
      </c>
      <c r="B1055" s="54">
        <v>516154</v>
      </c>
      <c r="C1055" s="54">
        <v>39</v>
      </c>
      <c r="D1055" s="54">
        <v>30</v>
      </c>
      <c r="E1055" s="54">
        <v>4</v>
      </c>
      <c r="F1055" s="54">
        <v>0</v>
      </c>
      <c r="G1055" s="54">
        <v>0</v>
      </c>
      <c r="H1055" s="54">
        <v>0</v>
      </c>
    </row>
    <row r="1056" spans="1:8" x14ac:dyDescent="0.2">
      <c r="A1056" s="54" t="s">
        <v>1126</v>
      </c>
      <c r="B1056" s="54">
        <v>108381</v>
      </c>
      <c r="C1056" s="54">
        <v>40</v>
      </c>
      <c r="D1056" s="54">
        <v>40</v>
      </c>
      <c r="E1056" s="54">
        <v>1</v>
      </c>
      <c r="F1056" s="54">
        <v>0</v>
      </c>
      <c r="G1056" s="54">
        <v>0</v>
      </c>
      <c r="H1056" s="54">
        <v>0</v>
      </c>
    </row>
    <row r="1057" spans="1:8" x14ac:dyDescent="0.2">
      <c r="A1057" s="54" t="s">
        <v>1127</v>
      </c>
      <c r="B1057" s="54">
        <v>106657</v>
      </c>
      <c r="C1057" s="54">
        <v>40</v>
      </c>
      <c r="D1057" s="54">
        <v>40</v>
      </c>
      <c r="E1057" s="54">
        <v>3</v>
      </c>
      <c r="F1057" s="54">
        <v>2</v>
      </c>
      <c r="G1057" s="54">
        <v>0</v>
      </c>
      <c r="H1057" s="54">
        <v>0</v>
      </c>
    </row>
    <row r="1058" spans="1:8" x14ac:dyDescent="0.2">
      <c r="A1058" s="54" t="s">
        <v>1128</v>
      </c>
      <c r="B1058" s="54">
        <v>109937</v>
      </c>
      <c r="C1058" s="54">
        <v>40</v>
      </c>
      <c r="D1058" s="54">
        <v>40</v>
      </c>
      <c r="E1058" s="54">
        <v>4</v>
      </c>
      <c r="F1058" s="54">
        <v>0</v>
      </c>
      <c r="G1058" s="54">
        <v>0</v>
      </c>
      <c r="H1058" s="54">
        <v>0</v>
      </c>
    </row>
    <row r="1059" spans="1:8" x14ac:dyDescent="0.2">
      <c r="A1059" s="54" t="s">
        <v>1129</v>
      </c>
      <c r="B1059" s="54">
        <v>501750</v>
      </c>
      <c r="C1059" s="54">
        <v>40</v>
      </c>
      <c r="D1059" s="54">
        <v>40</v>
      </c>
      <c r="E1059" s="54">
        <v>5</v>
      </c>
      <c r="F1059" s="54">
        <v>0</v>
      </c>
      <c r="G1059" s="54">
        <v>0</v>
      </c>
      <c r="H1059" s="54">
        <v>0</v>
      </c>
    </row>
    <row r="1060" spans="1:8" x14ac:dyDescent="0.2">
      <c r="A1060" s="54" t="s">
        <v>1130</v>
      </c>
      <c r="B1060" s="54">
        <v>478901</v>
      </c>
      <c r="C1060" s="54">
        <v>40</v>
      </c>
      <c r="D1060" s="54">
        <v>44</v>
      </c>
      <c r="E1060" s="54">
        <v>0</v>
      </c>
      <c r="F1060" s="54">
        <v>0</v>
      </c>
      <c r="G1060" s="54">
        <v>0</v>
      </c>
      <c r="H1060" s="54">
        <v>0</v>
      </c>
    </row>
    <row r="1061" spans="1:8" x14ac:dyDescent="0.2">
      <c r="A1061" s="54" t="s">
        <v>1131</v>
      </c>
      <c r="B1061" s="54">
        <v>130859</v>
      </c>
      <c r="C1061" s="54">
        <v>41</v>
      </c>
      <c r="D1061" s="54">
        <v>39</v>
      </c>
      <c r="E1061" s="54">
        <v>2</v>
      </c>
      <c r="F1061" s="54">
        <v>0</v>
      </c>
      <c r="G1061" s="54">
        <v>0</v>
      </c>
      <c r="H1061" s="54">
        <v>0</v>
      </c>
    </row>
    <row r="1062" spans="1:8" x14ac:dyDescent="0.2">
      <c r="A1062" s="54" t="s">
        <v>1132</v>
      </c>
      <c r="B1062" s="54">
        <v>125270</v>
      </c>
      <c r="C1062" s="54">
        <v>41</v>
      </c>
      <c r="D1062" s="54">
        <v>40</v>
      </c>
      <c r="E1062" s="54">
        <v>0</v>
      </c>
      <c r="F1062" s="54">
        <v>0</v>
      </c>
      <c r="G1062" s="54">
        <v>0</v>
      </c>
      <c r="H1062" s="54">
        <v>0</v>
      </c>
    </row>
    <row r="1063" spans="1:8" x14ac:dyDescent="0.2">
      <c r="A1063" s="54" t="s">
        <v>1133</v>
      </c>
      <c r="B1063" s="54">
        <v>116783</v>
      </c>
      <c r="C1063" s="54">
        <v>42</v>
      </c>
      <c r="D1063" s="54">
        <v>50</v>
      </c>
      <c r="E1063" s="54">
        <v>5</v>
      </c>
      <c r="F1063" s="54">
        <v>0</v>
      </c>
      <c r="G1063" s="54">
        <v>0</v>
      </c>
      <c r="H1063" s="54">
        <v>2</v>
      </c>
    </row>
    <row r="1064" spans="1:8" x14ac:dyDescent="0.2">
      <c r="A1064" s="54" t="s">
        <v>1134</v>
      </c>
      <c r="B1064" s="54">
        <v>109924</v>
      </c>
      <c r="C1064" s="54">
        <v>43</v>
      </c>
      <c r="D1064" s="54">
        <v>40</v>
      </c>
      <c r="E1064" s="54">
        <v>2</v>
      </c>
      <c r="F1064" s="54">
        <v>0</v>
      </c>
      <c r="G1064" s="54">
        <v>0</v>
      </c>
      <c r="H1064" s="54">
        <v>19</v>
      </c>
    </row>
    <row r="1065" spans="1:8" x14ac:dyDescent="0.2">
      <c r="A1065" s="54" t="s">
        <v>1135</v>
      </c>
      <c r="B1065" s="54">
        <v>107781</v>
      </c>
      <c r="C1065" s="54">
        <v>43</v>
      </c>
      <c r="D1065" s="54">
        <v>60</v>
      </c>
      <c r="E1065" s="54">
        <v>0</v>
      </c>
      <c r="F1065" s="54">
        <v>0</v>
      </c>
      <c r="G1065" s="54">
        <v>0</v>
      </c>
      <c r="H1065" s="54">
        <v>0</v>
      </c>
    </row>
    <row r="1066" spans="1:8" x14ac:dyDescent="0.2">
      <c r="A1066" s="54" t="s">
        <v>1136</v>
      </c>
      <c r="B1066" s="54">
        <v>466395</v>
      </c>
      <c r="C1066" s="54">
        <v>45</v>
      </c>
      <c r="D1066" s="54">
        <v>45</v>
      </c>
      <c r="E1066" s="54">
        <v>1</v>
      </c>
      <c r="F1066" s="54">
        <v>0</v>
      </c>
      <c r="G1066" s="54">
        <v>1</v>
      </c>
      <c r="H1066" s="54">
        <v>0</v>
      </c>
    </row>
    <row r="1067" spans="1:8" x14ac:dyDescent="0.2">
      <c r="A1067" s="54" t="s">
        <v>1137</v>
      </c>
      <c r="B1067" s="54">
        <v>316129</v>
      </c>
      <c r="C1067" s="54">
        <v>45</v>
      </c>
      <c r="D1067" s="54">
        <v>70</v>
      </c>
      <c r="E1067" s="54">
        <v>6</v>
      </c>
      <c r="F1067" s="54">
        <v>3</v>
      </c>
      <c r="G1067" s="54">
        <v>2</v>
      </c>
      <c r="H1067" s="54">
        <v>10</v>
      </c>
    </row>
    <row r="1068" spans="1:8" x14ac:dyDescent="0.2">
      <c r="A1068" s="54" t="s">
        <v>1138</v>
      </c>
      <c r="B1068" s="54">
        <v>108344</v>
      </c>
      <c r="C1068" s="54">
        <v>46</v>
      </c>
      <c r="D1068" s="54">
        <v>45</v>
      </c>
      <c r="E1068" s="54">
        <v>0</v>
      </c>
      <c r="F1068" s="54">
        <v>0</v>
      </c>
      <c r="G1068" s="54">
        <v>0</v>
      </c>
      <c r="H1068" s="54">
        <v>0</v>
      </c>
    </row>
    <row r="1069" spans="1:8" x14ac:dyDescent="0.2">
      <c r="A1069" s="54" t="s">
        <v>1139</v>
      </c>
      <c r="B1069" s="54">
        <v>158401</v>
      </c>
      <c r="C1069" s="54">
        <v>47</v>
      </c>
      <c r="D1069" s="54">
        <v>47</v>
      </c>
      <c r="E1069" s="54">
        <v>1</v>
      </c>
      <c r="F1069" s="54">
        <v>41</v>
      </c>
      <c r="G1069" s="54">
        <v>0</v>
      </c>
      <c r="H1069" s="54">
        <v>120</v>
      </c>
    </row>
    <row r="1070" spans="1:8" x14ac:dyDescent="0.2">
      <c r="A1070" s="54" t="s">
        <v>1140</v>
      </c>
      <c r="B1070" s="54">
        <v>303208</v>
      </c>
      <c r="C1070" s="54">
        <v>47</v>
      </c>
      <c r="D1070" s="54">
        <v>15</v>
      </c>
      <c r="E1070" s="54">
        <v>2</v>
      </c>
      <c r="F1070" s="54">
        <v>0</v>
      </c>
      <c r="G1070" s="54">
        <v>0</v>
      </c>
      <c r="H1070" s="54">
        <v>0</v>
      </c>
    </row>
    <row r="1071" spans="1:8" x14ac:dyDescent="0.2">
      <c r="A1071" s="54" t="s">
        <v>1141</v>
      </c>
      <c r="B1071" s="54">
        <v>110348</v>
      </c>
      <c r="C1071" s="54">
        <v>48</v>
      </c>
      <c r="D1071" s="54">
        <v>50</v>
      </c>
      <c r="E1071" s="54">
        <v>2</v>
      </c>
      <c r="F1071" s="54">
        <v>76</v>
      </c>
      <c r="G1071" s="54">
        <v>0</v>
      </c>
      <c r="H1071" s="54">
        <v>0</v>
      </c>
    </row>
    <row r="1072" spans="1:8" x14ac:dyDescent="0.2">
      <c r="A1072" s="54" t="s">
        <v>1142</v>
      </c>
      <c r="B1072" s="54">
        <v>145184</v>
      </c>
      <c r="C1072" s="54">
        <v>48</v>
      </c>
      <c r="D1072" s="54">
        <v>48</v>
      </c>
      <c r="E1072" s="54">
        <v>4</v>
      </c>
      <c r="F1072" s="54">
        <v>4</v>
      </c>
      <c r="G1072" s="54">
        <v>0</v>
      </c>
      <c r="H1072" s="54">
        <v>0</v>
      </c>
    </row>
    <row r="1073" spans="1:8" x14ac:dyDescent="0.2">
      <c r="A1073" s="54" t="s">
        <v>1143</v>
      </c>
      <c r="B1073" s="54">
        <v>110571</v>
      </c>
      <c r="C1073" s="54">
        <v>49</v>
      </c>
      <c r="D1073" s="54">
        <v>10</v>
      </c>
      <c r="E1073" s="54">
        <v>4</v>
      </c>
      <c r="F1073" s="54">
        <v>0</v>
      </c>
      <c r="G1073" s="54">
        <v>0</v>
      </c>
      <c r="H1073" s="54">
        <v>0</v>
      </c>
    </row>
    <row r="1074" spans="1:8" x14ac:dyDescent="0.2">
      <c r="A1074" s="54" t="s">
        <v>1144</v>
      </c>
      <c r="B1074" s="54">
        <v>507321</v>
      </c>
      <c r="C1074" s="54">
        <v>50</v>
      </c>
      <c r="D1074" s="54">
        <v>40</v>
      </c>
      <c r="E1074" s="54">
        <v>5</v>
      </c>
      <c r="F1074" s="54">
        <v>13</v>
      </c>
      <c r="G1074" s="54">
        <v>7</v>
      </c>
      <c r="H1074" s="54">
        <v>0</v>
      </c>
    </row>
    <row r="1075" spans="1:8" x14ac:dyDescent="0.2">
      <c r="A1075" s="54" t="s">
        <v>1145</v>
      </c>
      <c r="B1075" s="54">
        <v>455172</v>
      </c>
      <c r="C1075" s="54">
        <v>51</v>
      </c>
      <c r="D1075" s="54">
        <v>45</v>
      </c>
      <c r="E1075" s="54">
        <v>2</v>
      </c>
      <c r="F1075" s="54">
        <v>0</v>
      </c>
      <c r="G1075" s="54">
        <v>0</v>
      </c>
      <c r="H1075" s="54">
        <v>0</v>
      </c>
    </row>
    <row r="1076" spans="1:8" x14ac:dyDescent="0.2">
      <c r="A1076" s="54" t="s">
        <v>1146</v>
      </c>
      <c r="B1076" s="54">
        <v>109564</v>
      </c>
      <c r="C1076" s="54">
        <v>51</v>
      </c>
      <c r="D1076" s="54">
        <v>38</v>
      </c>
      <c r="E1076" s="54">
        <v>5</v>
      </c>
      <c r="F1076" s="54">
        <v>15</v>
      </c>
      <c r="G1076" s="54">
        <v>7</v>
      </c>
      <c r="H1076" s="54">
        <v>8</v>
      </c>
    </row>
    <row r="1077" spans="1:8" x14ac:dyDescent="0.2">
      <c r="A1077" s="54" t="s">
        <v>1147</v>
      </c>
      <c r="B1077" s="54">
        <v>108752</v>
      </c>
      <c r="C1077" s="54">
        <v>51</v>
      </c>
      <c r="D1077" s="54">
        <v>50</v>
      </c>
      <c r="E1077" s="54">
        <v>0</v>
      </c>
      <c r="F1077" s="54">
        <v>16</v>
      </c>
      <c r="G1077" s="54">
        <v>4</v>
      </c>
      <c r="H1077" s="54">
        <v>10</v>
      </c>
    </row>
    <row r="1078" spans="1:8" x14ac:dyDescent="0.2">
      <c r="A1078" s="54" t="s">
        <v>1148</v>
      </c>
      <c r="B1078" s="54">
        <v>110631</v>
      </c>
      <c r="C1078" s="54">
        <v>52</v>
      </c>
      <c r="D1078" s="54">
        <v>30</v>
      </c>
      <c r="E1078" s="54">
        <v>1</v>
      </c>
      <c r="F1078" s="54">
        <v>0</v>
      </c>
      <c r="G1078" s="54">
        <v>0</v>
      </c>
      <c r="H1078" s="54">
        <v>0</v>
      </c>
    </row>
    <row r="1079" spans="1:8" x14ac:dyDescent="0.2">
      <c r="A1079" s="54" t="s">
        <v>1149</v>
      </c>
      <c r="B1079" s="54">
        <v>300075</v>
      </c>
      <c r="C1079" s="54">
        <v>52</v>
      </c>
      <c r="D1079" s="54">
        <v>55</v>
      </c>
      <c r="E1079" s="54">
        <v>2</v>
      </c>
      <c r="F1079" s="54">
        <v>11</v>
      </c>
      <c r="G1079" s="54">
        <v>9</v>
      </c>
      <c r="H1079" s="54">
        <v>31</v>
      </c>
    </row>
    <row r="1080" spans="1:8" x14ac:dyDescent="0.2">
      <c r="A1080" s="54" t="s">
        <v>1150</v>
      </c>
      <c r="B1080" s="54">
        <v>303269</v>
      </c>
      <c r="C1080" s="54">
        <v>52</v>
      </c>
      <c r="D1080" s="54">
        <v>52</v>
      </c>
      <c r="E1080" s="54">
        <v>3</v>
      </c>
      <c r="F1080" s="54">
        <v>48</v>
      </c>
      <c r="G1080" s="54">
        <v>16</v>
      </c>
      <c r="H1080" s="54">
        <v>210</v>
      </c>
    </row>
    <row r="1081" spans="1:8" x14ac:dyDescent="0.2">
      <c r="A1081" s="54" t="s">
        <v>1151</v>
      </c>
      <c r="B1081" s="54">
        <v>208174</v>
      </c>
      <c r="C1081" s="54">
        <v>52</v>
      </c>
      <c r="D1081" s="54">
        <v>51</v>
      </c>
      <c r="E1081" s="54">
        <v>5</v>
      </c>
      <c r="F1081" s="54">
        <v>35</v>
      </c>
      <c r="G1081" s="54">
        <v>188</v>
      </c>
      <c r="H1081" s="54">
        <v>0</v>
      </c>
    </row>
    <row r="1082" spans="1:8" x14ac:dyDescent="0.2">
      <c r="A1082" s="54" t="s">
        <v>1152</v>
      </c>
      <c r="B1082" s="54" t="s">
        <v>1153</v>
      </c>
      <c r="C1082" s="54">
        <v>52</v>
      </c>
      <c r="D1082" s="54">
        <v>3</v>
      </c>
      <c r="E1082" s="54">
        <v>0</v>
      </c>
      <c r="F1082" s="54">
        <v>0</v>
      </c>
      <c r="G1082" s="54">
        <v>0</v>
      </c>
      <c r="H1082" s="54">
        <v>0</v>
      </c>
    </row>
    <row r="1083" spans="1:8" x14ac:dyDescent="0.2">
      <c r="A1083" s="54" t="s">
        <v>1154</v>
      </c>
      <c r="B1083" s="54">
        <v>109007</v>
      </c>
      <c r="C1083" s="54">
        <v>54</v>
      </c>
      <c r="D1083" s="54">
        <v>80</v>
      </c>
      <c r="E1083" s="54">
        <v>3</v>
      </c>
      <c r="F1083" s="54">
        <v>0</v>
      </c>
      <c r="G1083" s="54">
        <v>0</v>
      </c>
      <c r="H1083" s="54">
        <v>65</v>
      </c>
    </row>
    <row r="1084" spans="1:8" x14ac:dyDescent="0.2">
      <c r="A1084" s="54" t="s">
        <v>1155</v>
      </c>
      <c r="B1084" s="54">
        <v>132173</v>
      </c>
      <c r="C1084" s="54">
        <v>54</v>
      </c>
      <c r="D1084" s="54">
        <v>50</v>
      </c>
      <c r="E1084" s="54">
        <v>3</v>
      </c>
      <c r="F1084" s="54">
        <v>0</v>
      </c>
      <c r="G1084" s="54">
        <v>0</v>
      </c>
      <c r="H1084" s="54">
        <v>0</v>
      </c>
    </row>
    <row r="1085" spans="1:8" x14ac:dyDescent="0.2">
      <c r="A1085" s="54" t="s">
        <v>1156</v>
      </c>
      <c r="B1085" s="54">
        <v>328235</v>
      </c>
      <c r="C1085" s="54">
        <v>54</v>
      </c>
      <c r="D1085" s="54">
        <v>40</v>
      </c>
      <c r="E1085" s="54">
        <v>0</v>
      </c>
      <c r="F1085" s="54">
        <v>0</v>
      </c>
      <c r="G1085" s="54">
        <v>0</v>
      </c>
      <c r="H1085" s="54">
        <v>0</v>
      </c>
    </row>
    <row r="1086" spans="1:8" x14ac:dyDescent="0.2">
      <c r="A1086" s="54" t="s">
        <v>1157</v>
      </c>
      <c r="B1086" s="54">
        <v>109930</v>
      </c>
      <c r="C1086" s="54">
        <v>55</v>
      </c>
      <c r="D1086" s="54">
        <v>70</v>
      </c>
      <c r="E1086" s="54">
        <v>1</v>
      </c>
      <c r="F1086" s="54">
        <v>22</v>
      </c>
      <c r="G1086" s="54">
        <v>13</v>
      </c>
      <c r="H1086" s="54">
        <v>20</v>
      </c>
    </row>
    <row r="1087" spans="1:8" x14ac:dyDescent="0.2">
      <c r="A1087" s="54" t="s">
        <v>1158</v>
      </c>
      <c r="B1087" s="54">
        <v>309618</v>
      </c>
      <c r="C1087" s="54">
        <v>55</v>
      </c>
      <c r="D1087" s="54">
        <v>55</v>
      </c>
      <c r="E1087" s="54">
        <v>2</v>
      </c>
      <c r="F1087" s="54">
        <v>0</v>
      </c>
      <c r="G1087" s="54">
        <v>18</v>
      </c>
      <c r="H1087" s="54">
        <v>15</v>
      </c>
    </row>
    <row r="1088" spans="1:8" x14ac:dyDescent="0.2">
      <c r="A1088" s="54" t="s">
        <v>1159</v>
      </c>
      <c r="B1088" s="54">
        <v>494944</v>
      </c>
      <c r="C1088" s="54">
        <v>55</v>
      </c>
      <c r="D1088" s="54">
        <v>55</v>
      </c>
      <c r="E1088" s="54">
        <v>2</v>
      </c>
      <c r="F1088" s="54">
        <v>4</v>
      </c>
      <c r="G1088" s="54">
        <v>0</v>
      </c>
      <c r="H1088" s="54">
        <v>6</v>
      </c>
    </row>
    <row r="1089" spans="1:8" x14ac:dyDescent="0.2">
      <c r="A1089" s="54" t="s">
        <v>1160</v>
      </c>
      <c r="B1089" s="54">
        <v>128761</v>
      </c>
      <c r="C1089" s="54">
        <v>55</v>
      </c>
      <c r="D1089" s="54">
        <v>50</v>
      </c>
      <c r="E1089" s="54">
        <v>2</v>
      </c>
      <c r="F1089" s="54">
        <v>125</v>
      </c>
      <c r="G1089" s="54">
        <v>7</v>
      </c>
      <c r="H1089" s="54">
        <v>109</v>
      </c>
    </row>
    <row r="1090" spans="1:8" x14ac:dyDescent="0.2">
      <c r="A1090" s="54" t="s">
        <v>1161</v>
      </c>
      <c r="B1090" s="54">
        <v>114454</v>
      </c>
      <c r="C1090" s="54">
        <v>55</v>
      </c>
      <c r="D1090" s="54">
        <v>39</v>
      </c>
      <c r="E1090" s="54">
        <v>4</v>
      </c>
      <c r="F1090" s="54">
        <v>3</v>
      </c>
      <c r="G1090" s="54">
        <v>0</v>
      </c>
      <c r="H1090" s="54">
        <v>0</v>
      </c>
    </row>
    <row r="1091" spans="1:8" x14ac:dyDescent="0.2">
      <c r="A1091" s="54" t="s">
        <v>1162</v>
      </c>
      <c r="B1091" s="54">
        <v>113214</v>
      </c>
      <c r="C1091" s="54">
        <v>55</v>
      </c>
      <c r="D1091" s="54">
        <v>62</v>
      </c>
      <c r="E1091" s="54">
        <v>5</v>
      </c>
      <c r="F1091" s="54">
        <v>0</v>
      </c>
      <c r="G1091" s="54">
        <v>0</v>
      </c>
      <c r="H1091" s="54">
        <v>0</v>
      </c>
    </row>
    <row r="1092" spans="1:8" x14ac:dyDescent="0.2">
      <c r="A1092" s="54" t="s">
        <v>1163</v>
      </c>
      <c r="B1092" s="54">
        <v>109037</v>
      </c>
      <c r="C1092" s="54">
        <v>56</v>
      </c>
      <c r="D1092" s="54">
        <v>115</v>
      </c>
      <c r="E1092" s="54">
        <v>1</v>
      </c>
      <c r="F1092" s="54">
        <v>0</v>
      </c>
      <c r="G1092" s="54">
        <v>0</v>
      </c>
      <c r="H1092" s="54">
        <v>0</v>
      </c>
    </row>
    <row r="1093" spans="1:8" x14ac:dyDescent="0.2">
      <c r="A1093" s="54" t="s">
        <v>1164</v>
      </c>
      <c r="B1093" s="54">
        <v>109378</v>
      </c>
      <c r="C1093" s="54">
        <v>56</v>
      </c>
      <c r="D1093" s="54">
        <v>56</v>
      </c>
      <c r="E1093" s="54">
        <v>4</v>
      </c>
      <c r="F1093" s="54">
        <v>3</v>
      </c>
      <c r="G1093" s="54">
        <v>247</v>
      </c>
      <c r="H1093" s="54">
        <v>33</v>
      </c>
    </row>
    <row r="1094" spans="1:8" x14ac:dyDescent="0.2">
      <c r="A1094" s="54" t="s">
        <v>1165</v>
      </c>
      <c r="B1094" s="54">
        <v>108562</v>
      </c>
      <c r="C1094" s="54">
        <v>56</v>
      </c>
      <c r="D1094" s="54">
        <v>80</v>
      </c>
      <c r="E1094" s="54">
        <v>4</v>
      </c>
      <c r="F1094" s="54">
        <v>0</v>
      </c>
      <c r="G1094" s="54">
        <v>0</v>
      </c>
      <c r="H1094" s="54">
        <v>0</v>
      </c>
    </row>
    <row r="1095" spans="1:8" x14ac:dyDescent="0.2">
      <c r="A1095" s="54" t="s">
        <v>1166</v>
      </c>
      <c r="B1095" s="54">
        <v>109200</v>
      </c>
      <c r="C1095" s="54">
        <v>60</v>
      </c>
      <c r="D1095" s="54">
        <v>60</v>
      </c>
      <c r="E1095" s="54">
        <v>2</v>
      </c>
      <c r="F1095" s="54">
        <v>0</v>
      </c>
      <c r="G1095" s="54">
        <v>0</v>
      </c>
      <c r="H1095" s="54">
        <v>0</v>
      </c>
    </row>
    <row r="1096" spans="1:8" x14ac:dyDescent="0.2">
      <c r="A1096" s="54" t="s">
        <v>1167</v>
      </c>
      <c r="B1096" s="54">
        <v>300173</v>
      </c>
      <c r="C1096" s="54">
        <v>60</v>
      </c>
      <c r="D1096" s="54">
        <v>88</v>
      </c>
      <c r="E1096" s="54">
        <v>2</v>
      </c>
      <c r="F1096" s="54">
        <v>38</v>
      </c>
      <c r="G1096" s="54">
        <v>98</v>
      </c>
      <c r="H1096" s="54">
        <v>0</v>
      </c>
    </row>
    <row r="1097" spans="1:8" x14ac:dyDescent="0.2">
      <c r="A1097" s="54" t="s">
        <v>1168</v>
      </c>
      <c r="B1097" s="54">
        <v>326007</v>
      </c>
      <c r="C1097" s="54">
        <v>60</v>
      </c>
      <c r="D1097" s="54">
        <v>60</v>
      </c>
      <c r="E1097" s="54">
        <v>3</v>
      </c>
      <c r="F1097" s="54">
        <v>9</v>
      </c>
      <c r="G1097" s="54">
        <v>84</v>
      </c>
      <c r="H1097" s="54">
        <v>33</v>
      </c>
    </row>
    <row r="1098" spans="1:8" x14ac:dyDescent="0.2">
      <c r="A1098" s="54" t="s">
        <v>1169</v>
      </c>
      <c r="B1098" s="54">
        <v>163049</v>
      </c>
      <c r="C1098" s="54">
        <v>60</v>
      </c>
      <c r="D1098" s="54">
        <v>60</v>
      </c>
      <c r="E1098" s="54">
        <v>5</v>
      </c>
      <c r="F1098" s="54">
        <v>6</v>
      </c>
      <c r="G1098" s="54">
        <v>6</v>
      </c>
      <c r="H1098" s="54">
        <v>15</v>
      </c>
    </row>
    <row r="1099" spans="1:8" x14ac:dyDescent="0.2">
      <c r="A1099" s="54" t="s">
        <v>1170</v>
      </c>
      <c r="B1099" s="54">
        <v>115621</v>
      </c>
      <c r="C1099" s="54">
        <v>61</v>
      </c>
      <c r="D1099" s="54">
        <v>60</v>
      </c>
      <c r="E1099" s="54">
        <v>2</v>
      </c>
      <c r="F1099" s="54">
        <v>0</v>
      </c>
      <c r="G1099" s="54">
        <v>7</v>
      </c>
      <c r="H1099" s="54">
        <v>0</v>
      </c>
    </row>
    <row r="1100" spans="1:8" x14ac:dyDescent="0.2">
      <c r="A1100" s="54" t="s">
        <v>1171</v>
      </c>
      <c r="B1100" s="54">
        <v>112396</v>
      </c>
      <c r="C1100" s="54">
        <v>61</v>
      </c>
      <c r="D1100" s="54">
        <v>66</v>
      </c>
      <c r="E1100" s="54">
        <v>3</v>
      </c>
      <c r="F1100" s="54">
        <v>0</v>
      </c>
      <c r="G1100" s="54">
        <v>0</v>
      </c>
      <c r="H1100" s="54">
        <v>0</v>
      </c>
    </row>
    <row r="1101" spans="1:8" x14ac:dyDescent="0.2">
      <c r="A1101" s="54" t="s">
        <v>1172</v>
      </c>
      <c r="B1101" s="54">
        <v>109356</v>
      </c>
      <c r="C1101" s="54">
        <v>64</v>
      </c>
      <c r="D1101" s="54">
        <v>67</v>
      </c>
      <c r="E1101" s="54">
        <v>0</v>
      </c>
      <c r="F1101" s="54">
        <v>0</v>
      </c>
      <c r="G1101" s="54">
        <v>0</v>
      </c>
      <c r="H1101" s="54">
        <v>25</v>
      </c>
    </row>
    <row r="1102" spans="1:8" x14ac:dyDescent="0.2">
      <c r="A1102" s="54" t="s">
        <v>1173</v>
      </c>
      <c r="B1102" s="54">
        <v>108696</v>
      </c>
      <c r="C1102" s="54">
        <v>65</v>
      </c>
      <c r="D1102" s="54">
        <v>48</v>
      </c>
      <c r="E1102" s="54">
        <v>1</v>
      </c>
      <c r="F1102" s="54">
        <v>0</v>
      </c>
      <c r="G1102" s="54">
        <v>0</v>
      </c>
      <c r="H1102" s="54">
        <v>0</v>
      </c>
    </row>
    <row r="1103" spans="1:8" x14ac:dyDescent="0.2">
      <c r="A1103" s="54" t="s">
        <v>1174</v>
      </c>
      <c r="B1103" s="54">
        <v>109232</v>
      </c>
      <c r="C1103" s="54">
        <v>68</v>
      </c>
      <c r="D1103" s="54">
        <v>60</v>
      </c>
      <c r="E1103" s="54">
        <v>5</v>
      </c>
      <c r="F1103" s="54">
        <v>0</v>
      </c>
      <c r="G1103" s="54">
        <v>25</v>
      </c>
      <c r="H1103" s="54">
        <v>7</v>
      </c>
    </row>
    <row r="1104" spans="1:8" x14ac:dyDescent="0.2">
      <c r="A1104" s="54" t="s">
        <v>1175</v>
      </c>
      <c r="B1104" s="54">
        <v>121316</v>
      </c>
      <c r="C1104" s="54">
        <v>70</v>
      </c>
      <c r="D1104" s="54">
        <v>76</v>
      </c>
      <c r="E1104" s="54">
        <v>1</v>
      </c>
      <c r="F1104" s="54">
        <v>0</v>
      </c>
      <c r="G1104" s="54">
        <v>1</v>
      </c>
      <c r="H1104" s="54">
        <v>1</v>
      </c>
    </row>
    <row r="1105" spans="1:8" x14ac:dyDescent="0.2">
      <c r="A1105" s="54" t="s">
        <v>1176</v>
      </c>
      <c r="B1105" s="54">
        <v>452353</v>
      </c>
      <c r="C1105" s="54">
        <v>70</v>
      </c>
      <c r="D1105" s="54">
        <v>75</v>
      </c>
      <c r="E1105" s="54">
        <v>3</v>
      </c>
      <c r="F1105" s="54">
        <v>0</v>
      </c>
      <c r="G1105" s="54">
        <v>90</v>
      </c>
      <c r="H1105" s="54">
        <v>4</v>
      </c>
    </row>
    <row r="1106" spans="1:8" x14ac:dyDescent="0.2">
      <c r="A1106" s="54" t="s">
        <v>1177</v>
      </c>
      <c r="B1106" s="54">
        <v>204092</v>
      </c>
      <c r="C1106" s="54">
        <v>70</v>
      </c>
      <c r="D1106" s="54">
        <v>70</v>
      </c>
      <c r="E1106" s="54">
        <v>4</v>
      </c>
      <c r="F1106" s="54">
        <v>91</v>
      </c>
      <c r="G1106" s="54">
        <v>146</v>
      </c>
      <c r="H1106" s="54">
        <v>18</v>
      </c>
    </row>
    <row r="1107" spans="1:8" x14ac:dyDescent="0.2">
      <c r="A1107" s="54" t="s">
        <v>1178</v>
      </c>
      <c r="B1107" s="54">
        <v>107066</v>
      </c>
      <c r="C1107" s="54">
        <v>70</v>
      </c>
      <c r="D1107" s="54">
        <v>78</v>
      </c>
      <c r="E1107" s="54">
        <v>4</v>
      </c>
      <c r="F1107" s="54">
        <v>34</v>
      </c>
      <c r="G1107" s="54">
        <v>0</v>
      </c>
      <c r="H1107" s="54">
        <v>0</v>
      </c>
    </row>
    <row r="1108" spans="1:8" x14ac:dyDescent="0.2">
      <c r="A1108" s="54" t="s">
        <v>1179</v>
      </c>
      <c r="B1108" s="54">
        <v>107273</v>
      </c>
      <c r="C1108" s="54">
        <v>70</v>
      </c>
      <c r="D1108" s="54">
        <v>65</v>
      </c>
      <c r="E1108" s="54">
        <v>4</v>
      </c>
      <c r="F1108" s="54">
        <v>0</v>
      </c>
      <c r="G1108" s="54">
        <v>0</v>
      </c>
      <c r="H1108" s="54">
        <v>0</v>
      </c>
    </row>
    <row r="1109" spans="1:8" x14ac:dyDescent="0.2">
      <c r="A1109" s="54" t="s">
        <v>1180</v>
      </c>
      <c r="B1109" s="54">
        <v>109391</v>
      </c>
      <c r="C1109" s="54">
        <v>71</v>
      </c>
      <c r="D1109" s="54">
        <v>73</v>
      </c>
      <c r="E1109" s="54">
        <v>2</v>
      </c>
      <c r="F1109" s="54">
        <v>22</v>
      </c>
      <c r="G1109" s="54">
        <v>0</v>
      </c>
      <c r="H1109" s="54">
        <v>27</v>
      </c>
    </row>
    <row r="1110" spans="1:8" x14ac:dyDescent="0.2">
      <c r="A1110" s="54" t="s">
        <v>1181</v>
      </c>
      <c r="B1110" s="54">
        <v>105703</v>
      </c>
      <c r="C1110" s="54">
        <v>71</v>
      </c>
      <c r="D1110" s="54">
        <v>100</v>
      </c>
      <c r="E1110" s="54">
        <v>2</v>
      </c>
      <c r="F1110" s="54">
        <v>0</v>
      </c>
      <c r="G1110" s="54">
        <v>0</v>
      </c>
      <c r="H1110" s="54">
        <v>0</v>
      </c>
    </row>
    <row r="1111" spans="1:8" x14ac:dyDescent="0.2">
      <c r="A1111" s="54" t="s">
        <v>1182</v>
      </c>
      <c r="B1111" s="54">
        <v>328301</v>
      </c>
      <c r="C1111" s="54">
        <v>72</v>
      </c>
      <c r="D1111" s="54">
        <v>72</v>
      </c>
      <c r="E1111" s="54">
        <v>1</v>
      </c>
      <c r="F1111" s="54">
        <v>0</v>
      </c>
      <c r="G1111" s="54">
        <v>0</v>
      </c>
      <c r="H1111" s="54">
        <v>0</v>
      </c>
    </row>
    <row r="1112" spans="1:8" x14ac:dyDescent="0.2">
      <c r="A1112" s="54" t="s">
        <v>1183</v>
      </c>
      <c r="B1112" s="54">
        <v>157765</v>
      </c>
      <c r="C1112" s="54">
        <v>72</v>
      </c>
      <c r="D1112" s="54">
        <v>71</v>
      </c>
      <c r="E1112" s="54">
        <v>3</v>
      </c>
      <c r="F1112" s="54">
        <v>8</v>
      </c>
      <c r="G1112" s="54">
        <v>0</v>
      </c>
      <c r="H1112" s="54">
        <v>6</v>
      </c>
    </row>
    <row r="1113" spans="1:8" x14ac:dyDescent="0.2">
      <c r="A1113" s="54" t="s">
        <v>1184</v>
      </c>
      <c r="B1113" s="54">
        <v>124198</v>
      </c>
      <c r="C1113" s="54">
        <v>72</v>
      </c>
      <c r="D1113" s="54">
        <v>144</v>
      </c>
      <c r="E1113" s="54">
        <v>4</v>
      </c>
      <c r="F1113" s="54">
        <v>0</v>
      </c>
      <c r="G1113" s="54">
        <v>0</v>
      </c>
      <c r="H1113" s="54">
        <v>0</v>
      </c>
    </row>
    <row r="1114" spans="1:8" x14ac:dyDescent="0.2">
      <c r="A1114" s="54" t="s">
        <v>1185</v>
      </c>
      <c r="B1114" s="54">
        <v>106879</v>
      </c>
      <c r="C1114" s="54">
        <v>73</v>
      </c>
      <c r="D1114" s="54">
        <v>76</v>
      </c>
      <c r="E1114" s="54">
        <v>1</v>
      </c>
      <c r="F1114" s="54">
        <v>9</v>
      </c>
      <c r="G1114" s="54">
        <v>0</v>
      </c>
      <c r="H1114" s="54">
        <v>27</v>
      </c>
    </row>
    <row r="1115" spans="1:8" x14ac:dyDescent="0.2">
      <c r="A1115" s="54" t="s">
        <v>1186</v>
      </c>
      <c r="B1115" s="54">
        <v>107207</v>
      </c>
      <c r="C1115" s="54">
        <v>73</v>
      </c>
      <c r="D1115" s="54">
        <v>20</v>
      </c>
      <c r="E1115" s="54">
        <v>0</v>
      </c>
      <c r="F1115" s="54">
        <v>2</v>
      </c>
      <c r="G1115" s="54">
        <v>0</v>
      </c>
      <c r="H1115" s="54">
        <v>0</v>
      </c>
    </row>
    <row r="1116" spans="1:8" x14ac:dyDescent="0.2">
      <c r="A1116" s="54" t="s">
        <v>1187</v>
      </c>
      <c r="B1116" s="54">
        <v>149464</v>
      </c>
      <c r="C1116" s="54">
        <v>74</v>
      </c>
      <c r="D1116" s="54">
        <v>74</v>
      </c>
      <c r="E1116" s="54">
        <v>2</v>
      </c>
      <c r="F1116" s="54">
        <v>40</v>
      </c>
      <c r="G1116" s="54">
        <v>0</v>
      </c>
      <c r="H1116" s="54">
        <v>0</v>
      </c>
    </row>
    <row r="1117" spans="1:8" x14ac:dyDescent="0.2">
      <c r="A1117" s="54" t="s">
        <v>1188</v>
      </c>
      <c r="B1117" s="54">
        <v>487475</v>
      </c>
      <c r="C1117" s="54">
        <v>75</v>
      </c>
      <c r="D1117" s="54">
        <v>75</v>
      </c>
      <c r="E1117" s="54">
        <v>1</v>
      </c>
      <c r="F1117" s="54">
        <v>0</v>
      </c>
      <c r="G1117" s="54">
        <v>0</v>
      </c>
      <c r="H1117" s="54">
        <v>0</v>
      </c>
    </row>
    <row r="1118" spans="1:8" x14ac:dyDescent="0.2">
      <c r="A1118" s="54" t="s">
        <v>1189</v>
      </c>
      <c r="B1118" s="54">
        <v>139047</v>
      </c>
      <c r="C1118" s="54">
        <v>75</v>
      </c>
      <c r="D1118" s="54">
        <v>68</v>
      </c>
      <c r="E1118" s="54">
        <v>1</v>
      </c>
      <c r="F1118" s="54">
        <v>0</v>
      </c>
      <c r="G1118" s="54">
        <v>47</v>
      </c>
      <c r="H1118" s="54">
        <v>0</v>
      </c>
    </row>
    <row r="1119" spans="1:8" x14ac:dyDescent="0.2">
      <c r="A1119" s="54" t="s">
        <v>1190</v>
      </c>
      <c r="B1119" s="54">
        <v>191133</v>
      </c>
      <c r="C1119" s="54">
        <v>75</v>
      </c>
      <c r="D1119" s="54">
        <v>75</v>
      </c>
      <c r="E1119" s="54">
        <v>4</v>
      </c>
      <c r="F1119" s="54">
        <v>0</v>
      </c>
      <c r="G1119" s="54">
        <v>0</v>
      </c>
      <c r="H1119" s="54">
        <v>0</v>
      </c>
    </row>
    <row r="1120" spans="1:8" x14ac:dyDescent="0.2">
      <c r="A1120" s="54" t="s">
        <v>1191</v>
      </c>
      <c r="B1120" s="54">
        <v>186720</v>
      </c>
      <c r="C1120" s="54">
        <v>78</v>
      </c>
      <c r="D1120" s="54">
        <v>74</v>
      </c>
      <c r="E1120" s="54">
        <v>5</v>
      </c>
      <c r="F1120" s="54">
        <v>40</v>
      </c>
      <c r="G1120" s="54">
        <v>4</v>
      </c>
      <c r="H1120" s="54">
        <v>2</v>
      </c>
    </row>
    <row r="1121" spans="1:8" x14ac:dyDescent="0.2">
      <c r="A1121" s="54" t="s">
        <v>1192</v>
      </c>
      <c r="B1121" s="54">
        <v>312157</v>
      </c>
      <c r="C1121" s="54">
        <v>80</v>
      </c>
      <c r="D1121" s="54">
        <v>80</v>
      </c>
      <c r="E1121" s="54">
        <v>1</v>
      </c>
      <c r="F1121" s="54">
        <v>0</v>
      </c>
      <c r="G1121" s="54">
        <v>0</v>
      </c>
      <c r="H1121" s="54">
        <v>0</v>
      </c>
    </row>
    <row r="1122" spans="1:8" x14ac:dyDescent="0.2">
      <c r="A1122" s="54" t="s">
        <v>1193</v>
      </c>
      <c r="B1122" s="54">
        <v>109722</v>
      </c>
      <c r="C1122" s="54">
        <v>80</v>
      </c>
      <c r="D1122" s="54">
        <v>75</v>
      </c>
      <c r="E1122" s="54">
        <v>2</v>
      </c>
      <c r="F1122" s="54">
        <v>37</v>
      </c>
      <c r="G1122" s="54">
        <v>3</v>
      </c>
      <c r="H1122" s="54">
        <v>0</v>
      </c>
    </row>
    <row r="1123" spans="1:8" x14ac:dyDescent="0.2">
      <c r="A1123" s="54" t="s">
        <v>1194</v>
      </c>
      <c r="B1123" s="54">
        <v>112959</v>
      </c>
      <c r="C1123" s="54">
        <v>80</v>
      </c>
      <c r="D1123" s="54">
        <v>80</v>
      </c>
      <c r="E1123" s="54">
        <v>4</v>
      </c>
      <c r="F1123" s="54">
        <v>0</v>
      </c>
      <c r="G1123" s="54">
        <v>0</v>
      </c>
      <c r="H1123" s="54">
        <v>0</v>
      </c>
    </row>
    <row r="1124" spans="1:8" x14ac:dyDescent="0.2">
      <c r="A1124" s="54" t="s">
        <v>1195</v>
      </c>
      <c r="B1124" s="54">
        <v>119729</v>
      </c>
      <c r="C1124" s="54">
        <v>81</v>
      </c>
      <c r="D1124" s="54">
        <v>70</v>
      </c>
      <c r="E1124" s="54">
        <v>3</v>
      </c>
      <c r="F1124" s="54">
        <v>0</v>
      </c>
      <c r="G1124" s="54">
        <v>0</v>
      </c>
      <c r="H1124" s="54">
        <v>0</v>
      </c>
    </row>
    <row r="1125" spans="1:8" x14ac:dyDescent="0.2">
      <c r="A1125" s="54" t="s">
        <v>1196</v>
      </c>
      <c r="B1125" s="54">
        <v>107894</v>
      </c>
      <c r="C1125" s="54">
        <v>82</v>
      </c>
      <c r="D1125" s="54">
        <v>4</v>
      </c>
      <c r="E1125" s="54">
        <v>2</v>
      </c>
      <c r="F1125" s="54">
        <v>1</v>
      </c>
      <c r="G1125" s="54">
        <v>0</v>
      </c>
      <c r="H1125" s="54">
        <v>0</v>
      </c>
    </row>
    <row r="1126" spans="1:8" x14ac:dyDescent="0.2">
      <c r="A1126" s="54" t="s">
        <v>1197</v>
      </c>
      <c r="B1126" s="54">
        <v>183946</v>
      </c>
      <c r="C1126" s="54">
        <v>82</v>
      </c>
      <c r="D1126" s="54">
        <v>86</v>
      </c>
      <c r="E1126" s="54">
        <v>3</v>
      </c>
      <c r="F1126" s="54">
        <v>421</v>
      </c>
      <c r="G1126" s="54">
        <v>10</v>
      </c>
      <c r="H1126" s="54">
        <v>2</v>
      </c>
    </row>
    <row r="1127" spans="1:8" x14ac:dyDescent="0.2">
      <c r="A1127" s="54" t="s">
        <v>1198</v>
      </c>
      <c r="B1127" s="54">
        <v>127392</v>
      </c>
      <c r="C1127" s="54">
        <v>82</v>
      </c>
      <c r="D1127" s="54">
        <v>80</v>
      </c>
      <c r="E1127" s="54">
        <v>5</v>
      </c>
      <c r="F1127" s="54">
        <v>0</v>
      </c>
      <c r="G1127" s="54">
        <v>0</v>
      </c>
      <c r="H1127" s="54">
        <v>0</v>
      </c>
    </row>
    <row r="1128" spans="1:8" x14ac:dyDescent="0.2">
      <c r="A1128" s="54" t="s">
        <v>1199</v>
      </c>
      <c r="B1128" s="54">
        <v>108043</v>
      </c>
      <c r="C1128" s="54">
        <v>85</v>
      </c>
      <c r="D1128" s="54">
        <v>79</v>
      </c>
      <c r="E1128" s="54">
        <v>2</v>
      </c>
      <c r="F1128" s="54">
        <v>30</v>
      </c>
      <c r="G1128" s="54">
        <v>0</v>
      </c>
      <c r="H1128" s="54">
        <v>0</v>
      </c>
    </row>
    <row r="1129" spans="1:8" x14ac:dyDescent="0.2">
      <c r="A1129" s="54" t="s">
        <v>1200</v>
      </c>
      <c r="B1129" s="54">
        <v>114248</v>
      </c>
      <c r="C1129" s="54">
        <v>85</v>
      </c>
      <c r="D1129" s="54">
        <v>90</v>
      </c>
      <c r="E1129" s="54">
        <v>3</v>
      </c>
      <c r="F1129" s="54">
        <v>9</v>
      </c>
      <c r="G1129" s="54">
        <v>6</v>
      </c>
      <c r="H1129" s="54">
        <v>0</v>
      </c>
    </row>
    <row r="1130" spans="1:8" x14ac:dyDescent="0.2">
      <c r="A1130" s="54" t="s">
        <v>1201</v>
      </c>
      <c r="B1130" s="54" t="s">
        <v>1202</v>
      </c>
      <c r="C1130" s="54">
        <v>88</v>
      </c>
      <c r="D1130" s="54">
        <v>75</v>
      </c>
      <c r="E1130" s="54">
        <v>0</v>
      </c>
      <c r="F1130" s="54">
        <v>0</v>
      </c>
      <c r="G1130" s="54">
        <v>0</v>
      </c>
      <c r="H1130" s="54">
        <v>0</v>
      </c>
    </row>
    <row r="1131" spans="1:8" x14ac:dyDescent="0.2">
      <c r="A1131" s="54" t="s">
        <v>1203</v>
      </c>
      <c r="B1131" s="54">
        <v>112742</v>
      </c>
      <c r="C1131" s="54">
        <v>90</v>
      </c>
      <c r="D1131" s="54">
        <v>49</v>
      </c>
      <c r="E1131" s="54">
        <v>3</v>
      </c>
      <c r="F1131" s="54">
        <v>0</v>
      </c>
      <c r="G1131" s="54">
        <v>0</v>
      </c>
      <c r="H1131" s="54">
        <v>0</v>
      </c>
    </row>
    <row r="1132" spans="1:8" x14ac:dyDescent="0.2">
      <c r="A1132" s="54" t="s">
        <v>1204</v>
      </c>
      <c r="B1132" s="54">
        <v>144971</v>
      </c>
      <c r="C1132" s="54">
        <v>90</v>
      </c>
      <c r="D1132" s="54">
        <v>67</v>
      </c>
      <c r="E1132" s="54">
        <v>4</v>
      </c>
      <c r="F1132" s="54">
        <v>0</v>
      </c>
      <c r="G1132" s="54">
        <v>0</v>
      </c>
      <c r="H1132" s="54">
        <v>0</v>
      </c>
    </row>
    <row r="1133" spans="1:8" x14ac:dyDescent="0.2">
      <c r="A1133" s="54" t="s">
        <v>1205</v>
      </c>
      <c r="B1133" s="54">
        <v>108041</v>
      </c>
      <c r="C1133" s="54">
        <v>91</v>
      </c>
      <c r="D1133" s="54">
        <v>77</v>
      </c>
      <c r="E1133" s="54">
        <v>2</v>
      </c>
      <c r="F1133" s="54">
        <v>17</v>
      </c>
      <c r="G1133" s="54">
        <v>28</v>
      </c>
      <c r="H1133" s="54">
        <v>31</v>
      </c>
    </row>
    <row r="1134" spans="1:8" x14ac:dyDescent="0.2">
      <c r="A1134" s="54" t="s">
        <v>1206</v>
      </c>
      <c r="B1134" s="54">
        <v>110851</v>
      </c>
      <c r="C1134" s="54">
        <v>96</v>
      </c>
      <c r="D1134" s="54">
        <v>126</v>
      </c>
      <c r="E1134" s="54">
        <v>4</v>
      </c>
      <c r="F1134" s="54">
        <v>19</v>
      </c>
      <c r="G1134" s="54">
        <v>0</v>
      </c>
      <c r="H1134" s="54">
        <v>0</v>
      </c>
    </row>
    <row r="1135" spans="1:8" x14ac:dyDescent="0.2">
      <c r="A1135" s="54" t="s">
        <v>1207</v>
      </c>
      <c r="B1135" s="54">
        <v>106262</v>
      </c>
      <c r="C1135" s="54">
        <v>96</v>
      </c>
      <c r="D1135" s="54">
        <v>82</v>
      </c>
      <c r="E1135" s="54">
        <v>4</v>
      </c>
      <c r="F1135" s="54">
        <v>0</v>
      </c>
      <c r="G1135" s="54">
        <v>0</v>
      </c>
      <c r="H1135" s="54">
        <v>0</v>
      </c>
    </row>
    <row r="1136" spans="1:8" x14ac:dyDescent="0.2">
      <c r="A1136" s="54" t="s">
        <v>1208</v>
      </c>
      <c r="B1136" s="54">
        <v>123688</v>
      </c>
      <c r="C1136" s="54">
        <v>98</v>
      </c>
      <c r="D1136" s="54">
        <v>110</v>
      </c>
      <c r="E1136" s="54">
        <v>2</v>
      </c>
      <c r="F1136" s="54">
        <v>17</v>
      </c>
      <c r="G1136" s="54">
        <v>66</v>
      </c>
      <c r="H1136" s="54">
        <v>15</v>
      </c>
    </row>
    <row r="1137" spans="1:8" x14ac:dyDescent="0.2">
      <c r="A1137" s="54" t="s">
        <v>1209</v>
      </c>
      <c r="B1137" s="54" t="s">
        <v>1210</v>
      </c>
      <c r="C1137" s="54">
        <v>98</v>
      </c>
      <c r="D1137" s="54">
        <v>41</v>
      </c>
      <c r="E1137" s="54">
        <v>5</v>
      </c>
      <c r="F1137" s="54">
        <v>0</v>
      </c>
      <c r="G1137" s="54">
        <v>0</v>
      </c>
      <c r="H1137" s="54">
        <v>19</v>
      </c>
    </row>
    <row r="1138" spans="1:8" x14ac:dyDescent="0.2">
      <c r="A1138" s="54" t="s">
        <v>1211</v>
      </c>
      <c r="B1138" s="54">
        <v>135923</v>
      </c>
      <c r="C1138" s="54">
        <v>98</v>
      </c>
      <c r="D1138" s="54">
        <v>114</v>
      </c>
      <c r="E1138" s="54">
        <v>5</v>
      </c>
      <c r="F1138" s="54">
        <v>5</v>
      </c>
      <c r="G1138" s="54">
        <v>0</v>
      </c>
      <c r="H1138" s="54">
        <v>0</v>
      </c>
    </row>
    <row r="1139" spans="1:8" x14ac:dyDescent="0.2">
      <c r="A1139" s="54" t="s">
        <v>1212</v>
      </c>
      <c r="B1139" s="54">
        <v>112441</v>
      </c>
      <c r="C1139" s="54">
        <v>99</v>
      </c>
      <c r="D1139" s="54">
        <v>52</v>
      </c>
      <c r="E1139" s="54">
        <v>5</v>
      </c>
      <c r="F1139" s="54">
        <v>0</v>
      </c>
      <c r="G1139" s="54">
        <v>0</v>
      </c>
      <c r="H1139" s="54">
        <v>0</v>
      </c>
    </row>
    <row r="1140" spans="1:8" x14ac:dyDescent="0.2">
      <c r="A1140" s="54" t="s">
        <v>1213</v>
      </c>
      <c r="B1140" s="54">
        <v>465572</v>
      </c>
      <c r="C1140" s="54">
        <v>99</v>
      </c>
      <c r="D1140" s="54">
        <v>20</v>
      </c>
      <c r="E1140" s="54">
        <v>5</v>
      </c>
      <c r="F1140" s="54">
        <v>9</v>
      </c>
      <c r="G1140" s="54">
        <v>2</v>
      </c>
      <c r="H1140" s="54">
        <v>93</v>
      </c>
    </row>
    <row r="1141" spans="1:8" x14ac:dyDescent="0.2">
      <c r="A1141" s="54" t="s">
        <v>1214</v>
      </c>
      <c r="B1141" s="54">
        <v>110540</v>
      </c>
      <c r="C1141" s="54">
        <v>100</v>
      </c>
      <c r="D1141" s="54">
        <v>112</v>
      </c>
      <c r="E1141" s="54">
        <v>3</v>
      </c>
      <c r="F1141" s="54">
        <v>0</v>
      </c>
      <c r="G1141" s="54">
        <v>0</v>
      </c>
      <c r="H1141" s="54">
        <v>0</v>
      </c>
    </row>
    <row r="1142" spans="1:8" x14ac:dyDescent="0.2">
      <c r="A1142" s="54" t="s">
        <v>1215</v>
      </c>
      <c r="B1142" s="54">
        <v>107991</v>
      </c>
      <c r="C1142" s="54">
        <v>101</v>
      </c>
      <c r="D1142" s="54">
        <v>100</v>
      </c>
      <c r="E1142" s="54">
        <v>1</v>
      </c>
      <c r="F1142" s="54">
        <v>0</v>
      </c>
      <c r="G1142" s="54">
        <v>0</v>
      </c>
      <c r="H1142" s="54">
        <v>0</v>
      </c>
    </row>
    <row r="1143" spans="1:8" x14ac:dyDescent="0.2">
      <c r="A1143" s="54" t="s">
        <v>1216</v>
      </c>
      <c r="B1143" s="54">
        <v>116419</v>
      </c>
      <c r="C1143" s="54">
        <v>101</v>
      </c>
      <c r="D1143" s="54">
        <v>111</v>
      </c>
      <c r="E1143" s="54">
        <v>4</v>
      </c>
      <c r="F1143" s="54">
        <v>23</v>
      </c>
      <c r="G1143" s="54">
        <v>0</v>
      </c>
      <c r="H1143" s="54">
        <v>0</v>
      </c>
    </row>
    <row r="1144" spans="1:8" x14ac:dyDescent="0.2">
      <c r="A1144" s="54" t="s">
        <v>1217</v>
      </c>
      <c r="B1144" s="54">
        <v>109597</v>
      </c>
      <c r="C1144" s="54">
        <v>103</v>
      </c>
      <c r="D1144" s="54">
        <v>103</v>
      </c>
      <c r="E1144" s="54">
        <v>2</v>
      </c>
      <c r="F1144" s="54">
        <v>0</v>
      </c>
      <c r="G1144" s="54">
        <v>0</v>
      </c>
      <c r="H1144" s="54">
        <v>0</v>
      </c>
    </row>
    <row r="1145" spans="1:8" x14ac:dyDescent="0.2">
      <c r="A1145" s="54" t="s">
        <v>1218</v>
      </c>
      <c r="B1145" s="54">
        <v>108523</v>
      </c>
      <c r="C1145" s="54">
        <v>105</v>
      </c>
      <c r="D1145" s="54">
        <v>85</v>
      </c>
      <c r="E1145" s="54">
        <v>1</v>
      </c>
      <c r="F1145" s="54">
        <v>1</v>
      </c>
      <c r="G1145" s="54">
        <v>0</v>
      </c>
      <c r="H1145" s="54">
        <v>0</v>
      </c>
    </row>
    <row r="1146" spans="1:8" x14ac:dyDescent="0.2">
      <c r="A1146" s="54" t="s">
        <v>1219</v>
      </c>
      <c r="B1146" s="54">
        <v>216931</v>
      </c>
      <c r="C1146" s="54">
        <v>106</v>
      </c>
      <c r="D1146" s="54">
        <v>110</v>
      </c>
      <c r="E1146" s="54">
        <v>5</v>
      </c>
      <c r="F1146" s="54">
        <v>0</v>
      </c>
      <c r="G1146" s="54">
        <v>1</v>
      </c>
      <c r="H1146" s="54">
        <v>23</v>
      </c>
    </row>
    <row r="1147" spans="1:8" x14ac:dyDescent="0.2">
      <c r="A1147" s="54" t="s">
        <v>1220</v>
      </c>
      <c r="B1147" s="54">
        <v>140885</v>
      </c>
      <c r="C1147" s="54">
        <v>107</v>
      </c>
      <c r="D1147" s="54">
        <v>100</v>
      </c>
      <c r="E1147" s="54">
        <v>2</v>
      </c>
      <c r="F1147" s="54">
        <v>8</v>
      </c>
      <c r="G1147" s="54">
        <v>0</v>
      </c>
      <c r="H1147" s="54">
        <v>0</v>
      </c>
    </row>
    <row r="1148" spans="1:8" x14ac:dyDescent="0.2">
      <c r="A1148" s="54" t="s">
        <v>1221</v>
      </c>
      <c r="B1148" s="54">
        <v>514617</v>
      </c>
      <c r="C1148" s="54">
        <v>108</v>
      </c>
      <c r="D1148" s="54">
        <v>100</v>
      </c>
      <c r="E1148" s="54">
        <v>3</v>
      </c>
      <c r="F1148" s="54">
        <v>13</v>
      </c>
      <c r="G1148" s="54">
        <v>0</v>
      </c>
      <c r="H1148" s="54">
        <v>34</v>
      </c>
    </row>
    <row r="1149" spans="1:8" x14ac:dyDescent="0.2">
      <c r="A1149" s="54" t="s">
        <v>1222</v>
      </c>
      <c r="B1149" s="54">
        <v>115272</v>
      </c>
      <c r="C1149" s="54">
        <v>109</v>
      </c>
      <c r="D1149" s="54">
        <v>102</v>
      </c>
      <c r="E1149" s="54">
        <v>1</v>
      </c>
      <c r="F1149" s="54">
        <v>0</v>
      </c>
      <c r="G1149" s="54">
        <v>0</v>
      </c>
      <c r="H1149" s="54">
        <v>0</v>
      </c>
    </row>
    <row r="1150" spans="1:8" x14ac:dyDescent="0.2">
      <c r="A1150" s="54" t="s">
        <v>1223</v>
      </c>
      <c r="B1150" s="54">
        <v>107455</v>
      </c>
      <c r="C1150" s="54">
        <v>111</v>
      </c>
      <c r="D1150" s="54">
        <v>151</v>
      </c>
      <c r="E1150" s="54">
        <v>5</v>
      </c>
      <c r="F1150" s="54">
        <v>54</v>
      </c>
      <c r="G1150" s="54">
        <v>0</v>
      </c>
      <c r="H1150" s="54">
        <v>5</v>
      </c>
    </row>
    <row r="1151" spans="1:8" x14ac:dyDescent="0.2">
      <c r="A1151" s="54" t="s">
        <v>1224</v>
      </c>
      <c r="B1151" s="54">
        <v>122797</v>
      </c>
      <c r="C1151" s="54">
        <v>112</v>
      </c>
      <c r="D1151" s="54">
        <v>86</v>
      </c>
      <c r="E1151" s="54">
        <v>0</v>
      </c>
      <c r="F1151" s="54">
        <v>0</v>
      </c>
      <c r="G1151" s="54">
        <v>0</v>
      </c>
      <c r="H1151" s="54">
        <v>0</v>
      </c>
    </row>
    <row r="1152" spans="1:8" x14ac:dyDescent="0.2">
      <c r="A1152" s="54" t="s">
        <v>1225</v>
      </c>
      <c r="B1152" s="54">
        <v>459858</v>
      </c>
      <c r="C1152" s="54">
        <v>113</v>
      </c>
      <c r="D1152" s="54">
        <v>65</v>
      </c>
      <c r="E1152" s="54">
        <v>4</v>
      </c>
      <c r="F1152" s="54">
        <v>5</v>
      </c>
      <c r="G1152" s="54">
        <v>0</v>
      </c>
      <c r="H1152" s="54">
        <v>0</v>
      </c>
    </row>
    <row r="1153" spans="1:8" x14ac:dyDescent="0.2">
      <c r="A1153" s="54" t="s">
        <v>1226</v>
      </c>
      <c r="B1153" s="54">
        <v>109566</v>
      </c>
      <c r="C1153" s="54">
        <v>114</v>
      </c>
      <c r="D1153" s="54">
        <v>93</v>
      </c>
      <c r="E1153" s="54">
        <v>0</v>
      </c>
      <c r="F1153" s="54">
        <v>0</v>
      </c>
      <c r="G1153" s="54">
        <v>0</v>
      </c>
      <c r="H1153" s="54">
        <v>0</v>
      </c>
    </row>
    <row r="1154" spans="1:8" x14ac:dyDescent="0.2">
      <c r="A1154" s="54" t="s">
        <v>1227</v>
      </c>
      <c r="B1154" s="54">
        <v>466325</v>
      </c>
      <c r="C1154" s="54">
        <v>115</v>
      </c>
      <c r="D1154" s="54">
        <v>115</v>
      </c>
      <c r="E1154" s="54">
        <v>1</v>
      </c>
      <c r="F1154" s="54">
        <v>0</v>
      </c>
      <c r="G1154" s="54">
        <v>0</v>
      </c>
      <c r="H1154" s="54">
        <v>0</v>
      </c>
    </row>
    <row r="1155" spans="1:8" x14ac:dyDescent="0.2">
      <c r="A1155" s="54" t="s">
        <v>1228</v>
      </c>
      <c r="B1155" s="54">
        <v>123242</v>
      </c>
      <c r="C1155" s="54">
        <v>117</v>
      </c>
      <c r="D1155" s="54">
        <v>150</v>
      </c>
      <c r="E1155" s="54">
        <v>4</v>
      </c>
      <c r="F1155" s="54">
        <v>1116</v>
      </c>
      <c r="G1155" s="54">
        <v>2</v>
      </c>
      <c r="H1155" s="54">
        <v>2</v>
      </c>
    </row>
    <row r="1156" spans="1:8" x14ac:dyDescent="0.2">
      <c r="A1156" s="54" t="s">
        <v>1229</v>
      </c>
      <c r="B1156" s="54">
        <v>114568</v>
      </c>
      <c r="C1156" s="54">
        <v>118</v>
      </c>
      <c r="D1156" s="54">
        <v>100</v>
      </c>
      <c r="E1156" s="54">
        <v>1</v>
      </c>
      <c r="F1156" s="54">
        <v>0</v>
      </c>
      <c r="G1156" s="54">
        <v>0</v>
      </c>
      <c r="H1156" s="54">
        <v>17</v>
      </c>
    </row>
    <row r="1157" spans="1:8" x14ac:dyDescent="0.2">
      <c r="A1157" s="54" t="s">
        <v>1230</v>
      </c>
      <c r="B1157" s="54">
        <v>125123</v>
      </c>
      <c r="C1157" s="54">
        <v>119</v>
      </c>
      <c r="D1157" s="54">
        <v>135</v>
      </c>
      <c r="E1157" s="54">
        <v>0</v>
      </c>
      <c r="F1157" s="54">
        <v>0</v>
      </c>
      <c r="G1157" s="54">
        <v>0</v>
      </c>
      <c r="H1157" s="54">
        <v>0</v>
      </c>
    </row>
    <row r="1158" spans="1:8" x14ac:dyDescent="0.2">
      <c r="A1158" s="54" t="s">
        <v>1231</v>
      </c>
      <c r="B1158" s="54">
        <v>114578</v>
      </c>
      <c r="C1158" s="54">
        <v>120</v>
      </c>
      <c r="D1158" s="54">
        <v>75</v>
      </c>
      <c r="E1158" s="54">
        <v>4</v>
      </c>
      <c r="F1158" s="54">
        <v>0</v>
      </c>
      <c r="G1158" s="54">
        <v>0</v>
      </c>
      <c r="H1158" s="54">
        <v>0</v>
      </c>
    </row>
    <row r="1159" spans="1:8" x14ac:dyDescent="0.2">
      <c r="A1159" s="54" t="s">
        <v>1232</v>
      </c>
      <c r="B1159" s="54">
        <v>109222</v>
      </c>
      <c r="C1159" s="54">
        <v>122</v>
      </c>
      <c r="D1159" s="54">
        <v>135</v>
      </c>
      <c r="E1159" s="54">
        <v>3</v>
      </c>
      <c r="F1159" s="54">
        <v>13</v>
      </c>
      <c r="G1159" s="54">
        <v>0</v>
      </c>
      <c r="H1159" s="54">
        <v>0</v>
      </c>
    </row>
    <row r="1160" spans="1:8" x14ac:dyDescent="0.2">
      <c r="A1160" s="54" t="s">
        <v>1233</v>
      </c>
      <c r="B1160" s="54">
        <v>107020</v>
      </c>
      <c r="C1160" s="54">
        <v>123</v>
      </c>
      <c r="D1160" s="54">
        <v>130</v>
      </c>
      <c r="E1160" s="54">
        <v>5</v>
      </c>
      <c r="F1160" s="54">
        <v>0</v>
      </c>
      <c r="G1160" s="54">
        <v>0</v>
      </c>
      <c r="H1160" s="54">
        <v>4</v>
      </c>
    </row>
    <row r="1161" spans="1:8" x14ac:dyDescent="0.2">
      <c r="A1161" s="54" t="s">
        <v>1234</v>
      </c>
      <c r="B1161" s="54">
        <v>214275</v>
      </c>
      <c r="C1161" s="54">
        <v>124</v>
      </c>
      <c r="D1161" s="54">
        <v>105</v>
      </c>
      <c r="E1161" s="54">
        <v>1</v>
      </c>
      <c r="F1161" s="54">
        <v>9</v>
      </c>
      <c r="G1161" s="54">
        <v>51</v>
      </c>
      <c r="H1161" s="54">
        <v>26</v>
      </c>
    </row>
    <row r="1162" spans="1:8" x14ac:dyDescent="0.2">
      <c r="A1162" s="54" t="s">
        <v>1235</v>
      </c>
      <c r="B1162" s="54">
        <v>497630</v>
      </c>
      <c r="C1162" s="54">
        <v>124</v>
      </c>
      <c r="D1162" s="54">
        <v>126</v>
      </c>
      <c r="E1162" s="54">
        <v>4</v>
      </c>
      <c r="F1162" s="54">
        <v>0</v>
      </c>
      <c r="G1162" s="54">
        <v>0</v>
      </c>
      <c r="H1162" s="54">
        <v>0</v>
      </c>
    </row>
    <row r="1163" spans="1:8" x14ac:dyDescent="0.2">
      <c r="A1163" s="54" t="s">
        <v>1236</v>
      </c>
      <c r="B1163" s="54">
        <v>115150</v>
      </c>
      <c r="C1163" s="54">
        <v>125</v>
      </c>
      <c r="D1163" s="54">
        <v>125</v>
      </c>
      <c r="E1163" s="54">
        <v>2</v>
      </c>
      <c r="F1163" s="54">
        <v>3</v>
      </c>
      <c r="G1163" s="54">
        <v>4</v>
      </c>
      <c r="H1163" s="54">
        <v>0</v>
      </c>
    </row>
    <row r="1164" spans="1:8" x14ac:dyDescent="0.2">
      <c r="A1164" s="54" t="s">
        <v>1237</v>
      </c>
      <c r="B1164" s="54" t="s">
        <v>1238</v>
      </c>
      <c r="C1164" s="54">
        <v>125</v>
      </c>
      <c r="D1164" s="54">
        <v>50</v>
      </c>
      <c r="E1164" s="54">
        <v>2</v>
      </c>
      <c r="F1164" s="54">
        <v>0</v>
      </c>
      <c r="G1164" s="54">
        <v>0</v>
      </c>
      <c r="H1164" s="54">
        <v>9</v>
      </c>
    </row>
    <row r="1165" spans="1:8" x14ac:dyDescent="0.2">
      <c r="A1165" s="54" t="s">
        <v>1239</v>
      </c>
      <c r="B1165" s="54">
        <v>582952</v>
      </c>
      <c r="C1165" s="54">
        <v>125</v>
      </c>
      <c r="D1165" s="54">
        <v>125</v>
      </c>
      <c r="E1165" s="54">
        <v>4</v>
      </c>
      <c r="F1165" s="54">
        <v>0</v>
      </c>
      <c r="G1165" s="54">
        <v>0</v>
      </c>
      <c r="H1165" s="54">
        <v>0</v>
      </c>
    </row>
    <row r="1166" spans="1:8" x14ac:dyDescent="0.2">
      <c r="A1166" s="54" t="s">
        <v>1240</v>
      </c>
      <c r="B1166" s="54">
        <v>109468</v>
      </c>
      <c r="C1166" s="54">
        <v>126</v>
      </c>
      <c r="D1166" s="54">
        <v>75</v>
      </c>
      <c r="E1166" s="54">
        <v>1</v>
      </c>
      <c r="F1166" s="54">
        <v>0</v>
      </c>
      <c r="G1166" s="54">
        <v>4</v>
      </c>
      <c r="H1166" s="54">
        <v>0</v>
      </c>
    </row>
    <row r="1167" spans="1:8" x14ac:dyDescent="0.2">
      <c r="A1167" s="54" t="s">
        <v>1241</v>
      </c>
      <c r="B1167" s="54">
        <v>112009</v>
      </c>
      <c r="C1167" s="54">
        <v>126</v>
      </c>
      <c r="D1167" s="54">
        <v>107</v>
      </c>
      <c r="E1167" s="54">
        <v>5</v>
      </c>
      <c r="F1167" s="54">
        <v>22</v>
      </c>
      <c r="G1167" s="54">
        <v>1</v>
      </c>
      <c r="H1167" s="54">
        <v>0</v>
      </c>
    </row>
    <row r="1168" spans="1:8" x14ac:dyDescent="0.2">
      <c r="A1168" s="54" t="s">
        <v>1242</v>
      </c>
      <c r="B1168" s="54">
        <v>140280</v>
      </c>
      <c r="C1168" s="54">
        <v>130</v>
      </c>
      <c r="D1168" s="54">
        <v>130</v>
      </c>
      <c r="E1168" s="54">
        <v>4</v>
      </c>
      <c r="F1168" s="54">
        <v>28</v>
      </c>
      <c r="G1168" s="54">
        <v>0</v>
      </c>
      <c r="H1168" s="54">
        <v>0</v>
      </c>
    </row>
    <row r="1169" spans="1:8" x14ac:dyDescent="0.2">
      <c r="A1169" s="54" t="s">
        <v>1243</v>
      </c>
      <c r="B1169" s="54">
        <v>147404</v>
      </c>
      <c r="C1169" s="54">
        <v>132</v>
      </c>
      <c r="D1169" s="54">
        <v>120</v>
      </c>
      <c r="E1169" s="54">
        <v>1</v>
      </c>
      <c r="F1169" s="54">
        <v>0</v>
      </c>
      <c r="G1169" s="54">
        <v>0</v>
      </c>
      <c r="H1169" s="54">
        <v>0</v>
      </c>
    </row>
    <row r="1170" spans="1:8" x14ac:dyDescent="0.2">
      <c r="A1170" s="54" t="s">
        <v>1244</v>
      </c>
      <c r="B1170" s="54">
        <v>120026</v>
      </c>
      <c r="C1170" s="54">
        <v>135</v>
      </c>
      <c r="D1170" s="54">
        <v>126</v>
      </c>
      <c r="E1170" s="54">
        <v>1</v>
      </c>
      <c r="F1170" s="54">
        <v>8</v>
      </c>
      <c r="G1170" s="54">
        <v>6</v>
      </c>
      <c r="H1170" s="54">
        <v>34</v>
      </c>
    </row>
    <row r="1171" spans="1:8" x14ac:dyDescent="0.2">
      <c r="A1171" s="54" t="s">
        <v>1245</v>
      </c>
      <c r="B1171" s="54">
        <v>113004</v>
      </c>
      <c r="C1171" s="54">
        <v>136</v>
      </c>
      <c r="D1171" s="54">
        <v>105</v>
      </c>
      <c r="E1171" s="54">
        <v>2</v>
      </c>
      <c r="F1171" s="54">
        <v>0</v>
      </c>
      <c r="G1171" s="54">
        <v>0</v>
      </c>
      <c r="H1171" s="54">
        <v>0</v>
      </c>
    </row>
    <row r="1172" spans="1:8" x14ac:dyDescent="0.2">
      <c r="A1172" s="54" t="s">
        <v>1246</v>
      </c>
      <c r="B1172" s="54">
        <v>489005</v>
      </c>
      <c r="C1172" s="54">
        <v>137</v>
      </c>
      <c r="D1172" s="54">
        <v>5</v>
      </c>
      <c r="E1172" s="54">
        <v>2</v>
      </c>
      <c r="F1172" s="54">
        <v>0</v>
      </c>
      <c r="G1172" s="54">
        <v>0</v>
      </c>
      <c r="H1172" s="54">
        <v>0</v>
      </c>
    </row>
    <row r="1173" spans="1:8" x14ac:dyDescent="0.2">
      <c r="A1173" s="54" t="s">
        <v>1247</v>
      </c>
      <c r="B1173" s="54">
        <v>317139</v>
      </c>
      <c r="C1173" s="54">
        <v>137</v>
      </c>
      <c r="D1173" s="54">
        <v>137</v>
      </c>
      <c r="E1173" s="54">
        <v>3</v>
      </c>
      <c r="F1173" s="54">
        <v>0</v>
      </c>
      <c r="G1173" s="54">
        <v>0</v>
      </c>
      <c r="H1173" s="54">
        <v>24</v>
      </c>
    </row>
    <row r="1174" spans="1:8" x14ac:dyDescent="0.2">
      <c r="A1174" s="54" t="s">
        <v>1248</v>
      </c>
      <c r="B1174" s="54">
        <v>121983</v>
      </c>
      <c r="C1174" s="54">
        <v>138</v>
      </c>
      <c r="D1174" s="54">
        <v>113</v>
      </c>
      <c r="E1174" s="54">
        <v>4</v>
      </c>
      <c r="F1174" s="54">
        <v>0</v>
      </c>
      <c r="G1174" s="54">
        <v>6</v>
      </c>
      <c r="H1174" s="54">
        <v>0</v>
      </c>
    </row>
    <row r="1175" spans="1:8" x14ac:dyDescent="0.2">
      <c r="A1175" s="54" t="s">
        <v>1249</v>
      </c>
      <c r="B1175" s="54">
        <v>141491</v>
      </c>
      <c r="C1175" s="54">
        <v>140</v>
      </c>
      <c r="D1175" s="54">
        <v>140</v>
      </c>
      <c r="E1175" s="54">
        <v>2</v>
      </c>
      <c r="F1175" s="54">
        <v>0</v>
      </c>
      <c r="G1175" s="54">
        <v>0</v>
      </c>
      <c r="H1175" s="54">
        <v>0</v>
      </c>
    </row>
    <row r="1176" spans="1:8" x14ac:dyDescent="0.2">
      <c r="A1176" s="54" t="s">
        <v>1250</v>
      </c>
      <c r="B1176" s="54">
        <v>108051</v>
      </c>
      <c r="C1176" s="54">
        <v>140</v>
      </c>
      <c r="D1176" s="54">
        <v>140</v>
      </c>
      <c r="E1176" s="54">
        <v>4</v>
      </c>
      <c r="F1176" s="54">
        <v>41</v>
      </c>
      <c r="G1176" s="54">
        <v>0</v>
      </c>
      <c r="H1176" s="54">
        <v>137</v>
      </c>
    </row>
    <row r="1177" spans="1:8" x14ac:dyDescent="0.2">
      <c r="A1177" s="54" t="s">
        <v>1251</v>
      </c>
      <c r="B1177" s="54">
        <v>198651</v>
      </c>
      <c r="C1177" s="54">
        <v>140</v>
      </c>
      <c r="D1177" s="54">
        <v>106</v>
      </c>
      <c r="E1177" s="54">
        <v>4</v>
      </c>
      <c r="F1177" s="54">
        <v>0</v>
      </c>
      <c r="G1177" s="54">
        <v>0</v>
      </c>
      <c r="H1177" s="54">
        <v>0</v>
      </c>
    </row>
    <row r="1178" spans="1:8" x14ac:dyDescent="0.2">
      <c r="A1178" s="54" t="s">
        <v>1252</v>
      </c>
      <c r="B1178" s="54">
        <v>105690</v>
      </c>
      <c r="C1178" s="54">
        <v>140</v>
      </c>
      <c r="D1178" s="54">
        <v>100</v>
      </c>
      <c r="E1178" s="54">
        <v>0</v>
      </c>
      <c r="F1178" s="54">
        <v>0</v>
      </c>
      <c r="G1178" s="54">
        <v>0</v>
      </c>
      <c r="H1178" s="54">
        <v>3</v>
      </c>
    </row>
    <row r="1179" spans="1:8" x14ac:dyDescent="0.2">
      <c r="A1179" s="54" t="s">
        <v>1253</v>
      </c>
      <c r="B1179" s="54">
        <v>108655</v>
      </c>
      <c r="C1179" s="54">
        <v>141</v>
      </c>
      <c r="D1179" s="54">
        <v>180</v>
      </c>
      <c r="E1179" s="54">
        <v>1</v>
      </c>
      <c r="F1179" s="54">
        <v>26</v>
      </c>
      <c r="G1179" s="54">
        <v>0</v>
      </c>
      <c r="H1179" s="54">
        <v>0</v>
      </c>
    </row>
    <row r="1180" spans="1:8" x14ac:dyDescent="0.2">
      <c r="A1180" s="54" t="s">
        <v>1254</v>
      </c>
      <c r="B1180" s="54">
        <v>437670</v>
      </c>
      <c r="C1180" s="54">
        <v>150</v>
      </c>
      <c r="D1180" s="54">
        <v>5</v>
      </c>
      <c r="E1180" s="54">
        <v>2</v>
      </c>
      <c r="F1180" s="54">
        <v>0</v>
      </c>
      <c r="G1180" s="54">
        <v>0</v>
      </c>
      <c r="H1180" s="54">
        <v>0</v>
      </c>
    </row>
    <row r="1181" spans="1:8" x14ac:dyDescent="0.2">
      <c r="A1181" s="54" t="s">
        <v>1255</v>
      </c>
      <c r="B1181" s="54">
        <v>116059</v>
      </c>
      <c r="C1181" s="54">
        <v>150</v>
      </c>
      <c r="D1181" s="54">
        <v>625</v>
      </c>
      <c r="E1181" s="54">
        <v>3</v>
      </c>
      <c r="F1181" s="54">
        <v>425</v>
      </c>
      <c r="G1181" s="54">
        <v>4</v>
      </c>
      <c r="H1181" s="54">
        <v>158</v>
      </c>
    </row>
    <row r="1182" spans="1:8" x14ac:dyDescent="0.2">
      <c r="A1182" s="54" t="s">
        <v>1256</v>
      </c>
      <c r="B1182" s="54">
        <v>110842</v>
      </c>
      <c r="C1182" s="54">
        <v>152</v>
      </c>
      <c r="D1182" s="54">
        <v>133</v>
      </c>
      <c r="E1182" s="54">
        <v>0</v>
      </c>
      <c r="F1182" s="54">
        <v>0</v>
      </c>
      <c r="G1182" s="54">
        <v>0</v>
      </c>
      <c r="H1182" s="54">
        <v>0</v>
      </c>
    </row>
    <row r="1183" spans="1:8" x14ac:dyDescent="0.2">
      <c r="A1183" s="54" t="s">
        <v>1257</v>
      </c>
      <c r="B1183" s="54">
        <v>152725</v>
      </c>
      <c r="C1183" s="54">
        <v>155</v>
      </c>
      <c r="D1183" s="54">
        <v>10</v>
      </c>
      <c r="E1183" s="54">
        <v>5</v>
      </c>
      <c r="F1183" s="54">
        <v>0</v>
      </c>
      <c r="G1183" s="54">
        <v>25</v>
      </c>
      <c r="H1183" s="54">
        <v>27</v>
      </c>
    </row>
    <row r="1184" spans="1:8" x14ac:dyDescent="0.2">
      <c r="A1184" s="54" t="s">
        <v>1258</v>
      </c>
      <c r="B1184" s="54">
        <v>186227</v>
      </c>
      <c r="C1184" s="54">
        <v>156</v>
      </c>
      <c r="D1184" s="54">
        <v>12</v>
      </c>
      <c r="E1184" s="54">
        <v>2</v>
      </c>
      <c r="F1184" s="54">
        <v>0</v>
      </c>
      <c r="G1184" s="54">
        <v>0</v>
      </c>
      <c r="H1184" s="54">
        <v>3</v>
      </c>
    </row>
    <row r="1185" spans="1:8" x14ac:dyDescent="0.2">
      <c r="A1185" s="54" t="s">
        <v>1259</v>
      </c>
      <c r="B1185" s="54">
        <v>327726</v>
      </c>
      <c r="C1185" s="54">
        <v>156</v>
      </c>
      <c r="D1185" s="54">
        <v>156</v>
      </c>
      <c r="E1185" s="54">
        <v>3</v>
      </c>
      <c r="F1185" s="54">
        <v>107</v>
      </c>
      <c r="G1185" s="54">
        <v>0</v>
      </c>
      <c r="H1185" s="54">
        <v>30</v>
      </c>
    </row>
    <row r="1186" spans="1:8" x14ac:dyDescent="0.2">
      <c r="A1186" s="54" t="s">
        <v>1260</v>
      </c>
      <c r="B1186" s="54">
        <v>108662</v>
      </c>
      <c r="C1186" s="54">
        <v>160</v>
      </c>
      <c r="D1186" s="54">
        <v>135</v>
      </c>
      <c r="E1186" s="54">
        <v>4</v>
      </c>
      <c r="F1186" s="54">
        <v>9</v>
      </c>
      <c r="G1186" s="54">
        <v>20</v>
      </c>
      <c r="H1186" s="54">
        <v>3</v>
      </c>
    </row>
    <row r="1187" spans="1:8" x14ac:dyDescent="0.2">
      <c r="A1187" s="54" t="s">
        <v>1261</v>
      </c>
      <c r="B1187" s="54">
        <v>115086</v>
      </c>
      <c r="C1187" s="54">
        <v>160</v>
      </c>
      <c r="D1187" s="54">
        <v>178</v>
      </c>
      <c r="E1187" s="54">
        <v>5</v>
      </c>
      <c r="F1187" s="54">
        <v>0</v>
      </c>
      <c r="G1187" s="54">
        <v>0</v>
      </c>
      <c r="H1187" s="54">
        <v>0</v>
      </c>
    </row>
    <row r="1188" spans="1:8" x14ac:dyDescent="0.2">
      <c r="A1188" s="54" t="s">
        <v>1262</v>
      </c>
      <c r="B1188" s="54">
        <v>107149</v>
      </c>
      <c r="C1188" s="54">
        <v>162</v>
      </c>
      <c r="D1188" s="54">
        <v>55</v>
      </c>
      <c r="E1188" s="54">
        <v>3</v>
      </c>
      <c r="F1188" s="54">
        <v>7</v>
      </c>
      <c r="G1188" s="54">
        <v>0</v>
      </c>
      <c r="H1188" s="54">
        <v>2</v>
      </c>
    </row>
    <row r="1189" spans="1:8" x14ac:dyDescent="0.2">
      <c r="A1189" s="54" t="s">
        <v>1263</v>
      </c>
      <c r="B1189" s="54">
        <v>186139</v>
      </c>
      <c r="C1189" s="54">
        <v>162</v>
      </c>
      <c r="D1189" s="54">
        <v>162</v>
      </c>
      <c r="E1189" s="54">
        <v>4</v>
      </c>
      <c r="F1189" s="54">
        <v>0</v>
      </c>
      <c r="G1189" s="54">
        <v>0</v>
      </c>
      <c r="H1189" s="54">
        <v>0</v>
      </c>
    </row>
    <row r="1190" spans="1:8" x14ac:dyDescent="0.2">
      <c r="A1190" s="54" t="s">
        <v>1264</v>
      </c>
      <c r="B1190" s="54">
        <v>121372</v>
      </c>
      <c r="C1190" s="54">
        <v>167</v>
      </c>
      <c r="D1190" s="54">
        <v>129</v>
      </c>
      <c r="E1190" s="54">
        <v>2</v>
      </c>
      <c r="F1190" s="54">
        <v>0</v>
      </c>
      <c r="G1190" s="54">
        <v>0</v>
      </c>
      <c r="H1190" s="54">
        <v>0</v>
      </c>
    </row>
    <row r="1191" spans="1:8" x14ac:dyDescent="0.2">
      <c r="A1191" s="54" t="s">
        <v>1265</v>
      </c>
      <c r="B1191" s="54">
        <v>108339</v>
      </c>
      <c r="C1191" s="54">
        <v>168</v>
      </c>
      <c r="D1191" s="54">
        <v>112</v>
      </c>
      <c r="E1191" s="54">
        <v>1</v>
      </c>
      <c r="F1191" s="54">
        <v>0</v>
      </c>
      <c r="G1191" s="54">
        <v>0</v>
      </c>
      <c r="H1191" s="54">
        <v>0</v>
      </c>
    </row>
    <row r="1192" spans="1:8" x14ac:dyDescent="0.2">
      <c r="A1192" s="54" t="s">
        <v>1266</v>
      </c>
      <c r="B1192" s="54">
        <v>484057</v>
      </c>
      <c r="C1192" s="54">
        <v>171</v>
      </c>
      <c r="D1192" s="54">
        <v>155</v>
      </c>
      <c r="E1192" s="54">
        <v>1</v>
      </c>
      <c r="F1192" s="54">
        <v>0</v>
      </c>
      <c r="G1192" s="54">
        <v>0</v>
      </c>
      <c r="H1192" s="54">
        <v>15</v>
      </c>
    </row>
    <row r="1193" spans="1:8" x14ac:dyDescent="0.2">
      <c r="A1193" s="54" t="s">
        <v>1267</v>
      </c>
      <c r="B1193" s="54">
        <v>107237</v>
      </c>
      <c r="C1193" s="54">
        <v>171</v>
      </c>
      <c r="D1193" s="54">
        <v>130</v>
      </c>
      <c r="E1193" s="54">
        <v>3</v>
      </c>
      <c r="F1193" s="54">
        <v>8</v>
      </c>
      <c r="G1193" s="54">
        <v>21</v>
      </c>
      <c r="H1193" s="54">
        <v>0</v>
      </c>
    </row>
    <row r="1194" spans="1:8" x14ac:dyDescent="0.2">
      <c r="A1194" s="54" t="s">
        <v>1268</v>
      </c>
      <c r="B1194" s="54">
        <v>466485</v>
      </c>
      <c r="C1194" s="54">
        <v>178</v>
      </c>
      <c r="D1194" s="54">
        <v>140</v>
      </c>
      <c r="E1194" s="54">
        <v>5</v>
      </c>
      <c r="F1194" s="54">
        <v>0</v>
      </c>
      <c r="G1194" s="54">
        <v>0</v>
      </c>
      <c r="H1194" s="54">
        <v>0</v>
      </c>
    </row>
    <row r="1195" spans="1:8" x14ac:dyDescent="0.2">
      <c r="A1195" s="54" t="s">
        <v>1269</v>
      </c>
      <c r="B1195" s="54">
        <v>106945</v>
      </c>
      <c r="C1195" s="54">
        <v>184</v>
      </c>
      <c r="D1195" s="54">
        <v>210</v>
      </c>
      <c r="E1195" s="54">
        <v>3</v>
      </c>
      <c r="F1195" s="54">
        <v>0</v>
      </c>
      <c r="G1195" s="54">
        <v>0</v>
      </c>
      <c r="H1195" s="54">
        <v>0</v>
      </c>
    </row>
    <row r="1196" spans="1:8" x14ac:dyDescent="0.2">
      <c r="A1196" s="54" t="s">
        <v>1270</v>
      </c>
      <c r="B1196" s="54">
        <v>109662</v>
      </c>
      <c r="C1196" s="54">
        <v>188</v>
      </c>
      <c r="D1196" s="54">
        <v>410</v>
      </c>
      <c r="E1196" s="54">
        <v>4</v>
      </c>
      <c r="F1196" s="54">
        <v>0</v>
      </c>
      <c r="G1196" s="54">
        <v>0</v>
      </c>
      <c r="H1196" s="54">
        <v>0</v>
      </c>
    </row>
    <row r="1197" spans="1:8" x14ac:dyDescent="0.2">
      <c r="A1197" s="54" t="s">
        <v>1271</v>
      </c>
      <c r="B1197" s="54">
        <v>156865</v>
      </c>
      <c r="C1197" s="54">
        <v>190</v>
      </c>
      <c r="D1197" s="54">
        <v>159</v>
      </c>
      <c r="E1197" s="54">
        <v>1</v>
      </c>
      <c r="F1197" s="54">
        <v>0</v>
      </c>
      <c r="G1197" s="54">
        <v>3</v>
      </c>
      <c r="H1197" s="54">
        <v>0</v>
      </c>
    </row>
    <row r="1198" spans="1:8" x14ac:dyDescent="0.2">
      <c r="A1198" s="54" t="s">
        <v>1272</v>
      </c>
      <c r="B1198" s="54">
        <v>512875</v>
      </c>
      <c r="C1198" s="54">
        <v>194</v>
      </c>
      <c r="D1198" s="54">
        <v>4</v>
      </c>
      <c r="E1198" s="54">
        <v>2</v>
      </c>
      <c r="F1198" s="54">
        <v>0</v>
      </c>
      <c r="G1198" s="54">
        <v>0</v>
      </c>
      <c r="H1198" s="54">
        <v>0</v>
      </c>
    </row>
    <row r="1199" spans="1:8" x14ac:dyDescent="0.2">
      <c r="A1199" s="54" t="s">
        <v>1273</v>
      </c>
      <c r="B1199" s="54">
        <v>513431</v>
      </c>
      <c r="C1199" s="54">
        <v>208</v>
      </c>
      <c r="D1199" s="54">
        <v>10</v>
      </c>
      <c r="E1199" s="54">
        <v>5</v>
      </c>
      <c r="F1199" s="54">
        <v>139</v>
      </c>
      <c r="G1199" s="54">
        <v>56</v>
      </c>
      <c r="H1199" s="54">
        <v>0</v>
      </c>
    </row>
    <row r="1200" spans="1:8" x14ac:dyDescent="0.2">
      <c r="A1200" s="54" t="s">
        <v>1274</v>
      </c>
      <c r="B1200" s="54">
        <v>198534</v>
      </c>
      <c r="C1200" s="54">
        <v>215</v>
      </c>
      <c r="D1200" s="54">
        <v>180</v>
      </c>
      <c r="E1200" s="54">
        <v>1</v>
      </c>
      <c r="F1200" s="54">
        <v>0</v>
      </c>
      <c r="G1200" s="54">
        <v>0</v>
      </c>
      <c r="H1200" s="54">
        <v>0</v>
      </c>
    </row>
    <row r="1201" spans="1:8" x14ac:dyDescent="0.2">
      <c r="A1201" s="54" t="s">
        <v>1275</v>
      </c>
      <c r="B1201" s="54">
        <v>107101</v>
      </c>
      <c r="C1201" s="54">
        <v>220</v>
      </c>
      <c r="D1201" s="54">
        <v>181</v>
      </c>
      <c r="E1201" s="54">
        <v>3</v>
      </c>
      <c r="F1201" s="54">
        <v>667</v>
      </c>
      <c r="G1201" s="54">
        <v>77</v>
      </c>
      <c r="H1201" s="54">
        <v>15</v>
      </c>
    </row>
    <row r="1202" spans="1:8" x14ac:dyDescent="0.2">
      <c r="A1202" s="54" t="s">
        <v>1276</v>
      </c>
      <c r="B1202" s="54">
        <v>305520</v>
      </c>
      <c r="C1202" s="54">
        <v>225</v>
      </c>
      <c r="D1202" s="54">
        <v>1</v>
      </c>
      <c r="E1202" s="54">
        <v>0</v>
      </c>
      <c r="F1202" s="54">
        <v>0</v>
      </c>
      <c r="G1202" s="54">
        <v>0</v>
      </c>
      <c r="H1202" s="54">
        <v>2</v>
      </c>
    </row>
    <row r="1203" spans="1:8" x14ac:dyDescent="0.2">
      <c r="A1203" s="54" t="s">
        <v>1277</v>
      </c>
      <c r="B1203" s="54">
        <v>361351</v>
      </c>
      <c r="C1203" s="54">
        <v>228</v>
      </c>
      <c r="D1203" s="54">
        <v>201</v>
      </c>
      <c r="E1203" s="54">
        <v>1</v>
      </c>
      <c r="F1203" s="54">
        <v>0</v>
      </c>
      <c r="G1203" s="54">
        <v>0</v>
      </c>
      <c r="H1203" s="54">
        <v>0</v>
      </c>
    </row>
    <row r="1204" spans="1:8" x14ac:dyDescent="0.2">
      <c r="A1204" s="54" t="s">
        <v>1278</v>
      </c>
      <c r="B1204" s="54">
        <v>327587</v>
      </c>
      <c r="C1204" s="54">
        <v>245</v>
      </c>
      <c r="D1204" s="54">
        <v>225</v>
      </c>
      <c r="E1204" s="54">
        <v>3</v>
      </c>
      <c r="F1204" s="54">
        <v>0</v>
      </c>
      <c r="G1204" s="54">
        <v>0</v>
      </c>
      <c r="H1204" s="54">
        <v>22</v>
      </c>
    </row>
    <row r="1205" spans="1:8" x14ac:dyDescent="0.2">
      <c r="A1205" s="54" t="s">
        <v>1279</v>
      </c>
      <c r="B1205" s="54">
        <v>109414</v>
      </c>
      <c r="C1205" s="54">
        <v>248</v>
      </c>
      <c r="D1205" s="54">
        <v>291</v>
      </c>
      <c r="E1205" s="54">
        <v>4</v>
      </c>
      <c r="F1205" s="54">
        <v>0</v>
      </c>
      <c r="G1205" s="54">
        <v>1</v>
      </c>
      <c r="H1205" s="54">
        <v>0</v>
      </c>
    </row>
    <row r="1206" spans="1:8" x14ac:dyDescent="0.2">
      <c r="A1206" s="54" t="s">
        <v>1280</v>
      </c>
      <c r="B1206" s="54">
        <v>112223</v>
      </c>
      <c r="C1206" s="54">
        <v>270</v>
      </c>
      <c r="D1206" s="54">
        <v>253</v>
      </c>
      <c r="E1206" s="54">
        <v>3</v>
      </c>
      <c r="F1206" s="54">
        <v>18</v>
      </c>
      <c r="G1206" s="54">
        <v>0</v>
      </c>
      <c r="H1206" s="54">
        <v>0</v>
      </c>
    </row>
    <row r="1207" spans="1:8" x14ac:dyDescent="0.2">
      <c r="A1207" s="54" t="s">
        <v>1281</v>
      </c>
      <c r="B1207" s="54">
        <v>133348</v>
      </c>
      <c r="C1207" s="54">
        <v>280</v>
      </c>
      <c r="D1207" s="54">
        <v>15</v>
      </c>
      <c r="E1207" s="54">
        <v>2</v>
      </c>
      <c r="F1207" s="54">
        <v>0</v>
      </c>
      <c r="G1207" s="54">
        <v>0</v>
      </c>
      <c r="H1207" s="54">
        <v>0</v>
      </c>
    </row>
    <row r="1208" spans="1:8" x14ac:dyDescent="0.2">
      <c r="A1208" s="54" t="s">
        <v>1282</v>
      </c>
      <c r="B1208" s="54">
        <v>155741</v>
      </c>
      <c r="C1208" s="54">
        <v>297</v>
      </c>
      <c r="D1208" s="54">
        <v>288</v>
      </c>
      <c r="E1208" s="54">
        <v>2</v>
      </c>
      <c r="F1208" s="54">
        <v>0</v>
      </c>
      <c r="G1208" s="54">
        <v>0</v>
      </c>
      <c r="H1208" s="54">
        <v>0</v>
      </c>
    </row>
    <row r="1209" spans="1:8" x14ac:dyDescent="0.2">
      <c r="A1209" s="54" t="s">
        <v>1283</v>
      </c>
      <c r="B1209" s="54">
        <v>109712</v>
      </c>
      <c r="C1209" s="54">
        <v>304</v>
      </c>
      <c r="D1209" s="54">
        <v>305</v>
      </c>
      <c r="E1209" s="54">
        <v>3</v>
      </c>
      <c r="F1209" s="54">
        <v>103</v>
      </c>
      <c r="G1209" s="54">
        <v>24</v>
      </c>
      <c r="H1209" s="54">
        <v>0</v>
      </c>
    </row>
    <row r="1210" spans="1:8" x14ac:dyDescent="0.2">
      <c r="A1210" s="54" t="s">
        <v>1284</v>
      </c>
      <c r="B1210" s="54">
        <v>112324</v>
      </c>
      <c r="C1210" s="54">
        <v>357</v>
      </c>
      <c r="D1210" s="54">
        <v>565</v>
      </c>
      <c r="E1210" s="54">
        <v>1</v>
      </c>
      <c r="F1210" s="54">
        <v>0</v>
      </c>
      <c r="G1210" s="54">
        <v>0</v>
      </c>
      <c r="H1210" s="54">
        <v>0</v>
      </c>
    </row>
    <row r="1211" spans="1:8" x14ac:dyDescent="0.2">
      <c r="A1211" s="54" t="s">
        <v>1285</v>
      </c>
      <c r="B1211" s="54">
        <v>211120</v>
      </c>
      <c r="C1211" s="54">
        <v>360</v>
      </c>
      <c r="D1211" s="54">
        <v>360</v>
      </c>
      <c r="E1211" s="54">
        <v>2</v>
      </c>
      <c r="F1211" s="54">
        <v>0</v>
      </c>
      <c r="G1211" s="54">
        <v>0</v>
      </c>
      <c r="H1211" s="54">
        <v>0</v>
      </c>
    </row>
    <row r="1212" spans="1:8" x14ac:dyDescent="0.2">
      <c r="A1212" s="54" t="s">
        <v>1286</v>
      </c>
      <c r="B1212" s="54">
        <v>106281</v>
      </c>
      <c r="C1212" s="54">
        <v>373</v>
      </c>
      <c r="D1212" s="54">
        <v>200</v>
      </c>
      <c r="E1212" s="54">
        <v>5</v>
      </c>
      <c r="F1212" s="54">
        <v>3</v>
      </c>
      <c r="G1212" s="54">
        <v>0</v>
      </c>
      <c r="H1212" s="54">
        <v>0</v>
      </c>
    </row>
    <row r="1213" spans="1:8" x14ac:dyDescent="0.2">
      <c r="A1213" s="54" t="s">
        <v>1287</v>
      </c>
      <c r="B1213" s="54">
        <v>116150</v>
      </c>
      <c r="C1213" s="54">
        <v>381</v>
      </c>
      <c r="D1213" s="54">
        <v>300</v>
      </c>
      <c r="E1213" s="54">
        <v>0</v>
      </c>
      <c r="F1213" s="54">
        <v>20</v>
      </c>
      <c r="G1213" s="54">
        <v>10</v>
      </c>
      <c r="H1213" s="54">
        <v>0</v>
      </c>
    </row>
    <row r="1214" spans="1:8" x14ac:dyDescent="0.2">
      <c r="A1214" s="54" t="s">
        <v>1288</v>
      </c>
      <c r="B1214" s="54">
        <v>107831</v>
      </c>
      <c r="C1214" s="54">
        <v>402</v>
      </c>
      <c r="D1214" s="54">
        <v>420</v>
      </c>
      <c r="E1214" s="54">
        <v>5</v>
      </c>
      <c r="F1214" s="54">
        <v>427</v>
      </c>
      <c r="G1214" s="54">
        <v>233</v>
      </c>
      <c r="H1214" s="54">
        <v>86</v>
      </c>
    </row>
    <row r="1215" spans="1:8" x14ac:dyDescent="0.2">
      <c r="A1215" s="54" t="s">
        <v>1289</v>
      </c>
      <c r="B1215" s="54">
        <v>157911</v>
      </c>
      <c r="C1215" s="54">
        <v>415</v>
      </c>
      <c r="D1215" s="54">
        <v>350</v>
      </c>
      <c r="E1215" s="54">
        <v>5</v>
      </c>
      <c r="F1215" s="54">
        <v>0</v>
      </c>
      <c r="G1215" s="54">
        <v>26</v>
      </c>
      <c r="H1215" s="54">
        <v>0</v>
      </c>
    </row>
    <row r="1216" spans="1:8" x14ac:dyDescent="0.2">
      <c r="A1216" s="54" t="s">
        <v>1290</v>
      </c>
      <c r="B1216" s="54">
        <v>109245</v>
      </c>
      <c r="C1216" s="54">
        <v>426</v>
      </c>
      <c r="D1216" s="54">
        <v>350</v>
      </c>
      <c r="E1216" s="54">
        <v>5</v>
      </c>
      <c r="F1216" s="54">
        <v>216</v>
      </c>
      <c r="G1216" s="54">
        <v>103</v>
      </c>
      <c r="H1216" s="54">
        <v>12</v>
      </c>
    </row>
    <row r="1217" spans="1:8" x14ac:dyDescent="0.2">
      <c r="A1217" s="54" t="s">
        <v>1291</v>
      </c>
      <c r="B1217" s="54">
        <v>465953</v>
      </c>
      <c r="C1217" s="54">
        <v>456</v>
      </c>
      <c r="D1217" s="54">
        <v>411</v>
      </c>
      <c r="E1217" s="54">
        <v>1</v>
      </c>
      <c r="F1217" s="54">
        <v>17</v>
      </c>
      <c r="G1217" s="54">
        <v>0</v>
      </c>
      <c r="H1217" s="54">
        <v>0</v>
      </c>
    </row>
    <row r="1218" spans="1:8" x14ac:dyDescent="0.2">
      <c r="A1218" s="54" t="s">
        <v>1292</v>
      </c>
      <c r="B1218" s="54">
        <v>107593</v>
      </c>
      <c r="C1218" s="54">
        <v>476</v>
      </c>
      <c r="D1218" s="54">
        <v>375</v>
      </c>
      <c r="E1218" s="54">
        <v>0</v>
      </c>
      <c r="F1218" s="54">
        <v>0</v>
      </c>
      <c r="G1218" s="54">
        <v>0</v>
      </c>
      <c r="H1218" s="54">
        <v>113</v>
      </c>
    </row>
    <row r="1219" spans="1:8" x14ac:dyDescent="0.2">
      <c r="A1219" s="54" t="s">
        <v>1293</v>
      </c>
      <c r="B1219" s="54">
        <v>326934</v>
      </c>
      <c r="C1219" s="54">
        <v>500</v>
      </c>
      <c r="D1219" s="54">
        <v>3000</v>
      </c>
      <c r="E1219" s="54">
        <v>4</v>
      </c>
      <c r="F1219" s="54">
        <v>0</v>
      </c>
      <c r="G1219" s="54">
        <v>0</v>
      </c>
      <c r="H1219" s="54">
        <v>0</v>
      </c>
    </row>
    <row r="1220" spans="1:8" x14ac:dyDescent="0.2">
      <c r="A1220" s="54" t="s">
        <v>1294</v>
      </c>
      <c r="B1220" s="54" t="s">
        <v>1295</v>
      </c>
      <c r="C1220" s="54">
        <v>500</v>
      </c>
      <c r="D1220" s="54">
        <v>200</v>
      </c>
      <c r="E1220" s="54">
        <v>4</v>
      </c>
      <c r="F1220" s="54">
        <v>100</v>
      </c>
      <c r="G1220" s="54">
        <v>37</v>
      </c>
      <c r="H1220" s="54">
        <v>2</v>
      </c>
    </row>
    <row r="1221" spans="1:8" x14ac:dyDescent="0.2">
      <c r="A1221" s="54" t="s">
        <v>1296</v>
      </c>
      <c r="B1221" s="54">
        <v>107157</v>
      </c>
      <c r="C1221" s="54">
        <v>566</v>
      </c>
      <c r="D1221" s="54">
        <v>480</v>
      </c>
      <c r="E1221" s="54">
        <v>3</v>
      </c>
      <c r="F1221" s="54">
        <v>6</v>
      </c>
      <c r="G1221" s="54">
        <v>30</v>
      </c>
      <c r="H1221" s="54">
        <v>0</v>
      </c>
    </row>
    <row r="1222" spans="1:8" x14ac:dyDescent="0.2">
      <c r="A1222" s="54" t="s">
        <v>1297</v>
      </c>
      <c r="B1222" s="54">
        <v>458250</v>
      </c>
      <c r="C1222" s="54">
        <v>630</v>
      </c>
      <c r="D1222" s="54">
        <v>2</v>
      </c>
      <c r="E1222" s="54">
        <v>1</v>
      </c>
      <c r="F1222" s="54">
        <v>0</v>
      </c>
      <c r="G1222" s="54">
        <v>0</v>
      </c>
      <c r="H1222" s="54">
        <v>0</v>
      </c>
    </row>
    <row r="1223" spans="1:8" x14ac:dyDescent="0.2">
      <c r="A1223" s="54" t="s">
        <v>1298</v>
      </c>
      <c r="B1223" s="54">
        <v>494666</v>
      </c>
      <c r="C1223" s="54">
        <v>630</v>
      </c>
      <c r="D1223" s="54">
        <v>630</v>
      </c>
      <c r="E1223" s="54">
        <v>3</v>
      </c>
      <c r="F1223" s="54">
        <v>0</v>
      </c>
      <c r="G1223" s="54">
        <v>0</v>
      </c>
      <c r="H1223" s="54">
        <v>0</v>
      </c>
    </row>
    <row r="1224" spans="1:8" x14ac:dyDescent="0.2">
      <c r="A1224" s="54" t="s">
        <v>1299</v>
      </c>
      <c r="B1224" s="54">
        <v>328078</v>
      </c>
      <c r="C1224" s="54">
        <v>800</v>
      </c>
      <c r="D1224" s="54">
        <v>30</v>
      </c>
      <c r="E1224" s="54">
        <v>5</v>
      </c>
      <c r="F1224" s="54">
        <v>0</v>
      </c>
      <c r="G1224" s="54">
        <v>20</v>
      </c>
      <c r="H1224" s="54">
        <v>0</v>
      </c>
    </row>
    <row r="1225" spans="1:8" x14ac:dyDescent="0.2">
      <c r="A1225" s="54" t="s">
        <v>1300</v>
      </c>
      <c r="B1225" s="54">
        <v>106338</v>
      </c>
      <c r="C1225" s="54">
        <v>895</v>
      </c>
      <c r="D1225" s="54">
        <v>750</v>
      </c>
      <c r="E1225" s="54">
        <v>5</v>
      </c>
      <c r="F1225" s="54">
        <v>378</v>
      </c>
      <c r="G1225" s="54">
        <v>330</v>
      </c>
      <c r="H1225" s="54">
        <v>309</v>
      </c>
    </row>
    <row r="1226" spans="1:8" x14ac:dyDescent="0.2">
      <c r="A1226" s="54" t="s">
        <v>1301</v>
      </c>
      <c r="B1226" s="54">
        <v>124583</v>
      </c>
      <c r="C1226" s="54">
        <v>1150</v>
      </c>
      <c r="D1226" s="54">
        <v>150</v>
      </c>
      <c r="E1226" s="54">
        <v>4</v>
      </c>
      <c r="F1226" s="54">
        <v>1</v>
      </c>
      <c r="G1226" s="54">
        <v>0</v>
      </c>
      <c r="H1226" s="54">
        <v>0</v>
      </c>
    </row>
    <row r="1227" spans="1:8" x14ac:dyDescent="0.2">
      <c r="A1227" s="54" t="s">
        <v>1302</v>
      </c>
      <c r="B1227" s="54">
        <v>109717</v>
      </c>
      <c r="C1227" s="54">
        <v>1150</v>
      </c>
      <c r="D1227" s="54">
        <v>1018</v>
      </c>
      <c r="E1227" s="54">
        <v>5</v>
      </c>
      <c r="F1227" s="54">
        <v>34</v>
      </c>
      <c r="G1227" s="54">
        <v>39</v>
      </c>
      <c r="H1227" s="54">
        <v>0</v>
      </c>
    </row>
    <row r="1228" spans="1:8" x14ac:dyDescent="0.2">
      <c r="A1228" s="54" t="s">
        <v>1303</v>
      </c>
      <c r="B1228" s="54">
        <v>113074</v>
      </c>
      <c r="C1228" s="54">
        <v>0</v>
      </c>
      <c r="D1228" s="54">
        <v>35</v>
      </c>
      <c r="E1228" s="54">
        <v>1</v>
      </c>
      <c r="F1228" s="54">
        <v>0</v>
      </c>
      <c r="G1228" s="54">
        <v>0</v>
      </c>
      <c r="H1228" s="54">
        <v>0</v>
      </c>
    </row>
    <row r="1229" spans="1:8" x14ac:dyDescent="0.2">
      <c r="A1229" s="54" t="s">
        <v>1304</v>
      </c>
      <c r="B1229" s="54" t="s">
        <v>1305</v>
      </c>
      <c r="C1229" s="54">
        <v>0</v>
      </c>
      <c r="D1229" s="54">
        <v>2</v>
      </c>
      <c r="E1229" s="54">
        <v>1</v>
      </c>
      <c r="F1229" s="54">
        <v>0</v>
      </c>
      <c r="G1229" s="54">
        <v>0</v>
      </c>
      <c r="H1229" s="54">
        <v>6</v>
      </c>
    </row>
    <row r="1230" spans="1:8" x14ac:dyDescent="0.2">
      <c r="A1230" s="54" t="s">
        <v>1306</v>
      </c>
      <c r="B1230" s="54">
        <v>587158</v>
      </c>
      <c r="C1230" s="54">
        <v>0</v>
      </c>
      <c r="D1230" s="54">
        <v>50</v>
      </c>
      <c r="E1230" s="54">
        <v>1</v>
      </c>
      <c r="F1230" s="54">
        <v>0</v>
      </c>
      <c r="G1230" s="54">
        <v>0</v>
      </c>
      <c r="H1230" s="54">
        <v>0</v>
      </c>
    </row>
    <row r="1231" spans="1:8" x14ac:dyDescent="0.2">
      <c r="A1231" s="54" t="s">
        <v>1307</v>
      </c>
      <c r="B1231" s="54">
        <v>170121</v>
      </c>
      <c r="C1231" s="54">
        <v>0</v>
      </c>
      <c r="D1231" s="54">
        <v>37</v>
      </c>
      <c r="E1231" s="54">
        <v>1</v>
      </c>
      <c r="F1231" s="54">
        <v>0</v>
      </c>
      <c r="G1231" s="54">
        <v>0</v>
      </c>
      <c r="H1231" s="54">
        <v>0</v>
      </c>
    </row>
    <row r="1232" spans="1:8" x14ac:dyDescent="0.2">
      <c r="A1232" s="54" t="s">
        <v>1308</v>
      </c>
      <c r="B1232" s="54">
        <v>113139</v>
      </c>
      <c r="C1232" s="54">
        <v>0</v>
      </c>
      <c r="D1232" s="54">
        <v>100</v>
      </c>
      <c r="E1232" s="54">
        <v>1</v>
      </c>
      <c r="F1232" s="54">
        <v>0</v>
      </c>
      <c r="G1232" s="54">
        <v>0</v>
      </c>
      <c r="H1232" s="54">
        <v>0</v>
      </c>
    </row>
    <row r="1233" spans="1:8" x14ac:dyDescent="0.2">
      <c r="A1233" s="54" t="s">
        <v>1309</v>
      </c>
      <c r="B1233" s="54">
        <v>591849</v>
      </c>
      <c r="C1233" s="54">
        <v>0</v>
      </c>
      <c r="D1233" s="54">
        <v>4</v>
      </c>
      <c r="E1233" s="54">
        <v>2</v>
      </c>
      <c r="F1233" s="54">
        <v>0</v>
      </c>
      <c r="G1233" s="54">
        <v>0</v>
      </c>
      <c r="H1233" s="54">
        <v>0</v>
      </c>
    </row>
    <row r="1234" spans="1:8" x14ac:dyDescent="0.2">
      <c r="A1234" s="54" t="s">
        <v>1310</v>
      </c>
      <c r="B1234" s="54">
        <v>113145</v>
      </c>
      <c r="C1234" s="54">
        <v>0</v>
      </c>
      <c r="D1234" s="54">
        <v>21</v>
      </c>
      <c r="E1234" s="54">
        <v>2</v>
      </c>
      <c r="F1234" s="54">
        <v>0</v>
      </c>
      <c r="G1234" s="54">
        <v>0</v>
      </c>
      <c r="H1234" s="54">
        <v>0</v>
      </c>
    </row>
    <row r="1235" spans="1:8" x14ac:dyDescent="0.2">
      <c r="A1235" s="54" t="s">
        <v>1311</v>
      </c>
      <c r="B1235" s="54">
        <v>144017</v>
      </c>
      <c r="C1235" s="54">
        <v>0</v>
      </c>
      <c r="D1235" s="54">
        <v>23</v>
      </c>
      <c r="E1235" s="54">
        <v>2</v>
      </c>
      <c r="F1235" s="54">
        <v>0</v>
      </c>
      <c r="G1235" s="54">
        <v>0</v>
      </c>
      <c r="H1235" s="54">
        <v>0</v>
      </c>
    </row>
    <row r="1236" spans="1:8" x14ac:dyDescent="0.2">
      <c r="A1236" s="54" t="s">
        <v>1312</v>
      </c>
      <c r="B1236" s="54">
        <v>107448</v>
      </c>
      <c r="C1236" s="54">
        <v>0</v>
      </c>
      <c r="D1236" s="54">
        <v>32</v>
      </c>
      <c r="E1236" s="54">
        <v>5</v>
      </c>
      <c r="F1236" s="54">
        <v>46</v>
      </c>
      <c r="G1236" s="54">
        <v>204</v>
      </c>
      <c r="H1236" s="54">
        <v>180</v>
      </c>
    </row>
    <row r="1237" spans="1:8" x14ac:dyDescent="0.2">
      <c r="A1237" s="54" t="s">
        <v>1313</v>
      </c>
      <c r="B1237" s="54">
        <v>205859</v>
      </c>
      <c r="C1237" s="54">
        <v>0</v>
      </c>
      <c r="D1237" s="54">
        <v>30</v>
      </c>
      <c r="E1237" s="54">
        <v>5</v>
      </c>
      <c r="F1237" s="54">
        <v>0</v>
      </c>
      <c r="G1237" s="54">
        <v>0</v>
      </c>
      <c r="H1237" s="54">
        <v>0</v>
      </c>
    </row>
    <row r="1238" spans="1:8" x14ac:dyDescent="0.2">
      <c r="A1238" s="54" t="s">
        <v>1314</v>
      </c>
      <c r="B1238" s="54">
        <v>513383</v>
      </c>
      <c r="C1238" s="54">
        <v>0</v>
      </c>
      <c r="D1238" s="54">
        <v>12</v>
      </c>
      <c r="E1238" s="54">
        <v>0</v>
      </c>
      <c r="F1238" s="54">
        <v>0</v>
      </c>
      <c r="G1238" s="54">
        <v>0</v>
      </c>
      <c r="H1238" s="54">
        <v>0</v>
      </c>
    </row>
    <row r="1239" spans="1:8" x14ac:dyDescent="0.2">
      <c r="A1239" s="54" t="s">
        <v>1315</v>
      </c>
      <c r="B1239" s="54">
        <v>112436</v>
      </c>
      <c r="C1239" s="54">
        <v>0</v>
      </c>
      <c r="D1239" s="54">
        <v>52</v>
      </c>
      <c r="E1239" s="54">
        <v>0</v>
      </c>
      <c r="F1239" s="54">
        <v>0</v>
      </c>
      <c r="G1239" s="54">
        <v>0</v>
      </c>
      <c r="H1239" s="54">
        <v>46</v>
      </c>
    </row>
    <row r="1240" spans="1:8" x14ac:dyDescent="0.2">
      <c r="A1240" s="54" t="s">
        <v>1316</v>
      </c>
      <c r="B1240" s="54">
        <v>110959</v>
      </c>
      <c r="C1240" s="54">
        <v>0</v>
      </c>
      <c r="D1240" s="54">
        <v>25</v>
      </c>
      <c r="E1240" s="54">
        <v>0</v>
      </c>
      <c r="F1240" s="54">
        <v>0</v>
      </c>
      <c r="G1240" s="54">
        <v>0</v>
      </c>
      <c r="H1240" s="54">
        <v>0</v>
      </c>
    </row>
    <row r="1241" spans="1:8" x14ac:dyDescent="0.2">
      <c r="A1241" s="54" t="s">
        <v>1317</v>
      </c>
      <c r="B1241" s="54">
        <v>216777</v>
      </c>
      <c r="C1241" s="54">
        <v>0</v>
      </c>
      <c r="D1241" s="54">
        <v>15</v>
      </c>
      <c r="E1241" s="54">
        <v>0</v>
      </c>
      <c r="F1241" s="54">
        <v>0</v>
      </c>
      <c r="G1241" s="54">
        <v>0</v>
      </c>
      <c r="H1241" s="54">
        <v>54</v>
      </c>
    </row>
    <row r="1242" spans="1:8" x14ac:dyDescent="0.2">
      <c r="A1242" s="54" t="s">
        <v>1318</v>
      </c>
      <c r="B1242" s="54">
        <v>488900</v>
      </c>
      <c r="C1242" s="54">
        <v>0</v>
      </c>
      <c r="D1242" s="54">
        <v>16</v>
      </c>
      <c r="E1242" s="54">
        <v>0</v>
      </c>
      <c r="F1242" s="54">
        <v>0</v>
      </c>
      <c r="G1242" s="54">
        <v>0</v>
      </c>
      <c r="H1242" s="54">
        <v>0</v>
      </c>
    </row>
    <row r="1243" spans="1:8" x14ac:dyDescent="0.2">
      <c r="A1243" s="54" t="s">
        <v>1319</v>
      </c>
      <c r="B1243" s="54">
        <v>157648</v>
      </c>
      <c r="C1243" s="54">
        <v>0</v>
      </c>
      <c r="D1243" s="54">
        <v>4</v>
      </c>
      <c r="E1243" s="54">
        <v>0</v>
      </c>
      <c r="F1243" s="54">
        <v>2</v>
      </c>
      <c r="G1243" s="54">
        <v>0</v>
      </c>
      <c r="H1243" s="54">
        <v>0</v>
      </c>
    </row>
    <row r="1244" spans="1:8" x14ac:dyDescent="0.2">
      <c r="A1244" s="54" t="s">
        <v>1320</v>
      </c>
      <c r="B1244" s="54">
        <v>108758</v>
      </c>
      <c r="C1244" s="54">
        <v>0</v>
      </c>
      <c r="D1244" s="54">
        <v>6</v>
      </c>
      <c r="E1244" s="54">
        <v>0</v>
      </c>
      <c r="F1244" s="54">
        <v>0</v>
      </c>
      <c r="G1244" s="54">
        <v>0</v>
      </c>
      <c r="H1244" s="54">
        <v>0</v>
      </c>
    </row>
    <row r="1245" spans="1:8" x14ac:dyDescent="0.2">
      <c r="A1245" s="54" t="s">
        <v>1321</v>
      </c>
      <c r="B1245" s="54">
        <v>462480</v>
      </c>
      <c r="C1245" s="54">
        <v>0</v>
      </c>
      <c r="D1245" s="54">
        <v>20</v>
      </c>
      <c r="E1245" s="54">
        <v>0</v>
      </c>
      <c r="F1245" s="54">
        <v>0</v>
      </c>
      <c r="G1245" s="54">
        <v>0</v>
      </c>
      <c r="H1245" s="54">
        <v>0</v>
      </c>
    </row>
    <row r="1246" spans="1:8" x14ac:dyDescent="0.2">
      <c r="A1246" s="54" t="s">
        <v>1322</v>
      </c>
      <c r="B1246" s="54">
        <v>159536</v>
      </c>
      <c r="C1246" s="54">
        <v>0</v>
      </c>
      <c r="D1246" s="54">
        <v>60</v>
      </c>
      <c r="E1246" s="54">
        <v>0</v>
      </c>
      <c r="F1246" s="54">
        <v>0</v>
      </c>
      <c r="G1246" s="54">
        <v>0</v>
      </c>
      <c r="H1246" s="54">
        <v>0</v>
      </c>
    </row>
    <row r="1247" spans="1:8" x14ac:dyDescent="0.2">
      <c r="A1247" s="54" t="s">
        <v>1323</v>
      </c>
      <c r="B1247" s="54">
        <v>184553</v>
      </c>
      <c r="C1247" s="54">
        <v>0</v>
      </c>
      <c r="D1247" s="54">
        <v>14</v>
      </c>
      <c r="E1247" s="54">
        <v>0</v>
      </c>
      <c r="F1247" s="54">
        <v>0</v>
      </c>
      <c r="G1247" s="54">
        <v>0</v>
      </c>
      <c r="H1247" s="54">
        <v>0</v>
      </c>
    </row>
    <row r="1248" spans="1:8" x14ac:dyDescent="0.2">
      <c r="A1248" s="54" t="s">
        <v>1324</v>
      </c>
      <c r="B1248" s="54">
        <v>515059</v>
      </c>
      <c r="C1248" s="54">
        <v>0</v>
      </c>
      <c r="D1248" s="54">
        <v>7</v>
      </c>
      <c r="E1248" s="54">
        <v>0</v>
      </c>
      <c r="F1248" s="54">
        <v>0</v>
      </c>
      <c r="G1248" s="54">
        <v>1</v>
      </c>
      <c r="H1248" s="54">
        <v>0</v>
      </c>
    </row>
    <row r="1249" spans="1:8" x14ac:dyDescent="0.2">
      <c r="A1249" s="54" t="s">
        <v>1325</v>
      </c>
      <c r="B1249" s="54">
        <v>107327</v>
      </c>
      <c r="C1249" s="54">
        <v>0</v>
      </c>
      <c r="D1249" s="54">
        <v>35</v>
      </c>
      <c r="E1249" s="54">
        <v>0</v>
      </c>
      <c r="F1249" s="54">
        <v>0</v>
      </c>
      <c r="G1249" s="54">
        <v>0</v>
      </c>
      <c r="H1249" s="54">
        <v>0</v>
      </c>
    </row>
    <row r="1250" spans="1:8" x14ac:dyDescent="0.2">
      <c r="A1250" s="54" t="s">
        <v>1326</v>
      </c>
      <c r="B1250" s="54">
        <v>228009</v>
      </c>
      <c r="C1250" s="54">
        <v>0</v>
      </c>
      <c r="D1250" s="54">
        <v>7</v>
      </c>
      <c r="E1250" s="54">
        <v>0</v>
      </c>
      <c r="F1250" s="54">
        <v>0</v>
      </c>
      <c r="G1250" s="54">
        <v>0</v>
      </c>
      <c r="H1250" s="54">
        <v>0</v>
      </c>
    </row>
    <row r="1251" spans="1:8" x14ac:dyDescent="0.2">
      <c r="A1251" s="54" t="s">
        <v>1327</v>
      </c>
      <c r="B1251" s="54">
        <v>475795</v>
      </c>
      <c r="C1251" s="54">
        <v>0</v>
      </c>
      <c r="D1251" s="54">
        <v>7</v>
      </c>
      <c r="E1251" s="54">
        <v>0</v>
      </c>
      <c r="F1251" s="54">
        <v>0</v>
      </c>
      <c r="G1251" s="54">
        <v>0</v>
      </c>
      <c r="H1251" s="54">
        <v>0</v>
      </c>
    </row>
    <row r="1252" spans="1:8" x14ac:dyDescent="0.2">
      <c r="A1252" s="54" t="s">
        <v>1328</v>
      </c>
      <c r="B1252" s="54">
        <v>487359</v>
      </c>
      <c r="C1252" s="54">
        <v>0</v>
      </c>
      <c r="D1252" s="54">
        <v>7</v>
      </c>
      <c r="E1252" s="54">
        <v>0</v>
      </c>
      <c r="F1252" s="54">
        <v>0</v>
      </c>
      <c r="G1252" s="54">
        <v>0</v>
      </c>
      <c r="H1252" s="54">
        <v>4</v>
      </c>
    </row>
    <row r="1253" spans="1:8" x14ac:dyDescent="0.2">
      <c r="A1253" s="54" t="s">
        <v>1329</v>
      </c>
      <c r="B1253" s="54">
        <v>108149</v>
      </c>
      <c r="C1253" s="54">
        <v>0</v>
      </c>
      <c r="D1253" s="54">
        <v>11</v>
      </c>
      <c r="E1253" s="54">
        <v>0</v>
      </c>
      <c r="F1253" s="54">
        <v>0</v>
      </c>
      <c r="G1253" s="54">
        <v>0</v>
      </c>
      <c r="H1253" s="54">
        <v>0</v>
      </c>
    </row>
    <row r="1254" spans="1:8" x14ac:dyDescent="0.2">
      <c r="A1254" s="54" t="s">
        <v>1330</v>
      </c>
      <c r="B1254" s="54">
        <v>445084</v>
      </c>
      <c r="C1254" s="54">
        <v>0</v>
      </c>
      <c r="D1254" s="54">
        <v>12</v>
      </c>
      <c r="E1254" s="54">
        <v>0</v>
      </c>
      <c r="F1254" s="54">
        <v>0</v>
      </c>
      <c r="G1254" s="54">
        <v>0</v>
      </c>
      <c r="H1254" s="54">
        <v>0</v>
      </c>
    </row>
    <row r="1255" spans="1:8" x14ac:dyDescent="0.2">
      <c r="A1255" s="54" t="s">
        <v>1331</v>
      </c>
      <c r="B1255" s="54">
        <v>318537</v>
      </c>
      <c r="C1255" s="54">
        <v>0</v>
      </c>
      <c r="D1255" s="54">
        <v>8</v>
      </c>
      <c r="E1255" s="54">
        <v>0</v>
      </c>
      <c r="F1255" s="54">
        <v>0</v>
      </c>
      <c r="G1255" s="54">
        <v>5</v>
      </c>
      <c r="H1255" s="54">
        <v>6</v>
      </c>
    </row>
    <row r="1256" spans="1:8" x14ac:dyDescent="0.2">
      <c r="A1256" s="54" t="s">
        <v>1332</v>
      </c>
      <c r="B1256" s="54">
        <v>194258</v>
      </c>
      <c r="C1256" s="54">
        <v>0</v>
      </c>
      <c r="D1256" s="54">
        <v>20</v>
      </c>
      <c r="E1256" s="54">
        <v>0</v>
      </c>
      <c r="F1256" s="54">
        <v>0</v>
      </c>
      <c r="G1256" s="54">
        <v>3</v>
      </c>
      <c r="H1256" s="54">
        <v>2</v>
      </c>
    </row>
    <row r="1257" spans="1:8" x14ac:dyDescent="0.2">
      <c r="A1257" s="54" t="s">
        <v>1333</v>
      </c>
      <c r="B1257" s="54">
        <v>224325</v>
      </c>
      <c r="C1257" s="54">
        <v>0</v>
      </c>
      <c r="D1257" s="54">
        <v>5</v>
      </c>
      <c r="E1257" s="54">
        <v>0</v>
      </c>
      <c r="F1257" s="54">
        <v>0</v>
      </c>
      <c r="G1257" s="54">
        <v>0</v>
      </c>
      <c r="H1257" s="54">
        <v>0</v>
      </c>
    </row>
    <row r="1258" spans="1:8" x14ac:dyDescent="0.2">
      <c r="A1258" s="54" t="s">
        <v>1334</v>
      </c>
      <c r="B1258" s="54">
        <v>319164</v>
      </c>
      <c r="C1258" s="54">
        <v>0</v>
      </c>
      <c r="D1258" s="54">
        <v>25</v>
      </c>
      <c r="E1258" s="54">
        <v>0</v>
      </c>
      <c r="F1258" s="54">
        <v>0</v>
      </c>
      <c r="G1258" s="54">
        <v>0</v>
      </c>
      <c r="H1258" s="54">
        <v>0</v>
      </c>
    </row>
    <row r="1259" spans="1:8" x14ac:dyDescent="0.2">
      <c r="A1259" s="54" t="s">
        <v>1335</v>
      </c>
      <c r="B1259" s="54" t="s">
        <v>1336</v>
      </c>
      <c r="C1259" s="54">
        <v>0</v>
      </c>
      <c r="D1259" s="54">
        <v>5</v>
      </c>
      <c r="E1259" s="54">
        <v>0</v>
      </c>
      <c r="F1259" s="54">
        <v>0</v>
      </c>
      <c r="G1259" s="54">
        <v>0</v>
      </c>
      <c r="H1259" s="54">
        <v>0</v>
      </c>
    </row>
    <row r="1260" spans="1:8" x14ac:dyDescent="0.2">
      <c r="A1260" s="54" t="s">
        <v>1337</v>
      </c>
      <c r="B1260" s="54">
        <v>494760</v>
      </c>
      <c r="C1260" s="54">
        <v>0</v>
      </c>
      <c r="D1260" s="54">
        <v>75</v>
      </c>
      <c r="E1260" s="54">
        <v>0</v>
      </c>
      <c r="F1260" s="54">
        <v>0</v>
      </c>
      <c r="G1260" s="54">
        <v>0</v>
      </c>
      <c r="H1260" s="54">
        <v>0</v>
      </c>
    </row>
    <row r="1261" spans="1:8" x14ac:dyDescent="0.2">
      <c r="A1261" s="54" t="s">
        <v>1338</v>
      </c>
      <c r="B1261" s="54">
        <v>469102</v>
      </c>
      <c r="C1261" s="54">
        <v>0</v>
      </c>
      <c r="D1261" s="54">
        <v>31</v>
      </c>
      <c r="E1261" s="54">
        <v>0</v>
      </c>
      <c r="F1261" s="54">
        <v>0</v>
      </c>
      <c r="G1261" s="54">
        <v>0</v>
      </c>
      <c r="H1261" s="54">
        <v>0</v>
      </c>
    </row>
    <row r="1262" spans="1:8" x14ac:dyDescent="0.2">
      <c r="A1262" s="54" t="s">
        <v>1339</v>
      </c>
      <c r="B1262" s="54">
        <v>114037</v>
      </c>
      <c r="C1262" s="54">
        <v>0</v>
      </c>
      <c r="D1262" s="54">
        <v>38</v>
      </c>
      <c r="E1262" s="54">
        <v>0</v>
      </c>
      <c r="F1262" s="54">
        <v>0</v>
      </c>
      <c r="G1262" s="54">
        <v>0</v>
      </c>
      <c r="H1262" s="54">
        <v>0</v>
      </c>
    </row>
    <row r="1263" spans="1:8" x14ac:dyDescent="0.2">
      <c r="A1263" s="54" t="s">
        <v>1340</v>
      </c>
      <c r="B1263" s="54">
        <v>501978</v>
      </c>
      <c r="C1263" s="54">
        <v>0</v>
      </c>
      <c r="D1263" s="54">
        <v>5</v>
      </c>
      <c r="E1263" s="54">
        <v>0</v>
      </c>
      <c r="F1263" s="54">
        <v>0</v>
      </c>
      <c r="G1263" s="54">
        <v>0</v>
      </c>
      <c r="H1263" s="54">
        <v>0</v>
      </c>
    </row>
    <row r="1264" spans="1:8" x14ac:dyDescent="0.2">
      <c r="A1264" s="54" t="s">
        <v>1341</v>
      </c>
      <c r="B1264" s="54">
        <v>182144</v>
      </c>
      <c r="C1264" s="54">
        <v>0</v>
      </c>
      <c r="D1264" s="54">
        <v>20</v>
      </c>
      <c r="E1264" s="54">
        <v>0</v>
      </c>
      <c r="F1264" s="54">
        <v>0</v>
      </c>
      <c r="G1264" s="54">
        <v>0</v>
      </c>
      <c r="H1264" s="54">
        <v>1</v>
      </c>
    </row>
    <row r="1265" spans="1:8" x14ac:dyDescent="0.2">
      <c r="A1265" s="54" t="s">
        <v>1342</v>
      </c>
      <c r="B1265" s="54">
        <v>514640</v>
      </c>
      <c r="C1265" s="54">
        <v>0</v>
      </c>
      <c r="D1265" s="54">
        <v>12</v>
      </c>
      <c r="E1265" s="54">
        <v>0</v>
      </c>
      <c r="F1265" s="54">
        <v>0</v>
      </c>
      <c r="G1265" s="54">
        <v>0</v>
      </c>
      <c r="H1265" s="54">
        <v>0</v>
      </c>
    </row>
    <row r="1266" spans="1:8" x14ac:dyDescent="0.2">
      <c r="A1266" s="54" t="s">
        <v>1343</v>
      </c>
      <c r="B1266" s="54">
        <v>144040</v>
      </c>
      <c r="C1266" s="54">
        <v>0</v>
      </c>
      <c r="D1266" s="54">
        <v>53</v>
      </c>
      <c r="E1266" s="54">
        <v>0</v>
      </c>
      <c r="F1266" s="54">
        <v>0</v>
      </c>
      <c r="G1266" s="54">
        <v>0</v>
      </c>
      <c r="H1266" s="54">
        <v>38</v>
      </c>
    </row>
    <row r="1267" spans="1:8" x14ac:dyDescent="0.2">
      <c r="A1267" s="54" t="s">
        <v>1344</v>
      </c>
      <c r="B1267" s="54">
        <v>606973</v>
      </c>
      <c r="C1267" s="54">
        <v>0</v>
      </c>
      <c r="D1267" s="54">
        <v>12</v>
      </c>
      <c r="E1267" s="54">
        <v>0</v>
      </c>
      <c r="F1267" s="54">
        <v>0</v>
      </c>
      <c r="G1267" s="54">
        <v>0</v>
      </c>
      <c r="H1267" s="54">
        <v>0</v>
      </c>
    </row>
    <row r="1268" spans="1:8" x14ac:dyDescent="0.2">
      <c r="A1268" s="54" t="s">
        <v>1345</v>
      </c>
      <c r="B1268" s="54">
        <v>112331</v>
      </c>
      <c r="C1268" s="54">
        <v>0</v>
      </c>
      <c r="D1268" s="54">
        <v>15</v>
      </c>
      <c r="E1268" s="54">
        <v>0</v>
      </c>
      <c r="F1268" s="54">
        <v>0</v>
      </c>
      <c r="G1268" s="54">
        <v>0</v>
      </c>
      <c r="H1268" s="54">
        <v>0</v>
      </c>
    </row>
    <row r="1269" spans="1:8" x14ac:dyDescent="0.2">
      <c r="A1269" s="54" t="s">
        <v>1346</v>
      </c>
      <c r="B1269" s="54">
        <v>128428</v>
      </c>
      <c r="C1269" s="54">
        <v>0</v>
      </c>
      <c r="D1269" s="54">
        <v>135</v>
      </c>
      <c r="E1269" s="54">
        <v>0</v>
      </c>
      <c r="F1269" s="54">
        <v>0</v>
      </c>
      <c r="G1269" s="54">
        <v>0</v>
      </c>
      <c r="H1269" s="54">
        <v>0</v>
      </c>
    </row>
    <row r="1270" spans="1:8" x14ac:dyDescent="0.2">
      <c r="A1270" s="54" t="s">
        <v>1347</v>
      </c>
      <c r="B1270" s="54">
        <v>465793</v>
      </c>
      <c r="C1270" s="54">
        <v>0</v>
      </c>
      <c r="D1270" s="54">
        <v>3</v>
      </c>
      <c r="E1270" s="54">
        <v>0</v>
      </c>
      <c r="F1270" s="54">
        <v>0</v>
      </c>
      <c r="G1270" s="54">
        <v>0</v>
      </c>
      <c r="H1270" s="54">
        <v>5</v>
      </c>
    </row>
    <row r="1271" spans="1:8" x14ac:dyDescent="0.2">
      <c r="A1271" s="54" t="s">
        <v>1348</v>
      </c>
      <c r="B1271" s="54">
        <v>327072</v>
      </c>
      <c r="C1271" s="54">
        <v>0</v>
      </c>
      <c r="D1271" s="54">
        <v>15</v>
      </c>
      <c r="E1271" s="54">
        <v>0</v>
      </c>
      <c r="F1271" s="54">
        <v>0</v>
      </c>
      <c r="G1271" s="54">
        <v>0</v>
      </c>
      <c r="H1271" s="54">
        <v>0</v>
      </c>
    </row>
    <row r="1272" spans="1:8" x14ac:dyDescent="0.2">
      <c r="A1272" s="54" t="s">
        <v>1349</v>
      </c>
      <c r="B1272" s="54">
        <v>538448</v>
      </c>
      <c r="C1272" s="54">
        <v>0</v>
      </c>
      <c r="D1272" s="54">
        <v>5</v>
      </c>
      <c r="E1272" s="54">
        <v>0</v>
      </c>
      <c r="F1272" s="54">
        <v>0</v>
      </c>
      <c r="G1272" s="54">
        <v>0</v>
      </c>
      <c r="H1272" s="54">
        <v>0</v>
      </c>
    </row>
    <row r="1273" spans="1:8" x14ac:dyDescent="0.2">
      <c r="A1273" s="54" t="s">
        <v>1350</v>
      </c>
      <c r="B1273" s="54">
        <v>507320</v>
      </c>
      <c r="C1273" s="54">
        <v>0</v>
      </c>
      <c r="D1273" s="54">
        <v>2</v>
      </c>
      <c r="E1273" s="54">
        <v>0</v>
      </c>
      <c r="F1273" s="54">
        <v>0</v>
      </c>
      <c r="G1273" s="54">
        <v>0</v>
      </c>
      <c r="H1273" s="54">
        <v>0</v>
      </c>
    </row>
    <row r="1274" spans="1:8" x14ac:dyDescent="0.2">
      <c r="A1274" s="54" t="s">
        <v>1351</v>
      </c>
      <c r="B1274" s="54">
        <v>193092</v>
      </c>
      <c r="C1274" s="54">
        <v>0</v>
      </c>
      <c r="D1274" s="54">
        <v>8</v>
      </c>
      <c r="E1274" s="54">
        <v>0</v>
      </c>
      <c r="F1274" s="54">
        <v>13</v>
      </c>
      <c r="G1274" s="54">
        <v>0</v>
      </c>
      <c r="H1274" s="54">
        <v>0</v>
      </c>
    </row>
    <row r="1275" spans="1:8" x14ac:dyDescent="0.2">
      <c r="A1275" s="54" t="s">
        <v>1352</v>
      </c>
      <c r="B1275" s="54">
        <v>197632</v>
      </c>
      <c r="C1275" s="54">
        <v>0</v>
      </c>
      <c r="D1275" s="54">
        <v>15</v>
      </c>
      <c r="E1275" s="54">
        <v>0</v>
      </c>
      <c r="F1275" s="54">
        <v>0</v>
      </c>
      <c r="G1275" s="54">
        <v>0</v>
      </c>
      <c r="H1275" s="54">
        <v>0</v>
      </c>
    </row>
    <row r="1276" spans="1:8" x14ac:dyDescent="0.2">
      <c r="A1276" s="54" t="s">
        <v>1353</v>
      </c>
      <c r="B1276" s="54">
        <v>324451</v>
      </c>
      <c r="C1276" s="54">
        <v>0</v>
      </c>
      <c r="D1276" s="54">
        <v>6</v>
      </c>
      <c r="E1276" s="54">
        <v>0</v>
      </c>
      <c r="F1276" s="54">
        <v>0</v>
      </c>
      <c r="G1276" s="54">
        <v>0</v>
      </c>
      <c r="H1276" s="54">
        <v>0</v>
      </c>
    </row>
    <row r="1277" spans="1:8" x14ac:dyDescent="0.2">
      <c r="A1277" s="54" t="s">
        <v>1354</v>
      </c>
      <c r="B1277" s="54">
        <v>451247</v>
      </c>
      <c r="C1277" s="54">
        <v>0</v>
      </c>
      <c r="D1277" s="54">
        <v>9</v>
      </c>
      <c r="E1277" s="54">
        <v>0</v>
      </c>
      <c r="F1277" s="54">
        <v>0</v>
      </c>
      <c r="G1277" s="54">
        <v>0</v>
      </c>
      <c r="H1277" s="54">
        <v>0</v>
      </c>
    </row>
    <row r="1278" spans="1:8" x14ac:dyDescent="0.2">
      <c r="A1278" s="54" t="s">
        <v>1355</v>
      </c>
      <c r="B1278" s="54">
        <v>611350</v>
      </c>
      <c r="C1278" s="54">
        <v>0</v>
      </c>
      <c r="D1278" s="54">
        <v>1</v>
      </c>
      <c r="E1278" s="54">
        <v>0</v>
      </c>
      <c r="F1278" s="54">
        <v>0</v>
      </c>
      <c r="G1278" s="54">
        <v>0</v>
      </c>
      <c r="H1278" s="54">
        <v>0</v>
      </c>
    </row>
    <row r="1279" spans="1:8" x14ac:dyDescent="0.2">
      <c r="A1279" s="54" t="s">
        <v>1356</v>
      </c>
      <c r="B1279" s="54">
        <v>108542</v>
      </c>
      <c r="C1279" s="54">
        <v>0</v>
      </c>
      <c r="D1279" s="54">
        <v>23</v>
      </c>
      <c r="E1279" s="54">
        <v>0</v>
      </c>
      <c r="F1279" s="54">
        <v>0</v>
      </c>
      <c r="G1279" s="54">
        <v>0</v>
      </c>
      <c r="H1279" s="54">
        <v>0</v>
      </c>
    </row>
    <row r="1280" spans="1:8" x14ac:dyDescent="0.2">
      <c r="A1280" s="54" t="s">
        <v>1357</v>
      </c>
      <c r="B1280" s="54">
        <v>109944</v>
      </c>
      <c r="C1280" s="54">
        <v>0</v>
      </c>
      <c r="D1280" s="54">
        <v>25</v>
      </c>
      <c r="E1280" s="54">
        <v>0</v>
      </c>
      <c r="F1280" s="54">
        <v>0</v>
      </c>
      <c r="G1280" s="54">
        <v>0</v>
      </c>
      <c r="H1280" s="54">
        <v>0</v>
      </c>
    </row>
    <row r="1281" spans="1:8" x14ac:dyDescent="0.2">
      <c r="A1281" s="54" t="s">
        <v>1358</v>
      </c>
      <c r="B1281" s="54">
        <v>316358</v>
      </c>
      <c r="C1281" s="54">
        <v>0</v>
      </c>
      <c r="D1281" s="54">
        <v>20</v>
      </c>
      <c r="E1281" s="54">
        <v>0</v>
      </c>
      <c r="F1281" s="54">
        <v>0</v>
      </c>
      <c r="G1281" s="54">
        <v>0</v>
      </c>
      <c r="H1281" s="54">
        <v>0</v>
      </c>
    </row>
    <row r="1282" spans="1:8" x14ac:dyDescent="0.2">
      <c r="A1282" s="54" t="s">
        <v>1359</v>
      </c>
      <c r="B1282" s="54">
        <v>205040</v>
      </c>
      <c r="C1282" s="54">
        <v>0</v>
      </c>
      <c r="D1282" s="54">
        <v>4</v>
      </c>
      <c r="E1282" s="54">
        <v>0</v>
      </c>
      <c r="F1282" s="54">
        <v>0</v>
      </c>
      <c r="G1282" s="54">
        <v>0</v>
      </c>
      <c r="H1282" s="54">
        <v>0</v>
      </c>
    </row>
    <row r="1283" spans="1:8" x14ac:dyDescent="0.2">
      <c r="A1283" s="54" t="s">
        <v>1360</v>
      </c>
      <c r="B1283" s="54">
        <v>465596</v>
      </c>
      <c r="C1283" s="54">
        <v>0</v>
      </c>
      <c r="D1283" s="54">
        <v>5</v>
      </c>
      <c r="E1283" s="54">
        <v>0</v>
      </c>
      <c r="F1283" s="54">
        <v>0</v>
      </c>
      <c r="G1283" s="54">
        <v>0</v>
      </c>
      <c r="H1283" s="54">
        <v>0</v>
      </c>
    </row>
    <row r="1284" spans="1:8" x14ac:dyDescent="0.2">
      <c r="A1284" s="54" t="s">
        <v>1361</v>
      </c>
      <c r="B1284" s="54">
        <v>466403</v>
      </c>
      <c r="C1284" s="54">
        <v>0</v>
      </c>
      <c r="D1284" s="54">
        <v>41</v>
      </c>
      <c r="E1284" s="54">
        <v>0</v>
      </c>
      <c r="F1284" s="54">
        <v>0</v>
      </c>
      <c r="G1284" s="54">
        <v>0</v>
      </c>
      <c r="H1284" s="54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155D61-8C0D-4C46-B005-DC5E86D34D1E}">
  <dimension ref="B2:G24"/>
  <sheetViews>
    <sheetView topLeftCell="A4" workbookViewId="0">
      <selection activeCell="G19" sqref="G19"/>
    </sheetView>
  </sheetViews>
  <sheetFormatPr baseColWidth="10" defaultColWidth="8.83203125" defaultRowHeight="15" x14ac:dyDescent="0.2"/>
  <cols>
    <col min="2" max="2" width="14.83203125" bestFit="1" customWidth="1"/>
    <col min="3" max="3" width="22.83203125" bestFit="1" customWidth="1"/>
    <col min="4" max="4" width="9.33203125" bestFit="1" customWidth="1"/>
    <col min="7" max="7" width="19" bestFit="1" customWidth="1"/>
    <col min="8" max="8" width="24.5" bestFit="1" customWidth="1"/>
    <col min="9" max="9" width="27.1640625" bestFit="1" customWidth="1"/>
    <col min="10" max="10" width="23.5" bestFit="1" customWidth="1"/>
    <col min="11" max="11" width="24.1640625" bestFit="1" customWidth="1"/>
  </cols>
  <sheetData>
    <row r="2" spans="2:7" x14ac:dyDescent="0.2">
      <c r="B2" s="93" t="s">
        <v>1362</v>
      </c>
      <c r="C2" s="94" t="s">
        <v>1363</v>
      </c>
      <c r="D2" s="95" t="s">
        <v>1364</v>
      </c>
    </row>
    <row r="3" spans="2:7" x14ac:dyDescent="0.2">
      <c r="B3" s="176" t="s">
        <v>1365</v>
      </c>
      <c r="C3" s="96" t="s">
        <v>1366</v>
      </c>
      <c r="D3" s="97">
        <v>514</v>
      </c>
    </row>
    <row r="4" spans="2:7" x14ac:dyDescent="0.2">
      <c r="B4" s="177"/>
      <c r="C4" s="54" t="s">
        <v>1367</v>
      </c>
      <c r="D4" s="98">
        <v>127003</v>
      </c>
    </row>
    <row r="5" spans="2:7" x14ac:dyDescent="0.2">
      <c r="B5" s="177"/>
      <c r="C5" s="54" t="s">
        <v>1368</v>
      </c>
      <c r="D5" s="98">
        <v>16064</v>
      </c>
    </row>
    <row r="6" spans="2:7" x14ac:dyDescent="0.2">
      <c r="B6" s="177"/>
      <c r="C6" s="54" t="s">
        <v>1369</v>
      </c>
      <c r="D6" s="99">
        <v>0.40699999999999997</v>
      </c>
    </row>
    <row r="7" spans="2:7" x14ac:dyDescent="0.2">
      <c r="B7" s="177"/>
      <c r="C7" s="54" t="s">
        <v>1370</v>
      </c>
      <c r="D7" s="100">
        <v>0.13</v>
      </c>
    </row>
    <row r="8" spans="2:7" x14ac:dyDescent="0.2">
      <c r="B8" s="177"/>
      <c r="C8" s="54" t="s">
        <v>1371</v>
      </c>
      <c r="D8" s="100">
        <v>31.25</v>
      </c>
    </row>
    <row r="9" spans="2:7" x14ac:dyDescent="0.2">
      <c r="B9" s="176" t="s">
        <v>1372</v>
      </c>
      <c r="C9" s="96" t="s">
        <v>1366</v>
      </c>
      <c r="D9" s="97">
        <v>550</v>
      </c>
    </row>
    <row r="10" spans="2:7" x14ac:dyDescent="0.2">
      <c r="B10" s="177"/>
      <c r="C10" s="54" t="s">
        <v>1367</v>
      </c>
      <c r="D10" s="98">
        <v>134378</v>
      </c>
    </row>
    <row r="11" spans="2:7" x14ac:dyDescent="0.2">
      <c r="B11" s="177"/>
      <c r="C11" s="54" t="s">
        <v>1368</v>
      </c>
      <c r="D11" s="98">
        <v>16022</v>
      </c>
    </row>
    <row r="12" spans="2:7" x14ac:dyDescent="0.2">
      <c r="B12" s="177"/>
      <c r="C12" s="54" t="s">
        <v>1369</v>
      </c>
      <c r="D12" s="99">
        <v>0.42399999999999999</v>
      </c>
    </row>
    <row r="13" spans="2:7" x14ac:dyDescent="0.2">
      <c r="B13" s="177"/>
      <c r="C13" s="54" t="s">
        <v>1370</v>
      </c>
      <c r="D13" s="100">
        <v>0.12</v>
      </c>
    </row>
    <row r="14" spans="2:7" x14ac:dyDescent="0.2">
      <c r="B14" s="177"/>
      <c r="C14" s="54" t="s">
        <v>1371</v>
      </c>
      <c r="D14" s="100">
        <v>29.13</v>
      </c>
    </row>
    <row r="15" spans="2:7" x14ac:dyDescent="0.2">
      <c r="B15" s="176" t="s">
        <v>1373</v>
      </c>
      <c r="C15" s="96" t="s">
        <v>1366</v>
      </c>
      <c r="D15" s="97">
        <v>613</v>
      </c>
    </row>
    <row r="16" spans="2:7" x14ac:dyDescent="0.2">
      <c r="B16" s="177"/>
      <c r="C16" s="54" t="s">
        <v>1367</v>
      </c>
      <c r="D16" s="98">
        <v>141800</v>
      </c>
      <c r="G16" t="s">
        <v>1374</v>
      </c>
    </row>
    <row r="17" spans="2:7" x14ac:dyDescent="0.2">
      <c r="B17" s="177"/>
      <c r="C17" s="54" t="s">
        <v>1368</v>
      </c>
      <c r="D17" s="98">
        <v>12240</v>
      </c>
      <c r="G17" t="s">
        <v>1375</v>
      </c>
    </row>
    <row r="18" spans="2:7" x14ac:dyDescent="0.2">
      <c r="B18" s="177"/>
      <c r="C18" s="54" t="s">
        <v>1369</v>
      </c>
      <c r="D18" s="99">
        <v>0.39200000000000002</v>
      </c>
      <c r="G18" t="s">
        <v>1376</v>
      </c>
    </row>
    <row r="19" spans="2:7" x14ac:dyDescent="0.2">
      <c r="B19" s="177"/>
      <c r="C19" s="54" t="s">
        <v>1370</v>
      </c>
      <c r="D19" s="100">
        <v>0.09</v>
      </c>
    </row>
    <row r="20" spans="2:7" x14ac:dyDescent="0.2">
      <c r="B20" s="178"/>
      <c r="C20" s="101" t="s">
        <v>1371</v>
      </c>
      <c r="D20" s="102">
        <v>19.97</v>
      </c>
    </row>
    <row r="21" spans="2:7" x14ac:dyDescent="0.2">
      <c r="B21" s="179" t="s">
        <v>1377</v>
      </c>
      <c r="C21" s="103" t="s">
        <v>1369</v>
      </c>
      <c r="D21" s="104">
        <v>0.40699999999999997</v>
      </c>
    </row>
    <row r="22" spans="2:7" x14ac:dyDescent="0.2">
      <c r="B22" s="179"/>
      <c r="C22" s="103" t="s">
        <v>1370</v>
      </c>
      <c r="D22" s="105">
        <f>AVERAGE(D7,D13,D19)</f>
        <v>0.11333333333333333</v>
      </c>
    </row>
    <row r="23" spans="2:7" x14ac:dyDescent="0.2">
      <c r="B23" s="180"/>
      <c r="C23" s="106" t="s">
        <v>1371</v>
      </c>
      <c r="D23" s="107">
        <v>26.78</v>
      </c>
    </row>
    <row r="24" spans="2:7" x14ac:dyDescent="0.2">
      <c r="C24" t="s">
        <v>1378</v>
      </c>
      <c r="D24" s="34"/>
    </row>
  </sheetData>
  <mergeCells count="4">
    <mergeCell ref="B3:B8"/>
    <mergeCell ref="B9:B14"/>
    <mergeCell ref="B15:B20"/>
    <mergeCell ref="B21:B2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657B1B-AA1D-D445-8597-09B20DBCFC43}">
  <dimension ref="A1:F9"/>
  <sheetViews>
    <sheetView workbookViewId="0">
      <selection activeCell="D8" sqref="D8"/>
    </sheetView>
  </sheetViews>
  <sheetFormatPr baseColWidth="10" defaultColWidth="11.5" defaultRowHeight="15" x14ac:dyDescent="0.2"/>
  <cols>
    <col min="1" max="1" width="14.5" style="1" customWidth="1"/>
    <col min="2" max="2" width="10.83203125" style="2"/>
    <col min="3" max="3" width="14.1640625" style="2" customWidth="1"/>
    <col min="4" max="4" width="15.83203125" style="2" customWidth="1"/>
    <col min="5" max="5" width="11.83203125" bestFit="1" customWidth="1"/>
    <col min="6" max="6" width="15.33203125" customWidth="1"/>
  </cols>
  <sheetData>
    <row r="1" spans="1:6" x14ac:dyDescent="0.2">
      <c r="A1" s="7" t="s">
        <v>1379</v>
      </c>
      <c r="B1" s="4" t="s">
        <v>1380</v>
      </c>
      <c r="C1" s="4" t="s">
        <v>1366</v>
      </c>
      <c r="D1" s="4" t="s">
        <v>11</v>
      </c>
      <c r="F1" s="3" t="s">
        <v>2</v>
      </c>
    </row>
    <row r="2" spans="1:6" ht="16" x14ac:dyDescent="0.2">
      <c r="A2" s="44" t="s">
        <v>1381</v>
      </c>
      <c r="B2" s="45">
        <f>D2/$F$2</f>
        <v>0.28955998536446548</v>
      </c>
      <c r="C2" s="87">
        <f>COUNTIFS('v2 Data'!I:I, "&gt;=1.5",'v2 Data'!E:E, "&gt;=6")</f>
        <v>259</v>
      </c>
      <c r="D2" s="47">
        <f>SUMIFS('v2 Data'!C:C, 'v2 Data'!I:I,"&gt;=1.5", 'v2 Data'!E:E, "&gt;=6")</f>
        <v>42735</v>
      </c>
      <c r="F2" s="8">
        <f>'Goal Model (2)'!Z24</f>
        <v>147586</v>
      </c>
    </row>
    <row r="3" spans="1:6" x14ac:dyDescent="0.2">
      <c r="A3" s="88" t="s">
        <v>1382</v>
      </c>
      <c r="B3" s="45">
        <f>D3/$F$2</f>
        <v>0.21686338812624503</v>
      </c>
      <c r="C3" s="89">
        <f>COUNTIFS('v2 Data'!I:I, "&gt;=2",'v2 Data'!E:E, "&gt;=6")</f>
        <v>217</v>
      </c>
      <c r="D3" s="47">
        <f>SUMIFS('v2 Data'!C:C, 'v2 Data'!I:I,"&gt;=2", 'v2 Data'!E:E, "&gt;=6")</f>
        <v>32006</v>
      </c>
    </row>
    <row r="4" spans="1:6" ht="48" x14ac:dyDescent="0.2">
      <c r="A4" s="9" t="s">
        <v>1383</v>
      </c>
      <c r="B4" s="5" t="e">
        <f>D4/$F$2</f>
        <v>#N/A</v>
      </c>
      <c r="C4" s="2" cm="1">
        <f t="array" ref="C4">SUMPRODUCT(--(('v2 Data'!I2:I611&gt;=2) + ('v2 Data'!H2:H611&gt;=300) &gt; 0))</f>
        <v>169</v>
      </c>
      <c r="D4" s="6" t="e" cm="1">
        <f t="array" ref="D4">SUMPRODUCT((('v2 Data'!I2:I1400&gt;=2) * ('v2 Data'!E2:E1400&gt;=6) * 'v2 Data'!C2:C611))</f>
        <v>#N/A</v>
      </c>
    </row>
    <row r="5" spans="1:6" ht="48" x14ac:dyDescent="0.2">
      <c r="A5" s="9" t="s">
        <v>1384</v>
      </c>
      <c r="B5" s="5">
        <f>D5/$F$2</f>
        <v>0.28150366565934437</v>
      </c>
      <c r="C5" s="2" cm="1">
        <f t="array" ref="C5">SUMPRODUCT(--(('v2 Data'!I2:I611&gt;=2) + ('v2 Data'!G2:G611&gt;=500) &gt; 0))</f>
        <v>170</v>
      </c>
      <c r="D5" s="6" cm="1">
        <f t="array" ref="D5">SUMPRODUCT((('v2 Data'!I2:I611&gt;=2) + ('v2 Data'!G2:G611&gt;=500) &gt; 0) * 'v2 Data'!C2:C611)</f>
        <v>41546</v>
      </c>
    </row>
    <row r="6" spans="1:6" ht="48" x14ac:dyDescent="0.2">
      <c r="A6" s="9" t="s">
        <v>1385</v>
      </c>
      <c r="B6" s="5">
        <f t="shared" ref="B6:B9" si="0">D6/$F$2</f>
        <v>0.29323242041928094</v>
      </c>
      <c r="C6" s="2" cm="1">
        <f t="array" ref="C6">SUMPRODUCT(--(('v2 Data'!I4:I613&gt;=2) + ('v2 Data'!F4:F613&gt;=1000) &gt; 0))</f>
        <v>172</v>
      </c>
      <c r="D6" s="6" cm="1">
        <f t="array" ref="D6">SUMPRODUCT((('v2 Data'!I2:I611&gt;=2) + ('v2 Data'!F2:F611&gt;=1000) &gt; 0) * 'v2 Data'!C2:C611)</f>
        <v>43277</v>
      </c>
    </row>
    <row r="7" spans="1:6" ht="64" x14ac:dyDescent="0.2">
      <c r="A7" s="9" t="s">
        <v>1386</v>
      </c>
      <c r="B7" s="5">
        <f t="shared" si="0"/>
        <v>0.22493325925223259</v>
      </c>
      <c r="C7" s="10">
        <f>COUNTIF('v2 Data'!I2:I611, "&gt;=2") + COUNTIFS('v2 Data'!D2:D611,"&gt;=500",'v2 Data'!K2:K611,"&gt;=0.75", 'v2 Data'!I2:I611, "&lt;2")</f>
        <v>163</v>
      </c>
      <c r="D7" s="11" cm="1">
        <f t="array" ref="D7">SUMPRODUCT(('v2 Data'!I2:I611&gt;=2) * 'v2 Data'!C2:C611 + (('v2 Data'!D2:D611&gt;=500) * ('v2 Data'!K2:K611&gt;=0.75) * ('v2 Data'!I2:I611&lt;2) * 'v2 Data'!C2:C611))</f>
        <v>33197</v>
      </c>
    </row>
    <row r="8" spans="1:6" ht="48" x14ac:dyDescent="0.2">
      <c r="A8" s="44" t="s">
        <v>1387</v>
      </c>
      <c r="B8" s="45">
        <f t="shared" si="0"/>
        <v>0.3708346320111664</v>
      </c>
      <c r="C8" s="46">
        <f>COUNTIFS(Data!I:I, "&gt;=2", Data!E:E, "&gt;=6") + COUNTIFS(Data!J:J,"&gt;=0.75", Data!I:I, "&lt;2", Data!E:E, "&gt;=6")</f>
        <v>284</v>
      </c>
      <c r="D8" s="47" cm="1">
        <f t="array" ref="D8">SUMPRODUCT(--(Data!I2:I1282&gt;=2) * --(Data!E2:E1282&gt;=6) * Data!C2:C1282 + --(Data!I2:I1282&lt;2) * --(Data!J2:J1282&gt;=0.75) * --(Data!E2:E1282&gt;=6) * Data!C2:C1282)</f>
        <v>54730</v>
      </c>
    </row>
    <row r="9" spans="1:6" ht="64" x14ac:dyDescent="0.2">
      <c r="A9" s="9" t="s">
        <v>1388</v>
      </c>
      <c r="B9" s="5">
        <f t="shared" si="0"/>
        <v>0.26541135338040195</v>
      </c>
      <c r="C9" s="10">
        <f>COUNTIF('v2 Data'!I2:I611, "&gt;=2") + COUNTIFS('v2 Data'!D2:D611,"&gt;=500",'v2 Data'!I2:I611,"&gt;=1", 'v2 Data'!I2:I611, "&lt;2")</f>
        <v>171</v>
      </c>
      <c r="D9" s="6" cm="1">
        <f t="array" ref="D9">SUMPRODUCT(('v2 Data'!I2:I611&gt;=2) * 'v2 Data'!C2:C611 + (('v2 Data'!D2:D611&gt;=500) * ('v2 Data'!I2:I611&gt;=1) * ('v2 Data'!I2:I611&lt;2) * 'v2 Data'!C2:C611))</f>
        <v>39171</v>
      </c>
    </row>
  </sheetData>
  <pageMargins left="0.7" right="0.7" top="0.75" bottom="0.75" header="0.3" footer="0.3"/>
  <tableParts count="2">
    <tablePart r:id="rId1"/>
    <tablePart r:id="rId2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019B4-4BC3-43C9-B1E9-DD225F27C882}">
  <dimension ref="A1:R1282"/>
  <sheetViews>
    <sheetView workbookViewId="0">
      <pane xSplit="2" ySplit="8" topLeftCell="C9" activePane="bottomRight" state="frozen"/>
      <selection pane="topRight" activeCell="C1" sqref="C1"/>
      <selection pane="bottomLeft" activeCell="A9" sqref="A9"/>
      <selection pane="bottomRight" activeCell="P1" sqref="P1"/>
    </sheetView>
  </sheetViews>
  <sheetFormatPr baseColWidth="10" defaultColWidth="8.83203125" defaultRowHeight="15" x14ac:dyDescent="0.2"/>
  <cols>
    <col min="1" max="1" width="10.33203125" bestFit="1" customWidth="1"/>
    <col min="2" max="2" width="44.1640625" bestFit="1" customWidth="1"/>
    <col min="3" max="3" width="9.83203125" style="2" bestFit="1" customWidth="1"/>
    <col min="4" max="4" width="10.6640625" style="2" bestFit="1" customWidth="1"/>
    <col min="5" max="5" width="14.5" style="2" bestFit="1" customWidth="1"/>
    <col min="6" max="6" width="18.6640625" style="2" bestFit="1" customWidth="1"/>
    <col min="7" max="9" width="17.6640625" style="2" bestFit="1" customWidth="1"/>
    <col min="10" max="11" width="16.6640625" style="2" bestFit="1" customWidth="1"/>
    <col min="12" max="12" width="21.83203125" style="2" bestFit="1" customWidth="1"/>
    <col min="13" max="13" width="13.5" bestFit="1" customWidth="1"/>
    <col min="14" max="14" width="13.5" customWidth="1"/>
    <col min="15" max="15" width="9.1640625"/>
    <col min="16" max="16" width="15.5" bestFit="1" customWidth="1"/>
  </cols>
  <sheetData>
    <row r="1" spans="1:18" x14ac:dyDescent="0.2">
      <c r="A1" s="79" t="s">
        <v>57</v>
      </c>
      <c r="B1" s="80" t="s">
        <v>56</v>
      </c>
      <c r="C1" s="81" t="s">
        <v>58</v>
      </c>
      <c r="D1" s="81" t="s">
        <v>59</v>
      </c>
      <c r="E1" s="81" t="s">
        <v>60</v>
      </c>
      <c r="F1" s="81" t="s">
        <v>1389</v>
      </c>
      <c r="G1" s="81" t="s">
        <v>1390</v>
      </c>
      <c r="H1" s="81" t="s">
        <v>1391</v>
      </c>
      <c r="I1" s="81" t="s">
        <v>1392</v>
      </c>
      <c r="J1" s="81" t="s">
        <v>1393</v>
      </c>
      <c r="K1" s="81" t="s">
        <v>1394</v>
      </c>
      <c r="L1" s="81" t="s">
        <v>1395</v>
      </c>
      <c r="M1" s="82" t="s">
        <v>29</v>
      </c>
      <c r="N1" s="82" t="s">
        <v>1396</v>
      </c>
      <c r="O1" s="82" t="s">
        <v>1</v>
      </c>
      <c r="P1" s="82" t="s">
        <v>1397</v>
      </c>
      <c r="Q1" s="82" t="s">
        <v>1398</v>
      </c>
      <c r="R1" s="3" t="s">
        <v>1399</v>
      </c>
    </row>
    <row r="2" spans="1:18" x14ac:dyDescent="0.2">
      <c r="A2" s="54">
        <v>111124</v>
      </c>
      <c r="B2" s="54" t="s">
        <v>127</v>
      </c>
      <c r="C2" s="55">
        <v>88</v>
      </c>
      <c r="D2" s="55">
        <v>87</v>
      </c>
      <c r="E2" s="55">
        <v>60</v>
      </c>
      <c r="F2" s="55">
        <v>558</v>
      </c>
      <c r="G2" s="55">
        <v>468</v>
      </c>
      <c r="H2" s="55">
        <v>221</v>
      </c>
      <c r="I2" s="55">
        <v>6.41</v>
      </c>
      <c r="J2" s="55">
        <v>5.38</v>
      </c>
      <c r="K2" s="55">
        <v>2.54</v>
      </c>
      <c r="L2" s="55">
        <v>5</v>
      </c>
      <c r="M2" s="54" t="str">
        <f>IF(E2&lt;6,"0-6 Months", IF(E2&lt;13, "6-12 Months", IF(E2&lt;19, "12-24 Months", IF(E2&lt;25, "12-24 Months", "24+ Months"))))</f>
        <v>24+ Months</v>
      </c>
      <c r="N2" s="54" t="str">
        <f>IF(E2&lt;6,"12-18 Months", IF(E2&lt;13, "18-24 Months", "24+ Months"))</f>
        <v>24+ Months</v>
      </c>
      <c r="O2" s="54" t="s">
        <v>7</v>
      </c>
      <c r="P2" s="54">
        <f>IF(I2&gt;=2, C2, IF(J2&gt;=0.75, C2, 0))</f>
        <v>88</v>
      </c>
      <c r="Q2">
        <f t="shared" ref="Q2:Q65" si="0">IF(I2&gt;=2, C2, IF(AND(J2&gt;=0.75, D2&gt;=550), C2, 0))</f>
        <v>88</v>
      </c>
      <c r="R2">
        <f t="shared" ref="R2:R65" si="1">IF(J2&gt;=0.75, C2, 0)</f>
        <v>88</v>
      </c>
    </row>
    <row r="3" spans="1:18" x14ac:dyDescent="0.2">
      <c r="A3" s="54">
        <v>112305</v>
      </c>
      <c r="B3" s="54" t="s">
        <v>136</v>
      </c>
      <c r="C3" s="55">
        <v>888</v>
      </c>
      <c r="D3" s="55">
        <v>508</v>
      </c>
      <c r="E3" s="55">
        <v>52</v>
      </c>
      <c r="F3" s="55">
        <v>647</v>
      </c>
      <c r="G3" s="55">
        <v>65</v>
      </c>
      <c r="H3" s="55">
        <v>12</v>
      </c>
      <c r="I3" s="55">
        <v>1.27</v>
      </c>
      <c r="J3" s="55">
        <v>0.13</v>
      </c>
      <c r="K3" s="55">
        <v>0.02</v>
      </c>
      <c r="L3" s="55">
        <v>36</v>
      </c>
      <c r="M3" s="54" t="str">
        <f t="shared" ref="M3:M66" si="2">IF(E3&lt;6,"0-6 Months", IF(E3&lt;13, "6-12 Months", IF(E3&lt;19, "12-24 Months", IF(E3&lt;25, "12-24 Months", "24+ Months"))))</f>
        <v>24+ Months</v>
      </c>
      <c r="N3" s="54" t="str">
        <f t="shared" ref="N3:N66" si="3">IF(E3&lt;6,"12-18 Months", IF(E3&lt;13, "18-24 Months", "24+ Months"))</f>
        <v>24+ Months</v>
      </c>
      <c r="O3" s="54" t="s">
        <v>6</v>
      </c>
      <c r="P3" s="54">
        <f t="shared" ref="P3:P65" si="4">IF(I3&gt;=2, C3, IF(J3&gt;=0.75, C3, 0))</f>
        <v>0</v>
      </c>
      <c r="Q3">
        <f t="shared" si="0"/>
        <v>0</v>
      </c>
      <c r="R3">
        <f t="shared" si="1"/>
        <v>0</v>
      </c>
    </row>
    <row r="4" spans="1:18" x14ac:dyDescent="0.2">
      <c r="A4" s="54">
        <v>110456</v>
      </c>
      <c r="B4" s="54" t="s">
        <v>635</v>
      </c>
      <c r="C4" s="55">
        <v>78</v>
      </c>
      <c r="D4" s="55">
        <v>91</v>
      </c>
      <c r="E4" s="55">
        <v>51</v>
      </c>
      <c r="F4" s="55">
        <v>0</v>
      </c>
      <c r="G4" s="55">
        <v>0</v>
      </c>
      <c r="H4" s="55">
        <v>0</v>
      </c>
      <c r="I4" s="55">
        <v>0</v>
      </c>
      <c r="J4" s="55">
        <v>0</v>
      </c>
      <c r="K4" s="55">
        <v>0</v>
      </c>
      <c r="L4" s="55">
        <v>0</v>
      </c>
      <c r="M4" s="54" t="str">
        <f t="shared" si="2"/>
        <v>24+ Months</v>
      </c>
      <c r="N4" s="54" t="str">
        <f t="shared" si="3"/>
        <v>24+ Months</v>
      </c>
      <c r="O4" s="54" t="s">
        <v>7</v>
      </c>
      <c r="P4" s="54">
        <f t="shared" si="4"/>
        <v>0</v>
      </c>
      <c r="Q4">
        <f t="shared" si="0"/>
        <v>0</v>
      </c>
      <c r="R4">
        <f t="shared" si="1"/>
        <v>0</v>
      </c>
    </row>
    <row r="5" spans="1:18" x14ac:dyDescent="0.2">
      <c r="A5" s="54">
        <v>124615</v>
      </c>
      <c r="B5" s="54" t="s">
        <v>89</v>
      </c>
      <c r="C5" s="55">
        <v>148</v>
      </c>
      <c r="D5" s="55">
        <v>120</v>
      </c>
      <c r="E5" s="55">
        <v>51</v>
      </c>
      <c r="F5" s="55">
        <v>1656</v>
      </c>
      <c r="G5" s="55">
        <v>1209</v>
      </c>
      <c r="H5" s="55">
        <v>710</v>
      </c>
      <c r="I5" s="55">
        <v>13.8</v>
      </c>
      <c r="J5" s="55">
        <v>10.08</v>
      </c>
      <c r="K5" s="55">
        <v>5.92</v>
      </c>
      <c r="L5" s="55">
        <v>8</v>
      </c>
      <c r="M5" s="54" t="str">
        <f t="shared" si="2"/>
        <v>24+ Months</v>
      </c>
      <c r="N5" s="54" t="str">
        <f t="shared" si="3"/>
        <v>24+ Months</v>
      </c>
      <c r="O5" s="54" t="s">
        <v>6</v>
      </c>
      <c r="P5" s="54">
        <f t="shared" si="4"/>
        <v>148</v>
      </c>
      <c r="Q5">
        <f t="shared" si="0"/>
        <v>148</v>
      </c>
      <c r="R5">
        <f t="shared" si="1"/>
        <v>148</v>
      </c>
    </row>
    <row r="6" spans="1:18" x14ac:dyDescent="0.2">
      <c r="A6" s="54">
        <v>110104</v>
      </c>
      <c r="B6" s="54" t="s">
        <v>495</v>
      </c>
      <c r="C6" s="55">
        <v>1</v>
      </c>
      <c r="D6" s="55">
        <v>12</v>
      </c>
      <c r="E6" s="55">
        <v>50</v>
      </c>
      <c r="F6" s="55">
        <v>22</v>
      </c>
      <c r="G6" s="55">
        <v>0</v>
      </c>
      <c r="H6" s="55">
        <v>0</v>
      </c>
      <c r="I6" s="55">
        <v>1.83</v>
      </c>
      <c r="J6" s="55">
        <v>0</v>
      </c>
      <c r="K6" s="55">
        <v>0</v>
      </c>
      <c r="L6" s="55">
        <v>0</v>
      </c>
      <c r="M6" s="54" t="str">
        <f t="shared" si="2"/>
        <v>24+ Months</v>
      </c>
      <c r="N6" s="54" t="str">
        <f t="shared" si="3"/>
        <v>24+ Months</v>
      </c>
      <c r="O6" s="54" t="s">
        <v>7</v>
      </c>
      <c r="P6" s="54">
        <f t="shared" si="4"/>
        <v>0</v>
      </c>
      <c r="Q6">
        <f t="shared" si="0"/>
        <v>0</v>
      </c>
      <c r="R6">
        <f t="shared" si="1"/>
        <v>0</v>
      </c>
    </row>
    <row r="7" spans="1:18" x14ac:dyDescent="0.2">
      <c r="A7" s="54">
        <v>128243</v>
      </c>
      <c r="B7" s="54" t="s">
        <v>636</v>
      </c>
      <c r="C7" s="55">
        <v>1</v>
      </c>
      <c r="D7" s="55">
        <v>20</v>
      </c>
      <c r="E7" s="55">
        <v>50</v>
      </c>
      <c r="F7" s="55">
        <v>0</v>
      </c>
      <c r="G7" s="55">
        <v>0</v>
      </c>
      <c r="H7" s="55">
        <v>0</v>
      </c>
      <c r="I7" s="55">
        <v>0</v>
      </c>
      <c r="J7" s="55">
        <v>0</v>
      </c>
      <c r="K7" s="55">
        <v>0</v>
      </c>
      <c r="L7" s="55">
        <v>0</v>
      </c>
      <c r="M7" s="54" t="str">
        <f t="shared" si="2"/>
        <v>24+ Months</v>
      </c>
      <c r="N7" s="54" t="str">
        <f t="shared" si="3"/>
        <v>24+ Months</v>
      </c>
      <c r="O7" s="54" t="s">
        <v>7</v>
      </c>
      <c r="P7" s="54">
        <f t="shared" si="4"/>
        <v>0</v>
      </c>
      <c r="Q7">
        <f t="shared" si="0"/>
        <v>0</v>
      </c>
      <c r="R7">
        <f t="shared" si="1"/>
        <v>0</v>
      </c>
    </row>
    <row r="8" spans="1:18" x14ac:dyDescent="0.2">
      <c r="A8" s="54">
        <v>302987</v>
      </c>
      <c r="B8" s="54" t="s">
        <v>556</v>
      </c>
      <c r="C8" s="55">
        <v>16</v>
      </c>
      <c r="D8" s="55">
        <v>28</v>
      </c>
      <c r="E8" s="55">
        <v>50</v>
      </c>
      <c r="F8" s="55">
        <v>8</v>
      </c>
      <c r="G8" s="55">
        <v>1</v>
      </c>
      <c r="H8" s="55">
        <v>0</v>
      </c>
      <c r="I8" s="55">
        <v>0.28999999999999998</v>
      </c>
      <c r="J8" s="55">
        <v>0.04</v>
      </c>
      <c r="K8" s="55">
        <v>0</v>
      </c>
      <c r="L8" s="55">
        <v>0</v>
      </c>
      <c r="M8" s="54" t="str">
        <f t="shared" si="2"/>
        <v>24+ Months</v>
      </c>
      <c r="N8" s="54" t="str">
        <f t="shared" si="3"/>
        <v>24+ Months</v>
      </c>
      <c r="O8" s="54" t="s">
        <v>7</v>
      </c>
      <c r="P8" s="54">
        <f t="shared" si="4"/>
        <v>0</v>
      </c>
      <c r="Q8">
        <f t="shared" si="0"/>
        <v>0</v>
      </c>
      <c r="R8">
        <f t="shared" si="1"/>
        <v>0</v>
      </c>
    </row>
    <row r="9" spans="1:18" x14ac:dyDescent="0.2">
      <c r="A9" s="54">
        <v>206457</v>
      </c>
      <c r="B9" s="54" t="s">
        <v>610</v>
      </c>
      <c r="C9" s="55">
        <v>18</v>
      </c>
      <c r="D9" s="55">
        <v>20</v>
      </c>
      <c r="E9" s="55">
        <v>50</v>
      </c>
      <c r="F9" s="55">
        <v>1</v>
      </c>
      <c r="G9" s="55">
        <v>1</v>
      </c>
      <c r="H9" s="55">
        <v>0</v>
      </c>
      <c r="I9" s="55">
        <v>0.05</v>
      </c>
      <c r="J9" s="55">
        <v>0.05</v>
      </c>
      <c r="K9" s="55">
        <v>0</v>
      </c>
      <c r="L9" s="55">
        <v>0</v>
      </c>
      <c r="M9" s="54" t="str">
        <f t="shared" si="2"/>
        <v>24+ Months</v>
      </c>
      <c r="N9" s="54" t="str">
        <f t="shared" si="3"/>
        <v>24+ Months</v>
      </c>
      <c r="O9" s="54" t="s">
        <v>7</v>
      </c>
      <c r="P9" s="54">
        <f t="shared" si="4"/>
        <v>0</v>
      </c>
      <c r="Q9">
        <f t="shared" si="0"/>
        <v>0</v>
      </c>
      <c r="R9">
        <f t="shared" si="1"/>
        <v>0</v>
      </c>
    </row>
    <row r="10" spans="1:18" x14ac:dyDescent="0.2">
      <c r="A10" s="54">
        <v>107396</v>
      </c>
      <c r="B10" s="54" t="s">
        <v>477</v>
      </c>
      <c r="C10" s="55">
        <v>106</v>
      </c>
      <c r="D10" s="55">
        <v>130</v>
      </c>
      <c r="E10" s="55">
        <v>50</v>
      </c>
      <c r="F10" s="55">
        <v>25</v>
      </c>
      <c r="G10" s="55">
        <v>25</v>
      </c>
      <c r="H10" s="55">
        <v>25</v>
      </c>
      <c r="I10" s="55">
        <v>0.19</v>
      </c>
      <c r="J10" s="55">
        <v>0.19</v>
      </c>
      <c r="K10" s="55">
        <v>0.19</v>
      </c>
      <c r="L10" s="55">
        <v>35</v>
      </c>
      <c r="M10" s="54" t="str">
        <f t="shared" si="2"/>
        <v>24+ Months</v>
      </c>
      <c r="N10" s="54" t="str">
        <f t="shared" si="3"/>
        <v>24+ Months</v>
      </c>
      <c r="O10" s="54" t="s">
        <v>6</v>
      </c>
      <c r="P10" s="54">
        <f t="shared" si="4"/>
        <v>0</v>
      </c>
      <c r="Q10">
        <f t="shared" si="0"/>
        <v>0</v>
      </c>
      <c r="R10">
        <f t="shared" si="1"/>
        <v>0</v>
      </c>
    </row>
    <row r="11" spans="1:18" x14ac:dyDescent="0.2">
      <c r="A11" s="54">
        <v>109997</v>
      </c>
      <c r="B11" s="54" t="s">
        <v>499</v>
      </c>
      <c r="C11" s="55">
        <v>119</v>
      </c>
      <c r="D11" s="55">
        <v>125</v>
      </c>
      <c r="E11" s="55">
        <v>50</v>
      </c>
      <c r="F11" s="55">
        <v>29</v>
      </c>
      <c r="G11" s="55">
        <v>28</v>
      </c>
      <c r="H11" s="55">
        <v>24</v>
      </c>
      <c r="I11" s="55">
        <v>0.23</v>
      </c>
      <c r="J11" s="55">
        <v>0.22</v>
      </c>
      <c r="K11" s="55">
        <v>0.19</v>
      </c>
      <c r="L11" s="55">
        <v>27</v>
      </c>
      <c r="M11" s="54" t="str">
        <f t="shared" si="2"/>
        <v>24+ Months</v>
      </c>
      <c r="N11" s="54" t="str">
        <f t="shared" si="3"/>
        <v>24+ Months</v>
      </c>
      <c r="O11" s="54" t="s">
        <v>6</v>
      </c>
      <c r="P11" s="54">
        <f t="shared" si="4"/>
        <v>0</v>
      </c>
      <c r="Q11">
        <f t="shared" si="0"/>
        <v>0</v>
      </c>
      <c r="R11">
        <f t="shared" si="1"/>
        <v>0</v>
      </c>
    </row>
    <row r="12" spans="1:18" x14ac:dyDescent="0.2">
      <c r="A12" s="54">
        <v>111152</v>
      </c>
      <c r="B12" s="54" t="s">
        <v>640</v>
      </c>
      <c r="C12" s="55">
        <v>130</v>
      </c>
      <c r="D12" s="55">
        <v>150</v>
      </c>
      <c r="E12" s="55">
        <v>50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3</v>
      </c>
      <c r="M12" s="54" t="str">
        <f t="shared" si="2"/>
        <v>24+ Months</v>
      </c>
      <c r="N12" s="54" t="str">
        <f t="shared" si="3"/>
        <v>24+ Months</v>
      </c>
      <c r="O12" s="54" t="s">
        <v>6</v>
      </c>
      <c r="P12" s="54">
        <f t="shared" si="4"/>
        <v>0</v>
      </c>
      <c r="Q12">
        <f t="shared" si="0"/>
        <v>0</v>
      </c>
      <c r="R12">
        <f t="shared" si="1"/>
        <v>0</v>
      </c>
    </row>
    <row r="13" spans="1:18" x14ac:dyDescent="0.2">
      <c r="A13" s="54">
        <v>109207</v>
      </c>
      <c r="B13" s="54" t="s">
        <v>235</v>
      </c>
      <c r="C13" s="55">
        <v>162</v>
      </c>
      <c r="D13" s="55">
        <v>166</v>
      </c>
      <c r="E13" s="55">
        <v>50</v>
      </c>
      <c r="F13" s="55">
        <v>313</v>
      </c>
      <c r="G13" s="55">
        <v>227</v>
      </c>
      <c r="H13" s="55">
        <v>143</v>
      </c>
      <c r="I13" s="55">
        <v>1.89</v>
      </c>
      <c r="J13" s="55">
        <v>1.37</v>
      </c>
      <c r="K13" s="55">
        <v>0.86</v>
      </c>
      <c r="L13" s="55">
        <v>139</v>
      </c>
      <c r="M13" s="54" t="str">
        <f t="shared" si="2"/>
        <v>24+ Months</v>
      </c>
      <c r="N13" s="54" t="str">
        <f t="shared" si="3"/>
        <v>24+ Months</v>
      </c>
      <c r="O13" s="54" t="s">
        <v>6</v>
      </c>
      <c r="P13" s="54">
        <f t="shared" si="4"/>
        <v>162</v>
      </c>
      <c r="Q13">
        <f t="shared" si="0"/>
        <v>0</v>
      </c>
      <c r="R13">
        <f t="shared" si="1"/>
        <v>162</v>
      </c>
    </row>
    <row r="14" spans="1:18" x14ac:dyDescent="0.2">
      <c r="A14" s="54">
        <v>118351</v>
      </c>
      <c r="B14" s="54" t="s">
        <v>508</v>
      </c>
      <c r="C14" s="55">
        <v>325</v>
      </c>
      <c r="D14" s="55">
        <v>196</v>
      </c>
      <c r="E14" s="55">
        <v>50</v>
      </c>
      <c r="F14" s="55">
        <v>17</v>
      </c>
      <c r="G14" s="55">
        <v>11</v>
      </c>
      <c r="H14" s="55">
        <v>11</v>
      </c>
      <c r="I14" s="55">
        <v>0.05</v>
      </c>
      <c r="J14" s="55">
        <v>0.03</v>
      </c>
      <c r="K14" s="55">
        <v>0.03</v>
      </c>
      <c r="L14" s="55">
        <v>0</v>
      </c>
      <c r="M14" s="54" t="str">
        <f t="shared" si="2"/>
        <v>24+ Months</v>
      </c>
      <c r="N14" s="54" t="str">
        <f t="shared" si="3"/>
        <v>24+ Months</v>
      </c>
      <c r="O14" s="54" t="s">
        <v>6</v>
      </c>
      <c r="P14" s="54">
        <f t="shared" si="4"/>
        <v>0</v>
      </c>
      <c r="Q14">
        <f t="shared" si="0"/>
        <v>0</v>
      </c>
      <c r="R14">
        <f t="shared" si="1"/>
        <v>0</v>
      </c>
    </row>
    <row r="15" spans="1:18" x14ac:dyDescent="0.2">
      <c r="A15" s="54">
        <v>108360</v>
      </c>
      <c r="B15" s="54" t="s">
        <v>487</v>
      </c>
      <c r="C15" s="55">
        <v>782</v>
      </c>
      <c r="D15" s="55">
        <v>800</v>
      </c>
      <c r="E15" s="55">
        <v>50</v>
      </c>
      <c r="F15" s="55">
        <v>36</v>
      </c>
      <c r="G15" s="55">
        <v>5</v>
      </c>
      <c r="H15" s="55">
        <v>1</v>
      </c>
      <c r="I15" s="55">
        <v>0.05</v>
      </c>
      <c r="J15" s="55">
        <v>0.01</v>
      </c>
      <c r="K15" s="55">
        <v>0</v>
      </c>
      <c r="L15" s="55">
        <v>72</v>
      </c>
      <c r="M15" s="54" t="str">
        <f t="shared" si="2"/>
        <v>24+ Months</v>
      </c>
      <c r="N15" s="54" t="str">
        <f t="shared" si="3"/>
        <v>24+ Months</v>
      </c>
      <c r="O15" s="54" t="s">
        <v>5</v>
      </c>
      <c r="P15" s="54">
        <f t="shared" si="4"/>
        <v>0</v>
      </c>
      <c r="Q15">
        <f t="shared" si="0"/>
        <v>0</v>
      </c>
      <c r="R15">
        <f t="shared" si="1"/>
        <v>0</v>
      </c>
    </row>
    <row r="16" spans="1:18" x14ac:dyDescent="0.2">
      <c r="A16" s="54">
        <v>112053</v>
      </c>
      <c r="B16" s="54" t="s">
        <v>287</v>
      </c>
      <c r="C16" s="55">
        <v>870</v>
      </c>
      <c r="D16" s="55">
        <v>900</v>
      </c>
      <c r="E16" s="55">
        <v>50</v>
      </c>
      <c r="F16" s="55">
        <v>165</v>
      </c>
      <c r="G16" s="55">
        <v>86</v>
      </c>
      <c r="H16" s="55">
        <v>0</v>
      </c>
      <c r="I16" s="55">
        <v>0.18</v>
      </c>
      <c r="J16" s="55">
        <v>0.1</v>
      </c>
      <c r="K16" s="55">
        <v>0</v>
      </c>
      <c r="L16" s="55">
        <v>118</v>
      </c>
      <c r="M16" s="54" t="str">
        <f t="shared" si="2"/>
        <v>24+ Months</v>
      </c>
      <c r="N16" s="54" t="str">
        <f t="shared" si="3"/>
        <v>24+ Months</v>
      </c>
      <c r="O16" s="54" t="s">
        <v>5</v>
      </c>
      <c r="P16" s="54">
        <f t="shared" si="4"/>
        <v>0</v>
      </c>
      <c r="Q16">
        <f t="shared" si="0"/>
        <v>0</v>
      </c>
      <c r="R16">
        <f t="shared" si="1"/>
        <v>0</v>
      </c>
    </row>
    <row r="17" spans="1:18" x14ac:dyDescent="0.2">
      <c r="A17" s="54">
        <v>135100</v>
      </c>
      <c r="B17" s="54" t="s">
        <v>573</v>
      </c>
      <c r="C17" s="55">
        <v>4</v>
      </c>
      <c r="D17" s="55">
        <v>43</v>
      </c>
      <c r="E17" s="55">
        <v>49</v>
      </c>
      <c r="F17" s="55">
        <v>6</v>
      </c>
      <c r="G17" s="55">
        <v>0</v>
      </c>
      <c r="H17" s="55">
        <v>0</v>
      </c>
      <c r="I17" s="55">
        <v>0.14000000000000001</v>
      </c>
      <c r="J17" s="55">
        <v>0</v>
      </c>
      <c r="K17" s="55">
        <v>0</v>
      </c>
      <c r="L17" s="55">
        <v>0</v>
      </c>
      <c r="M17" s="54" t="str">
        <f t="shared" si="2"/>
        <v>24+ Months</v>
      </c>
      <c r="N17" s="54" t="str">
        <f t="shared" si="3"/>
        <v>24+ Months</v>
      </c>
      <c r="O17" s="54" t="s">
        <v>7</v>
      </c>
      <c r="P17" s="54">
        <f t="shared" si="4"/>
        <v>0</v>
      </c>
      <c r="Q17">
        <f t="shared" si="0"/>
        <v>0</v>
      </c>
      <c r="R17">
        <f t="shared" si="1"/>
        <v>0</v>
      </c>
    </row>
    <row r="18" spans="1:18" x14ac:dyDescent="0.2">
      <c r="A18" s="54">
        <v>482999</v>
      </c>
      <c r="B18" s="54" t="s">
        <v>407</v>
      </c>
      <c r="C18" s="55">
        <v>18</v>
      </c>
      <c r="D18" s="55">
        <v>16</v>
      </c>
      <c r="E18" s="55">
        <v>49</v>
      </c>
      <c r="F18" s="55">
        <v>54</v>
      </c>
      <c r="G18" s="55">
        <v>54</v>
      </c>
      <c r="H18" s="55">
        <v>47</v>
      </c>
      <c r="I18" s="55">
        <v>3.38</v>
      </c>
      <c r="J18" s="55">
        <v>3.38</v>
      </c>
      <c r="K18" s="55">
        <v>2.94</v>
      </c>
      <c r="L18" s="55">
        <v>33</v>
      </c>
      <c r="M18" s="54" t="str">
        <f t="shared" si="2"/>
        <v>24+ Months</v>
      </c>
      <c r="N18" s="54" t="str">
        <f t="shared" si="3"/>
        <v>24+ Months</v>
      </c>
      <c r="O18" s="54" t="s">
        <v>7</v>
      </c>
      <c r="P18" s="54">
        <f t="shared" si="4"/>
        <v>18</v>
      </c>
      <c r="Q18">
        <f t="shared" si="0"/>
        <v>18</v>
      </c>
      <c r="R18">
        <f t="shared" si="1"/>
        <v>18</v>
      </c>
    </row>
    <row r="19" spans="1:18" x14ac:dyDescent="0.2">
      <c r="A19" s="54">
        <v>485670</v>
      </c>
      <c r="B19" s="54" t="s">
        <v>457</v>
      </c>
      <c r="C19" s="55">
        <v>18</v>
      </c>
      <c r="D19" s="55">
        <v>16</v>
      </c>
      <c r="E19" s="55">
        <v>49</v>
      </c>
      <c r="F19" s="55">
        <v>32</v>
      </c>
      <c r="G19" s="55">
        <v>9</v>
      </c>
      <c r="H19" s="55">
        <v>9</v>
      </c>
      <c r="I19" s="55">
        <v>1</v>
      </c>
      <c r="J19" s="55">
        <v>0.28000000000000003</v>
      </c>
      <c r="K19" s="55">
        <v>0.28000000000000003</v>
      </c>
      <c r="L19" s="55">
        <v>0</v>
      </c>
      <c r="M19" s="54" t="str">
        <f t="shared" si="2"/>
        <v>24+ Months</v>
      </c>
      <c r="N19" s="54" t="str">
        <f t="shared" si="3"/>
        <v>24+ Months</v>
      </c>
      <c r="O19" s="54" t="s">
        <v>7</v>
      </c>
      <c r="P19" s="54">
        <f t="shared" si="4"/>
        <v>0</v>
      </c>
      <c r="Q19">
        <f t="shared" si="0"/>
        <v>0</v>
      </c>
      <c r="R19">
        <f t="shared" si="1"/>
        <v>0</v>
      </c>
    </row>
    <row r="20" spans="1:18" x14ac:dyDescent="0.2">
      <c r="A20" s="54">
        <v>112461</v>
      </c>
      <c r="B20" s="54" t="s">
        <v>294</v>
      </c>
      <c r="C20" s="55">
        <v>29</v>
      </c>
      <c r="D20" s="55">
        <v>57</v>
      </c>
      <c r="E20" s="55">
        <v>49</v>
      </c>
      <c r="F20" s="55">
        <v>141</v>
      </c>
      <c r="G20" s="55">
        <v>75</v>
      </c>
      <c r="H20" s="55">
        <v>41</v>
      </c>
      <c r="I20" s="55">
        <v>2.4700000000000002</v>
      </c>
      <c r="J20" s="55">
        <v>1.32</v>
      </c>
      <c r="K20" s="55">
        <v>0.72</v>
      </c>
      <c r="L20" s="55">
        <v>173</v>
      </c>
      <c r="M20" s="54" t="str">
        <f t="shared" si="2"/>
        <v>24+ Months</v>
      </c>
      <c r="N20" s="54" t="str">
        <f t="shared" si="3"/>
        <v>24+ Months</v>
      </c>
      <c r="O20" s="54" t="s">
        <v>7</v>
      </c>
      <c r="P20" s="54">
        <f t="shared" si="4"/>
        <v>29</v>
      </c>
      <c r="Q20">
        <f t="shared" si="0"/>
        <v>29</v>
      </c>
      <c r="R20">
        <f t="shared" si="1"/>
        <v>29</v>
      </c>
    </row>
    <row r="21" spans="1:18" x14ac:dyDescent="0.2">
      <c r="A21" s="54">
        <v>109267</v>
      </c>
      <c r="B21" s="54" t="s">
        <v>280</v>
      </c>
      <c r="C21" s="55">
        <v>55</v>
      </c>
      <c r="D21" s="55">
        <v>252</v>
      </c>
      <c r="E21" s="55">
        <v>49</v>
      </c>
      <c r="F21" s="55">
        <v>358</v>
      </c>
      <c r="G21" s="55">
        <v>233</v>
      </c>
      <c r="H21" s="55">
        <v>196</v>
      </c>
      <c r="I21" s="55">
        <v>1.42</v>
      </c>
      <c r="J21" s="55">
        <v>0.92</v>
      </c>
      <c r="K21" s="55">
        <v>0.78</v>
      </c>
      <c r="L21" s="55">
        <v>4</v>
      </c>
      <c r="M21" s="54" t="str">
        <f t="shared" si="2"/>
        <v>24+ Months</v>
      </c>
      <c r="N21" s="54" t="str">
        <f t="shared" si="3"/>
        <v>24+ Months</v>
      </c>
      <c r="O21" s="54" t="s">
        <v>6</v>
      </c>
      <c r="P21" s="54">
        <f t="shared" si="4"/>
        <v>55</v>
      </c>
      <c r="Q21">
        <f t="shared" si="0"/>
        <v>0</v>
      </c>
      <c r="R21">
        <f t="shared" si="1"/>
        <v>55</v>
      </c>
    </row>
    <row r="22" spans="1:18" x14ac:dyDescent="0.2">
      <c r="A22" s="54">
        <v>315246</v>
      </c>
      <c r="B22" s="54" t="s">
        <v>680</v>
      </c>
      <c r="C22" s="55">
        <v>57</v>
      </c>
      <c r="D22" s="55">
        <v>27</v>
      </c>
      <c r="E22" s="55">
        <v>49</v>
      </c>
      <c r="F22" s="55">
        <v>0</v>
      </c>
      <c r="G22" s="55">
        <v>0</v>
      </c>
      <c r="H22" s="55">
        <v>0</v>
      </c>
      <c r="I22" s="55">
        <v>0</v>
      </c>
      <c r="J22" s="55">
        <v>0</v>
      </c>
      <c r="K22" s="55">
        <v>0</v>
      </c>
      <c r="L22" s="55">
        <v>0</v>
      </c>
      <c r="M22" s="54" t="str">
        <f t="shared" si="2"/>
        <v>24+ Months</v>
      </c>
      <c r="N22" s="54" t="str">
        <f t="shared" si="3"/>
        <v>24+ Months</v>
      </c>
      <c r="O22" s="54" t="s">
        <v>7</v>
      </c>
      <c r="P22" s="54">
        <f t="shared" si="4"/>
        <v>0</v>
      </c>
      <c r="Q22">
        <f t="shared" si="0"/>
        <v>0</v>
      </c>
      <c r="R22">
        <f t="shared" si="1"/>
        <v>0</v>
      </c>
    </row>
    <row r="23" spans="1:18" x14ac:dyDescent="0.2">
      <c r="A23" s="54">
        <v>108601</v>
      </c>
      <c r="B23" s="54" t="s">
        <v>166</v>
      </c>
      <c r="C23" s="55">
        <v>58</v>
      </c>
      <c r="D23" s="55">
        <v>135</v>
      </c>
      <c r="E23" s="55">
        <v>49</v>
      </c>
      <c r="F23" s="55">
        <v>409</v>
      </c>
      <c r="G23" s="55">
        <v>407</v>
      </c>
      <c r="H23" s="55">
        <v>7</v>
      </c>
      <c r="I23" s="55">
        <v>3.03</v>
      </c>
      <c r="J23" s="55">
        <v>3.01</v>
      </c>
      <c r="K23" s="55">
        <v>0.05</v>
      </c>
      <c r="L23" s="55">
        <v>16</v>
      </c>
      <c r="M23" s="54" t="str">
        <f t="shared" si="2"/>
        <v>24+ Months</v>
      </c>
      <c r="N23" s="54" t="str">
        <f t="shared" si="3"/>
        <v>24+ Months</v>
      </c>
      <c r="O23" s="54" t="s">
        <v>6</v>
      </c>
      <c r="P23" s="54">
        <f t="shared" si="4"/>
        <v>58</v>
      </c>
      <c r="Q23">
        <f t="shared" si="0"/>
        <v>58</v>
      </c>
      <c r="R23">
        <f t="shared" si="1"/>
        <v>58</v>
      </c>
    </row>
    <row r="24" spans="1:18" x14ac:dyDescent="0.2">
      <c r="A24" s="54">
        <v>510427</v>
      </c>
      <c r="B24" s="54" t="s">
        <v>319</v>
      </c>
      <c r="C24" s="55">
        <v>78</v>
      </c>
      <c r="D24" s="55">
        <v>40</v>
      </c>
      <c r="E24" s="55">
        <v>49</v>
      </c>
      <c r="F24" s="55">
        <v>39</v>
      </c>
      <c r="G24" s="55">
        <v>36</v>
      </c>
      <c r="H24" s="55">
        <v>36</v>
      </c>
      <c r="I24" s="55">
        <v>0.98</v>
      </c>
      <c r="J24" s="55">
        <v>0.9</v>
      </c>
      <c r="K24" s="55">
        <v>0.9</v>
      </c>
      <c r="L24" s="55">
        <v>4</v>
      </c>
      <c r="M24" s="54" t="str">
        <f t="shared" si="2"/>
        <v>24+ Months</v>
      </c>
      <c r="N24" s="54" t="str">
        <f t="shared" si="3"/>
        <v>24+ Months</v>
      </c>
      <c r="O24" s="54" t="s">
        <v>7</v>
      </c>
      <c r="P24" s="54">
        <f t="shared" si="4"/>
        <v>78</v>
      </c>
      <c r="Q24">
        <f t="shared" si="0"/>
        <v>0</v>
      </c>
      <c r="R24">
        <f t="shared" si="1"/>
        <v>78</v>
      </c>
    </row>
    <row r="25" spans="1:18" x14ac:dyDescent="0.2">
      <c r="A25" s="54">
        <v>306038</v>
      </c>
      <c r="B25" s="54" t="s">
        <v>160</v>
      </c>
      <c r="C25" s="55">
        <v>105</v>
      </c>
      <c r="D25" s="55">
        <v>90</v>
      </c>
      <c r="E25" s="55">
        <v>49</v>
      </c>
      <c r="F25" s="55">
        <v>526</v>
      </c>
      <c r="G25" s="55">
        <v>472</v>
      </c>
      <c r="H25" s="55">
        <v>231</v>
      </c>
      <c r="I25" s="55">
        <v>5.84</v>
      </c>
      <c r="J25" s="55">
        <v>5.24</v>
      </c>
      <c r="K25" s="55">
        <v>2.57</v>
      </c>
      <c r="L25" s="55">
        <v>10</v>
      </c>
      <c r="M25" s="54" t="str">
        <f t="shared" si="2"/>
        <v>24+ Months</v>
      </c>
      <c r="N25" s="54" t="str">
        <f t="shared" si="3"/>
        <v>24+ Months</v>
      </c>
      <c r="O25" s="54" t="s">
        <v>7</v>
      </c>
      <c r="P25" s="54">
        <f t="shared" si="4"/>
        <v>105</v>
      </c>
      <c r="Q25">
        <f t="shared" si="0"/>
        <v>105</v>
      </c>
      <c r="R25">
        <f t="shared" si="1"/>
        <v>105</v>
      </c>
    </row>
    <row r="26" spans="1:18" x14ac:dyDescent="0.2">
      <c r="A26" s="54">
        <v>106590</v>
      </c>
      <c r="B26" s="54" t="s">
        <v>178</v>
      </c>
      <c r="C26" s="55">
        <v>150</v>
      </c>
      <c r="D26" s="55">
        <v>115</v>
      </c>
      <c r="E26" s="55">
        <v>49</v>
      </c>
      <c r="F26" s="55">
        <v>348</v>
      </c>
      <c r="G26" s="55">
        <v>322</v>
      </c>
      <c r="H26" s="55">
        <v>306</v>
      </c>
      <c r="I26" s="55">
        <v>3.03</v>
      </c>
      <c r="J26" s="55">
        <v>2.8</v>
      </c>
      <c r="K26" s="55">
        <v>2.66</v>
      </c>
      <c r="L26" s="55">
        <v>157</v>
      </c>
      <c r="M26" s="54" t="str">
        <f t="shared" si="2"/>
        <v>24+ Months</v>
      </c>
      <c r="N26" s="54" t="str">
        <f t="shared" si="3"/>
        <v>24+ Months</v>
      </c>
      <c r="O26" s="54" t="s">
        <v>6</v>
      </c>
      <c r="P26" s="54">
        <f t="shared" si="4"/>
        <v>150</v>
      </c>
      <c r="Q26">
        <f t="shared" si="0"/>
        <v>150</v>
      </c>
      <c r="R26">
        <f t="shared" si="1"/>
        <v>150</v>
      </c>
    </row>
    <row r="27" spans="1:18" x14ac:dyDescent="0.2">
      <c r="A27" s="54">
        <v>108014</v>
      </c>
      <c r="B27" s="54" t="s">
        <v>399</v>
      </c>
      <c r="C27" s="55">
        <v>157</v>
      </c>
      <c r="D27" s="55">
        <v>250</v>
      </c>
      <c r="E27" s="55">
        <v>49</v>
      </c>
      <c r="F27" s="55">
        <v>64</v>
      </c>
      <c r="G27" s="55">
        <v>59</v>
      </c>
      <c r="H27" s="55">
        <v>12</v>
      </c>
      <c r="I27" s="55">
        <v>0.26</v>
      </c>
      <c r="J27" s="55">
        <v>0.24</v>
      </c>
      <c r="K27" s="55">
        <v>0.05</v>
      </c>
      <c r="L27" s="55">
        <v>262</v>
      </c>
      <c r="M27" s="54" t="str">
        <f t="shared" si="2"/>
        <v>24+ Months</v>
      </c>
      <c r="N27" s="54" t="str">
        <f t="shared" si="3"/>
        <v>24+ Months</v>
      </c>
      <c r="O27" s="54" t="s">
        <v>6</v>
      </c>
      <c r="P27" s="54">
        <f t="shared" si="4"/>
        <v>0</v>
      </c>
      <c r="Q27">
        <f t="shared" si="0"/>
        <v>0</v>
      </c>
      <c r="R27">
        <f t="shared" si="1"/>
        <v>0</v>
      </c>
    </row>
    <row r="28" spans="1:18" x14ac:dyDescent="0.2">
      <c r="A28" s="54">
        <v>163211</v>
      </c>
      <c r="B28" s="54" t="s">
        <v>567</v>
      </c>
      <c r="C28" s="55">
        <v>200</v>
      </c>
      <c r="D28" s="55">
        <v>380</v>
      </c>
      <c r="E28" s="55">
        <v>49</v>
      </c>
      <c r="F28" s="55">
        <v>9</v>
      </c>
      <c r="G28" s="55">
        <v>2</v>
      </c>
      <c r="H28" s="55">
        <v>0</v>
      </c>
      <c r="I28" s="55">
        <v>0.02</v>
      </c>
      <c r="J28" s="55">
        <v>0</v>
      </c>
      <c r="K28" s="55">
        <v>0</v>
      </c>
      <c r="L28" s="55">
        <v>1</v>
      </c>
      <c r="M28" s="54" t="str">
        <f t="shared" si="2"/>
        <v>24+ Months</v>
      </c>
      <c r="N28" s="54" t="str">
        <f t="shared" si="3"/>
        <v>24+ Months</v>
      </c>
      <c r="O28" s="54" t="s">
        <v>5</v>
      </c>
      <c r="P28" s="54">
        <f t="shared" si="4"/>
        <v>0</v>
      </c>
      <c r="Q28">
        <f t="shared" si="0"/>
        <v>0</v>
      </c>
      <c r="R28">
        <f t="shared" si="1"/>
        <v>0</v>
      </c>
    </row>
    <row r="29" spans="1:18" x14ac:dyDescent="0.2">
      <c r="A29" s="54">
        <v>106844</v>
      </c>
      <c r="B29" s="54" t="s">
        <v>642</v>
      </c>
      <c r="C29" s="55">
        <v>234</v>
      </c>
      <c r="D29" s="55">
        <v>193</v>
      </c>
      <c r="E29" s="55">
        <v>49</v>
      </c>
      <c r="F29" s="55">
        <v>0</v>
      </c>
      <c r="G29" s="55">
        <v>0</v>
      </c>
      <c r="H29" s="55">
        <v>0</v>
      </c>
      <c r="I29" s="55">
        <v>0</v>
      </c>
      <c r="J29" s="55">
        <v>0</v>
      </c>
      <c r="K29" s="55">
        <v>0</v>
      </c>
      <c r="L29" s="55">
        <v>5</v>
      </c>
      <c r="M29" s="54" t="str">
        <f t="shared" si="2"/>
        <v>24+ Months</v>
      </c>
      <c r="N29" s="54" t="str">
        <f t="shared" si="3"/>
        <v>24+ Months</v>
      </c>
      <c r="O29" s="54" t="s">
        <v>6</v>
      </c>
      <c r="P29" s="54">
        <f t="shared" si="4"/>
        <v>0</v>
      </c>
      <c r="Q29">
        <f t="shared" si="0"/>
        <v>0</v>
      </c>
      <c r="R29">
        <f t="shared" si="1"/>
        <v>0</v>
      </c>
    </row>
    <row r="30" spans="1:18" x14ac:dyDescent="0.2">
      <c r="A30" s="54">
        <v>114556</v>
      </c>
      <c r="B30" s="54" t="s">
        <v>505</v>
      </c>
      <c r="C30" s="55">
        <v>414</v>
      </c>
      <c r="D30" s="55">
        <v>450</v>
      </c>
      <c r="E30" s="55">
        <v>49</v>
      </c>
      <c r="F30" s="55">
        <v>18</v>
      </c>
      <c r="G30" s="55">
        <v>16</v>
      </c>
      <c r="H30" s="55">
        <v>0</v>
      </c>
      <c r="I30" s="55">
        <v>0.04</v>
      </c>
      <c r="J30" s="55">
        <v>0.04</v>
      </c>
      <c r="K30" s="55">
        <v>0</v>
      </c>
      <c r="L30" s="55">
        <v>34</v>
      </c>
      <c r="M30" s="54" t="str">
        <f t="shared" si="2"/>
        <v>24+ Months</v>
      </c>
      <c r="N30" s="54" t="str">
        <f t="shared" si="3"/>
        <v>24+ Months</v>
      </c>
      <c r="O30" s="54" t="s">
        <v>6</v>
      </c>
      <c r="P30" s="54">
        <f t="shared" si="4"/>
        <v>0</v>
      </c>
      <c r="Q30">
        <f t="shared" si="0"/>
        <v>0</v>
      </c>
      <c r="R30">
        <f t="shared" si="1"/>
        <v>0</v>
      </c>
    </row>
    <row r="31" spans="1:18" x14ac:dyDescent="0.2">
      <c r="A31" s="54">
        <v>113118</v>
      </c>
      <c r="B31" s="54" t="s">
        <v>70</v>
      </c>
      <c r="C31" s="55">
        <v>1904</v>
      </c>
      <c r="D31" s="55">
        <v>700</v>
      </c>
      <c r="E31" s="55">
        <v>49</v>
      </c>
      <c r="F31" s="55">
        <v>2046</v>
      </c>
      <c r="G31" s="55">
        <v>539</v>
      </c>
      <c r="H31" s="55">
        <v>18</v>
      </c>
      <c r="I31" s="55">
        <v>2.92</v>
      </c>
      <c r="J31" s="55">
        <v>0.77</v>
      </c>
      <c r="K31" s="55">
        <v>0.03</v>
      </c>
      <c r="L31" s="55">
        <v>4</v>
      </c>
      <c r="M31" s="54" t="str">
        <f t="shared" si="2"/>
        <v>24+ Months</v>
      </c>
      <c r="N31" s="54" t="str">
        <f t="shared" si="3"/>
        <v>24+ Months</v>
      </c>
      <c r="O31" s="54" t="s">
        <v>5</v>
      </c>
      <c r="P31" s="54">
        <f t="shared" si="4"/>
        <v>1904</v>
      </c>
      <c r="Q31">
        <f t="shared" si="0"/>
        <v>1904</v>
      </c>
      <c r="R31">
        <f t="shared" si="1"/>
        <v>1904</v>
      </c>
    </row>
    <row r="32" spans="1:18" x14ac:dyDescent="0.2">
      <c r="A32" s="54">
        <v>328070</v>
      </c>
      <c r="B32" s="54" t="s">
        <v>630</v>
      </c>
      <c r="C32" s="55">
        <v>45</v>
      </c>
      <c r="D32" s="55">
        <v>50</v>
      </c>
      <c r="E32" s="55">
        <v>48</v>
      </c>
      <c r="F32" s="55">
        <v>0</v>
      </c>
      <c r="G32" s="55">
        <v>0</v>
      </c>
      <c r="H32" s="55">
        <v>0</v>
      </c>
      <c r="I32" s="55">
        <v>0</v>
      </c>
      <c r="J32" s="55">
        <v>0</v>
      </c>
      <c r="K32" s="55">
        <v>0</v>
      </c>
      <c r="L32" s="55">
        <v>0</v>
      </c>
      <c r="M32" s="54" t="str">
        <f t="shared" si="2"/>
        <v>24+ Months</v>
      </c>
      <c r="N32" s="54" t="str">
        <f t="shared" si="3"/>
        <v>24+ Months</v>
      </c>
      <c r="O32" s="54" t="s">
        <v>7</v>
      </c>
      <c r="P32" s="54">
        <f t="shared" si="4"/>
        <v>0</v>
      </c>
      <c r="Q32">
        <f t="shared" si="0"/>
        <v>0</v>
      </c>
      <c r="R32">
        <f t="shared" si="1"/>
        <v>0</v>
      </c>
    </row>
    <row r="33" spans="1:18" x14ac:dyDescent="0.2">
      <c r="A33" s="54">
        <v>105389</v>
      </c>
      <c r="B33" s="54" t="s">
        <v>553</v>
      </c>
      <c r="C33" s="55">
        <v>111</v>
      </c>
      <c r="D33" s="55">
        <v>92</v>
      </c>
      <c r="E33" s="55">
        <v>48</v>
      </c>
      <c r="F33" s="55">
        <v>14</v>
      </c>
      <c r="G33" s="55">
        <v>8</v>
      </c>
      <c r="H33" s="55">
        <v>6</v>
      </c>
      <c r="I33" s="55">
        <v>0.15</v>
      </c>
      <c r="J33" s="55">
        <v>0.09</v>
      </c>
      <c r="K33" s="55">
        <v>7.0000000000000007E-2</v>
      </c>
      <c r="L33" s="55">
        <v>5</v>
      </c>
      <c r="M33" s="54" t="str">
        <f t="shared" si="2"/>
        <v>24+ Months</v>
      </c>
      <c r="N33" s="54" t="str">
        <f t="shared" si="3"/>
        <v>24+ Months</v>
      </c>
      <c r="O33" s="54" t="s">
        <v>7</v>
      </c>
      <c r="P33" s="54">
        <f t="shared" si="4"/>
        <v>0</v>
      </c>
      <c r="Q33">
        <f t="shared" si="0"/>
        <v>0</v>
      </c>
      <c r="R33">
        <f t="shared" si="1"/>
        <v>0</v>
      </c>
    </row>
    <row r="34" spans="1:18" x14ac:dyDescent="0.2">
      <c r="A34" s="54">
        <v>109269</v>
      </c>
      <c r="B34" s="54" t="s">
        <v>111</v>
      </c>
      <c r="C34" s="55">
        <v>140</v>
      </c>
      <c r="D34" s="55">
        <v>120</v>
      </c>
      <c r="E34" s="55">
        <v>48</v>
      </c>
      <c r="F34" s="55">
        <v>637</v>
      </c>
      <c r="G34" s="55">
        <v>609</v>
      </c>
      <c r="H34" s="55">
        <v>231</v>
      </c>
      <c r="I34" s="55">
        <v>5.31</v>
      </c>
      <c r="J34" s="55">
        <v>5.08</v>
      </c>
      <c r="K34" s="55">
        <v>1.93</v>
      </c>
      <c r="L34" s="55">
        <v>10</v>
      </c>
      <c r="M34" s="54" t="str">
        <f t="shared" si="2"/>
        <v>24+ Months</v>
      </c>
      <c r="N34" s="54" t="str">
        <f t="shared" si="3"/>
        <v>24+ Months</v>
      </c>
      <c r="O34" s="54" t="s">
        <v>6</v>
      </c>
      <c r="P34" s="54">
        <f t="shared" si="4"/>
        <v>140</v>
      </c>
      <c r="Q34">
        <f t="shared" si="0"/>
        <v>140</v>
      </c>
      <c r="R34">
        <f t="shared" si="1"/>
        <v>140</v>
      </c>
    </row>
    <row r="35" spans="1:18" x14ac:dyDescent="0.2">
      <c r="A35" s="54">
        <v>115132</v>
      </c>
      <c r="B35" s="54" t="s">
        <v>539</v>
      </c>
      <c r="C35" s="55">
        <v>39</v>
      </c>
      <c r="D35" s="55">
        <v>69</v>
      </c>
      <c r="E35" s="55">
        <v>47</v>
      </c>
      <c r="F35" s="55">
        <v>10</v>
      </c>
      <c r="G35" s="55">
        <v>0</v>
      </c>
      <c r="H35" s="55">
        <v>0</v>
      </c>
      <c r="I35" s="55">
        <v>0.14000000000000001</v>
      </c>
      <c r="J35" s="55">
        <v>0</v>
      </c>
      <c r="K35" s="55">
        <v>0</v>
      </c>
      <c r="L35" s="55">
        <v>0</v>
      </c>
      <c r="M35" s="54" t="str">
        <f t="shared" si="2"/>
        <v>24+ Months</v>
      </c>
      <c r="N35" s="54" t="str">
        <f t="shared" si="3"/>
        <v>24+ Months</v>
      </c>
      <c r="O35" s="54" t="s">
        <v>7</v>
      </c>
      <c r="P35" s="54">
        <f t="shared" si="4"/>
        <v>0</v>
      </c>
      <c r="Q35">
        <f t="shared" si="0"/>
        <v>0</v>
      </c>
      <c r="R35">
        <f t="shared" si="1"/>
        <v>0</v>
      </c>
    </row>
    <row r="36" spans="1:18" x14ac:dyDescent="0.2">
      <c r="A36" s="54">
        <v>518257</v>
      </c>
      <c r="B36" s="54" t="s">
        <v>568</v>
      </c>
      <c r="C36" s="55">
        <v>44</v>
      </c>
      <c r="D36" s="55">
        <v>65</v>
      </c>
      <c r="E36" s="55">
        <v>47</v>
      </c>
      <c r="F36" s="55">
        <v>12</v>
      </c>
      <c r="G36" s="55">
        <v>12</v>
      </c>
      <c r="H36" s="55">
        <v>12</v>
      </c>
      <c r="I36" s="55">
        <v>0.18</v>
      </c>
      <c r="J36" s="55">
        <v>0.18</v>
      </c>
      <c r="K36" s="55">
        <v>0.18</v>
      </c>
      <c r="L36" s="55">
        <v>10</v>
      </c>
      <c r="M36" s="54" t="str">
        <f t="shared" si="2"/>
        <v>24+ Months</v>
      </c>
      <c r="N36" s="54" t="str">
        <f t="shared" si="3"/>
        <v>24+ Months</v>
      </c>
      <c r="O36" s="54" t="s">
        <v>7</v>
      </c>
      <c r="P36" s="54">
        <f t="shared" si="4"/>
        <v>0</v>
      </c>
      <c r="Q36">
        <f t="shared" si="0"/>
        <v>0</v>
      </c>
      <c r="R36">
        <f t="shared" si="1"/>
        <v>0</v>
      </c>
    </row>
    <row r="37" spans="1:18" x14ac:dyDescent="0.2">
      <c r="A37" s="54">
        <v>112177</v>
      </c>
      <c r="B37" s="54" t="s">
        <v>267</v>
      </c>
      <c r="C37" s="55">
        <v>78</v>
      </c>
      <c r="D37" s="55">
        <v>5</v>
      </c>
      <c r="E37" s="55">
        <v>47</v>
      </c>
      <c r="F37" s="55">
        <v>281</v>
      </c>
      <c r="G37" s="55">
        <v>183</v>
      </c>
      <c r="H37" s="55">
        <v>151</v>
      </c>
      <c r="I37" s="55">
        <v>56.2</v>
      </c>
      <c r="J37" s="55">
        <v>36.6</v>
      </c>
      <c r="K37" s="55">
        <v>30.2</v>
      </c>
      <c r="L37" s="55">
        <v>1</v>
      </c>
      <c r="M37" s="54" t="str">
        <f t="shared" si="2"/>
        <v>24+ Months</v>
      </c>
      <c r="N37" s="54" t="str">
        <f t="shared" si="3"/>
        <v>24+ Months</v>
      </c>
      <c r="O37" s="54" t="s">
        <v>7</v>
      </c>
      <c r="P37" s="54">
        <f t="shared" si="4"/>
        <v>78</v>
      </c>
      <c r="Q37">
        <f t="shared" si="0"/>
        <v>78</v>
      </c>
      <c r="R37">
        <f t="shared" si="1"/>
        <v>78</v>
      </c>
    </row>
    <row r="38" spans="1:18" x14ac:dyDescent="0.2">
      <c r="A38" s="54">
        <v>112636</v>
      </c>
      <c r="B38" s="54" t="s">
        <v>192</v>
      </c>
      <c r="C38" s="55">
        <v>85</v>
      </c>
      <c r="D38" s="55">
        <v>76</v>
      </c>
      <c r="E38" s="55">
        <v>47</v>
      </c>
      <c r="F38" s="55">
        <v>336</v>
      </c>
      <c r="G38" s="55">
        <v>336</v>
      </c>
      <c r="H38" s="55">
        <v>105</v>
      </c>
      <c r="I38" s="55">
        <v>4.42</v>
      </c>
      <c r="J38" s="55">
        <v>4.42</v>
      </c>
      <c r="K38" s="55">
        <v>1.38</v>
      </c>
      <c r="L38" s="55">
        <v>8</v>
      </c>
      <c r="M38" s="54" t="str">
        <f t="shared" si="2"/>
        <v>24+ Months</v>
      </c>
      <c r="N38" s="54" t="str">
        <f t="shared" si="3"/>
        <v>24+ Months</v>
      </c>
      <c r="O38" s="54" t="s">
        <v>7</v>
      </c>
      <c r="P38" s="54">
        <f t="shared" si="4"/>
        <v>85</v>
      </c>
      <c r="Q38">
        <f t="shared" si="0"/>
        <v>85</v>
      </c>
      <c r="R38">
        <f t="shared" si="1"/>
        <v>85</v>
      </c>
    </row>
    <row r="39" spans="1:18" x14ac:dyDescent="0.2">
      <c r="A39" s="54">
        <v>107911</v>
      </c>
      <c r="B39" s="54" t="s">
        <v>599</v>
      </c>
      <c r="C39" s="55">
        <v>1312</v>
      </c>
      <c r="D39" s="55">
        <v>1215</v>
      </c>
      <c r="E39" s="55">
        <v>47</v>
      </c>
      <c r="F39" s="55">
        <v>2</v>
      </c>
      <c r="G39" s="55">
        <v>2</v>
      </c>
      <c r="H39" s="55">
        <v>0</v>
      </c>
      <c r="I39" s="55">
        <v>0</v>
      </c>
      <c r="J39" s="55">
        <v>0</v>
      </c>
      <c r="K39" s="55">
        <v>0</v>
      </c>
      <c r="L39" s="55">
        <v>0</v>
      </c>
      <c r="M39" s="54" t="str">
        <f t="shared" si="2"/>
        <v>24+ Months</v>
      </c>
      <c r="N39" s="54" t="str">
        <f t="shared" si="3"/>
        <v>24+ Months</v>
      </c>
      <c r="O39" s="54" t="s">
        <v>5</v>
      </c>
      <c r="P39" s="54">
        <f t="shared" si="4"/>
        <v>0</v>
      </c>
      <c r="Q39">
        <f t="shared" si="0"/>
        <v>0</v>
      </c>
      <c r="R39">
        <f t="shared" si="1"/>
        <v>0</v>
      </c>
    </row>
    <row r="40" spans="1:18" x14ac:dyDescent="0.2">
      <c r="A40" s="54">
        <v>106346</v>
      </c>
      <c r="B40" s="54" t="s">
        <v>262</v>
      </c>
      <c r="C40" s="55">
        <v>1340</v>
      </c>
      <c r="D40" s="55">
        <v>1200</v>
      </c>
      <c r="E40" s="55">
        <v>47</v>
      </c>
      <c r="F40" s="55">
        <v>644</v>
      </c>
      <c r="G40" s="55">
        <v>33</v>
      </c>
      <c r="H40" s="55">
        <v>11</v>
      </c>
      <c r="I40" s="55">
        <v>0.54</v>
      </c>
      <c r="J40" s="55">
        <v>0.03</v>
      </c>
      <c r="K40" s="55">
        <v>0.01</v>
      </c>
      <c r="L40" s="55">
        <v>17</v>
      </c>
      <c r="M40" s="54" t="str">
        <f t="shared" si="2"/>
        <v>24+ Months</v>
      </c>
      <c r="N40" s="54" t="str">
        <f t="shared" si="3"/>
        <v>24+ Months</v>
      </c>
      <c r="O40" s="54" t="s">
        <v>5</v>
      </c>
      <c r="P40" s="54">
        <f t="shared" si="4"/>
        <v>0</v>
      </c>
      <c r="Q40">
        <f t="shared" si="0"/>
        <v>0</v>
      </c>
      <c r="R40">
        <f t="shared" si="1"/>
        <v>0</v>
      </c>
    </row>
    <row r="41" spans="1:18" x14ac:dyDescent="0.2">
      <c r="A41" s="54">
        <v>140442</v>
      </c>
      <c r="B41" s="54" t="s">
        <v>200</v>
      </c>
      <c r="C41" s="55">
        <v>4</v>
      </c>
      <c r="D41" s="55">
        <v>189</v>
      </c>
      <c r="E41" s="55">
        <v>46</v>
      </c>
      <c r="F41" s="55">
        <v>303</v>
      </c>
      <c r="G41" s="55">
        <v>198</v>
      </c>
      <c r="H41" s="55">
        <v>151</v>
      </c>
      <c r="I41" s="55">
        <v>1.6</v>
      </c>
      <c r="J41" s="55">
        <v>1.05</v>
      </c>
      <c r="K41" s="55">
        <v>0.8</v>
      </c>
      <c r="L41" s="55">
        <v>67</v>
      </c>
      <c r="M41" s="54" t="str">
        <f t="shared" si="2"/>
        <v>24+ Months</v>
      </c>
      <c r="N41" s="54" t="str">
        <f t="shared" si="3"/>
        <v>24+ Months</v>
      </c>
      <c r="O41" s="54" t="s">
        <v>6</v>
      </c>
      <c r="P41" s="54">
        <f t="shared" si="4"/>
        <v>4</v>
      </c>
      <c r="Q41">
        <f t="shared" si="0"/>
        <v>0</v>
      </c>
      <c r="R41">
        <f t="shared" si="1"/>
        <v>4</v>
      </c>
    </row>
    <row r="42" spans="1:18" x14ac:dyDescent="0.2">
      <c r="A42" s="54">
        <v>108060</v>
      </c>
      <c r="B42" s="54" t="s">
        <v>420</v>
      </c>
      <c r="C42" s="55">
        <v>31</v>
      </c>
      <c r="D42" s="55">
        <v>45</v>
      </c>
      <c r="E42" s="55">
        <v>46</v>
      </c>
      <c r="F42" s="55">
        <v>64</v>
      </c>
      <c r="G42" s="55">
        <v>38</v>
      </c>
      <c r="H42" s="55">
        <v>0</v>
      </c>
      <c r="I42" s="55">
        <v>1.42</v>
      </c>
      <c r="J42" s="55">
        <v>0.84</v>
      </c>
      <c r="K42" s="55">
        <v>0</v>
      </c>
      <c r="L42" s="55">
        <v>97</v>
      </c>
      <c r="M42" s="54" t="str">
        <f t="shared" si="2"/>
        <v>24+ Months</v>
      </c>
      <c r="N42" s="54" t="str">
        <f t="shared" si="3"/>
        <v>24+ Months</v>
      </c>
      <c r="O42" s="54" t="s">
        <v>7</v>
      </c>
      <c r="P42" s="54">
        <f t="shared" si="4"/>
        <v>31</v>
      </c>
      <c r="Q42">
        <f t="shared" si="0"/>
        <v>0</v>
      </c>
      <c r="R42">
        <f t="shared" si="1"/>
        <v>31</v>
      </c>
    </row>
    <row r="43" spans="1:18" x14ac:dyDescent="0.2">
      <c r="A43" s="54">
        <v>108276</v>
      </c>
      <c r="B43" s="54" t="s">
        <v>232</v>
      </c>
      <c r="C43" s="55">
        <v>38</v>
      </c>
      <c r="D43" s="55">
        <v>46</v>
      </c>
      <c r="E43" s="55">
        <v>46</v>
      </c>
      <c r="F43" s="55">
        <v>151</v>
      </c>
      <c r="G43" s="55">
        <v>55</v>
      </c>
      <c r="H43" s="55">
        <v>31</v>
      </c>
      <c r="I43" s="55">
        <v>3.28</v>
      </c>
      <c r="J43" s="55">
        <v>1.2</v>
      </c>
      <c r="K43" s="55">
        <v>0.67</v>
      </c>
      <c r="L43" s="55">
        <v>21</v>
      </c>
      <c r="M43" s="54" t="str">
        <f t="shared" si="2"/>
        <v>24+ Months</v>
      </c>
      <c r="N43" s="54" t="str">
        <f t="shared" si="3"/>
        <v>24+ Months</v>
      </c>
      <c r="O43" s="54" t="s">
        <v>7</v>
      </c>
      <c r="P43" s="54">
        <f t="shared" si="4"/>
        <v>38</v>
      </c>
      <c r="Q43">
        <f t="shared" si="0"/>
        <v>38</v>
      </c>
      <c r="R43">
        <f t="shared" si="1"/>
        <v>38</v>
      </c>
    </row>
    <row r="44" spans="1:18" x14ac:dyDescent="0.2">
      <c r="A44" s="54">
        <v>300687</v>
      </c>
      <c r="B44" s="54" t="s">
        <v>447</v>
      </c>
      <c r="C44" s="55">
        <v>120</v>
      </c>
      <c r="D44" s="55">
        <v>175</v>
      </c>
      <c r="E44" s="55">
        <v>46</v>
      </c>
      <c r="F44" s="55">
        <v>30</v>
      </c>
      <c r="G44" s="55">
        <v>23</v>
      </c>
      <c r="H44" s="55">
        <v>12</v>
      </c>
      <c r="I44" s="55">
        <v>0.17</v>
      </c>
      <c r="J44" s="55">
        <v>0.13</v>
      </c>
      <c r="K44" s="55">
        <v>7.0000000000000007E-2</v>
      </c>
      <c r="L44" s="55">
        <v>12</v>
      </c>
      <c r="M44" s="54" t="str">
        <f t="shared" si="2"/>
        <v>24+ Months</v>
      </c>
      <c r="N44" s="54" t="str">
        <f t="shared" si="3"/>
        <v>24+ Months</v>
      </c>
      <c r="O44" s="54" t="s">
        <v>6</v>
      </c>
      <c r="P44" s="54">
        <f t="shared" si="4"/>
        <v>0</v>
      </c>
      <c r="Q44">
        <f t="shared" si="0"/>
        <v>0</v>
      </c>
      <c r="R44">
        <f t="shared" si="1"/>
        <v>0</v>
      </c>
    </row>
    <row r="45" spans="1:18" x14ac:dyDescent="0.2">
      <c r="A45" s="54">
        <v>141887</v>
      </c>
      <c r="B45" s="54" t="s">
        <v>301</v>
      </c>
      <c r="C45" s="55">
        <v>276</v>
      </c>
      <c r="D45" s="55">
        <v>365</v>
      </c>
      <c r="E45" s="55">
        <v>46</v>
      </c>
      <c r="F45" s="55">
        <v>242</v>
      </c>
      <c r="G45" s="55">
        <v>218</v>
      </c>
      <c r="H45" s="55">
        <v>119</v>
      </c>
      <c r="I45" s="55">
        <v>0.66</v>
      </c>
      <c r="J45" s="55">
        <v>0.6</v>
      </c>
      <c r="K45" s="55">
        <v>0.33</v>
      </c>
      <c r="L45" s="55">
        <v>379</v>
      </c>
      <c r="M45" s="54" t="str">
        <f t="shared" si="2"/>
        <v>24+ Months</v>
      </c>
      <c r="N45" s="54" t="str">
        <f t="shared" si="3"/>
        <v>24+ Months</v>
      </c>
      <c r="O45" s="54" t="s">
        <v>6</v>
      </c>
      <c r="P45" s="54">
        <f t="shared" si="4"/>
        <v>0</v>
      </c>
      <c r="Q45">
        <f t="shared" si="0"/>
        <v>0</v>
      </c>
      <c r="R45">
        <f t="shared" si="1"/>
        <v>0</v>
      </c>
    </row>
    <row r="46" spans="1:18" x14ac:dyDescent="0.2">
      <c r="A46" s="54">
        <v>106658</v>
      </c>
      <c r="B46" s="54" t="s">
        <v>197</v>
      </c>
      <c r="C46" s="55">
        <v>449</v>
      </c>
      <c r="D46" s="55">
        <v>490</v>
      </c>
      <c r="E46" s="55">
        <v>46</v>
      </c>
      <c r="F46" s="55">
        <v>255</v>
      </c>
      <c r="G46" s="55">
        <v>180</v>
      </c>
      <c r="H46" s="55">
        <v>4</v>
      </c>
      <c r="I46" s="55">
        <v>0.52</v>
      </c>
      <c r="J46" s="55">
        <v>0.37</v>
      </c>
      <c r="K46" s="55">
        <v>0.01</v>
      </c>
      <c r="L46" s="55">
        <v>96</v>
      </c>
      <c r="M46" s="54" t="str">
        <f t="shared" si="2"/>
        <v>24+ Months</v>
      </c>
      <c r="N46" s="54" t="str">
        <f t="shared" si="3"/>
        <v>24+ Months</v>
      </c>
      <c r="O46" s="54" t="s">
        <v>6</v>
      </c>
      <c r="P46" s="54">
        <f t="shared" si="4"/>
        <v>0</v>
      </c>
      <c r="Q46">
        <f t="shared" si="0"/>
        <v>0</v>
      </c>
      <c r="R46">
        <f t="shared" si="1"/>
        <v>0</v>
      </c>
    </row>
    <row r="47" spans="1:18" x14ac:dyDescent="0.2">
      <c r="A47" s="54">
        <v>169787</v>
      </c>
      <c r="B47" s="54" t="s">
        <v>318</v>
      </c>
      <c r="C47" s="55">
        <v>515</v>
      </c>
      <c r="D47" s="55">
        <v>549</v>
      </c>
      <c r="E47" s="55">
        <v>46</v>
      </c>
      <c r="F47" s="55">
        <v>165</v>
      </c>
      <c r="G47" s="55">
        <v>58</v>
      </c>
      <c r="H47" s="55">
        <v>13</v>
      </c>
      <c r="I47" s="55">
        <v>0.3</v>
      </c>
      <c r="J47" s="55">
        <v>0.11</v>
      </c>
      <c r="K47" s="55">
        <v>0.02</v>
      </c>
      <c r="L47" s="55">
        <v>128</v>
      </c>
      <c r="M47" s="54" t="str">
        <f t="shared" si="2"/>
        <v>24+ Months</v>
      </c>
      <c r="N47" s="54" t="str">
        <f t="shared" si="3"/>
        <v>24+ Months</v>
      </c>
      <c r="O47" s="54" t="s">
        <v>6</v>
      </c>
      <c r="P47" s="54">
        <f t="shared" si="4"/>
        <v>0</v>
      </c>
      <c r="Q47">
        <f t="shared" si="0"/>
        <v>0</v>
      </c>
      <c r="R47">
        <f t="shared" si="1"/>
        <v>0</v>
      </c>
    </row>
    <row r="48" spans="1:18" x14ac:dyDescent="0.2">
      <c r="A48" s="54">
        <v>106876</v>
      </c>
      <c r="B48" s="54" t="s">
        <v>390</v>
      </c>
      <c r="C48" s="55">
        <v>3</v>
      </c>
      <c r="D48" s="55">
        <v>48</v>
      </c>
      <c r="E48" s="55">
        <v>45</v>
      </c>
      <c r="F48" s="55">
        <v>36</v>
      </c>
      <c r="G48" s="55">
        <v>21</v>
      </c>
      <c r="H48" s="55">
        <v>10</v>
      </c>
      <c r="I48" s="55">
        <v>0.75</v>
      </c>
      <c r="J48" s="55">
        <v>0.44</v>
      </c>
      <c r="K48" s="55">
        <v>0.21</v>
      </c>
      <c r="L48" s="55">
        <v>4</v>
      </c>
      <c r="M48" s="54" t="str">
        <f t="shared" si="2"/>
        <v>24+ Months</v>
      </c>
      <c r="N48" s="54" t="str">
        <f t="shared" si="3"/>
        <v>24+ Months</v>
      </c>
      <c r="O48" s="54" t="s">
        <v>7</v>
      </c>
      <c r="P48" s="54">
        <f t="shared" si="4"/>
        <v>0</v>
      </c>
      <c r="Q48">
        <f t="shared" si="0"/>
        <v>0</v>
      </c>
      <c r="R48">
        <f t="shared" si="1"/>
        <v>0</v>
      </c>
    </row>
    <row r="49" spans="1:18" x14ac:dyDescent="0.2">
      <c r="A49" s="54">
        <v>173528</v>
      </c>
      <c r="B49" s="54" t="s">
        <v>285</v>
      </c>
      <c r="C49" s="55">
        <v>75</v>
      </c>
      <c r="D49" s="55">
        <v>82</v>
      </c>
      <c r="E49" s="55">
        <v>45</v>
      </c>
      <c r="F49" s="55">
        <v>153</v>
      </c>
      <c r="G49" s="55">
        <v>124</v>
      </c>
      <c r="H49" s="55">
        <v>123</v>
      </c>
      <c r="I49" s="55">
        <v>1.87</v>
      </c>
      <c r="J49" s="55">
        <v>1.51</v>
      </c>
      <c r="K49" s="55">
        <v>1.5</v>
      </c>
      <c r="L49" s="55">
        <v>6</v>
      </c>
      <c r="M49" s="54" t="str">
        <f t="shared" si="2"/>
        <v>24+ Months</v>
      </c>
      <c r="N49" s="54" t="str">
        <f t="shared" si="3"/>
        <v>24+ Months</v>
      </c>
      <c r="O49" s="54" t="s">
        <v>7</v>
      </c>
      <c r="P49" s="54">
        <f t="shared" si="4"/>
        <v>75</v>
      </c>
      <c r="Q49">
        <f t="shared" si="0"/>
        <v>0</v>
      </c>
      <c r="R49">
        <f t="shared" si="1"/>
        <v>75</v>
      </c>
    </row>
    <row r="50" spans="1:18" x14ac:dyDescent="0.2">
      <c r="A50" s="54">
        <v>106566</v>
      </c>
      <c r="B50" s="54" t="s">
        <v>380</v>
      </c>
      <c r="C50" s="55">
        <v>88</v>
      </c>
      <c r="D50" s="55">
        <v>90</v>
      </c>
      <c r="E50" s="55">
        <v>45</v>
      </c>
      <c r="F50" s="55">
        <v>59</v>
      </c>
      <c r="G50" s="55">
        <v>0</v>
      </c>
      <c r="H50" s="55">
        <v>0</v>
      </c>
      <c r="I50" s="55">
        <v>0.66</v>
      </c>
      <c r="J50" s="55">
        <v>0</v>
      </c>
      <c r="K50" s="55">
        <v>0</v>
      </c>
      <c r="L50" s="55">
        <v>0</v>
      </c>
      <c r="M50" s="54" t="str">
        <f t="shared" si="2"/>
        <v>24+ Months</v>
      </c>
      <c r="N50" s="54" t="str">
        <f t="shared" si="3"/>
        <v>24+ Months</v>
      </c>
      <c r="O50" s="54" t="s">
        <v>7</v>
      </c>
      <c r="P50" s="54">
        <f t="shared" si="4"/>
        <v>0</v>
      </c>
      <c r="Q50">
        <f t="shared" si="0"/>
        <v>0</v>
      </c>
      <c r="R50">
        <f t="shared" si="1"/>
        <v>0</v>
      </c>
    </row>
    <row r="51" spans="1:18" x14ac:dyDescent="0.2">
      <c r="A51" s="54">
        <v>113397</v>
      </c>
      <c r="B51" s="54" t="s">
        <v>603</v>
      </c>
      <c r="C51" s="55">
        <v>93</v>
      </c>
      <c r="D51" s="55">
        <v>145</v>
      </c>
      <c r="E51" s="55">
        <v>45</v>
      </c>
      <c r="F51" s="55">
        <v>2</v>
      </c>
      <c r="G51" s="55">
        <v>2</v>
      </c>
      <c r="H51" s="55">
        <v>0</v>
      </c>
      <c r="I51" s="55">
        <v>0.01</v>
      </c>
      <c r="J51" s="55">
        <v>0.01</v>
      </c>
      <c r="K51" s="55">
        <v>0</v>
      </c>
      <c r="L51" s="55">
        <v>2</v>
      </c>
      <c r="M51" s="54" t="str">
        <f t="shared" si="2"/>
        <v>24+ Months</v>
      </c>
      <c r="N51" s="54" t="str">
        <f t="shared" si="3"/>
        <v>24+ Months</v>
      </c>
      <c r="O51" s="54" t="s">
        <v>6</v>
      </c>
      <c r="P51" s="54">
        <f t="shared" si="4"/>
        <v>0</v>
      </c>
      <c r="Q51">
        <f t="shared" si="0"/>
        <v>0</v>
      </c>
      <c r="R51">
        <f t="shared" si="1"/>
        <v>0</v>
      </c>
    </row>
    <row r="52" spans="1:18" x14ac:dyDescent="0.2">
      <c r="A52" s="54">
        <v>108080</v>
      </c>
      <c r="B52" s="54" t="s">
        <v>169</v>
      </c>
      <c r="C52" s="55">
        <v>152</v>
      </c>
      <c r="D52" s="55">
        <v>120</v>
      </c>
      <c r="E52" s="55">
        <v>45</v>
      </c>
      <c r="F52" s="55">
        <v>258</v>
      </c>
      <c r="G52" s="55">
        <v>161</v>
      </c>
      <c r="H52" s="55">
        <v>123</v>
      </c>
      <c r="I52" s="55">
        <v>2.15</v>
      </c>
      <c r="J52" s="55">
        <v>1.34</v>
      </c>
      <c r="K52" s="55">
        <v>1.03</v>
      </c>
      <c r="L52" s="55">
        <v>46</v>
      </c>
      <c r="M52" s="54" t="str">
        <f t="shared" si="2"/>
        <v>24+ Months</v>
      </c>
      <c r="N52" s="54" t="str">
        <f t="shared" si="3"/>
        <v>24+ Months</v>
      </c>
      <c r="O52" s="54" t="s">
        <v>6</v>
      </c>
      <c r="P52" s="54">
        <f t="shared" si="4"/>
        <v>152</v>
      </c>
      <c r="Q52">
        <f t="shared" si="0"/>
        <v>152</v>
      </c>
      <c r="R52">
        <f t="shared" si="1"/>
        <v>152</v>
      </c>
    </row>
    <row r="53" spans="1:18" x14ac:dyDescent="0.2">
      <c r="A53" s="54">
        <v>106477</v>
      </c>
      <c r="B53" s="54" t="s">
        <v>476</v>
      </c>
      <c r="C53" s="55">
        <v>158</v>
      </c>
      <c r="D53" s="55">
        <v>156</v>
      </c>
      <c r="E53" s="55">
        <v>45</v>
      </c>
      <c r="F53" s="55">
        <v>29</v>
      </c>
      <c r="G53" s="55">
        <v>27</v>
      </c>
      <c r="H53" s="55">
        <v>27</v>
      </c>
      <c r="I53" s="55">
        <v>0.19</v>
      </c>
      <c r="J53" s="55">
        <v>0.17</v>
      </c>
      <c r="K53" s="55">
        <v>0.17</v>
      </c>
      <c r="L53" s="55">
        <v>0</v>
      </c>
      <c r="M53" s="54" t="str">
        <f t="shared" si="2"/>
        <v>24+ Months</v>
      </c>
      <c r="N53" s="54" t="str">
        <f t="shared" si="3"/>
        <v>24+ Months</v>
      </c>
      <c r="O53" s="54" t="s">
        <v>6</v>
      </c>
      <c r="P53" s="54">
        <f t="shared" si="4"/>
        <v>0</v>
      </c>
      <c r="Q53">
        <f t="shared" si="0"/>
        <v>0</v>
      </c>
      <c r="R53">
        <f t="shared" si="1"/>
        <v>0</v>
      </c>
    </row>
    <row r="54" spans="1:18" x14ac:dyDescent="0.2">
      <c r="A54" s="54">
        <v>106569</v>
      </c>
      <c r="B54" s="54" t="s">
        <v>100</v>
      </c>
      <c r="C54" s="55">
        <v>407</v>
      </c>
      <c r="D54" s="55">
        <v>565</v>
      </c>
      <c r="E54" s="55">
        <v>45</v>
      </c>
      <c r="F54" s="55">
        <v>1091</v>
      </c>
      <c r="G54" s="55">
        <v>217</v>
      </c>
      <c r="H54" s="55">
        <v>0</v>
      </c>
      <c r="I54" s="55">
        <v>1.93</v>
      </c>
      <c r="J54" s="55">
        <v>0.38</v>
      </c>
      <c r="K54" s="55">
        <v>0</v>
      </c>
      <c r="L54" s="55">
        <v>89</v>
      </c>
      <c r="M54" s="54" t="str">
        <f t="shared" si="2"/>
        <v>24+ Months</v>
      </c>
      <c r="N54" s="54" t="str">
        <f t="shared" si="3"/>
        <v>24+ Months</v>
      </c>
      <c r="O54" s="54" t="s">
        <v>5</v>
      </c>
      <c r="P54" s="54">
        <f t="shared" si="4"/>
        <v>0</v>
      </c>
      <c r="Q54">
        <f t="shared" si="0"/>
        <v>0</v>
      </c>
      <c r="R54">
        <f t="shared" si="1"/>
        <v>0</v>
      </c>
    </row>
    <row r="55" spans="1:18" x14ac:dyDescent="0.2">
      <c r="A55" s="54">
        <v>325652</v>
      </c>
      <c r="B55" s="54" t="s">
        <v>646</v>
      </c>
      <c r="C55" s="55">
        <v>428</v>
      </c>
      <c r="D55" s="55">
        <v>320</v>
      </c>
      <c r="E55" s="55">
        <v>45</v>
      </c>
      <c r="F55" s="55">
        <v>7</v>
      </c>
      <c r="G55" s="55">
        <v>7</v>
      </c>
      <c r="H55" s="55">
        <v>7</v>
      </c>
      <c r="I55" s="55">
        <v>0.02</v>
      </c>
      <c r="J55" s="55">
        <v>0.02</v>
      </c>
      <c r="K55" s="55">
        <v>0.02</v>
      </c>
      <c r="L55" s="55">
        <v>9</v>
      </c>
      <c r="M55" s="54" t="str">
        <f t="shared" si="2"/>
        <v>24+ Months</v>
      </c>
      <c r="N55" s="54" t="str">
        <f t="shared" si="3"/>
        <v>24+ Months</v>
      </c>
      <c r="O55" s="54" t="s">
        <v>6</v>
      </c>
      <c r="P55" s="54">
        <f t="shared" si="4"/>
        <v>0</v>
      </c>
      <c r="Q55">
        <f t="shared" si="0"/>
        <v>0</v>
      </c>
      <c r="R55">
        <f t="shared" si="1"/>
        <v>0</v>
      </c>
    </row>
    <row r="56" spans="1:18" x14ac:dyDescent="0.2">
      <c r="A56" s="54">
        <v>105785</v>
      </c>
      <c r="B56" s="54" t="s">
        <v>75</v>
      </c>
      <c r="C56" s="55">
        <v>1993</v>
      </c>
      <c r="D56" s="55">
        <v>3486</v>
      </c>
      <c r="E56" s="55">
        <v>45</v>
      </c>
      <c r="F56" s="55">
        <v>4534</v>
      </c>
      <c r="G56" s="55">
        <v>4054</v>
      </c>
      <c r="H56" s="55">
        <v>2890</v>
      </c>
      <c r="I56" s="55">
        <v>1.3</v>
      </c>
      <c r="J56" s="55">
        <v>1.1599999999999999</v>
      </c>
      <c r="K56" s="55">
        <v>0.83</v>
      </c>
      <c r="L56" s="55">
        <v>114</v>
      </c>
      <c r="M56" s="54" t="str">
        <f t="shared" si="2"/>
        <v>24+ Months</v>
      </c>
      <c r="N56" s="54" t="str">
        <f t="shared" si="3"/>
        <v>24+ Months</v>
      </c>
      <c r="O56" s="54" t="s">
        <v>5</v>
      </c>
      <c r="P56" s="54">
        <f t="shared" si="4"/>
        <v>1993</v>
      </c>
      <c r="Q56">
        <f t="shared" si="0"/>
        <v>1993</v>
      </c>
      <c r="R56">
        <f t="shared" si="1"/>
        <v>1993</v>
      </c>
    </row>
    <row r="57" spans="1:18" x14ac:dyDescent="0.2">
      <c r="A57" s="54">
        <v>121105</v>
      </c>
      <c r="B57" s="54" t="s">
        <v>607</v>
      </c>
      <c r="C57" s="55">
        <v>8</v>
      </c>
      <c r="D57" s="55">
        <v>10</v>
      </c>
      <c r="E57" s="55">
        <v>44</v>
      </c>
      <c r="F57" s="55">
        <v>1</v>
      </c>
      <c r="G57" s="55">
        <v>1</v>
      </c>
      <c r="H57" s="55">
        <v>0</v>
      </c>
      <c r="I57" s="55">
        <v>0.05</v>
      </c>
      <c r="J57" s="55">
        <v>0.05</v>
      </c>
      <c r="K57" s="55">
        <v>0</v>
      </c>
      <c r="L57" s="55">
        <v>0</v>
      </c>
      <c r="M57" s="54" t="str">
        <f t="shared" si="2"/>
        <v>24+ Months</v>
      </c>
      <c r="N57" s="54" t="str">
        <f t="shared" si="3"/>
        <v>24+ Months</v>
      </c>
      <c r="O57" s="54" t="s">
        <v>7</v>
      </c>
      <c r="P57" s="54">
        <f t="shared" si="4"/>
        <v>0</v>
      </c>
      <c r="Q57">
        <f t="shared" si="0"/>
        <v>0</v>
      </c>
      <c r="R57">
        <f t="shared" si="1"/>
        <v>0</v>
      </c>
    </row>
    <row r="58" spans="1:18" x14ac:dyDescent="0.2">
      <c r="A58" s="54">
        <v>494655</v>
      </c>
      <c r="B58" s="54" t="s">
        <v>419</v>
      </c>
      <c r="C58" s="55">
        <v>17</v>
      </c>
      <c r="D58" s="55">
        <v>15</v>
      </c>
      <c r="E58" s="55">
        <v>44</v>
      </c>
      <c r="F58" s="55">
        <v>46</v>
      </c>
      <c r="G58" s="55">
        <v>0</v>
      </c>
      <c r="H58" s="55">
        <v>0</v>
      </c>
      <c r="I58" s="55">
        <v>3.07</v>
      </c>
      <c r="J58" s="55">
        <v>0</v>
      </c>
      <c r="K58" s="55">
        <v>0</v>
      </c>
      <c r="L58" s="55">
        <v>0</v>
      </c>
      <c r="M58" s="54" t="str">
        <f t="shared" si="2"/>
        <v>24+ Months</v>
      </c>
      <c r="N58" s="54" t="str">
        <f t="shared" si="3"/>
        <v>24+ Months</v>
      </c>
      <c r="O58" s="54" t="s">
        <v>7</v>
      </c>
      <c r="P58" s="54">
        <f t="shared" si="4"/>
        <v>17</v>
      </c>
      <c r="Q58">
        <f t="shared" si="0"/>
        <v>17</v>
      </c>
      <c r="R58">
        <f t="shared" si="1"/>
        <v>0</v>
      </c>
    </row>
    <row r="59" spans="1:18" x14ac:dyDescent="0.2">
      <c r="A59" s="54">
        <v>108050</v>
      </c>
      <c r="B59" s="54" t="s">
        <v>88</v>
      </c>
      <c r="C59" s="55">
        <v>1780</v>
      </c>
      <c r="D59" s="55">
        <v>1658</v>
      </c>
      <c r="E59" s="55">
        <v>44</v>
      </c>
      <c r="F59" s="55">
        <v>1517</v>
      </c>
      <c r="G59" s="55">
        <v>202</v>
      </c>
      <c r="H59" s="55">
        <v>72</v>
      </c>
      <c r="I59" s="55">
        <v>0.91</v>
      </c>
      <c r="J59" s="55">
        <v>0.12</v>
      </c>
      <c r="K59" s="55">
        <v>0.04</v>
      </c>
      <c r="L59" s="55">
        <v>169</v>
      </c>
      <c r="M59" s="54" t="str">
        <f t="shared" si="2"/>
        <v>24+ Months</v>
      </c>
      <c r="N59" s="54" t="str">
        <f t="shared" si="3"/>
        <v>24+ Months</v>
      </c>
      <c r="O59" s="54" t="s">
        <v>5</v>
      </c>
      <c r="P59" s="54">
        <f t="shared" si="4"/>
        <v>0</v>
      </c>
      <c r="Q59">
        <f t="shared" si="0"/>
        <v>0</v>
      </c>
      <c r="R59">
        <f t="shared" si="1"/>
        <v>0</v>
      </c>
    </row>
    <row r="60" spans="1:18" x14ac:dyDescent="0.2">
      <c r="A60" s="54">
        <v>213659</v>
      </c>
      <c r="B60" s="54" t="s">
        <v>593</v>
      </c>
      <c r="C60" s="55">
        <v>13</v>
      </c>
      <c r="D60" s="55">
        <v>5</v>
      </c>
      <c r="E60" s="55">
        <v>43</v>
      </c>
      <c r="F60" s="55">
        <v>3</v>
      </c>
      <c r="G60" s="55">
        <v>3</v>
      </c>
      <c r="H60" s="55">
        <v>0</v>
      </c>
      <c r="I60" s="55">
        <v>0.6</v>
      </c>
      <c r="J60" s="55">
        <v>0.6</v>
      </c>
      <c r="K60" s="55">
        <v>0</v>
      </c>
      <c r="L60" s="55">
        <v>0</v>
      </c>
      <c r="M60" s="54" t="str">
        <f t="shared" si="2"/>
        <v>24+ Months</v>
      </c>
      <c r="N60" s="54" t="str">
        <f t="shared" si="3"/>
        <v>24+ Months</v>
      </c>
      <c r="O60" s="54" t="s">
        <v>7</v>
      </c>
      <c r="P60" s="54">
        <f t="shared" si="4"/>
        <v>0</v>
      </c>
      <c r="Q60">
        <f t="shared" si="0"/>
        <v>0</v>
      </c>
      <c r="R60">
        <f t="shared" si="1"/>
        <v>0</v>
      </c>
    </row>
    <row r="61" spans="1:18" x14ac:dyDescent="0.2">
      <c r="A61" s="54">
        <v>185357</v>
      </c>
      <c r="B61" s="54" t="s">
        <v>190</v>
      </c>
      <c r="C61" s="55">
        <v>100</v>
      </c>
      <c r="D61" s="55">
        <v>241</v>
      </c>
      <c r="E61" s="55">
        <v>43</v>
      </c>
      <c r="F61" s="55">
        <v>323</v>
      </c>
      <c r="G61" s="55">
        <v>69</v>
      </c>
      <c r="H61" s="55">
        <v>44</v>
      </c>
      <c r="I61" s="55">
        <v>1.34</v>
      </c>
      <c r="J61" s="55">
        <v>0.28999999999999998</v>
      </c>
      <c r="K61" s="55">
        <v>0.18</v>
      </c>
      <c r="L61" s="55">
        <v>0</v>
      </c>
      <c r="M61" s="54" t="str">
        <f t="shared" si="2"/>
        <v>24+ Months</v>
      </c>
      <c r="N61" s="54" t="str">
        <f t="shared" si="3"/>
        <v>24+ Months</v>
      </c>
      <c r="O61" s="54" t="s">
        <v>6</v>
      </c>
      <c r="P61" s="54">
        <f t="shared" si="4"/>
        <v>0</v>
      </c>
      <c r="Q61">
        <f t="shared" si="0"/>
        <v>0</v>
      </c>
      <c r="R61">
        <f t="shared" si="1"/>
        <v>0</v>
      </c>
    </row>
    <row r="62" spans="1:18" x14ac:dyDescent="0.2">
      <c r="A62" s="54">
        <v>105678</v>
      </c>
      <c r="B62" s="54" t="s">
        <v>358</v>
      </c>
      <c r="C62" s="55">
        <v>90</v>
      </c>
      <c r="D62" s="55">
        <v>125</v>
      </c>
      <c r="E62" s="55">
        <v>42</v>
      </c>
      <c r="F62" s="55">
        <v>265</v>
      </c>
      <c r="G62" s="55">
        <v>63</v>
      </c>
      <c r="H62" s="55">
        <v>58</v>
      </c>
      <c r="I62" s="55">
        <v>2.2999999999999998</v>
      </c>
      <c r="J62" s="55">
        <v>0.55000000000000004</v>
      </c>
      <c r="K62" s="55">
        <v>0.5</v>
      </c>
      <c r="L62" s="55">
        <v>256</v>
      </c>
      <c r="M62" s="54" t="str">
        <f t="shared" si="2"/>
        <v>24+ Months</v>
      </c>
      <c r="N62" s="54" t="str">
        <f t="shared" si="3"/>
        <v>24+ Months</v>
      </c>
      <c r="O62" s="54" t="s">
        <v>6</v>
      </c>
      <c r="P62" s="54">
        <f t="shared" si="4"/>
        <v>90</v>
      </c>
      <c r="Q62">
        <f t="shared" si="0"/>
        <v>90</v>
      </c>
      <c r="R62">
        <f t="shared" si="1"/>
        <v>0</v>
      </c>
    </row>
    <row r="63" spans="1:18" x14ac:dyDescent="0.2">
      <c r="A63" s="54">
        <v>108869</v>
      </c>
      <c r="B63" s="54" t="s">
        <v>257</v>
      </c>
      <c r="C63" s="55">
        <v>85</v>
      </c>
      <c r="D63" s="55">
        <v>97</v>
      </c>
      <c r="E63" s="55">
        <v>41</v>
      </c>
      <c r="F63" s="55">
        <v>184</v>
      </c>
      <c r="G63" s="55">
        <v>184</v>
      </c>
      <c r="H63" s="55">
        <v>184</v>
      </c>
      <c r="I63" s="55">
        <v>1.9</v>
      </c>
      <c r="J63" s="55">
        <v>1.9</v>
      </c>
      <c r="K63" s="55">
        <v>1.9</v>
      </c>
      <c r="L63" s="55">
        <v>23</v>
      </c>
      <c r="M63" s="54" t="str">
        <f t="shared" si="2"/>
        <v>24+ Months</v>
      </c>
      <c r="N63" s="54" t="str">
        <f t="shared" si="3"/>
        <v>24+ Months</v>
      </c>
      <c r="O63" s="54" t="s">
        <v>7</v>
      </c>
      <c r="P63" s="54">
        <f t="shared" si="4"/>
        <v>85</v>
      </c>
      <c r="Q63">
        <f t="shared" si="0"/>
        <v>0</v>
      </c>
      <c r="R63">
        <f t="shared" si="1"/>
        <v>85</v>
      </c>
    </row>
    <row r="64" spans="1:18" x14ac:dyDescent="0.2">
      <c r="A64" s="54">
        <v>309704</v>
      </c>
      <c r="B64" s="54" t="s">
        <v>263</v>
      </c>
      <c r="C64" s="55">
        <v>198</v>
      </c>
      <c r="D64" s="55">
        <v>157</v>
      </c>
      <c r="E64" s="55">
        <v>41</v>
      </c>
      <c r="F64" s="55">
        <v>222</v>
      </c>
      <c r="G64" s="55">
        <v>222</v>
      </c>
      <c r="H64" s="55">
        <v>143</v>
      </c>
      <c r="I64" s="55">
        <v>1.41</v>
      </c>
      <c r="J64" s="55">
        <v>1.41</v>
      </c>
      <c r="K64" s="55">
        <v>0.91</v>
      </c>
      <c r="L64" s="55">
        <v>18</v>
      </c>
      <c r="M64" s="54" t="str">
        <f t="shared" si="2"/>
        <v>24+ Months</v>
      </c>
      <c r="N64" s="54" t="str">
        <f t="shared" si="3"/>
        <v>24+ Months</v>
      </c>
      <c r="O64" s="54" t="s">
        <v>6</v>
      </c>
      <c r="P64" s="54">
        <f t="shared" si="4"/>
        <v>198</v>
      </c>
      <c r="Q64">
        <f t="shared" si="0"/>
        <v>0</v>
      </c>
      <c r="R64">
        <f t="shared" si="1"/>
        <v>198</v>
      </c>
    </row>
    <row r="65" spans="1:18" x14ac:dyDescent="0.2">
      <c r="A65" s="54">
        <v>109369</v>
      </c>
      <c r="B65" s="54" t="s">
        <v>423</v>
      </c>
      <c r="C65" s="55">
        <v>94</v>
      </c>
      <c r="D65" s="55">
        <v>86</v>
      </c>
      <c r="E65" s="55">
        <v>40</v>
      </c>
      <c r="F65" s="55">
        <v>60</v>
      </c>
      <c r="G65" s="55">
        <v>60</v>
      </c>
      <c r="H65" s="55">
        <v>45</v>
      </c>
      <c r="I65" s="55">
        <v>0.7</v>
      </c>
      <c r="J65" s="55">
        <v>0.7</v>
      </c>
      <c r="K65" s="55">
        <v>0.52</v>
      </c>
      <c r="L65" s="55">
        <v>54</v>
      </c>
      <c r="M65" s="54" t="str">
        <f t="shared" si="2"/>
        <v>24+ Months</v>
      </c>
      <c r="N65" s="54" t="str">
        <f t="shared" si="3"/>
        <v>24+ Months</v>
      </c>
      <c r="O65" s="54" t="s">
        <v>7</v>
      </c>
      <c r="P65" s="54">
        <f t="shared" si="4"/>
        <v>0</v>
      </c>
      <c r="Q65">
        <f t="shared" si="0"/>
        <v>0</v>
      </c>
      <c r="R65">
        <f t="shared" si="1"/>
        <v>0</v>
      </c>
    </row>
    <row r="66" spans="1:18" x14ac:dyDescent="0.2">
      <c r="A66" s="54">
        <v>110274</v>
      </c>
      <c r="B66" s="54" t="s">
        <v>377</v>
      </c>
      <c r="C66" s="55">
        <v>223</v>
      </c>
      <c r="D66" s="55">
        <v>160</v>
      </c>
      <c r="E66" s="55">
        <v>40</v>
      </c>
      <c r="F66" s="55">
        <v>180</v>
      </c>
      <c r="G66" s="55">
        <v>160</v>
      </c>
      <c r="H66" s="55">
        <v>159</v>
      </c>
      <c r="I66" s="55">
        <v>1.1299999999999999</v>
      </c>
      <c r="J66" s="55">
        <v>1</v>
      </c>
      <c r="K66" s="55">
        <v>0.99</v>
      </c>
      <c r="L66" s="55">
        <v>43</v>
      </c>
      <c r="M66" s="54" t="str">
        <f t="shared" si="2"/>
        <v>24+ Months</v>
      </c>
      <c r="N66" s="54" t="str">
        <f t="shared" si="3"/>
        <v>24+ Months</v>
      </c>
      <c r="O66" s="54" t="s">
        <v>6</v>
      </c>
      <c r="P66" s="54">
        <f t="shared" ref="P66:P129" si="5">IF(I66&gt;=2, C66, IF(J66&gt;=0.75, C66, 0))</f>
        <v>223</v>
      </c>
      <c r="Q66">
        <f t="shared" ref="Q66:Q129" si="6">IF(I66&gt;=2, C66, IF(AND(J66&gt;=0.75, D66&gt;=550), C66, 0))</f>
        <v>0</v>
      </c>
      <c r="R66">
        <f t="shared" ref="R66:R129" si="7">IF(J66&gt;=0.75, C66, 0)</f>
        <v>223</v>
      </c>
    </row>
    <row r="67" spans="1:18" x14ac:dyDescent="0.2">
      <c r="A67" s="54">
        <v>158258</v>
      </c>
      <c r="B67" s="54" t="s">
        <v>361</v>
      </c>
      <c r="C67" s="55">
        <v>250</v>
      </c>
      <c r="D67" s="55">
        <v>223</v>
      </c>
      <c r="E67" s="55">
        <v>40</v>
      </c>
      <c r="F67" s="55">
        <v>66</v>
      </c>
      <c r="G67" s="55">
        <v>66</v>
      </c>
      <c r="H67" s="55">
        <v>25</v>
      </c>
      <c r="I67" s="55">
        <v>0.3</v>
      </c>
      <c r="J67" s="55">
        <v>0.3</v>
      </c>
      <c r="K67" s="55">
        <v>0.11</v>
      </c>
      <c r="L67" s="55">
        <v>106</v>
      </c>
      <c r="M67" s="54" t="str">
        <f t="shared" ref="M67:M130" si="8">IF(E67&lt;6,"0-6 Months", IF(E67&lt;13, "6-12 Months", IF(E67&lt;19, "12-24 Months", IF(E67&lt;25, "12-24 Months", "24+ Months"))))</f>
        <v>24+ Months</v>
      </c>
      <c r="N67" s="54" t="str">
        <f t="shared" ref="N67:N130" si="9">IF(E67&lt;6,"12-18 Months", IF(E67&lt;13, "18-24 Months", "24+ Months"))</f>
        <v>24+ Months</v>
      </c>
      <c r="O67" s="54" t="s">
        <v>6</v>
      </c>
      <c r="P67" s="54">
        <f t="shared" si="5"/>
        <v>0</v>
      </c>
      <c r="Q67">
        <f t="shared" si="6"/>
        <v>0</v>
      </c>
      <c r="R67">
        <f t="shared" si="7"/>
        <v>0</v>
      </c>
    </row>
    <row r="68" spans="1:18" x14ac:dyDescent="0.2">
      <c r="A68" s="54">
        <v>108053</v>
      </c>
      <c r="B68" s="54" t="s">
        <v>77</v>
      </c>
      <c r="C68" s="55">
        <v>267</v>
      </c>
      <c r="D68" s="55">
        <v>243</v>
      </c>
      <c r="E68" s="55">
        <v>40</v>
      </c>
      <c r="F68" s="55">
        <v>2113</v>
      </c>
      <c r="G68" s="55">
        <v>1337</v>
      </c>
      <c r="H68" s="55">
        <v>1177</v>
      </c>
      <c r="I68" s="55">
        <v>8.6999999999999993</v>
      </c>
      <c r="J68" s="55">
        <v>5.5</v>
      </c>
      <c r="K68" s="55">
        <v>4.84</v>
      </c>
      <c r="L68" s="55">
        <v>3</v>
      </c>
      <c r="M68" s="54" t="str">
        <f t="shared" si="8"/>
        <v>24+ Months</v>
      </c>
      <c r="N68" s="54" t="str">
        <f t="shared" si="9"/>
        <v>24+ Months</v>
      </c>
      <c r="O68" s="54" t="s">
        <v>6</v>
      </c>
      <c r="P68" s="54">
        <f t="shared" si="5"/>
        <v>267</v>
      </c>
      <c r="Q68">
        <f t="shared" si="6"/>
        <v>267</v>
      </c>
      <c r="R68">
        <f t="shared" si="7"/>
        <v>267</v>
      </c>
    </row>
    <row r="69" spans="1:18" x14ac:dyDescent="0.2">
      <c r="A69" s="54">
        <v>446518</v>
      </c>
      <c r="B69" s="54" t="s">
        <v>155</v>
      </c>
      <c r="C69" s="55">
        <v>344</v>
      </c>
      <c r="D69" s="55">
        <v>343</v>
      </c>
      <c r="E69" s="55">
        <v>40</v>
      </c>
      <c r="F69" s="55">
        <v>600</v>
      </c>
      <c r="G69" s="55">
        <v>531</v>
      </c>
      <c r="H69" s="55">
        <v>464</v>
      </c>
      <c r="I69" s="55">
        <v>1.75</v>
      </c>
      <c r="J69" s="55">
        <v>1.55</v>
      </c>
      <c r="K69" s="55">
        <v>1.35</v>
      </c>
      <c r="L69" s="55">
        <v>0</v>
      </c>
      <c r="M69" s="54" t="str">
        <f t="shared" si="8"/>
        <v>24+ Months</v>
      </c>
      <c r="N69" s="54" t="str">
        <f t="shared" si="9"/>
        <v>24+ Months</v>
      </c>
      <c r="O69" s="54" t="s">
        <v>6</v>
      </c>
      <c r="P69" s="54">
        <f t="shared" si="5"/>
        <v>344</v>
      </c>
      <c r="Q69">
        <f t="shared" si="6"/>
        <v>0</v>
      </c>
      <c r="R69">
        <f t="shared" si="7"/>
        <v>344</v>
      </c>
    </row>
    <row r="70" spans="1:18" x14ac:dyDescent="0.2">
      <c r="A70" s="54">
        <v>105331</v>
      </c>
      <c r="B70" s="54" t="s">
        <v>542</v>
      </c>
      <c r="C70" s="55">
        <v>480</v>
      </c>
      <c r="D70" s="55">
        <v>487</v>
      </c>
      <c r="E70" s="55">
        <v>40</v>
      </c>
      <c r="F70" s="55">
        <v>6</v>
      </c>
      <c r="G70" s="55">
        <v>0</v>
      </c>
      <c r="H70" s="55">
        <v>0</v>
      </c>
      <c r="I70" s="55">
        <v>0.01</v>
      </c>
      <c r="J70" s="55">
        <v>0</v>
      </c>
      <c r="K70" s="55">
        <v>0</v>
      </c>
      <c r="L70" s="55">
        <v>0</v>
      </c>
      <c r="M70" s="54" t="str">
        <f t="shared" si="8"/>
        <v>24+ Months</v>
      </c>
      <c r="N70" s="54" t="str">
        <f t="shared" si="9"/>
        <v>24+ Months</v>
      </c>
      <c r="O70" s="54" t="s">
        <v>6</v>
      </c>
      <c r="P70" s="54">
        <f t="shared" si="5"/>
        <v>0</v>
      </c>
      <c r="Q70">
        <f t="shared" si="6"/>
        <v>0</v>
      </c>
      <c r="R70">
        <f t="shared" si="7"/>
        <v>0</v>
      </c>
    </row>
    <row r="71" spans="1:18" x14ac:dyDescent="0.2">
      <c r="A71" s="54">
        <v>108109</v>
      </c>
      <c r="B71" s="54" t="s">
        <v>259</v>
      </c>
      <c r="C71" s="55">
        <v>499</v>
      </c>
      <c r="D71" s="55">
        <v>470</v>
      </c>
      <c r="E71" s="55">
        <v>40</v>
      </c>
      <c r="F71" s="55">
        <v>142</v>
      </c>
      <c r="G71" s="55">
        <v>98</v>
      </c>
      <c r="H71" s="55">
        <v>56</v>
      </c>
      <c r="I71" s="55">
        <v>0.3</v>
      </c>
      <c r="J71" s="55">
        <v>0.21</v>
      </c>
      <c r="K71" s="55">
        <v>0.12</v>
      </c>
      <c r="L71" s="55">
        <v>7</v>
      </c>
      <c r="M71" s="54" t="str">
        <f t="shared" si="8"/>
        <v>24+ Months</v>
      </c>
      <c r="N71" s="54" t="str">
        <f t="shared" si="9"/>
        <v>24+ Months</v>
      </c>
      <c r="O71" s="54" t="s">
        <v>6</v>
      </c>
      <c r="P71" s="54">
        <f t="shared" si="5"/>
        <v>0</v>
      </c>
      <c r="Q71">
        <f t="shared" si="6"/>
        <v>0</v>
      </c>
      <c r="R71">
        <f t="shared" si="7"/>
        <v>0</v>
      </c>
    </row>
    <row r="72" spans="1:18" x14ac:dyDescent="0.2">
      <c r="A72" s="54">
        <v>115752</v>
      </c>
      <c r="B72" s="54" t="s">
        <v>651</v>
      </c>
      <c r="C72" s="55">
        <v>60</v>
      </c>
      <c r="D72" s="55">
        <v>130</v>
      </c>
      <c r="E72" s="55">
        <v>39</v>
      </c>
      <c r="F72" s="55">
        <v>0</v>
      </c>
      <c r="G72" s="55">
        <v>0</v>
      </c>
      <c r="H72" s="55">
        <v>0</v>
      </c>
      <c r="I72" s="55">
        <v>0</v>
      </c>
      <c r="J72" s="55">
        <v>0</v>
      </c>
      <c r="K72" s="55">
        <v>0</v>
      </c>
      <c r="L72" s="55">
        <v>0</v>
      </c>
      <c r="M72" s="54" t="str">
        <f t="shared" si="8"/>
        <v>24+ Months</v>
      </c>
      <c r="N72" s="54" t="str">
        <f t="shared" si="9"/>
        <v>24+ Months</v>
      </c>
      <c r="O72" s="54" t="s">
        <v>6</v>
      </c>
      <c r="P72" s="54">
        <f t="shared" si="5"/>
        <v>0</v>
      </c>
      <c r="Q72">
        <f t="shared" si="6"/>
        <v>0</v>
      </c>
      <c r="R72">
        <f t="shared" si="7"/>
        <v>0</v>
      </c>
    </row>
    <row r="73" spans="1:18" x14ac:dyDescent="0.2">
      <c r="A73" s="54">
        <v>143890</v>
      </c>
      <c r="B73" s="54" t="s">
        <v>602</v>
      </c>
      <c r="C73" s="55">
        <v>670</v>
      </c>
      <c r="D73" s="55">
        <v>550</v>
      </c>
      <c r="E73" s="55">
        <v>39</v>
      </c>
      <c r="F73" s="55">
        <v>2</v>
      </c>
      <c r="G73" s="55">
        <v>0</v>
      </c>
      <c r="H73" s="55">
        <v>0</v>
      </c>
      <c r="I73" s="55">
        <v>0</v>
      </c>
      <c r="J73" s="55">
        <v>0</v>
      </c>
      <c r="K73" s="55">
        <v>0</v>
      </c>
      <c r="L73" s="55">
        <v>0</v>
      </c>
      <c r="M73" s="54" t="str">
        <f t="shared" si="8"/>
        <v>24+ Months</v>
      </c>
      <c r="N73" s="54" t="str">
        <f t="shared" si="9"/>
        <v>24+ Months</v>
      </c>
      <c r="O73" s="54" t="s">
        <v>5</v>
      </c>
      <c r="P73" s="54">
        <f t="shared" si="5"/>
        <v>0</v>
      </c>
      <c r="Q73">
        <f t="shared" si="6"/>
        <v>0</v>
      </c>
      <c r="R73">
        <f t="shared" si="7"/>
        <v>0</v>
      </c>
    </row>
    <row r="74" spans="1:18" x14ac:dyDescent="0.2">
      <c r="A74" s="54">
        <v>107174</v>
      </c>
      <c r="B74" s="54" t="s">
        <v>611</v>
      </c>
      <c r="C74" s="55">
        <v>34</v>
      </c>
      <c r="D74" s="55">
        <v>38</v>
      </c>
      <c r="E74" s="55">
        <v>38</v>
      </c>
      <c r="F74" s="55">
        <v>20</v>
      </c>
      <c r="G74" s="55">
        <v>1</v>
      </c>
      <c r="H74" s="55">
        <v>0</v>
      </c>
      <c r="I74" s="55">
        <v>0.53</v>
      </c>
      <c r="J74" s="55">
        <v>0.03</v>
      </c>
      <c r="K74" s="55">
        <v>0</v>
      </c>
      <c r="L74" s="55">
        <v>7</v>
      </c>
      <c r="M74" s="54" t="str">
        <f t="shared" si="8"/>
        <v>24+ Months</v>
      </c>
      <c r="N74" s="54" t="str">
        <f t="shared" si="9"/>
        <v>24+ Months</v>
      </c>
      <c r="O74" s="54" t="s">
        <v>7</v>
      </c>
      <c r="P74" s="54">
        <f t="shared" si="5"/>
        <v>0</v>
      </c>
      <c r="Q74">
        <f t="shared" si="6"/>
        <v>0</v>
      </c>
      <c r="R74">
        <f t="shared" si="7"/>
        <v>0</v>
      </c>
    </row>
    <row r="75" spans="1:18" x14ac:dyDescent="0.2">
      <c r="A75" s="54">
        <v>109610</v>
      </c>
      <c r="B75" s="54" t="s">
        <v>320</v>
      </c>
      <c r="C75" s="55">
        <v>38</v>
      </c>
      <c r="D75" s="55">
        <v>300</v>
      </c>
      <c r="E75" s="55">
        <v>38</v>
      </c>
      <c r="F75" s="55">
        <v>138</v>
      </c>
      <c r="G75" s="55">
        <v>125</v>
      </c>
      <c r="H75" s="55">
        <v>100</v>
      </c>
      <c r="I75" s="55">
        <v>0.46</v>
      </c>
      <c r="J75" s="55">
        <v>0.42</v>
      </c>
      <c r="K75" s="55">
        <v>0.33</v>
      </c>
      <c r="L75" s="55">
        <v>86</v>
      </c>
      <c r="M75" s="54" t="str">
        <f t="shared" si="8"/>
        <v>24+ Months</v>
      </c>
      <c r="N75" s="54" t="str">
        <f t="shared" si="9"/>
        <v>24+ Months</v>
      </c>
      <c r="O75" s="54" t="s">
        <v>6</v>
      </c>
      <c r="P75" s="54">
        <f t="shared" si="5"/>
        <v>0</v>
      </c>
      <c r="Q75">
        <f t="shared" si="6"/>
        <v>0</v>
      </c>
      <c r="R75">
        <f t="shared" si="7"/>
        <v>0</v>
      </c>
    </row>
    <row r="76" spans="1:18" x14ac:dyDescent="0.2">
      <c r="A76" s="54">
        <v>113455</v>
      </c>
      <c r="B76" s="54" t="s">
        <v>647</v>
      </c>
      <c r="C76" s="55">
        <v>42</v>
      </c>
      <c r="D76" s="55">
        <v>35</v>
      </c>
      <c r="E76" s="55">
        <v>38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4" t="str">
        <f t="shared" si="8"/>
        <v>24+ Months</v>
      </c>
      <c r="N76" s="54" t="str">
        <f t="shared" si="9"/>
        <v>24+ Months</v>
      </c>
      <c r="O76" s="54" t="s">
        <v>7</v>
      </c>
      <c r="P76" s="54">
        <f t="shared" si="5"/>
        <v>0</v>
      </c>
      <c r="Q76">
        <f t="shared" si="6"/>
        <v>0</v>
      </c>
      <c r="R76">
        <f t="shared" si="7"/>
        <v>0</v>
      </c>
    </row>
    <row r="77" spans="1:18" x14ac:dyDescent="0.2">
      <c r="A77" s="54">
        <v>201477</v>
      </c>
      <c r="B77" s="54" t="s">
        <v>392</v>
      </c>
      <c r="C77" s="55">
        <v>52</v>
      </c>
      <c r="D77" s="55">
        <v>55</v>
      </c>
      <c r="E77" s="55">
        <v>38</v>
      </c>
      <c r="F77" s="55">
        <v>101</v>
      </c>
      <c r="G77" s="55">
        <v>101</v>
      </c>
      <c r="H77" s="55">
        <v>100</v>
      </c>
      <c r="I77" s="55">
        <v>1.84</v>
      </c>
      <c r="J77" s="55">
        <v>1.84</v>
      </c>
      <c r="K77" s="55">
        <v>1.82</v>
      </c>
      <c r="L77" s="55">
        <v>36</v>
      </c>
      <c r="M77" s="54" t="str">
        <f t="shared" si="8"/>
        <v>24+ Months</v>
      </c>
      <c r="N77" s="54" t="str">
        <f t="shared" si="9"/>
        <v>24+ Months</v>
      </c>
      <c r="O77" s="54" t="s">
        <v>7</v>
      </c>
      <c r="P77" s="54">
        <f t="shared" si="5"/>
        <v>52</v>
      </c>
      <c r="Q77">
        <f t="shared" si="6"/>
        <v>0</v>
      </c>
      <c r="R77">
        <f t="shared" si="7"/>
        <v>52</v>
      </c>
    </row>
    <row r="78" spans="1:18" x14ac:dyDescent="0.2">
      <c r="A78" s="54">
        <v>107092</v>
      </c>
      <c r="B78" s="54" t="s">
        <v>69</v>
      </c>
      <c r="C78" s="55">
        <v>570</v>
      </c>
      <c r="D78" s="55">
        <v>790</v>
      </c>
      <c r="E78" s="55">
        <v>38</v>
      </c>
      <c r="F78" s="55">
        <v>1470</v>
      </c>
      <c r="G78" s="55">
        <v>1222</v>
      </c>
      <c r="H78" s="55">
        <v>86</v>
      </c>
      <c r="I78" s="55">
        <v>1.86</v>
      </c>
      <c r="J78" s="55">
        <v>1.55</v>
      </c>
      <c r="K78" s="55">
        <v>0.11</v>
      </c>
      <c r="L78" s="55">
        <v>11</v>
      </c>
      <c r="M78" s="54" t="str">
        <f t="shared" si="8"/>
        <v>24+ Months</v>
      </c>
      <c r="N78" s="54" t="str">
        <f t="shared" si="9"/>
        <v>24+ Months</v>
      </c>
      <c r="O78" s="54" t="s">
        <v>5</v>
      </c>
      <c r="P78" s="54">
        <f t="shared" si="5"/>
        <v>570</v>
      </c>
      <c r="Q78">
        <f t="shared" si="6"/>
        <v>570</v>
      </c>
      <c r="R78">
        <f t="shared" si="7"/>
        <v>570</v>
      </c>
    </row>
    <row r="79" spans="1:18" x14ac:dyDescent="0.2">
      <c r="A79" s="54">
        <v>512963</v>
      </c>
      <c r="B79" s="54" t="s">
        <v>605</v>
      </c>
      <c r="C79" s="55">
        <v>30</v>
      </c>
      <c r="D79" s="55">
        <v>16</v>
      </c>
      <c r="E79" s="55">
        <v>37</v>
      </c>
      <c r="F79" s="55">
        <v>5</v>
      </c>
      <c r="G79" s="55">
        <v>0</v>
      </c>
      <c r="H79" s="55">
        <v>0</v>
      </c>
      <c r="I79" s="55">
        <v>0.16</v>
      </c>
      <c r="J79" s="55">
        <v>0</v>
      </c>
      <c r="K79" s="55">
        <v>0</v>
      </c>
      <c r="L79" s="55">
        <v>0</v>
      </c>
      <c r="M79" s="54" t="str">
        <f t="shared" si="8"/>
        <v>24+ Months</v>
      </c>
      <c r="N79" s="54" t="str">
        <f t="shared" si="9"/>
        <v>24+ Months</v>
      </c>
      <c r="O79" s="54" t="s">
        <v>7</v>
      </c>
      <c r="P79" s="54">
        <f t="shared" si="5"/>
        <v>0</v>
      </c>
      <c r="Q79">
        <f t="shared" si="6"/>
        <v>0</v>
      </c>
      <c r="R79">
        <f t="shared" si="7"/>
        <v>0</v>
      </c>
    </row>
    <row r="80" spans="1:18" x14ac:dyDescent="0.2">
      <c r="A80" s="54">
        <v>112745</v>
      </c>
      <c r="B80" s="54" t="s">
        <v>591</v>
      </c>
      <c r="C80" s="55">
        <v>46</v>
      </c>
      <c r="D80" s="55">
        <v>47</v>
      </c>
      <c r="E80" s="55">
        <v>37</v>
      </c>
      <c r="F80" s="55">
        <v>230</v>
      </c>
      <c r="G80" s="55">
        <v>230</v>
      </c>
      <c r="H80" s="55">
        <v>230</v>
      </c>
      <c r="I80" s="55">
        <v>4.8899999999999997</v>
      </c>
      <c r="J80" s="55">
        <v>4.8899999999999997</v>
      </c>
      <c r="K80" s="55">
        <v>4.8899999999999997</v>
      </c>
      <c r="L80" s="55">
        <v>0</v>
      </c>
      <c r="M80" s="54" t="str">
        <f t="shared" si="8"/>
        <v>24+ Months</v>
      </c>
      <c r="N80" s="54" t="str">
        <f t="shared" si="9"/>
        <v>24+ Months</v>
      </c>
      <c r="O80" s="54" t="s">
        <v>7</v>
      </c>
      <c r="P80" s="54">
        <f t="shared" si="5"/>
        <v>46</v>
      </c>
      <c r="Q80">
        <f t="shared" si="6"/>
        <v>46</v>
      </c>
      <c r="R80">
        <f t="shared" si="7"/>
        <v>46</v>
      </c>
    </row>
    <row r="81" spans="1:18" x14ac:dyDescent="0.2">
      <c r="A81" s="54">
        <v>189441</v>
      </c>
      <c r="B81" s="54" t="s">
        <v>497</v>
      </c>
      <c r="C81" s="55">
        <v>50</v>
      </c>
      <c r="D81" s="55">
        <v>82</v>
      </c>
      <c r="E81" s="55">
        <v>37</v>
      </c>
      <c r="F81" s="55">
        <v>35</v>
      </c>
      <c r="G81" s="55">
        <v>9</v>
      </c>
      <c r="H81" s="55">
        <v>5</v>
      </c>
      <c r="I81" s="55">
        <v>0.43</v>
      </c>
      <c r="J81" s="55">
        <v>0.11</v>
      </c>
      <c r="K81" s="55">
        <v>0.06</v>
      </c>
      <c r="L81" s="55">
        <v>18</v>
      </c>
      <c r="M81" s="54" t="str">
        <f t="shared" si="8"/>
        <v>24+ Months</v>
      </c>
      <c r="N81" s="54" t="str">
        <f t="shared" si="9"/>
        <v>24+ Months</v>
      </c>
      <c r="O81" s="54" t="s">
        <v>7</v>
      </c>
      <c r="P81" s="54">
        <f t="shared" si="5"/>
        <v>0</v>
      </c>
      <c r="Q81">
        <f t="shared" si="6"/>
        <v>0</v>
      </c>
      <c r="R81">
        <f t="shared" si="7"/>
        <v>0</v>
      </c>
    </row>
    <row r="82" spans="1:18" x14ac:dyDescent="0.2">
      <c r="A82" s="54">
        <v>106698</v>
      </c>
      <c r="B82" s="54" t="s">
        <v>113</v>
      </c>
      <c r="C82" s="55">
        <v>166</v>
      </c>
      <c r="D82" s="55">
        <v>169</v>
      </c>
      <c r="E82" s="55">
        <v>37</v>
      </c>
      <c r="F82" s="55">
        <v>915</v>
      </c>
      <c r="G82" s="55">
        <v>222</v>
      </c>
      <c r="H82" s="55">
        <v>23</v>
      </c>
      <c r="I82" s="55">
        <v>5.41</v>
      </c>
      <c r="J82" s="55">
        <v>1.31</v>
      </c>
      <c r="K82" s="55">
        <v>0.14000000000000001</v>
      </c>
      <c r="L82" s="55">
        <v>274</v>
      </c>
      <c r="M82" s="54" t="str">
        <f t="shared" si="8"/>
        <v>24+ Months</v>
      </c>
      <c r="N82" s="54" t="str">
        <f t="shared" si="9"/>
        <v>24+ Months</v>
      </c>
      <c r="O82" s="54" t="s">
        <v>6</v>
      </c>
      <c r="P82" s="54">
        <f t="shared" si="5"/>
        <v>166</v>
      </c>
      <c r="Q82">
        <f t="shared" si="6"/>
        <v>166</v>
      </c>
      <c r="R82">
        <f t="shared" si="7"/>
        <v>166</v>
      </c>
    </row>
    <row r="83" spans="1:18" x14ac:dyDescent="0.2">
      <c r="A83" s="54">
        <v>107397</v>
      </c>
      <c r="B83" s="54" t="s">
        <v>308</v>
      </c>
      <c r="C83" s="55">
        <v>673</v>
      </c>
      <c r="D83" s="55">
        <v>857</v>
      </c>
      <c r="E83" s="55">
        <v>37</v>
      </c>
      <c r="F83" s="55">
        <v>96</v>
      </c>
      <c r="G83" s="55">
        <v>19</v>
      </c>
      <c r="H83" s="55">
        <v>16</v>
      </c>
      <c r="I83" s="55">
        <v>0.11</v>
      </c>
      <c r="J83" s="55">
        <v>0.02</v>
      </c>
      <c r="K83" s="55">
        <v>0.02</v>
      </c>
      <c r="L83" s="55">
        <v>37</v>
      </c>
      <c r="M83" s="54" t="str">
        <f t="shared" si="8"/>
        <v>24+ Months</v>
      </c>
      <c r="N83" s="54" t="str">
        <f t="shared" si="9"/>
        <v>24+ Months</v>
      </c>
      <c r="O83" s="54" t="s">
        <v>5</v>
      </c>
      <c r="P83" s="54">
        <f t="shared" si="5"/>
        <v>0</v>
      </c>
      <c r="Q83">
        <f t="shared" si="6"/>
        <v>0</v>
      </c>
      <c r="R83">
        <f t="shared" si="7"/>
        <v>0</v>
      </c>
    </row>
    <row r="84" spans="1:18" x14ac:dyDescent="0.2">
      <c r="A84" s="54">
        <v>488474</v>
      </c>
      <c r="B84" s="54" t="s">
        <v>663</v>
      </c>
      <c r="C84" s="55">
        <v>8</v>
      </c>
      <c r="D84" s="55">
        <v>7</v>
      </c>
      <c r="E84" s="55">
        <v>36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4" t="str">
        <f t="shared" si="8"/>
        <v>24+ Months</v>
      </c>
      <c r="N84" s="54" t="str">
        <f t="shared" si="9"/>
        <v>24+ Months</v>
      </c>
      <c r="O84" s="54" t="s">
        <v>7</v>
      </c>
      <c r="P84" s="54">
        <f t="shared" si="5"/>
        <v>0</v>
      </c>
      <c r="Q84">
        <f t="shared" si="6"/>
        <v>0</v>
      </c>
      <c r="R84">
        <f t="shared" si="7"/>
        <v>0</v>
      </c>
    </row>
    <row r="85" spans="1:18" x14ac:dyDescent="0.2">
      <c r="A85" s="54">
        <v>109105</v>
      </c>
      <c r="B85" s="54" t="s">
        <v>627</v>
      </c>
      <c r="C85" s="55">
        <v>24</v>
      </c>
      <c r="D85" s="55">
        <v>27</v>
      </c>
      <c r="E85" s="55">
        <v>36</v>
      </c>
      <c r="F85" s="55">
        <v>0</v>
      </c>
      <c r="G85" s="55">
        <v>0</v>
      </c>
      <c r="H85" s="55">
        <v>0</v>
      </c>
      <c r="I85" s="55">
        <v>0</v>
      </c>
      <c r="J85" s="55">
        <v>0</v>
      </c>
      <c r="K85" s="55">
        <v>0</v>
      </c>
      <c r="L85" s="55">
        <v>18</v>
      </c>
      <c r="M85" s="54" t="str">
        <f t="shared" si="8"/>
        <v>24+ Months</v>
      </c>
      <c r="N85" s="54" t="str">
        <f t="shared" si="9"/>
        <v>24+ Months</v>
      </c>
      <c r="O85" s="54" t="s">
        <v>7</v>
      </c>
      <c r="P85" s="54">
        <f t="shared" si="5"/>
        <v>0</v>
      </c>
      <c r="Q85">
        <f t="shared" si="6"/>
        <v>0</v>
      </c>
      <c r="R85">
        <f t="shared" si="7"/>
        <v>0</v>
      </c>
    </row>
    <row r="86" spans="1:18" x14ac:dyDescent="0.2">
      <c r="A86" s="54">
        <v>177293</v>
      </c>
      <c r="B86" s="54" t="s">
        <v>581</v>
      </c>
      <c r="C86" s="55">
        <v>46</v>
      </c>
      <c r="D86" s="55">
        <v>44</v>
      </c>
      <c r="E86" s="55">
        <v>36</v>
      </c>
      <c r="F86" s="55">
        <v>5</v>
      </c>
      <c r="G86" s="55">
        <v>5</v>
      </c>
      <c r="H86" s="55">
        <v>5</v>
      </c>
      <c r="I86" s="55">
        <v>0.11</v>
      </c>
      <c r="J86" s="55">
        <v>0.11</v>
      </c>
      <c r="K86" s="55">
        <v>0.11</v>
      </c>
      <c r="L86" s="55">
        <v>25</v>
      </c>
      <c r="M86" s="54" t="str">
        <f t="shared" si="8"/>
        <v>24+ Months</v>
      </c>
      <c r="N86" s="54" t="str">
        <f t="shared" si="9"/>
        <v>24+ Months</v>
      </c>
      <c r="O86" s="54" t="s">
        <v>7</v>
      </c>
      <c r="P86" s="54">
        <f t="shared" si="5"/>
        <v>0</v>
      </c>
      <c r="Q86">
        <f t="shared" si="6"/>
        <v>0</v>
      </c>
      <c r="R86">
        <f t="shared" si="7"/>
        <v>0</v>
      </c>
    </row>
    <row r="87" spans="1:18" x14ac:dyDescent="0.2">
      <c r="A87" s="54">
        <v>107126</v>
      </c>
      <c r="B87" s="54" t="s">
        <v>338</v>
      </c>
      <c r="C87" s="55">
        <v>129</v>
      </c>
      <c r="D87" s="55">
        <v>120</v>
      </c>
      <c r="E87" s="55">
        <v>36</v>
      </c>
      <c r="F87" s="55">
        <v>96</v>
      </c>
      <c r="G87" s="55">
        <v>83</v>
      </c>
      <c r="H87" s="55">
        <v>58</v>
      </c>
      <c r="I87" s="55">
        <v>0.8</v>
      </c>
      <c r="J87" s="55">
        <v>0.69</v>
      </c>
      <c r="K87" s="55">
        <v>0.48</v>
      </c>
      <c r="L87" s="55">
        <v>1</v>
      </c>
      <c r="M87" s="54" t="str">
        <f t="shared" si="8"/>
        <v>24+ Months</v>
      </c>
      <c r="N87" s="54" t="str">
        <f t="shared" si="9"/>
        <v>24+ Months</v>
      </c>
      <c r="O87" s="54" t="s">
        <v>6</v>
      </c>
      <c r="P87" s="54">
        <f t="shared" si="5"/>
        <v>0</v>
      </c>
      <c r="Q87">
        <f t="shared" si="6"/>
        <v>0</v>
      </c>
      <c r="R87">
        <f t="shared" si="7"/>
        <v>0</v>
      </c>
    </row>
    <row r="88" spans="1:18" x14ac:dyDescent="0.2">
      <c r="A88" s="54">
        <v>105721</v>
      </c>
      <c r="B88" s="54" t="s">
        <v>438</v>
      </c>
      <c r="C88" s="55">
        <v>142</v>
      </c>
      <c r="D88" s="55">
        <v>132</v>
      </c>
      <c r="E88" s="55">
        <v>36</v>
      </c>
      <c r="F88" s="55">
        <v>18</v>
      </c>
      <c r="G88" s="55">
        <v>9</v>
      </c>
      <c r="H88" s="55">
        <v>9</v>
      </c>
      <c r="I88" s="55">
        <v>0.14000000000000001</v>
      </c>
      <c r="J88" s="55">
        <v>7.0000000000000007E-2</v>
      </c>
      <c r="K88" s="55">
        <v>7.0000000000000007E-2</v>
      </c>
      <c r="L88" s="55">
        <v>51</v>
      </c>
      <c r="M88" s="54" t="str">
        <f t="shared" si="8"/>
        <v>24+ Months</v>
      </c>
      <c r="N88" s="54" t="str">
        <f t="shared" si="9"/>
        <v>24+ Months</v>
      </c>
      <c r="O88" s="54" t="s">
        <v>6</v>
      </c>
      <c r="P88" s="54">
        <f t="shared" si="5"/>
        <v>0</v>
      </c>
      <c r="Q88">
        <f t="shared" si="6"/>
        <v>0</v>
      </c>
      <c r="R88">
        <f t="shared" si="7"/>
        <v>0</v>
      </c>
    </row>
    <row r="89" spans="1:18" x14ac:dyDescent="0.2">
      <c r="A89" s="54">
        <v>108481</v>
      </c>
      <c r="B89" s="54" t="s">
        <v>563</v>
      </c>
      <c r="C89" s="55">
        <v>2000</v>
      </c>
      <c r="D89" s="55">
        <v>4700</v>
      </c>
      <c r="E89" s="55">
        <v>36</v>
      </c>
      <c r="F89" s="55">
        <v>9</v>
      </c>
      <c r="G89" s="55">
        <v>7</v>
      </c>
      <c r="H89" s="55">
        <v>2</v>
      </c>
      <c r="I89" s="55">
        <v>0</v>
      </c>
      <c r="J89" s="55">
        <v>0</v>
      </c>
      <c r="K89" s="55">
        <v>0</v>
      </c>
      <c r="L89" s="55">
        <v>10</v>
      </c>
      <c r="M89" s="54" t="str">
        <f t="shared" si="8"/>
        <v>24+ Months</v>
      </c>
      <c r="N89" s="54" t="str">
        <f t="shared" si="9"/>
        <v>24+ Months</v>
      </c>
      <c r="O89" s="54" t="s">
        <v>5</v>
      </c>
      <c r="P89" s="54">
        <f t="shared" si="5"/>
        <v>0</v>
      </c>
      <c r="Q89">
        <f t="shared" si="6"/>
        <v>0</v>
      </c>
      <c r="R89">
        <f t="shared" si="7"/>
        <v>0</v>
      </c>
    </row>
    <row r="90" spans="1:18" x14ac:dyDescent="0.2">
      <c r="A90" s="54">
        <v>116153</v>
      </c>
      <c r="B90" s="54" t="s">
        <v>489</v>
      </c>
      <c r="C90" s="55">
        <v>37</v>
      </c>
      <c r="D90" s="55">
        <v>36</v>
      </c>
      <c r="E90" s="55">
        <v>35</v>
      </c>
      <c r="F90" s="55">
        <v>21</v>
      </c>
      <c r="G90" s="55">
        <v>21</v>
      </c>
      <c r="H90" s="55">
        <v>21</v>
      </c>
      <c r="I90" s="55">
        <v>0.57999999999999996</v>
      </c>
      <c r="J90" s="55">
        <v>0.57999999999999996</v>
      </c>
      <c r="K90" s="55">
        <v>0.57999999999999996</v>
      </c>
      <c r="L90" s="55">
        <v>3</v>
      </c>
      <c r="M90" s="54" t="str">
        <f t="shared" si="8"/>
        <v>24+ Months</v>
      </c>
      <c r="N90" s="54" t="str">
        <f t="shared" si="9"/>
        <v>24+ Months</v>
      </c>
      <c r="O90" s="54" t="s">
        <v>7</v>
      </c>
      <c r="P90" s="54">
        <f t="shared" si="5"/>
        <v>0</v>
      </c>
      <c r="Q90">
        <f t="shared" si="6"/>
        <v>0</v>
      </c>
      <c r="R90">
        <f t="shared" si="7"/>
        <v>0</v>
      </c>
    </row>
    <row r="91" spans="1:18" x14ac:dyDescent="0.2">
      <c r="A91" s="54">
        <v>160259</v>
      </c>
      <c r="B91" s="54" t="s">
        <v>282</v>
      </c>
      <c r="C91" s="55">
        <v>84</v>
      </c>
      <c r="D91" s="55">
        <v>77</v>
      </c>
      <c r="E91" s="55">
        <v>35</v>
      </c>
      <c r="F91" s="55">
        <v>153</v>
      </c>
      <c r="G91" s="55">
        <v>135</v>
      </c>
      <c r="H91" s="55">
        <v>0</v>
      </c>
      <c r="I91" s="55">
        <v>1.99</v>
      </c>
      <c r="J91" s="55">
        <v>1.75</v>
      </c>
      <c r="K91" s="55">
        <v>0</v>
      </c>
      <c r="L91" s="55">
        <v>12</v>
      </c>
      <c r="M91" s="54" t="str">
        <f t="shared" si="8"/>
        <v>24+ Months</v>
      </c>
      <c r="N91" s="54" t="str">
        <f t="shared" si="9"/>
        <v>24+ Months</v>
      </c>
      <c r="O91" s="54" t="s">
        <v>7</v>
      </c>
      <c r="P91" s="54">
        <f t="shared" si="5"/>
        <v>84</v>
      </c>
      <c r="Q91">
        <f t="shared" si="6"/>
        <v>0</v>
      </c>
      <c r="R91">
        <f t="shared" si="7"/>
        <v>84</v>
      </c>
    </row>
    <row r="92" spans="1:18" x14ac:dyDescent="0.2">
      <c r="A92" s="54">
        <v>110619</v>
      </c>
      <c r="B92" s="54" t="s">
        <v>79</v>
      </c>
      <c r="C92" s="55">
        <v>375</v>
      </c>
      <c r="D92" s="55">
        <v>286</v>
      </c>
      <c r="E92" s="55">
        <v>35</v>
      </c>
      <c r="F92" s="55">
        <v>1893</v>
      </c>
      <c r="G92" s="55">
        <v>1296</v>
      </c>
      <c r="H92" s="55">
        <v>973</v>
      </c>
      <c r="I92" s="55">
        <v>6.62</v>
      </c>
      <c r="J92" s="55">
        <v>4.53</v>
      </c>
      <c r="K92" s="55">
        <v>3.4</v>
      </c>
      <c r="L92" s="55">
        <v>174</v>
      </c>
      <c r="M92" s="54" t="str">
        <f t="shared" si="8"/>
        <v>24+ Months</v>
      </c>
      <c r="N92" s="54" t="str">
        <f t="shared" si="9"/>
        <v>24+ Months</v>
      </c>
      <c r="O92" s="54" t="s">
        <v>6</v>
      </c>
      <c r="P92" s="54">
        <f t="shared" si="5"/>
        <v>375</v>
      </c>
      <c r="Q92">
        <f t="shared" si="6"/>
        <v>375</v>
      </c>
      <c r="R92">
        <f t="shared" si="7"/>
        <v>375</v>
      </c>
    </row>
    <row r="93" spans="1:18" x14ac:dyDescent="0.2">
      <c r="A93" s="54">
        <v>108380</v>
      </c>
      <c r="B93" s="54" t="s">
        <v>679</v>
      </c>
      <c r="C93" s="55">
        <v>1</v>
      </c>
      <c r="D93" s="55">
        <v>26</v>
      </c>
      <c r="E93" s="55">
        <v>34</v>
      </c>
      <c r="F93" s="55">
        <v>0</v>
      </c>
      <c r="G93" s="55">
        <v>0</v>
      </c>
      <c r="H93" s="55">
        <v>0</v>
      </c>
      <c r="I93" s="55">
        <v>0</v>
      </c>
      <c r="J93" s="55">
        <v>0</v>
      </c>
      <c r="K93" s="55">
        <v>0</v>
      </c>
      <c r="L93" s="55">
        <v>0</v>
      </c>
      <c r="M93" s="54" t="str">
        <f t="shared" si="8"/>
        <v>24+ Months</v>
      </c>
      <c r="N93" s="54" t="str">
        <f t="shared" si="9"/>
        <v>24+ Months</v>
      </c>
      <c r="O93" s="54" t="s">
        <v>7</v>
      </c>
      <c r="P93" s="54">
        <f t="shared" si="5"/>
        <v>0</v>
      </c>
      <c r="Q93">
        <f t="shared" si="6"/>
        <v>0</v>
      </c>
      <c r="R93">
        <f t="shared" si="7"/>
        <v>0</v>
      </c>
    </row>
    <row r="94" spans="1:18" x14ac:dyDescent="0.2">
      <c r="A94" s="54">
        <v>108412</v>
      </c>
      <c r="B94" s="54" t="s">
        <v>436</v>
      </c>
      <c r="C94" s="55">
        <v>93</v>
      </c>
      <c r="D94" s="55">
        <v>205</v>
      </c>
      <c r="E94" s="55">
        <v>34</v>
      </c>
      <c r="F94" s="55">
        <v>38</v>
      </c>
      <c r="G94" s="55">
        <v>11</v>
      </c>
      <c r="H94" s="55">
        <v>4</v>
      </c>
      <c r="I94" s="55">
        <v>0.19</v>
      </c>
      <c r="J94" s="55">
        <v>0.05</v>
      </c>
      <c r="K94" s="55">
        <v>0.02</v>
      </c>
      <c r="L94" s="55">
        <v>39</v>
      </c>
      <c r="M94" s="54" t="str">
        <f t="shared" si="8"/>
        <v>24+ Months</v>
      </c>
      <c r="N94" s="54" t="str">
        <f t="shared" si="9"/>
        <v>24+ Months</v>
      </c>
      <c r="O94" s="54" t="s">
        <v>6</v>
      </c>
      <c r="P94" s="54">
        <f t="shared" si="5"/>
        <v>0</v>
      </c>
      <c r="Q94">
        <f t="shared" si="6"/>
        <v>0</v>
      </c>
      <c r="R94">
        <f t="shared" si="7"/>
        <v>0</v>
      </c>
    </row>
    <row r="95" spans="1:18" x14ac:dyDescent="0.2">
      <c r="A95" s="54">
        <v>106199</v>
      </c>
      <c r="B95" s="54" t="s">
        <v>587</v>
      </c>
      <c r="C95" s="55">
        <v>109</v>
      </c>
      <c r="D95" s="55">
        <v>62</v>
      </c>
      <c r="E95" s="55">
        <v>34</v>
      </c>
      <c r="F95" s="55">
        <v>11</v>
      </c>
      <c r="G95" s="55">
        <v>11</v>
      </c>
      <c r="H95" s="55">
        <v>7</v>
      </c>
      <c r="I95" s="55">
        <v>0.18</v>
      </c>
      <c r="J95" s="55">
        <v>0.18</v>
      </c>
      <c r="K95" s="55">
        <v>0.11</v>
      </c>
      <c r="L95" s="55">
        <v>2</v>
      </c>
      <c r="M95" s="54" t="str">
        <f t="shared" si="8"/>
        <v>24+ Months</v>
      </c>
      <c r="N95" s="54" t="str">
        <f t="shared" si="9"/>
        <v>24+ Months</v>
      </c>
      <c r="O95" s="54" t="s">
        <v>7</v>
      </c>
      <c r="P95" s="54">
        <f t="shared" si="5"/>
        <v>0</v>
      </c>
      <c r="Q95">
        <f t="shared" si="6"/>
        <v>0</v>
      </c>
      <c r="R95">
        <f t="shared" si="7"/>
        <v>0</v>
      </c>
    </row>
    <row r="96" spans="1:18" x14ac:dyDescent="0.2">
      <c r="A96" s="54">
        <v>109160</v>
      </c>
      <c r="B96" s="54" t="s">
        <v>153</v>
      </c>
      <c r="C96" s="55">
        <v>120</v>
      </c>
      <c r="D96" s="55">
        <v>1450</v>
      </c>
      <c r="E96" s="55">
        <v>34</v>
      </c>
      <c r="F96" s="55">
        <v>1320</v>
      </c>
      <c r="G96" s="55">
        <v>432</v>
      </c>
      <c r="H96" s="55">
        <v>72</v>
      </c>
      <c r="I96" s="55">
        <v>0.91</v>
      </c>
      <c r="J96" s="55">
        <v>0.3</v>
      </c>
      <c r="K96" s="55">
        <v>0.05</v>
      </c>
      <c r="L96" s="55">
        <v>146</v>
      </c>
      <c r="M96" s="54" t="str">
        <f t="shared" si="8"/>
        <v>24+ Months</v>
      </c>
      <c r="N96" s="54" t="str">
        <f t="shared" si="9"/>
        <v>24+ Months</v>
      </c>
      <c r="O96" s="54" t="s">
        <v>5</v>
      </c>
      <c r="P96" s="54">
        <f t="shared" si="5"/>
        <v>0</v>
      </c>
      <c r="Q96">
        <f t="shared" si="6"/>
        <v>0</v>
      </c>
      <c r="R96">
        <f t="shared" si="7"/>
        <v>0</v>
      </c>
    </row>
    <row r="97" spans="1:18" x14ac:dyDescent="0.2">
      <c r="A97" s="54">
        <v>106575</v>
      </c>
      <c r="B97" s="54" t="s">
        <v>644</v>
      </c>
      <c r="C97" s="55">
        <v>142</v>
      </c>
      <c r="D97" s="55">
        <v>166</v>
      </c>
      <c r="E97" s="55">
        <v>34</v>
      </c>
      <c r="F97" s="55">
        <v>0</v>
      </c>
      <c r="G97" s="55">
        <v>0</v>
      </c>
      <c r="H97" s="55">
        <v>0</v>
      </c>
      <c r="I97" s="55">
        <v>0</v>
      </c>
      <c r="J97" s="55">
        <v>0</v>
      </c>
      <c r="K97" s="55">
        <v>0</v>
      </c>
      <c r="L97" s="55">
        <v>0</v>
      </c>
      <c r="M97" s="54" t="str">
        <f t="shared" si="8"/>
        <v>24+ Months</v>
      </c>
      <c r="N97" s="54" t="str">
        <f t="shared" si="9"/>
        <v>24+ Months</v>
      </c>
      <c r="O97" s="54" t="s">
        <v>6</v>
      </c>
      <c r="P97" s="54">
        <f t="shared" si="5"/>
        <v>0</v>
      </c>
      <c r="Q97">
        <f t="shared" si="6"/>
        <v>0</v>
      </c>
      <c r="R97">
        <f t="shared" si="7"/>
        <v>0</v>
      </c>
    </row>
    <row r="98" spans="1:18" x14ac:dyDescent="0.2">
      <c r="A98" s="54">
        <v>157071</v>
      </c>
      <c r="B98" s="54" t="s">
        <v>133</v>
      </c>
      <c r="C98" s="55">
        <v>151</v>
      </c>
      <c r="D98" s="55">
        <v>140</v>
      </c>
      <c r="E98" s="55">
        <v>34</v>
      </c>
      <c r="F98" s="55">
        <v>674</v>
      </c>
      <c r="G98" s="55">
        <v>35</v>
      </c>
      <c r="H98" s="55">
        <v>27</v>
      </c>
      <c r="I98" s="55">
        <v>4.8099999999999996</v>
      </c>
      <c r="J98" s="55">
        <v>0.25</v>
      </c>
      <c r="K98" s="55">
        <v>0.19</v>
      </c>
      <c r="L98" s="55">
        <v>0</v>
      </c>
      <c r="M98" s="54" t="str">
        <f t="shared" si="8"/>
        <v>24+ Months</v>
      </c>
      <c r="N98" s="54" t="str">
        <f t="shared" si="9"/>
        <v>24+ Months</v>
      </c>
      <c r="O98" s="54" t="s">
        <v>6</v>
      </c>
      <c r="P98" s="54">
        <f t="shared" si="5"/>
        <v>151</v>
      </c>
      <c r="Q98">
        <f t="shared" si="6"/>
        <v>151</v>
      </c>
      <c r="R98">
        <f t="shared" si="7"/>
        <v>0</v>
      </c>
    </row>
    <row r="99" spans="1:18" x14ac:dyDescent="0.2">
      <c r="A99" s="54">
        <v>110545</v>
      </c>
      <c r="B99" s="54" t="s">
        <v>595</v>
      </c>
      <c r="C99" s="55">
        <v>198</v>
      </c>
      <c r="D99" s="55">
        <v>230</v>
      </c>
      <c r="E99" s="55">
        <v>34</v>
      </c>
      <c r="F99" s="55">
        <v>3</v>
      </c>
      <c r="G99" s="55">
        <v>0</v>
      </c>
      <c r="H99" s="55">
        <v>0</v>
      </c>
      <c r="I99" s="55">
        <v>0.01</v>
      </c>
      <c r="J99" s="55">
        <v>0</v>
      </c>
      <c r="K99" s="55">
        <v>0</v>
      </c>
      <c r="L99" s="55">
        <v>0</v>
      </c>
      <c r="M99" s="54" t="str">
        <f t="shared" si="8"/>
        <v>24+ Months</v>
      </c>
      <c r="N99" s="54" t="str">
        <f t="shared" si="9"/>
        <v>24+ Months</v>
      </c>
      <c r="O99" s="54" t="s">
        <v>6</v>
      </c>
      <c r="P99" s="54">
        <f t="shared" si="5"/>
        <v>0</v>
      </c>
      <c r="Q99">
        <f t="shared" si="6"/>
        <v>0</v>
      </c>
      <c r="R99">
        <f t="shared" si="7"/>
        <v>0</v>
      </c>
    </row>
    <row r="100" spans="1:18" x14ac:dyDescent="0.2">
      <c r="A100" s="54">
        <v>109079</v>
      </c>
      <c r="B100" s="54" t="s">
        <v>148</v>
      </c>
      <c r="C100" s="55">
        <v>280</v>
      </c>
      <c r="D100" s="55">
        <v>274</v>
      </c>
      <c r="E100" s="55">
        <v>34</v>
      </c>
      <c r="F100" s="55">
        <v>496</v>
      </c>
      <c r="G100" s="55">
        <v>46</v>
      </c>
      <c r="H100" s="55">
        <v>1</v>
      </c>
      <c r="I100" s="55">
        <v>1.81</v>
      </c>
      <c r="J100" s="55">
        <v>0.17</v>
      </c>
      <c r="K100" s="55">
        <v>0</v>
      </c>
      <c r="L100" s="55">
        <v>0</v>
      </c>
      <c r="M100" s="54" t="str">
        <f t="shared" si="8"/>
        <v>24+ Months</v>
      </c>
      <c r="N100" s="54" t="str">
        <f t="shared" si="9"/>
        <v>24+ Months</v>
      </c>
      <c r="O100" s="54" t="s">
        <v>6</v>
      </c>
      <c r="P100" s="54">
        <f t="shared" si="5"/>
        <v>0</v>
      </c>
      <c r="Q100">
        <f t="shared" si="6"/>
        <v>0</v>
      </c>
      <c r="R100">
        <f t="shared" si="7"/>
        <v>0</v>
      </c>
    </row>
    <row r="101" spans="1:18" x14ac:dyDescent="0.2">
      <c r="A101" s="54">
        <v>107124</v>
      </c>
      <c r="B101" s="54" t="s">
        <v>114</v>
      </c>
      <c r="C101" s="55">
        <v>327</v>
      </c>
      <c r="D101" s="55">
        <v>347</v>
      </c>
      <c r="E101" s="55">
        <v>34</v>
      </c>
      <c r="F101" s="55">
        <v>999</v>
      </c>
      <c r="G101" s="55">
        <v>335</v>
      </c>
      <c r="H101" s="55">
        <v>113</v>
      </c>
      <c r="I101" s="55">
        <v>2.74</v>
      </c>
      <c r="J101" s="55">
        <v>0.92</v>
      </c>
      <c r="K101" s="55">
        <v>0.31</v>
      </c>
      <c r="L101" s="55">
        <v>411</v>
      </c>
      <c r="M101" s="54" t="str">
        <f t="shared" si="8"/>
        <v>24+ Months</v>
      </c>
      <c r="N101" s="54" t="str">
        <f t="shared" si="9"/>
        <v>24+ Months</v>
      </c>
      <c r="O101" s="54" t="s">
        <v>6</v>
      </c>
      <c r="P101" s="54">
        <f t="shared" si="5"/>
        <v>327</v>
      </c>
      <c r="Q101">
        <f t="shared" si="6"/>
        <v>327</v>
      </c>
      <c r="R101">
        <f t="shared" si="7"/>
        <v>327</v>
      </c>
    </row>
    <row r="102" spans="1:18" x14ac:dyDescent="0.2">
      <c r="A102" s="54">
        <v>106916</v>
      </c>
      <c r="B102" s="54" t="s">
        <v>328</v>
      </c>
      <c r="C102" s="55">
        <v>533</v>
      </c>
      <c r="D102" s="55">
        <v>500</v>
      </c>
      <c r="E102" s="55">
        <v>34</v>
      </c>
      <c r="F102" s="55">
        <v>121</v>
      </c>
      <c r="G102" s="55">
        <v>58</v>
      </c>
      <c r="H102" s="55">
        <v>9</v>
      </c>
      <c r="I102" s="55">
        <v>0.24</v>
      </c>
      <c r="J102" s="55">
        <v>0.12</v>
      </c>
      <c r="K102" s="55">
        <v>0.02</v>
      </c>
      <c r="L102" s="55">
        <v>57</v>
      </c>
      <c r="M102" s="54" t="str">
        <f t="shared" si="8"/>
        <v>24+ Months</v>
      </c>
      <c r="N102" s="54" t="str">
        <f t="shared" si="9"/>
        <v>24+ Months</v>
      </c>
      <c r="O102" s="54" t="s">
        <v>6</v>
      </c>
      <c r="P102" s="54">
        <f t="shared" si="5"/>
        <v>0</v>
      </c>
      <c r="Q102">
        <f t="shared" si="6"/>
        <v>0</v>
      </c>
      <c r="R102">
        <f t="shared" si="7"/>
        <v>0</v>
      </c>
    </row>
    <row r="103" spans="1:18" x14ac:dyDescent="0.2">
      <c r="A103" s="54">
        <v>113410</v>
      </c>
      <c r="B103" s="54" t="s">
        <v>248</v>
      </c>
      <c r="C103" s="55">
        <v>552</v>
      </c>
      <c r="D103" s="55">
        <v>457</v>
      </c>
      <c r="E103" s="55">
        <v>34</v>
      </c>
      <c r="F103" s="55">
        <v>2301</v>
      </c>
      <c r="G103" s="55">
        <v>256</v>
      </c>
      <c r="H103" s="55">
        <v>222</v>
      </c>
      <c r="I103" s="55">
        <v>5.04</v>
      </c>
      <c r="J103" s="55">
        <v>0.56000000000000005</v>
      </c>
      <c r="K103" s="55">
        <v>0.49</v>
      </c>
      <c r="L103" s="55">
        <v>0</v>
      </c>
      <c r="M103" s="54" t="str">
        <f t="shared" si="8"/>
        <v>24+ Months</v>
      </c>
      <c r="N103" s="54" t="str">
        <f t="shared" si="9"/>
        <v>24+ Months</v>
      </c>
      <c r="O103" s="54" t="s">
        <v>6</v>
      </c>
      <c r="P103" s="54">
        <f t="shared" si="5"/>
        <v>552</v>
      </c>
      <c r="Q103">
        <f t="shared" si="6"/>
        <v>552</v>
      </c>
      <c r="R103">
        <f t="shared" si="7"/>
        <v>0</v>
      </c>
    </row>
    <row r="104" spans="1:18" x14ac:dyDescent="0.2">
      <c r="A104" s="54">
        <v>105706</v>
      </c>
      <c r="B104" s="54" t="s">
        <v>370</v>
      </c>
      <c r="C104" s="55">
        <v>760</v>
      </c>
      <c r="D104" s="55">
        <v>778</v>
      </c>
      <c r="E104" s="55">
        <v>34</v>
      </c>
      <c r="F104" s="55">
        <v>66</v>
      </c>
      <c r="G104" s="55">
        <v>26</v>
      </c>
      <c r="H104" s="55">
        <v>20</v>
      </c>
      <c r="I104" s="55">
        <v>0.08</v>
      </c>
      <c r="J104" s="55">
        <v>0.03</v>
      </c>
      <c r="K104" s="55">
        <v>0.03</v>
      </c>
      <c r="L104" s="55">
        <v>807</v>
      </c>
      <c r="M104" s="54" t="str">
        <f t="shared" si="8"/>
        <v>24+ Months</v>
      </c>
      <c r="N104" s="54" t="str">
        <f t="shared" si="9"/>
        <v>24+ Months</v>
      </c>
      <c r="O104" s="54" t="s">
        <v>5</v>
      </c>
      <c r="P104" s="54">
        <f t="shared" si="5"/>
        <v>0</v>
      </c>
      <c r="Q104">
        <f t="shared" si="6"/>
        <v>0</v>
      </c>
      <c r="R104">
        <f t="shared" si="7"/>
        <v>0</v>
      </c>
    </row>
    <row r="105" spans="1:18" x14ac:dyDescent="0.2">
      <c r="A105" s="54">
        <v>166224</v>
      </c>
      <c r="B105" s="54" t="s">
        <v>480</v>
      </c>
      <c r="C105" s="55">
        <v>22</v>
      </c>
      <c r="D105" s="55">
        <v>24</v>
      </c>
      <c r="E105" s="55">
        <v>33</v>
      </c>
      <c r="F105" s="55">
        <v>9</v>
      </c>
      <c r="G105" s="55">
        <v>4</v>
      </c>
      <c r="H105" s="55">
        <v>1</v>
      </c>
      <c r="I105" s="55">
        <v>0.38</v>
      </c>
      <c r="J105" s="55">
        <v>0.17</v>
      </c>
      <c r="K105" s="55">
        <v>0.04</v>
      </c>
      <c r="L105" s="55">
        <v>7</v>
      </c>
      <c r="M105" s="54" t="str">
        <f t="shared" si="8"/>
        <v>24+ Months</v>
      </c>
      <c r="N105" s="54" t="str">
        <f t="shared" si="9"/>
        <v>24+ Months</v>
      </c>
      <c r="O105" s="54" t="s">
        <v>7</v>
      </c>
      <c r="P105" s="54">
        <f t="shared" si="5"/>
        <v>0</v>
      </c>
      <c r="Q105">
        <f t="shared" si="6"/>
        <v>0</v>
      </c>
      <c r="R105">
        <f t="shared" si="7"/>
        <v>0</v>
      </c>
    </row>
    <row r="106" spans="1:18" x14ac:dyDescent="0.2">
      <c r="A106" s="54">
        <v>174235</v>
      </c>
      <c r="B106" s="54" t="s">
        <v>426</v>
      </c>
      <c r="C106" s="55">
        <v>44</v>
      </c>
      <c r="D106" s="55">
        <v>40</v>
      </c>
      <c r="E106" s="55">
        <v>33</v>
      </c>
      <c r="F106" s="55">
        <v>23</v>
      </c>
      <c r="G106" s="55">
        <v>15</v>
      </c>
      <c r="H106" s="55">
        <v>0</v>
      </c>
      <c r="I106" s="55">
        <v>0.57999999999999996</v>
      </c>
      <c r="J106" s="55">
        <v>0.38</v>
      </c>
      <c r="K106" s="55">
        <v>0</v>
      </c>
      <c r="L106" s="55">
        <v>22</v>
      </c>
      <c r="M106" s="54" t="str">
        <f t="shared" si="8"/>
        <v>24+ Months</v>
      </c>
      <c r="N106" s="54" t="str">
        <f t="shared" si="9"/>
        <v>24+ Months</v>
      </c>
      <c r="O106" s="54" t="s">
        <v>7</v>
      </c>
      <c r="P106" s="54">
        <f t="shared" si="5"/>
        <v>0</v>
      </c>
      <c r="Q106">
        <f t="shared" si="6"/>
        <v>0</v>
      </c>
      <c r="R106">
        <f t="shared" si="7"/>
        <v>0</v>
      </c>
    </row>
    <row r="107" spans="1:18" x14ac:dyDescent="0.2">
      <c r="A107" s="54">
        <v>109806</v>
      </c>
      <c r="B107" s="54" t="s">
        <v>226</v>
      </c>
      <c r="C107" s="55">
        <v>75</v>
      </c>
      <c r="D107" s="55">
        <v>71</v>
      </c>
      <c r="E107" s="55">
        <v>33</v>
      </c>
      <c r="F107" s="55">
        <v>228</v>
      </c>
      <c r="G107" s="55">
        <v>219</v>
      </c>
      <c r="H107" s="55">
        <v>219</v>
      </c>
      <c r="I107" s="55">
        <v>3.21</v>
      </c>
      <c r="J107" s="55">
        <v>3.08</v>
      </c>
      <c r="K107" s="55">
        <v>3.08</v>
      </c>
      <c r="L107" s="55">
        <v>0</v>
      </c>
      <c r="M107" s="54" t="str">
        <f t="shared" si="8"/>
        <v>24+ Months</v>
      </c>
      <c r="N107" s="54" t="str">
        <f t="shared" si="9"/>
        <v>24+ Months</v>
      </c>
      <c r="O107" s="54" t="s">
        <v>7</v>
      </c>
      <c r="P107" s="54">
        <f t="shared" si="5"/>
        <v>75</v>
      </c>
      <c r="Q107">
        <f t="shared" si="6"/>
        <v>75</v>
      </c>
      <c r="R107">
        <f t="shared" si="7"/>
        <v>75</v>
      </c>
    </row>
    <row r="108" spans="1:18" x14ac:dyDescent="0.2">
      <c r="A108" s="54">
        <v>109735</v>
      </c>
      <c r="B108" s="54" t="s">
        <v>529</v>
      </c>
      <c r="C108" s="55">
        <v>162</v>
      </c>
      <c r="D108" s="55">
        <v>166</v>
      </c>
      <c r="E108" s="55">
        <v>33</v>
      </c>
      <c r="F108" s="55">
        <v>19</v>
      </c>
      <c r="G108" s="55">
        <v>19</v>
      </c>
      <c r="H108" s="55">
        <v>19</v>
      </c>
      <c r="I108" s="55">
        <v>0.11</v>
      </c>
      <c r="J108" s="55">
        <v>0.11</v>
      </c>
      <c r="K108" s="55">
        <v>0.11</v>
      </c>
      <c r="L108" s="55">
        <v>33</v>
      </c>
      <c r="M108" s="54" t="str">
        <f t="shared" si="8"/>
        <v>24+ Months</v>
      </c>
      <c r="N108" s="54" t="str">
        <f t="shared" si="9"/>
        <v>24+ Months</v>
      </c>
      <c r="O108" s="54" t="s">
        <v>6</v>
      </c>
      <c r="P108" s="54">
        <f t="shared" si="5"/>
        <v>0</v>
      </c>
      <c r="Q108">
        <f t="shared" si="6"/>
        <v>0</v>
      </c>
      <c r="R108">
        <f t="shared" si="7"/>
        <v>0</v>
      </c>
    </row>
    <row r="109" spans="1:18" x14ac:dyDescent="0.2">
      <c r="A109" s="54">
        <v>129200</v>
      </c>
      <c r="B109" s="54" t="s">
        <v>296</v>
      </c>
      <c r="C109" s="55">
        <v>216</v>
      </c>
      <c r="D109" s="55">
        <v>210</v>
      </c>
      <c r="E109" s="55">
        <v>33</v>
      </c>
      <c r="F109" s="55">
        <v>138</v>
      </c>
      <c r="G109" s="55">
        <v>85</v>
      </c>
      <c r="H109" s="55">
        <v>8</v>
      </c>
      <c r="I109" s="55">
        <v>0.66</v>
      </c>
      <c r="J109" s="55">
        <v>0.4</v>
      </c>
      <c r="K109" s="55">
        <v>0.04</v>
      </c>
      <c r="L109" s="55">
        <v>5</v>
      </c>
      <c r="M109" s="54" t="str">
        <f t="shared" si="8"/>
        <v>24+ Months</v>
      </c>
      <c r="N109" s="54" t="str">
        <f t="shared" si="9"/>
        <v>24+ Months</v>
      </c>
      <c r="O109" s="54" t="s">
        <v>6</v>
      </c>
      <c r="P109" s="54">
        <f t="shared" si="5"/>
        <v>0</v>
      </c>
      <c r="Q109">
        <f t="shared" si="6"/>
        <v>0</v>
      </c>
      <c r="R109">
        <f t="shared" si="7"/>
        <v>0</v>
      </c>
    </row>
    <row r="110" spans="1:18" x14ac:dyDescent="0.2">
      <c r="A110" s="54">
        <v>303223</v>
      </c>
      <c r="B110" s="54" t="s">
        <v>164</v>
      </c>
      <c r="C110" s="55">
        <v>247</v>
      </c>
      <c r="D110" s="55">
        <v>232</v>
      </c>
      <c r="E110" s="55">
        <v>33</v>
      </c>
      <c r="F110" s="55">
        <v>745</v>
      </c>
      <c r="G110" s="55">
        <v>166</v>
      </c>
      <c r="H110" s="55">
        <v>140</v>
      </c>
      <c r="I110" s="55">
        <v>3.21</v>
      </c>
      <c r="J110" s="55">
        <v>0.72</v>
      </c>
      <c r="K110" s="55">
        <v>0.6</v>
      </c>
      <c r="L110" s="55">
        <v>36</v>
      </c>
      <c r="M110" s="54" t="str">
        <f t="shared" si="8"/>
        <v>24+ Months</v>
      </c>
      <c r="N110" s="54" t="str">
        <f t="shared" si="9"/>
        <v>24+ Months</v>
      </c>
      <c r="O110" s="54" t="s">
        <v>6</v>
      </c>
      <c r="P110" s="54">
        <f t="shared" si="5"/>
        <v>247</v>
      </c>
      <c r="Q110">
        <f t="shared" si="6"/>
        <v>247</v>
      </c>
      <c r="R110">
        <f t="shared" si="7"/>
        <v>0</v>
      </c>
    </row>
    <row r="111" spans="1:18" x14ac:dyDescent="0.2">
      <c r="A111" s="54">
        <v>106509</v>
      </c>
      <c r="B111" s="54" t="s">
        <v>559</v>
      </c>
      <c r="C111" s="55">
        <v>341</v>
      </c>
      <c r="D111" s="55">
        <v>330</v>
      </c>
      <c r="E111" s="55">
        <v>33</v>
      </c>
      <c r="F111" s="55">
        <v>9</v>
      </c>
      <c r="G111" s="55">
        <v>10</v>
      </c>
      <c r="H111" s="55">
        <v>10</v>
      </c>
      <c r="I111" s="55">
        <v>0.03</v>
      </c>
      <c r="J111" s="55">
        <v>0.03</v>
      </c>
      <c r="K111" s="55">
        <v>0.03</v>
      </c>
      <c r="L111" s="55">
        <v>0</v>
      </c>
      <c r="M111" s="54" t="str">
        <f t="shared" si="8"/>
        <v>24+ Months</v>
      </c>
      <c r="N111" s="54" t="str">
        <f t="shared" si="9"/>
        <v>24+ Months</v>
      </c>
      <c r="O111" s="54" t="s">
        <v>6</v>
      </c>
      <c r="P111" s="54">
        <f t="shared" si="5"/>
        <v>0</v>
      </c>
      <c r="Q111">
        <f t="shared" si="6"/>
        <v>0</v>
      </c>
      <c r="R111">
        <f t="shared" si="7"/>
        <v>0</v>
      </c>
    </row>
    <row r="112" spans="1:18" x14ac:dyDescent="0.2">
      <c r="A112" s="54">
        <v>106000</v>
      </c>
      <c r="B112" s="54" t="s">
        <v>261</v>
      </c>
      <c r="C112" s="55">
        <v>2337</v>
      </c>
      <c r="D112" s="55">
        <v>2337</v>
      </c>
      <c r="E112" s="55">
        <v>33</v>
      </c>
      <c r="F112" s="55">
        <v>277</v>
      </c>
      <c r="G112" s="55">
        <v>164</v>
      </c>
      <c r="H112" s="55">
        <v>134</v>
      </c>
      <c r="I112" s="55">
        <v>0.12</v>
      </c>
      <c r="J112" s="55">
        <v>7.0000000000000007E-2</v>
      </c>
      <c r="K112" s="55">
        <v>0.06</v>
      </c>
      <c r="L112" s="55">
        <v>0</v>
      </c>
      <c r="M112" s="54" t="str">
        <f t="shared" si="8"/>
        <v>24+ Months</v>
      </c>
      <c r="N112" s="54" t="str">
        <f t="shared" si="9"/>
        <v>24+ Months</v>
      </c>
      <c r="O112" s="54" t="s">
        <v>5</v>
      </c>
      <c r="P112" s="54">
        <f t="shared" si="5"/>
        <v>0</v>
      </c>
      <c r="Q112">
        <f t="shared" si="6"/>
        <v>0</v>
      </c>
      <c r="R112">
        <f t="shared" si="7"/>
        <v>0</v>
      </c>
    </row>
    <row r="113" spans="1:18" x14ac:dyDescent="0.2">
      <c r="A113" s="54" t="s">
        <v>299</v>
      </c>
      <c r="B113" s="54" t="s">
        <v>298</v>
      </c>
      <c r="C113" s="55">
        <v>1</v>
      </c>
      <c r="D113" s="55">
        <v>57</v>
      </c>
      <c r="E113" s="55">
        <v>31</v>
      </c>
      <c r="F113" s="55">
        <v>155</v>
      </c>
      <c r="G113" s="55">
        <v>67</v>
      </c>
      <c r="H113" s="55">
        <v>0</v>
      </c>
      <c r="I113" s="55">
        <v>2.72</v>
      </c>
      <c r="J113" s="55">
        <v>1.18</v>
      </c>
      <c r="K113" s="55">
        <v>0</v>
      </c>
      <c r="L113" s="55">
        <v>24</v>
      </c>
      <c r="M113" s="54" t="str">
        <f t="shared" si="8"/>
        <v>24+ Months</v>
      </c>
      <c r="N113" s="54" t="str">
        <f t="shared" si="9"/>
        <v>24+ Months</v>
      </c>
      <c r="O113" s="54" t="s">
        <v>7</v>
      </c>
      <c r="P113" s="54">
        <f t="shared" si="5"/>
        <v>1</v>
      </c>
      <c r="Q113">
        <f t="shared" si="6"/>
        <v>1</v>
      </c>
      <c r="R113">
        <f t="shared" si="7"/>
        <v>1</v>
      </c>
    </row>
    <row r="114" spans="1:18" x14ac:dyDescent="0.2">
      <c r="A114" s="54">
        <v>110771</v>
      </c>
      <c r="B114" s="54" t="s">
        <v>634</v>
      </c>
      <c r="C114" s="55">
        <v>406</v>
      </c>
      <c r="D114" s="55">
        <v>140</v>
      </c>
      <c r="E114" s="55">
        <v>31</v>
      </c>
      <c r="F114" s="55">
        <v>0</v>
      </c>
      <c r="G114" s="55">
        <v>0</v>
      </c>
      <c r="H114" s="55">
        <v>0</v>
      </c>
      <c r="I114" s="55">
        <v>0</v>
      </c>
      <c r="J114" s="55">
        <v>0</v>
      </c>
      <c r="K114" s="55">
        <v>0</v>
      </c>
      <c r="L114" s="55">
        <v>46</v>
      </c>
      <c r="M114" s="54" t="str">
        <f t="shared" si="8"/>
        <v>24+ Months</v>
      </c>
      <c r="N114" s="54" t="str">
        <f t="shared" si="9"/>
        <v>24+ Months</v>
      </c>
      <c r="O114" s="54" t="s">
        <v>6</v>
      </c>
      <c r="P114" s="54">
        <f t="shared" si="5"/>
        <v>0</v>
      </c>
      <c r="Q114">
        <f t="shared" si="6"/>
        <v>0</v>
      </c>
      <c r="R114">
        <f t="shared" si="7"/>
        <v>0</v>
      </c>
    </row>
    <row r="115" spans="1:18" x14ac:dyDescent="0.2">
      <c r="A115" s="54">
        <v>106616</v>
      </c>
      <c r="B115" s="54" t="s">
        <v>484</v>
      </c>
      <c r="C115" s="55">
        <v>4</v>
      </c>
      <c r="D115" s="55">
        <v>92</v>
      </c>
      <c r="E115" s="55">
        <v>30</v>
      </c>
      <c r="F115" s="55">
        <v>25</v>
      </c>
      <c r="G115" s="55">
        <v>1</v>
      </c>
      <c r="H115" s="55">
        <v>1</v>
      </c>
      <c r="I115" s="55">
        <v>0.27</v>
      </c>
      <c r="J115" s="55">
        <v>0.01</v>
      </c>
      <c r="K115" s="55">
        <v>0.01</v>
      </c>
      <c r="L115" s="55">
        <v>40</v>
      </c>
      <c r="M115" s="54" t="str">
        <f t="shared" si="8"/>
        <v>24+ Months</v>
      </c>
      <c r="N115" s="54" t="str">
        <f t="shared" si="9"/>
        <v>24+ Months</v>
      </c>
      <c r="O115" s="54" t="s">
        <v>7</v>
      </c>
      <c r="P115" s="54">
        <f t="shared" si="5"/>
        <v>0</v>
      </c>
      <c r="Q115">
        <f t="shared" si="6"/>
        <v>0</v>
      </c>
      <c r="R115">
        <f t="shared" si="7"/>
        <v>0</v>
      </c>
    </row>
    <row r="116" spans="1:18" x14ac:dyDescent="0.2">
      <c r="A116" s="54">
        <v>293426</v>
      </c>
      <c r="B116" s="54" t="s">
        <v>449</v>
      </c>
      <c r="C116" s="55">
        <v>8</v>
      </c>
      <c r="D116" s="55">
        <v>16</v>
      </c>
      <c r="E116" s="55">
        <v>30</v>
      </c>
      <c r="F116" s="55">
        <v>34</v>
      </c>
      <c r="G116" s="55">
        <v>25</v>
      </c>
      <c r="H116" s="55">
        <v>0</v>
      </c>
      <c r="I116" s="55">
        <v>2.13</v>
      </c>
      <c r="J116" s="55">
        <v>1.56</v>
      </c>
      <c r="K116" s="55">
        <v>0</v>
      </c>
      <c r="L116" s="55">
        <v>34</v>
      </c>
      <c r="M116" s="54" t="str">
        <f t="shared" si="8"/>
        <v>24+ Months</v>
      </c>
      <c r="N116" s="54" t="str">
        <f t="shared" si="9"/>
        <v>24+ Months</v>
      </c>
      <c r="O116" s="54" t="s">
        <v>7</v>
      </c>
      <c r="P116" s="54">
        <f t="shared" si="5"/>
        <v>8</v>
      </c>
      <c r="Q116">
        <f t="shared" si="6"/>
        <v>8</v>
      </c>
      <c r="R116">
        <f t="shared" si="7"/>
        <v>8</v>
      </c>
    </row>
    <row r="117" spans="1:18" x14ac:dyDescent="0.2">
      <c r="A117" s="54">
        <v>117408</v>
      </c>
      <c r="B117" s="54" t="s">
        <v>324</v>
      </c>
      <c r="C117" s="55">
        <v>25</v>
      </c>
      <c r="D117" s="55">
        <v>66</v>
      </c>
      <c r="E117" s="55">
        <v>30</v>
      </c>
      <c r="F117" s="55">
        <v>103</v>
      </c>
      <c r="G117" s="55">
        <v>69</v>
      </c>
      <c r="H117" s="55">
        <v>0</v>
      </c>
      <c r="I117" s="55">
        <v>1.58</v>
      </c>
      <c r="J117" s="55">
        <v>1.06</v>
      </c>
      <c r="K117" s="55">
        <v>0</v>
      </c>
      <c r="L117" s="55">
        <v>10</v>
      </c>
      <c r="M117" s="54" t="str">
        <f t="shared" si="8"/>
        <v>24+ Months</v>
      </c>
      <c r="N117" s="54" t="str">
        <f t="shared" si="9"/>
        <v>24+ Months</v>
      </c>
      <c r="O117" s="54" t="s">
        <v>7</v>
      </c>
      <c r="P117" s="54">
        <f t="shared" si="5"/>
        <v>25</v>
      </c>
      <c r="Q117">
        <f t="shared" si="6"/>
        <v>0</v>
      </c>
      <c r="R117">
        <f t="shared" si="7"/>
        <v>25</v>
      </c>
    </row>
    <row r="118" spans="1:18" x14ac:dyDescent="0.2">
      <c r="A118" s="54">
        <v>198139</v>
      </c>
      <c r="B118" s="54" t="s">
        <v>523</v>
      </c>
      <c r="C118" s="55">
        <v>25</v>
      </c>
      <c r="D118" s="55">
        <v>16</v>
      </c>
      <c r="E118" s="55">
        <v>29</v>
      </c>
      <c r="F118" s="55">
        <v>12</v>
      </c>
      <c r="G118" s="55">
        <v>12</v>
      </c>
      <c r="H118" s="55">
        <v>12</v>
      </c>
      <c r="I118" s="55">
        <v>0.75</v>
      </c>
      <c r="J118" s="55">
        <v>0.75</v>
      </c>
      <c r="K118" s="55">
        <v>0.75</v>
      </c>
      <c r="L118" s="55">
        <v>4</v>
      </c>
      <c r="M118" s="54" t="str">
        <f t="shared" si="8"/>
        <v>24+ Months</v>
      </c>
      <c r="N118" s="54" t="str">
        <f t="shared" si="9"/>
        <v>24+ Months</v>
      </c>
      <c r="O118" s="54" t="s">
        <v>7</v>
      </c>
      <c r="P118" s="54">
        <f t="shared" si="5"/>
        <v>25</v>
      </c>
      <c r="Q118">
        <f t="shared" si="6"/>
        <v>0</v>
      </c>
      <c r="R118">
        <f t="shared" si="7"/>
        <v>25</v>
      </c>
    </row>
    <row r="119" spans="1:18" x14ac:dyDescent="0.2">
      <c r="A119" s="54">
        <v>470672</v>
      </c>
      <c r="B119" s="54" t="s">
        <v>311</v>
      </c>
      <c r="C119" s="55">
        <v>73</v>
      </c>
      <c r="D119" s="55">
        <v>73</v>
      </c>
      <c r="E119" s="55">
        <v>28</v>
      </c>
      <c r="F119" s="55">
        <v>156</v>
      </c>
      <c r="G119" s="55">
        <v>87</v>
      </c>
      <c r="H119" s="55">
        <v>87</v>
      </c>
      <c r="I119" s="55">
        <v>2.14</v>
      </c>
      <c r="J119" s="55">
        <v>1.19</v>
      </c>
      <c r="K119" s="55">
        <v>1.19</v>
      </c>
      <c r="L119" s="55">
        <v>0</v>
      </c>
      <c r="M119" s="54" t="str">
        <f t="shared" si="8"/>
        <v>24+ Months</v>
      </c>
      <c r="N119" s="54" t="str">
        <f t="shared" si="9"/>
        <v>24+ Months</v>
      </c>
      <c r="O119" s="54" t="s">
        <v>7</v>
      </c>
      <c r="P119" s="54">
        <f t="shared" si="5"/>
        <v>73</v>
      </c>
      <c r="Q119">
        <f t="shared" si="6"/>
        <v>73</v>
      </c>
      <c r="R119">
        <f t="shared" si="7"/>
        <v>73</v>
      </c>
    </row>
    <row r="120" spans="1:18" x14ac:dyDescent="0.2">
      <c r="A120" s="54">
        <v>110673</v>
      </c>
      <c r="B120" s="54" t="s">
        <v>565</v>
      </c>
      <c r="C120" s="55">
        <v>190</v>
      </c>
      <c r="D120" s="55">
        <v>150</v>
      </c>
      <c r="E120" s="55">
        <v>28</v>
      </c>
      <c r="F120" s="55">
        <v>7</v>
      </c>
      <c r="G120" s="55">
        <v>9</v>
      </c>
      <c r="H120" s="55">
        <v>9</v>
      </c>
      <c r="I120" s="55">
        <v>0.05</v>
      </c>
      <c r="J120" s="55">
        <v>0.06</v>
      </c>
      <c r="K120" s="55">
        <v>0.06</v>
      </c>
      <c r="L120" s="55">
        <v>5</v>
      </c>
      <c r="M120" s="54" t="str">
        <f t="shared" si="8"/>
        <v>24+ Months</v>
      </c>
      <c r="N120" s="54" t="str">
        <f t="shared" si="9"/>
        <v>24+ Months</v>
      </c>
      <c r="O120" s="54" t="s">
        <v>6</v>
      </c>
      <c r="P120" s="54">
        <f t="shared" si="5"/>
        <v>0</v>
      </c>
      <c r="Q120">
        <f t="shared" si="6"/>
        <v>0</v>
      </c>
      <c r="R120">
        <f t="shared" si="7"/>
        <v>0</v>
      </c>
    </row>
    <row r="121" spans="1:18" x14ac:dyDescent="0.2">
      <c r="A121" s="54">
        <v>316716</v>
      </c>
      <c r="B121" s="54" t="s">
        <v>241</v>
      </c>
      <c r="C121" s="55">
        <v>724</v>
      </c>
      <c r="D121" s="55">
        <v>580</v>
      </c>
      <c r="E121" s="55">
        <v>28</v>
      </c>
      <c r="F121" s="55">
        <v>229</v>
      </c>
      <c r="G121" s="55">
        <v>174</v>
      </c>
      <c r="H121" s="55">
        <v>57</v>
      </c>
      <c r="I121" s="55">
        <v>0.39</v>
      </c>
      <c r="J121" s="55">
        <v>0.3</v>
      </c>
      <c r="K121" s="55">
        <v>0.1</v>
      </c>
      <c r="L121" s="55">
        <v>1048</v>
      </c>
      <c r="M121" s="54" t="str">
        <f t="shared" si="8"/>
        <v>24+ Months</v>
      </c>
      <c r="N121" s="54" t="str">
        <f t="shared" si="9"/>
        <v>24+ Months</v>
      </c>
      <c r="O121" s="54" t="s">
        <v>5</v>
      </c>
      <c r="P121" s="54">
        <f t="shared" si="5"/>
        <v>0</v>
      </c>
      <c r="Q121">
        <f t="shared" si="6"/>
        <v>0</v>
      </c>
      <c r="R121">
        <f t="shared" si="7"/>
        <v>0</v>
      </c>
    </row>
    <row r="122" spans="1:18" x14ac:dyDescent="0.2">
      <c r="A122" s="54">
        <v>108015</v>
      </c>
      <c r="B122" s="54" t="s">
        <v>596</v>
      </c>
      <c r="C122" s="55">
        <v>775</v>
      </c>
      <c r="D122" s="55">
        <v>768</v>
      </c>
      <c r="E122" s="55">
        <v>28</v>
      </c>
      <c r="F122" s="55">
        <v>3</v>
      </c>
      <c r="G122" s="55">
        <v>3</v>
      </c>
      <c r="H122" s="55">
        <v>0</v>
      </c>
      <c r="I122" s="55">
        <v>0</v>
      </c>
      <c r="J122" s="55">
        <v>0</v>
      </c>
      <c r="K122" s="55">
        <v>0</v>
      </c>
      <c r="L122" s="55">
        <v>210</v>
      </c>
      <c r="M122" s="54" t="str">
        <f t="shared" si="8"/>
        <v>24+ Months</v>
      </c>
      <c r="N122" s="54" t="str">
        <f t="shared" si="9"/>
        <v>24+ Months</v>
      </c>
      <c r="O122" s="54" t="s">
        <v>5</v>
      </c>
      <c r="P122" s="54">
        <f t="shared" si="5"/>
        <v>0</v>
      </c>
      <c r="Q122">
        <f t="shared" si="6"/>
        <v>0</v>
      </c>
      <c r="R122">
        <f t="shared" si="7"/>
        <v>0</v>
      </c>
    </row>
    <row r="123" spans="1:18" x14ac:dyDescent="0.2">
      <c r="A123" s="54">
        <v>135122</v>
      </c>
      <c r="B123" s="54" t="s">
        <v>415</v>
      </c>
      <c r="C123" s="55">
        <v>862</v>
      </c>
      <c r="D123" s="55">
        <v>800</v>
      </c>
      <c r="E123" s="55">
        <v>28</v>
      </c>
      <c r="F123" s="55">
        <v>39</v>
      </c>
      <c r="G123" s="55">
        <v>5</v>
      </c>
      <c r="H123" s="55">
        <v>1</v>
      </c>
      <c r="I123" s="55">
        <v>0.05</v>
      </c>
      <c r="J123" s="55">
        <v>0.01</v>
      </c>
      <c r="K123" s="55">
        <v>0</v>
      </c>
      <c r="L123" s="55">
        <v>923</v>
      </c>
      <c r="M123" s="54" t="str">
        <f t="shared" si="8"/>
        <v>24+ Months</v>
      </c>
      <c r="N123" s="54" t="str">
        <f t="shared" si="9"/>
        <v>24+ Months</v>
      </c>
      <c r="O123" s="54" t="s">
        <v>5</v>
      </c>
      <c r="P123" s="54">
        <f t="shared" si="5"/>
        <v>0</v>
      </c>
      <c r="Q123">
        <f t="shared" si="6"/>
        <v>0</v>
      </c>
      <c r="R123">
        <f t="shared" si="7"/>
        <v>0</v>
      </c>
    </row>
    <row r="124" spans="1:18" x14ac:dyDescent="0.2">
      <c r="A124" s="54">
        <v>124496</v>
      </c>
      <c r="B124" s="54" t="s">
        <v>83</v>
      </c>
      <c r="C124" s="55">
        <v>992</v>
      </c>
      <c r="D124" s="55">
        <v>900</v>
      </c>
      <c r="E124" s="55">
        <v>28</v>
      </c>
      <c r="F124" s="55">
        <v>2105</v>
      </c>
      <c r="G124" s="55">
        <v>147</v>
      </c>
      <c r="H124" s="55">
        <v>14</v>
      </c>
      <c r="I124" s="55">
        <v>2.34</v>
      </c>
      <c r="J124" s="55">
        <v>0.16</v>
      </c>
      <c r="K124" s="55">
        <v>0.02</v>
      </c>
      <c r="L124" s="55">
        <v>858</v>
      </c>
      <c r="M124" s="54" t="str">
        <f t="shared" si="8"/>
        <v>24+ Months</v>
      </c>
      <c r="N124" s="54" t="str">
        <f t="shared" si="9"/>
        <v>24+ Months</v>
      </c>
      <c r="O124" s="54" t="s">
        <v>5</v>
      </c>
      <c r="P124" s="54">
        <f t="shared" si="5"/>
        <v>992</v>
      </c>
      <c r="Q124">
        <f t="shared" si="6"/>
        <v>992</v>
      </c>
      <c r="R124">
        <f t="shared" si="7"/>
        <v>0</v>
      </c>
    </row>
    <row r="125" spans="1:18" x14ac:dyDescent="0.2">
      <c r="A125" s="54">
        <v>465304</v>
      </c>
      <c r="B125" s="54" t="s">
        <v>455</v>
      </c>
      <c r="C125" s="55">
        <v>18</v>
      </c>
      <c r="D125" s="55">
        <v>24</v>
      </c>
      <c r="E125" s="55">
        <v>27</v>
      </c>
      <c r="F125" s="55">
        <v>33</v>
      </c>
      <c r="G125" s="55">
        <v>26</v>
      </c>
      <c r="H125" s="55">
        <v>0</v>
      </c>
      <c r="I125" s="55">
        <v>1.38</v>
      </c>
      <c r="J125" s="55">
        <v>1.08</v>
      </c>
      <c r="K125" s="55">
        <v>0</v>
      </c>
      <c r="L125" s="55">
        <v>3</v>
      </c>
      <c r="M125" s="54" t="str">
        <f t="shared" si="8"/>
        <v>24+ Months</v>
      </c>
      <c r="N125" s="54" t="str">
        <f t="shared" si="9"/>
        <v>24+ Months</v>
      </c>
      <c r="O125" s="54" t="s">
        <v>7</v>
      </c>
      <c r="P125" s="54">
        <f t="shared" si="5"/>
        <v>18</v>
      </c>
      <c r="Q125">
        <f t="shared" si="6"/>
        <v>0</v>
      </c>
      <c r="R125">
        <f t="shared" si="7"/>
        <v>18</v>
      </c>
    </row>
    <row r="126" spans="1:18" x14ac:dyDescent="0.2">
      <c r="A126" s="54">
        <v>204311</v>
      </c>
      <c r="B126" s="54" t="s">
        <v>339</v>
      </c>
      <c r="C126" s="55">
        <v>26</v>
      </c>
      <c r="D126" s="55">
        <v>20</v>
      </c>
      <c r="E126" s="55">
        <v>27</v>
      </c>
      <c r="F126" s="55">
        <v>43</v>
      </c>
      <c r="G126" s="55">
        <v>30</v>
      </c>
      <c r="H126" s="55">
        <v>2</v>
      </c>
      <c r="I126" s="55">
        <v>2.15</v>
      </c>
      <c r="J126" s="55">
        <v>1.5</v>
      </c>
      <c r="K126" s="55">
        <v>0.1</v>
      </c>
      <c r="L126" s="55">
        <v>13</v>
      </c>
      <c r="M126" s="54" t="str">
        <f t="shared" si="8"/>
        <v>24+ Months</v>
      </c>
      <c r="N126" s="54" t="str">
        <f t="shared" si="9"/>
        <v>24+ Months</v>
      </c>
      <c r="O126" s="54" t="s">
        <v>7</v>
      </c>
      <c r="P126" s="54">
        <f t="shared" si="5"/>
        <v>26</v>
      </c>
      <c r="Q126">
        <f t="shared" si="6"/>
        <v>26</v>
      </c>
      <c r="R126">
        <f t="shared" si="7"/>
        <v>26</v>
      </c>
    </row>
    <row r="127" spans="1:18" x14ac:dyDescent="0.2">
      <c r="A127" s="54">
        <v>119937</v>
      </c>
      <c r="B127" s="54" t="s">
        <v>194</v>
      </c>
      <c r="C127" s="55">
        <v>377</v>
      </c>
      <c r="D127" s="55">
        <v>385</v>
      </c>
      <c r="E127" s="55">
        <v>27</v>
      </c>
      <c r="F127" s="55">
        <v>577</v>
      </c>
      <c r="G127" s="55">
        <v>292</v>
      </c>
      <c r="H127" s="55">
        <v>263</v>
      </c>
      <c r="I127" s="55">
        <v>1.5</v>
      </c>
      <c r="J127" s="55">
        <v>0.76</v>
      </c>
      <c r="K127" s="55">
        <v>0.68</v>
      </c>
      <c r="L127" s="55">
        <v>1434</v>
      </c>
      <c r="M127" s="54" t="str">
        <f t="shared" si="8"/>
        <v>24+ Months</v>
      </c>
      <c r="N127" s="54" t="str">
        <f t="shared" si="9"/>
        <v>24+ Months</v>
      </c>
      <c r="O127" s="54" t="s">
        <v>6</v>
      </c>
      <c r="P127" s="54">
        <f t="shared" si="5"/>
        <v>377</v>
      </c>
      <c r="Q127">
        <f t="shared" si="6"/>
        <v>0</v>
      </c>
      <c r="R127">
        <f t="shared" si="7"/>
        <v>377</v>
      </c>
    </row>
    <row r="128" spans="1:18" x14ac:dyDescent="0.2">
      <c r="A128" s="54">
        <v>107887</v>
      </c>
      <c r="B128" s="54" t="s">
        <v>283</v>
      </c>
      <c r="C128" s="55">
        <v>2281</v>
      </c>
      <c r="D128" s="55">
        <v>2300</v>
      </c>
      <c r="E128" s="55">
        <v>27</v>
      </c>
      <c r="F128" s="55">
        <v>154</v>
      </c>
      <c r="G128" s="55">
        <v>125</v>
      </c>
      <c r="H128" s="55">
        <v>2</v>
      </c>
      <c r="I128" s="55">
        <v>7.0000000000000007E-2</v>
      </c>
      <c r="J128" s="55">
        <v>0.05</v>
      </c>
      <c r="K128" s="55">
        <v>0</v>
      </c>
      <c r="L128" s="55">
        <v>453</v>
      </c>
      <c r="M128" s="54" t="str">
        <f t="shared" si="8"/>
        <v>24+ Months</v>
      </c>
      <c r="N128" s="54" t="str">
        <f t="shared" si="9"/>
        <v>24+ Months</v>
      </c>
      <c r="O128" s="54" t="s">
        <v>5</v>
      </c>
      <c r="P128" s="54">
        <f t="shared" si="5"/>
        <v>0</v>
      </c>
      <c r="Q128">
        <f t="shared" si="6"/>
        <v>0</v>
      </c>
      <c r="R128">
        <f t="shared" si="7"/>
        <v>0</v>
      </c>
    </row>
    <row r="129" spans="1:18" x14ac:dyDescent="0.2">
      <c r="A129" s="54">
        <v>106169</v>
      </c>
      <c r="B129" s="54" t="s">
        <v>509</v>
      </c>
      <c r="C129" s="55">
        <v>1</v>
      </c>
      <c r="D129" s="55">
        <v>20</v>
      </c>
      <c r="E129" s="55">
        <v>26</v>
      </c>
      <c r="F129" s="55">
        <v>16</v>
      </c>
      <c r="G129" s="55">
        <v>0</v>
      </c>
      <c r="H129" s="55">
        <v>0</v>
      </c>
      <c r="I129" s="55">
        <v>0.8</v>
      </c>
      <c r="J129" s="55">
        <v>0</v>
      </c>
      <c r="K129" s="55">
        <v>0</v>
      </c>
      <c r="L129" s="55">
        <v>0</v>
      </c>
      <c r="M129" s="54" t="str">
        <f t="shared" si="8"/>
        <v>24+ Months</v>
      </c>
      <c r="N129" s="54" t="str">
        <f t="shared" si="9"/>
        <v>24+ Months</v>
      </c>
      <c r="O129" s="54" t="s">
        <v>7</v>
      </c>
      <c r="P129" s="54">
        <f t="shared" si="5"/>
        <v>0</v>
      </c>
      <c r="Q129">
        <f t="shared" si="6"/>
        <v>0</v>
      </c>
      <c r="R129">
        <f t="shared" si="7"/>
        <v>0</v>
      </c>
    </row>
    <row r="130" spans="1:18" x14ac:dyDescent="0.2">
      <c r="A130" s="54">
        <v>126094</v>
      </c>
      <c r="B130" s="54" t="s">
        <v>493</v>
      </c>
      <c r="C130" s="55">
        <v>36</v>
      </c>
      <c r="D130" s="55">
        <v>16</v>
      </c>
      <c r="E130" s="55">
        <v>26</v>
      </c>
      <c r="F130" s="55">
        <v>52</v>
      </c>
      <c r="G130" s="55">
        <v>45</v>
      </c>
      <c r="H130" s="55">
        <v>45</v>
      </c>
      <c r="I130" s="55">
        <v>1.63</v>
      </c>
      <c r="J130" s="55">
        <v>1.41</v>
      </c>
      <c r="K130" s="55">
        <v>1.41</v>
      </c>
      <c r="L130" s="55">
        <v>12</v>
      </c>
      <c r="M130" s="54" t="str">
        <f t="shared" si="8"/>
        <v>24+ Months</v>
      </c>
      <c r="N130" s="54" t="str">
        <f t="shared" si="9"/>
        <v>24+ Months</v>
      </c>
      <c r="O130" s="54" t="s">
        <v>7</v>
      </c>
      <c r="P130" s="54">
        <f t="shared" ref="P130:P193" si="10">IF(I130&gt;=2, C130, IF(J130&gt;=0.75, C130, 0))</f>
        <v>36</v>
      </c>
      <c r="Q130">
        <f t="shared" ref="Q130:Q193" si="11">IF(I130&gt;=2, C130, IF(AND(J130&gt;=0.75, D130&gt;=550), C130, 0))</f>
        <v>0</v>
      </c>
      <c r="R130">
        <f t="shared" ref="R130:R193" si="12">IF(J130&gt;=0.75, C130, 0)</f>
        <v>36</v>
      </c>
    </row>
    <row r="131" spans="1:18" x14ac:dyDescent="0.2">
      <c r="A131" s="54">
        <v>106516</v>
      </c>
      <c r="B131" s="54" t="s">
        <v>278</v>
      </c>
      <c r="C131" s="55">
        <v>101</v>
      </c>
      <c r="D131" s="55">
        <v>80</v>
      </c>
      <c r="E131" s="55">
        <v>26</v>
      </c>
      <c r="F131" s="55">
        <v>167</v>
      </c>
      <c r="G131" s="55">
        <v>33</v>
      </c>
      <c r="H131" s="55">
        <v>29</v>
      </c>
      <c r="I131" s="55">
        <v>2.09</v>
      </c>
      <c r="J131" s="55">
        <v>0.41</v>
      </c>
      <c r="K131" s="55">
        <v>0.36</v>
      </c>
      <c r="L131" s="55">
        <v>57</v>
      </c>
      <c r="M131" s="54" t="str">
        <f t="shared" ref="M131:M194" si="13">IF(E131&lt;6,"0-6 Months", IF(E131&lt;13, "6-12 Months", IF(E131&lt;19, "12-24 Months", IF(E131&lt;25, "12-24 Months", "24+ Months"))))</f>
        <v>24+ Months</v>
      </c>
      <c r="N131" s="54" t="str">
        <f t="shared" ref="N131:N194" si="14">IF(E131&lt;6,"12-18 Months", IF(E131&lt;13, "18-24 Months", "24+ Months"))</f>
        <v>24+ Months</v>
      </c>
      <c r="O131" s="54" t="s">
        <v>7</v>
      </c>
      <c r="P131" s="54">
        <f t="shared" si="10"/>
        <v>101</v>
      </c>
      <c r="Q131">
        <f t="shared" si="11"/>
        <v>101</v>
      </c>
      <c r="R131">
        <f t="shared" si="12"/>
        <v>0</v>
      </c>
    </row>
    <row r="132" spans="1:18" x14ac:dyDescent="0.2">
      <c r="A132" s="54">
        <v>145570</v>
      </c>
      <c r="B132" s="54" t="s">
        <v>561</v>
      </c>
      <c r="C132" s="55">
        <v>189</v>
      </c>
      <c r="D132" s="55">
        <v>153</v>
      </c>
      <c r="E132" s="55">
        <v>26</v>
      </c>
      <c r="F132" s="55">
        <v>8</v>
      </c>
      <c r="G132" s="55">
        <v>8</v>
      </c>
      <c r="H132" s="55">
        <v>8</v>
      </c>
      <c r="I132" s="55">
        <v>0.05</v>
      </c>
      <c r="J132" s="55">
        <v>0.05</v>
      </c>
      <c r="K132" s="55">
        <v>0.05</v>
      </c>
      <c r="L132" s="55">
        <v>15</v>
      </c>
      <c r="M132" s="54" t="str">
        <f t="shared" si="13"/>
        <v>24+ Months</v>
      </c>
      <c r="N132" s="54" t="str">
        <f t="shared" si="14"/>
        <v>24+ Months</v>
      </c>
      <c r="O132" s="54" t="s">
        <v>6</v>
      </c>
      <c r="P132" s="54">
        <f t="shared" si="10"/>
        <v>0</v>
      </c>
      <c r="Q132">
        <f t="shared" si="11"/>
        <v>0</v>
      </c>
      <c r="R132">
        <f t="shared" si="12"/>
        <v>0</v>
      </c>
    </row>
    <row r="133" spans="1:18" x14ac:dyDescent="0.2">
      <c r="A133" s="54">
        <v>515162</v>
      </c>
      <c r="B133" s="54" t="s">
        <v>606</v>
      </c>
      <c r="C133" s="55">
        <v>6</v>
      </c>
      <c r="D133" s="55">
        <v>6</v>
      </c>
      <c r="E133" s="55">
        <v>25</v>
      </c>
      <c r="F133" s="55">
        <v>1</v>
      </c>
      <c r="G133" s="55">
        <v>0</v>
      </c>
      <c r="H133" s="55">
        <v>0</v>
      </c>
      <c r="I133" s="55">
        <v>0.17</v>
      </c>
      <c r="J133" s="55">
        <v>0</v>
      </c>
      <c r="K133" s="55">
        <v>0</v>
      </c>
      <c r="L133" s="55">
        <v>0</v>
      </c>
      <c r="M133" s="54" t="str">
        <f t="shared" si="13"/>
        <v>24+ Months</v>
      </c>
      <c r="N133" s="54" t="str">
        <f t="shared" si="14"/>
        <v>24+ Months</v>
      </c>
      <c r="O133" s="54" t="s">
        <v>7</v>
      </c>
      <c r="P133" s="54">
        <f t="shared" si="10"/>
        <v>0</v>
      </c>
      <c r="Q133">
        <f t="shared" si="11"/>
        <v>0</v>
      </c>
      <c r="R133">
        <f t="shared" si="12"/>
        <v>0</v>
      </c>
    </row>
    <row r="134" spans="1:18" x14ac:dyDescent="0.2">
      <c r="A134" s="54">
        <v>318425</v>
      </c>
      <c r="B134" s="54" t="s">
        <v>544</v>
      </c>
      <c r="C134" s="55">
        <v>25</v>
      </c>
      <c r="D134" s="55">
        <v>40</v>
      </c>
      <c r="E134" s="55">
        <v>25</v>
      </c>
      <c r="F134" s="55">
        <v>14</v>
      </c>
      <c r="G134" s="55">
        <v>0</v>
      </c>
      <c r="H134" s="55">
        <v>0</v>
      </c>
      <c r="I134" s="55">
        <v>0.35</v>
      </c>
      <c r="J134" s="55">
        <v>0</v>
      </c>
      <c r="K134" s="55">
        <v>0</v>
      </c>
      <c r="L134" s="55">
        <v>0</v>
      </c>
      <c r="M134" s="54" t="str">
        <f t="shared" si="13"/>
        <v>24+ Months</v>
      </c>
      <c r="N134" s="54" t="str">
        <f t="shared" si="14"/>
        <v>24+ Months</v>
      </c>
      <c r="O134" s="54" t="s">
        <v>7</v>
      </c>
      <c r="P134" s="54">
        <f t="shared" si="10"/>
        <v>0</v>
      </c>
      <c r="Q134">
        <f t="shared" si="11"/>
        <v>0</v>
      </c>
      <c r="R134">
        <f t="shared" si="12"/>
        <v>0</v>
      </c>
    </row>
    <row r="135" spans="1:18" x14ac:dyDescent="0.2">
      <c r="A135" s="54">
        <v>112152</v>
      </c>
      <c r="B135" s="54" t="s">
        <v>400</v>
      </c>
      <c r="C135" s="55">
        <v>60</v>
      </c>
      <c r="D135" s="55">
        <v>60</v>
      </c>
      <c r="E135" s="55">
        <v>25</v>
      </c>
      <c r="F135" s="55">
        <v>57</v>
      </c>
      <c r="G135" s="55">
        <v>36</v>
      </c>
      <c r="H135" s="55">
        <v>36</v>
      </c>
      <c r="I135" s="55">
        <v>0.95</v>
      </c>
      <c r="J135" s="55">
        <v>0.6</v>
      </c>
      <c r="K135" s="55">
        <v>0.6</v>
      </c>
      <c r="L135" s="55">
        <v>4</v>
      </c>
      <c r="M135" s="54" t="str">
        <f t="shared" si="13"/>
        <v>24+ Months</v>
      </c>
      <c r="N135" s="54" t="str">
        <f t="shared" si="14"/>
        <v>24+ Months</v>
      </c>
      <c r="O135" s="54" t="s">
        <v>7</v>
      </c>
      <c r="P135" s="54">
        <f t="shared" si="10"/>
        <v>0</v>
      </c>
      <c r="Q135">
        <f t="shared" si="11"/>
        <v>0</v>
      </c>
      <c r="R135">
        <f t="shared" si="12"/>
        <v>0</v>
      </c>
    </row>
    <row r="136" spans="1:18" x14ac:dyDescent="0.2">
      <c r="A136" s="54">
        <v>132066</v>
      </c>
      <c r="B136" s="54" t="s">
        <v>271</v>
      </c>
      <c r="C136" s="55">
        <v>133</v>
      </c>
      <c r="D136" s="55">
        <v>140</v>
      </c>
      <c r="E136" s="55">
        <v>25</v>
      </c>
      <c r="F136" s="55">
        <v>156</v>
      </c>
      <c r="G136" s="55">
        <v>91</v>
      </c>
      <c r="H136" s="55">
        <v>32</v>
      </c>
      <c r="I136" s="55">
        <v>1.1100000000000001</v>
      </c>
      <c r="J136" s="55">
        <v>0.65</v>
      </c>
      <c r="K136" s="55">
        <v>0.23</v>
      </c>
      <c r="L136" s="55">
        <v>0</v>
      </c>
      <c r="M136" s="54" t="str">
        <f t="shared" si="13"/>
        <v>24+ Months</v>
      </c>
      <c r="N136" s="54" t="str">
        <f t="shared" si="14"/>
        <v>24+ Months</v>
      </c>
      <c r="O136" s="54" t="s">
        <v>6</v>
      </c>
      <c r="P136" s="54">
        <f t="shared" si="10"/>
        <v>0</v>
      </c>
      <c r="Q136">
        <f t="shared" si="11"/>
        <v>0</v>
      </c>
      <c r="R136">
        <f t="shared" si="12"/>
        <v>0</v>
      </c>
    </row>
    <row r="137" spans="1:18" x14ac:dyDescent="0.2">
      <c r="A137" s="54">
        <v>118223</v>
      </c>
      <c r="B137" s="54" t="s">
        <v>247</v>
      </c>
      <c r="C137" s="55">
        <v>183</v>
      </c>
      <c r="D137" s="55">
        <v>186</v>
      </c>
      <c r="E137" s="55">
        <v>25</v>
      </c>
      <c r="F137" s="55">
        <v>284</v>
      </c>
      <c r="G137" s="55">
        <v>275</v>
      </c>
      <c r="H137" s="55">
        <v>5</v>
      </c>
      <c r="I137" s="55">
        <v>1.53</v>
      </c>
      <c r="J137" s="55">
        <v>1.48</v>
      </c>
      <c r="K137" s="55">
        <v>0.03</v>
      </c>
      <c r="L137" s="55">
        <v>0</v>
      </c>
      <c r="M137" s="54" t="str">
        <f t="shared" si="13"/>
        <v>24+ Months</v>
      </c>
      <c r="N137" s="54" t="str">
        <f t="shared" si="14"/>
        <v>24+ Months</v>
      </c>
      <c r="O137" s="54" t="s">
        <v>6</v>
      </c>
      <c r="P137" s="54">
        <f t="shared" si="10"/>
        <v>183</v>
      </c>
      <c r="Q137">
        <f t="shared" si="11"/>
        <v>0</v>
      </c>
      <c r="R137">
        <f t="shared" si="12"/>
        <v>183</v>
      </c>
    </row>
    <row r="138" spans="1:18" x14ac:dyDescent="0.2">
      <c r="A138" s="54">
        <v>164536</v>
      </c>
      <c r="B138" s="54" t="s">
        <v>454</v>
      </c>
      <c r="C138" s="55">
        <v>196</v>
      </c>
      <c r="D138" s="55">
        <v>195</v>
      </c>
      <c r="E138" s="55">
        <v>25</v>
      </c>
      <c r="F138" s="55">
        <v>67</v>
      </c>
      <c r="G138" s="55">
        <v>8</v>
      </c>
      <c r="H138" s="55">
        <v>2</v>
      </c>
      <c r="I138" s="55">
        <v>0.34</v>
      </c>
      <c r="J138" s="55">
        <v>0.04</v>
      </c>
      <c r="K138" s="55">
        <v>0.01</v>
      </c>
      <c r="L138" s="55">
        <v>7</v>
      </c>
      <c r="M138" s="54" t="str">
        <f t="shared" si="13"/>
        <v>24+ Months</v>
      </c>
      <c r="N138" s="54" t="str">
        <f t="shared" si="14"/>
        <v>24+ Months</v>
      </c>
      <c r="O138" s="54" t="s">
        <v>6</v>
      </c>
      <c r="P138" s="54">
        <f t="shared" si="10"/>
        <v>0</v>
      </c>
      <c r="Q138">
        <f t="shared" si="11"/>
        <v>0</v>
      </c>
      <c r="R138">
        <f t="shared" si="12"/>
        <v>0</v>
      </c>
    </row>
    <row r="139" spans="1:18" x14ac:dyDescent="0.2">
      <c r="A139" s="54">
        <v>107794</v>
      </c>
      <c r="B139" s="54" t="s">
        <v>152</v>
      </c>
      <c r="C139" s="55">
        <v>250</v>
      </c>
      <c r="D139" s="55">
        <v>274</v>
      </c>
      <c r="E139" s="55">
        <v>25</v>
      </c>
      <c r="F139" s="55">
        <v>741</v>
      </c>
      <c r="G139" s="55">
        <v>433</v>
      </c>
      <c r="H139" s="55">
        <v>93</v>
      </c>
      <c r="I139" s="55">
        <v>2.7</v>
      </c>
      <c r="J139" s="55">
        <v>1.58</v>
      </c>
      <c r="K139" s="55">
        <v>0.34</v>
      </c>
      <c r="L139" s="55">
        <v>0</v>
      </c>
      <c r="M139" s="54" t="str">
        <f t="shared" si="13"/>
        <v>24+ Months</v>
      </c>
      <c r="N139" s="54" t="str">
        <f t="shared" si="14"/>
        <v>24+ Months</v>
      </c>
      <c r="O139" s="54" t="s">
        <v>6</v>
      </c>
      <c r="P139" s="54">
        <f t="shared" si="10"/>
        <v>250</v>
      </c>
      <c r="Q139">
        <f t="shared" si="11"/>
        <v>250</v>
      </c>
      <c r="R139">
        <f t="shared" si="12"/>
        <v>250</v>
      </c>
    </row>
    <row r="140" spans="1:18" x14ac:dyDescent="0.2">
      <c r="A140" s="54">
        <v>109229</v>
      </c>
      <c r="B140" s="54" t="s">
        <v>389</v>
      </c>
      <c r="C140" s="55">
        <v>285</v>
      </c>
      <c r="D140" s="55">
        <v>228</v>
      </c>
      <c r="E140" s="55">
        <v>25</v>
      </c>
      <c r="F140" s="55">
        <v>93</v>
      </c>
      <c r="G140" s="55">
        <v>11</v>
      </c>
      <c r="H140" s="55">
        <v>0</v>
      </c>
      <c r="I140" s="55">
        <v>0.41</v>
      </c>
      <c r="J140" s="55">
        <v>0.05</v>
      </c>
      <c r="K140" s="55">
        <v>0</v>
      </c>
      <c r="L140" s="55">
        <v>135</v>
      </c>
      <c r="M140" s="54" t="str">
        <f t="shared" si="13"/>
        <v>24+ Months</v>
      </c>
      <c r="N140" s="54" t="str">
        <f t="shared" si="14"/>
        <v>24+ Months</v>
      </c>
      <c r="O140" s="54" t="s">
        <v>6</v>
      </c>
      <c r="P140" s="54">
        <f t="shared" si="10"/>
        <v>0</v>
      </c>
      <c r="Q140">
        <f t="shared" si="11"/>
        <v>0</v>
      </c>
      <c r="R140">
        <f t="shared" si="12"/>
        <v>0</v>
      </c>
    </row>
    <row r="141" spans="1:18" x14ac:dyDescent="0.2">
      <c r="A141" s="54">
        <v>106603</v>
      </c>
      <c r="B141" s="54" t="s">
        <v>474</v>
      </c>
      <c r="C141" s="55">
        <v>378</v>
      </c>
      <c r="D141" s="55">
        <v>577</v>
      </c>
      <c r="E141" s="55">
        <v>25</v>
      </c>
      <c r="F141" s="55">
        <v>26</v>
      </c>
      <c r="G141" s="55">
        <v>26</v>
      </c>
      <c r="H141" s="55">
        <v>26</v>
      </c>
      <c r="I141" s="55">
        <v>0.04</v>
      </c>
      <c r="J141" s="55">
        <v>0.04</v>
      </c>
      <c r="K141" s="55">
        <v>0.04</v>
      </c>
      <c r="L141" s="55">
        <v>33</v>
      </c>
      <c r="M141" s="54" t="str">
        <f t="shared" si="13"/>
        <v>24+ Months</v>
      </c>
      <c r="N141" s="54" t="str">
        <f t="shared" si="14"/>
        <v>24+ Months</v>
      </c>
      <c r="O141" s="54" t="s">
        <v>5</v>
      </c>
      <c r="P141" s="54">
        <f t="shared" si="10"/>
        <v>0</v>
      </c>
      <c r="Q141">
        <f t="shared" si="11"/>
        <v>0</v>
      </c>
      <c r="R141">
        <f t="shared" si="12"/>
        <v>0</v>
      </c>
    </row>
    <row r="142" spans="1:18" x14ac:dyDescent="0.2">
      <c r="A142" s="54">
        <v>109265</v>
      </c>
      <c r="B142" s="54" t="s">
        <v>279</v>
      </c>
      <c r="C142" s="55">
        <v>445</v>
      </c>
      <c r="D142" s="55">
        <v>300</v>
      </c>
      <c r="E142" s="55">
        <v>25</v>
      </c>
      <c r="F142" s="55">
        <v>126</v>
      </c>
      <c r="G142" s="55">
        <v>126</v>
      </c>
      <c r="H142" s="55">
        <v>92</v>
      </c>
      <c r="I142" s="55">
        <v>0.42</v>
      </c>
      <c r="J142" s="55">
        <v>0.42</v>
      </c>
      <c r="K142" s="55">
        <v>0.31</v>
      </c>
      <c r="L142" s="55">
        <v>0</v>
      </c>
      <c r="M142" s="54" t="str">
        <f t="shared" si="13"/>
        <v>24+ Months</v>
      </c>
      <c r="N142" s="54" t="str">
        <f t="shared" si="14"/>
        <v>24+ Months</v>
      </c>
      <c r="O142" s="54" t="s">
        <v>6</v>
      </c>
      <c r="P142" s="54">
        <f t="shared" si="10"/>
        <v>0</v>
      </c>
      <c r="Q142">
        <f t="shared" si="11"/>
        <v>0</v>
      </c>
      <c r="R142">
        <f t="shared" si="12"/>
        <v>0</v>
      </c>
    </row>
    <row r="143" spans="1:18" x14ac:dyDescent="0.2">
      <c r="A143" s="54">
        <v>110318</v>
      </c>
      <c r="B143" s="54" t="s">
        <v>374</v>
      </c>
      <c r="C143" s="55">
        <v>533</v>
      </c>
      <c r="D143" s="55">
        <v>312</v>
      </c>
      <c r="E143" s="55">
        <v>25</v>
      </c>
      <c r="F143" s="55">
        <v>89</v>
      </c>
      <c r="G143" s="55">
        <v>19</v>
      </c>
      <c r="H143" s="55">
        <v>5</v>
      </c>
      <c r="I143" s="55">
        <v>0.28999999999999998</v>
      </c>
      <c r="J143" s="55">
        <v>0.06</v>
      </c>
      <c r="K143" s="55">
        <v>0.02</v>
      </c>
      <c r="L143" s="55">
        <v>0</v>
      </c>
      <c r="M143" s="54" t="str">
        <f t="shared" si="13"/>
        <v>24+ Months</v>
      </c>
      <c r="N143" s="54" t="str">
        <f t="shared" si="14"/>
        <v>24+ Months</v>
      </c>
      <c r="O143" s="54" t="s">
        <v>6</v>
      </c>
      <c r="P143" s="54">
        <f t="shared" si="10"/>
        <v>0</v>
      </c>
      <c r="Q143">
        <f t="shared" si="11"/>
        <v>0</v>
      </c>
      <c r="R143">
        <f t="shared" si="12"/>
        <v>0</v>
      </c>
    </row>
    <row r="144" spans="1:18" x14ac:dyDescent="0.2">
      <c r="A144" s="54">
        <v>112129</v>
      </c>
      <c r="B144" s="54" t="s">
        <v>137</v>
      </c>
      <c r="C144" s="55">
        <v>538</v>
      </c>
      <c r="D144" s="55">
        <v>473</v>
      </c>
      <c r="E144" s="55">
        <v>25</v>
      </c>
      <c r="F144" s="55">
        <v>875</v>
      </c>
      <c r="G144" s="55">
        <v>334</v>
      </c>
      <c r="H144" s="55">
        <v>334</v>
      </c>
      <c r="I144" s="55">
        <v>1.85</v>
      </c>
      <c r="J144" s="55">
        <v>0.71</v>
      </c>
      <c r="K144" s="55">
        <v>0.71</v>
      </c>
      <c r="L144" s="55">
        <v>40</v>
      </c>
      <c r="M144" s="54" t="str">
        <f t="shared" si="13"/>
        <v>24+ Months</v>
      </c>
      <c r="N144" s="54" t="str">
        <f t="shared" si="14"/>
        <v>24+ Months</v>
      </c>
      <c r="O144" s="54" t="s">
        <v>6</v>
      </c>
      <c r="P144" s="54">
        <f t="shared" si="10"/>
        <v>0</v>
      </c>
      <c r="Q144">
        <f t="shared" si="11"/>
        <v>0</v>
      </c>
      <c r="R144">
        <f t="shared" si="12"/>
        <v>0</v>
      </c>
    </row>
    <row r="145" spans="1:18" x14ac:dyDescent="0.2">
      <c r="A145" s="54">
        <v>107750</v>
      </c>
      <c r="B145" s="54" t="s">
        <v>103</v>
      </c>
      <c r="C145" s="55">
        <v>745</v>
      </c>
      <c r="D145" s="55">
        <v>715</v>
      </c>
      <c r="E145" s="55">
        <v>25</v>
      </c>
      <c r="F145" s="55">
        <v>2181</v>
      </c>
      <c r="G145" s="55">
        <v>119</v>
      </c>
      <c r="H145" s="55">
        <v>89</v>
      </c>
      <c r="I145" s="55">
        <v>3.05</v>
      </c>
      <c r="J145" s="55">
        <v>0.17</v>
      </c>
      <c r="K145" s="55">
        <v>0.12</v>
      </c>
      <c r="L145" s="55">
        <v>236</v>
      </c>
      <c r="M145" s="54" t="str">
        <f t="shared" si="13"/>
        <v>24+ Months</v>
      </c>
      <c r="N145" s="54" t="str">
        <f t="shared" si="14"/>
        <v>24+ Months</v>
      </c>
      <c r="O145" s="54" t="s">
        <v>5</v>
      </c>
      <c r="P145" s="54">
        <f t="shared" si="10"/>
        <v>745</v>
      </c>
      <c r="Q145">
        <f t="shared" si="11"/>
        <v>745</v>
      </c>
      <c r="R145">
        <f t="shared" si="12"/>
        <v>0</v>
      </c>
    </row>
    <row r="146" spans="1:18" x14ac:dyDescent="0.2">
      <c r="A146" s="54">
        <v>106774</v>
      </c>
      <c r="B146" s="54" t="s">
        <v>273</v>
      </c>
      <c r="C146" s="55">
        <v>1018</v>
      </c>
      <c r="D146" s="55">
        <v>998</v>
      </c>
      <c r="E146" s="55">
        <v>25</v>
      </c>
      <c r="F146" s="55">
        <v>189</v>
      </c>
      <c r="G146" s="55">
        <v>104</v>
      </c>
      <c r="H146" s="55">
        <v>73</v>
      </c>
      <c r="I146" s="55">
        <v>0.19</v>
      </c>
      <c r="J146" s="55">
        <v>0.1</v>
      </c>
      <c r="K146" s="55">
        <v>7.0000000000000007E-2</v>
      </c>
      <c r="L146" s="55">
        <v>85</v>
      </c>
      <c r="M146" s="54" t="str">
        <f t="shared" si="13"/>
        <v>24+ Months</v>
      </c>
      <c r="N146" s="54" t="str">
        <f t="shared" si="14"/>
        <v>24+ Months</v>
      </c>
      <c r="O146" s="54" t="s">
        <v>5</v>
      </c>
      <c r="P146" s="54">
        <f t="shared" si="10"/>
        <v>0</v>
      </c>
      <c r="Q146">
        <f t="shared" si="11"/>
        <v>0</v>
      </c>
      <c r="R146">
        <f t="shared" si="12"/>
        <v>0</v>
      </c>
    </row>
    <row r="147" spans="1:18" x14ac:dyDescent="0.2">
      <c r="A147" s="54">
        <v>210852</v>
      </c>
      <c r="B147" s="54" t="s">
        <v>513</v>
      </c>
      <c r="C147" s="55">
        <v>21</v>
      </c>
      <c r="D147" s="55">
        <v>24</v>
      </c>
      <c r="E147" s="55">
        <v>24</v>
      </c>
      <c r="F147" s="55">
        <v>14</v>
      </c>
      <c r="G147" s="55">
        <v>5</v>
      </c>
      <c r="H147" s="55">
        <v>0</v>
      </c>
      <c r="I147" s="55">
        <v>0.57999999999999996</v>
      </c>
      <c r="J147" s="55">
        <v>0.21</v>
      </c>
      <c r="K147" s="55">
        <v>0</v>
      </c>
      <c r="L147" s="55">
        <v>0</v>
      </c>
      <c r="M147" s="54" t="str">
        <f t="shared" si="13"/>
        <v>12-24 Months</v>
      </c>
      <c r="N147" s="54" t="str">
        <f t="shared" si="14"/>
        <v>24+ Months</v>
      </c>
      <c r="O147" s="54" t="s">
        <v>7</v>
      </c>
      <c r="P147" s="54">
        <f t="shared" si="10"/>
        <v>0</v>
      </c>
      <c r="Q147">
        <f t="shared" si="11"/>
        <v>0</v>
      </c>
      <c r="R147">
        <f t="shared" si="12"/>
        <v>0</v>
      </c>
    </row>
    <row r="148" spans="1:18" x14ac:dyDescent="0.2">
      <c r="A148" s="54">
        <v>365837</v>
      </c>
      <c r="B148" s="54" t="s">
        <v>214</v>
      </c>
      <c r="C148" s="55">
        <v>23</v>
      </c>
      <c r="D148" s="55">
        <v>23</v>
      </c>
      <c r="E148" s="55">
        <v>24</v>
      </c>
      <c r="F148" s="55">
        <v>536</v>
      </c>
      <c r="G148" s="55">
        <v>253</v>
      </c>
      <c r="H148" s="55">
        <v>228</v>
      </c>
      <c r="I148" s="55">
        <v>23.3</v>
      </c>
      <c r="J148" s="55">
        <v>11</v>
      </c>
      <c r="K148" s="55">
        <v>9.91</v>
      </c>
      <c r="L148" s="55">
        <v>12</v>
      </c>
      <c r="M148" s="54" t="str">
        <f t="shared" si="13"/>
        <v>12-24 Months</v>
      </c>
      <c r="N148" s="54" t="str">
        <f t="shared" si="14"/>
        <v>24+ Months</v>
      </c>
      <c r="O148" s="54" t="s">
        <v>7</v>
      </c>
      <c r="P148" s="54">
        <f t="shared" si="10"/>
        <v>23</v>
      </c>
      <c r="Q148">
        <f t="shared" si="11"/>
        <v>23</v>
      </c>
      <c r="R148">
        <f t="shared" si="12"/>
        <v>23</v>
      </c>
    </row>
    <row r="149" spans="1:18" x14ac:dyDescent="0.2">
      <c r="A149" s="54">
        <v>108003</v>
      </c>
      <c r="B149" s="54" t="s">
        <v>342</v>
      </c>
      <c r="C149" s="55">
        <v>79</v>
      </c>
      <c r="D149" s="55">
        <v>75</v>
      </c>
      <c r="E149" s="55">
        <v>24</v>
      </c>
      <c r="F149" s="55">
        <v>72</v>
      </c>
      <c r="G149" s="55">
        <v>19</v>
      </c>
      <c r="H149" s="55">
        <v>16</v>
      </c>
      <c r="I149" s="55">
        <v>0.96</v>
      </c>
      <c r="J149" s="55">
        <v>0.25</v>
      </c>
      <c r="K149" s="55">
        <v>0.21</v>
      </c>
      <c r="L149" s="55">
        <v>0</v>
      </c>
      <c r="M149" s="54" t="str">
        <f t="shared" si="13"/>
        <v>12-24 Months</v>
      </c>
      <c r="N149" s="54" t="str">
        <f t="shared" si="14"/>
        <v>24+ Months</v>
      </c>
      <c r="O149" s="54" t="s">
        <v>7</v>
      </c>
      <c r="P149" s="54">
        <f t="shared" si="10"/>
        <v>0</v>
      </c>
      <c r="Q149">
        <f t="shared" si="11"/>
        <v>0</v>
      </c>
      <c r="R149">
        <f t="shared" si="12"/>
        <v>0</v>
      </c>
    </row>
    <row r="150" spans="1:18" x14ac:dyDescent="0.2">
      <c r="A150" s="54">
        <v>542050</v>
      </c>
      <c r="B150" s="54" t="s">
        <v>441</v>
      </c>
      <c r="C150" s="55">
        <v>101</v>
      </c>
      <c r="D150" s="55">
        <v>100</v>
      </c>
      <c r="E150" s="55">
        <v>24</v>
      </c>
      <c r="F150" s="55">
        <v>38</v>
      </c>
      <c r="G150" s="55">
        <v>26</v>
      </c>
      <c r="H150" s="55">
        <v>26</v>
      </c>
      <c r="I150" s="55">
        <v>0.38</v>
      </c>
      <c r="J150" s="55">
        <v>0.26</v>
      </c>
      <c r="K150" s="55">
        <v>0.26</v>
      </c>
      <c r="L150" s="55">
        <v>10</v>
      </c>
      <c r="M150" s="54" t="str">
        <f t="shared" si="13"/>
        <v>12-24 Months</v>
      </c>
      <c r="N150" s="54" t="str">
        <f t="shared" si="14"/>
        <v>24+ Months</v>
      </c>
      <c r="O150" s="54" t="s">
        <v>6</v>
      </c>
      <c r="P150" s="54">
        <f t="shared" si="10"/>
        <v>0</v>
      </c>
      <c r="Q150">
        <f t="shared" si="11"/>
        <v>0</v>
      </c>
      <c r="R150">
        <f t="shared" si="12"/>
        <v>0</v>
      </c>
    </row>
    <row r="151" spans="1:18" x14ac:dyDescent="0.2">
      <c r="A151" s="54">
        <v>110479</v>
      </c>
      <c r="B151" s="54" t="s">
        <v>532</v>
      </c>
      <c r="C151" s="55">
        <v>103</v>
      </c>
      <c r="D151" s="55">
        <v>170</v>
      </c>
      <c r="E151" s="55">
        <v>24</v>
      </c>
      <c r="F151" s="55">
        <v>12</v>
      </c>
      <c r="G151" s="55">
        <v>0</v>
      </c>
      <c r="H151" s="55">
        <v>0</v>
      </c>
      <c r="I151" s="55">
        <v>7.0000000000000007E-2</v>
      </c>
      <c r="J151" s="55">
        <v>0</v>
      </c>
      <c r="K151" s="55">
        <v>0</v>
      </c>
      <c r="L151" s="55">
        <v>120</v>
      </c>
      <c r="M151" s="54" t="str">
        <f t="shared" si="13"/>
        <v>12-24 Months</v>
      </c>
      <c r="N151" s="54" t="str">
        <f t="shared" si="14"/>
        <v>24+ Months</v>
      </c>
      <c r="O151" s="54" t="s">
        <v>6</v>
      </c>
      <c r="P151" s="54">
        <f t="shared" si="10"/>
        <v>0</v>
      </c>
      <c r="Q151">
        <f t="shared" si="11"/>
        <v>0</v>
      </c>
      <c r="R151">
        <f t="shared" si="12"/>
        <v>0</v>
      </c>
    </row>
    <row r="152" spans="1:18" x14ac:dyDescent="0.2">
      <c r="A152" s="54">
        <v>109686</v>
      </c>
      <c r="B152" s="54" t="s">
        <v>586</v>
      </c>
      <c r="C152" s="55">
        <v>165</v>
      </c>
      <c r="D152" s="55">
        <v>186</v>
      </c>
      <c r="E152" s="55">
        <v>24</v>
      </c>
      <c r="F152" s="55">
        <v>4</v>
      </c>
      <c r="G152" s="55">
        <v>0</v>
      </c>
      <c r="H152" s="55">
        <v>0</v>
      </c>
      <c r="I152" s="55">
        <v>0.02</v>
      </c>
      <c r="J152" s="55">
        <v>0</v>
      </c>
      <c r="K152" s="55">
        <v>0</v>
      </c>
      <c r="L152" s="55">
        <v>0</v>
      </c>
      <c r="M152" s="54" t="str">
        <f t="shared" si="13"/>
        <v>12-24 Months</v>
      </c>
      <c r="N152" s="54" t="str">
        <f t="shared" si="14"/>
        <v>24+ Months</v>
      </c>
      <c r="O152" s="54" t="s">
        <v>6</v>
      </c>
      <c r="P152" s="54">
        <f t="shared" si="10"/>
        <v>0</v>
      </c>
      <c r="Q152">
        <f t="shared" si="11"/>
        <v>0</v>
      </c>
      <c r="R152">
        <f t="shared" si="12"/>
        <v>0</v>
      </c>
    </row>
    <row r="153" spans="1:18" x14ac:dyDescent="0.2">
      <c r="A153" s="54">
        <v>112375</v>
      </c>
      <c r="B153" s="54" t="s">
        <v>213</v>
      </c>
      <c r="C153" s="55">
        <v>189</v>
      </c>
      <c r="D153" s="55">
        <v>174</v>
      </c>
      <c r="E153" s="55">
        <v>24</v>
      </c>
      <c r="F153" s="55">
        <v>168</v>
      </c>
      <c r="G153" s="55">
        <v>148</v>
      </c>
      <c r="H153" s="55">
        <v>71</v>
      </c>
      <c r="I153" s="55">
        <v>0.97</v>
      </c>
      <c r="J153" s="55">
        <v>0.85</v>
      </c>
      <c r="K153" s="55">
        <v>0.41</v>
      </c>
      <c r="L153" s="55">
        <v>2</v>
      </c>
      <c r="M153" s="54" t="str">
        <f t="shared" si="13"/>
        <v>12-24 Months</v>
      </c>
      <c r="N153" s="54" t="str">
        <f t="shared" si="14"/>
        <v>24+ Months</v>
      </c>
      <c r="O153" s="54" t="s">
        <v>6</v>
      </c>
      <c r="P153" s="54">
        <f t="shared" si="10"/>
        <v>189</v>
      </c>
      <c r="Q153">
        <f t="shared" si="11"/>
        <v>0</v>
      </c>
      <c r="R153">
        <f t="shared" si="12"/>
        <v>189</v>
      </c>
    </row>
    <row r="154" spans="1:18" x14ac:dyDescent="0.2">
      <c r="A154" s="54">
        <v>146835</v>
      </c>
      <c r="B154" s="54" t="s">
        <v>486</v>
      </c>
      <c r="C154" s="55">
        <v>198</v>
      </c>
      <c r="D154" s="55">
        <v>210</v>
      </c>
      <c r="E154" s="55">
        <v>24</v>
      </c>
      <c r="F154" s="55">
        <v>46</v>
      </c>
      <c r="G154" s="55">
        <v>7</v>
      </c>
      <c r="H154" s="55">
        <v>4</v>
      </c>
      <c r="I154" s="55">
        <v>0.22</v>
      </c>
      <c r="J154" s="55">
        <v>0.03</v>
      </c>
      <c r="K154" s="55">
        <v>0.02</v>
      </c>
      <c r="L154" s="55">
        <v>28</v>
      </c>
      <c r="M154" s="54" t="str">
        <f t="shared" si="13"/>
        <v>12-24 Months</v>
      </c>
      <c r="N154" s="54" t="str">
        <f t="shared" si="14"/>
        <v>24+ Months</v>
      </c>
      <c r="O154" s="54" t="s">
        <v>6</v>
      </c>
      <c r="P154" s="54">
        <f t="shared" si="10"/>
        <v>0</v>
      </c>
      <c r="Q154">
        <f t="shared" si="11"/>
        <v>0</v>
      </c>
      <c r="R154">
        <f t="shared" si="12"/>
        <v>0</v>
      </c>
    </row>
    <row r="155" spans="1:18" x14ac:dyDescent="0.2">
      <c r="A155" s="54">
        <v>532247</v>
      </c>
      <c r="B155" s="54" t="s">
        <v>134</v>
      </c>
      <c r="C155" s="55">
        <v>703</v>
      </c>
      <c r="D155" s="55">
        <v>480</v>
      </c>
      <c r="E155" s="55">
        <v>24</v>
      </c>
      <c r="F155" s="55">
        <v>681</v>
      </c>
      <c r="G155" s="55">
        <v>362</v>
      </c>
      <c r="H155" s="55">
        <v>327</v>
      </c>
      <c r="I155" s="55">
        <v>1.42</v>
      </c>
      <c r="J155" s="55">
        <v>0.75</v>
      </c>
      <c r="K155" s="55">
        <v>0.68</v>
      </c>
      <c r="L155" s="55">
        <v>6</v>
      </c>
      <c r="M155" s="54" t="str">
        <f t="shared" si="13"/>
        <v>12-24 Months</v>
      </c>
      <c r="N155" s="54" t="str">
        <f t="shared" si="14"/>
        <v>24+ Months</v>
      </c>
      <c r="O155" s="54" t="s">
        <v>6</v>
      </c>
      <c r="P155" s="54">
        <f t="shared" si="10"/>
        <v>703</v>
      </c>
      <c r="Q155">
        <f t="shared" si="11"/>
        <v>0</v>
      </c>
      <c r="R155">
        <f t="shared" si="12"/>
        <v>703</v>
      </c>
    </row>
    <row r="156" spans="1:18" x14ac:dyDescent="0.2">
      <c r="A156" s="54">
        <v>319013</v>
      </c>
      <c r="B156" s="54" t="s">
        <v>659</v>
      </c>
      <c r="C156" s="55">
        <v>16</v>
      </c>
      <c r="D156" s="55">
        <v>16</v>
      </c>
      <c r="E156" s="55">
        <v>23</v>
      </c>
      <c r="F156" s="55">
        <v>0</v>
      </c>
      <c r="G156" s="55">
        <v>0</v>
      </c>
      <c r="H156" s="55">
        <v>0</v>
      </c>
      <c r="I156" s="55">
        <v>0</v>
      </c>
      <c r="J156" s="55">
        <v>0</v>
      </c>
      <c r="K156" s="55">
        <v>0</v>
      </c>
      <c r="L156" s="55">
        <v>0</v>
      </c>
      <c r="M156" s="54" t="str">
        <f t="shared" si="13"/>
        <v>12-24 Months</v>
      </c>
      <c r="N156" s="54" t="str">
        <f t="shared" si="14"/>
        <v>24+ Months</v>
      </c>
      <c r="O156" s="54" t="s">
        <v>7</v>
      </c>
      <c r="P156" s="54">
        <f t="shared" si="10"/>
        <v>0</v>
      </c>
      <c r="Q156">
        <f t="shared" si="11"/>
        <v>0</v>
      </c>
      <c r="R156">
        <f t="shared" si="12"/>
        <v>0</v>
      </c>
    </row>
    <row r="157" spans="1:18" x14ac:dyDescent="0.2">
      <c r="A157" s="54">
        <v>309455</v>
      </c>
      <c r="B157" s="54" t="s">
        <v>629</v>
      </c>
      <c r="C157" s="55">
        <v>40</v>
      </c>
      <c r="D157" s="55">
        <v>10</v>
      </c>
      <c r="E157" s="55">
        <v>23</v>
      </c>
      <c r="F157" s="55">
        <v>1</v>
      </c>
      <c r="G157" s="55">
        <v>1</v>
      </c>
      <c r="H157" s="55">
        <v>1</v>
      </c>
      <c r="I157" s="55">
        <v>0.1</v>
      </c>
      <c r="J157" s="55">
        <v>0.1</v>
      </c>
      <c r="K157" s="55">
        <v>0.1</v>
      </c>
      <c r="L157" s="55">
        <v>2</v>
      </c>
      <c r="M157" s="54" t="str">
        <f t="shared" si="13"/>
        <v>12-24 Months</v>
      </c>
      <c r="N157" s="54" t="str">
        <f t="shared" si="14"/>
        <v>24+ Months</v>
      </c>
      <c r="O157" s="54" t="s">
        <v>7</v>
      </c>
      <c r="P157" s="54">
        <f t="shared" si="10"/>
        <v>0</v>
      </c>
      <c r="Q157">
        <f t="shared" si="11"/>
        <v>0</v>
      </c>
      <c r="R157">
        <f t="shared" si="12"/>
        <v>0</v>
      </c>
    </row>
    <row r="158" spans="1:18" x14ac:dyDescent="0.2">
      <c r="A158" s="54">
        <v>128688</v>
      </c>
      <c r="B158" s="54" t="s">
        <v>533</v>
      </c>
      <c r="C158" s="55">
        <v>89</v>
      </c>
      <c r="D158" s="55">
        <v>89</v>
      </c>
      <c r="E158" s="55">
        <v>23</v>
      </c>
      <c r="F158" s="55">
        <v>11</v>
      </c>
      <c r="G158" s="55">
        <v>11</v>
      </c>
      <c r="H158" s="55">
        <v>0</v>
      </c>
      <c r="I158" s="55">
        <v>0.12</v>
      </c>
      <c r="J158" s="55">
        <v>0.12</v>
      </c>
      <c r="K158" s="55">
        <v>0</v>
      </c>
      <c r="L158" s="55">
        <v>0</v>
      </c>
      <c r="M158" s="54" t="str">
        <f t="shared" si="13"/>
        <v>12-24 Months</v>
      </c>
      <c r="N158" s="54" t="str">
        <f t="shared" si="14"/>
        <v>24+ Months</v>
      </c>
      <c r="O158" s="54" t="s">
        <v>7</v>
      </c>
      <c r="P158" s="54">
        <f t="shared" si="10"/>
        <v>0</v>
      </c>
      <c r="Q158">
        <f t="shared" si="11"/>
        <v>0</v>
      </c>
      <c r="R158">
        <f t="shared" si="12"/>
        <v>0</v>
      </c>
    </row>
    <row r="159" spans="1:18" x14ac:dyDescent="0.2">
      <c r="A159" s="54">
        <v>137813</v>
      </c>
      <c r="B159" s="54" t="s">
        <v>506</v>
      </c>
      <c r="C159" s="55">
        <v>274</v>
      </c>
      <c r="D159" s="55">
        <v>220</v>
      </c>
      <c r="E159" s="55">
        <v>23</v>
      </c>
      <c r="F159" s="55">
        <v>41</v>
      </c>
      <c r="G159" s="55">
        <v>10</v>
      </c>
      <c r="H159" s="55">
        <v>0</v>
      </c>
      <c r="I159" s="55">
        <v>0.19</v>
      </c>
      <c r="J159" s="55">
        <v>0.05</v>
      </c>
      <c r="K159" s="55">
        <v>0</v>
      </c>
      <c r="L159" s="55">
        <v>37</v>
      </c>
      <c r="M159" s="54" t="str">
        <f t="shared" si="13"/>
        <v>12-24 Months</v>
      </c>
      <c r="N159" s="54" t="str">
        <f t="shared" si="14"/>
        <v>24+ Months</v>
      </c>
      <c r="O159" s="54" t="s">
        <v>6</v>
      </c>
      <c r="P159" s="54">
        <f t="shared" si="10"/>
        <v>0</v>
      </c>
      <c r="Q159">
        <f t="shared" si="11"/>
        <v>0</v>
      </c>
      <c r="R159">
        <f t="shared" si="12"/>
        <v>0</v>
      </c>
    </row>
    <row r="160" spans="1:18" x14ac:dyDescent="0.2">
      <c r="A160" s="54">
        <v>175721</v>
      </c>
      <c r="B160" s="54" t="s">
        <v>139</v>
      </c>
      <c r="C160" s="55">
        <v>2200</v>
      </c>
      <c r="D160" s="55">
        <v>1570</v>
      </c>
      <c r="E160" s="55">
        <v>23</v>
      </c>
      <c r="F160" s="55">
        <v>2726</v>
      </c>
      <c r="G160" s="55">
        <v>1271</v>
      </c>
      <c r="H160" s="55">
        <v>367</v>
      </c>
      <c r="I160" s="55">
        <v>1.74</v>
      </c>
      <c r="J160" s="55">
        <v>0.81</v>
      </c>
      <c r="K160" s="55">
        <v>0.23</v>
      </c>
      <c r="L160" s="55">
        <v>792</v>
      </c>
      <c r="M160" s="54" t="str">
        <f t="shared" si="13"/>
        <v>12-24 Months</v>
      </c>
      <c r="N160" s="54" t="str">
        <f t="shared" si="14"/>
        <v>24+ Months</v>
      </c>
      <c r="O160" s="54" t="s">
        <v>5</v>
      </c>
      <c r="P160" s="54">
        <f t="shared" si="10"/>
        <v>2200</v>
      </c>
      <c r="Q160">
        <f t="shared" si="11"/>
        <v>2200</v>
      </c>
      <c r="R160">
        <f t="shared" si="12"/>
        <v>2200</v>
      </c>
    </row>
    <row r="161" spans="1:18" x14ac:dyDescent="0.2">
      <c r="A161" s="54">
        <v>480485</v>
      </c>
      <c r="B161" s="54" t="s">
        <v>590</v>
      </c>
      <c r="C161" s="55">
        <v>4</v>
      </c>
      <c r="D161" s="55">
        <v>4</v>
      </c>
      <c r="E161" s="55">
        <v>22</v>
      </c>
      <c r="F161" s="55">
        <v>4</v>
      </c>
      <c r="G161" s="55">
        <v>2</v>
      </c>
      <c r="H161" s="55">
        <v>0</v>
      </c>
      <c r="I161" s="55">
        <v>1</v>
      </c>
      <c r="J161" s="55">
        <v>0.5</v>
      </c>
      <c r="K161" s="55">
        <v>0</v>
      </c>
      <c r="L161" s="55">
        <v>2</v>
      </c>
      <c r="M161" s="54" t="str">
        <f t="shared" si="13"/>
        <v>12-24 Months</v>
      </c>
      <c r="N161" s="54" t="str">
        <f t="shared" si="14"/>
        <v>24+ Months</v>
      </c>
      <c r="O161" s="54" t="s">
        <v>7</v>
      </c>
      <c r="P161" s="54">
        <f t="shared" si="10"/>
        <v>0</v>
      </c>
      <c r="Q161">
        <f t="shared" si="11"/>
        <v>0</v>
      </c>
      <c r="R161">
        <f t="shared" si="12"/>
        <v>0</v>
      </c>
    </row>
    <row r="162" spans="1:18" x14ac:dyDescent="0.2">
      <c r="A162" s="54">
        <v>130140</v>
      </c>
      <c r="B162" s="54" t="s">
        <v>541</v>
      </c>
      <c r="C162" s="55">
        <v>7</v>
      </c>
      <c r="D162" s="55">
        <v>7</v>
      </c>
      <c r="E162" s="55">
        <v>22</v>
      </c>
      <c r="F162" s="55">
        <v>10</v>
      </c>
      <c r="G162" s="55">
        <v>10</v>
      </c>
      <c r="H162" s="55">
        <v>0</v>
      </c>
      <c r="I162" s="55">
        <v>1.43</v>
      </c>
      <c r="J162" s="55">
        <v>1.43</v>
      </c>
      <c r="K162" s="55">
        <v>0</v>
      </c>
      <c r="L162" s="55">
        <v>3</v>
      </c>
      <c r="M162" s="54" t="str">
        <f t="shared" si="13"/>
        <v>12-24 Months</v>
      </c>
      <c r="N162" s="54" t="str">
        <f t="shared" si="14"/>
        <v>24+ Months</v>
      </c>
      <c r="O162" s="54" t="s">
        <v>7</v>
      </c>
      <c r="P162" s="54">
        <f t="shared" si="10"/>
        <v>7</v>
      </c>
      <c r="Q162">
        <f t="shared" si="11"/>
        <v>0</v>
      </c>
      <c r="R162">
        <f t="shared" si="12"/>
        <v>7</v>
      </c>
    </row>
    <row r="163" spans="1:18" x14ac:dyDescent="0.2">
      <c r="A163" s="54">
        <v>277916</v>
      </c>
      <c r="B163" s="54" t="s">
        <v>649</v>
      </c>
      <c r="C163" s="55">
        <v>7</v>
      </c>
      <c r="D163" s="55">
        <v>7</v>
      </c>
      <c r="E163" s="55">
        <v>22</v>
      </c>
      <c r="F163" s="55">
        <v>0</v>
      </c>
      <c r="G163" s="55">
        <v>0</v>
      </c>
      <c r="H163" s="55">
        <v>0</v>
      </c>
      <c r="I163" s="55">
        <v>0</v>
      </c>
      <c r="J163" s="55">
        <v>0</v>
      </c>
      <c r="K163" s="55">
        <v>0</v>
      </c>
      <c r="L163" s="55">
        <v>0</v>
      </c>
      <c r="M163" s="54" t="str">
        <f t="shared" si="13"/>
        <v>12-24 Months</v>
      </c>
      <c r="N163" s="54" t="str">
        <f t="shared" si="14"/>
        <v>24+ Months</v>
      </c>
      <c r="O163" s="54" t="s">
        <v>7</v>
      </c>
      <c r="P163" s="54">
        <f t="shared" si="10"/>
        <v>0</v>
      </c>
      <c r="Q163">
        <f t="shared" si="11"/>
        <v>0</v>
      </c>
      <c r="R163">
        <f t="shared" si="12"/>
        <v>0</v>
      </c>
    </row>
    <row r="164" spans="1:18" x14ac:dyDescent="0.2">
      <c r="A164" s="54">
        <v>474623</v>
      </c>
      <c r="B164" s="54" t="s">
        <v>221</v>
      </c>
      <c r="C164" s="55">
        <v>16</v>
      </c>
      <c r="D164" s="55">
        <v>31</v>
      </c>
      <c r="E164" s="55">
        <v>22</v>
      </c>
      <c r="F164" s="55">
        <v>173</v>
      </c>
      <c r="G164" s="55">
        <v>76</v>
      </c>
      <c r="H164" s="55">
        <v>38</v>
      </c>
      <c r="I164" s="55">
        <v>5.58</v>
      </c>
      <c r="J164" s="55">
        <v>2.4500000000000002</v>
      </c>
      <c r="K164" s="55">
        <v>1.23</v>
      </c>
      <c r="L164" s="55">
        <v>12</v>
      </c>
      <c r="M164" s="54" t="str">
        <f t="shared" si="13"/>
        <v>12-24 Months</v>
      </c>
      <c r="N164" s="54" t="str">
        <f t="shared" si="14"/>
        <v>24+ Months</v>
      </c>
      <c r="O164" s="54" t="s">
        <v>7</v>
      </c>
      <c r="P164" s="54">
        <f t="shared" si="10"/>
        <v>16</v>
      </c>
      <c r="Q164">
        <f t="shared" si="11"/>
        <v>16</v>
      </c>
      <c r="R164">
        <f t="shared" si="12"/>
        <v>16</v>
      </c>
    </row>
    <row r="165" spans="1:18" x14ac:dyDescent="0.2">
      <c r="A165" s="54">
        <v>110380</v>
      </c>
      <c r="B165" s="54" t="s">
        <v>485</v>
      </c>
      <c r="C165" s="55">
        <v>36</v>
      </c>
      <c r="D165" s="55">
        <v>43</v>
      </c>
      <c r="E165" s="55">
        <v>22</v>
      </c>
      <c r="F165" s="55">
        <v>20</v>
      </c>
      <c r="G165" s="55">
        <v>20</v>
      </c>
      <c r="H165" s="55">
        <v>11</v>
      </c>
      <c r="I165" s="55">
        <v>0.47</v>
      </c>
      <c r="J165" s="55">
        <v>0.47</v>
      </c>
      <c r="K165" s="55">
        <v>0.26</v>
      </c>
      <c r="L165" s="55">
        <v>20</v>
      </c>
      <c r="M165" s="54" t="str">
        <f t="shared" si="13"/>
        <v>12-24 Months</v>
      </c>
      <c r="N165" s="54" t="str">
        <f t="shared" si="14"/>
        <v>24+ Months</v>
      </c>
      <c r="O165" s="54" t="s">
        <v>7</v>
      </c>
      <c r="P165" s="54">
        <f t="shared" si="10"/>
        <v>0</v>
      </c>
      <c r="Q165">
        <f t="shared" si="11"/>
        <v>0</v>
      </c>
      <c r="R165">
        <f t="shared" si="12"/>
        <v>0</v>
      </c>
    </row>
    <row r="166" spans="1:18" x14ac:dyDescent="0.2">
      <c r="A166" s="54">
        <v>328079</v>
      </c>
      <c r="B166" s="54" t="s">
        <v>91</v>
      </c>
      <c r="C166" s="55">
        <v>96</v>
      </c>
      <c r="D166" s="55">
        <v>2700</v>
      </c>
      <c r="E166" s="55">
        <v>22</v>
      </c>
      <c r="F166" s="55">
        <v>1504</v>
      </c>
      <c r="G166" s="55">
        <v>218</v>
      </c>
      <c r="H166" s="55">
        <v>50</v>
      </c>
      <c r="I166" s="55">
        <v>0.56000000000000005</v>
      </c>
      <c r="J166" s="55">
        <v>0.08</v>
      </c>
      <c r="K166" s="55">
        <v>0.02</v>
      </c>
      <c r="L166" s="55">
        <v>113</v>
      </c>
      <c r="M166" s="54" t="str">
        <f t="shared" si="13"/>
        <v>12-24 Months</v>
      </c>
      <c r="N166" s="54" t="str">
        <f t="shared" si="14"/>
        <v>24+ Months</v>
      </c>
      <c r="O166" s="54" t="s">
        <v>5</v>
      </c>
      <c r="P166" s="54">
        <f t="shared" si="10"/>
        <v>0</v>
      </c>
      <c r="Q166">
        <f t="shared" si="11"/>
        <v>0</v>
      </c>
      <c r="R166">
        <f t="shared" si="12"/>
        <v>0</v>
      </c>
    </row>
    <row r="167" spans="1:18" x14ac:dyDescent="0.2">
      <c r="A167" s="54">
        <v>108237</v>
      </c>
      <c r="B167" s="54" t="s">
        <v>195</v>
      </c>
      <c r="C167" s="55">
        <v>131</v>
      </c>
      <c r="D167" s="55">
        <v>111</v>
      </c>
      <c r="E167" s="55">
        <v>22</v>
      </c>
      <c r="F167" s="55">
        <v>445</v>
      </c>
      <c r="G167" s="55">
        <v>202</v>
      </c>
      <c r="H167" s="55">
        <v>74</v>
      </c>
      <c r="I167" s="55">
        <v>4.01</v>
      </c>
      <c r="J167" s="55">
        <v>1.82</v>
      </c>
      <c r="K167" s="55">
        <v>0.67</v>
      </c>
      <c r="L167" s="55">
        <v>70</v>
      </c>
      <c r="M167" s="54" t="str">
        <f t="shared" si="13"/>
        <v>12-24 Months</v>
      </c>
      <c r="N167" s="54" t="str">
        <f t="shared" si="14"/>
        <v>24+ Months</v>
      </c>
      <c r="O167" s="54" t="s">
        <v>6</v>
      </c>
      <c r="P167" s="54">
        <f t="shared" si="10"/>
        <v>131</v>
      </c>
      <c r="Q167">
        <f t="shared" si="11"/>
        <v>131</v>
      </c>
      <c r="R167">
        <f t="shared" si="12"/>
        <v>131</v>
      </c>
    </row>
    <row r="168" spans="1:18" x14ac:dyDescent="0.2">
      <c r="A168" s="54">
        <v>115965</v>
      </c>
      <c r="B168" s="54" t="s">
        <v>622</v>
      </c>
      <c r="C168" s="55">
        <v>151</v>
      </c>
      <c r="D168" s="55">
        <v>140</v>
      </c>
      <c r="E168" s="55">
        <v>22</v>
      </c>
      <c r="F168" s="55">
        <v>0</v>
      </c>
      <c r="G168" s="55">
        <v>0</v>
      </c>
      <c r="H168" s="55">
        <v>0</v>
      </c>
      <c r="I168" s="55">
        <v>0</v>
      </c>
      <c r="J168" s="55">
        <v>0</v>
      </c>
      <c r="K168" s="55">
        <v>0</v>
      </c>
      <c r="L168" s="55">
        <v>2</v>
      </c>
      <c r="M168" s="54" t="str">
        <f t="shared" si="13"/>
        <v>12-24 Months</v>
      </c>
      <c r="N168" s="54" t="str">
        <f t="shared" si="14"/>
        <v>24+ Months</v>
      </c>
      <c r="O168" s="54" t="s">
        <v>6</v>
      </c>
      <c r="P168" s="54">
        <f t="shared" si="10"/>
        <v>0</v>
      </c>
      <c r="Q168">
        <f t="shared" si="11"/>
        <v>0</v>
      </c>
      <c r="R168">
        <f t="shared" si="12"/>
        <v>0</v>
      </c>
    </row>
    <row r="169" spans="1:18" x14ac:dyDescent="0.2">
      <c r="A169" s="54">
        <v>150938</v>
      </c>
      <c r="B169" s="54" t="s">
        <v>193</v>
      </c>
      <c r="C169" s="55">
        <v>185</v>
      </c>
      <c r="D169" s="55">
        <v>230</v>
      </c>
      <c r="E169" s="55">
        <v>22</v>
      </c>
      <c r="F169" s="55">
        <v>359</v>
      </c>
      <c r="G169" s="55">
        <v>145</v>
      </c>
      <c r="H169" s="55">
        <v>55</v>
      </c>
      <c r="I169" s="55">
        <v>1.56</v>
      </c>
      <c r="J169" s="55">
        <v>0.63</v>
      </c>
      <c r="K169" s="55">
        <v>0.24</v>
      </c>
      <c r="L169" s="55">
        <v>162</v>
      </c>
      <c r="M169" s="54" t="str">
        <f t="shared" si="13"/>
        <v>12-24 Months</v>
      </c>
      <c r="N169" s="54" t="str">
        <f t="shared" si="14"/>
        <v>24+ Months</v>
      </c>
      <c r="O169" s="54" t="s">
        <v>6</v>
      </c>
      <c r="P169" s="54">
        <f t="shared" si="10"/>
        <v>0</v>
      </c>
      <c r="Q169">
        <f t="shared" si="11"/>
        <v>0</v>
      </c>
      <c r="R169">
        <f t="shared" si="12"/>
        <v>0</v>
      </c>
    </row>
    <row r="170" spans="1:18" x14ac:dyDescent="0.2">
      <c r="A170" s="54">
        <v>109291</v>
      </c>
      <c r="B170" s="54" t="s">
        <v>104</v>
      </c>
      <c r="C170" s="55">
        <v>210</v>
      </c>
      <c r="D170" s="55">
        <v>200</v>
      </c>
      <c r="E170" s="55">
        <v>22</v>
      </c>
      <c r="F170" s="55">
        <v>1070</v>
      </c>
      <c r="G170" s="55">
        <v>1051</v>
      </c>
      <c r="H170" s="55">
        <v>1051</v>
      </c>
      <c r="I170" s="55">
        <v>5.35</v>
      </c>
      <c r="J170" s="55">
        <v>5.26</v>
      </c>
      <c r="K170" s="55">
        <v>5.26</v>
      </c>
      <c r="L170" s="55">
        <v>1</v>
      </c>
      <c r="M170" s="54" t="str">
        <f t="shared" si="13"/>
        <v>12-24 Months</v>
      </c>
      <c r="N170" s="54" t="str">
        <f t="shared" si="14"/>
        <v>24+ Months</v>
      </c>
      <c r="O170" s="54" t="s">
        <v>6</v>
      </c>
      <c r="P170" s="54">
        <f t="shared" si="10"/>
        <v>210</v>
      </c>
      <c r="Q170">
        <f t="shared" si="11"/>
        <v>210</v>
      </c>
      <c r="R170">
        <f t="shared" si="12"/>
        <v>210</v>
      </c>
    </row>
    <row r="171" spans="1:18" x14ac:dyDescent="0.2">
      <c r="A171" s="54">
        <v>114873</v>
      </c>
      <c r="B171" s="54" t="s">
        <v>549</v>
      </c>
      <c r="C171" s="55">
        <v>216</v>
      </c>
      <c r="D171" s="55">
        <v>216</v>
      </c>
      <c r="E171" s="55">
        <v>22</v>
      </c>
      <c r="F171" s="55">
        <v>19</v>
      </c>
      <c r="G171" s="55">
        <v>0</v>
      </c>
      <c r="H171" s="55">
        <v>0</v>
      </c>
      <c r="I171" s="55">
        <v>0.09</v>
      </c>
      <c r="J171" s="55">
        <v>0</v>
      </c>
      <c r="K171" s="55">
        <v>0</v>
      </c>
      <c r="L171" s="55">
        <v>4</v>
      </c>
      <c r="M171" s="54" t="str">
        <f t="shared" si="13"/>
        <v>12-24 Months</v>
      </c>
      <c r="N171" s="54" t="str">
        <f t="shared" si="14"/>
        <v>24+ Months</v>
      </c>
      <c r="O171" s="54" t="s">
        <v>6</v>
      </c>
      <c r="P171" s="54">
        <f t="shared" si="10"/>
        <v>0</v>
      </c>
      <c r="Q171">
        <f t="shared" si="11"/>
        <v>0</v>
      </c>
      <c r="R171">
        <f t="shared" si="12"/>
        <v>0</v>
      </c>
    </row>
    <row r="172" spans="1:18" x14ac:dyDescent="0.2">
      <c r="A172" s="54">
        <v>113599</v>
      </c>
      <c r="B172" s="54" t="s">
        <v>76</v>
      </c>
      <c r="C172" s="55">
        <v>655</v>
      </c>
      <c r="D172" s="55">
        <v>650</v>
      </c>
      <c r="E172" s="55">
        <v>22</v>
      </c>
      <c r="F172" s="55">
        <v>2551</v>
      </c>
      <c r="G172" s="55">
        <v>1474</v>
      </c>
      <c r="H172" s="55">
        <v>749</v>
      </c>
      <c r="I172" s="55">
        <v>3.92</v>
      </c>
      <c r="J172" s="55">
        <v>2.27</v>
      </c>
      <c r="K172" s="55">
        <v>1.1499999999999999</v>
      </c>
      <c r="L172" s="55">
        <v>48</v>
      </c>
      <c r="M172" s="54" t="str">
        <f t="shared" si="13"/>
        <v>12-24 Months</v>
      </c>
      <c r="N172" s="54" t="str">
        <f t="shared" si="14"/>
        <v>24+ Months</v>
      </c>
      <c r="O172" s="54" t="s">
        <v>5</v>
      </c>
      <c r="P172" s="54">
        <f t="shared" si="10"/>
        <v>655</v>
      </c>
      <c r="Q172">
        <f t="shared" si="11"/>
        <v>655</v>
      </c>
      <c r="R172">
        <f t="shared" si="12"/>
        <v>655</v>
      </c>
    </row>
    <row r="173" spans="1:18" x14ac:dyDescent="0.2">
      <c r="A173" s="54">
        <v>132232</v>
      </c>
      <c r="B173" s="54" t="s">
        <v>124</v>
      </c>
      <c r="C173" s="55">
        <v>1012</v>
      </c>
      <c r="D173" s="55">
        <v>499</v>
      </c>
      <c r="E173" s="55">
        <v>22</v>
      </c>
      <c r="F173" s="55">
        <v>234</v>
      </c>
      <c r="G173" s="55">
        <v>108</v>
      </c>
      <c r="H173" s="55">
        <v>24</v>
      </c>
      <c r="I173" s="55">
        <v>0.47</v>
      </c>
      <c r="J173" s="55">
        <v>0.22</v>
      </c>
      <c r="K173" s="55">
        <v>0.05</v>
      </c>
      <c r="L173" s="55">
        <v>141</v>
      </c>
      <c r="M173" s="54" t="str">
        <f t="shared" si="13"/>
        <v>12-24 Months</v>
      </c>
      <c r="N173" s="54" t="str">
        <f t="shared" si="14"/>
        <v>24+ Months</v>
      </c>
      <c r="O173" s="54" t="s">
        <v>6</v>
      </c>
      <c r="P173" s="54">
        <f t="shared" si="10"/>
        <v>0</v>
      </c>
      <c r="Q173">
        <f t="shared" si="11"/>
        <v>0</v>
      </c>
      <c r="R173">
        <f t="shared" si="12"/>
        <v>0</v>
      </c>
    </row>
    <row r="174" spans="1:18" x14ac:dyDescent="0.2">
      <c r="A174" s="54">
        <v>106155</v>
      </c>
      <c r="B174" s="54" t="s">
        <v>351</v>
      </c>
      <c r="C174" s="55">
        <v>3183</v>
      </c>
      <c r="D174" s="55">
        <v>2850</v>
      </c>
      <c r="E174" s="55">
        <v>22</v>
      </c>
      <c r="F174" s="55">
        <v>1210</v>
      </c>
      <c r="G174" s="55">
        <v>987</v>
      </c>
      <c r="H174" s="55">
        <v>0</v>
      </c>
      <c r="I174" s="55">
        <v>0.42</v>
      </c>
      <c r="J174" s="55">
        <v>0.35</v>
      </c>
      <c r="K174" s="55">
        <v>0</v>
      </c>
      <c r="L174" s="55">
        <v>0</v>
      </c>
      <c r="M174" s="54" t="str">
        <f t="shared" si="13"/>
        <v>12-24 Months</v>
      </c>
      <c r="N174" s="54" t="str">
        <f t="shared" si="14"/>
        <v>24+ Months</v>
      </c>
      <c r="O174" s="54" t="s">
        <v>5</v>
      </c>
      <c r="P174" s="54">
        <f t="shared" si="10"/>
        <v>0</v>
      </c>
      <c r="Q174">
        <f t="shared" si="11"/>
        <v>0</v>
      </c>
      <c r="R174">
        <f t="shared" si="12"/>
        <v>0</v>
      </c>
    </row>
    <row r="175" spans="1:18" x14ac:dyDescent="0.2">
      <c r="A175" s="54">
        <v>485188</v>
      </c>
      <c r="B175" s="54" t="s">
        <v>673</v>
      </c>
      <c r="C175" s="55">
        <v>1</v>
      </c>
      <c r="D175" s="55">
        <v>6</v>
      </c>
      <c r="E175" s="55">
        <v>21</v>
      </c>
      <c r="F175" s="55">
        <v>0</v>
      </c>
      <c r="G175" s="55">
        <v>0</v>
      </c>
      <c r="H175" s="55">
        <v>0</v>
      </c>
      <c r="I175" s="55">
        <v>0</v>
      </c>
      <c r="J175" s="55">
        <v>0</v>
      </c>
      <c r="K175" s="55">
        <v>0</v>
      </c>
      <c r="L175" s="55">
        <v>0</v>
      </c>
      <c r="M175" s="54" t="str">
        <f t="shared" si="13"/>
        <v>12-24 Months</v>
      </c>
      <c r="N175" s="54" t="str">
        <f t="shared" si="14"/>
        <v>24+ Months</v>
      </c>
      <c r="O175" s="54" t="s">
        <v>7</v>
      </c>
      <c r="P175" s="54">
        <f t="shared" si="10"/>
        <v>0</v>
      </c>
      <c r="Q175">
        <f t="shared" si="11"/>
        <v>0</v>
      </c>
      <c r="R175">
        <f t="shared" si="12"/>
        <v>0</v>
      </c>
    </row>
    <row r="176" spans="1:18" x14ac:dyDescent="0.2">
      <c r="A176" s="54">
        <v>109762</v>
      </c>
      <c r="B176" s="54" t="s">
        <v>547</v>
      </c>
      <c r="C176" s="55">
        <v>10</v>
      </c>
      <c r="D176" s="55">
        <v>10</v>
      </c>
      <c r="E176" s="55">
        <v>21</v>
      </c>
      <c r="F176" s="55">
        <v>9</v>
      </c>
      <c r="G176" s="55">
        <v>0</v>
      </c>
      <c r="H176" s="55">
        <v>0</v>
      </c>
      <c r="I176" s="55">
        <v>0.9</v>
      </c>
      <c r="J176" s="55">
        <v>0</v>
      </c>
      <c r="K176" s="55">
        <v>0</v>
      </c>
      <c r="L176" s="55">
        <v>0</v>
      </c>
      <c r="M176" s="54" t="str">
        <f t="shared" si="13"/>
        <v>12-24 Months</v>
      </c>
      <c r="N176" s="54" t="str">
        <f t="shared" si="14"/>
        <v>24+ Months</v>
      </c>
      <c r="O176" s="54" t="s">
        <v>7</v>
      </c>
      <c r="P176" s="54">
        <f t="shared" si="10"/>
        <v>0</v>
      </c>
      <c r="Q176">
        <f t="shared" si="11"/>
        <v>0</v>
      </c>
      <c r="R176">
        <f t="shared" si="12"/>
        <v>0</v>
      </c>
    </row>
    <row r="177" spans="1:18" x14ac:dyDescent="0.2">
      <c r="A177" s="54">
        <v>127119</v>
      </c>
      <c r="B177" s="54" t="s">
        <v>321</v>
      </c>
      <c r="C177" s="55">
        <v>14</v>
      </c>
      <c r="D177" s="55">
        <v>14</v>
      </c>
      <c r="E177" s="55">
        <v>21</v>
      </c>
      <c r="F177" s="55">
        <v>144</v>
      </c>
      <c r="G177" s="55">
        <v>85</v>
      </c>
      <c r="H177" s="55">
        <v>71</v>
      </c>
      <c r="I177" s="55">
        <v>10.29</v>
      </c>
      <c r="J177" s="55">
        <v>6.07</v>
      </c>
      <c r="K177" s="55">
        <v>5.07</v>
      </c>
      <c r="L177" s="55">
        <v>21</v>
      </c>
      <c r="M177" s="54" t="str">
        <f t="shared" si="13"/>
        <v>12-24 Months</v>
      </c>
      <c r="N177" s="54" t="str">
        <f t="shared" si="14"/>
        <v>24+ Months</v>
      </c>
      <c r="O177" s="54" t="s">
        <v>7</v>
      </c>
      <c r="P177" s="54">
        <f t="shared" si="10"/>
        <v>14</v>
      </c>
      <c r="Q177">
        <f t="shared" si="11"/>
        <v>14</v>
      </c>
      <c r="R177">
        <f t="shared" si="12"/>
        <v>14</v>
      </c>
    </row>
    <row r="178" spans="1:18" x14ac:dyDescent="0.2">
      <c r="A178" s="54">
        <v>478423</v>
      </c>
      <c r="B178" s="54" t="s">
        <v>624</v>
      </c>
      <c r="C178" s="55">
        <v>14</v>
      </c>
      <c r="D178" s="55">
        <v>14</v>
      </c>
      <c r="E178" s="55">
        <v>21</v>
      </c>
      <c r="F178" s="55">
        <v>0</v>
      </c>
      <c r="G178" s="55">
        <v>0</v>
      </c>
      <c r="H178" s="55">
        <v>0</v>
      </c>
      <c r="I178" s="55">
        <v>0</v>
      </c>
      <c r="J178" s="55">
        <v>0</v>
      </c>
      <c r="K178" s="55">
        <v>0</v>
      </c>
      <c r="L178" s="55">
        <v>0</v>
      </c>
      <c r="M178" s="54" t="str">
        <f t="shared" si="13"/>
        <v>12-24 Months</v>
      </c>
      <c r="N178" s="54" t="str">
        <f t="shared" si="14"/>
        <v>24+ Months</v>
      </c>
      <c r="O178" s="54" t="s">
        <v>7</v>
      </c>
      <c r="P178" s="54">
        <f t="shared" si="10"/>
        <v>0</v>
      </c>
      <c r="Q178">
        <f t="shared" si="11"/>
        <v>0</v>
      </c>
      <c r="R178">
        <f t="shared" si="12"/>
        <v>0</v>
      </c>
    </row>
    <row r="179" spans="1:18" x14ac:dyDescent="0.2">
      <c r="A179" s="54">
        <v>115809</v>
      </c>
      <c r="B179" s="54" t="s">
        <v>616</v>
      </c>
      <c r="C179" s="55">
        <v>15</v>
      </c>
      <c r="D179" s="55">
        <v>15</v>
      </c>
      <c r="E179" s="55">
        <v>21</v>
      </c>
      <c r="F179" s="55">
        <v>3</v>
      </c>
      <c r="G179" s="55">
        <v>0</v>
      </c>
      <c r="H179" s="55">
        <v>0</v>
      </c>
      <c r="I179" s="55">
        <v>0.2</v>
      </c>
      <c r="J179" s="55">
        <v>0</v>
      </c>
      <c r="K179" s="55">
        <v>0</v>
      </c>
      <c r="L179" s="55">
        <v>0</v>
      </c>
      <c r="M179" s="54" t="str">
        <f t="shared" si="13"/>
        <v>12-24 Months</v>
      </c>
      <c r="N179" s="54" t="str">
        <f t="shared" si="14"/>
        <v>24+ Months</v>
      </c>
      <c r="O179" s="54" t="s">
        <v>7</v>
      </c>
      <c r="P179" s="54">
        <f t="shared" si="10"/>
        <v>0</v>
      </c>
      <c r="Q179">
        <f t="shared" si="11"/>
        <v>0</v>
      </c>
      <c r="R179">
        <f t="shared" si="12"/>
        <v>0</v>
      </c>
    </row>
    <row r="180" spans="1:18" x14ac:dyDescent="0.2">
      <c r="A180" s="54">
        <v>491098</v>
      </c>
      <c r="B180" s="54" t="s">
        <v>551</v>
      </c>
      <c r="C180" s="55">
        <v>15</v>
      </c>
      <c r="D180" s="55">
        <v>15</v>
      </c>
      <c r="E180" s="55">
        <v>21</v>
      </c>
      <c r="F180" s="55">
        <v>10</v>
      </c>
      <c r="G180" s="55">
        <v>4</v>
      </c>
      <c r="H180" s="55">
        <v>1</v>
      </c>
      <c r="I180" s="55">
        <v>0.67</v>
      </c>
      <c r="J180" s="55">
        <v>0.27</v>
      </c>
      <c r="K180" s="55">
        <v>7.0000000000000007E-2</v>
      </c>
      <c r="L180" s="55">
        <v>0</v>
      </c>
      <c r="M180" s="54" t="str">
        <f t="shared" si="13"/>
        <v>12-24 Months</v>
      </c>
      <c r="N180" s="54" t="str">
        <f t="shared" si="14"/>
        <v>24+ Months</v>
      </c>
      <c r="O180" s="54" t="s">
        <v>7</v>
      </c>
      <c r="P180" s="54">
        <f t="shared" si="10"/>
        <v>0</v>
      </c>
      <c r="Q180">
        <f t="shared" si="11"/>
        <v>0</v>
      </c>
      <c r="R180">
        <f t="shared" si="12"/>
        <v>0</v>
      </c>
    </row>
    <row r="181" spans="1:18" x14ac:dyDescent="0.2">
      <c r="A181" s="54">
        <v>112630</v>
      </c>
      <c r="B181" s="54" t="s">
        <v>526</v>
      </c>
      <c r="C181" s="55">
        <v>20</v>
      </c>
      <c r="D181" s="55">
        <v>20</v>
      </c>
      <c r="E181" s="55">
        <v>21</v>
      </c>
      <c r="F181" s="55">
        <v>13</v>
      </c>
      <c r="G181" s="55">
        <v>13</v>
      </c>
      <c r="H181" s="55">
        <v>6</v>
      </c>
      <c r="I181" s="55">
        <v>0.65</v>
      </c>
      <c r="J181" s="55">
        <v>0.65</v>
      </c>
      <c r="K181" s="55">
        <v>0.3</v>
      </c>
      <c r="L181" s="55">
        <v>0</v>
      </c>
      <c r="M181" s="54" t="str">
        <f t="shared" si="13"/>
        <v>12-24 Months</v>
      </c>
      <c r="N181" s="54" t="str">
        <f t="shared" si="14"/>
        <v>24+ Months</v>
      </c>
      <c r="O181" s="54" t="s">
        <v>7</v>
      </c>
      <c r="P181" s="54">
        <f t="shared" si="10"/>
        <v>0</v>
      </c>
      <c r="Q181">
        <f t="shared" si="11"/>
        <v>0</v>
      </c>
      <c r="R181">
        <f t="shared" si="12"/>
        <v>0</v>
      </c>
    </row>
    <row r="182" spans="1:18" x14ac:dyDescent="0.2">
      <c r="A182" s="54">
        <v>481940</v>
      </c>
      <c r="B182" s="54" t="s">
        <v>670</v>
      </c>
      <c r="C182" s="55">
        <v>23</v>
      </c>
      <c r="D182" s="55">
        <v>24</v>
      </c>
      <c r="E182" s="55">
        <v>21</v>
      </c>
      <c r="F182" s="55">
        <v>0</v>
      </c>
      <c r="G182" s="55">
        <v>0</v>
      </c>
      <c r="H182" s="55">
        <v>0</v>
      </c>
      <c r="I182" s="55">
        <v>0</v>
      </c>
      <c r="J182" s="55">
        <v>0</v>
      </c>
      <c r="K182" s="55">
        <v>0</v>
      </c>
      <c r="L182" s="55">
        <v>0</v>
      </c>
      <c r="M182" s="54" t="str">
        <f t="shared" si="13"/>
        <v>12-24 Months</v>
      </c>
      <c r="N182" s="54" t="str">
        <f t="shared" si="14"/>
        <v>24+ Months</v>
      </c>
      <c r="O182" s="54" t="s">
        <v>7</v>
      </c>
      <c r="P182" s="54">
        <f t="shared" si="10"/>
        <v>0</v>
      </c>
      <c r="Q182">
        <f t="shared" si="11"/>
        <v>0</v>
      </c>
      <c r="R182">
        <f t="shared" si="12"/>
        <v>0</v>
      </c>
    </row>
    <row r="183" spans="1:18" x14ac:dyDescent="0.2">
      <c r="A183" s="54">
        <v>106950</v>
      </c>
      <c r="B183" s="54" t="s">
        <v>464</v>
      </c>
      <c r="C183" s="55">
        <v>30</v>
      </c>
      <c r="D183" s="55">
        <v>35</v>
      </c>
      <c r="E183" s="55">
        <v>21</v>
      </c>
      <c r="F183" s="55">
        <v>35</v>
      </c>
      <c r="G183" s="55">
        <v>20</v>
      </c>
      <c r="H183" s="55">
        <v>8</v>
      </c>
      <c r="I183" s="55">
        <v>1</v>
      </c>
      <c r="J183" s="55">
        <v>0.56999999999999995</v>
      </c>
      <c r="K183" s="55">
        <v>0.23</v>
      </c>
      <c r="L183" s="55">
        <v>5</v>
      </c>
      <c r="M183" s="54" t="str">
        <f t="shared" si="13"/>
        <v>12-24 Months</v>
      </c>
      <c r="N183" s="54" t="str">
        <f t="shared" si="14"/>
        <v>24+ Months</v>
      </c>
      <c r="O183" s="54" t="s">
        <v>7</v>
      </c>
      <c r="P183" s="54">
        <f t="shared" si="10"/>
        <v>0</v>
      </c>
      <c r="Q183">
        <f t="shared" si="11"/>
        <v>0</v>
      </c>
      <c r="R183">
        <f t="shared" si="12"/>
        <v>0</v>
      </c>
    </row>
    <row r="184" spans="1:18" x14ac:dyDescent="0.2">
      <c r="A184" s="54">
        <v>114564</v>
      </c>
      <c r="B184" s="54" t="s">
        <v>337</v>
      </c>
      <c r="C184" s="55">
        <v>30</v>
      </c>
      <c r="D184" s="55">
        <v>32</v>
      </c>
      <c r="E184" s="55">
        <v>21</v>
      </c>
      <c r="F184" s="55">
        <v>97</v>
      </c>
      <c r="G184" s="55">
        <v>97</v>
      </c>
      <c r="H184" s="55">
        <v>96</v>
      </c>
      <c r="I184" s="55">
        <v>3.03</v>
      </c>
      <c r="J184" s="55">
        <v>3.03</v>
      </c>
      <c r="K184" s="55">
        <v>3</v>
      </c>
      <c r="L184" s="55">
        <v>4</v>
      </c>
      <c r="M184" s="54" t="str">
        <f t="shared" si="13"/>
        <v>12-24 Months</v>
      </c>
      <c r="N184" s="54" t="str">
        <f t="shared" si="14"/>
        <v>24+ Months</v>
      </c>
      <c r="O184" s="54" t="s">
        <v>7</v>
      </c>
      <c r="P184" s="54">
        <f t="shared" si="10"/>
        <v>30</v>
      </c>
      <c r="Q184">
        <f t="shared" si="11"/>
        <v>30</v>
      </c>
      <c r="R184">
        <f t="shared" si="12"/>
        <v>30</v>
      </c>
    </row>
    <row r="185" spans="1:18" x14ac:dyDescent="0.2">
      <c r="A185" s="54">
        <v>442850</v>
      </c>
      <c r="B185" s="54" t="s">
        <v>579</v>
      </c>
      <c r="C185" s="55">
        <v>36</v>
      </c>
      <c r="D185" s="55">
        <v>51</v>
      </c>
      <c r="E185" s="55">
        <v>21</v>
      </c>
      <c r="F185" s="55">
        <v>20</v>
      </c>
      <c r="G185" s="55">
        <v>19</v>
      </c>
      <c r="H185" s="55">
        <v>19</v>
      </c>
      <c r="I185" s="55">
        <v>0.39</v>
      </c>
      <c r="J185" s="55">
        <v>0.37</v>
      </c>
      <c r="K185" s="55">
        <v>0.37</v>
      </c>
      <c r="L185" s="55">
        <v>0</v>
      </c>
      <c r="M185" s="54" t="str">
        <f t="shared" si="13"/>
        <v>12-24 Months</v>
      </c>
      <c r="N185" s="54" t="str">
        <f t="shared" si="14"/>
        <v>24+ Months</v>
      </c>
      <c r="O185" s="54" t="s">
        <v>7</v>
      </c>
      <c r="P185" s="54">
        <f t="shared" si="10"/>
        <v>0</v>
      </c>
      <c r="Q185">
        <f t="shared" si="11"/>
        <v>0</v>
      </c>
      <c r="R185">
        <f t="shared" si="12"/>
        <v>0</v>
      </c>
    </row>
    <row r="186" spans="1:18" x14ac:dyDescent="0.2">
      <c r="A186" s="54">
        <v>112348</v>
      </c>
      <c r="B186" s="54" t="s">
        <v>515</v>
      </c>
      <c r="C186" s="55">
        <v>40</v>
      </c>
      <c r="D186" s="55">
        <v>40</v>
      </c>
      <c r="E186" s="55">
        <v>21</v>
      </c>
      <c r="F186" s="55">
        <v>24</v>
      </c>
      <c r="G186" s="55">
        <v>16</v>
      </c>
      <c r="H186" s="55">
        <v>6</v>
      </c>
      <c r="I186" s="55">
        <v>0.6</v>
      </c>
      <c r="J186" s="55">
        <v>0.4</v>
      </c>
      <c r="K186" s="55">
        <v>0.15</v>
      </c>
      <c r="L186" s="55">
        <v>2</v>
      </c>
      <c r="M186" s="54" t="str">
        <f t="shared" si="13"/>
        <v>12-24 Months</v>
      </c>
      <c r="N186" s="54" t="str">
        <f t="shared" si="14"/>
        <v>24+ Months</v>
      </c>
      <c r="O186" s="54" t="s">
        <v>7</v>
      </c>
      <c r="P186" s="54">
        <f t="shared" si="10"/>
        <v>0</v>
      </c>
      <c r="Q186">
        <f t="shared" si="11"/>
        <v>0</v>
      </c>
      <c r="R186">
        <f t="shared" si="12"/>
        <v>0</v>
      </c>
    </row>
    <row r="187" spans="1:18" x14ac:dyDescent="0.2">
      <c r="A187" s="54">
        <v>512912</v>
      </c>
      <c r="B187" s="54" t="s">
        <v>395</v>
      </c>
      <c r="C187" s="55">
        <v>40</v>
      </c>
      <c r="D187" s="55">
        <v>40</v>
      </c>
      <c r="E187" s="55">
        <v>21</v>
      </c>
      <c r="F187" s="55">
        <v>54</v>
      </c>
      <c r="G187" s="55">
        <v>38</v>
      </c>
      <c r="H187" s="55">
        <v>0</v>
      </c>
      <c r="I187" s="55">
        <v>1.35</v>
      </c>
      <c r="J187" s="55">
        <v>0.95</v>
      </c>
      <c r="K187" s="55">
        <v>0</v>
      </c>
      <c r="L187" s="55">
        <v>52</v>
      </c>
      <c r="M187" s="54" t="str">
        <f t="shared" si="13"/>
        <v>12-24 Months</v>
      </c>
      <c r="N187" s="54" t="str">
        <f t="shared" si="14"/>
        <v>24+ Months</v>
      </c>
      <c r="O187" s="54" t="s">
        <v>7</v>
      </c>
      <c r="P187" s="54">
        <f t="shared" si="10"/>
        <v>40</v>
      </c>
      <c r="Q187">
        <f t="shared" si="11"/>
        <v>0</v>
      </c>
      <c r="R187">
        <f t="shared" si="12"/>
        <v>40</v>
      </c>
    </row>
    <row r="188" spans="1:18" x14ac:dyDescent="0.2">
      <c r="A188" s="54">
        <v>109892</v>
      </c>
      <c r="B188" s="54" t="s">
        <v>453</v>
      </c>
      <c r="C188" s="55">
        <v>51</v>
      </c>
      <c r="D188" s="55">
        <v>54</v>
      </c>
      <c r="E188" s="55">
        <v>21</v>
      </c>
      <c r="F188" s="55">
        <v>34</v>
      </c>
      <c r="G188" s="55">
        <v>6</v>
      </c>
      <c r="H188" s="55">
        <v>0</v>
      </c>
      <c r="I188" s="55">
        <v>0.63</v>
      </c>
      <c r="J188" s="55">
        <v>0.11</v>
      </c>
      <c r="K188" s="55">
        <v>0</v>
      </c>
      <c r="L188" s="55">
        <v>0</v>
      </c>
      <c r="M188" s="54" t="str">
        <f t="shared" si="13"/>
        <v>12-24 Months</v>
      </c>
      <c r="N188" s="54" t="str">
        <f t="shared" si="14"/>
        <v>24+ Months</v>
      </c>
      <c r="O188" s="54" t="s">
        <v>7</v>
      </c>
      <c r="P188" s="54">
        <f t="shared" si="10"/>
        <v>0</v>
      </c>
      <c r="Q188">
        <f t="shared" si="11"/>
        <v>0</v>
      </c>
      <c r="R188">
        <f t="shared" si="12"/>
        <v>0</v>
      </c>
    </row>
    <row r="189" spans="1:18" x14ac:dyDescent="0.2">
      <c r="A189" s="54">
        <v>479807</v>
      </c>
      <c r="B189" s="54" t="s">
        <v>431</v>
      </c>
      <c r="C189" s="55">
        <v>63</v>
      </c>
      <c r="D189" s="55">
        <v>60</v>
      </c>
      <c r="E189" s="55">
        <v>21</v>
      </c>
      <c r="F189" s="55">
        <v>30</v>
      </c>
      <c r="G189" s="55">
        <v>30</v>
      </c>
      <c r="H189" s="55">
        <v>0</v>
      </c>
      <c r="I189" s="55">
        <v>0.5</v>
      </c>
      <c r="J189" s="55">
        <v>0.5</v>
      </c>
      <c r="K189" s="55">
        <v>0</v>
      </c>
      <c r="L189" s="55">
        <v>0</v>
      </c>
      <c r="M189" s="54" t="str">
        <f t="shared" si="13"/>
        <v>12-24 Months</v>
      </c>
      <c r="N189" s="54" t="str">
        <f t="shared" si="14"/>
        <v>24+ Months</v>
      </c>
      <c r="O189" s="54" t="s">
        <v>7</v>
      </c>
      <c r="P189" s="54">
        <f t="shared" si="10"/>
        <v>0</v>
      </c>
      <c r="Q189">
        <f t="shared" si="11"/>
        <v>0</v>
      </c>
      <c r="R189">
        <f t="shared" si="12"/>
        <v>0</v>
      </c>
    </row>
    <row r="190" spans="1:18" x14ac:dyDescent="0.2">
      <c r="A190" s="54">
        <v>216820</v>
      </c>
      <c r="B190" s="54" t="s">
        <v>216</v>
      </c>
      <c r="C190" s="55">
        <v>100</v>
      </c>
      <c r="D190" s="55">
        <v>115</v>
      </c>
      <c r="E190" s="55">
        <v>21</v>
      </c>
      <c r="F190" s="55">
        <v>254</v>
      </c>
      <c r="G190" s="55">
        <v>220</v>
      </c>
      <c r="H190" s="55">
        <v>196</v>
      </c>
      <c r="I190" s="55">
        <v>2.21</v>
      </c>
      <c r="J190" s="55">
        <v>1.91</v>
      </c>
      <c r="K190" s="55">
        <v>1.7</v>
      </c>
      <c r="L190" s="55">
        <v>4</v>
      </c>
      <c r="M190" s="54" t="str">
        <f t="shared" si="13"/>
        <v>12-24 Months</v>
      </c>
      <c r="N190" s="54" t="str">
        <f t="shared" si="14"/>
        <v>24+ Months</v>
      </c>
      <c r="O190" s="54" t="s">
        <v>6</v>
      </c>
      <c r="P190" s="54">
        <f t="shared" si="10"/>
        <v>100</v>
      </c>
      <c r="Q190">
        <f t="shared" si="11"/>
        <v>100</v>
      </c>
      <c r="R190">
        <f t="shared" si="12"/>
        <v>100</v>
      </c>
    </row>
    <row r="191" spans="1:18" x14ac:dyDescent="0.2">
      <c r="A191" s="54" t="s">
        <v>266</v>
      </c>
      <c r="B191" s="54" t="s">
        <v>265</v>
      </c>
      <c r="C191" s="55">
        <v>105</v>
      </c>
      <c r="D191" s="55">
        <v>42</v>
      </c>
      <c r="E191" s="55">
        <v>21</v>
      </c>
      <c r="F191" s="55">
        <v>181</v>
      </c>
      <c r="G191" s="55">
        <v>135</v>
      </c>
      <c r="H191" s="55">
        <v>82</v>
      </c>
      <c r="I191" s="55">
        <v>4.3099999999999996</v>
      </c>
      <c r="J191" s="55">
        <v>3.21</v>
      </c>
      <c r="K191" s="55">
        <v>1.95</v>
      </c>
      <c r="L191" s="55">
        <v>0</v>
      </c>
      <c r="M191" s="54" t="str">
        <f t="shared" si="13"/>
        <v>12-24 Months</v>
      </c>
      <c r="N191" s="54" t="str">
        <f t="shared" si="14"/>
        <v>24+ Months</v>
      </c>
      <c r="O191" s="54" t="s">
        <v>7</v>
      </c>
      <c r="P191" s="54">
        <f t="shared" si="10"/>
        <v>105</v>
      </c>
      <c r="Q191">
        <f t="shared" si="11"/>
        <v>105</v>
      </c>
      <c r="R191">
        <f t="shared" si="12"/>
        <v>105</v>
      </c>
    </row>
    <row r="192" spans="1:18" x14ac:dyDescent="0.2">
      <c r="A192" s="54">
        <v>113399</v>
      </c>
      <c r="B192" s="54" t="s">
        <v>388</v>
      </c>
      <c r="C192" s="55">
        <v>125</v>
      </c>
      <c r="D192" s="55">
        <v>100</v>
      </c>
      <c r="E192" s="55">
        <v>21</v>
      </c>
      <c r="F192" s="55">
        <v>139</v>
      </c>
      <c r="G192" s="55">
        <v>139</v>
      </c>
      <c r="H192" s="55">
        <v>122</v>
      </c>
      <c r="I192" s="55">
        <v>1.39</v>
      </c>
      <c r="J192" s="55">
        <v>1.39</v>
      </c>
      <c r="K192" s="55">
        <v>1.22</v>
      </c>
      <c r="L192" s="55">
        <v>8</v>
      </c>
      <c r="M192" s="54" t="str">
        <f t="shared" si="13"/>
        <v>12-24 Months</v>
      </c>
      <c r="N192" s="54" t="str">
        <f t="shared" si="14"/>
        <v>24+ Months</v>
      </c>
      <c r="O192" s="54" t="s">
        <v>6</v>
      </c>
      <c r="P192" s="54">
        <f t="shared" si="10"/>
        <v>125</v>
      </c>
      <c r="Q192">
        <f t="shared" si="11"/>
        <v>0</v>
      </c>
      <c r="R192">
        <f t="shared" si="12"/>
        <v>125</v>
      </c>
    </row>
    <row r="193" spans="1:18" x14ac:dyDescent="0.2">
      <c r="A193" s="54">
        <v>105754</v>
      </c>
      <c r="B193" s="54" t="s">
        <v>676</v>
      </c>
      <c r="C193" s="55">
        <v>228</v>
      </c>
      <c r="D193" s="55">
        <v>166</v>
      </c>
      <c r="E193" s="55">
        <v>21</v>
      </c>
      <c r="F193" s="55">
        <v>0</v>
      </c>
      <c r="G193" s="55">
        <v>0</v>
      </c>
      <c r="H193" s="55">
        <v>0</v>
      </c>
      <c r="I193" s="55">
        <v>0</v>
      </c>
      <c r="J193" s="55">
        <v>0</v>
      </c>
      <c r="K193" s="55">
        <v>0</v>
      </c>
      <c r="L193" s="55">
        <v>0</v>
      </c>
      <c r="M193" s="54" t="str">
        <f t="shared" si="13"/>
        <v>12-24 Months</v>
      </c>
      <c r="N193" s="54" t="str">
        <f t="shared" si="14"/>
        <v>24+ Months</v>
      </c>
      <c r="O193" s="54" t="s">
        <v>6</v>
      </c>
      <c r="P193" s="54">
        <f t="shared" si="10"/>
        <v>0</v>
      </c>
      <c r="Q193">
        <f t="shared" si="11"/>
        <v>0</v>
      </c>
      <c r="R193">
        <f t="shared" si="12"/>
        <v>0</v>
      </c>
    </row>
    <row r="194" spans="1:18" x14ac:dyDescent="0.2">
      <c r="A194" s="54">
        <v>511036</v>
      </c>
      <c r="B194" s="54" t="s">
        <v>145</v>
      </c>
      <c r="C194" s="55">
        <v>231</v>
      </c>
      <c r="D194" s="55">
        <v>240</v>
      </c>
      <c r="E194" s="55">
        <v>21</v>
      </c>
      <c r="F194" s="55">
        <v>1056</v>
      </c>
      <c r="G194" s="55">
        <v>1037</v>
      </c>
      <c r="H194" s="55">
        <v>43</v>
      </c>
      <c r="I194" s="55">
        <v>4.4000000000000004</v>
      </c>
      <c r="J194" s="55">
        <v>4.32</v>
      </c>
      <c r="K194" s="55">
        <v>0.18</v>
      </c>
      <c r="L194" s="55">
        <v>10</v>
      </c>
      <c r="M194" s="54" t="str">
        <f t="shared" si="13"/>
        <v>12-24 Months</v>
      </c>
      <c r="N194" s="54" t="str">
        <f t="shared" si="14"/>
        <v>24+ Months</v>
      </c>
      <c r="O194" s="54" t="s">
        <v>6</v>
      </c>
      <c r="P194" s="54">
        <f t="shared" ref="P194:P257" si="15">IF(I194&gt;=2, C194, IF(J194&gt;=0.75, C194, 0))</f>
        <v>231</v>
      </c>
      <c r="Q194">
        <f t="shared" ref="Q194:Q257" si="16">IF(I194&gt;=2, C194, IF(AND(J194&gt;=0.75, D194&gt;=550), C194, 0))</f>
        <v>231</v>
      </c>
      <c r="R194">
        <f t="shared" ref="R194:R257" si="17">IF(J194&gt;=0.75, C194, 0)</f>
        <v>231</v>
      </c>
    </row>
    <row r="195" spans="1:18" x14ac:dyDescent="0.2">
      <c r="A195" s="54">
        <v>113387</v>
      </c>
      <c r="B195" s="54" t="s">
        <v>601</v>
      </c>
      <c r="C195" s="55">
        <v>267</v>
      </c>
      <c r="D195" s="55">
        <v>255</v>
      </c>
      <c r="E195" s="55">
        <v>21</v>
      </c>
      <c r="F195" s="55">
        <v>2</v>
      </c>
      <c r="G195" s="55">
        <v>0</v>
      </c>
      <c r="H195" s="55">
        <v>0</v>
      </c>
      <c r="I195" s="55">
        <v>0.01</v>
      </c>
      <c r="J195" s="55">
        <v>0</v>
      </c>
      <c r="K195" s="55">
        <v>0</v>
      </c>
      <c r="L195" s="55">
        <v>9</v>
      </c>
      <c r="M195" s="54" t="str">
        <f t="shared" ref="M195:M258" si="18">IF(E195&lt;6,"0-6 Months", IF(E195&lt;13, "6-12 Months", IF(E195&lt;19, "12-24 Months", IF(E195&lt;25, "12-24 Months", "24+ Months"))))</f>
        <v>12-24 Months</v>
      </c>
      <c r="N195" s="54" t="str">
        <f t="shared" ref="N195:N258" si="19">IF(E195&lt;6,"12-18 Months", IF(E195&lt;13, "18-24 Months", "24+ Months"))</f>
        <v>24+ Months</v>
      </c>
      <c r="O195" s="54" t="s">
        <v>6</v>
      </c>
      <c r="P195" s="54">
        <f t="shared" si="15"/>
        <v>0</v>
      </c>
      <c r="Q195">
        <f t="shared" si="16"/>
        <v>0</v>
      </c>
      <c r="R195">
        <f t="shared" si="17"/>
        <v>0</v>
      </c>
    </row>
    <row r="196" spans="1:18" x14ac:dyDescent="0.2">
      <c r="A196" s="54">
        <v>106297</v>
      </c>
      <c r="B196" s="54" t="s">
        <v>240</v>
      </c>
      <c r="C196" s="55">
        <v>296</v>
      </c>
      <c r="D196" s="55">
        <v>235</v>
      </c>
      <c r="E196" s="55">
        <v>21</v>
      </c>
      <c r="F196" s="55">
        <v>523</v>
      </c>
      <c r="G196" s="55">
        <v>26</v>
      </c>
      <c r="H196" s="55">
        <v>0</v>
      </c>
      <c r="I196" s="55">
        <v>2.23</v>
      </c>
      <c r="J196" s="55">
        <v>0.11</v>
      </c>
      <c r="K196" s="55">
        <v>0</v>
      </c>
      <c r="L196" s="55">
        <v>136</v>
      </c>
      <c r="M196" s="54" t="str">
        <f t="shared" si="18"/>
        <v>12-24 Months</v>
      </c>
      <c r="N196" s="54" t="str">
        <f t="shared" si="19"/>
        <v>24+ Months</v>
      </c>
      <c r="O196" s="54" t="s">
        <v>6</v>
      </c>
      <c r="P196" s="54">
        <f t="shared" si="15"/>
        <v>296</v>
      </c>
      <c r="Q196">
        <f t="shared" si="16"/>
        <v>296</v>
      </c>
      <c r="R196">
        <f t="shared" si="17"/>
        <v>0</v>
      </c>
    </row>
    <row r="197" spans="1:18" x14ac:dyDescent="0.2">
      <c r="A197" s="54">
        <v>141269</v>
      </c>
      <c r="B197" s="54" t="s">
        <v>108</v>
      </c>
      <c r="C197" s="55">
        <v>314</v>
      </c>
      <c r="D197" s="55">
        <v>300</v>
      </c>
      <c r="E197" s="55">
        <v>21</v>
      </c>
      <c r="F197" s="55">
        <v>962</v>
      </c>
      <c r="G197" s="55">
        <v>24</v>
      </c>
      <c r="H197" s="55">
        <v>15</v>
      </c>
      <c r="I197" s="55">
        <v>3.21</v>
      </c>
      <c r="J197" s="55">
        <v>0.08</v>
      </c>
      <c r="K197" s="55">
        <v>0.05</v>
      </c>
      <c r="L197" s="55">
        <v>3</v>
      </c>
      <c r="M197" s="54" t="str">
        <f t="shared" si="18"/>
        <v>12-24 Months</v>
      </c>
      <c r="N197" s="54" t="str">
        <f t="shared" si="19"/>
        <v>24+ Months</v>
      </c>
      <c r="O197" s="54" t="s">
        <v>6</v>
      </c>
      <c r="P197" s="54">
        <f t="shared" si="15"/>
        <v>314</v>
      </c>
      <c r="Q197">
        <f t="shared" si="16"/>
        <v>314</v>
      </c>
      <c r="R197">
        <f t="shared" si="17"/>
        <v>0</v>
      </c>
    </row>
    <row r="198" spans="1:18" x14ac:dyDescent="0.2">
      <c r="A198" s="54">
        <v>115314</v>
      </c>
      <c r="B198" s="54" t="s">
        <v>118</v>
      </c>
      <c r="C198" s="55">
        <v>487</v>
      </c>
      <c r="D198" s="55">
        <v>450</v>
      </c>
      <c r="E198" s="55">
        <v>21</v>
      </c>
      <c r="F198" s="55">
        <v>802</v>
      </c>
      <c r="G198" s="55">
        <v>347</v>
      </c>
      <c r="H198" s="55">
        <v>305</v>
      </c>
      <c r="I198" s="55">
        <v>1.78</v>
      </c>
      <c r="J198" s="55">
        <v>0.77</v>
      </c>
      <c r="K198" s="55">
        <v>0.68</v>
      </c>
      <c r="L198" s="55">
        <v>0</v>
      </c>
      <c r="M198" s="54" t="str">
        <f t="shared" si="18"/>
        <v>12-24 Months</v>
      </c>
      <c r="N198" s="54" t="str">
        <f t="shared" si="19"/>
        <v>24+ Months</v>
      </c>
      <c r="O198" s="54" t="s">
        <v>6</v>
      </c>
      <c r="P198" s="54">
        <f t="shared" si="15"/>
        <v>487</v>
      </c>
      <c r="Q198">
        <f t="shared" si="16"/>
        <v>0</v>
      </c>
      <c r="R198">
        <f t="shared" si="17"/>
        <v>487</v>
      </c>
    </row>
    <row r="199" spans="1:18" x14ac:dyDescent="0.2">
      <c r="A199" s="54">
        <v>112474</v>
      </c>
      <c r="B199" s="54" t="s">
        <v>84</v>
      </c>
      <c r="C199" s="55">
        <v>950</v>
      </c>
      <c r="D199" s="55">
        <v>1110</v>
      </c>
      <c r="E199" s="55">
        <v>21</v>
      </c>
      <c r="F199" s="55">
        <v>1647</v>
      </c>
      <c r="G199" s="55">
        <v>1048</v>
      </c>
      <c r="H199" s="55">
        <v>529</v>
      </c>
      <c r="I199" s="55">
        <v>1.48</v>
      </c>
      <c r="J199" s="55">
        <v>0.94</v>
      </c>
      <c r="K199" s="55">
        <v>0.48</v>
      </c>
      <c r="L199" s="55">
        <v>1331</v>
      </c>
      <c r="M199" s="54" t="str">
        <f t="shared" si="18"/>
        <v>12-24 Months</v>
      </c>
      <c r="N199" s="54" t="str">
        <f t="shared" si="19"/>
        <v>24+ Months</v>
      </c>
      <c r="O199" s="54" t="s">
        <v>5</v>
      </c>
      <c r="P199" s="54">
        <f t="shared" si="15"/>
        <v>950</v>
      </c>
      <c r="Q199">
        <f t="shared" si="16"/>
        <v>950</v>
      </c>
      <c r="R199">
        <f t="shared" si="17"/>
        <v>950</v>
      </c>
    </row>
    <row r="200" spans="1:18" x14ac:dyDescent="0.2">
      <c r="A200" s="54">
        <v>305270</v>
      </c>
      <c r="B200" s="54" t="s">
        <v>631</v>
      </c>
      <c r="C200" s="55">
        <v>4</v>
      </c>
      <c r="D200" s="55">
        <v>4</v>
      </c>
      <c r="E200" s="55">
        <v>20</v>
      </c>
      <c r="F200" s="55">
        <v>0</v>
      </c>
      <c r="G200" s="55">
        <v>0</v>
      </c>
      <c r="H200" s="55">
        <v>0</v>
      </c>
      <c r="I200" s="55">
        <v>0</v>
      </c>
      <c r="J200" s="55">
        <v>0</v>
      </c>
      <c r="K200" s="55">
        <v>0</v>
      </c>
      <c r="L200" s="55">
        <v>0</v>
      </c>
      <c r="M200" s="54" t="str">
        <f t="shared" si="18"/>
        <v>12-24 Months</v>
      </c>
      <c r="N200" s="54" t="str">
        <f t="shared" si="19"/>
        <v>24+ Months</v>
      </c>
      <c r="O200" s="54" t="s">
        <v>7</v>
      </c>
      <c r="P200" s="54">
        <f t="shared" si="15"/>
        <v>0</v>
      </c>
      <c r="Q200">
        <f t="shared" si="16"/>
        <v>0</v>
      </c>
      <c r="R200">
        <f t="shared" si="17"/>
        <v>0</v>
      </c>
    </row>
    <row r="201" spans="1:18" x14ac:dyDescent="0.2">
      <c r="A201" s="54">
        <v>153711</v>
      </c>
      <c r="B201" s="54" t="s">
        <v>614</v>
      </c>
      <c r="C201" s="55">
        <v>15</v>
      </c>
      <c r="D201" s="55">
        <v>16</v>
      </c>
      <c r="E201" s="55">
        <v>20</v>
      </c>
      <c r="F201" s="55">
        <v>1</v>
      </c>
      <c r="G201" s="55">
        <v>0</v>
      </c>
      <c r="H201" s="55">
        <v>0</v>
      </c>
      <c r="I201" s="55">
        <v>0.06</v>
      </c>
      <c r="J201" s="55">
        <v>0</v>
      </c>
      <c r="K201" s="55">
        <v>0</v>
      </c>
      <c r="L201" s="55">
        <v>0</v>
      </c>
      <c r="M201" s="54" t="str">
        <f t="shared" si="18"/>
        <v>12-24 Months</v>
      </c>
      <c r="N201" s="54" t="str">
        <f t="shared" si="19"/>
        <v>24+ Months</v>
      </c>
      <c r="O201" s="54" t="s">
        <v>7</v>
      </c>
      <c r="P201" s="54">
        <f t="shared" si="15"/>
        <v>0</v>
      </c>
      <c r="Q201">
        <f t="shared" si="16"/>
        <v>0</v>
      </c>
      <c r="R201">
        <f t="shared" si="17"/>
        <v>0</v>
      </c>
    </row>
    <row r="202" spans="1:18" x14ac:dyDescent="0.2">
      <c r="A202" s="54">
        <v>543347</v>
      </c>
      <c r="B202" s="54" t="s">
        <v>254</v>
      </c>
      <c r="C202" s="55">
        <v>28</v>
      </c>
      <c r="D202" s="55">
        <v>104</v>
      </c>
      <c r="E202" s="55">
        <v>20</v>
      </c>
      <c r="F202" s="55">
        <v>80</v>
      </c>
      <c r="G202" s="55">
        <v>38</v>
      </c>
      <c r="H202" s="55">
        <v>0</v>
      </c>
      <c r="I202" s="55">
        <v>0.77</v>
      </c>
      <c r="J202" s="55">
        <v>0.37</v>
      </c>
      <c r="K202" s="55">
        <v>0</v>
      </c>
      <c r="L202" s="55">
        <v>0</v>
      </c>
      <c r="M202" s="54" t="str">
        <f t="shared" si="18"/>
        <v>12-24 Months</v>
      </c>
      <c r="N202" s="54" t="str">
        <f t="shared" si="19"/>
        <v>24+ Months</v>
      </c>
      <c r="O202" s="54" t="s">
        <v>6</v>
      </c>
      <c r="P202" s="54">
        <f t="shared" si="15"/>
        <v>0</v>
      </c>
      <c r="Q202">
        <f t="shared" si="16"/>
        <v>0</v>
      </c>
      <c r="R202">
        <f t="shared" si="17"/>
        <v>0</v>
      </c>
    </row>
    <row r="203" spans="1:18" x14ac:dyDescent="0.2">
      <c r="A203" s="54">
        <v>106273</v>
      </c>
      <c r="B203" s="54" t="s">
        <v>167</v>
      </c>
      <c r="C203" s="55">
        <v>30</v>
      </c>
      <c r="D203" s="55">
        <v>30</v>
      </c>
      <c r="E203" s="55">
        <v>20</v>
      </c>
      <c r="F203" s="55">
        <v>190</v>
      </c>
      <c r="G203" s="55">
        <v>99</v>
      </c>
      <c r="H203" s="55">
        <v>68</v>
      </c>
      <c r="I203" s="55">
        <v>6.33</v>
      </c>
      <c r="J203" s="55">
        <v>3.3</v>
      </c>
      <c r="K203" s="55">
        <v>2.27</v>
      </c>
      <c r="L203" s="55">
        <v>2</v>
      </c>
      <c r="M203" s="54" t="str">
        <f t="shared" si="18"/>
        <v>12-24 Months</v>
      </c>
      <c r="N203" s="54" t="str">
        <f t="shared" si="19"/>
        <v>24+ Months</v>
      </c>
      <c r="O203" s="54" t="s">
        <v>7</v>
      </c>
      <c r="P203" s="54">
        <f t="shared" si="15"/>
        <v>30</v>
      </c>
      <c r="Q203">
        <f t="shared" si="16"/>
        <v>30</v>
      </c>
      <c r="R203">
        <f t="shared" si="17"/>
        <v>30</v>
      </c>
    </row>
    <row r="204" spans="1:18" x14ac:dyDescent="0.2">
      <c r="A204" s="54">
        <v>458279</v>
      </c>
      <c r="B204" s="54" t="s">
        <v>637</v>
      </c>
      <c r="C204" s="55">
        <v>30</v>
      </c>
      <c r="D204" s="55">
        <v>30</v>
      </c>
      <c r="E204" s="55">
        <v>20</v>
      </c>
      <c r="F204" s="55">
        <v>0</v>
      </c>
      <c r="G204" s="55">
        <v>0</v>
      </c>
      <c r="H204" s="55">
        <v>0</v>
      </c>
      <c r="I204" s="55">
        <v>0</v>
      </c>
      <c r="J204" s="55">
        <v>0</v>
      </c>
      <c r="K204" s="55">
        <v>0</v>
      </c>
      <c r="L204" s="55">
        <v>0</v>
      </c>
      <c r="M204" s="54" t="str">
        <f t="shared" si="18"/>
        <v>12-24 Months</v>
      </c>
      <c r="N204" s="54" t="str">
        <f t="shared" si="19"/>
        <v>24+ Months</v>
      </c>
      <c r="O204" s="54" t="s">
        <v>7</v>
      </c>
      <c r="P204" s="54">
        <f t="shared" si="15"/>
        <v>0</v>
      </c>
      <c r="Q204">
        <f t="shared" si="16"/>
        <v>0</v>
      </c>
      <c r="R204">
        <f t="shared" si="17"/>
        <v>0</v>
      </c>
    </row>
    <row r="205" spans="1:18" x14ac:dyDescent="0.2">
      <c r="A205" s="54">
        <v>145461</v>
      </c>
      <c r="B205" s="54" t="s">
        <v>236</v>
      </c>
      <c r="C205" s="55">
        <v>54</v>
      </c>
      <c r="D205" s="55">
        <v>59</v>
      </c>
      <c r="E205" s="55">
        <v>20</v>
      </c>
      <c r="F205" s="55">
        <v>196</v>
      </c>
      <c r="G205" s="55">
        <v>180</v>
      </c>
      <c r="H205" s="55">
        <v>0</v>
      </c>
      <c r="I205" s="55">
        <v>3.06</v>
      </c>
      <c r="J205" s="55">
        <v>2.81</v>
      </c>
      <c r="K205" s="55">
        <v>0</v>
      </c>
      <c r="L205" s="55">
        <v>159</v>
      </c>
      <c r="M205" s="54" t="str">
        <f t="shared" si="18"/>
        <v>12-24 Months</v>
      </c>
      <c r="N205" s="54" t="str">
        <f t="shared" si="19"/>
        <v>24+ Months</v>
      </c>
      <c r="O205" s="54" t="s">
        <v>7</v>
      </c>
      <c r="P205" s="54">
        <f t="shared" si="15"/>
        <v>54</v>
      </c>
      <c r="Q205">
        <f t="shared" si="16"/>
        <v>54</v>
      </c>
      <c r="R205">
        <f t="shared" si="17"/>
        <v>54</v>
      </c>
    </row>
    <row r="206" spans="1:18" x14ac:dyDescent="0.2">
      <c r="A206" s="54">
        <v>110360</v>
      </c>
      <c r="B206" s="54" t="s">
        <v>470</v>
      </c>
      <c r="C206" s="55">
        <v>85</v>
      </c>
      <c r="D206" s="55">
        <v>133</v>
      </c>
      <c r="E206" s="55">
        <v>20</v>
      </c>
      <c r="F206" s="55">
        <v>49</v>
      </c>
      <c r="G206" s="55">
        <v>3</v>
      </c>
      <c r="H206" s="55">
        <v>0</v>
      </c>
      <c r="I206" s="55">
        <v>0.37</v>
      </c>
      <c r="J206" s="55">
        <v>0.02</v>
      </c>
      <c r="K206" s="55">
        <v>0</v>
      </c>
      <c r="L206" s="55">
        <v>2</v>
      </c>
      <c r="M206" s="54" t="str">
        <f t="shared" si="18"/>
        <v>12-24 Months</v>
      </c>
      <c r="N206" s="54" t="str">
        <f t="shared" si="19"/>
        <v>24+ Months</v>
      </c>
      <c r="O206" s="54" t="s">
        <v>6</v>
      </c>
      <c r="P206" s="54">
        <f t="shared" si="15"/>
        <v>0</v>
      </c>
      <c r="Q206">
        <f t="shared" si="16"/>
        <v>0</v>
      </c>
      <c r="R206">
        <f t="shared" si="17"/>
        <v>0</v>
      </c>
    </row>
    <row r="207" spans="1:18" x14ac:dyDescent="0.2">
      <c r="A207" s="54">
        <v>110737</v>
      </c>
      <c r="B207" s="54" t="s">
        <v>657</v>
      </c>
      <c r="C207" s="55">
        <v>138</v>
      </c>
      <c r="D207" s="55">
        <v>120</v>
      </c>
      <c r="E207" s="55">
        <v>20</v>
      </c>
      <c r="F207" s="55">
        <v>0</v>
      </c>
      <c r="G207" s="55">
        <v>0</v>
      </c>
      <c r="H207" s="55">
        <v>0</v>
      </c>
      <c r="I207" s="55">
        <v>0</v>
      </c>
      <c r="J207" s="55">
        <v>0</v>
      </c>
      <c r="K207" s="55">
        <v>0</v>
      </c>
      <c r="L207" s="55">
        <v>0</v>
      </c>
      <c r="M207" s="54" t="str">
        <f t="shared" si="18"/>
        <v>12-24 Months</v>
      </c>
      <c r="N207" s="54" t="str">
        <f t="shared" si="19"/>
        <v>24+ Months</v>
      </c>
      <c r="O207" s="54" t="s">
        <v>6</v>
      </c>
      <c r="P207" s="54">
        <f t="shared" si="15"/>
        <v>0</v>
      </c>
      <c r="Q207">
        <f t="shared" si="16"/>
        <v>0</v>
      </c>
      <c r="R207">
        <f t="shared" si="17"/>
        <v>0</v>
      </c>
    </row>
    <row r="208" spans="1:18" x14ac:dyDescent="0.2">
      <c r="A208" s="54">
        <v>138516</v>
      </c>
      <c r="B208" s="54" t="s">
        <v>238</v>
      </c>
      <c r="C208" s="55">
        <v>140</v>
      </c>
      <c r="D208" s="55">
        <v>158</v>
      </c>
      <c r="E208" s="55">
        <v>20</v>
      </c>
      <c r="F208" s="55">
        <v>298</v>
      </c>
      <c r="G208" s="55">
        <v>267</v>
      </c>
      <c r="H208" s="55">
        <v>218</v>
      </c>
      <c r="I208" s="55">
        <v>1.77</v>
      </c>
      <c r="J208" s="55">
        <v>1.59</v>
      </c>
      <c r="K208" s="55">
        <v>1.3</v>
      </c>
      <c r="L208" s="55">
        <v>0</v>
      </c>
      <c r="M208" s="54" t="str">
        <f t="shared" si="18"/>
        <v>12-24 Months</v>
      </c>
      <c r="N208" s="54" t="str">
        <f t="shared" si="19"/>
        <v>24+ Months</v>
      </c>
      <c r="O208" s="54" t="s">
        <v>6</v>
      </c>
      <c r="P208" s="54">
        <f t="shared" si="15"/>
        <v>140</v>
      </c>
      <c r="Q208">
        <f t="shared" si="16"/>
        <v>0</v>
      </c>
      <c r="R208">
        <f t="shared" si="17"/>
        <v>140</v>
      </c>
    </row>
    <row r="209" spans="1:18" x14ac:dyDescent="0.2">
      <c r="A209" s="54">
        <v>107993</v>
      </c>
      <c r="B209" s="54" t="s">
        <v>162</v>
      </c>
      <c r="C209" s="55">
        <v>157</v>
      </c>
      <c r="D209" s="55">
        <v>151</v>
      </c>
      <c r="E209" s="55">
        <v>20</v>
      </c>
      <c r="F209" s="55">
        <v>523</v>
      </c>
      <c r="G209" s="55">
        <v>291</v>
      </c>
      <c r="H209" s="55">
        <v>290</v>
      </c>
      <c r="I209" s="55">
        <v>3.46</v>
      </c>
      <c r="J209" s="55">
        <v>1.93</v>
      </c>
      <c r="K209" s="55">
        <v>1.92</v>
      </c>
      <c r="L209" s="55">
        <v>7</v>
      </c>
      <c r="M209" s="54" t="str">
        <f t="shared" si="18"/>
        <v>12-24 Months</v>
      </c>
      <c r="N209" s="54" t="str">
        <f t="shared" si="19"/>
        <v>24+ Months</v>
      </c>
      <c r="O209" s="54" t="s">
        <v>6</v>
      </c>
      <c r="P209" s="54">
        <f t="shared" si="15"/>
        <v>157</v>
      </c>
      <c r="Q209">
        <f t="shared" si="16"/>
        <v>157</v>
      </c>
      <c r="R209">
        <f t="shared" si="17"/>
        <v>157</v>
      </c>
    </row>
    <row r="210" spans="1:18" x14ac:dyDescent="0.2">
      <c r="A210" s="54">
        <v>113228</v>
      </c>
      <c r="B210" s="54" t="s">
        <v>641</v>
      </c>
      <c r="C210" s="55">
        <v>580</v>
      </c>
      <c r="D210" s="55">
        <v>645</v>
      </c>
      <c r="E210" s="55">
        <v>20</v>
      </c>
      <c r="F210" s="55">
        <v>0</v>
      </c>
      <c r="G210" s="55">
        <v>0</v>
      </c>
      <c r="H210" s="55">
        <v>0</v>
      </c>
      <c r="I210" s="55">
        <v>0</v>
      </c>
      <c r="J210" s="55">
        <v>0</v>
      </c>
      <c r="K210" s="55">
        <v>0</v>
      </c>
      <c r="L210" s="55">
        <v>0</v>
      </c>
      <c r="M210" s="54" t="str">
        <f t="shared" si="18"/>
        <v>12-24 Months</v>
      </c>
      <c r="N210" s="54" t="str">
        <f t="shared" si="19"/>
        <v>24+ Months</v>
      </c>
      <c r="O210" s="54" t="s">
        <v>5</v>
      </c>
      <c r="P210" s="54">
        <f t="shared" si="15"/>
        <v>0</v>
      </c>
      <c r="Q210">
        <f t="shared" si="16"/>
        <v>0</v>
      </c>
      <c r="R210">
        <f t="shared" si="17"/>
        <v>0</v>
      </c>
    </row>
    <row r="211" spans="1:18" x14ac:dyDescent="0.2">
      <c r="A211" s="54">
        <v>322638</v>
      </c>
      <c r="B211" s="54" t="s">
        <v>332</v>
      </c>
      <c r="C211" s="55">
        <v>10</v>
      </c>
      <c r="D211" s="55">
        <v>225</v>
      </c>
      <c r="E211" s="55">
        <v>19</v>
      </c>
      <c r="F211" s="55">
        <v>85</v>
      </c>
      <c r="G211" s="55">
        <v>30</v>
      </c>
      <c r="H211" s="55">
        <v>27</v>
      </c>
      <c r="I211" s="55">
        <v>0.38</v>
      </c>
      <c r="J211" s="55">
        <v>0.13</v>
      </c>
      <c r="K211" s="55">
        <v>0.12</v>
      </c>
      <c r="L211" s="55">
        <v>81</v>
      </c>
      <c r="M211" s="54" t="str">
        <f t="shared" si="18"/>
        <v>12-24 Months</v>
      </c>
      <c r="N211" s="54" t="str">
        <f t="shared" si="19"/>
        <v>24+ Months</v>
      </c>
      <c r="O211" s="54" t="s">
        <v>6</v>
      </c>
      <c r="P211" s="54">
        <f t="shared" si="15"/>
        <v>0</v>
      </c>
      <c r="Q211">
        <f t="shared" si="16"/>
        <v>0</v>
      </c>
      <c r="R211">
        <f t="shared" si="17"/>
        <v>0</v>
      </c>
    </row>
    <row r="212" spans="1:18" x14ac:dyDescent="0.2">
      <c r="A212" s="54">
        <v>157301</v>
      </c>
      <c r="B212" s="54" t="s">
        <v>667</v>
      </c>
      <c r="C212" s="55">
        <v>13</v>
      </c>
      <c r="D212" s="55">
        <v>15</v>
      </c>
      <c r="E212" s="55">
        <v>19</v>
      </c>
      <c r="F212" s="55">
        <v>0</v>
      </c>
      <c r="G212" s="55">
        <v>0</v>
      </c>
      <c r="H212" s="55">
        <v>0</v>
      </c>
      <c r="I212" s="55">
        <v>0</v>
      </c>
      <c r="J212" s="55">
        <v>0</v>
      </c>
      <c r="K212" s="55">
        <v>0</v>
      </c>
      <c r="L212" s="55">
        <v>0</v>
      </c>
      <c r="M212" s="54" t="str">
        <f t="shared" si="18"/>
        <v>12-24 Months</v>
      </c>
      <c r="N212" s="54" t="str">
        <f t="shared" si="19"/>
        <v>24+ Months</v>
      </c>
      <c r="O212" s="54" t="s">
        <v>7</v>
      </c>
      <c r="P212" s="54">
        <f t="shared" si="15"/>
        <v>0</v>
      </c>
      <c r="Q212">
        <f t="shared" si="16"/>
        <v>0</v>
      </c>
      <c r="R212">
        <f t="shared" si="17"/>
        <v>0</v>
      </c>
    </row>
    <row r="213" spans="1:18" x14ac:dyDescent="0.2">
      <c r="A213" s="54">
        <v>326240</v>
      </c>
      <c r="B213" s="54" t="s">
        <v>404</v>
      </c>
      <c r="C213" s="55">
        <v>13</v>
      </c>
      <c r="D213" s="55">
        <v>54</v>
      </c>
      <c r="E213" s="55">
        <v>19</v>
      </c>
      <c r="F213" s="55">
        <v>58</v>
      </c>
      <c r="G213" s="55">
        <v>24</v>
      </c>
      <c r="H213" s="55">
        <v>1</v>
      </c>
      <c r="I213" s="55">
        <v>1.07</v>
      </c>
      <c r="J213" s="55">
        <v>0.44</v>
      </c>
      <c r="K213" s="55">
        <v>0.02</v>
      </c>
      <c r="L213" s="55">
        <v>2</v>
      </c>
      <c r="M213" s="54" t="str">
        <f t="shared" si="18"/>
        <v>12-24 Months</v>
      </c>
      <c r="N213" s="54" t="str">
        <f t="shared" si="19"/>
        <v>24+ Months</v>
      </c>
      <c r="O213" s="54" t="s">
        <v>7</v>
      </c>
      <c r="P213" s="54">
        <f t="shared" si="15"/>
        <v>0</v>
      </c>
      <c r="Q213">
        <f t="shared" si="16"/>
        <v>0</v>
      </c>
      <c r="R213">
        <f t="shared" si="17"/>
        <v>0</v>
      </c>
    </row>
    <row r="214" spans="1:18" x14ac:dyDescent="0.2">
      <c r="A214" s="54">
        <v>493927</v>
      </c>
      <c r="B214" s="54" t="s">
        <v>519</v>
      </c>
      <c r="C214" s="55">
        <v>17</v>
      </c>
      <c r="D214" s="55">
        <v>17</v>
      </c>
      <c r="E214" s="55">
        <v>19</v>
      </c>
      <c r="F214" s="55">
        <v>42</v>
      </c>
      <c r="G214" s="55">
        <v>42</v>
      </c>
      <c r="H214" s="55">
        <v>42</v>
      </c>
      <c r="I214" s="55">
        <v>2.4700000000000002</v>
      </c>
      <c r="J214" s="55">
        <v>2.4700000000000002</v>
      </c>
      <c r="K214" s="55">
        <v>2.4700000000000002</v>
      </c>
      <c r="L214" s="55">
        <v>0</v>
      </c>
      <c r="M214" s="54" t="str">
        <f t="shared" si="18"/>
        <v>12-24 Months</v>
      </c>
      <c r="N214" s="54" t="str">
        <f t="shared" si="19"/>
        <v>24+ Months</v>
      </c>
      <c r="O214" s="54" t="s">
        <v>7</v>
      </c>
      <c r="P214" s="54">
        <f t="shared" si="15"/>
        <v>17</v>
      </c>
      <c r="Q214">
        <f t="shared" si="16"/>
        <v>17</v>
      </c>
      <c r="R214">
        <f t="shared" si="17"/>
        <v>17</v>
      </c>
    </row>
    <row r="215" spans="1:18" x14ac:dyDescent="0.2">
      <c r="A215" s="54">
        <v>111138</v>
      </c>
      <c r="B215" s="54" t="s">
        <v>490</v>
      </c>
      <c r="C215" s="55">
        <v>24</v>
      </c>
      <c r="D215" s="55">
        <v>28</v>
      </c>
      <c r="E215" s="55">
        <v>19</v>
      </c>
      <c r="F215" s="55">
        <v>21</v>
      </c>
      <c r="G215" s="55">
        <v>21</v>
      </c>
      <c r="H215" s="55">
        <v>0</v>
      </c>
      <c r="I215" s="55">
        <v>0.75</v>
      </c>
      <c r="J215" s="55">
        <v>0.75</v>
      </c>
      <c r="K215" s="55">
        <v>0</v>
      </c>
      <c r="L215" s="55">
        <v>2</v>
      </c>
      <c r="M215" s="54" t="str">
        <f t="shared" si="18"/>
        <v>12-24 Months</v>
      </c>
      <c r="N215" s="54" t="str">
        <f t="shared" si="19"/>
        <v>24+ Months</v>
      </c>
      <c r="O215" s="54" t="s">
        <v>7</v>
      </c>
      <c r="P215" s="54">
        <f t="shared" si="15"/>
        <v>24</v>
      </c>
      <c r="Q215">
        <f t="shared" si="16"/>
        <v>0</v>
      </c>
      <c r="R215">
        <f t="shared" si="17"/>
        <v>24</v>
      </c>
    </row>
    <row r="216" spans="1:18" x14ac:dyDescent="0.2">
      <c r="A216" s="54">
        <v>106735</v>
      </c>
      <c r="B216" s="54" t="s">
        <v>336</v>
      </c>
      <c r="C216" s="55">
        <v>65</v>
      </c>
      <c r="D216" s="55">
        <v>65</v>
      </c>
      <c r="E216" s="55">
        <v>19</v>
      </c>
      <c r="F216" s="55">
        <v>32</v>
      </c>
      <c r="G216" s="55">
        <v>32</v>
      </c>
      <c r="H216" s="55">
        <v>15</v>
      </c>
      <c r="I216" s="55">
        <v>0.49</v>
      </c>
      <c r="J216" s="55">
        <v>0.49</v>
      </c>
      <c r="K216" s="55">
        <v>0.23</v>
      </c>
      <c r="L216" s="55">
        <v>1</v>
      </c>
      <c r="M216" s="54" t="str">
        <f t="shared" si="18"/>
        <v>12-24 Months</v>
      </c>
      <c r="N216" s="54" t="str">
        <f t="shared" si="19"/>
        <v>24+ Months</v>
      </c>
      <c r="O216" s="54" t="s">
        <v>7</v>
      </c>
      <c r="P216" s="54">
        <f t="shared" si="15"/>
        <v>0</v>
      </c>
      <c r="Q216">
        <f t="shared" si="16"/>
        <v>0</v>
      </c>
      <c r="R216">
        <f t="shared" si="17"/>
        <v>0</v>
      </c>
    </row>
    <row r="217" spans="1:18" x14ac:dyDescent="0.2">
      <c r="A217" s="54">
        <v>112666</v>
      </c>
      <c r="B217" s="54" t="s">
        <v>633</v>
      </c>
      <c r="C217" s="55">
        <v>145</v>
      </c>
      <c r="D217" s="55">
        <v>62</v>
      </c>
      <c r="E217" s="55">
        <v>19</v>
      </c>
      <c r="F217" s="55">
        <v>0</v>
      </c>
      <c r="G217" s="55">
        <v>0</v>
      </c>
      <c r="H217" s="55">
        <v>0</v>
      </c>
      <c r="I217" s="55">
        <v>0</v>
      </c>
      <c r="J217" s="55">
        <v>0</v>
      </c>
      <c r="K217" s="55">
        <v>0</v>
      </c>
      <c r="L217" s="55">
        <v>0</v>
      </c>
      <c r="M217" s="54" t="str">
        <f t="shared" si="18"/>
        <v>12-24 Months</v>
      </c>
      <c r="N217" s="54" t="str">
        <f t="shared" si="19"/>
        <v>24+ Months</v>
      </c>
      <c r="O217" s="54" t="s">
        <v>7</v>
      </c>
      <c r="P217" s="54">
        <f t="shared" si="15"/>
        <v>0</v>
      </c>
      <c r="Q217">
        <f t="shared" si="16"/>
        <v>0</v>
      </c>
      <c r="R217">
        <f t="shared" si="17"/>
        <v>0</v>
      </c>
    </row>
    <row r="218" spans="1:18" x14ac:dyDescent="0.2">
      <c r="A218" s="54">
        <v>111065</v>
      </c>
      <c r="B218" s="54" t="s">
        <v>204</v>
      </c>
      <c r="C218" s="55">
        <v>160</v>
      </c>
      <c r="D218" s="55">
        <v>502</v>
      </c>
      <c r="E218" s="55">
        <v>19</v>
      </c>
      <c r="F218" s="55">
        <v>308</v>
      </c>
      <c r="G218" s="55">
        <v>284</v>
      </c>
      <c r="H218" s="55">
        <v>20</v>
      </c>
      <c r="I218" s="55">
        <v>0.37</v>
      </c>
      <c r="J218" s="55">
        <v>0.34</v>
      </c>
      <c r="K218" s="55">
        <v>0.02</v>
      </c>
      <c r="L218" s="55">
        <v>623</v>
      </c>
      <c r="M218" s="54" t="str">
        <f t="shared" si="18"/>
        <v>12-24 Months</v>
      </c>
      <c r="N218" s="54" t="str">
        <f t="shared" si="19"/>
        <v>24+ Months</v>
      </c>
      <c r="O218" s="54" t="s">
        <v>5</v>
      </c>
      <c r="P218" s="54">
        <f t="shared" si="15"/>
        <v>0</v>
      </c>
      <c r="Q218">
        <f t="shared" si="16"/>
        <v>0</v>
      </c>
      <c r="R218">
        <f t="shared" si="17"/>
        <v>0</v>
      </c>
    </row>
    <row r="219" spans="1:18" x14ac:dyDescent="0.2">
      <c r="A219" s="54">
        <v>106715</v>
      </c>
      <c r="B219" s="54" t="s">
        <v>85</v>
      </c>
      <c r="C219" s="55">
        <v>186</v>
      </c>
      <c r="D219" s="55">
        <v>136</v>
      </c>
      <c r="E219" s="55">
        <v>19</v>
      </c>
      <c r="F219" s="55">
        <v>1070</v>
      </c>
      <c r="G219" s="55">
        <v>454</v>
      </c>
      <c r="H219" s="55">
        <v>0</v>
      </c>
      <c r="I219" s="55">
        <v>7.87</v>
      </c>
      <c r="J219" s="55">
        <v>3.34</v>
      </c>
      <c r="K219" s="55">
        <v>0</v>
      </c>
      <c r="L219" s="55">
        <v>378</v>
      </c>
      <c r="M219" s="54" t="str">
        <f t="shared" si="18"/>
        <v>12-24 Months</v>
      </c>
      <c r="N219" s="54" t="str">
        <f t="shared" si="19"/>
        <v>24+ Months</v>
      </c>
      <c r="O219" s="54" t="s">
        <v>6</v>
      </c>
      <c r="P219" s="54">
        <f t="shared" si="15"/>
        <v>186</v>
      </c>
      <c r="Q219">
        <f t="shared" si="16"/>
        <v>186</v>
      </c>
      <c r="R219">
        <f t="shared" si="17"/>
        <v>186</v>
      </c>
    </row>
    <row r="220" spans="1:18" x14ac:dyDescent="0.2">
      <c r="A220" s="54">
        <v>109708</v>
      </c>
      <c r="B220" s="54" t="s">
        <v>329</v>
      </c>
      <c r="C220" s="55">
        <v>236</v>
      </c>
      <c r="D220" s="55">
        <v>135</v>
      </c>
      <c r="E220" s="55">
        <v>19</v>
      </c>
      <c r="F220" s="55">
        <v>107</v>
      </c>
      <c r="G220" s="55">
        <v>83</v>
      </c>
      <c r="H220" s="55">
        <v>75</v>
      </c>
      <c r="I220" s="55">
        <v>0.79</v>
      </c>
      <c r="J220" s="55">
        <v>0.61</v>
      </c>
      <c r="K220" s="55">
        <v>0.56000000000000005</v>
      </c>
      <c r="L220" s="55">
        <v>11</v>
      </c>
      <c r="M220" s="54" t="str">
        <f t="shared" si="18"/>
        <v>12-24 Months</v>
      </c>
      <c r="N220" s="54" t="str">
        <f t="shared" si="19"/>
        <v>24+ Months</v>
      </c>
      <c r="O220" s="54" t="s">
        <v>6</v>
      </c>
      <c r="P220" s="54">
        <f t="shared" si="15"/>
        <v>0</v>
      </c>
      <c r="Q220">
        <f t="shared" si="16"/>
        <v>0</v>
      </c>
      <c r="R220">
        <f t="shared" si="17"/>
        <v>0</v>
      </c>
    </row>
    <row r="221" spans="1:18" x14ac:dyDescent="0.2">
      <c r="A221" s="54">
        <v>108406</v>
      </c>
      <c r="B221" s="54" t="s">
        <v>648</v>
      </c>
      <c r="C221" s="55">
        <v>280</v>
      </c>
      <c r="D221" s="55">
        <v>200</v>
      </c>
      <c r="E221" s="55">
        <v>19</v>
      </c>
      <c r="F221" s="55">
        <v>0</v>
      </c>
      <c r="G221" s="55">
        <v>0</v>
      </c>
      <c r="H221" s="55">
        <v>0</v>
      </c>
      <c r="I221" s="55">
        <v>0</v>
      </c>
      <c r="J221" s="55">
        <v>0</v>
      </c>
      <c r="K221" s="55">
        <v>0</v>
      </c>
      <c r="L221" s="55">
        <v>0</v>
      </c>
      <c r="M221" s="54" t="str">
        <f t="shared" si="18"/>
        <v>12-24 Months</v>
      </c>
      <c r="N221" s="54" t="str">
        <f t="shared" si="19"/>
        <v>24+ Months</v>
      </c>
      <c r="O221" s="54" t="s">
        <v>6</v>
      </c>
      <c r="P221" s="54">
        <f t="shared" si="15"/>
        <v>0</v>
      </c>
      <c r="Q221">
        <f t="shared" si="16"/>
        <v>0</v>
      </c>
      <c r="R221">
        <f t="shared" si="17"/>
        <v>0</v>
      </c>
    </row>
    <row r="222" spans="1:18" x14ac:dyDescent="0.2">
      <c r="A222" s="54">
        <v>478409</v>
      </c>
      <c r="B222" s="54" t="s">
        <v>330</v>
      </c>
      <c r="C222" s="55">
        <v>600</v>
      </c>
      <c r="D222" s="55">
        <v>25</v>
      </c>
      <c r="E222" s="55">
        <v>19</v>
      </c>
      <c r="F222" s="55">
        <v>276</v>
      </c>
      <c r="G222" s="55">
        <v>17</v>
      </c>
      <c r="H222" s="55">
        <v>9</v>
      </c>
      <c r="I222" s="55">
        <v>11.04</v>
      </c>
      <c r="J222" s="55">
        <v>0.68</v>
      </c>
      <c r="K222" s="55">
        <v>0.36</v>
      </c>
      <c r="L222" s="55">
        <v>2</v>
      </c>
      <c r="M222" s="54" t="str">
        <f t="shared" si="18"/>
        <v>12-24 Months</v>
      </c>
      <c r="N222" s="54" t="str">
        <f t="shared" si="19"/>
        <v>24+ Months</v>
      </c>
      <c r="O222" s="54" t="s">
        <v>7</v>
      </c>
      <c r="P222" s="54">
        <f t="shared" si="15"/>
        <v>600</v>
      </c>
      <c r="Q222">
        <f t="shared" si="16"/>
        <v>600</v>
      </c>
      <c r="R222">
        <f t="shared" si="17"/>
        <v>0</v>
      </c>
    </row>
    <row r="223" spans="1:18" x14ac:dyDescent="0.2">
      <c r="A223" s="54">
        <v>106304</v>
      </c>
      <c r="B223" s="54" t="s">
        <v>252</v>
      </c>
      <c r="C223" s="55">
        <v>6696</v>
      </c>
      <c r="D223" s="55">
        <v>3197</v>
      </c>
      <c r="E223" s="55">
        <v>19</v>
      </c>
      <c r="F223" s="55">
        <v>372</v>
      </c>
      <c r="G223" s="55">
        <v>47</v>
      </c>
      <c r="H223" s="55">
        <v>24</v>
      </c>
      <c r="I223" s="55">
        <v>0.12</v>
      </c>
      <c r="J223" s="55">
        <v>0.01</v>
      </c>
      <c r="K223" s="55">
        <v>0.01</v>
      </c>
      <c r="L223" s="55">
        <v>108</v>
      </c>
      <c r="M223" s="54" t="str">
        <f t="shared" si="18"/>
        <v>12-24 Months</v>
      </c>
      <c r="N223" s="54" t="str">
        <f t="shared" si="19"/>
        <v>24+ Months</v>
      </c>
      <c r="O223" s="54" t="s">
        <v>5</v>
      </c>
      <c r="P223" s="54">
        <f t="shared" si="15"/>
        <v>0</v>
      </c>
      <c r="Q223">
        <f t="shared" si="16"/>
        <v>0</v>
      </c>
      <c r="R223">
        <f t="shared" si="17"/>
        <v>0</v>
      </c>
    </row>
    <row r="224" spans="1:18" x14ac:dyDescent="0.2">
      <c r="A224" s="54">
        <v>465977</v>
      </c>
      <c r="B224" s="54" t="s">
        <v>312</v>
      </c>
      <c r="C224" s="55">
        <v>1</v>
      </c>
      <c r="D224" s="55">
        <v>90</v>
      </c>
      <c r="E224" s="55">
        <v>18</v>
      </c>
      <c r="F224" s="55">
        <v>181</v>
      </c>
      <c r="G224" s="55">
        <v>55</v>
      </c>
      <c r="H224" s="55">
        <v>55</v>
      </c>
      <c r="I224" s="55">
        <v>2.0099999999999998</v>
      </c>
      <c r="J224" s="55">
        <v>0.61</v>
      </c>
      <c r="K224" s="55">
        <v>0.61</v>
      </c>
      <c r="L224" s="55">
        <v>0</v>
      </c>
      <c r="M224" s="54" t="str">
        <f t="shared" si="18"/>
        <v>12-24 Months</v>
      </c>
      <c r="N224" s="54" t="str">
        <f t="shared" si="19"/>
        <v>24+ Months</v>
      </c>
      <c r="O224" s="54" t="s">
        <v>7</v>
      </c>
      <c r="P224" s="54">
        <f t="shared" si="15"/>
        <v>1</v>
      </c>
      <c r="Q224">
        <f t="shared" si="16"/>
        <v>1</v>
      </c>
      <c r="R224">
        <f t="shared" si="17"/>
        <v>0</v>
      </c>
    </row>
    <row r="225" spans="1:18" x14ac:dyDescent="0.2">
      <c r="A225" s="54">
        <v>542060</v>
      </c>
      <c r="B225" s="54" t="s">
        <v>517</v>
      </c>
      <c r="C225" s="55">
        <v>2</v>
      </c>
      <c r="D225" s="55">
        <v>9</v>
      </c>
      <c r="E225" s="55">
        <v>18</v>
      </c>
      <c r="F225" s="55">
        <v>20</v>
      </c>
      <c r="G225" s="55">
        <v>14</v>
      </c>
      <c r="H225" s="55">
        <v>14</v>
      </c>
      <c r="I225" s="55">
        <v>2.2200000000000002</v>
      </c>
      <c r="J225" s="55">
        <v>1.56</v>
      </c>
      <c r="K225" s="55">
        <v>1.56</v>
      </c>
      <c r="L225" s="55">
        <v>4</v>
      </c>
      <c r="M225" s="54" t="str">
        <f t="shared" si="18"/>
        <v>12-24 Months</v>
      </c>
      <c r="N225" s="54" t="str">
        <f t="shared" si="19"/>
        <v>24+ Months</v>
      </c>
      <c r="O225" s="54" t="s">
        <v>7</v>
      </c>
      <c r="P225" s="54">
        <f t="shared" si="15"/>
        <v>2</v>
      </c>
      <c r="Q225">
        <f t="shared" si="16"/>
        <v>2</v>
      </c>
      <c r="R225">
        <f t="shared" si="17"/>
        <v>2</v>
      </c>
    </row>
    <row r="226" spans="1:18" x14ac:dyDescent="0.2">
      <c r="A226" s="54">
        <v>327053</v>
      </c>
      <c r="B226" s="54" t="s">
        <v>562</v>
      </c>
      <c r="C226" s="55">
        <v>10</v>
      </c>
      <c r="D226" s="55">
        <v>10</v>
      </c>
      <c r="E226" s="55">
        <v>18</v>
      </c>
      <c r="F226" s="55">
        <v>7</v>
      </c>
      <c r="G226" s="55">
        <v>3</v>
      </c>
      <c r="H226" s="55">
        <v>0</v>
      </c>
      <c r="I226" s="55">
        <v>0.7</v>
      </c>
      <c r="J226" s="55">
        <v>0.3</v>
      </c>
      <c r="K226" s="55">
        <v>0</v>
      </c>
      <c r="L226" s="55">
        <v>0</v>
      </c>
      <c r="M226" s="54" t="str">
        <f t="shared" si="18"/>
        <v>12-24 Months</v>
      </c>
      <c r="N226" s="54" t="str">
        <f t="shared" si="19"/>
        <v>24+ Months</v>
      </c>
      <c r="O226" s="54" t="s">
        <v>7</v>
      </c>
      <c r="P226" s="54">
        <f t="shared" si="15"/>
        <v>0</v>
      </c>
      <c r="Q226">
        <f t="shared" si="16"/>
        <v>0</v>
      </c>
      <c r="R226">
        <f t="shared" si="17"/>
        <v>0</v>
      </c>
    </row>
    <row r="227" spans="1:18" x14ac:dyDescent="0.2">
      <c r="A227" s="54">
        <v>112069</v>
      </c>
      <c r="B227" s="54" t="s">
        <v>668</v>
      </c>
      <c r="C227" s="55">
        <v>32</v>
      </c>
      <c r="D227" s="55">
        <v>42</v>
      </c>
      <c r="E227" s="55">
        <v>18</v>
      </c>
      <c r="F227" s="55">
        <v>0</v>
      </c>
      <c r="G227" s="55">
        <v>0</v>
      </c>
      <c r="H227" s="55">
        <v>0</v>
      </c>
      <c r="I227" s="55">
        <v>0</v>
      </c>
      <c r="J227" s="55">
        <v>0</v>
      </c>
      <c r="K227" s="55">
        <v>0</v>
      </c>
      <c r="L227" s="55">
        <v>0</v>
      </c>
      <c r="M227" s="54" t="str">
        <f t="shared" si="18"/>
        <v>12-24 Months</v>
      </c>
      <c r="N227" s="54" t="str">
        <f t="shared" si="19"/>
        <v>24+ Months</v>
      </c>
      <c r="O227" s="54" t="s">
        <v>7</v>
      </c>
      <c r="P227" s="54">
        <f t="shared" si="15"/>
        <v>0</v>
      </c>
      <c r="Q227">
        <f t="shared" si="16"/>
        <v>0</v>
      </c>
      <c r="R227">
        <f t="shared" si="17"/>
        <v>0</v>
      </c>
    </row>
    <row r="228" spans="1:18" x14ac:dyDescent="0.2">
      <c r="A228" s="54">
        <v>459683</v>
      </c>
      <c r="B228" s="54" t="s">
        <v>639</v>
      </c>
      <c r="C228" s="55">
        <v>45</v>
      </c>
      <c r="D228" s="55">
        <v>40</v>
      </c>
      <c r="E228" s="55">
        <v>18</v>
      </c>
      <c r="F228" s="55">
        <v>0</v>
      </c>
      <c r="G228" s="55">
        <v>0</v>
      </c>
      <c r="H228" s="55">
        <v>0</v>
      </c>
      <c r="I228" s="55">
        <v>0</v>
      </c>
      <c r="J228" s="55">
        <v>0</v>
      </c>
      <c r="K228" s="55">
        <v>0</v>
      </c>
      <c r="L228" s="55">
        <v>0</v>
      </c>
      <c r="M228" s="54" t="str">
        <f t="shared" si="18"/>
        <v>12-24 Months</v>
      </c>
      <c r="N228" s="54" t="str">
        <f t="shared" si="19"/>
        <v>24+ Months</v>
      </c>
      <c r="O228" s="54" t="s">
        <v>7</v>
      </c>
      <c r="P228" s="54">
        <f t="shared" si="15"/>
        <v>0</v>
      </c>
      <c r="Q228">
        <f t="shared" si="16"/>
        <v>0</v>
      </c>
      <c r="R228">
        <f t="shared" si="17"/>
        <v>0</v>
      </c>
    </row>
    <row r="229" spans="1:18" x14ac:dyDescent="0.2">
      <c r="A229" s="54">
        <v>107272</v>
      </c>
      <c r="B229" s="54" t="s">
        <v>101</v>
      </c>
      <c r="C229" s="55">
        <v>130</v>
      </c>
      <c r="D229" s="55">
        <v>240</v>
      </c>
      <c r="E229" s="55">
        <v>18</v>
      </c>
      <c r="F229" s="55">
        <v>599</v>
      </c>
      <c r="G229" s="55">
        <v>585</v>
      </c>
      <c r="H229" s="55">
        <v>166</v>
      </c>
      <c r="I229" s="55">
        <v>2.5</v>
      </c>
      <c r="J229" s="55">
        <v>2.44</v>
      </c>
      <c r="K229" s="55">
        <v>0.69</v>
      </c>
      <c r="L229" s="55">
        <v>9</v>
      </c>
      <c r="M229" s="54" t="str">
        <f t="shared" si="18"/>
        <v>12-24 Months</v>
      </c>
      <c r="N229" s="54" t="str">
        <f t="shared" si="19"/>
        <v>24+ Months</v>
      </c>
      <c r="O229" s="54" t="s">
        <v>6</v>
      </c>
      <c r="P229" s="54">
        <f t="shared" si="15"/>
        <v>130</v>
      </c>
      <c r="Q229">
        <f t="shared" si="16"/>
        <v>130</v>
      </c>
      <c r="R229">
        <f t="shared" si="17"/>
        <v>130</v>
      </c>
    </row>
    <row r="230" spans="1:18" x14ac:dyDescent="0.2">
      <c r="A230" s="54">
        <v>111064</v>
      </c>
      <c r="B230" s="54" t="s">
        <v>122</v>
      </c>
      <c r="C230" s="55">
        <v>327</v>
      </c>
      <c r="D230" s="55">
        <v>515</v>
      </c>
      <c r="E230" s="55">
        <v>18</v>
      </c>
      <c r="F230" s="55">
        <v>1627</v>
      </c>
      <c r="G230" s="55">
        <v>1380</v>
      </c>
      <c r="H230" s="55">
        <v>1250</v>
      </c>
      <c r="I230" s="55">
        <v>3.16</v>
      </c>
      <c r="J230" s="55">
        <v>2.68</v>
      </c>
      <c r="K230" s="55">
        <v>2.4300000000000002</v>
      </c>
      <c r="L230" s="55">
        <v>0</v>
      </c>
      <c r="M230" s="54" t="str">
        <f t="shared" si="18"/>
        <v>12-24 Months</v>
      </c>
      <c r="N230" s="54" t="str">
        <f t="shared" si="19"/>
        <v>24+ Months</v>
      </c>
      <c r="O230" s="54" t="s">
        <v>6</v>
      </c>
      <c r="P230" s="54">
        <f t="shared" si="15"/>
        <v>327</v>
      </c>
      <c r="Q230">
        <f t="shared" si="16"/>
        <v>327</v>
      </c>
      <c r="R230">
        <f t="shared" si="17"/>
        <v>327</v>
      </c>
    </row>
    <row r="231" spans="1:18" x14ac:dyDescent="0.2">
      <c r="A231" s="54">
        <v>105779</v>
      </c>
      <c r="B231" s="54" t="s">
        <v>260</v>
      </c>
      <c r="C231" s="55">
        <v>446</v>
      </c>
      <c r="D231" s="55">
        <v>268</v>
      </c>
      <c r="E231" s="55">
        <v>18</v>
      </c>
      <c r="F231" s="55">
        <v>144</v>
      </c>
      <c r="G231" s="55">
        <v>17</v>
      </c>
      <c r="H231" s="55">
        <v>4</v>
      </c>
      <c r="I231" s="55">
        <v>0.54</v>
      </c>
      <c r="J231" s="55">
        <v>0.06</v>
      </c>
      <c r="K231" s="55">
        <v>0.01</v>
      </c>
      <c r="L231" s="55">
        <v>9</v>
      </c>
      <c r="M231" s="54" t="str">
        <f t="shared" si="18"/>
        <v>12-24 Months</v>
      </c>
      <c r="N231" s="54" t="str">
        <f t="shared" si="19"/>
        <v>24+ Months</v>
      </c>
      <c r="O231" s="54" t="s">
        <v>6</v>
      </c>
      <c r="P231" s="54">
        <f t="shared" si="15"/>
        <v>0</v>
      </c>
      <c r="Q231">
        <f t="shared" si="16"/>
        <v>0</v>
      </c>
      <c r="R231">
        <f t="shared" si="17"/>
        <v>0</v>
      </c>
    </row>
    <row r="232" spans="1:18" x14ac:dyDescent="0.2">
      <c r="A232" s="54">
        <v>477467</v>
      </c>
      <c r="B232" s="54" t="s">
        <v>528</v>
      </c>
      <c r="C232" s="55">
        <v>6</v>
      </c>
      <c r="D232" s="55">
        <v>6</v>
      </c>
      <c r="E232" s="55">
        <v>17</v>
      </c>
      <c r="F232" s="55">
        <v>12</v>
      </c>
      <c r="G232" s="55">
        <v>0</v>
      </c>
      <c r="H232" s="55">
        <v>0</v>
      </c>
      <c r="I232" s="55">
        <v>2</v>
      </c>
      <c r="J232" s="55">
        <v>0</v>
      </c>
      <c r="K232" s="55">
        <v>0</v>
      </c>
      <c r="L232" s="55">
        <v>0</v>
      </c>
      <c r="M232" s="54" t="str">
        <f t="shared" si="18"/>
        <v>12-24 Months</v>
      </c>
      <c r="N232" s="54" t="str">
        <f t="shared" si="19"/>
        <v>24+ Months</v>
      </c>
      <c r="O232" s="54" t="s">
        <v>7</v>
      </c>
      <c r="P232" s="54">
        <f t="shared" si="15"/>
        <v>6</v>
      </c>
      <c r="Q232">
        <f t="shared" si="16"/>
        <v>6</v>
      </c>
      <c r="R232">
        <f t="shared" si="17"/>
        <v>0</v>
      </c>
    </row>
    <row r="233" spans="1:18" x14ac:dyDescent="0.2">
      <c r="A233" s="54">
        <v>142059</v>
      </c>
      <c r="B233" s="54" t="s">
        <v>609</v>
      </c>
      <c r="C233" s="55">
        <v>10</v>
      </c>
      <c r="D233" s="55">
        <v>9</v>
      </c>
      <c r="E233" s="55">
        <v>17</v>
      </c>
      <c r="F233" s="55">
        <v>1</v>
      </c>
      <c r="G233" s="55">
        <v>0</v>
      </c>
      <c r="H233" s="55">
        <v>0</v>
      </c>
      <c r="I233" s="55">
        <v>0.11</v>
      </c>
      <c r="J233" s="55">
        <v>0</v>
      </c>
      <c r="K233" s="55">
        <v>0</v>
      </c>
      <c r="L233" s="55">
        <v>0</v>
      </c>
      <c r="M233" s="54" t="str">
        <f t="shared" si="18"/>
        <v>12-24 Months</v>
      </c>
      <c r="N233" s="54" t="str">
        <f t="shared" si="19"/>
        <v>24+ Months</v>
      </c>
      <c r="O233" s="54" t="s">
        <v>7</v>
      </c>
      <c r="P233" s="54">
        <f t="shared" si="15"/>
        <v>0</v>
      </c>
      <c r="Q233">
        <f t="shared" si="16"/>
        <v>0</v>
      </c>
      <c r="R233">
        <f t="shared" si="17"/>
        <v>0</v>
      </c>
    </row>
    <row r="234" spans="1:18" x14ac:dyDescent="0.2">
      <c r="A234" s="54">
        <v>551261</v>
      </c>
      <c r="B234" s="54" t="s">
        <v>617</v>
      </c>
      <c r="C234" s="55">
        <v>50</v>
      </c>
      <c r="D234" s="55">
        <v>50</v>
      </c>
      <c r="E234" s="55">
        <v>17</v>
      </c>
      <c r="F234" s="55">
        <v>0</v>
      </c>
      <c r="G234" s="55">
        <v>0</v>
      </c>
      <c r="H234" s="55">
        <v>0</v>
      </c>
      <c r="I234" s="55">
        <v>0</v>
      </c>
      <c r="J234" s="55">
        <v>0</v>
      </c>
      <c r="K234" s="55">
        <v>0</v>
      </c>
      <c r="L234" s="55">
        <v>0</v>
      </c>
      <c r="M234" s="54" t="str">
        <f t="shared" si="18"/>
        <v>12-24 Months</v>
      </c>
      <c r="N234" s="54" t="str">
        <f t="shared" si="19"/>
        <v>24+ Months</v>
      </c>
      <c r="O234" s="54" t="s">
        <v>7</v>
      </c>
      <c r="P234" s="54">
        <f t="shared" si="15"/>
        <v>0</v>
      </c>
      <c r="Q234">
        <f t="shared" si="16"/>
        <v>0</v>
      </c>
      <c r="R234">
        <f t="shared" si="17"/>
        <v>0</v>
      </c>
    </row>
    <row r="235" spans="1:18" x14ac:dyDescent="0.2">
      <c r="A235" s="54">
        <v>328024</v>
      </c>
      <c r="B235" s="54" t="s">
        <v>313</v>
      </c>
      <c r="C235" s="55">
        <v>85</v>
      </c>
      <c r="D235" s="55">
        <v>64</v>
      </c>
      <c r="E235" s="55">
        <v>17</v>
      </c>
      <c r="F235" s="55">
        <v>69</v>
      </c>
      <c r="G235" s="55">
        <v>0</v>
      </c>
      <c r="H235" s="55">
        <v>0</v>
      </c>
      <c r="I235" s="55">
        <v>1.08</v>
      </c>
      <c r="J235" s="55">
        <v>0</v>
      </c>
      <c r="K235" s="55">
        <v>0</v>
      </c>
      <c r="L235" s="55">
        <v>0</v>
      </c>
      <c r="M235" s="54" t="str">
        <f t="shared" si="18"/>
        <v>12-24 Months</v>
      </c>
      <c r="N235" s="54" t="str">
        <f t="shared" si="19"/>
        <v>24+ Months</v>
      </c>
      <c r="O235" s="54" t="s">
        <v>7</v>
      </c>
      <c r="P235" s="54">
        <f t="shared" si="15"/>
        <v>0</v>
      </c>
      <c r="Q235">
        <f t="shared" si="16"/>
        <v>0</v>
      </c>
      <c r="R235">
        <f t="shared" si="17"/>
        <v>0</v>
      </c>
    </row>
    <row r="236" spans="1:18" x14ac:dyDescent="0.2">
      <c r="A236" s="54">
        <v>167139</v>
      </c>
      <c r="B236" s="54" t="s">
        <v>175</v>
      </c>
      <c r="C236" s="55">
        <v>160</v>
      </c>
      <c r="D236" s="55">
        <v>99</v>
      </c>
      <c r="E236" s="55">
        <v>17</v>
      </c>
      <c r="F236" s="55">
        <v>360</v>
      </c>
      <c r="G236" s="55">
        <v>332</v>
      </c>
      <c r="H236" s="55">
        <v>29</v>
      </c>
      <c r="I236" s="55">
        <v>3.64</v>
      </c>
      <c r="J236" s="55">
        <v>3.35</v>
      </c>
      <c r="K236" s="55">
        <v>0.28999999999999998</v>
      </c>
      <c r="L236" s="55">
        <v>5</v>
      </c>
      <c r="M236" s="54" t="str">
        <f t="shared" si="18"/>
        <v>12-24 Months</v>
      </c>
      <c r="N236" s="54" t="str">
        <f t="shared" si="19"/>
        <v>24+ Months</v>
      </c>
      <c r="O236" s="54" t="s">
        <v>7</v>
      </c>
      <c r="P236" s="54">
        <f t="shared" si="15"/>
        <v>160</v>
      </c>
      <c r="Q236">
        <f t="shared" si="16"/>
        <v>160</v>
      </c>
      <c r="R236">
        <f t="shared" si="17"/>
        <v>160</v>
      </c>
    </row>
    <row r="237" spans="1:18" x14ac:dyDescent="0.2">
      <c r="A237" s="54" t="s">
        <v>131</v>
      </c>
      <c r="B237" s="54" t="s">
        <v>130</v>
      </c>
      <c r="C237" s="55">
        <v>322</v>
      </c>
      <c r="D237" s="55">
        <v>155</v>
      </c>
      <c r="E237" s="55">
        <v>17</v>
      </c>
      <c r="F237" s="55">
        <v>742</v>
      </c>
      <c r="G237" s="55">
        <v>52</v>
      </c>
      <c r="H237" s="55">
        <v>30</v>
      </c>
      <c r="I237" s="55">
        <v>4.79</v>
      </c>
      <c r="J237" s="55">
        <v>0.34</v>
      </c>
      <c r="K237" s="55">
        <v>0.19</v>
      </c>
      <c r="L237" s="55">
        <v>125</v>
      </c>
      <c r="M237" s="54" t="str">
        <f t="shared" si="18"/>
        <v>12-24 Months</v>
      </c>
      <c r="N237" s="54" t="str">
        <f t="shared" si="19"/>
        <v>24+ Months</v>
      </c>
      <c r="O237" s="54" t="s">
        <v>6</v>
      </c>
      <c r="P237" s="54">
        <f t="shared" si="15"/>
        <v>322</v>
      </c>
      <c r="Q237">
        <f t="shared" si="16"/>
        <v>322</v>
      </c>
      <c r="R237">
        <f t="shared" si="17"/>
        <v>0</v>
      </c>
    </row>
    <row r="238" spans="1:18" x14ac:dyDescent="0.2">
      <c r="A238" s="54">
        <v>498161</v>
      </c>
      <c r="B238" s="54" t="s">
        <v>643</v>
      </c>
      <c r="C238" s="55">
        <v>6</v>
      </c>
      <c r="D238" s="55">
        <v>4</v>
      </c>
      <c r="E238" s="55">
        <v>16</v>
      </c>
      <c r="F238" s="55">
        <v>0</v>
      </c>
      <c r="G238" s="55">
        <v>0</v>
      </c>
      <c r="H238" s="55">
        <v>0</v>
      </c>
      <c r="I238" s="55">
        <v>0</v>
      </c>
      <c r="J238" s="55">
        <v>0</v>
      </c>
      <c r="K238" s="55">
        <v>0</v>
      </c>
      <c r="L238" s="55">
        <v>0</v>
      </c>
      <c r="M238" s="54" t="str">
        <f t="shared" si="18"/>
        <v>12-24 Months</v>
      </c>
      <c r="N238" s="54" t="str">
        <f t="shared" si="19"/>
        <v>24+ Months</v>
      </c>
      <c r="O238" s="54" t="s">
        <v>7</v>
      </c>
      <c r="P238" s="54">
        <f t="shared" si="15"/>
        <v>0</v>
      </c>
      <c r="Q238">
        <f t="shared" si="16"/>
        <v>0</v>
      </c>
      <c r="R238">
        <f t="shared" si="17"/>
        <v>0</v>
      </c>
    </row>
    <row r="239" spans="1:18" x14ac:dyDescent="0.2">
      <c r="A239" s="54">
        <v>217880</v>
      </c>
      <c r="B239" s="54" t="s">
        <v>557</v>
      </c>
      <c r="C239" s="55">
        <v>21</v>
      </c>
      <c r="D239" s="55">
        <v>25</v>
      </c>
      <c r="E239" s="55">
        <v>16</v>
      </c>
      <c r="F239" s="55">
        <v>8</v>
      </c>
      <c r="G239" s="55">
        <v>8</v>
      </c>
      <c r="H239" s="55">
        <v>0</v>
      </c>
      <c r="I239" s="55">
        <v>0.32</v>
      </c>
      <c r="J239" s="55">
        <v>0.32</v>
      </c>
      <c r="K239" s="55">
        <v>0</v>
      </c>
      <c r="L239" s="55">
        <v>0</v>
      </c>
      <c r="M239" s="54" t="str">
        <f t="shared" si="18"/>
        <v>12-24 Months</v>
      </c>
      <c r="N239" s="54" t="str">
        <f t="shared" si="19"/>
        <v>24+ Months</v>
      </c>
      <c r="O239" s="54" t="s">
        <v>7</v>
      </c>
      <c r="P239" s="54">
        <f t="shared" si="15"/>
        <v>0</v>
      </c>
      <c r="Q239">
        <f t="shared" si="16"/>
        <v>0</v>
      </c>
      <c r="R239">
        <f t="shared" si="17"/>
        <v>0</v>
      </c>
    </row>
    <row r="240" spans="1:18" x14ac:dyDescent="0.2">
      <c r="A240" s="54">
        <v>126706</v>
      </c>
      <c r="B240" s="54" t="s">
        <v>656</v>
      </c>
      <c r="C240" s="55">
        <v>41</v>
      </c>
      <c r="D240" s="55">
        <v>35</v>
      </c>
      <c r="E240" s="55">
        <v>16</v>
      </c>
      <c r="F240" s="55">
        <v>2</v>
      </c>
      <c r="G240" s="55">
        <v>2</v>
      </c>
      <c r="H240" s="55">
        <v>2</v>
      </c>
      <c r="I240" s="55">
        <v>0.06</v>
      </c>
      <c r="J240" s="55">
        <v>0.06</v>
      </c>
      <c r="K240" s="55">
        <v>0.06</v>
      </c>
      <c r="L240" s="55">
        <v>9</v>
      </c>
      <c r="M240" s="54" t="str">
        <f t="shared" si="18"/>
        <v>12-24 Months</v>
      </c>
      <c r="N240" s="54" t="str">
        <f t="shared" si="19"/>
        <v>24+ Months</v>
      </c>
      <c r="O240" s="54" t="s">
        <v>7</v>
      </c>
      <c r="P240" s="54">
        <f t="shared" si="15"/>
        <v>0</v>
      </c>
      <c r="Q240">
        <f t="shared" si="16"/>
        <v>0</v>
      </c>
      <c r="R240">
        <f t="shared" si="17"/>
        <v>0</v>
      </c>
    </row>
    <row r="241" spans="1:18" x14ac:dyDescent="0.2">
      <c r="A241" s="54">
        <v>193540</v>
      </c>
      <c r="B241" s="54" t="s">
        <v>349</v>
      </c>
      <c r="C241" s="55">
        <v>80</v>
      </c>
      <c r="D241" s="55">
        <v>70</v>
      </c>
      <c r="E241" s="55">
        <v>16</v>
      </c>
      <c r="F241" s="55">
        <v>82</v>
      </c>
      <c r="G241" s="55">
        <v>0</v>
      </c>
      <c r="H241" s="55">
        <v>0</v>
      </c>
      <c r="I241" s="55">
        <v>1.17</v>
      </c>
      <c r="J241" s="55">
        <v>0</v>
      </c>
      <c r="K241" s="55">
        <v>0</v>
      </c>
      <c r="L241" s="55">
        <v>0</v>
      </c>
      <c r="M241" s="54" t="str">
        <f t="shared" si="18"/>
        <v>12-24 Months</v>
      </c>
      <c r="N241" s="54" t="str">
        <f t="shared" si="19"/>
        <v>24+ Months</v>
      </c>
      <c r="O241" s="54" t="s">
        <v>7</v>
      </c>
      <c r="P241" s="54">
        <f t="shared" si="15"/>
        <v>0</v>
      </c>
      <c r="Q241">
        <f t="shared" si="16"/>
        <v>0</v>
      </c>
      <c r="R241">
        <f t="shared" si="17"/>
        <v>0</v>
      </c>
    </row>
    <row r="242" spans="1:18" x14ac:dyDescent="0.2">
      <c r="A242" s="54">
        <v>110715</v>
      </c>
      <c r="B242" s="54" t="s">
        <v>566</v>
      </c>
      <c r="C242" s="55">
        <v>117</v>
      </c>
      <c r="D242" s="55">
        <v>107</v>
      </c>
      <c r="E242" s="55">
        <v>16</v>
      </c>
      <c r="F242" s="55">
        <v>7</v>
      </c>
      <c r="G242" s="55">
        <v>7</v>
      </c>
      <c r="H242" s="55">
        <v>0</v>
      </c>
      <c r="I242" s="55">
        <v>7.0000000000000007E-2</v>
      </c>
      <c r="J242" s="55">
        <v>7.0000000000000007E-2</v>
      </c>
      <c r="K242" s="55">
        <v>0</v>
      </c>
      <c r="L242" s="55">
        <v>0</v>
      </c>
      <c r="M242" s="54" t="str">
        <f t="shared" si="18"/>
        <v>12-24 Months</v>
      </c>
      <c r="N242" s="54" t="str">
        <f t="shared" si="19"/>
        <v>24+ Months</v>
      </c>
      <c r="O242" s="54" t="s">
        <v>6</v>
      </c>
      <c r="P242" s="54">
        <f t="shared" si="15"/>
        <v>0</v>
      </c>
      <c r="Q242">
        <f t="shared" si="16"/>
        <v>0</v>
      </c>
      <c r="R242">
        <f t="shared" si="17"/>
        <v>0</v>
      </c>
    </row>
    <row r="243" spans="1:18" x14ac:dyDescent="0.2">
      <c r="A243" s="54">
        <v>154340</v>
      </c>
      <c r="B243" s="54" t="s">
        <v>207</v>
      </c>
      <c r="C243" s="55">
        <v>180</v>
      </c>
      <c r="D243" s="55">
        <v>180</v>
      </c>
      <c r="E243" s="55">
        <v>16</v>
      </c>
      <c r="F243" s="55">
        <v>289</v>
      </c>
      <c r="G243" s="55">
        <v>73</v>
      </c>
      <c r="H243" s="55">
        <v>17</v>
      </c>
      <c r="I243" s="55">
        <v>1.61</v>
      </c>
      <c r="J243" s="55">
        <v>0.41</v>
      </c>
      <c r="K243" s="55">
        <v>0.09</v>
      </c>
      <c r="L243" s="55">
        <v>18</v>
      </c>
      <c r="M243" s="54" t="str">
        <f t="shared" si="18"/>
        <v>12-24 Months</v>
      </c>
      <c r="N243" s="54" t="str">
        <f t="shared" si="19"/>
        <v>24+ Months</v>
      </c>
      <c r="O243" s="54" t="s">
        <v>6</v>
      </c>
      <c r="P243" s="54">
        <f t="shared" si="15"/>
        <v>0</v>
      </c>
      <c r="Q243">
        <f t="shared" si="16"/>
        <v>0</v>
      </c>
      <c r="R243">
        <f t="shared" si="17"/>
        <v>0</v>
      </c>
    </row>
    <row r="244" spans="1:18" x14ac:dyDescent="0.2">
      <c r="A244" s="54">
        <v>108484</v>
      </c>
      <c r="B244" s="54" t="s">
        <v>475</v>
      </c>
      <c r="C244" s="55">
        <v>218</v>
      </c>
      <c r="D244" s="55">
        <v>150</v>
      </c>
      <c r="E244" s="55">
        <v>16</v>
      </c>
      <c r="F244" s="55">
        <v>16</v>
      </c>
      <c r="G244" s="55">
        <v>3</v>
      </c>
      <c r="H244" s="55">
        <v>1</v>
      </c>
      <c r="I244" s="55">
        <v>0.11</v>
      </c>
      <c r="J244" s="55">
        <v>0.02</v>
      </c>
      <c r="K244" s="55">
        <v>0.01</v>
      </c>
      <c r="L244" s="55">
        <v>0</v>
      </c>
      <c r="M244" s="54" t="str">
        <f t="shared" si="18"/>
        <v>12-24 Months</v>
      </c>
      <c r="N244" s="54" t="str">
        <f t="shared" si="19"/>
        <v>24+ Months</v>
      </c>
      <c r="O244" s="54" t="s">
        <v>6</v>
      </c>
      <c r="P244" s="54">
        <f t="shared" si="15"/>
        <v>0</v>
      </c>
      <c r="Q244">
        <f t="shared" si="16"/>
        <v>0</v>
      </c>
      <c r="R244">
        <f t="shared" si="17"/>
        <v>0</v>
      </c>
    </row>
    <row r="245" spans="1:18" x14ac:dyDescent="0.2">
      <c r="A245" s="54">
        <v>116046</v>
      </c>
      <c r="B245" s="54" t="s">
        <v>281</v>
      </c>
      <c r="C245" s="55">
        <v>242</v>
      </c>
      <c r="D245" s="55">
        <v>220</v>
      </c>
      <c r="E245" s="55">
        <v>16</v>
      </c>
      <c r="F245" s="55">
        <v>210</v>
      </c>
      <c r="G245" s="55">
        <v>69</v>
      </c>
      <c r="H245" s="55">
        <v>48</v>
      </c>
      <c r="I245" s="55">
        <v>0.95</v>
      </c>
      <c r="J245" s="55">
        <v>0.31</v>
      </c>
      <c r="K245" s="55">
        <v>0.22</v>
      </c>
      <c r="L245" s="55">
        <v>0</v>
      </c>
      <c r="M245" s="54" t="str">
        <f t="shared" si="18"/>
        <v>12-24 Months</v>
      </c>
      <c r="N245" s="54" t="str">
        <f t="shared" si="19"/>
        <v>24+ Months</v>
      </c>
      <c r="O245" s="54" t="s">
        <v>6</v>
      </c>
      <c r="P245" s="54">
        <f t="shared" si="15"/>
        <v>0</v>
      </c>
      <c r="Q245">
        <f t="shared" si="16"/>
        <v>0</v>
      </c>
      <c r="R245">
        <f t="shared" si="17"/>
        <v>0</v>
      </c>
    </row>
    <row r="246" spans="1:18" x14ac:dyDescent="0.2">
      <c r="A246" s="54" t="s">
        <v>317</v>
      </c>
      <c r="B246" s="54" t="s">
        <v>316</v>
      </c>
      <c r="C246" s="55">
        <v>280</v>
      </c>
      <c r="D246" s="55">
        <v>280</v>
      </c>
      <c r="E246" s="55">
        <v>16</v>
      </c>
      <c r="F246" s="55">
        <v>125</v>
      </c>
      <c r="G246" s="55">
        <v>68</v>
      </c>
      <c r="H246" s="55">
        <v>53</v>
      </c>
      <c r="I246" s="55">
        <v>0.45</v>
      </c>
      <c r="J246" s="55">
        <v>0.24</v>
      </c>
      <c r="K246" s="55">
        <v>0.19</v>
      </c>
      <c r="L246" s="55">
        <v>9</v>
      </c>
      <c r="M246" s="54" t="str">
        <f t="shared" si="18"/>
        <v>12-24 Months</v>
      </c>
      <c r="N246" s="54" t="str">
        <f t="shared" si="19"/>
        <v>24+ Months</v>
      </c>
      <c r="O246" s="54" t="s">
        <v>6</v>
      </c>
      <c r="P246" s="54">
        <f t="shared" si="15"/>
        <v>0</v>
      </c>
      <c r="Q246">
        <f t="shared" si="16"/>
        <v>0</v>
      </c>
      <c r="R246">
        <f t="shared" si="17"/>
        <v>0</v>
      </c>
    </row>
    <row r="247" spans="1:18" x14ac:dyDescent="0.2">
      <c r="A247" s="54">
        <v>110637</v>
      </c>
      <c r="B247" s="54" t="s">
        <v>78</v>
      </c>
      <c r="C247" s="55">
        <v>505</v>
      </c>
      <c r="D247" s="55">
        <v>480</v>
      </c>
      <c r="E247" s="55">
        <v>16</v>
      </c>
      <c r="F247" s="55">
        <v>1670</v>
      </c>
      <c r="G247" s="55">
        <v>875</v>
      </c>
      <c r="H247" s="55">
        <v>761</v>
      </c>
      <c r="I247" s="55">
        <v>3.48</v>
      </c>
      <c r="J247" s="55">
        <v>1.82</v>
      </c>
      <c r="K247" s="55">
        <v>1.59</v>
      </c>
      <c r="L247" s="55">
        <v>61</v>
      </c>
      <c r="M247" s="54" t="str">
        <f t="shared" si="18"/>
        <v>12-24 Months</v>
      </c>
      <c r="N247" s="54" t="str">
        <f t="shared" si="19"/>
        <v>24+ Months</v>
      </c>
      <c r="O247" s="54" t="s">
        <v>6</v>
      </c>
      <c r="P247" s="54">
        <f t="shared" si="15"/>
        <v>505</v>
      </c>
      <c r="Q247">
        <f t="shared" si="16"/>
        <v>505</v>
      </c>
      <c r="R247">
        <f t="shared" si="17"/>
        <v>505</v>
      </c>
    </row>
    <row r="248" spans="1:18" x14ac:dyDescent="0.2">
      <c r="A248" s="54">
        <v>484843</v>
      </c>
      <c r="B248" s="54" t="s">
        <v>223</v>
      </c>
      <c r="C248" s="55">
        <v>550</v>
      </c>
      <c r="D248" s="55">
        <v>675</v>
      </c>
      <c r="E248" s="55">
        <v>16</v>
      </c>
      <c r="F248" s="55">
        <v>461</v>
      </c>
      <c r="G248" s="55">
        <v>294</v>
      </c>
      <c r="H248" s="55">
        <v>266</v>
      </c>
      <c r="I248" s="55">
        <v>0.68</v>
      </c>
      <c r="J248" s="55">
        <v>0.44</v>
      </c>
      <c r="K248" s="55">
        <v>0.39</v>
      </c>
      <c r="L248" s="55">
        <v>167</v>
      </c>
      <c r="M248" s="54" t="str">
        <f t="shared" si="18"/>
        <v>12-24 Months</v>
      </c>
      <c r="N248" s="54" t="str">
        <f t="shared" si="19"/>
        <v>24+ Months</v>
      </c>
      <c r="O248" s="54" t="s">
        <v>5</v>
      </c>
      <c r="P248" s="54">
        <f t="shared" si="15"/>
        <v>0</v>
      </c>
      <c r="Q248">
        <f t="shared" si="16"/>
        <v>0</v>
      </c>
      <c r="R248">
        <f t="shared" si="17"/>
        <v>0</v>
      </c>
    </row>
    <row r="249" spans="1:18" x14ac:dyDescent="0.2">
      <c r="A249" s="54">
        <v>228700</v>
      </c>
      <c r="B249" s="54" t="s">
        <v>429</v>
      </c>
      <c r="C249" s="55">
        <v>608</v>
      </c>
      <c r="D249" s="55">
        <v>550</v>
      </c>
      <c r="E249" s="55">
        <v>16</v>
      </c>
      <c r="F249" s="55">
        <v>66</v>
      </c>
      <c r="G249" s="55">
        <v>21</v>
      </c>
      <c r="H249" s="55">
        <v>7</v>
      </c>
      <c r="I249" s="55">
        <v>0.12</v>
      </c>
      <c r="J249" s="55">
        <v>0.04</v>
      </c>
      <c r="K249" s="55">
        <v>0.01</v>
      </c>
      <c r="L249" s="55">
        <v>15</v>
      </c>
      <c r="M249" s="54" t="str">
        <f t="shared" si="18"/>
        <v>12-24 Months</v>
      </c>
      <c r="N249" s="54" t="str">
        <f t="shared" si="19"/>
        <v>24+ Months</v>
      </c>
      <c r="O249" s="54" t="s">
        <v>5</v>
      </c>
      <c r="P249" s="54">
        <f t="shared" si="15"/>
        <v>0</v>
      </c>
      <c r="Q249">
        <f t="shared" si="16"/>
        <v>0</v>
      </c>
      <c r="R249">
        <f t="shared" si="17"/>
        <v>0</v>
      </c>
    </row>
    <row r="250" spans="1:18" x14ac:dyDescent="0.2">
      <c r="A250" s="54">
        <v>105516</v>
      </c>
      <c r="B250" s="54" t="s">
        <v>170</v>
      </c>
      <c r="C250" s="55">
        <v>1079</v>
      </c>
      <c r="D250" s="55">
        <v>720</v>
      </c>
      <c r="E250" s="55">
        <v>16</v>
      </c>
      <c r="F250" s="55">
        <v>762</v>
      </c>
      <c r="G250" s="55">
        <v>623</v>
      </c>
      <c r="H250" s="55">
        <v>538</v>
      </c>
      <c r="I250" s="55">
        <v>1.06</v>
      </c>
      <c r="J250" s="55">
        <v>0.87</v>
      </c>
      <c r="K250" s="55">
        <v>0.75</v>
      </c>
      <c r="L250" s="55">
        <v>8</v>
      </c>
      <c r="M250" s="54" t="str">
        <f t="shared" si="18"/>
        <v>12-24 Months</v>
      </c>
      <c r="N250" s="54" t="str">
        <f t="shared" si="19"/>
        <v>24+ Months</v>
      </c>
      <c r="O250" s="54" t="s">
        <v>5</v>
      </c>
      <c r="P250" s="54">
        <f t="shared" si="15"/>
        <v>1079</v>
      </c>
      <c r="Q250">
        <f t="shared" si="16"/>
        <v>1079</v>
      </c>
      <c r="R250">
        <f t="shared" si="17"/>
        <v>1079</v>
      </c>
    </row>
    <row r="251" spans="1:18" x14ac:dyDescent="0.2">
      <c r="A251" s="54">
        <v>107197</v>
      </c>
      <c r="B251" s="54" t="s">
        <v>297</v>
      </c>
      <c r="C251" s="55">
        <v>1202</v>
      </c>
      <c r="D251" s="55">
        <v>1202</v>
      </c>
      <c r="E251" s="55">
        <v>16</v>
      </c>
      <c r="F251" s="55">
        <v>237</v>
      </c>
      <c r="G251" s="55">
        <v>44</v>
      </c>
      <c r="H251" s="55">
        <v>13</v>
      </c>
      <c r="I251" s="55">
        <v>0.2</v>
      </c>
      <c r="J251" s="55">
        <v>0.04</v>
      </c>
      <c r="K251" s="55">
        <v>0.01</v>
      </c>
      <c r="L251" s="55">
        <v>64</v>
      </c>
      <c r="M251" s="54" t="str">
        <f t="shared" si="18"/>
        <v>12-24 Months</v>
      </c>
      <c r="N251" s="54" t="str">
        <f t="shared" si="19"/>
        <v>24+ Months</v>
      </c>
      <c r="O251" s="54" t="s">
        <v>5</v>
      </c>
      <c r="P251" s="54">
        <f t="shared" si="15"/>
        <v>0</v>
      </c>
      <c r="Q251">
        <f t="shared" si="16"/>
        <v>0</v>
      </c>
      <c r="R251">
        <f t="shared" si="17"/>
        <v>0</v>
      </c>
    </row>
    <row r="252" spans="1:18" x14ac:dyDescent="0.2">
      <c r="A252" s="54">
        <v>106478</v>
      </c>
      <c r="B252" s="54" t="s">
        <v>181</v>
      </c>
      <c r="C252" s="55">
        <v>1286</v>
      </c>
      <c r="D252" s="55">
        <v>800</v>
      </c>
      <c r="E252" s="55">
        <v>16</v>
      </c>
      <c r="F252" s="55">
        <v>371</v>
      </c>
      <c r="G252" s="55">
        <v>356</v>
      </c>
      <c r="H252" s="55">
        <v>56</v>
      </c>
      <c r="I252" s="55">
        <v>0.46</v>
      </c>
      <c r="J252" s="55">
        <v>0.45</v>
      </c>
      <c r="K252" s="55">
        <v>7.0000000000000007E-2</v>
      </c>
      <c r="L252" s="55">
        <v>269</v>
      </c>
      <c r="M252" s="54" t="str">
        <f t="shared" si="18"/>
        <v>12-24 Months</v>
      </c>
      <c r="N252" s="54" t="str">
        <f t="shared" si="19"/>
        <v>24+ Months</v>
      </c>
      <c r="O252" s="54" t="s">
        <v>5</v>
      </c>
      <c r="P252" s="54">
        <f t="shared" si="15"/>
        <v>0</v>
      </c>
      <c r="Q252">
        <f t="shared" si="16"/>
        <v>0</v>
      </c>
      <c r="R252">
        <f t="shared" si="17"/>
        <v>0</v>
      </c>
    </row>
    <row r="253" spans="1:18" x14ac:dyDescent="0.2">
      <c r="A253" s="54" t="s">
        <v>621</v>
      </c>
      <c r="B253" s="54" t="s">
        <v>620</v>
      </c>
      <c r="C253" s="108">
        <v>0</v>
      </c>
      <c r="D253" s="55">
        <v>500</v>
      </c>
      <c r="E253" s="55">
        <v>16</v>
      </c>
      <c r="F253" s="55">
        <v>0</v>
      </c>
      <c r="G253" s="55">
        <v>0</v>
      </c>
      <c r="H253" s="55">
        <v>0</v>
      </c>
      <c r="I253" s="55">
        <v>0</v>
      </c>
      <c r="J253" s="55">
        <v>0</v>
      </c>
      <c r="K253" s="55">
        <v>0</v>
      </c>
      <c r="L253" s="55">
        <v>0</v>
      </c>
      <c r="M253" s="54" t="str">
        <f t="shared" si="18"/>
        <v>12-24 Months</v>
      </c>
      <c r="N253" s="54" t="str">
        <f t="shared" si="19"/>
        <v>24+ Months</v>
      </c>
      <c r="O253" s="54" t="s">
        <v>6</v>
      </c>
      <c r="P253" s="54">
        <f t="shared" si="15"/>
        <v>0</v>
      </c>
      <c r="Q253">
        <f t="shared" si="16"/>
        <v>0</v>
      </c>
      <c r="R253">
        <f t="shared" si="17"/>
        <v>0</v>
      </c>
    </row>
    <row r="254" spans="1:18" x14ac:dyDescent="0.2">
      <c r="A254" s="54">
        <v>110485</v>
      </c>
      <c r="B254" s="54" t="s">
        <v>564</v>
      </c>
      <c r="C254" s="55">
        <v>7</v>
      </c>
      <c r="D254" s="55">
        <v>7</v>
      </c>
      <c r="E254" s="55">
        <v>15</v>
      </c>
      <c r="F254" s="55">
        <v>52</v>
      </c>
      <c r="G254" s="55">
        <v>6</v>
      </c>
      <c r="H254" s="55">
        <v>0</v>
      </c>
      <c r="I254" s="55">
        <v>7.43</v>
      </c>
      <c r="J254" s="55">
        <v>0.86</v>
      </c>
      <c r="K254" s="55">
        <v>0</v>
      </c>
      <c r="L254" s="55">
        <v>4</v>
      </c>
      <c r="M254" s="54" t="str">
        <f t="shared" si="18"/>
        <v>12-24 Months</v>
      </c>
      <c r="N254" s="54" t="str">
        <f t="shared" si="19"/>
        <v>24+ Months</v>
      </c>
      <c r="O254" s="54" t="s">
        <v>7</v>
      </c>
      <c r="P254" s="54">
        <f t="shared" si="15"/>
        <v>7</v>
      </c>
      <c r="Q254">
        <f t="shared" si="16"/>
        <v>7</v>
      </c>
      <c r="R254">
        <f t="shared" si="17"/>
        <v>7</v>
      </c>
    </row>
    <row r="255" spans="1:18" x14ac:dyDescent="0.2">
      <c r="A255" s="54">
        <v>112992</v>
      </c>
      <c r="B255" s="54" t="s">
        <v>406</v>
      </c>
      <c r="C255" s="55">
        <v>14</v>
      </c>
      <c r="D255" s="55">
        <v>12</v>
      </c>
      <c r="E255" s="55">
        <v>15</v>
      </c>
      <c r="F255" s="55">
        <v>59</v>
      </c>
      <c r="G255" s="55">
        <v>1</v>
      </c>
      <c r="H255" s="55">
        <v>1</v>
      </c>
      <c r="I255" s="55">
        <v>4.92</v>
      </c>
      <c r="J255" s="55">
        <v>0.08</v>
      </c>
      <c r="K255" s="55">
        <v>0.08</v>
      </c>
      <c r="L255" s="55">
        <v>0</v>
      </c>
      <c r="M255" s="54" t="str">
        <f t="shared" si="18"/>
        <v>12-24 Months</v>
      </c>
      <c r="N255" s="54" t="str">
        <f t="shared" si="19"/>
        <v>24+ Months</v>
      </c>
      <c r="O255" s="54" t="s">
        <v>7</v>
      </c>
      <c r="P255" s="54">
        <f t="shared" si="15"/>
        <v>14</v>
      </c>
      <c r="Q255">
        <f t="shared" si="16"/>
        <v>14</v>
      </c>
      <c r="R255">
        <f t="shared" si="17"/>
        <v>0</v>
      </c>
    </row>
    <row r="256" spans="1:18" x14ac:dyDescent="0.2">
      <c r="A256" s="54">
        <v>128220</v>
      </c>
      <c r="B256" s="54" t="s">
        <v>448</v>
      </c>
      <c r="C256" s="55">
        <v>14</v>
      </c>
      <c r="D256" s="55">
        <v>11</v>
      </c>
      <c r="E256" s="55">
        <v>15</v>
      </c>
      <c r="F256" s="55">
        <v>31</v>
      </c>
      <c r="G256" s="55">
        <v>24</v>
      </c>
      <c r="H256" s="55">
        <v>10</v>
      </c>
      <c r="I256" s="55">
        <v>2.82</v>
      </c>
      <c r="J256" s="55">
        <v>2.1800000000000002</v>
      </c>
      <c r="K256" s="55">
        <v>0.91</v>
      </c>
      <c r="L256" s="55">
        <v>0</v>
      </c>
      <c r="M256" s="54" t="str">
        <f t="shared" si="18"/>
        <v>12-24 Months</v>
      </c>
      <c r="N256" s="54" t="str">
        <f t="shared" si="19"/>
        <v>24+ Months</v>
      </c>
      <c r="O256" s="54" t="s">
        <v>7</v>
      </c>
      <c r="P256" s="54">
        <f t="shared" si="15"/>
        <v>14</v>
      </c>
      <c r="Q256">
        <f t="shared" si="16"/>
        <v>14</v>
      </c>
      <c r="R256">
        <f t="shared" si="17"/>
        <v>14</v>
      </c>
    </row>
    <row r="257" spans="1:18" x14ac:dyDescent="0.2">
      <c r="A257" s="54">
        <v>112123</v>
      </c>
      <c r="B257" s="54" t="s">
        <v>577</v>
      </c>
      <c r="C257" s="55">
        <v>27</v>
      </c>
      <c r="D257" s="55">
        <v>23</v>
      </c>
      <c r="E257" s="55">
        <v>15</v>
      </c>
      <c r="F257" s="55">
        <v>17</v>
      </c>
      <c r="G257" s="55">
        <v>0</v>
      </c>
      <c r="H257" s="55">
        <v>0</v>
      </c>
      <c r="I257" s="55">
        <v>0.74</v>
      </c>
      <c r="J257" s="55">
        <v>0</v>
      </c>
      <c r="K257" s="55">
        <v>0</v>
      </c>
      <c r="L257" s="55">
        <v>0</v>
      </c>
      <c r="M257" s="54" t="str">
        <f t="shared" si="18"/>
        <v>12-24 Months</v>
      </c>
      <c r="N257" s="54" t="str">
        <f t="shared" si="19"/>
        <v>24+ Months</v>
      </c>
      <c r="O257" s="54" t="s">
        <v>7</v>
      </c>
      <c r="P257" s="54">
        <f t="shared" si="15"/>
        <v>0</v>
      </c>
      <c r="Q257">
        <f t="shared" si="16"/>
        <v>0</v>
      </c>
      <c r="R257">
        <f t="shared" si="17"/>
        <v>0</v>
      </c>
    </row>
    <row r="258" spans="1:18" x14ac:dyDescent="0.2">
      <c r="A258" s="54">
        <v>108398</v>
      </c>
      <c r="B258" s="54" t="s">
        <v>348</v>
      </c>
      <c r="C258" s="55">
        <v>38</v>
      </c>
      <c r="D258" s="55">
        <v>40</v>
      </c>
      <c r="E258" s="55">
        <v>15</v>
      </c>
      <c r="F258" s="55">
        <v>49</v>
      </c>
      <c r="G258" s="55">
        <v>0</v>
      </c>
      <c r="H258" s="55">
        <v>0</v>
      </c>
      <c r="I258" s="55">
        <v>1.23</v>
      </c>
      <c r="J258" s="55">
        <v>0</v>
      </c>
      <c r="K258" s="55">
        <v>0</v>
      </c>
      <c r="L258" s="55">
        <v>0</v>
      </c>
      <c r="M258" s="54" t="str">
        <f t="shared" si="18"/>
        <v>12-24 Months</v>
      </c>
      <c r="N258" s="54" t="str">
        <f t="shared" si="19"/>
        <v>24+ Months</v>
      </c>
      <c r="O258" s="54" t="s">
        <v>7</v>
      </c>
      <c r="P258" s="54">
        <f t="shared" ref="P258:P321" si="20">IF(I258&gt;=2, C258, IF(J258&gt;=0.75, C258, 0))</f>
        <v>0</v>
      </c>
      <c r="Q258">
        <f t="shared" ref="Q258:Q321" si="21">IF(I258&gt;=2, C258, IF(AND(J258&gt;=0.75, D258&gt;=550), C258, 0))</f>
        <v>0</v>
      </c>
      <c r="R258">
        <f t="shared" ref="R258:R321" si="22">IF(J258&gt;=0.75, C258, 0)</f>
        <v>0</v>
      </c>
    </row>
    <row r="259" spans="1:18" x14ac:dyDescent="0.2">
      <c r="A259" s="54">
        <v>157734</v>
      </c>
      <c r="B259" s="54" t="s">
        <v>398</v>
      </c>
      <c r="C259" s="55">
        <v>68</v>
      </c>
      <c r="D259" s="55">
        <v>73</v>
      </c>
      <c r="E259" s="55">
        <v>15</v>
      </c>
      <c r="F259" s="55">
        <v>21</v>
      </c>
      <c r="G259" s="55">
        <v>19</v>
      </c>
      <c r="H259" s="55">
        <v>4</v>
      </c>
      <c r="I259" s="55">
        <v>0.28999999999999998</v>
      </c>
      <c r="J259" s="55">
        <v>0.26</v>
      </c>
      <c r="K259" s="55">
        <v>0.05</v>
      </c>
      <c r="L259" s="55">
        <v>6</v>
      </c>
      <c r="M259" s="54" t="str">
        <f t="shared" ref="M259:M322" si="23">IF(E259&lt;6,"0-6 Months", IF(E259&lt;13, "6-12 Months", IF(E259&lt;19, "12-24 Months", IF(E259&lt;25, "12-24 Months", "24+ Months"))))</f>
        <v>12-24 Months</v>
      </c>
      <c r="N259" s="54" t="str">
        <f t="shared" ref="N259:N322" si="24">IF(E259&lt;6,"12-18 Months", IF(E259&lt;13, "18-24 Months", "24+ Months"))</f>
        <v>24+ Months</v>
      </c>
      <c r="O259" s="54" t="s">
        <v>7</v>
      </c>
      <c r="P259" s="54">
        <f t="shared" si="20"/>
        <v>0</v>
      </c>
      <c r="Q259">
        <f t="shared" si="21"/>
        <v>0</v>
      </c>
      <c r="R259">
        <f t="shared" si="22"/>
        <v>0</v>
      </c>
    </row>
    <row r="260" spans="1:18" x14ac:dyDescent="0.2">
      <c r="A260" s="54">
        <v>486478</v>
      </c>
      <c r="B260" s="54" t="s">
        <v>412</v>
      </c>
      <c r="C260" s="55">
        <v>155</v>
      </c>
      <c r="D260" s="55">
        <v>350</v>
      </c>
      <c r="E260" s="55">
        <v>15</v>
      </c>
      <c r="F260" s="55">
        <v>39</v>
      </c>
      <c r="G260" s="55">
        <v>39</v>
      </c>
      <c r="H260" s="55">
        <v>5</v>
      </c>
      <c r="I260" s="55">
        <v>0.11</v>
      </c>
      <c r="J260" s="55">
        <v>0.11</v>
      </c>
      <c r="K260" s="55">
        <v>0.01</v>
      </c>
      <c r="L260" s="55">
        <v>155</v>
      </c>
      <c r="M260" s="54" t="str">
        <f t="shared" si="23"/>
        <v>12-24 Months</v>
      </c>
      <c r="N260" s="54" t="str">
        <f t="shared" si="24"/>
        <v>24+ Months</v>
      </c>
      <c r="O260" s="54" t="s">
        <v>6</v>
      </c>
      <c r="P260" s="54">
        <f t="shared" si="20"/>
        <v>0</v>
      </c>
      <c r="Q260">
        <f t="shared" si="21"/>
        <v>0</v>
      </c>
      <c r="R260">
        <f t="shared" si="22"/>
        <v>0</v>
      </c>
    </row>
    <row r="261" spans="1:18" x14ac:dyDescent="0.2">
      <c r="A261" s="54">
        <v>109178</v>
      </c>
      <c r="B261" s="54" t="s">
        <v>185</v>
      </c>
      <c r="C261" s="55">
        <v>165</v>
      </c>
      <c r="D261" s="55">
        <v>193</v>
      </c>
      <c r="E261" s="55">
        <v>15</v>
      </c>
      <c r="F261" s="55">
        <v>304</v>
      </c>
      <c r="G261" s="55">
        <v>94</v>
      </c>
      <c r="H261" s="55">
        <v>0</v>
      </c>
      <c r="I261" s="55">
        <v>1.58</v>
      </c>
      <c r="J261" s="55">
        <v>0.49</v>
      </c>
      <c r="K261" s="55">
        <v>0</v>
      </c>
      <c r="L261" s="55">
        <v>0</v>
      </c>
      <c r="M261" s="54" t="str">
        <f t="shared" si="23"/>
        <v>12-24 Months</v>
      </c>
      <c r="N261" s="54" t="str">
        <f t="shared" si="24"/>
        <v>24+ Months</v>
      </c>
      <c r="O261" s="54" t="s">
        <v>6</v>
      </c>
      <c r="P261" s="54">
        <f t="shared" si="20"/>
        <v>0</v>
      </c>
      <c r="Q261">
        <f t="shared" si="21"/>
        <v>0</v>
      </c>
      <c r="R261">
        <f t="shared" si="22"/>
        <v>0</v>
      </c>
    </row>
    <row r="262" spans="1:18" x14ac:dyDescent="0.2">
      <c r="A262" s="54">
        <v>479509</v>
      </c>
      <c r="B262" s="54" t="s">
        <v>451</v>
      </c>
      <c r="C262" s="55">
        <v>8</v>
      </c>
      <c r="D262" s="55">
        <v>7</v>
      </c>
      <c r="E262" s="55">
        <v>14</v>
      </c>
      <c r="F262" s="55">
        <v>33</v>
      </c>
      <c r="G262" s="55">
        <v>27</v>
      </c>
      <c r="H262" s="55">
        <v>20</v>
      </c>
      <c r="I262" s="55">
        <v>4.71</v>
      </c>
      <c r="J262" s="55">
        <v>3.86</v>
      </c>
      <c r="K262" s="55">
        <v>2.86</v>
      </c>
      <c r="L262" s="55">
        <v>1</v>
      </c>
      <c r="M262" s="54" t="str">
        <f t="shared" si="23"/>
        <v>12-24 Months</v>
      </c>
      <c r="N262" s="54" t="str">
        <f t="shared" si="24"/>
        <v>24+ Months</v>
      </c>
      <c r="O262" s="54" t="s">
        <v>7</v>
      </c>
      <c r="P262" s="54">
        <f t="shared" si="20"/>
        <v>8</v>
      </c>
      <c r="Q262">
        <f t="shared" si="21"/>
        <v>8</v>
      </c>
      <c r="R262">
        <f t="shared" si="22"/>
        <v>8</v>
      </c>
    </row>
    <row r="263" spans="1:18" x14ac:dyDescent="0.2">
      <c r="A263" s="54">
        <v>470994</v>
      </c>
      <c r="B263" s="54" t="s">
        <v>498</v>
      </c>
      <c r="C263" s="55">
        <v>18</v>
      </c>
      <c r="D263" s="55">
        <v>16</v>
      </c>
      <c r="E263" s="55">
        <v>14</v>
      </c>
      <c r="F263" s="55">
        <v>15</v>
      </c>
      <c r="G263" s="55">
        <v>0</v>
      </c>
      <c r="H263" s="55">
        <v>0</v>
      </c>
      <c r="I263" s="55">
        <v>0.94</v>
      </c>
      <c r="J263" s="55">
        <v>0</v>
      </c>
      <c r="K263" s="55">
        <v>0</v>
      </c>
      <c r="L263" s="55">
        <v>0</v>
      </c>
      <c r="M263" s="54" t="str">
        <f t="shared" si="23"/>
        <v>12-24 Months</v>
      </c>
      <c r="N263" s="54" t="str">
        <f t="shared" si="24"/>
        <v>24+ Months</v>
      </c>
      <c r="O263" s="54" t="s">
        <v>7</v>
      </c>
      <c r="P263" s="54">
        <f t="shared" si="20"/>
        <v>0</v>
      </c>
      <c r="Q263">
        <f t="shared" si="21"/>
        <v>0</v>
      </c>
      <c r="R263">
        <f t="shared" si="22"/>
        <v>0</v>
      </c>
    </row>
    <row r="264" spans="1:18" x14ac:dyDescent="0.2">
      <c r="A264" s="54">
        <v>301506</v>
      </c>
      <c r="B264" s="54" t="s">
        <v>345</v>
      </c>
      <c r="C264" s="55">
        <v>20</v>
      </c>
      <c r="D264" s="55">
        <v>20</v>
      </c>
      <c r="E264" s="55">
        <v>14</v>
      </c>
      <c r="F264" s="55">
        <v>117</v>
      </c>
      <c r="G264" s="55">
        <v>0</v>
      </c>
      <c r="H264" s="55">
        <v>0</v>
      </c>
      <c r="I264" s="55">
        <v>5.85</v>
      </c>
      <c r="J264" s="55">
        <v>0</v>
      </c>
      <c r="K264" s="55">
        <v>0</v>
      </c>
      <c r="L264" s="55">
        <v>0</v>
      </c>
      <c r="M264" s="54" t="str">
        <f t="shared" si="23"/>
        <v>12-24 Months</v>
      </c>
      <c r="N264" s="54" t="str">
        <f t="shared" si="24"/>
        <v>24+ Months</v>
      </c>
      <c r="O264" s="54" t="s">
        <v>7</v>
      </c>
      <c r="P264" s="54">
        <f t="shared" si="20"/>
        <v>20</v>
      </c>
      <c r="Q264">
        <f t="shared" si="21"/>
        <v>20</v>
      </c>
      <c r="R264">
        <f t="shared" si="22"/>
        <v>0</v>
      </c>
    </row>
    <row r="265" spans="1:18" x14ac:dyDescent="0.2">
      <c r="A265" s="54">
        <v>121102</v>
      </c>
      <c r="B265" s="54" t="s">
        <v>208</v>
      </c>
      <c r="C265" s="55">
        <v>25</v>
      </c>
      <c r="D265" s="55">
        <v>20</v>
      </c>
      <c r="E265" s="55">
        <v>14</v>
      </c>
      <c r="F265" s="55">
        <v>284</v>
      </c>
      <c r="G265" s="55">
        <v>97</v>
      </c>
      <c r="H265" s="55">
        <v>40</v>
      </c>
      <c r="I265" s="55">
        <v>14.2</v>
      </c>
      <c r="J265" s="55">
        <v>4.8499999999999996</v>
      </c>
      <c r="K265" s="55">
        <v>2</v>
      </c>
      <c r="L265" s="55">
        <v>25</v>
      </c>
      <c r="M265" s="54" t="str">
        <f t="shared" si="23"/>
        <v>12-24 Months</v>
      </c>
      <c r="N265" s="54" t="str">
        <f t="shared" si="24"/>
        <v>24+ Months</v>
      </c>
      <c r="O265" s="54" t="s">
        <v>7</v>
      </c>
      <c r="P265" s="54">
        <f t="shared" si="20"/>
        <v>25</v>
      </c>
      <c r="Q265">
        <f t="shared" si="21"/>
        <v>25</v>
      </c>
      <c r="R265">
        <f t="shared" si="22"/>
        <v>25</v>
      </c>
    </row>
    <row r="266" spans="1:18" x14ac:dyDescent="0.2">
      <c r="A266" s="54">
        <v>325495</v>
      </c>
      <c r="B266" s="54" t="s">
        <v>598</v>
      </c>
      <c r="C266" s="55">
        <v>45</v>
      </c>
      <c r="D266" s="55">
        <v>37</v>
      </c>
      <c r="E266" s="55">
        <v>14</v>
      </c>
      <c r="F266" s="55">
        <v>5</v>
      </c>
      <c r="G266" s="55">
        <v>5</v>
      </c>
      <c r="H266" s="55">
        <v>5</v>
      </c>
      <c r="I266" s="55">
        <v>0.14000000000000001</v>
      </c>
      <c r="J266" s="55">
        <v>0.14000000000000001</v>
      </c>
      <c r="K266" s="55">
        <v>0.14000000000000001</v>
      </c>
      <c r="L266" s="55">
        <v>1</v>
      </c>
      <c r="M266" s="54" t="str">
        <f t="shared" si="23"/>
        <v>12-24 Months</v>
      </c>
      <c r="N266" s="54" t="str">
        <f t="shared" si="24"/>
        <v>24+ Months</v>
      </c>
      <c r="O266" s="54" t="s">
        <v>7</v>
      </c>
      <c r="P266" s="54">
        <f t="shared" si="20"/>
        <v>0</v>
      </c>
      <c r="Q266">
        <f t="shared" si="21"/>
        <v>0</v>
      </c>
      <c r="R266">
        <f t="shared" si="22"/>
        <v>0</v>
      </c>
    </row>
    <row r="267" spans="1:18" x14ac:dyDescent="0.2">
      <c r="A267" s="54">
        <v>115901</v>
      </c>
      <c r="B267" s="54" t="s">
        <v>369</v>
      </c>
      <c r="C267" s="55">
        <v>48</v>
      </c>
      <c r="D267" s="55">
        <v>45</v>
      </c>
      <c r="E267" s="55">
        <v>14</v>
      </c>
      <c r="F267" s="55">
        <v>82</v>
      </c>
      <c r="G267" s="55">
        <v>82</v>
      </c>
      <c r="H267" s="55">
        <v>46</v>
      </c>
      <c r="I267" s="55">
        <v>1.82</v>
      </c>
      <c r="J267" s="55">
        <v>1.82</v>
      </c>
      <c r="K267" s="55">
        <v>1.02</v>
      </c>
      <c r="L267" s="55">
        <v>5</v>
      </c>
      <c r="M267" s="54" t="str">
        <f t="shared" si="23"/>
        <v>12-24 Months</v>
      </c>
      <c r="N267" s="54" t="str">
        <f t="shared" si="24"/>
        <v>24+ Months</v>
      </c>
      <c r="O267" s="54" t="s">
        <v>7</v>
      </c>
      <c r="P267" s="54">
        <f t="shared" si="20"/>
        <v>48</v>
      </c>
      <c r="Q267">
        <f t="shared" si="21"/>
        <v>0</v>
      </c>
      <c r="R267">
        <f t="shared" si="22"/>
        <v>48</v>
      </c>
    </row>
    <row r="268" spans="1:18" x14ac:dyDescent="0.2">
      <c r="A268" s="54">
        <v>107160</v>
      </c>
      <c r="B268" s="54" t="s">
        <v>510</v>
      </c>
      <c r="C268" s="55">
        <v>50</v>
      </c>
      <c r="D268" s="55">
        <v>45</v>
      </c>
      <c r="E268" s="55">
        <v>14</v>
      </c>
      <c r="F268" s="55">
        <v>24</v>
      </c>
      <c r="G268" s="55">
        <v>16</v>
      </c>
      <c r="H268" s="55">
        <v>12</v>
      </c>
      <c r="I268" s="55">
        <v>0.53</v>
      </c>
      <c r="J268" s="55">
        <v>0.36</v>
      </c>
      <c r="K268" s="55">
        <v>0.27</v>
      </c>
      <c r="L268" s="55">
        <v>0</v>
      </c>
      <c r="M268" s="54" t="str">
        <f t="shared" si="23"/>
        <v>12-24 Months</v>
      </c>
      <c r="N268" s="54" t="str">
        <f t="shared" si="24"/>
        <v>24+ Months</v>
      </c>
      <c r="O268" s="54" t="s">
        <v>7</v>
      </c>
      <c r="P268" s="54">
        <f t="shared" si="20"/>
        <v>0</v>
      </c>
      <c r="Q268">
        <f t="shared" si="21"/>
        <v>0</v>
      </c>
      <c r="R268">
        <f t="shared" si="22"/>
        <v>0</v>
      </c>
    </row>
    <row r="269" spans="1:18" x14ac:dyDescent="0.2">
      <c r="A269" s="54">
        <v>108500</v>
      </c>
      <c r="B269" s="54" t="s">
        <v>219</v>
      </c>
      <c r="C269" s="55">
        <v>59</v>
      </c>
      <c r="D269" s="55">
        <v>92</v>
      </c>
      <c r="E269" s="55">
        <v>14</v>
      </c>
      <c r="F269" s="55">
        <v>270</v>
      </c>
      <c r="G269" s="55">
        <v>192</v>
      </c>
      <c r="H269" s="55">
        <v>154</v>
      </c>
      <c r="I269" s="55">
        <v>2.93</v>
      </c>
      <c r="J269" s="55">
        <v>2.09</v>
      </c>
      <c r="K269" s="55">
        <v>1.67</v>
      </c>
      <c r="L269" s="55">
        <v>0</v>
      </c>
      <c r="M269" s="54" t="str">
        <f t="shared" si="23"/>
        <v>12-24 Months</v>
      </c>
      <c r="N269" s="54" t="str">
        <f t="shared" si="24"/>
        <v>24+ Months</v>
      </c>
      <c r="O269" s="54" t="s">
        <v>7</v>
      </c>
      <c r="P269" s="54">
        <f t="shared" si="20"/>
        <v>59</v>
      </c>
      <c r="Q269">
        <f t="shared" si="21"/>
        <v>59</v>
      </c>
      <c r="R269">
        <f t="shared" si="22"/>
        <v>59</v>
      </c>
    </row>
    <row r="270" spans="1:18" x14ac:dyDescent="0.2">
      <c r="A270" s="54">
        <v>109765</v>
      </c>
      <c r="B270" s="54" t="s">
        <v>288</v>
      </c>
      <c r="C270" s="55">
        <v>67</v>
      </c>
      <c r="D270" s="55">
        <v>66</v>
      </c>
      <c r="E270" s="55">
        <v>14</v>
      </c>
      <c r="F270" s="55">
        <v>97</v>
      </c>
      <c r="G270" s="55">
        <v>39</v>
      </c>
      <c r="H270" s="55">
        <v>18</v>
      </c>
      <c r="I270" s="55">
        <v>1.47</v>
      </c>
      <c r="J270" s="55">
        <v>0.59</v>
      </c>
      <c r="K270" s="55">
        <v>0.27</v>
      </c>
      <c r="L270" s="55">
        <v>14</v>
      </c>
      <c r="M270" s="54" t="str">
        <f t="shared" si="23"/>
        <v>12-24 Months</v>
      </c>
      <c r="N270" s="54" t="str">
        <f t="shared" si="24"/>
        <v>24+ Months</v>
      </c>
      <c r="O270" s="54" t="s">
        <v>7</v>
      </c>
      <c r="P270" s="54">
        <f t="shared" si="20"/>
        <v>0</v>
      </c>
      <c r="Q270">
        <f t="shared" si="21"/>
        <v>0</v>
      </c>
      <c r="R270">
        <f t="shared" si="22"/>
        <v>0</v>
      </c>
    </row>
    <row r="271" spans="1:18" x14ac:dyDescent="0.2">
      <c r="A271" s="54">
        <v>149220</v>
      </c>
      <c r="B271" s="54" t="s">
        <v>151</v>
      </c>
      <c r="C271" s="55">
        <v>112</v>
      </c>
      <c r="D271" s="55">
        <v>200</v>
      </c>
      <c r="E271" s="55">
        <v>14</v>
      </c>
      <c r="F271" s="55">
        <v>489</v>
      </c>
      <c r="G271" s="55">
        <v>478</v>
      </c>
      <c r="H271" s="55">
        <v>77</v>
      </c>
      <c r="I271" s="55">
        <v>4.8899999999999997</v>
      </c>
      <c r="J271" s="55">
        <v>4.78</v>
      </c>
      <c r="K271" s="55">
        <v>0.77</v>
      </c>
      <c r="L271" s="55">
        <v>271</v>
      </c>
      <c r="M271" s="54" t="str">
        <f t="shared" si="23"/>
        <v>12-24 Months</v>
      </c>
      <c r="N271" s="54" t="str">
        <f t="shared" si="24"/>
        <v>24+ Months</v>
      </c>
      <c r="O271" s="54" t="s">
        <v>6</v>
      </c>
      <c r="P271" s="54">
        <f t="shared" si="20"/>
        <v>112</v>
      </c>
      <c r="Q271">
        <f t="shared" si="21"/>
        <v>112</v>
      </c>
      <c r="R271">
        <f t="shared" si="22"/>
        <v>112</v>
      </c>
    </row>
    <row r="272" spans="1:18" x14ac:dyDescent="0.2">
      <c r="A272" s="54">
        <v>132962</v>
      </c>
      <c r="B272" s="54" t="s">
        <v>255</v>
      </c>
      <c r="C272" s="55">
        <v>123</v>
      </c>
      <c r="D272" s="55">
        <v>120</v>
      </c>
      <c r="E272" s="55">
        <v>14</v>
      </c>
      <c r="F272" s="55">
        <v>204</v>
      </c>
      <c r="G272" s="55">
        <v>39</v>
      </c>
      <c r="H272" s="55">
        <v>10</v>
      </c>
      <c r="I272" s="55">
        <v>1.7</v>
      </c>
      <c r="J272" s="55">
        <v>0.33</v>
      </c>
      <c r="K272" s="55">
        <v>0.08</v>
      </c>
      <c r="L272" s="55">
        <v>45</v>
      </c>
      <c r="M272" s="54" t="str">
        <f t="shared" si="23"/>
        <v>12-24 Months</v>
      </c>
      <c r="N272" s="54" t="str">
        <f t="shared" si="24"/>
        <v>24+ Months</v>
      </c>
      <c r="O272" s="54" t="s">
        <v>6</v>
      </c>
      <c r="P272" s="54">
        <f t="shared" si="20"/>
        <v>0</v>
      </c>
      <c r="Q272">
        <f t="shared" si="21"/>
        <v>0</v>
      </c>
      <c r="R272">
        <f t="shared" si="22"/>
        <v>0</v>
      </c>
    </row>
    <row r="273" spans="1:18" x14ac:dyDescent="0.2">
      <c r="A273" s="54">
        <v>144320</v>
      </c>
      <c r="B273" s="54" t="s">
        <v>270</v>
      </c>
      <c r="C273" s="55">
        <v>148</v>
      </c>
      <c r="D273" s="55">
        <v>126</v>
      </c>
      <c r="E273" s="55">
        <v>14</v>
      </c>
      <c r="F273" s="55">
        <v>215</v>
      </c>
      <c r="G273" s="55">
        <v>80</v>
      </c>
      <c r="H273" s="55">
        <v>74</v>
      </c>
      <c r="I273" s="55">
        <v>1.71</v>
      </c>
      <c r="J273" s="55">
        <v>0.63</v>
      </c>
      <c r="K273" s="55">
        <v>0.59</v>
      </c>
      <c r="L273" s="55">
        <v>1</v>
      </c>
      <c r="M273" s="54" t="str">
        <f t="shared" si="23"/>
        <v>12-24 Months</v>
      </c>
      <c r="N273" s="54" t="str">
        <f t="shared" si="24"/>
        <v>24+ Months</v>
      </c>
      <c r="O273" s="54" t="s">
        <v>6</v>
      </c>
      <c r="P273" s="54">
        <f t="shared" si="20"/>
        <v>0</v>
      </c>
      <c r="Q273">
        <f t="shared" si="21"/>
        <v>0</v>
      </c>
      <c r="R273">
        <f t="shared" si="22"/>
        <v>0</v>
      </c>
    </row>
    <row r="274" spans="1:18" x14ac:dyDescent="0.2">
      <c r="A274" s="54">
        <v>155263</v>
      </c>
      <c r="B274" s="54" t="s">
        <v>132</v>
      </c>
      <c r="C274" s="55">
        <v>154</v>
      </c>
      <c r="D274" s="55">
        <v>178</v>
      </c>
      <c r="E274" s="55">
        <v>14</v>
      </c>
      <c r="F274" s="55">
        <v>727</v>
      </c>
      <c r="G274" s="55">
        <v>547</v>
      </c>
      <c r="H274" s="55">
        <v>279</v>
      </c>
      <c r="I274" s="55">
        <v>4.08</v>
      </c>
      <c r="J274" s="55">
        <v>3.07</v>
      </c>
      <c r="K274" s="55">
        <v>1.57</v>
      </c>
      <c r="L274" s="55">
        <v>84</v>
      </c>
      <c r="M274" s="54" t="str">
        <f t="shared" si="23"/>
        <v>12-24 Months</v>
      </c>
      <c r="N274" s="54" t="str">
        <f t="shared" si="24"/>
        <v>24+ Months</v>
      </c>
      <c r="O274" s="54" t="s">
        <v>6</v>
      </c>
      <c r="P274" s="54">
        <f t="shared" si="20"/>
        <v>154</v>
      </c>
      <c r="Q274">
        <f t="shared" si="21"/>
        <v>154</v>
      </c>
      <c r="R274">
        <f t="shared" si="22"/>
        <v>154</v>
      </c>
    </row>
    <row r="275" spans="1:18" x14ac:dyDescent="0.2">
      <c r="A275" s="54">
        <v>467119</v>
      </c>
      <c r="B275" s="54" t="s">
        <v>251</v>
      </c>
      <c r="C275" s="55">
        <v>164</v>
      </c>
      <c r="D275" s="55">
        <v>140</v>
      </c>
      <c r="E275" s="55">
        <v>14</v>
      </c>
      <c r="F275" s="55">
        <v>492</v>
      </c>
      <c r="G275" s="55">
        <v>377</v>
      </c>
      <c r="H275" s="55">
        <v>340</v>
      </c>
      <c r="I275" s="55">
        <v>3.51</v>
      </c>
      <c r="J275" s="55">
        <v>2.69</v>
      </c>
      <c r="K275" s="55">
        <v>2.4300000000000002</v>
      </c>
      <c r="L275" s="55">
        <v>301</v>
      </c>
      <c r="M275" s="54" t="str">
        <f t="shared" si="23"/>
        <v>12-24 Months</v>
      </c>
      <c r="N275" s="54" t="str">
        <f t="shared" si="24"/>
        <v>24+ Months</v>
      </c>
      <c r="O275" s="54" t="s">
        <v>6</v>
      </c>
      <c r="P275" s="54">
        <f t="shared" si="20"/>
        <v>164</v>
      </c>
      <c r="Q275">
        <f t="shared" si="21"/>
        <v>164</v>
      </c>
      <c r="R275">
        <f t="shared" si="22"/>
        <v>164</v>
      </c>
    </row>
    <row r="276" spans="1:18" x14ac:dyDescent="0.2">
      <c r="A276" s="54">
        <v>205360</v>
      </c>
      <c r="B276" s="54" t="s">
        <v>277</v>
      </c>
      <c r="C276" s="55">
        <v>356</v>
      </c>
      <c r="D276" s="55">
        <v>320</v>
      </c>
      <c r="E276" s="55">
        <v>14</v>
      </c>
      <c r="F276" s="55">
        <v>320</v>
      </c>
      <c r="G276" s="55">
        <v>32</v>
      </c>
      <c r="H276" s="55">
        <v>1</v>
      </c>
      <c r="I276" s="55">
        <v>1</v>
      </c>
      <c r="J276" s="55">
        <v>0.1</v>
      </c>
      <c r="K276" s="55">
        <v>0</v>
      </c>
      <c r="L276" s="55">
        <v>1</v>
      </c>
      <c r="M276" s="54" t="str">
        <f t="shared" si="23"/>
        <v>12-24 Months</v>
      </c>
      <c r="N276" s="54" t="str">
        <f t="shared" si="24"/>
        <v>24+ Months</v>
      </c>
      <c r="O276" s="54" t="s">
        <v>6</v>
      </c>
      <c r="P276" s="54">
        <f t="shared" si="20"/>
        <v>0</v>
      </c>
      <c r="Q276">
        <f t="shared" si="21"/>
        <v>0</v>
      </c>
      <c r="R276">
        <f t="shared" si="22"/>
        <v>0</v>
      </c>
    </row>
    <row r="277" spans="1:18" x14ac:dyDescent="0.2">
      <c r="A277" s="54">
        <v>471807</v>
      </c>
      <c r="B277" s="54" t="s">
        <v>671</v>
      </c>
      <c r="C277" s="55">
        <v>1</v>
      </c>
      <c r="D277" s="55">
        <v>4</v>
      </c>
      <c r="E277" s="55">
        <v>13</v>
      </c>
      <c r="F277" s="55">
        <v>0</v>
      </c>
      <c r="G277" s="55">
        <v>0</v>
      </c>
      <c r="H277" s="55">
        <v>0</v>
      </c>
      <c r="I277" s="55">
        <v>0</v>
      </c>
      <c r="J277" s="55">
        <v>0</v>
      </c>
      <c r="K277" s="55">
        <v>0</v>
      </c>
      <c r="L277" s="55">
        <v>0</v>
      </c>
      <c r="M277" s="54" t="str">
        <f t="shared" si="23"/>
        <v>12-24 Months</v>
      </c>
      <c r="N277" s="54" t="str">
        <f t="shared" si="24"/>
        <v>24+ Months</v>
      </c>
      <c r="O277" s="54" t="s">
        <v>7</v>
      </c>
      <c r="P277" s="54">
        <f t="shared" si="20"/>
        <v>0</v>
      </c>
      <c r="Q277">
        <f t="shared" si="21"/>
        <v>0</v>
      </c>
      <c r="R277">
        <f t="shared" si="22"/>
        <v>0</v>
      </c>
    </row>
    <row r="278" spans="1:18" x14ac:dyDescent="0.2">
      <c r="A278" s="54">
        <v>448278</v>
      </c>
      <c r="B278" s="54" t="s">
        <v>385</v>
      </c>
      <c r="C278" s="55">
        <v>2</v>
      </c>
      <c r="D278" s="55">
        <v>13</v>
      </c>
      <c r="E278" s="55">
        <v>13</v>
      </c>
      <c r="F278" s="55">
        <v>62</v>
      </c>
      <c r="G278" s="55">
        <v>25</v>
      </c>
      <c r="H278" s="55">
        <v>25</v>
      </c>
      <c r="I278" s="55">
        <v>4.7699999999999996</v>
      </c>
      <c r="J278" s="55">
        <v>1.92</v>
      </c>
      <c r="K278" s="55">
        <v>1.92</v>
      </c>
      <c r="L278" s="55">
        <v>18</v>
      </c>
      <c r="M278" s="54" t="str">
        <f t="shared" si="23"/>
        <v>12-24 Months</v>
      </c>
      <c r="N278" s="54" t="str">
        <f t="shared" si="24"/>
        <v>24+ Months</v>
      </c>
      <c r="O278" s="54" t="s">
        <v>7</v>
      </c>
      <c r="P278" s="54">
        <f t="shared" si="20"/>
        <v>2</v>
      </c>
      <c r="Q278">
        <f t="shared" si="21"/>
        <v>2</v>
      </c>
      <c r="R278">
        <f t="shared" si="22"/>
        <v>2</v>
      </c>
    </row>
    <row r="279" spans="1:18" x14ac:dyDescent="0.2">
      <c r="A279" s="54">
        <v>556953</v>
      </c>
      <c r="B279" s="54" t="s">
        <v>625</v>
      </c>
      <c r="C279" s="55">
        <v>6</v>
      </c>
      <c r="D279" s="55">
        <v>5</v>
      </c>
      <c r="E279" s="55">
        <v>13</v>
      </c>
      <c r="F279" s="55">
        <v>0</v>
      </c>
      <c r="G279" s="55">
        <v>0</v>
      </c>
      <c r="H279" s="55">
        <v>0</v>
      </c>
      <c r="I279" s="55">
        <v>0</v>
      </c>
      <c r="J279" s="55">
        <v>0</v>
      </c>
      <c r="K279" s="55">
        <v>0</v>
      </c>
      <c r="L279" s="55">
        <v>0</v>
      </c>
      <c r="M279" s="54" t="str">
        <f t="shared" si="23"/>
        <v>12-24 Months</v>
      </c>
      <c r="N279" s="54" t="str">
        <f t="shared" si="24"/>
        <v>24+ Months</v>
      </c>
      <c r="O279" s="54" t="s">
        <v>7</v>
      </c>
      <c r="P279" s="54">
        <f t="shared" si="20"/>
        <v>0</v>
      </c>
      <c r="Q279">
        <f t="shared" si="21"/>
        <v>0</v>
      </c>
      <c r="R279">
        <f t="shared" si="22"/>
        <v>0</v>
      </c>
    </row>
    <row r="280" spans="1:18" x14ac:dyDescent="0.2">
      <c r="A280" s="54" t="s">
        <v>355</v>
      </c>
      <c r="B280" s="54" t="s">
        <v>354</v>
      </c>
      <c r="C280" s="55">
        <v>10</v>
      </c>
      <c r="D280" s="55">
        <v>2</v>
      </c>
      <c r="E280" s="55">
        <v>13</v>
      </c>
      <c r="F280" s="55">
        <v>3</v>
      </c>
      <c r="G280" s="55">
        <v>1</v>
      </c>
      <c r="H280" s="55">
        <v>0</v>
      </c>
      <c r="I280" s="55">
        <v>1.5</v>
      </c>
      <c r="J280" s="55">
        <v>0.5</v>
      </c>
      <c r="K280" s="55">
        <v>0</v>
      </c>
      <c r="L280" s="55">
        <v>2</v>
      </c>
      <c r="M280" s="54" t="str">
        <f t="shared" si="23"/>
        <v>12-24 Months</v>
      </c>
      <c r="N280" s="54" t="str">
        <f t="shared" si="24"/>
        <v>24+ Months</v>
      </c>
      <c r="O280" s="54" t="s">
        <v>7</v>
      </c>
      <c r="P280" s="54">
        <f t="shared" si="20"/>
        <v>0</v>
      </c>
      <c r="Q280">
        <f t="shared" si="21"/>
        <v>0</v>
      </c>
      <c r="R280">
        <f t="shared" si="22"/>
        <v>0</v>
      </c>
    </row>
    <row r="281" spans="1:18" x14ac:dyDescent="0.2">
      <c r="A281" s="54">
        <v>465602</v>
      </c>
      <c r="B281" s="54" t="s">
        <v>471</v>
      </c>
      <c r="C281" s="55">
        <v>13</v>
      </c>
      <c r="D281" s="55">
        <v>15</v>
      </c>
      <c r="E281" s="55">
        <v>13</v>
      </c>
      <c r="F281" s="55">
        <v>29</v>
      </c>
      <c r="G281" s="55">
        <v>21</v>
      </c>
      <c r="H281" s="55">
        <v>21</v>
      </c>
      <c r="I281" s="55">
        <v>1.93</v>
      </c>
      <c r="J281" s="55">
        <v>1.4</v>
      </c>
      <c r="K281" s="55">
        <v>1.4</v>
      </c>
      <c r="L281" s="55">
        <v>2</v>
      </c>
      <c r="M281" s="54" t="str">
        <f t="shared" si="23"/>
        <v>12-24 Months</v>
      </c>
      <c r="N281" s="54" t="str">
        <f t="shared" si="24"/>
        <v>24+ Months</v>
      </c>
      <c r="O281" s="54" t="s">
        <v>7</v>
      </c>
      <c r="P281" s="54">
        <f t="shared" si="20"/>
        <v>13</v>
      </c>
      <c r="Q281">
        <f t="shared" si="21"/>
        <v>0</v>
      </c>
      <c r="R281">
        <f t="shared" si="22"/>
        <v>13</v>
      </c>
    </row>
    <row r="282" spans="1:18" x14ac:dyDescent="0.2">
      <c r="A282" s="54">
        <v>109947</v>
      </c>
      <c r="B282" s="54" t="s">
        <v>479</v>
      </c>
      <c r="C282" s="55">
        <v>15</v>
      </c>
      <c r="D282" s="55">
        <v>12</v>
      </c>
      <c r="E282" s="55">
        <v>13</v>
      </c>
      <c r="F282" s="55">
        <v>24</v>
      </c>
      <c r="G282" s="55">
        <v>7</v>
      </c>
      <c r="H282" s="55">
        <v>0</v>
      </c>
      <c r="I282" s="55">
        <v>2</v>
      </c>
      <c r="J282" s="55">
        <v>0.57999999999999996</v>
      </c>
      <c r="K282" s="55">
        <v>0</v>
      </c>
      <c r="L282" s="55">
        <v>0</v>
      </c>
      <c r="M282" s="54" t="str">
        <f t="shared" si="23"/>
        <v>12-24 Months</v>
      </c>
      <c r="N282" s="54" t="str">
        <f t="shared" si="24"/>
        <v>24+ Months</v>
      </c>
      <c r="O282" s="54" t="s">
        <v>7</v>
      </c>
      <c r="P282" s="54">
        <f t="shared" si="20"/>
        <v>15</v>
      </c>
      <c r="Q282">
        <f t="shared" si="21"/>
        <v>15</v>
      </c>
      <c r="R282">
        <f t="shared" si="22"/>
        <v>0</v>
      </c>
    </row>
    <row r="283" spans="1:18" x14ac:dyDescent="0.2">
      <c r="A283" s="54">
        <v>108263</v>
      </c>
      <c r="B283" s="54" t="s">
        <v>418</v>
      </c>
      <c r="C283" s="55">
        <v>16</v>
      </c>
      <c r="D283" s="55">
        <v>16</v>
      </c>
      <c r="E283" s="55">
        <v>13</v>
      </c>
      <c r="F283" s="55">
        <v>76</v>
      </c>
      <c r="G283" s="55">
        <v>48</v>
      </c>
      <c r="H283" s="55">
        <v>48</v>
      </c>
      <c r="I283" s="55">
        <v>4.75</v>
      </c>
      <c r="J283" s="55">
        <v>3</v>
      </c>
      <c r="K283" s="55">
        <v>3</v>
      </c>
      <c r="L283" s="55">
        <v>23</v>
      </c>
      <c r="M283" s="54" t="str">
        <f t="shared" si="23"/>
        <v>12-24 Months</v>
      </c>
      <c r="N283" s="54" t="str">
        <f t="shared" si="24"/>
        <v>24+ Months</v>
      </c>
      <c r="O283" s="54" t="s">
        <v>7</v>
      </c>
      <c r="P283" s="54">
        <f t="shared" si="20"/>
        <v>16</v>
      </c>
      <c r="Q283">
        <f t="shared" si="21"/>
        <v>16</v>
      </c>
      <c r="R283">
        <f t="shared" si="22"/>
        <v>16</v>
      </c>
    </row>
    <row r="284" spans="1:18" x14ac:dyDescent="0.2">
      <c r="A284" s="54">
        <v>442328</v>
      </c>
      <c r="B284" s="54" t="s">
        <v>570</v>
      </c>
      <c r="C284" s="55">
        <v>18</v>
      </c>
      <c r="D284" s="55">
        <v>25</v>
      </c>
      <c r="E284" s="55">
        <v>13</v>
      </c>
      <c r="F284" s="55">
        <v>9</v>
      </c>
      <c r="G284" s="55">
        <v>3</v>
      </c>
      <c r="H284" s="55">
        <v>1</v>
      </c>
      <c r="I284" s="55">
        <v>0.36</v>
      </c>
      <c r="J284" s="55">
        <v>0.12</v>
      </c>
      <c r="K284" s="55">
        <v>0.04</v>
      </c>
      <c r="L284" s="55">
        <v>8</v>
      </c>
      <c r="M284" s="54" t="str">
        <f t="shared" si="23"/>
        <v>12-24 Months</v>
      </c>
      <c r="N284" s="54" t="str">
        <f t="shared" si="24"/>
        <v>24+ Months</v>
      </c>
      <c r="O284" s="54" t="s">
        <v>7</v>
      </c>
      <c r="P284" s="54">
        <f t="shared" si="20"/>
        <v>0</v>
      </c>
      <c r="Q284">
        <f t="shared" si="21"/>
        <v>0</v>
      </c>
      <c r="R284">
        <f t="shared" si="22"/>
        <v>0</v>
      </c>
    </row>
    <row r="285" spans="1:18" x14ac:dyDescent="0.2">
      <c r="A285" s="54">
        <v>325338</v>
      </c>
      <c r="B285" s="54" t="s">
        <v>125</v>
      </c>
      <c r="C285" s="55">
        <v>20</v>
      </c>
      <c r="D285" s="55">
        <v>180</v>
      </c>
      <c r="E285" s="55">
        <v>13</v>
      </c>
      <c r="F285" s="55">
        <v>1043</v>
      </c>
      <c r="G285" s="55">
        <v>927</v>
      </c>
      <c r="H285" s="55">
        <v>824</v>
      </c>
      <c r="I285" s="55">
        <v>5.79</v>
      </c>
      <c r="J285" s="55">
        <v>5.15</v>
      </c>
      <c r="K285" s="55">
        <v>4.58</v>
      </c>
      <c r="L285" s="55">
        <v>12</v>
      </c>
      <c r="M285" s="54" t="str">
        <f t="shared" si="23"/>
        <v>12-24 Months</v>
      </c>
      <c r="N285" s="54" t="str">
        <f t="shared" si="24"/>
        <v>24+ Months</v>
      </c>
      <c r="O285" s="54" t="s">
        <v>6</v>
      </c>
      <c r="P285" s="54">
        <f t="shared" si="20"/>
        <v>20</v>
      </c>
      <c r="Q285">
        <f t="shared" si="21"/>
        <v>20</v>
      </c>
      <c r="R285">
        <f t="shared" si="22"/>
        <v>20</v>
      </c>
    </row>
    <row r="286" spans="1:18" x14ac:dyDescent="0.2">
      <c r="A286" s="54">
        <v>116203</v>
      </c>
      <c r="B286" s="54" t="s">
        <v>359</v>
      </c>
      <c r="C286" s="55">
        <v>22</v>
      </c>
      <c r="D286" s="55">
        <v>27</v>
      </c>
      <c r="E286" s="55">
        <v>13</v>
      </c>
      <c r="F286" s="55">
        <v>75</v>
      </c>
      <c r="G286" s="55">
        <v>24</v>
      </c>
      <c r="H286" s="55">
        <v>7</v>
      </c>
      <c r="I286" s="55">
        <v>2.78</v>
      </c>
      <c r="J286" s="55">
        <v>0.89</v>
      </c>
      <c r="K286" s="55">
        <v>0.26</v>
      </c>
      <c r="L286" s="55">
        <v>67</v>
      </c>
      <c r="M286" s="54" t="str">
        <f t="shared" si="23"/>
        <v>12-24 Months</v>
      </c>
      <c r="N286" s="54" t="str">
        <f t="shared" si="24"/>
        <v>24+ Months</v>
      </c>
      <c r="O286" s="54" t="s">
        <v>7</v>
      </c>
      <c r="P286" s="54">
        <f t="shared" si="20"/>
        <v>22</v>
      </c>
      <c r="Q286">
        <f t="shared" si="21"/>
        <v>22</v>
      </c>
      <c r="R286">
        <f t="shared" si="22"/>
        <v>22</v>
      </c>
    </row>
    <row r="287" spans="1:18" x14ac:dyDescent="0.2">
      <c r="A287" s="54">
        <v>315428</v>
      </c>
      <c r="B287" s="54" t="s">
        <v>409</v>
      </c>
      <c r="C287" s="55">
        <v>28</v>
      </c>
      <c r="D287" s="55">
        <v>48</v>
      </c>
      <c r="E287" s="55">
        <v>13</v>
      </c>
      <c r="F287" s="55">
        <v>43</v>
      </c>
      <c r="G287" s="55">
        <v>6</v>
      </c>
      <c r="H287" s="55">
        <v>0</v>
      </c>
      <c r="I287" s="55">
        <v>0.9</v>
      </c>
      <c r="J287" s="55">
        <v>0.13</v>
      </c>
      <c r="K287" s="55">
        <v>0</v>
      </c>
      <c r="L287" s="55">
        <v>12</v>
      </c>
      <c r="M287" s="54" t="str">
        <f t="shared" si="23"/>
        <v>12-24 Months</v>
      </c>
      <c r="N287" s="54" t="str">
        <f t="shared" si="24"/>
        <v>24+ Months</v>
      </c>
      <c r="O287" s="54" t="s">
        <v>7</v>
      </c>
      <c r="P287" s="54">
        <f t="shared" si="20"/>
        <v>0</v>
      </c>
      <c r="Q287">
        <f t="shared" si="21"/>
        <v>0</v>
      </c>
      <c r="R287">
        <f t="shared" si="22"/>
        <v>0</v>
      </c>
    </row>
    <row r="288" spans="1:18" x14ac:dyDescent="0.2">
      <c r="A288" s="54">
        <v>156030</v>
      </c>
      <c r="B288" s="54" t="s">
        <v>371</v>
      </c>
      <c r="C288" s="55">
        <v>38</v>
      </c>
      <c r="D288" s="55">
        <v>25</v>
      </c>
      <c r="E288" s="55">
        <v>13</v>
      </c>
      <c r="F288" s="55">
        <v>65</v>
      </c>
      <c r="G288" s="55">
        <v>10</v>
      </c>
      <c r="H288" s="55">
        <v>0</v>
      </c>
      <c r="I288" s="55">
        <v>2.6</v>
      </c>
      <c r="J288" s="55">
        <v>0.4</v>
      </c>
      <c r="K288" s="55">
        <v>0</v>
      </c>
      <c r="L288" s="55">
        <v>0</v>
      </c>
      <c r="M288" s="54" t="str">
        <f t="shared" si="23"/>
        <v>12-24 Months</v>
      </c>
      <c r="N288" s="54" t="str">
        <f t="shared" si="24"/>
        <v>24+ Months</v>
      </c>
      <c r="O288" s="54" t="s">
        <v>7</v>
      </c>
      <c r="P288" s="54">
        <f t="shared" si="20"/>
        <v>38</v>
      </c>
      <c r="Q288">
        <f t="shared" si="21"/>
        <v>38</v>
      </c>
      <c r="R288">
        <f t="shared" si="22"/>
        <v>0</v>
      </c>
    </row>
    <row r="289" spans="1:18" x14ac:dyDescent="0.2">
      <c r="A289" s="54">
        <v>148367</v>
      </c>
      <c r="B289" s="54" t="s">
        <v>572</v>
      </c>
      <c r="C289" s="55">
        <v>46</v>
      </c>
      <c r="D289" s="55">
        <v>47</v>
      </c>
      <c r="E289" s="55">
        <v>13</v>
      </c>
      <c r="F289" s="55">
        <v>6</v>
      </c>
      <c r="G289" s="55">
        <v>0</v>
      </c>
      <c r="H289" s="55">
        <v>0</v>
      </c>
      <c r="I289" s="55">
        <v>0.13</v>
      </c>
      <c r="J289" s="55">
        <v>0</v>
      </c>
      <c r="K289" s="55">
        <v>0</v>
      </c>
      <c r="L289" s="55">
        <v>0</v>
      </c>
      <c r="M289" s="54" t="str">
        <f t="shared" si="23"/>
        <v>12-24 Months</v>
      </c>
      <c r="N289" s="54" t="str">
        <f t="shared" si="24"/>
        <v>24+ Months</v>
      </c>
      <c r="O289" s="54" t="s">
        <v>7</v>
      </c>
      <c r="P289" s="54">
        <f t="shared" si="20"/>
        <v>0</v>
      </c>
      <c r="Q289">
        <f t="shared" si="21"/>
        <v>0</v>
      </c>
      <c r="R289">
        <f t="shared" si="22"/>
        <v>0</v>
      </c>
    </row>
    <row r="290" spans="1:18" x14ac:dyDescent="0.2">
      <c r="A290" s="54">
        <v>179811</v>
      </c>
      <c r="B290" s="54" t="s">
        <v>147</v>
      </c>
      <c r="C290" s="55">
        <v>48</v>
      </c>
      <c r="D290" s="55">
        <v>43</v>
      </c>
      <c r="E290" s="55">
        <v>13</v>
      </c>
      <c r="F290" s="55">
        <v>373</v>
      </c>
      <c r="G290" s="55">
        <v>61</v>
      </c>
      <c r="H290" s="55">
        <v>22</v>
      </c>
      <c r="I290" s="55">
        <v>8.67</v>
      </c>
      <c r="J290" s="55">
        <v>1.42</v>
      </c>
      <c r="K290" s="55">
        <v>0.51</v>
      </c>
      <c r="L290" s="55">
        <v>20</v>
      </c>
      <c r="M290" s="54" t="str">
        <f t="shared" si="23"/>
        <v>12-24 Months</v>
      </c>
      <c r="N290" s="54" t="str">
        <f t="shared" si="24"/>
        <v>24+ Months</v>
      </c>
      <c r="O290" s="54" t="s">
        <v>7</v>
      </c>
      <c r="P290" s="54">
        <f t="shared" si="20"/>
        <v>48</v>
      </c>
      <c r="Q290">
        <f t="shared" si="21"/>
        <v>48</v>
      </c>
      <c r="R290">
        <f t="shared" si="22"/>
        <v>48</v>
      </c>
    </row>
    <row r="291" spans="1:18" x14ac:dyDescent="0.2">
      <c r="A291" s="54">
        <v>124527</v>
      </c>
      <c r="B291" s="54" t="s">
        <v>560</v>
      </c>
      <c r="C291" s="55">
        <v>50</v>
      </c>
      <c r="D291" s="55">
        <v>37</v>
      </c>
      <c r="E291" s="55">
        <v>13</v>
      </c>
      <c r="F291" s="55">
        <v>9</v>
      </c>
      <c r="G291" s="55">
        <v>3</v>
      </c>
      <c r="H291" s="55">
        <v>0</v>
      </c>
      <c r="I291" s="55">
        <v>0.24</v>
      </c>
      <c r="J291" s="55">
        <v>0.08</v>
      </c>
      <c r="K291" s="55">
        <v>0</v>
      </c>
      <c r="L291" s="55">
        <v>21</v>
      </c>
      <c r="M291" s="54" t="str">
        <f t="shared" si="23"/>
        <v>12-24 Months</v>
      </c>
      <c r="N291" s="54" t="str">
        <f t="shared" si="24"/>
        <v>24+ Months</v>
      </c>
      <c r="O291" s="54" t="s">
        <v>7</v>
      </c>
      <c r="P291" s="54">
        <f t="shared" si="20"/>
        <v>0</v>
      </c>
      <c r="Q291">
        <f t="shared" si="21"/>
        <v>0</v>
      </c>
      <c r="R291">
        <f t="shared" si="22"/>
        <v>0</v>
      </c>
    </row>
    <row r="292" spans="1:18" x14ac:dyDescent="0.2">
      <c r="A292" s="54">
        <v>106752</v>
      </c>
      <c r="B292" s="54" t="s">
        <v>501</v>
      </c>
      <c r="C292" s="55">
        <v>55</v>
      </c>
      <c r="D292" s="55">
        <v>81</v>
      </c>
      <c r="E292" s="55">
        <v>13</v>
      </c>
      <c r="F292" s="55">
        <v>55</v>
      </c>
      <c r="G292" s="55">
        <v>55</v>
      </c>
      <c r="H292" s="55">
        <v>14</v>
      </c>
      <c r="I292" s="55">
        <v>0.68</v>
      </c>
      <c r="J292" s="55">
        <v>0.68</v>
      </c>
      <c r="K292" s="55">
        <v>0.17</v>
      </c>
      <c r="L292" s="55">
        <v>7</v>
      </c>
      <c r="M292" s="54" t="str">
        <f t="shared" si="23"/>
        <v>12-24 Months</v>
      </c>
      <c r="N292" s="54" t="str">
        <f t="shared" si="24"/>
        <v>24+ Months</v>
      </c>
      <c r="O292" s="54" t="s">
        <v>7</v>
      </c>
      <c r="P292" s="54">
        <f t="shared" si="20"/>
        <v>0</v>
      </c>
      <c r="Q292">
        <f t="shared" si="21"/>
        <v>0</v>
      </c>
      <c r="R292">
        <f t="shared" si="22"/>
        <v>0</v>
      </c>
    </row>
    <row r="293" spans="1:18" x14ac:dyDescent="0.2">
      <c r="A293" s="54">
        <v>315176</v>
      </c>
      <c r="B293" s="54" t="s">
        <v>582</v>
      </c>
      <c r="C293" s="55">
        <v>83</v>
      </c>
      <c r="D293" s="55">
        <v>64</v>
      </c>
      <c r="E293" s="55">
        <v>13</v>
      </c>
      <c r="F293" s="55">
        <v>5</v>
      </c>
      <c r="G293" s="55">
        <v>0</v>
      </c>
      <c r="H293" s="55">
        <v>0</v>
      </c>
      <c r="I293" s="55">
        <v>0.08</v>
      </c>
      <c r="J293" s="55">
        <v>0</v>
      </c>
      <c r="K293" s="55">
        <v>0</v>
      </c>
      <c r="L293" s="55">
        <v>0</v>
      </c>
      <c r="M293" s="54" t="str">
        <f t="shared" si="23"/>
        <v>12-24 Months</v>
      </c>
      <c r="N293" s="54" t="str">
        <f t="shared" si="24"/>
        <v>24+ Months</v>
      </c>
      <c r="O293" s="54" t="s">
        <v>7</v>
      </c>
      <c r="P293" s="54">
        <f t="shared" si="20"/>
        <v>0</v>
      </c>
      <c r="Q293">
        <f t="shared" si="21"/>
        <v>0</v>
      </c>
      <c r="R293">
        <f t="shared" si="22"/>
        <v>0</v>
      </c>
    </row>
    <row r="294" spans="1:18" x14ac:dyDescent="0.2">
      <c r="A294" s="54">
        <v>328240</v>
      </c>
      <c r="B294" s="54" t="s">
        <v>545</v>
      </c>
      <c r="C294" s="55">
        <v>88</v>
      </c>
      <c r="D294" s="55">
        <v>92</v>
      </c>
      <c r="E294" s="55">
        <v>13</v>
      </c>
      <c r="F294" s="55">
        <v>10</v>
      </c>
      <c r="G294" s="55">
        <v>0</v>
      </c>
      <c r="H294" s="55">
        <v>0</v>
      </c>
      <c r="I294" s="55">
        <v>0.11</v>
      </c>
      <c r="J294" s="55">
        <v>0</v>
      </c>
      <c r="K294" s="55">
        <v>0</v>
      </c>
      <c r="L294" s="55">
        <v>0</v>
      </c>
      <c r="M294" s="54" t="str">
        <f t="shared" si="23"/>
        <v>12-24 Months</v>
      </c>
      <c r="N294" s="54" t="str">
        <f t="shared" si="24"/>
        <v>24+ Months</v>
      </c>
      <c r="O294" s="54" t="s">
        <v>7</v>
      </c>
      <c r="P294" s="54">
        <f t="shared" si="20"/>
        <v>0</v>
      </c>
      <c r="Q294">
        <f t="shared" si="21"/>
        <v>0</v>
      </c>
      <c r="R294">
        <f t="shared" si="22"/>
        <v>0</v>
      </c>
    </row>
    <row r="295" spans="1:18" x14ac:dyDescent="0.2">
      <c r="A295" s="54">
        <v>147636</v>
      </c>
      <c r="B295" s="54" t="s">
        <v>230</v>
      </c>
      <c r="C295" s="55">
        <v>91</v>
      </c>
      <c r="D295" s="55">
        <v>97</v>
      </c>
      <c r="E295" s="55">
        <v>13</v>
      </c>
      <c r="F295" s="55">
        <v>237</v>
      </c>
      <c r="G295" s="55">
        <v>89</v>
      </c>
      <c r="H295" s="55">
        <v>63</v>
      </c>
      <c r="I295" s="55">
        <v>2.44</v>
      </c>
      <c r="J295" s="55">
        <v>0.92</v>
      </c>
      <c r="K295" s="55">
        <v>0.65</v>
      </c>
      <c r="L295" s="55">
        <v>73</v>
      </c>
      <c r="M295" s="54" t="str">
        <f t="shared" si="23"/>
        <v>12-24 Months</v>
      </c>
      <c r="N295" s="54" t="str">
        <f t="shared" si="24"/>
        <v>24+ Months</v>
      </c>
      <c r="O295" s="54" t="s">
        <v>7</v>
      </c>
      <c r="P295" s="54">
        <f t="shared" si="20"/>
        <v>91</v>
      </c>
      <c r="Q295">
        <f t="shared" si="21"/>
        <v>91</v>
      </c>
      <c r="R295">
        <f t="shared" si="22"/>
        <v>91</v>
      </c>
    </row>
    <row r="296" spans="1:18" x14ac:dyDescent="0.2">
      <c r="A296" s="54">
        <v>547648</v>
      </c>
      <c r="B296" s="54" t="s">
        <v>516</v>
      </c>
      <c r="C296" s="55">
        <v>100</v>
      </c>
      <c r="D296" s="55">
        <v>100</v>
      </c>
      <c r="E296" s="55">
        <v>13</v>
      </c>
      <c r="F296" s="55">
        <v>17</v>
      </c>
      <c r="G296" s="55">
        <v>0</v>
      </c>
      <c r="H296" s="55">
        <v>0</v>
      </c>
      <c r="I296" s="55">
        <v>0.17</v>
      </c>
      <c r="J296" s="55">
        <v>0</v>
      </c>
      <c r="K296" s="55">
        <v>0</v>
      </c>
      <c r="L296" s="55">
        <v>5</v>
      </c>
      <c r="M296" s="54" t="str">
        <f t="shared" si="23"/>
        <v>12-24 Months</v>
      </c>
      <c r="N296" s="54" t="str">
        <f t="shared" si="24"/>
        <v>24+ Months</v>
      </c>
      <c r="O296" s="54" t="s">
        <v>6</v>
      </c>
      <c r="P296" s="54">
        <f t="shared" si="20"/>
        <v>0</v>
      </c>
      <c r="Q296">
        <f t="shared" si="21"/>
        <v>0</v>
      </c>
      <c r="R296">
        <f t="shared" si="22"/>
        <v>0</v>
      </c>
    </row>
    <row r="297" spans="1:18" x14ac:dyDescent="0.2">
      <c r="A297" s="54">
        <v>108570</v>
      </c>
      <c r="B297" s="54" t="s">
        <v>150</v>
      </c>
      <c r="C297" s="55">
        <v>115</v>
      </c>
      <c r="D297" s="55">
        <v>100</v>
      </c>
      <c r="E297" s="55">
        <v>13</v>
      </c>
      <c r="F297" s="55">
        <v>226</v>
      </c>
      <c r="G297" s="55">
        <v>175</v>
      </c>
      <c r="H297" s="55">
        <v>17</v>
      </c>
      <c r="I297" s="55">
        <v>2.2599999999999998</v>
      </c>
      <c r="J297" s="55">
        <v>1.75</v>
      </c>
      <c r="K297" s="55">
        <v>0.17</v>
      </c>
      <c r="L297" s="55">
        <v>34</v>
      </c>
      <c r="M297" s="54" t="str">
        <f t="shared" si="23"/>
        <v>12-24 Months</v>
      </c>
      <c r="N297" s="54" t="str">
        <f t="shared" si="24"/>
        <v>24+ Months</v>
      </c>
      <c r="O297" s="54" t="s">
        <v>6</v>
      </c>
      <c r="P297" s="54">
        <f t="shared" si="20"/>
        <v>115</v>
      </c>
      <c r="Q297">
        <f t="shared" si="21"/>
        <v>115</v>
      </c>
      <c r="R297">
        <f t="shared" si="22"/>
        <v>115</v>
      </c>
    </row>
    <row r="298" spans="1:18" x14ac:dyDescent="0.2">
      <c r="A298" s="54">
        <v>106743</v>
      </c>
      <c r="B298" s="54" t="s">
        <v>504</v>
      </c>
      <c r="C298" s="55">
        <v>122</v>
      </c>
      <c r="D298" s="55">
        <v>125</v>
      </c>
      <c r="E298" s="55">
        <v>13</v>
      </c>
      <c r="F298" s="55">
        <v>18</v>
      </c>
      <c r="G298" s="55">
        <v>18</v>
      </c>
      <c r="H298" s="55">
        <v>0</v>
      </c>
      <c r="I298" s="55">
        <v>0.14000000000000001</v>
      </c>
      <c r="J298" s="55">
        <v>0.14000000000000001</v>
      </c>
      <c r="K298" s="55">
        <v>0</v>
      </c>
      <c r="L298" s="55">
        <v>0</v>
      </c>
      <c r="M298" s="54" t="str">
        <f t="shared" si="23"/>
        <v>12-24 Months</v>
      </c>
      <c r="N298" s="54" t="str">
        <f t="shared" si="24"/>
        <v>24+ Months</v>
      </c>
      <c r="O298" s="54" t="s">
        <v>6</v>
      </c>
      <c r="P298" s="54">
        <f t="shared" si="20"/>
        <v>0</v>
      </c>
      <c r="Q298">
        <f t="shared" si="21"/>
        <v>0</v>
      </c>
      <c r="R298">
        <f t="shared" si="22"/>
        <v>0</v>
      </c>
    </row>
    <row r="299" spans="1:18" x14ac:dyDescent="0.2">
      <c r="A299" s="54">
        <v>135368</v>
      </c>
      <c r="B299" s="54" t="s">
        <v>224</v>
      </c>
      <c r="C299" s="55">
        <v>139</v>
      </c>
      <c r="D299" s="55">
        <v>129</v>
      </c>
      <c r="E299" s="55">
        <v>13</v>
      </c>
      <c r="F299" s="55">
        <v>119</v>
      </c>
      <c r="G299" s="55">
        <v>25</v>
      </c>
      <c r="H299" s="55">
        <v>11</v>
      </c>
      <c r="I299" s="55">
        <v>0.92</v>
      </c>
      <c r="J299" s="55">
        <v>0.19</v>
      </c>
      <c r="K299" s="55">
        <v>0.09</v>
      </c>
      <c r="L299" s="55">
        <v>12</v>
      </c>
      <c r="M299" s="54" t="str">
        <f t="shared" si="23"/>
        <v>12-24 Months</v>
      </c>
      <c r="N299" s="54" t="str">
        <f t="shared" si="24"/>
        <v>24+ Months</v>
      </c>
      <c r="O299" s="54" t="s">
        <v>6</v>
      </c>
      <c r="P299" s="54">
        <f t="shared" si="20"/>
        <v>0</v>
      </c>
      <c r="Q299">
        <f t="shared" si="21"/>
        <v>0</v>
      </c>
      <c r="R299">
        <f t="shared" si="22"/>
        <v>0</v>
      </c>
    </row>
    <row r="300" spans="1:18" x14ac:dyDescent="0.2">
      <c r="A300" s="54" t="s">
        <v>536</v>
      </c>
      <c r="B300" s="54" t="s">
        <v>535</v>
      </c>
      <c r="C300" s="55">
        <v>139</v>
      </c>
      <c r="D300" s="55">
        <v>30</v>
      </c>
      <c r="E300" s="55">
        <v>13</v>
      </c>
      <c r="F300" s="55">
        <v>78</v>
      </c>
      <c r="G300" s="55">
        <v>4</v>
      </c>
      <c r="H300" s="55">
        <v>4</v>
      </c>
      <c r="I300" s="55">
        <v>2.6</v>
      </c>
      <c r="J300" s="55">
        <v>0.13</v>
      </c>
      <c r="K300" s="55">
        <v>0.13</v>
      </c>
      <c r="L300" s="55">
        <v>3</v>
      </c>
      <c r="M300" s="54" t="str">
        <f t="shared" si="23"/>
        <v>12-24 Months</v>
      </c>
      <c r="N300" s="54" t="str">
        <f t="shared" si="24"/>
        <v>24+ Months</v>
      </c>
      <c r="O300" s="54" t="s">
        <v>7</v>
      </c>
      <c r="P300" s="54">
        <f t="shared" si="20"/>
        <v>139</v>
      </c>
      <c r="Q300">
        <f t="shared" si="21"/>
        <v>139</v>
      </c>
      <c r="R300">
        <f t="shared" si="22"/>
        <v>0</v>
      </c>
    </row>
    <row r="301" spans="1:18" x14ac:dyDescent="0.2">
      <c r="A301" s="54">
        <v>109785</v>
      </c>
      <c r="B301" s="54" t="s">
        <v>187</v>
      </c>
      <c r="C301" s="55">
        <v>141</v>
      </c>
      <c r="D301" s="55">
        <v>115</v>
      </c>
      <c r="E301" s="55">
        <v>13</v>
      </c>
      <c r="F301" s="55">
        <v>219</v>
      </c>
      <c r="G301" s="55">
        <v>16</v>
      </c>
      <c r="H301" s="55">
        <v>0</v>
      </c>
      <c r="I301" s="55">
        <v>1.9</v>
      </c>
      <c r="J301" s="55">
        <v>0.14000000000000001</v>
      </c>
      <c r="K301" s="55">
        <v>0</v>
      </c>
      <c r="L301" s="55">
        <v>0</v>
      </c>
      <c r="M301" s="54" t="str">
        <f t="shared" si="23"/>
        <v>12-24 Months</v>
      </c>
      <c r="N301" s="54" t="str">
        <f t="shared" si="24"/>
        <v>24+ Months</v>
      </c>
      <c r="O301" s="54" t="s">
        <v>6</v>
      </c>
      <c r="P301" s="54">
        <f t="shared" si="20"/>
        <v>0</v>
      </c>
      <c r="Q301">
        <f t="shared" si="21"/>
        <v>0</v>
      </c>
      <c r="R301">
        <f t="shared" si="22"/>
        <v>0</v>
      </c>
    </row>
    <row r="302" spans="1:18" x14ac:dyDescent="0.2">
      <c r="A302" s="54">
        <v>116180</v>
      </c>
      <c r="B302" s="54" t="s">
        <v>375</v>
      </c>
      <c r="C302" s="55">
        <v>213</v>
      </c>
      <c r="D302" s="55">
        <v>87</v>
      </c>
      <c r="E302" s="55">
        <v>13</v>
      </c>
      <c r="F302" s="55">
        <v>198</v>
      </c>
      <c r="G302" s="55">
        <v>0</v>
      </c>
      <c r="H302" s="55">
        <v>0</v>
      </c>
      <c r="I302" s="55">
        <v>2.2799999999999998</v>
      </c>
      <c r="J302" s="55">
        <v>0</v>
      </c>
      <c r="K302" s="55">
        <v>0</v>
      </c>
      <c r="L302" s="55">
        <v>0</v>
      </c>
      <c r="M302" s="54" t="str">
        <f t="shared" si="23"/>
        <v>12-24 Months</v>
      </c>
      <c r="N302" s="54" t="str">
        <f t="shared" si="24"/>
        <v>24+ Months</v>
      </c>
      <c r="O302" s="54" t="s">
        <v>7</v>
      </c>
      <c r="P302" s="54">
        <f t="shared" si="20"/>
        <v>213</v>
      </c>
      <c r="Q302">
        <f t="shared" si="21"/>
        <v>213</v>
      </c>
      <c r="R302">
        <f t="shared" si="22"/>
        <v>0</v>
      </c>
    </row>
    <row r="303" spans="1:18" x14ac:dyDescent="0.2">
      <c r="A303" s="54">
        <v>107619</v>
      </c>
      <c r="B303" s="54" t="s">
        <v>123</v>
      </c>
      <c r="C303" s="55">
        <v>255</v>
      </c>
      <c r="D303" s="55">
        <v>255</v>
      </c>
      <c r="E303" s="55">
        <v>13</v>
      </c>
      <c r="F303" s="55">
        <v>753</v>
      </c>
      <c r="G303" s="55">
        <v>454</v>
      </c>
      <c r="H303" s="55">
        <v>193</v>
      </c>
      <c r="I303" s="55">
        <v>2.95</v>
      </c>
      <c r="J303" s="55">
        <v>1.78</v>
      </c>
      <c r="K303" s="55">
        <v>0.76</v>
      </c>
      <c r="L303" s="55">
        <v>22</v>
      </c>
      <c r="M303" s="54" t="str">
        <f t="shared" si="23"/>
        <v>12-24 Months</v>
      </c>
      <c r="N303" s="54" t="str">
        <f t="shared" si="24"/>
        <v>24+ Months</v>
      </c>
      <c r="O303" s="54" t="s">
        <v>6</v>
      </c>
      <c r="P303" s="54">
        <f t="shared" si="20"/>
        <v>255</v>
      </c>
      <c r="Q303">
        <f t="shared" si="21"/>
        <v>255</v>
      </c>
      <c r="R303">
        <f t="shared" si="22"/>
        <v>255</v>
      </c>
    </row>
    <row r="304" spans="1:18" x14ac:dyDescent="0.2">
      <c r="A304" s="54">
        <v>313790</v>
      </c>
      <c r="B304" s="54" t="s">
        <v>99</v>
      </c>
      <c r="C304" s="55">
        <v>295</v>
      </c>
      <c r="D304" s="55">
        <v>150</v>
      </c>
      <c r="E304" s="55">
        <v>13</v>
      </c>
      <c r="F304" s="55">
        <v>1107</v>
      </c>
      <c r="G304" s="55">
        <v>48</v>
      </c>
      <c r="H304" s="55">
        <v>30</v>
      </c>
      <c r="I304" s="55">
        <v>7.38</v>
      </c>
      <c r="J304" s="55">
        <v>0.32</v>
      </c>
      <c r="K304" s="55">
        <v>0.2</v>
      </c>
      <c r="L304" s="55">
        <v>0</v>
      </c>
      <c r="M304" s="54" t="str">
        <f t="shared" si="23"/>
        <v>12-24 Months</v>
      </c>
      <c r="N304" s="54" t="str">
        <f t="shared" si="24"/>
        <v>24+ Months</v>
      </c>
      <c r="O304" s="54" t="s">
        <v>6</v>
      </c>
      <c r="P304" s="54">
        <f t="shared" si="20"/>
        <v>295</v>
      </c>
      <c r="Q304">
        <f t="shared" si="21"/>
        <v>295</v>
      </c>
      <c r="R304">
        <f t="shared" si="22"/>
        <v>0</v>
      </c>
    </row>
    <row r="305" spans="1:18" x14ac:dyDescent="0.2">
      <c r="A305" s="54">
        <v>105506</v>
      </c>
      <c r="B305" s="54" t="s">
        <v>239</v>
      </c>
      <c r="C305" s="55">
        <v>394</v>
      </c>
      <c r="D305" s="55">
        <v>364</v>
      </c>
      <c r="E305" s="55">
        <v>13</v>
      </c>
      <c r="F305" s="55">
        <v>201</v>
      </c>
      <c r="G305" s="55">
        <v>116</v>
      </c>
      <c r="H305" s="55">
        <v>52</v>
      </c>
      <c r="I305" s="55">
        <v>0.55000000000000004</v>
      </c>
      <c r="J305" s="55">
        <v>0.32</v>
      </c>
      <c r="K305" s="55">
        <v>0.14000000000000001</v>
      </c>
      <c r="L305" s="55">
        <v>38</v>
      </c>
      <c r="M305" s="54" t="str">
        <f t="shared" si="23"/>
        <v>12-24 Months</v>
      </c>
      <c r="N305" s="54" t="str">
        <f t="shared" si="24"/>
        <v>24+ Months</v>
      </c>
      <c r="O305" s="54" t="s">
        <v>6</v>
      </c>
      <c r="P305" s="54">
        <f t="shared" si="20"/>
        <v>0</v>
      </c>
      <c r="Q305">
        <f t="shared" si="21"/>
        <v>0</v>
      </c>
      <c r="R305">
        <f t="shared" si="22"/>
        <v>0</v>
      </c>
    </row>
    <row r="306" spans="1:18" x14ac:dyDescent="0.2">
      <c r="A306" s="54">
        <v>108379</v>
      </c>
      <c r="B306" s="54" t="s">
        <v>391</v>
      </c>
      <c r="C306" s="55">
        <v>461</v>
      </c>
      <c r="D306" s="55">
        <v>368</v>
      </c>
      <c r="E306" s="55">
        <v>13</v>
      </c>
      <c r="F306" s="55">
        <v>58</v>
      </c>
      <c r="G306" s="55">
        <v>58</v>
      </c>
      <c r="H306" s="55">
        <v>39</v>
      </c>
      <c r="I306" s="55">
        <v>0.16</v>
      </c>
      <c r="J306" s="55">
        <v>0.16</v>
      </c>
      <c r="K306" s="55">
        <v>0.11</v>
      </c>
      <c r="L306" s="55">
        <v>133</v>
      </c>
      <c r="M306" s="54" t="str">
        <f t="shared" si="23"/>
        <v>12-24 Months</v>
      </c>
      <c r="N306" s="54" t="str">
        <f t="shared" si="24"/>
        <v>24+ Months</v>
      </c>
      <c r="O306" s="54" t="s">
        <v>6</v>
      </c>
      <c r="P306" s="54">
        <f t="shared" si="20"/>
        <v>0</v>
      </c>
      <c r="Q306">
        <f t="shared" si="21"/>
        <v>0</v>
      </c>
      <c r="R306">
        <f t="shared" si="22"/>
        <v>0</v>
      </c>
    </row>
    <row r="307" spans="1:18" x14ac:dyDescent="0.2">
      <c r="A307" s="54">
        <v>110142</v>
      </c>
      <c r="B307" s="54" t="s">
        <v>465</v>
      </c>
      <c r="C307" s="55">
        <v>482</v>
      </c>
      <c r="D307" s="55">
        <v>437</v>
      </c>
      <c r="E307" s="55">
        <v>13</v>
      </c>
      <c r="F307" s="55">
        <v>30</v>
      </c>
      <c r="G307" s="55">
        <v>18</v>
      </c>
      <c r="H307" s="55">
        <v>18</v>
      </c>
      <c r="I307" s="55">
        <v>7.0000000000000007E-2</v>
      </c>
      <c r="J307" s="55">
        <v>0.04</v>
      </c>
      <c r="K307" s="55">
        <v>0.04</v>
      </c>
      <c r="L307" s="55">
        <v>0</v>
      </c>
      <c r="M307" s="54" t="str">
        <f t="shared" si="23"/>
        <v>12-24 Months</v>
      </c>
      <c r="N307" s="54" t="str">
        <f t="shared" si="24"/>
        <v>24+ Months</v>
      </c>
      <c r="O307" s="54" t="s">
        <v>6</v>
      </c>
      <c r="P307" s="54">
        <f t="shared" si="20"/>
        <v>0</v>
      </c>
      <c r="Q307">
        <f t="shared" si="21"/>
        <v>0</v>
      </c>
      <c r="R307">
        <f t="shared" si="22"/>
        <v>0</v>
      </c>
    </row>
    <row r="308" spans="1:18" x14ac:dyDescent="0.2">
      <c r="A308" s="54">
        <v>126746</v>
      </c>
      <c r="B308" s="54" t="s">
        <v>163</v>
      </c>
      <c r="C308" s="55">
        <v>516</v>
      </c>
      <c r="D308" s="55">
        <v>516</v>
      </c>
      <c r="E308" s="55">
        <v>13</v>
      </c>
      <c r="F308" s="55">
        <v>557</v>
      </c>
      <c r="G308" s="55">
        <v>84</v>
      </c>
      <c r="H308" s="55">
        <v>78</v>
      </c>
      <c r="I308" s="55">
        <v>1.08</v>
      </c>
      <c r="J308" s="55">
        <v>0.16</v>
      </c>
      <c r="K308" s="55">
        <v>0.15</v>
      </c>
      <c r="L308" s="55">
        <v>3</v>
      </c>
      <c r="M308" s="54" t="str">
        <f t="shared" si="23"/>
        <v>12-24 Months</v>
      </c>
      <c r="N308" s="54" t="str">
        <f t="shared" si="24"/>
        <v>24+ Months</v>
      </c>
      <c r="O308" s="54" t="s">
        <v>6</v>
      </c>
      <c r="P308" s="54">
        <f t="shared" si="20"/>
        <v>0</v>
      </c>
      <c r="Q308">
        <f t="shared" si="21"/>
        <v>0</v>
      </c>
      <c r="R308">
        <f t="shared" si="22"/>
        <v>0</v>
      </c>
    </row>
    <row r="309" spans="1:18" x14ac:dyDescent="0.2">
      <c r="A309" s="54">
        <v>300074</v>
      </c>
      <c r="B309" s="54" t="s">
        <v>198</v>
      </c>
      <c r="C309" s="55">
        <v>1</v>
      </c>
      <c r="D309" s="55">
        <v>200</v>
      </c>
      <c r="E309" s="55">
        <v>12</v>
      </c>
      <c r="F309" s="55">
        <v>270</v>
      </c>
      <c r="G309" s="55">
        <v>247</v>
      </c>
      <c r="H309" s="55">
        <v>88</v>
      </c>
      <c r="I309" s="55">
        <v>1.35</v>
      </c>
      <c r="J309" s="55">
        <v>1.24</v>
      </c>
      <c r="K309" s="55">
        <v>0.44</v>
      </c>
      <c r="L309" s="55">
        <v>73</v>
      </c>
      <c r="M309" s="54" t="str">
        <f t="shared" si="23"/>
        <v>6-12 Months</v>
      </c>
      <c r="N309" s="54" t="str">
        <f t="shared" si="24"/>
        <v>18-24 Months</v>
      </c>
      <c r="O309" s="54" t="s">
        <v>6</v>
      </c>
      <c r="P309" s="54">
        <f t="shared" si="20"/>
        <v>1</v>
      </c>
      <c r="Q309">
        <f t="shared" si="21"/>
        <v>0</v>
      </c>
      <c r="R309">
        <f t="shared" si="22"/>
        <v>1</v>
      </c>
    </row>
    <row r="310" spans="1:18" x14ac:dyDescent="0.2">
      <c r="A310" s="54">
        <v>193887</v>
      </c>
      <c r="B310" s="54" t="s">
        <v>576</v>
      </c>
      <c r="C310" s="55">
        <v>8</v>
      </c>
      <c r="D310" s="55">
        <v>8</v>
      </c>
      <c r="E310" s="55">
        <v>12</v>
      </c>
      <c r="F310" s="55">
        <v>6</v>
      </c>
      <c r="G310" s="55">
        <v>0</v>
      </c>
      <c r="H310" s="55">
        <v>0</v>
      </c>
      <c r="I310" s="55">
        <v>0.75</v>
      </c>
      <c r="J310" s="55">
        <v>0</v>
      </c>
      <c r="K310" s="55">
        <v>0</v>
      </c>
      <c r="L310" s="55">
        <v>0</v>
      </c>
      <c r="M310" s="54" t="str">
        <f t="shared" si="23"/>
        <v>6-12 Months</v>
      </c>
      <c r="N310" s="54" t="str">
        <f t="shared" si="24"/>
        <v>18-24 Months</v>
      </c>
      <c r="O310" s="54" t="s">
        <v>7</v>
      </c>
      <c r="P310" s="54">
        <f t="shared" si="20"/>
        <v>0</v>
      </c>
      <c r="Q310">
        <f t="shared" si="21"/>
        <v>0</v>
      </c>
      <c r="R310">
        <f t="shared" si="22"/>
        <v>0</v>
      </c>
    </row>
    <row r="311" spans="1:18" x14ac:dyDescent="0.2">
      <c r="A311" s="54">
        <v>164535</v>
      </c>
      <c r="B311" s="54" t="s">
        <v>592</v>
      </c>
      <c r="C311" s="55">
        <v>10</v>
      </c>
      <c r="D311" s="55">
        <v>13</v>
      </c>
      <c r="E311" s="55">
        <v>12</v>
      </c>
      <c r="F311" s="55">
        <v>5</v>
      </c>
      <c r="G311" s="55">
        <v>0</v>
      </c>
      <c r="H311" s="55">
        <v>0</v>
      </c>
      <c r="I311" s="55">
        <v>0.38</v>
      </c>
      <c r="J311" s="55">
        <v>0</v>
      </c>
      <c r="K311" s="55">
        <v>0</v>
      </c>
      <c r="L311" s="55">
        <v>0</v>
      </c>
      <c r="M311" s="54" t="str">
        <f t="shared" si="23"/>
        <v>6-12 Months</v>
      </c>
      <c r="N311" s="54" t="str">
        <f t="shared" si="24"/>
        <v>18-24 Months</v>
      </c>
      <c r="O311" s="54" t="s">
        <v>7</v>
      </c>
      <c r="P311" s="54">
        <f t="shared" si="20"/>
        <v>0</v>
      </c>
      <c r="Q311">
        <f t="shared" si="21"/>
        <v>0</v>
      </c>
      <c r="R311">
        <f t="shared" si="22"/>
        <v>0</v>
      </c>
    </row>
    <row r="312" spans="1:18" x14ac:dyDescent="0.2">
      <c r="A312" s="54">
        <v>108283</v>
      </c>
      <c r="B312" s="54" t="s">
        <v>396</v>
      </c>
      <c r="C312" s="55">
        <v>12</v>
      </c>
      <c r="D312" s="55">
        <v>12</v>
      </c>
      <c r="E312" s="55">
        <v>12</v>
      </c>
      <c r="F312" s="55">
        <v>62</v>
      </c>
      <c r="G312" s="55">
        <v>8</v>
      </c>
      <c r="H312" s="55">
        <v>2</v>
      </c>
      <c r="I312" s="55">
        <v>5.17</v>
      </c>
      <c r="J312" s="55">
        <v>0.67</v>
      </c>
      <c r="K312" s="55">
        <v>0.17</v>
      </c>
      <c r="L312" s="55">
        <v>4</v>
      </c>
      <c r="M312" s="54" t="str">
        <f t="shared" si="23"/>
        <v>6-12 Months</v>
      </c>
      <c r="N312" s="54" t="str">
        <f t="shared" si="24"/>
        <v>18-24 Months</v>
      </c>
      <c r="O312" s="54" t="s">
        <v>7</v>
      </c>
      <c r="P312" s="54">
        <f t="shared" si="20"/>
        <v>12</v>
      </c>
      <c r="Q312">
        <f t="shared" si="21"/>
        <v>12</v>
      </c>
      <c r="R312">
        <f t="shared" si="22"/>
        <v>0</v>
      </c>
    </row>
    <row r="313" spans="1:18" x14ac:dyDescent="0.2">
      <c r="A313" s="54">
        <v>128775</v>
      </c>
      <c r="B313" s="54" t="s">
        <v>109</v>
      </c>
      <c r="C313" s="55">
        <v>12</v>
      </c>
      <c r="D313" s="55">
        <v>586</v>
      </c>
      <c r="E313" s="55">
        <v>12</v>
      </c>
      <c r="F313" s="55">
        <v>1030</v>
      </c>
      <c r="G313" s="55">
        <v>435</v>
      </c>
      <c r="H313" s="55">
        <v>86</v>
      </c>
      <c r="I313" s="55">
        <v>1.76</v>
      </c>
      <c r="J313" s="55">
        <v>0.74</v>
      </c>
      <c r="K313" s="55">
        <v>0.15</v>
      </c>
      <c r="L313" s="55">
        <v>284</v>
      </c>
      <c r="M313" s="54" t="str">
        <f t="shared" si="23"/>
        <v>6-12 Months</v>
      </c>
      <c r="N313" s="54" t="str">
        <f t="shared" si="24"/>
        <v>18-24 Months</v>
      </c>
      <c r="O313" s="54" t="s">
        <v>5</v>
      </c>
      <c r="P313" s="54">
        <f t="shared" si="20"/>
        <v>0</v>
      </c>
      <c r="Q313">
        <f t="shared" si="21"/>
        <v>0</v>
      </c>
      <c r="R313">
        <f t="shared" si="22"/>
        <v>0</v>
      </c>
    </row>
    <row r="314" spans="1:18" x14ac:dyDescent="0.2">
      <c r="A314" s="54">
        <v>549754</v>
      </c>
      <c r="B314" s="54" t="s">
        <v>483</v>
      </c>
      <c r="C314" s="55">
        <v>16</v>
      </c>
      <c r="D314" s="55">
        <v>25</v>
      </c>
      <c r="E314" s="55">
        <v>12</v>
      </c>
      <c r="F314" s="55">
        <v>22</v>
      </c>
      <c r="G314" s="55">
        <v>10</v>
      </c>
      <c r="H314" s="55">
        <v>1</v>
      </c>
      <c r="I314" s="55">
        <v>0.88</v>
      </c>
      <c r="J314" s="55">
        <v>0.4</v>
      </c>
      <c r="K314" s="55">
        <v>0.04</v>
      </c>
      <c r="L314" s="55">
        <v>1</v>
      </c>
      <c r="M314" s="54" t="str">
        <f t="shared" si="23"/>
        <v>6-12 Months</v>
      </c>
      <c r="N314" s="54" t="str">
        <f t="shared" si="24"/>
        <v>18-24 Months</v>
      </c>
      <c r="O314" s="54" t="s">
        <v>7</v>
      </c>
      <c r="P314" s="54">
        <f t="shared" si="20"/>
        <v>0</v>
      </c>
      <c r="Q314">
        <f t="shared" si="21"/>
        <v>0</v>
      </c>
      <c r="R314">
        <f t="shared" si="22"/>
        <v>0</v>
      </c>
    </row>
    <row r="315" spans="1:18" x14ac:dyDescent="0.2">
      <c r="A315" s="54">
        <v>311450</v>
      </c>
      <c r="B315" s="54" t="s">
        <v>306</v>
      </c>
      <c r="C315" s="55">
        <v>17</v>
      </c>
      <c r="D315" s="55">
        <v>14</v>
      </c>
      <c r="E315" s="55">
        <v>12</v>
      </c>
      <c r="F315" s="55">
        <v>49</v>
      </c>
      <c r="G315" s="55">
        <v>6</v>
      </c>
      <c r="H315" s="55">
        <v>0</v>
      </c>
      <c r="I315" s="55">
        <v>3.5</v>
      </c>
      <c r="J315" s="55">
        <v>0.43</v>
      </c>
      <c r="K315" s="55">
        <v>0</v>
      </c>
      <c r="L315" s="55">
        <v>0</v>
      </c>
      <c r="M315" s="54" t="str">
        <f t="shared" si="23"/>
        <v>6-12 Months</v>
      </c>
      <c r="N315" s="54" t="str">
        <f t="shared" si="24"/>
        <v>18-24 Months</v>
      </c>
      <c r="O315" s="54" t="s">
        <v>7</v>
      </c>
      <c r="P315" s="54">
        <f t="shared" si="20"/>
        <v>17</v>
      </c>
      <c r="Q315">
        <f t="shared" si="21"/>
        <v>17</v>
      </c>
      <c r="R315">
        <f t="shared" si="22"/>
        <v>0</v>
      </c>
    </row>
    <row r="316" spans="1:18" x14ac:dyDescent="0.2">
      <c r="A316" s="54">
        <v>323651</v>
      </c>
      <c r="B316" s="54" t="s">
        <v>650</v>
      </c>
      <c r="C316" s="55">
        <v>20</v>
      </c>
      <c r="D316" s="55">
        <v>20</v>
      </c>
      <c r="E316" s="55">
        <v>12</v>
      </c>
      <c r="F316" s="55">
        <v>0</v>
      </c>
      <c r="G316" s="55">
        <v>0</v>
      </c>
      <c r="H316" s="55">
        <v>0</v>
      </c>
      <c r="I316" s="55">
        <v>0</v>
      </c>
      <c r="J316" s="55">
        <v>0</v>
      </c>
      <c r="K316" s="55">
        <v>0</v>
      </c>
      <c r="L316" s="55">
        <v>0</v>
      </c>
      <c r="M316" s="54" t="str">
        <f t="shared" si="23"/>
        <v>6-12 Months</v>
      </c>
      <c r="N316" s="54" t="str">
        <f t="shared" si="24"/>
        <v>18-24 Months</v>
      </c>
      <c r="O316" s="54" t="s">
        <v>7</v>
      </c>
      <c r="P316" s="54">
        <f t="shared" si="20"/>
        <v>0</v>
      </c>
      <c r="Q316">
        <f t="shared" si="21"/>
        <v>0</v>
      </c>
      <c r="R316">
        <f t="shared" si="22"/>
        <v>0</v>
      </c>
    </row>
    <row r="317" spans="1:18" x14ac:dyDescent="0.2">
      <c r="A317" s="54">
        <v>193186</v>
      </c>
      <c r="B317" s="54" t="s">
        <v>604</v>
      </c>
      <c r="C317" s="55">
        <v>27</v>
      </c>
      <c r="D317" s="55">
        <v>25</v>
      </c>
      <c r="E317" s="55">
        <v>12</v>
      </c>
      <c r="F317" s="55">
        <v>2</v>
      </c>
      <c r="G317" s="55">
        <v>0</v>
      </c>
      <c r="H317" s="55">
        <v>0</v>
      </c>
      <c r="I317" s="55">
        <v>0.08</v>
      </c>
      <c r="J317" s="55">
        <v>0</v>
      </c>
      <c r="K317" s="55">
        <v>0</v>
      </c>
      <c r="L317" s="55">
        <v>0</v>
      </c>
      <c r="M317" s="54" t="str">
        <f t="shared" si="23"/>
        <v>6-12 Months</v>
      </c>
      <c r="N317" s="54" t="str">
        <f t="shared" si="24"/>
        <v>18-24 Months</v>
      </c>
      <c r="O317" s="54" t="s">
        <v>7</v>
      </c>
      <c r="P317" s="54">
        <f t="shared" si="20"/>
        <v>0</v>
      </c>
      <c r="Q317">
        <f t="shared" si="21"/>
        <v>0</v>
      </c>
      <c r="R317">
        <f t="shared" si="22"/>
        <v>0</v>
      </c>
    </row>
    <row r="318" spans="1:18" x14ac:dyDescent="0.2">
      <c r="A318" s="54">
        <v>322803</v>
      </c>
      <c r="B318" s="54" t="s">
        <v>401</v>
      </c>
      <c r="C318" s="55">
        <v>31</v>
      </c>
      <c r="D318" s="55">
        <v>12</v>
      </c>
      <c r="E318" s="55">
        <v>12</v>
      </c>
      <c r="F318" s="55">
        <v>56</v>
      </c>
      <c r="G318" s="55">
        <v>10</v>
      </c>
      <c r="H318" s="55">
        <v>0</v>
      </c>
      <c r="I318" s="55">
        <v>4.67</v>
      </c>
      <c r="J318" s="55">
        <v>0.83</v>
      </c>
      <c r="K318" s="55">
        <v>0</v>
      </c>
      <c r="L318" s="55">
        <v>11</v>
      </c>
      <c r="M318" s="54" t="str">
        <f t="shared" si="23"/>
        <v>6-12 Months</v>
      </c>
      <c r="N318" s="54" t="str">
        <f t="shared" si="24"/>
        <v>18-24 Months</v>
      </c>
      <c r="O318" s="54" t="s">
        <v>7</v>
      </c>
      <c r="P318" s="54">
        <f t="shared" si="20"/>
        <v>31</v>
      </c>
      <c r="Q318">
        <f t="shared" si="21"/>
        <v>31</v>
      </c>
      <c r="R318">
        <f t="shared" si="22"/>
        <v>31</v>
      </c>
    </row>
    <row r="319" spans="1:18" x14ac:dyDescent="0.2">
      <c r="A319" s="54">
        <v>475505</v>
      </c>
      <c r="B319" s="54" t="s">
        <v>677</v>
      </c>
      <c r="C319" s="55">
        <v>31</v>
      </c>
      <c r="D319" s="55">
        <v>31</v>
      </c>
      <c r="E319" s="55">
        <v>12</v>
      </c>
      <c r="F319" s="55">
        <v>0</v>
      </c>
      <c r="G319" s="55">
        <v>0</v>
      </c>
      <c r="H319" s="55">
        <v>0</v>
      </c>
      <c r="I319" s="55">
        <v>0</v>
      </c>
      <c r="J319" s="55">
        <v>0</v>
      </c>
      <c r="K319" s="55">
        <v>0</v>
      </c>
      <c r="L319" s="55">
        <v>3</v>
      </c>
      <c r="M319" s="54" t="str">
        <f t="shared" si="23"/>
        <v>6-12 Months</v>
      </c>
      <c r="N319" s="54" t="str">
        <f t="shared" si="24"/>
        <v>18-24 Months</v>
      </c>
      <c r="O319" s="54" t="s">
        <v>7</v>
      </c>
      <c r="P319" s="54">
        <f t="shared" si="20"/>
        <v>0</v>
      </c>
      <c r="Q319">
        <f t="shared" si="21"/>
        <v>0</v>
      </c>
      <c r="R319">
        <f t="shared" si="22"/>
        <v>0</v>
      </c>
    </row>
    <row r="320" spans="1:18" x14ac:dyDescent="0.2">
      <c r="A320" s="54">
        <v>109740</v>
      </c>
      <c r="B320" s="54" t="s">
        <v>514</v>
      </c>
      <c r="C320" s="55">
        <v>40</v>
      </c>
      <c r="D320" s="55">
        <v>10</v>
      </c>
      <c r="E320" s="55">
        <v>12</v>
      </c>
      <c r="F320" s="55">
        <v>14</v>
      </c>
      <c r="G320" s="55">
        <v>5</v>
      </c>
      <c r="H320" s="55">
        <v>2</v>
      </c>
      <c r="I320" s="55">
        <v>1.4</v>
      </c>
      <c r="J320" s="55">
        <v>0.5</v>
      </c>
      <c r="K320" s="55">
        <v>0.2</v>
      </c>
      <c r="L320" s="55">
        <v>1</v>
      </c>
      <c r="M320" s="54" t="str">
        <f t="shared" si="23"/>
        <v>6-12 Months</v>
      </c>
      <c r="N320" s="54" t="str">
        <f t="shared" si="24"/>
        <v>18-24 Months</v>
      </c>
      <c r="O320" s="54" t="s">
        <v>7</v>
      </c>
      <c r="P320" s="54">
        <f t="shared" si="20"/>
        <v>0</v>
      </c>
      <c r="Q320">
        <f t="shared" si="21"/>
        <v>0</v>
      </c>
      <c r="R320">
        <f t="shared" si="22"/>
        <v>0</v>
      </c>
    </row>
    <row r="321" spans="1:18" x14ac:dyDescent="0.2">
      <c r="A321" s="54">
        <v>110252</v>
      </c>
      <c r="B321" s="54" t="s">
        <v>494</v>
      </c>
      <c r="C321" s="55">
        <v>41</v>
      </c>
      <c r="D321" s="55">
        <v>41</v>
      </c>
      <c r="E321" s="55">
        <v>12</v>
      </c>
      <c r="F321" s="55">
        <v>29</v>
      </c>
      <c r="G321" s="55">
        <v>20</v>
      </c>
      <c r="H321" s="55">
        <v>20</v>
      </c>
      <c r="I321" s="55">
        <v>0.71</v>
      </c>
      <c r="J321" s="55">
        <v>0.49</v>
      </c>
      <c r="K321" s="55">
        <v>0.49</v>
      </c>
      <c r="L321" s="55">
        <v>8</v>
      </c>
      <c r="M321" s="54" t="str">
        <f t="shared" si="23"/>
        <v>6-12 Months</v>
      </c>
      <c r="N321" s="54" t="str">
        <f t="shared" si="24"/>
        <v>18-24 Months</v>
      </c>
      <c r="O321" s="54" t="s">
        <v>7</v>
      </c>
      <c r="P321" s="54">
        <f t="shared" si="20"/>
        <v>0</v>
      </c>
      <c r="Q321">
        <f t="shared" si="21"/>
        <v>0</v>
      </c>
      <c r="R321">
        <f t="shared" si="22"/>
        <v>0</v>
      </c>
    </row>
    <row r="322" spans="1:18" x14ac:dyDescent="0.2">
      <c r="A322" s="54">
        <v>557455</v>
      </c>
      <c r="B322" s="54" t="s">
        <v>597</v>
      </c>
      <c r="C322" s="55">
        <v>43</v>
      </c>
      <c r="D322" s="55">
        <v>43</v>
      </c>
      <c r="E322" s="55">
        <v>12</v>
      </c>
      <c r="F322" s="55">
        <v>3</v>
      </c>
      <c r="G322" s="55">
        <v>0</v>
      </c>
      <c r="H322" s="55">
        <v>0</v>
      </c>
      <c r="I322" s="55">
        <v>0.04</v>
      </c>
      <c r="J322" s="55">
        <v>0</v>
      </c>
      <c r="K322" s="55">
        <v>0</v>
      </c>
      <c r="L322" s="55">
        <v>0</v>
      </c>
      <c r="M322" s="54" t="str">
        <f t="shared" si="23"/>
        <v>6-12 Months</v>
      </c>
      <c r="N322" s="54" t="str">
        <f t="shared" si="24"/>
        <v>18-24 Months</v>
      </c>
      <c r="O322" s="54" t="s">
        <v>7</v>
      </c>
      <c r="P322" s="54">
        <f t="shared" ref="P322:P385" si="25">IF(I322&gt;=2, C322, IF(J322&gt;=0.75, C322, 0))</f>
        <v>0</v>
      </c>
      <c r="Q322">
        <f t="shared" ref="Q322:Q385" si="26">IF(I322&gt;=2, C322, IF(AND(J322&gt;=0.75, D322&gt;=550), C322, 0))</f>
        <v>0</v>
      </c>
      <c r="R322">
        <f t="shared" ref="R322:R385" si="27">IF(J322&gt;=0.75, C322, 0)</f>
        <v>0</v>
      </c>
    </row>
    <row r="323" spans="1:18" x14ac:dyDescent="0.2">
      <c r="A323" s="54">
        <v>422611</v>
      </c>
      <c r="B323" s="54" t="s">
        <v>445</v>
      </c>
      <c r="C323" s="55">
        <v>62</v>
      </c>
      <c r="D323" s="55">
        <v>72</v>
      </c>
      <c r="E323" s="55">
        <v>12</v>
      </c>
      <c r="F323" s="55">
        <v>36</v>
      </c>
      <c r="G323" s="55">
        <v>0</v>
      </c>
      <c r="H323" s="55">
        <v>0</v>
      </c>
      <c r="I323" s="55">
        <v>0.5</v>
      </c>
      <c r="J323" s="55">
        <v>0</v>
      </c>
      <c r="K323" s="55">
        <v>0</v>
      </c>
      <c r="L323" s="55">
        <v>0</v>
      </c>
      <c r="M323" s="54" t="str">
        <f t="shared" ref="M323:M386" si="28">IF(E323&lt;6,"0-6 Months", IF(E323&lt;13, "6-12 Months", IF(E323&lt;19, "12-24 Months", IF(E323&lt;25, "12-24 Months", "24+ Months"))))</f>
        <v>6-12 Months</v>
      </c>
      <c r="N323" s="54" t="str">
        <f t="shared" ref="N323:N386" si="29">IF(E323&lt;6,"12-18 Months", IF(E323&lt;13, "18-24 Months", "24+ Months"))</f>
        <v>18-24 Months</v>
      </c>
      <c r="O323" s="54" t="s">
        <v>7</v>
      </c>
      <c r="P323" s="54">
        <f t="shared" si="25"/>
        <v>0</v>
      </c>
      <c r="Q323">
        <f t="shared" si="26"/>
        <v>0</v>
      </c>
      <c r="R323">
        <f t="shared" si="27"/>
        <v>0</v>
      </c>
    </row>
    <row r="324" spans="1:18" x14ac:dyDescent="0.2">
      <c r="A324" s="54">
        <v>320631</v>
      </c>
      <c r="B324" s="54" t="s">
        <v>304</v>
      </c>
      <c r="C324" s="55">
        <v>63</v>
      </c>
      <c r="D324" s="55">
        <v>63</v>
      </c>
      <c r="E324" s="55">
        <v>12</v>
      </c>
      <c r="F324" s="55">
        <v>163</v>
      </c>
      <c r="G324" s="55">
        <v>23</v>
      </c>
      <c r="H324" s="55">
        <v>8</v>
      </c>
      <c r="I324" s="55">
        <v>2.59</v>
      </c>
      <c r="J324" s="55">
        <v>0.37</v>
      </c>
      <c r="K324" s="55">
        <v>0.13</v>
      </c>
      <c r="L324" s="55">
        <v>28</v>
      </c>
      <c r="M324" s="54" t="str">
        <f t="shared" si="28"/>
        <v>6-12 Months</v>
      </c>
      <c r="N324" s="54" t="str">
        <f t="shared" si="29"/>
        <v>18-24 Months</v>
      </c>
      <c r="O324" s="54" t="s">
        <v>7</v>
      </c>
      <c r="P324" s="54">
        <f t="shared" si="25"/>
        <v>63</v>
      </c>
      <c r="Q324">
        <f t="shared" si="26"/>
        <v>63</v>
      </c>
      <c r="R324">
        <f t="shared" si="27"/>
        <v>0</v>
      </c>
    </row>
    <row r="325" spans="1:18" x14ac:dyDescent="0.2">
      <c r="A325" s="54">
        <v>320923</v>
      </c>
      <c r="B325" s="54" t="s">
        <v>206</v>
      </c>
      <c r="C325" s="55">
        <v>67</v>
      </c>
      <c r="D325" s="55">
        <v>80</v>
      </c>
      <c r="E325" s="55">
        <v>12</v>
      </c>
      <c r="F325" s="55">
        <v>300</v>
      </c>
      <c r="G325" s="55">
        <v>94</v>
      </c>
      <c r="H325" s="55">
        <v>41</v>
      </c>
      <c r="I325" s="55">
        <v>3.75</v>
      </c>
      <c r="J325" s="55">
        <v>1.18</v>
      </c>
      <c r="K325" s="55">
        <v>0.51</v>
      </c>
      <c r="L325" s="55">
        <v>0</v>
      </c>
      <c r="M325" s="54" t="str">
        <f t="shared" si="28"/>
        <v>6-12 Months</v>
      </c>
      <c r="N325" s="54" t="str">
        <f t="shared" si="29"/>
        <v>18-24 Months</v>
      </c>
      <c r="O325" s="54" t="s">
        <v>7</v>
      </c>
      <c r="P325" s="54">
        <f t="shared" si="25"/>
        <v>67</v>
      </c>
      <c r="Q325">
        <f t="shared" si="26"/>
        <v>67</v>
      </c>
      <c r="R325">
        <f t="shared" si="27"/>
        <v>67</v>
      </c>
    </row>
    <row r="326" spans="1:18" x14ac:dyDescent="0.2">
      <c r="A326" s="54">
        <v>187670</v>
      </c>
      <c r="B326" s="54" t="s">
        <v>121</v>
      </c>
      <c r="C326" s="55">
        <v>75</v>
      </c>
      <c r="D326" s="55">
        <v>105</v>
      </c>
      <c r="E326" s="55">
        <v>12</v>
      </c>
      <c r="F326" s="55">
        <v>768</v>
      </c>
      <c r="G326" s="55">
        <v>383</v>
      </c>
      <c r="H326" s="55">
        <v>68</v>
      </c>
      <c r="I326" s="55">
        <v>7.31</v>
      </c>
      <c r="J326" s="55">
        <v>3.65</v>
      </c>
      <c r="K326" s="55">
        <v>0.65</v>
      </c>
      <c r="L326" s="55">
        <v>140</v>
      </c>
      <c r="M326" s="54" t="str">
        <f t="shared" si="28"/>
        <v>6-12 Months</v>
      </c>
      <c r="N326" s="54" t="str">
        <f t="shared" si="29"/>
        <v>18-24 Months</v>
      </c>
      <c r="O326" s="54" t="s">
        <v>6</v>
      </c>
      <c r="P326" s="54">
        <f t="shared" si="25"/>
        <v>75</v>
      </c>
      <c r="Q326">
        <f t="shared" si="26"/>
        <v>75</v>
      </c>
      <c r="R326">
        <f t="shared" si="27"/>
        <v>75</v>
      </c>
    </row>
    <row r="327" spans="1:18" x14ac:dyDescent="0.2">
      <c r="A327" s="54">
        <v>336327</v>
      </c>
      <c r="B327" s="54" t="s">
        <v>372</v>
      </c>
      <c r="C327" s="55">
        <v>82</v>
      </c>
      <c r="D327" s="55">
        <v>119</v>
      </c>
      <c r="E327" s="55">
        <v>12</v>
      </c>
      <c r="F327" s="55">
        <v>66</v>
      </c>
      <c r="G327" s="55">
        <v>33</v>
      </c>
      <c r="H327" s="55">
        <v>1</v>
      </c>
      <c r="I327" s="55">
        <v>0.55000000000000004</v>
      </c>
      <c r="J327" s="55">
        <v>0.28000000000000003</v>
      </c>
      <c r="K327" s="55">
        <v>0.01</v>
      </c>
      <c r="L327" s="55">
        <v>6</v>
      </c>
      <c r="M327" s="54" t="str">
        <f t="shared" si="28"/>
        <v>6-12 Months</v>
      </c>
      <c r="N327" s="54" t="str">
        <f t="shared" si="29"/>
        <v>18-24 Months</v>
      </c>
      <c r="O327" s="54" t="s">
        <v>6</v>
      </c>
      <c r="P327" s="54">
        <f t="shared" si="25"/>
        <v>0</v>
      </c>
      <c r="Q327">
        <f t="shared" si="26"/>
        <v>0</v>
      </c>
      <c r="R327">
        <f t="shared" si="27"/>
        <v>0</v>
      </c>
    </row>
    <row r="328" spans="1:18" x14ac:dyDescent="0.2">
      <c r="A328" s="54">
        <v>109719</v>
      </c>
      <c r="B328" s="54" t="s">
        <v>356</v>
      </c>
      <c r="C328" s="55">
        <v>85</v>
      </c>
      <c r="D328" s="55">
        <v>61</v>
      </c>
      <c r="E328" s="55">
        <v>12</v>
      </c>
      <c r="F328" s="55">
        <v>37</v>
      </c>
      <c r="G328" s="55">
        <v>14</v>
      </c>
      <c r="H328" s="55">
        <v>0</v>
      </c>
      <c r="I328" s="55">
        <v>0.61</v>
      </c>
      <c r="J328" s="55">
        <v>0.23</v>
      </c>
      <c r="K328" s="55">
        <v>0</v>
      </c>
      <c r="L328" s="55">
        <v>9</v>
      </c>
      <c r="M328" s="54" t="str">
        <f t="shared" si="28"/>
        <v>6-12 Months</v>
      </c>
      <c r="N328" s="54" t="str">
        <f t="shared" si="29"/>
        <v>18-24 Months</v>
      </c>
      <c r="O328" s="54" t="s">
        <v>7</v>
      </c>
      <c r="P328" s="54">
        <f t="shared" si="25"/>
        <v>0</v>
      </c>
      <c r="Q328">
        <f t="shared" si="26"/>
        <v>0</v>
      </c>
      <c r="R328">
        <f t="shared" si="27"/>
        <v>0</v>
      </c>
    </row>
    <row r="329" spans="1:18" x14ac:dyDescent="0.2">
      <c r="A329" s="54">
        <v>551353</v>
      </c>
      <c r="B329" s="54" t="s">
        <v>264</v>
      </c>
      <c r="C329" s="55">
        <v>85</v>
      </c>
      <c r="D329" s="55">
        <v>85</v>
      </c>
      <c r="E329" s="55">
        <v>12</v>
      </c>
      <c r="F329" s="55">
        <v>159</v>
      </c>
      <c r="G329" s="55">
        <v>159</v>
      </c>
      <c r="H329" s="55">
        <v>47</v>
      </c>
      <c r="I329" s="55">
        <v>1.87</v>
      </c>
      <c r="J329" s="55">
        <v>1.87</v>
      </c>
      <c r="K329" s="55">
        <v>0.55000000000000004</v>
      </c>
      <c r="L329" s="55">
        <v>29</v>
      </c>
      <c r="M329" s="54" t="str">
        <f t="shared" si="28"/>
        <v>6-12 Months</v>
      </c>
      <c r="N329" s="54" t="str">
        <f t="shared" si="29"/>
        <v>18-24 Months</v>
      </c>
      <c r="O329" s="54" t="s">
        <v>7</v>
      </c>
      <c r="P329" s="54">
        <f t="shared" si="25"/>
        <v>85</v>
      </c>
      <c r="Q329">
        <f t="shared" si="26"/>
        <v>0</v>
      </c>
      <c r="R329">
        <f t="shared" si="27"/>
        <v>85</v>
      </c>
    </row>
    <row r="330" spans="1:18" x14ac:dyDescent="0.2">
      <c r="A330" s="54">
        <v>117733</v>
      </c>
      <c r="B330" s="54" t="s">
        <v>161</v>
      </c>
      <c r="C330" s="55">
        <v>90</v>
      </c>
      <c r="D330" s="55">
        <v>90</v>
      </c>
      <c r="E330" s="55">
        <v>12</v>
      </c>
      <c r="F330" s="55">
        <v>373</v>
      </c>
      <c r="G330" s="55">
        <v>205</v>
      </c>
      <c r="H330" s="55">
        <v>205</v>
      </c>
      <c r="I330" s="55">
        <v>4.1399999999999997</v>
      </c>
      <c r="J330" s="55">
        <v>2.2799999999999998</v>
      </c>
      <c r="K330" s="55">
        <v>2.2799999999999998</v>
      </c>
      <c r="L330" s="55">
        <v>0</v>
      </c>
      <c r="M330" s="54" t="str">
        <f t="shared" si="28"/>
        <v>6-12 Months</v>
      </c>
      <c r="N330" s="54" t="str">
        <f t="shared" si="29"/>
        <v>18-24 Months</v>
      </c>
      <c r="O330" s="54" t="s">
        <v>7</v>
      </c>
      <c r="P330" s="54">
        <f t="shared" si="25"/>
        <v>90</v>
      </c>
      <c r="Q330">
        <f t="shared" si="26"/>
        <v>90</v>
      </c>
      <c r="R330">
        <f t="shared" si="27"/>
        <v>90</v>
      </c>
    </row>
    <row r="331" spans="1:18" x14ac:dyDescent="0.2">
      <c r="A331" s="54">
        <v>459269</v>
      </c>
      <c r="B331" s="54" t="s">
        <v>112</v>
      </c>
      <c r="C331" s="55">
        <v>104</v>
      </c>
      <c r="D331" s="55">
        <v>10</v>
      </c>
      <c r="E331" s="55">
        <v>12</v>
      </c>
      <c r="F331" s="55">
        <v>345</v>
      </c>
      <c r="G331" s="55">
        <v>265</v>
      </c>
      <c r="H331" s="55">
        <v>22</v>
      </c>
      <c r="I331" s="55">
        <v>34.5</v>
      </c>
      <c r="J331" s="55">
        <v>26.5</v>
      </c>
      <c r="K331" s="55">
        <v>2.2000000000000002</v>
      </c>
      <c r="L331" s="55">
        <v>9</v>
      </c>
      <c r="M331" s="54" t="str">
        <f t="shared" si="28"/>
        <v>6-12 Months</v>
      </c>
      <c r="N331" s="54" t="str">
        <f t="shared" si="29"/>
        <v>18-24 Months</v>
      </c>
      <c r="O331" s="54" t="s">
        <v>7</v>
      </c>
      <c r="P331" s="54">
        <f t="shared" si="25"/>
        <v>104</v>
      </c>
      <c r="Q331">
        <f t="shared" si="26"/>
        <v>104</v>
      </c>
      <c r="R331">
        <f t="shared" si="27"/>
        <v>104</v>
      </c>
    </row>
    <row r="332" spans="1:18" x14ac:dyDescent="0.2">
      <c r="A332" s="54">
        <v>112511</v>
      </c>
      <c r="B332" s="54" t="s">
        <v>325</v>
      </c>
      <c r="C332" s="55">
        <v>129</v>
      </c>
      <c r="D332" s="55">
        <v>73</v>
      </c>
      <c r="E332" s="55">
        <v>12</v>
      </c>
      <c r="F332" s="55">
        <v>206</v>
      </c>
      <c r="G332" s="55">
        <v>173</v>
      </c>
      <c r="H332" s="55">
        <v>17</v>
      </c>
      <c r="I332" s="55">
        <v>2.82</v>
      </c>
      <c r="J332" s="55">
        <v>2.37</v>
      </c>
      <c r="K332" s="55">
        <v>0.23</v>
      </c>
      <c r="L332" s="55">
        <v>148</v>
      </c>
      <c r="M332" s="54" t="str">
        <f t="shared" si="28"/>
        <v>6-12 Months</v>
      </c>
      <c r="N332" s="54" t="str">
        <f t="shared" si="29"/>
        <v>18-24 Months</v>
      </c>
      <c r="O332" s="54" t="s">
        <v>7</v>
      </c>
      <c r="P332" s="54">
        <f t="shared" si="25"/>
        <v>129</v>
      </c>
      <c r="Q332">
        <f t="shared" si="26"/>
        <v>129</v>
      </c>
      <c r="R332">
        <f t="shared" si="27"/>
        <v>129</v>
      </c>
    </row>
    <row r="333" spans="1:18" x14ac:dyDescent="0.2">
      <c r="A333" s="54">
        <v>107787</v>
      </c>
      <c r="B333" s="54" t="s">
        <v>411</v>
      </c>
      <c r="C333" s="55">
        <v>224</v>
      </c>
      <c r="D333" s="55">
        <v>287</v>
      </c>
      <c r="E333" s="55">
        <v>12</v>
      </c>
      <c r="F333" s="55">
        <v>99</v>
      </c>
      <c r="G333" s="55">
        <v>0</v>
      </c>
      <c r="H333" s="55">
        <v>0</v>
      </c>
      <c r="I333" s="55">
        <v>0.34</v>
      </c>
      <c r="J333" s="55">
        <v>0</v>
      </c>
      <c r="K333" s="55">
        <v>0</v>
      </c>
      <c r="L333" s="55">
        <v>0</v>
      </c>
      <c r="M333" s="54" t="str">
        <f t="shared" si="28"/>
        <v>6-12 Months</v>
      </c>
      <c r="N333" s="54" t="str">
        <f t="shared" si="29"/>
        <v>18-24 Months</v>
      </c>
      <c r="O333" s="54" t="s">
        <v>6</v>
      </c>
      <c r="P333" s="54">
        <f t="shared" si="25"/>
        <v>0</v>
      </c>
      <c r="Q333">
        <f t="shared" si="26"/>
        <v>0</v>
      </c>
      <c r="R333">
        <f t="shared" si="27"/>
        <v>0</v>
      </c>
    </row>
    <row r="334" spans="1:18" x14ac:dyDescent="0.2">
      <c r="A334" s="54">
        <v>107137</v>
      </c>
      <c r="B334" s="54" t="s">
        <v>422</v>
      </c>
      <c r="C334" s="55">
        <v>255</v>
      </c>
      <c r="D334" s="55">
        <v>64</v>
      </c>
      <c r="E334" s="55">
        <v>12</v>
      </c>
      <c r="F334" s="55">
        <v>34</v>
      </c>
      <c r="G334" s="55">
        <v>26</v>
      </c>
      <c r="H334" s="55">
        <v>11</v>
      </c>
      <c r="I334" s="55">
        <v>0.53</v>
      </c>
      <c r="J334" s="55">
        <v>0.41</v>
      </c>
      <c r="K334" s="55">
        <v>0.17</v>
      </c>
      <c r="L334" s="55">
        <v>0</v>
      </c>
      <c r="M334" s="54" t="str">
        <f t="shared" si="28"/>
        <v>6-12 Months</v>
      </c>
      <c r="N334" s="54" t="str">
        <f t="shared" si="29"/>
        <v>18-24 Months</v>
      </c>
      <c r="O334" s="54" t="s">
        <v>7</v>
      </c>
      <c r="P334" s="54">
        <f t="shared" si="25"/>
        <v>0</v>
      </c>
      <c r="Q334">
        <f t="shared" si="26"/>
        <v>0</v>
      </c>
      <c r="R334">
        <f t="shared" si="27"/>
        <v>0</v>
      </c>
    </row>
    <row r="335" spans="1:18" x14ac:dyDescent="0.2">
      <c r="A335" s="54">
        <v>158327</v>
      </c>
      <c r="B335" s="54" t="s">
        <v>615</v>
      </c>
      <c r="C335" s="55">
        <v>323</v>
      </c>
      <c r="D335" s="55">
        <v>263</v>
      </c>
      <c r="E335" s="55">
        <v>12</v>
      </c>
      <c r="F335" s="55">
        <v>1</v>
      </c>
      <c r="G335" s="55">
        <v>0</v>
      </c>
      <c r="H335" s="55">
        <v>0</v>
      </c>
      <c r="I335" s="55">
        <v>0</v>
      </c>
      <c r="J335" s="55">
        <v>0</v>
      </c>
      <c r="K335" s="55">
        <v>0</v>
      </c>
      <c r="L335" s="55">
        <v>0</v>
      </c>
      <c r="M335" s="54" t="str">
        <f t="shared" si="28"/>
        <v>6-12 Months</v>
      </c>
      <c r="N335" s="54" t="str">
        <f t="shared" si="29"/>
        <v>18-24 Months</v>
      </c>
      <c r="O335" s="54" t="s">
        <v>6</v>
      </c>
      <c r="P335" s="54">
        <f t="shared" si="25"/>
        <v>0</v>
      </c>
      <c r="Q335">
        <f t="shared" si="26"/>
        <v>0</v>
      </c>
      <c r="R335">
        <f t="shared" si="27"/>
        <v>0</v>
      </c>
    </row>
    <row r="336" spans="1:18" x14ac:dyDescent="0.2">
      <c r="A336" s="54">
        <v>132097</v>
      </c>
      <c r="B336" s="54" t="s">
        <v>424</v>
      </c>
      <c r="C336" s="55">
        <v>377</v>
      </c>
      <c r="D336" s="55">
        <v>785</v>
      </c>
      <c r="E336" s="55">
        <v>12</v>
      </c>
      <c r="F336" s="55">
        <v>49</v>
      </c>
      <c r="G336" s="55">
        <v>12</v>
      </c>
      <c r="H336" s="55">
        <v>0</v>
      </c>
      <c r="I336" s="55">
        <v>0.06</v>
      </c>
      <c r="J336" s="55">
        <v>0.02</v>
      </c>
      <c r="K336" s="55">
        <v>0</v>
      </c>
      <c r="L336" s="55">
        <v>0</v>
      </c>
      <c r="M336" s="54" t="str">
        <f t="shared" si="28"/>
        <v>6-12 Months</v>
      </c>
      <c r="N336" s="54" t="str">
        <f t="shared" si="29"/>
        <v>18-24 Months</v>
      </c>
      <c r="O336" s="54" t="s">
        <v>5</v>
      </c>
      <c r="P336" s="54">
        <f t="shared" si="25"/>
        <v>0</v>
      </c>
      <c r="Q336">
        <f t="shared" si="26"/>
        <v>0</v>
      </c>
      <c r="R336">
        <f t="shared" si="27"/>
        <v>0</v>
      </c>
    </row>
    <row r="337" spans="1:18" x14ac:dyDescent="0.2">
      <c r="A337" s="54">
        <v>454367</v>
      </c>
      <c r="B337" s="54" t="s">
        <v>177</v>
      </c>
      <c r="C337" s="55">
        <v>403</v>
      </c>
      <c r="D337" s="55">
        <v>400</v>
      </c>
      <c r="E337" s="55">
        <v>12</v>
      </c>
      <c r="F337" s="55">
        <v>326</v>
      </c>
      <c r="G337" s="55">
        <v>53</v>
      </c>
      <c r="H337" s="55">
        <v>52</v>
      </c>
      <c r="I337" s="55">
        <v>0.82</v>
      </c>
      <c r="J337" s="55">
        <v>0.13</v>
      </c>
      <c r="K337" s="55">
        <v>0.13</v>
      </c>
      <c r="L337" s="55">
        <v>2</v>
      </c>
      <c r="M337" s="54" t="str">
        <f t="shared" si="28"/>
        <v>6-12 Months</v>
      </c>
      <c r="N337" s="54" t="str">
        <f t="shared" si="29"/>
        <v>18-24 Months</v>
      </c>
      <c r="O337" s="54" t="s">
        <v>6</v>
      </c>
      <c r="P337" s="54">
        <f t="shared" si="25"/>
        <v>0</v>
      </c>
      <c r="Q337">
        <f t="shared" si="26"/>
        <v>0</v>
      </c>
      <c r="R337">
        <f t="shared" si="27"/>
        <v>0</v>
      </c>
    </row>
    <row r="338" spans="1:18" x14ac:dyDescent="0.2">
      <c r="A338" s="54">
        <v>133567</v>
      </c>
      <c r="B338" s="54" t="s">
        <v>382</v>
      </c>
      <c r="C338" s="55">
        <v>432</v>
      </c>
      <c r="D338" s="55">
        <v>340</v>
      </c>
      <c r="E338" s="55">
        <v>12</v>
      </c>
      <c r="F338" s="55">
        <v>75</v>
      </c>
      <c r="G338" s="55">
        <v>0</v>
      </c>
      <c r="H338" s="55">
        <v>0</v>
      </c>
      <c r="I338" s="55">
        <v>0.22</v>
      </c>
      <c r="J338" s="55">
        <v>0</v>
      </c>
      <c r="K338" s="55">
        <v>0</v>
      </c>
      <c r="L338" s="55">
        <v>0</v>
      </c>
      <c r="M338" s="54" t="str">
        <f t="shared" si="28"/>
        <v>6-12 Months</v>
      </c>
      <c r="N338" s="54" t="str">
        <f t="shared" si="29"/>
        <v>18-24 Months</v>
      </c>
      <c r="O338" s="54" t="s">
        <v>6</v>
      </c>
      <c r="P338" s="54">
        <f t="shared" si="25"/>
        <v>0</v>
      </c>
      <c r="Q338">
        <f t="shared" si="26"/>
        <v>0</v>
      </c>
      <c r="R338">
        <f t="shared" si="27"/>
        <v>0</v>
      </c>
    </row>
    <row r="339" spans="1:18" x14ac:dyDescent="0.2">
      <c r="A339" s="54">
        <v>108787</v>
      </c>
      <c r="B339" s="54" t="s">
        <v>209</v>
      </c>
      <c r="C339" s="55">
        <v>898</v>
      </c>
      <c r="D339" s="55">
        <v>645</v>
      </c>
      <c r="E339" s="55">
        <v>12</v>
      </c>
      <c r="F339" s="55">
        <v>869</v>
      </c>
      <c r="G339" s="55">
        <v>3</v>
      </c>
      <c r="H339" s="55">
        <v>3</v>
      </c>
      <c r="I339" s="55">
        <v>1.35</v>
      </c>
      <c r="J339" s="55">
        <v>0</v>
      </c>
      <c r="K339" s="55">
        <v>0</v>
      </c>
      <c r="L339" s="55">
        <v>3</v>
      </c>
      <c r="M339" s="54" t="str">
        <f t="shared" si="28"/>
        <v>6-12 Months</v>
      </c>
      <c r="N339" s="54" t="str">
        <f t="shared" si="29"/>
        <v>18-24 Months</v>
      </c>
      <c r="O339" s="54" t="s">
        <v>5</v>
      </c>
      <c r="P339" s="54">
        <f t="shared" si="25"/>
        <v>0</v>
      </c>
      <c r="Q339">
        <f t="shared" si="26"/>
        <v>0</v>
      </c>
      <c r="R339">
        <f t="shared" si="27"/>
        <v>0</v>
      </c>
    </row>
    <row r="340" spans="1:18" x14ac:dyDescent="0.2">
      <c r="A340" s="54">
        <v>323664</v>
      </c>
      <c r="B340" s="54" t="s">
        <v>115</v>
      </c>
      <c r="C340" s="55">
        <v>1240</v>
      </c>
      <c r="D340" s="55">
        <v>1335</v>
      </c>
      <c r="E340" s="55">
        <v>12</v>
      </c>
      <c r="F340" s="55">
        <v>1542</v>
      </c>
      <c r="G340" s="55">
        <v>1152</v>
      </c>
      <c r="H340" s="55">
        <v>106</v>
      </c>
      <c r="I340" s="55">
        <v>1.1599999999999999</v>
      </c>
      <c r="J340" s="55">
        <v>0.86</v>
      </c>
      <c r="K340" s="55">
        <v>0.08</v>
      </c>
      <c r="L340" s="55">
        <v>614</v>
      </c>
      <c r="M340" s="54" t="str">
        <f t="shared" si="28"/>
        <v>6-12 Months</v>
      </c>
      <c r="N340" s="54" t="str">
        <f t="shared" si="29"/>
        <v>18-24 Months</v>
      </c>
      <c r="O340" s="54" t="s">
        <v>5</v>
      </c>
      <c r="P340" s="54">
        <f t="shared" si="25"/>
        <v>1240</v>
      </c>
      <c r="Q340">
        <f t="shared" si="26"/>
        <v>1240</v>
      </c>
      <c r="R340">
        <f t="shared" si="27"/>
        <v>1240</v>
      </c>
    </row>
    <row r="341" spans="1:18" x14ac:dyDescent="0.2">
      <c r="A341" s="54">
        <v>114073</v>
      </c>
      <c r="B341" s="54" t="s">
        <v>73</v>
      </c>
      <c r="C341" s="55">
        <v>1328</v>
      </c>
      <c r="D341" s="55">
        <v>2750</v>
      </c>
      <c r="E341" s="55">
        <v>12</v>
      </c>
      <c r="F341" s="55">
        <v>4255</v>
      </c>
      <c r="G341" s="55">
        <v>3335</v>
      </c>
      <c r="H341" s="55">
        <v>2387</v>
      </c>
      <c r="I341" s="55">
        <v>1.55</v>
      </c>
      <c r="J341" s="55">
        <v>1.21</v>
      </c>
      <c r="K341" s="55">
        <v>0.87</v>
      </c>
      <c r="L341" s="55">
        <v>174</v>
      </c>
      <c r="M341" s="54" t="str">
        <f t="shared" si="28"/>
        <v>6-12 Months</v>
      </c>
      <c r="N341" s="54" t="str">
        <f t="shared" si="29"/>
        <v>18-24 Months</v>
      </c>
      <c r="O341" s="54" t="s">
        <v>5</v>
      </c>
      <c r="P341" s="54">
        <f t="shared" si="25"/>
        <v>1328</v>
      </c>
      <c r="Q341">
        <f t="shared" si="26"/>
        <v>1328</v>
      </c>
      <c r="R341">
        <f t="shared" si="27"/>
        <v>1328</v>
      </c>
    </row>
    <row r="342" spans="1:18" x14ac:dyDescent="0.2">
      <c r="A342" s="54">
        <v>114264</v>
      </c>
      <c r="B342" s="54" t="s">
        <v>274</v>
      </c>
      <c r="C342" s="55">
        <v>3</v>
      </c>
      <c r="D342" s="55">
        <v>65</v>
      </c>
      <c r="E342" s="55">
        <v>11</v>
      </c>
      <c r="F342" s="55">
        <v>149</v>
      </c>
      <c r="G342" s="55">
        <v>34</v>
      </c>
      <c r="H342" s="55">
        <v>4</v>
      </c>
      <c r="I342" s="55">
        <v>1.66</v>
      </c>
      <c r="J342" s="55">
        <v>0.38</v>
      </c>
      <c r="K342" s="55">
        <v>0.04</v>
      </c>
      <c r="L342" s="55">
        <v>10</v>
      </c>
      <c r="M342" s="54" t="str">
        <f t="shared" si="28"/>
        <v>6-12 Months</v>
      </c>
      <c r="N342" s="54" t="str">
        <f t="shared" si="29"/>
        <v>18-24 Months</v>
      </c>
      <c r="O342" s="54" t="s">
        <v>7</v>
      </c>
      <c r="P342" s="54">
        <f t="shared" si="25"/>
        <v>0</v>
      </c>
      <c r="Q342">
        <f t="shared" si="26"/>
        <v>0</v>
      </c>
      <c r="R342">
        <f t="shared" si="27"/>
        <v>0</v>
      </c>
    </row>
    <row r="343" spans="1:18" x14ac:dyDescent="0.2">
      <c r="A343" s="54">
        <v>323066</v>
      </c>
      <c r="B343" s="54" t="s">
        <v>623</v>
      </c>
      <c r="C343" s="55">
        <v>6</v>
      </c>
      <c r="D343" s="55">
        <v>4</v>
      </c>
      <c r="E343" s="55">
        <v>11</v>
      </c>
      <c r="F343" s="55">
        <v>0</v>
      </c>
      <c r="G343" s="55">
        <v>0</v>
      </c>
      <c r="H343" s="55">
        <v>0</v>
      </c>
      <c r="I343" s="55">
        <v>0</v>
      </c>
      <c r="J343" s="55">
        <v>0</v>
      </c>
      <c r="K343" s="55">
        <v>0</v>
      </c>
      <c r="L343" s="55">
        <v>0</v>
      </c>
      <c r="M343" s="54" t="str">
        <f t="shared" si="28"/>
        <v>6-12 Months</v>
      </c>
      <c r="N343" s="54" t="str">
        <f t="shared" si="29"/>
        <v>18-24 Months</v>
      </c>
      <c r="O343" s="54" t="s">
        <v>7</v>
      </c>
      <c r="P343" s="54">
        <f t="shared" si="25"/>
        <v>0</v>
      </c>
      <c r="Q343">
        <f t="shared" si="26"/>
        <v>0</v>
      </c>
      <c r="R343">
        <f t="shared" si="27"/>
        <v>0</v>
      </c>
    </row>
    <row r="344" spans="1:18" x14ac:dyDescent="0.2">
      <c r="A344" s="54">
        <v>107189</v>
      </c>
      <c r="B344" s="54" t="s">
        <v>437</v>
      </c>
      <c r="C344" s="55">
        <v>16</v>
      </c>
      <c r="D344" s="55">
        <v>25</v>
      </c>
      <c r="E344" s="55">
        <v>11</v>
      </c>
      <c r="F344" s="55">
        <v>27</v>
      </c>
      <c r="G344" s="55">
        <v>21</v>
      </c>
      <c r="H344" s="55">
        <v>0</v>
      </c>
      <c r="I344" s="55">
        <v>1.08</v>
      </c>
      <c r="J344" s="55">
        <v>0.84</v>
      </c>
      <c r="K344" s="55">
        <v>0</v>
      </c>
      <c r="L344" s="55">
        <v>0</v>
      </c>
      <c r="M344" s="54" t="str">
        <f t="shared" si="28"/>
        <v>6-12 Months</v>
      </c>
      <c r="N344" s="54" t="str">
        <f t="shared" si="29"/>
        <v>18-24 Months</v>
      </c>
      <c r="O344" s="54" t="s">
        <v>7</v>
      </c>
      <c r="P344" s="54">
        <f t="shared" si="25"/>
        <v>16</v>
      </c>
      <c r="Q344">
        <f t="shared" si="26"/>
        <v>0</v>
      </c>
      <c r="R344">
        <f t="shared" si="27"/>
        <v>16</v>
      </c>
    </row>
    <row r="345" spans="1:18" x14ac:dyDescent="0.2">
      <c r="A345" s="54">
        <v>172684</v>
      </c>
      <c r="B345" s="54" t="s">
        <v>530</v>
      </c>
      <c r="C345" s="55">
        <v>20</v>
      </c>
      <c r="D345" s="55">
        <v>15</v>
      </c>
      <c r="E345" s="55">
        <v>11</v>
      </c>
      <c r="F345" s="55">
        <v>12</v>
      </c>
      <c r="G345" s="55">
        <v>4</v>
      </c>
      <c r="H345" s="55">
        <v>4</v>
      </c>
      <c r="I345" s="55">
        <v>0.8</v>
      </c>
      <c r="J345" s="55">
        <v>0.27</v>
      </c>
      <c r="K345" s="55">
        <v>0.27</v>
      </c>
      <c r="L345" s="55">
        <v>0</v>
      </c>
      <c r="M345" s="54" t="str">
        <f t="shared" si="28"/>
        <v>6-12 Months</v>
      </c>
      <c r="N345" s="54" t="str">
        <f t="shared" si="29"/>
        <v>18-24 Months</v>
      </c>
      <c r="O345" s="54" t="s">
        <v>7</v>
      </c>
      <c r="P345" s="54">
        <f t="shared" si="25"/>
        <v>0</v>
      </c>
      <c r="Q345">
        <f t="shared" si="26"/>
        <v>0</v>
      </c>
      <c r="R345">
        <f t="shared" si="27"/>
        <v>0</v>
      </c>
    </row>
    <row r="346" spans="1:18" x14ac:dyDescent="0.2">
      <c r="A346" s="54">
        <v>108766</v>
      </c>
      <c r="B346" s="54" t="s">
        <v>433</v>
      </c>
      <c r="C346" s="55">
        <v>24</v>
      </c>
      <c r="D346" s="55">
        <v>19</v>
      </c>
      <c r="E346" s="55">
        <v>11</v>
      </c>
      <c r="F346" s="55">
        <v>51</v>
      </c>
      <c r="G346" s="55">
        <v>22</v>
      </c>
      <c r="H346" s="55">
        <v>0</v>
      </c>
      <c r="I346" s="55">
        <v>2.68</v>
      </c>
      <c r="J346" s="55">
        <v>1.1599999999999999</v>
      </c>
      <c r="K346" s="55">
        <v>0</v>
      </c>
      <c r="L346" s="55">
        <v>68</v>
      </c>
      <c r="M346" s="54" t="str">
        <f t="shared" si="28"/>
        <v>6-12 Months</v>
      </c>
      <c r="N346" s="54" t="str">
        <f t="shared" si="29"/>
        <v>18-24 Months</v>
      </c>
      <c r="O346" s="54" t="s">
        <v>7</v>
      </c>
      <c r="P346" s="54">
        <f t="shared" si="25"/>
        <v>24</v>
      </c>
      <c r="Q346">
        <f t="shared" si="26"/>
        <v>24</v>
      </c>
      <c r="R346">
        <f t="shared" si="27"/>
        <v>24</v>
      </c>
    </row>
    <row r="347" spans="1:18" x14ac:dyDescent="0.2">
      <c r="A347" s="54">
        <v>108462</v>
      </c>
      <c r="B347" s="54" t="s">
        <v>191</v>
      </c>
      <c r="C347" s="55">
        <v>25</v>
      </c>
      <c r="D347" s="55">
        <v>25</v>
      </c>
      <c r="E347" s="55">
        <v>11</v>
      </c>
      <c r="F347" s="55">
        <v>309</v>
      </c>
      <c r="G347" s="55">
        <v>184</v>
      </c>
      <c r="H347" s="55">
        <v>5</v>
      </c>
      <c r="I347" s="55">
        <v>12.36</v>
      </c>
      <c r="J347" s="55">
        <v>7.36</v>
      </c>
      <c r="K347" s="55">
        <v>0.2</v>
      </c>
      <c r="L347" s="55">
        <v>67</v>
      </c>
      <c r="M347" s="54" t="str">
        <f t="shared" si="28"/>
        <v>6-12 Months</v>
      </c>
      <c r="N347" s="54" t="str">
        <f t="shared" si="29"/>
        <v>18-24 Months</v>
      </c>
      <c r="O347" s="54" t="s">
        <v>7</v>
      </c>
      <c r="P347" s="54">
        <f t="shared" si="25"/>
        <v>25</v>
      </c>
      <c r="Q347">
        <f t="shared" si="26"/>
        <v>25</v>
      </c>
      <c r="R347">
        <f t="shared" si="27"/>
        <v>25</v>
      </c>
    </row>
    <row r="348" spans="1:18" x14ac:dyDescent="0.2">
      <c r="A348" s="54">
        <v>316023</v>
      </c>
      <c r="B348" s="54" t="s">
        <v>456</v>
      </c>
      <c r="C348" s="55">
        <v>28</v>
      </c>
      <c r="D348" s="55">
        <v>26</v>
      </c>
      <c r="E348" s="55">
        <v>11</v>
      </c>
      <c r="F348" s="55">
        <v>32</v>
      </c>
      <c r="G348" s="55">
        <v>7</v>
      </c>
      <c r="H348" s="55">
        <v>0</v>
      </c>
      <c r="I348" s="55">
        <v>1.23</v>
      </c>
      <c r="J348" s="55">
        <v>0.27</v>
      </c>
      <c r="K348" s="55">
        <v>0</v>
      </c>
      <c r="L348" s="55">
        <v>0</v>
      </c>
      <c r="M348" s="54" t="str">
        <f t="shared" si="28"/>
        <v>6-12 Months</v>
      </c>
      <c r="N348" s="54" t="str">
        <f t="shared" si="29"/>
        <v>18-24 Months</v>
      </c>
      <c r="O348" s="54" t="s">
        <v>7</v>
      </c>
      <c r="P348" s="54">
        <f t="shared" si="25"/>
        <v>0</v>
      </c>
      <c r="Q348">
        <f t="shared" si="26"/>
        <v>0</v>
      </c>
      <c r="R348">
        <f t="shared" si="27"/>
        <v>0</v>
      </c>
    </row>
    <row r="349" spans="1:18" x14ac:dyDescent="0.2">
      <c r="A349" s="54">
        <v>552247</v>
      </c>
      <c r="B349" s="54" t="s">
        <v>350</v>
      </c>
      <c r="C349" s="55">
        <v>30</v>
      </c>
      <c r="D349" s="55">
        <v>25</v>
      </c>
      <c r="E349" s="55">
        <v>11</v>
      </c>
      <c r="F349" s="55">
        <v>65</v>
      </c>
      <c r="G349" s="55">
        <v>27</v>
      </c>
      <c r="H349" s="55">
        <v>11</v>
      </c>
      <c r="I349" s="55">
        <v>2.6</v>
      </c>
      <c r="J349" s="55">
        <v>1.08</v>
      </c>
      <c r="K349" s="55">
        <v>0.44</v>
      </c>
      <c r="L349" s="55">
        <v>11</v>
      </c>
      <c r="M349" s="54" t="str">
        <f t="shared" si="28"/>
        <v>6-12 Months</v>
      </c>
      <c r="N349" s="54" t="str">
        <f t="shared" si="29"/>
        <v>18-24 Months</v>
      </c>
      <c r="O349" s="54" t="s">
        <v>7</v>
      </c>
      <c r="P349" s="54">
        <f t="shared" si="25"/>
        <v>30</v>
      </c>
      <c r="Q349">
        <f t="shared" si="26"/>
        <v>30</v>
      </c>
      <c r="R349">
        <f t="shared" si="27"/>
        <v>30</v>
      </c>
    </row>
    <row r="350" spans="1:18" x14ac:dyDescent="0.2">
      <c r="A350" s="54">
        <v>127501</v>
      </c>
      <c r="B350" s="54" t="s">
        <v>303</v>
      </c>
      <c r="C350" s="55">
        <v>33</v>
      </c>
      <c r="D350" s="55">
        <v>28</v>
      </c>
      <c r="E350" s="55">
        <v>11</v>
      </c>
      <c r="F350" s="55">
        <v>49</v>
      </c>
      <c r="G350" s="55">
        <v>28</v>
      </c>
      <c r="H350" s="55">
        <v>0</v>
      </c>
      <c r="I350" s="55">
        <v>1.75</v>
      </c>
      <c r="J350" s="55">
        <v>1</v>
      </c>
      <c r="K350" s="55">
        <v>0</v>
      </c>
      <c r="L350" s="55">
        <v>0</v>
      </c>
      <c r="M350" s="54" t="str">
        <f t="shared" si="28"/>
        <v>6-12 Months</v>
      </c>
      <c r="N350" s="54" t="str">
        <f t="shared" si="29"/>
        <v>18-24 Months</v>
      </c>
      <c r="O350" s="54" t="s">
        <v>7</v>
      </c>
      <c r="P350" s="54">
        <f t="shared" si="25"/>
        <v>33</v>
      </c>
      <c r="Q350">
        <f t="shared" si="26"/>
        <v>0</v>
      </c>
      <c r="R350">
        <f t="shared" si="27"/>
        <v>33</v>
      </c>
    </row>
    <row r="351" spans="1:18" x14ac:dyDescent="0.2">
      <c r="A351" s="54">
        <v>108635</v>
      </c>
      <c r="B351" s="54" t="s">
        <v>275</v>
      </c>
      <c r="C351" s="55">
        <v>41</v>
      </c>
      <c r="D351" s="55">
        <v>109</v>
      </c>
      <c r="E351" s="55">
        <v>11</v>
      </c>
      <c r="F351" s="55">
        <v>154</v>
      </c>
      <c r="G351" s="55">
        <v>75</v>
      </c>
      <c r="H351" s="55">
        <v>10</v>
      </c>
      <c r="I351" s="55">
        <v>1.41</v>
      </c>
      <c r="J351" s="55">
        <v>0.69</v>
      </c>
      <c r="K351" s="55">
        <v>0.09</v>
      </c>
      <c r="L351" s="55">
        <v>70</v>
      </c>
      <c r="M351" s="54" t="str">
        <f t="shared" si="28"/>
        <v>6-12 Months</v>
      </c>
      <c r="N351" s="54" t="str">
        <f t="shared" si="29"/>
        <v>18-24 Months</v>
      </c>
      <c r="O351" s="54" t="s">
        <v>6</v>
      </c>
      <c r="P351" s="54">
        <f t="shared" si="25"/>
        <v>0</v>
      </c>
      <c r="Q351">
        <f t="shared" si="26"/>
        <v>0</v>
      </c>
      <c r="R351">
        <f t="shared" si="27"/>
        <v>0</v>
      </c>
    </row>
    <row r="352" spans="1:18" x14ac:dyDescent="0.2">
      <c r="A352" s="54">
        <v>156114</v>
      </c>
      <c r="B352" s="54" t="s">
        <v>469</v>
      </c>
      <c r="C352" s="55">
        <v>47</v>
      </c>
      <c r="D352" s="55">
        <v>25</v>
      </c>
      <c r="E352" s="55">
        <v>11</v>
      </c>
      <c r="F352" s="55">
        <v>28</v>
      </c>
      <c r="G352" s="55">
        <v>0</v>
      </c>
      <c r="H352" s="55">
        <v>0</v>
      </c>
      <c r="I352" s="55">
        <v>1.1200000000000001</v>
      </c>
      <c r="J352" s="55">
        <v>0</v>
      </c>
      <c r="K352" s="55">
        <v>0</v>
      </c>
      <c r="L352" s="55">
        <v>0</v>
      </c>
      <c r="M352" s="54" t="str">
        <f t="shared" si="28"/>
        <v>6-12 Months</v>
      </c>
      <c r="N352" s="54" t="str">
        <f t="shared" si="29"/>
        <v>18-24 Months</v>
      </c>
      <c r="O352" s="54" t="s">
        <v>7</v>
      </c>
      <c r="P352" s="54">
        <f t="shared" si="25"/>
        <v>0</v>
      </c>
      <c r="Q352">
        <f t="shared" si="26"/>
        <v>0</v>
      </c>
      <c r="R352">
        <f t="shared" si="27"/>
        <v>0</v>
      </c>
    </row>
    <row r="353" spans="1:18" x14ac:dyDescent="0.2">
      <c r="A353" s="54">
        <v>114763</v>
      </c>
      <c r="B353" s="54" t="s">
        <v>276</v>
      </c>
      <c r="C353" s="55">
        <v>54</v>
      </c>
      <c r="D353" s="55">
        <v>45</v>
      </c>
      <c r="E353" s="55">
        <v>11</v>
      </c>
      <c r="F353" s="55">
        <v>183</v>
      </c>
      <c r="G353" s="55">
        <v>63</v>
      </c>
      <c r="H353" s="55">
        <v>18</v>
      </c>
      <c r="I353" s="55">
        <v>4.07</v>
      </c>
      <c r="J353" s="55">
        <v>1.4</v>
      </c>
      <c r="K353" s="55">
        <v>0.4</v>
      </c>
      <c r="L353" s="55">
        <v>16</v>
      </c>
      <c r="M353" s="54" t="str">
        <f t="shared" si="28"/>
        <v>6-12 Months</v>
      </c>
      <c r="N353" s="54" t="str">
        <f t="shared" si="29"/>
        <v>18-24 Months</v>
      </c>
      <c r="O353" s="54" t="s">
        <v>7</v>
      </c>
      <c r="P353" s="54">
        <f t="shared" si="25"/>
        <v>54</v>
      </c>
      <c r="Q353">
        <f t="shared" si="26"/>
        <v>54</v>
      </c>
      <c r="R353">
        <f t="shared" si="27"/>
        <v>54</v>
      </c>
    </row>
    <row r="354" spans="1:18" x14ac:dyDescent="0.2">
      <c r="A354" s="54">
        <v>109093</v>
      </c>
      <c r="B354" s="54" t="s">
        <v>210</v>
      </c>
      <c r="C354" s="55">
        <v>58</v>
      </c>
      <c r="D354" s="55">
        <v>43</v>
      </c>
      <c r="E354" s="55">
        <v>11</v>
      </c>
      <c r="F354" s="55">
        <v>137</v>
      </c>
      <c r="G354" s="55">
        <v>13</v>
      </c>
      <c r="H354" s="55">
        <v>8</v>
      </c>
      <c r="I354" s="55">
        <v>3.19</v>
      </c>
      <c r="J354" s="55">
        <v>0.3</v>
      </c>
      <c r="K354" s="55">
        <v>0.19</v>
      </c>
      <c r="L354" s="55">
        <v>0</v>
      </c>
      <c r="M354" s="54" t="str">
        <f t="shared" si="28"/>
        <v>6-12 Months</v>
      </c>
      <c r="N354" s="54" t="str">
        <f t="shared" si="29"/>
        <v>18-24 Months</v>
      </c>
      <c r="O354" s="54" t="s">
        <v>7</v>
      </c>
      <c r="P354" s="54">
        <f t="shared" si="25"/>
        <v>58</v>
      </c>
      <c r="Q354">
        <f t="shared" si="26"/>
        <v>58</v>
      </c>
      <c r="R354">
        <f t="shared" si="27"/>
        <v>0</v>
      </c>
    </row>
    <row r="355" spans="1:18" x14ac:dyDescent="0.2">
      <c r="A355" s="54">
        <v>111020</v>
      </c>
      <c r="B355" s="54" t="s">
        <v>322</v>
      </c>
      <c r="C355" s="55">
        <v>67</v>
      </c>
      <c r="D355" s="55">
        <v>70</v>
      </c>
      <c r="E355" s="55">
        <v>11</v>
      </c>
      <c r="F355" s="55">
        <v>173</v>
      </c>
      <c r="G355" s="55">
        <v>147</v>
      </c>
      <c r="H355" s="55">
        <v>17</v>
      </c>
      <c r="I355" s="55">
        <v>2.4700000000000002</v>
      </c>
      <c r="J355" s="55">
        <v>2.1</v>
      </c>
      <c r="K355" s="55">
        <v>0.24</v>
      </c>
      <c r="L355" s="55">
        <v>46</v>
      </c>
      <c r="M355" s="54" t="str">
        <f t="shared" si="28"/>
        <v>6-12 Months</v>
      </c>
      <c r="N355" s="54" t="str">
        <f t="shared" si="29"/>
        <v>18-24 Months</v>
      </c>
      <c r="O355" s="54" t="s">
        <v>7</v>
      </c>
      <c r="P355" s="54">
        <f t="shared" si="25"/>
        <v>67</v>
      </c>
      <c r="Q355">
        <f t="shared" si="26"/>
        <v>67</v>
      </c>
      <c r="R355">
        <f t="shared" si="27"/>
        <v>67</v>
      </c>
    </row>
    <row r="356" spans="1:18" x14ac:dyDescent="0.2">
      <c r="A356" s="54">
        <v>106627</v>
      </c>
      <c r="B356" s="54" t="s">
        <v>403</v>
      </c>
      <c r="C356" s="55">
        <v>80</v>
      </c>
      <c r="D356" s="55">
        <v>40</v>
      </c>
      <c r="E356" s="55">
        <v>11</v>
      </c>
      <c r="F356" s="55">
        <v>51</v>
      </c>
      <c r="G356" s="55">
        <v>34</v>
      </c>
      <c r="H356" s="55">
        <v>8</v>
      </c>
      <c r="I356" s="55">
        <v>1.28</v>
      </c>
      <c r="J356" s="55">
        <v>0.85</v>
      </c>
      <c r="K356" s="55">
        <v>0.2</v>
      </c>
      <c r="L356" s="55">
        <v>21</v>
      </c>
      <c r="M356" s="54" t="str">
        <f t="shared" si="28"/>
        <v>6-12 Months</v>
      </c>
      <c r="N356" s="54" t="str">
        <f t="shared" si="29"/>
        <v>18-24 Months</v>
      </c>
      <c r="O356" s="54" t="s">
        <v>7</v>
      </c>
      <c r="P356" s="54">
        <f t="shared" si="25"/>
        <v>80</v>
      </c>
      <c r="Q356">
        <f t="shared" si="26"/>
        <v>0</v>
      </c>
      <c r="R356">
        <f t="shared" si="27"/>
        <v>80</v>
      </c>
    </row>
    <row r="357" spans="1:18" x14ac:dyDescent="0.2">
      <c r="A357" s="54">
        <v>109013</v>
      </c>
      <c r="B357" s="54" t="s">
        <v>428</v>
      </c>
      <c r="C357" s="55">
        <v>80</v>
      </c>
      <c r="D357" s="55">
        <v>145</v>
      </c>
      <c r="E357" s="55">
        <v>11</v>
      </c>
      <c r="F357" s="55">
        <v>28</v>
      </c>
      <c r="G357" s="55">
        <v>7</v>
      </c>
      <c r="H357" s="55">
        <v>7</v>
      </c>
      <c r="I357" s="55">
        <v>0.19</v>
      </c>
      <c r="J357" s="55">
        <v>0.05</v>
      </c>
      <c r="K357" s="55">
        <v>0.05</v>
      </c>
      <c r="L357" s="55">
        <v>2</v>
      </c>
      <c r="M357" s="54" t="str">
        <f t="shared" si="28"/>
        <v>6-12 Months</v>
      </c>
      <c r="N357" s="54" t="str">
        <f t="shared" si="29"/>
        <v>18-24 Months</v>
      </c>
      <c r="O357" s="54" t="s">
        <v>6</v>
      </c>
      <c r="P357" s="54">
        <f t="shared" si="25"/>
        <v>0</v>
      </c>
      <c r="Q357">
        <f t="shared" si="26"/>
        <v>0</v>
      </c>
      <c r="R357">
        <f t="shared" si="27"/>
        <v>0</v>
      </c>
    </row>
    <row r="358" spans="1:18" x14ac:dyDescent="0.2">
      <c r="A358" s="54">
        <v>109256</v>
      </c>
      <c r="B358" s="54" t="s">
        <v>292</v>
      </c>
      <c r="C358" s="55">
        <v>82</v>
      </c>
      <c r="D358" s="55">
        <v>75</v>
      </c>
      <c r="E358" s="55">
        <v>11</v>
      </c>
      <c r="F358" s="55">
        <v>85</v>
      </c>
      <c r="G358" s="55">
        <v>9</v>
      </c>
      <c r="H358" s="55">
        <v>0</v>
      </c>
      <c r="I358" s="55">
        <v>1.1299999999999999</v>
      </c>
      <c r="J358" s="55">
        <v>0.12</v>
      </c>
      <c r="K358" s="55">
        <v>0</v>
      </c>
      <c r="L358" s="55">
        <v>0</v>
      </c>
      <c r="M358" s="54" t="str">
        <f t="shared" si="28"/>
        <v>6-12 Months</v>
      </c>
      <c r="N358" s="54" t="str">
        <f t="shared" si="29"/>
        <v>18-24 Months</v>
      </c>
      <c r="O358" s="54" t="s">
        <v>7</v>
      </c>
      <c r="P358" s="54">
        <f t="shared" si="25"/>
        <v>0</v>
      </c>
      <c r="Q358">
        <f t="shared" si="26"/>
        <v>0</v>
      </c>
      <c r="R358">
        <f t="shared" si="27"/>
        <v>0</v>
      </c>
    </row>
    <row r="359" spans="1:18" x14ac:dyDescent="0.2">
      <c r="A359" s="54">
        <v>113335</v>
      </c>
      <c r="B359" s="54" t="s">
        <v>189</v>
      </c>
      <c r="C359" s="55">
        <v>84</v>
      </c>
      <c r="D359" s="55">
        <v>90</v>
      </c>
      <c r="E359" s="55">
        <v>11</v>
      </c>
      <c r="F359" s="55">
        <v>370</v>
      </c>
      <c r="G359" s="55">
        <v>28</v>
      </c>
      <c r="H359" s="55">
        <v>17</v>
      </c>
      <c r="I359" s="55">
        <v>4.1100000000000003</v>
      </c>
      <c r="J359" s="55">
        <v>0.31</v>
      </c>
      <c r="K359" s="55">
        <v>0.19</v>
      </c>
      <c r="L359" s="55">
        <v>74</v>
      </c>
      <c r="M359" s="54" t="str">
        <f t="shared" si="28"/>
        <v>6-12 Months</v>
      </c>
      <c r="N359" s="54" t="str">
        <f t="shared" si="29"/>
        <v>18-24 Months</v>
      </c>
      <c r="O359" s="54" t="s">
        <v>7</v>
      </c>
      <c r="P359" s="54">
        <f t="shared" si="25"/>
        <v>84</v>
      </c>
      <c r="Q359">
        <f t="shared" si="26"/>
        <v>84</v>
      </c>
      <c r="R359">
        <f t="shared" si="27"/>
        <v>0</v>
      </c>
    </row>
    <row r="360" spans="1:18" x14ac:dyDescent="0.2">
      <c r="A360" s="54">
        <v>106135</v>
      </c>
      <c r="B360" s="54" t="s">
        <v>217</v>
      </c>
      <c r="C360" s="55">
        <v>92</v>
      </c>
      <c r="D360" s="55">
        <v>145</v>
      </c>
      <c r="E360" s="55">
        <v>11</v>
      </c>
      <c r="F360" s="55">
        <v>417</v>
      </c>
      <c r="G360" s="55">
        <v>375</v>
      </c>
      <c r="H360" s="55">
        <v>23</v>
      </c>
      <c r="I360" s="55">
        <v>2.88</v>
      </c>
      <c r="J360" s="55">
        <v>2.59</v>
      </c>
      <c r="K360" s="55">
        <v>0.16</v>
      </c>
      <c r="L360" s="55">
        <v>4</v>
      </c>
      <c r="M360" s="54" t="str">
        <f t="shared" si="28"/>
        <v>6-12 Months</v>
      </c>
      <c r="N360" s="54" t="str">
        <f t="shared" si="29"/>
        <v>18-24 Months</v>
      </c>
      <c r="O360" s="54" t="s">
        <v>6</v>
      </c>
      <c r="P360" s="54">
        <f t="shared" si="25"/>
        <v>92</v>
      </c>
      <c r="Q360">
        <f t="shared" si="26"/>
        <v>92</v>
      </c>
      <c r="R360">
        <f t="shared" si="27"/>
        <v>92</v>
      </c>
    </row>
    <row r="361" spans="1:18" x14ac:dyDescent="0.2">
      <c r="A361" s="54">
        <v>100239</v>
      </c>
      <c r="B361" s="54" t="s">
        <v>310</v>
      </c>
      <c r="C361" s="55">
        <v>100</v>
      </c>
      <c r="D361" s="55">
        <v>100</v>
      </c>
      <c r="E361" s="55">
        <v>11</v>
      </c>
      <c r="F361" s="55">
        <v>133</v>
      </c>
      <c r="G361" s="55">
        <v>0</v>
      </c>
      <c r="H361" s="55">
        <v>0</v>
      </c>
      <c r="I361" s="55">
        <v>1.33</v>
      </c>
      <c r="J361" s="55">
        <v>0</v>
      </c>
      <c r="K361" s="55">
        <v>0</v>
      </c>
      <c r="L361" s="55">
        <v>0</v>
      </c>
      <c r="M361" s="54" t="str">
        <f t="shared" si="28"/>
        <v>6-12 Months</v>
      </c>
      <c r="N361" s="54" t="str">
        <f t="shared" si="29"/>
        <v>18-24 Months</v>
      </c>
      <c r="O361" s="54" t="s">
        <v>6</v>
      </c>
      <c r="P361" s="54">
        <f t="shared" si="25"/>
        <v>0</v>
      </c>
      <c r="Q361">
        <f t="shared" si="26"/>
        <v>0</v>
      </c>
      <c r="R361">
        <f t="shared" si="27"/>
        <v>0</v>
      </c>
    </row>
    <row r="362" spans="1:18" x14ac:dyDescent="0.2">
      <c r="A362" s="54">
        <v>106197</v>
      </c>
      <c r="B362" s="54" t="s">
        <v>546</v>
      </c>
      <c r="C362" s="55">
        <v>100</v>
      </c>
      <c r="D362" s="55">
        <v>100</v>
      </c>
      <c r="E362" s="55">
        <v>11</v>
      </c>
      <c r="F362" s="55">
        <v>9</v>
      </c>
      <c r="G362" s="55">
        <v>9</v>
      </c>
      <c r="H362" s="55">
        <v>9</v>
      </c>
      <c r="I362" s="55">
        <v>0.09</v>
      </c>
      <c r="J362" s="55">
        <v>0.09</v>
      </c>
      <c r="K362" s="55">
        <v>0.09</v>
      </c>
      <c r="L362" s="55">
        <v>14</v>
      </c>
      <c r="M362" s="54" t="str">
        <f t="shared" si="28"/>
        <v>6-12 Months</v>
      </c>
      <c r="N362" s="54" t="str">
        <f t="shared" si="29"/>
        <v>18-24 Months</v>
      </c>
      <c r="O362" s="54" t="s">
        <v>6</v>
      </c>
      <c r="P362" s="54">
        <f t="shared" si="25"/>
        <v>0</v>
      </c>
      <c r="Q362">
        <f t="shared" si="26"/>
        <v>0</v>
      </c>
      <c r="R362">
        <f t="shared" si="27"/>
        <v>0</v>
      </c>
    </row>
    <row r="363" spans="1:18" x14ac:dyDescent="0.2">
      <c r="A363" s="54">
        <v>198611</v>
      </c>
      <c r="B363" s="54" t="s">
        <v>183</v>
      </c>
      <c r="C363" s="55">
        <v>105</v>
      </c>
      <c r="D363" s="55">
        <v>105</v>
      </c>
      <c r="E363" s="55">
        <v>11</v>
      </c>
      <c r="F363" s="55">
        <v>345</v>
      </c>
      <c r="G363" s="55">
        <v>34</v>
      </c>
      <c r="H363" s="55">
        <v>10</v>
      </c>
      <c r="I363" s="55">
        <v>3.29</v>
      </c>
      <c r="J363" s="55">
        <v>0.32</v>
      </c>
      <c r="K363" s="55">
        <v>0.1</v>
      </c>
      <c r="L363" s="55">
        <v>0</v>
      </c>
      <c r="M363" s="54" t="str">
        <f t="shared" si="28"/>
        <v>6-12 Months</v>
      </c>
      <c r="N363" s="54" t="str">
        <f t="shared" si="29"/>
        <v>18-24 Months</v>
      </c>
      <c r="O363" s="54" t="s">
        <v>6</v>
      </c>
      <c r="P363" s="54">
        <f t="shared" si="25"/>
        <v>105</v>
      </c>
      <c r="Q363">
        <f t="shared" si="26"/>
        <v>105</v>
      </c>
      <c r="R363">
        <f t="shared" si="27"/>
        <v>0</v>
      </c>
    </row>
    <row r="364" spans="1:18" x14ac:dyDescent="0.2">
      <c r="A364" s="54">
        <v>108792</v>
      </c>
      <c r="B364" s="54" t="s">
        <v>173</v>
      </c>
      <c r="C364" s="55">
        <v>106</v>
      </c>
      <c r="D364" s="55">
        <v>130</v>
      </c>
      <c r="E364" s="55">
        <v>11</v>
      </c>
      <c r="F364" s="55">
        <v>462</v>
      </c>
      <c r="G364" s="55">
        <v>93</v>
      </c>
      <c r="H364" s="55">
        <v>31</v>
      </c>
      <c r="I364" s="55">
        <v>3.55</v>
      </c>
      <c r="J364" s="55">
        <v>0.72</v>
      </c>
      <c r="K364" s="55">
        <v>0.24</v>
      </c>
      <c r="L364" s="55">
        <v>8</v>
      </c>
      <c r="M364" s="54" t="str">
        <f t="shared" si="28"/>
        <v>6-12 Months</v>
      </c>
      <c r="N364" s="54" t="str">
        <f t="shared" si="29"/>
        <v>18-24 Months</v>
      </c>
      <c r="O364" s="54" t="s">
        <v>6</v>
      </c>
      <c r="P364" s="54">
        <f t="shared" si="25"/>
        <v>106</v>
      </c>
      <c r="Q364">
        <f t="shared" si="26"/>
        <v>106</v>
      </c>
      <c r="R364">
        <f t="shared" si="27"/>
        <v>0</v>
      </c>
    </row>
    <row r="365" spans="1:18" x14ac:dyDescent="0.2">
      <c r="A365" s="54">
        <v>115661</v>
      </c>
      <c r="B365" s="54" t="s">
        <v>408</v>
      </c>
      <c r="C365" s="55">
        <v>107</v>
      </c>
      <c r="D365" s="55">
        <v>125</v>
      </c>
      <c r="E365" s="55">
        <v>11</v>
      </c>
      <c r="F365" s="55">
        <v>50</v>
      </c>
      <c r="G365" s="55">
        <v>9</v>
      </c>
      <c r="H365" s="55">
        <v>0</v>
      </c>
      <c r="I365" s="55">
        <v>0.4</v>
      </c>
      <c r="J365" s="55">
        <v>7.0000000000000007E-2</v>
      </c>
      <c r="K365" s="55">
        <v>0</v>
      </c>
      <c r="L365" s="55">
        <v>0</v>
      </c>
      <c r="M365" s="54" t="str">
        <f t="shared" si="28"/>
        <v>6-12 Months</v>
      </c>
      <c r="N365" s="54" t="str">
        <f t="shared" si="29"/>
        <v>18-24 Months</v>
      </c>
      <c r="O365" s="54" t="s">
        <v>6</v>
      </c>
      <c r="P365" s="54">
        <f t="shared" si="25"/>
        <v>0</v>
      </c>
      <c r="Q365">
        <f t="shared" si="26"/>
        <v>0</v>
      </c>
      <c r="R365">
        <f t="shared" si="27"/>
        <v>0</v>
      </c>
    </row>
    <row r="366" spans="1:18" x14ac:dyDescent="0.2">
      <c r="A366" s="54">
        <v>112966</v>
      </c>
      <c r="B366" s="54" t="s">
        <v>450</v>
      </c>
      <c r="C366" s="55">
        <v>136</v>
      </c>
      <c r="D366" s="55">
        <v>119</v>
      </c>
      <c r="E366" s="55">
        <v>11</v>
      </c>
      <c r="F366" s="55">
        <v>375</v>
      </c>
      <c r="G366" s="55">
        <v>14</v>
      </c>
      <c r="H366" s="55">
        <v>0</v>
      </c>
      <c r="I366" s="55">
        <v>3.18</v>
      </c>
      <c r="J366" s="55">
        <v>0.12</v>
      </c>
      <c r="K366" s="55">
        <v>0</v>
      </c>
      <c r="L366" s="55">
        <v>0</v>
      </c>
      <c r="M366" s="54" t="str">
        <f t="shared" si="28"/>
        <v>6-12 Months</v>
      </c>
      <c r="N366" s="54" t="str">
        <f t="shared" si="29"/>
        <v>18-24 Months</v>
      </c>
      <c r="O366" s="54" t="s">
        <v>6</v>
      </c>
      <c r="P366" s="54">
        <f t="shared" si="25"/>
        <v>136</v>
      </c>
      <c r="Q366">
        <f t="shared" si="26"/>
        <v>136</v>
      </c>
      <c r="R366">
        <f t="shared" si="27"/>
        <v>0</v>
      </c>
    </row>
    <row r="367" spans="1:18" x14ac:dyDescent="0.2">
      <c r="A367" s="54">
        <v>451087</v>
      </c>
      <c r="B367" s="54" t="s">
        <v>138</v>
      </c>
      <c r="C367" s="55">
        <v>191</v>
      </c>
      <c r="D367" s="55">
        <v>180</v>
      </c>
      <c r="E367" s="55">
        <v>11</v>
      </c>
      <c r="F367" s="55">
        <v>777</v>
      </c>
      <c r="G367" s="55">
        <v>467</v>
      </c>
      <c r="H367" s="55">
        <v>291</v>
      </c>
      <c r="I367" s="55">
        <v>4.32</v>
      </c>
      <c r="J367" s="55">
        <v>2.59</v>
      </c>
      <c r="K367" s="55">
        <v>1.62</v>
      </c>
      <c r="L367" s="55">
        <v>1</v>
      </c>
      <c r="M367" s="54" t="str">
        <f t="shared" si="28"/>
        <v>6-12 Months</v>
      </c>
      <c r="N367" s="54" t="str">
        <f t="shared" si="29"/>
        <v>18-24 Months</v>
      </c>
      <c r="O367" s="54" t="s">
        <v>6</v>
      </c>
      <c r="P367" s="54">
        <f t="shared" si="25"/>
        <v>191</v>
      </c>
      <c r="Q367">
        <f t="shared" si="26"/>
        <v>191</v>
      </c>
      <c r="R367">
        <f t="shared" si="27"/>
        <v>191</v>
      </c>
    </row>
    <row r="368" spans="1:18" x14ac:dyDescent="0.2">
      <c r="A368" s="54">
        <v>106669</v>
      </c>
      <c r="B368" s="54" t="s">
        <v>110</v>
      </c>
      <c r="C368" s="55">
        <v>200</v>
      </c>
      <c r="D368" s="55">
        <v>83</v>
      </c>
      <c r="E368" s="55">
        <v>11</v>
      </c>
      <c r="F368" s="55">
        <v>958</v>
      </c>
      <c r="G368" s="55">
        <v>237</v>
      </c>
      <c r="H368" s="55">
        <v>181</v>
      </c>
      <c r="I368" s="55">
        <v>11.54</v>
      </c>
      <c r="J368" s="55">
        <v>2.86</v>
      </c>
      <c r="K368" s="55">
        <v>2.1800000000000002</v>
      </c>
      <c r="L368" s="55">
        <v>5</v>
      </c>
      <c r="M368" s="54" t="str">
        <f t="shared" si="28"/>
        <v>6-12 Months</v>
      </c>
      <c r="N368" s="54" t="str">
        <f t="shared" si="29"/>
        <v>18-24 Months</v>
      </c>
      <c r="O368" s="54" t="s">
        <v>7</v>
      </c>
      <c r="P368" s="54">
        <f t="shared" si="25"/>
        <v>200</v>
      </c>
      <c r="Q368">
        <f t="shared" si="26"/>
        <v>200</v>
      </c>
      <c r="R368">
        <f t="shared" si="27"/>
        <v>200</v>
      </c>
    </row>
    <row r="369" spans="1:18" x14ac:dyDescent="0.2">
      <c r="A369" s="54">
        <v>499976</v>
      </c>
      <c r="B369" s="54" t="s">
        <v>212</v>
      </c>
      <c r="C369" s="55">
        <v>266</v>
      </c>
      <c r="D369" s="55">
        <v>236</v>
      </c>
      <c r="E369" s="55">
        <v>11</v>
      </c>
      <c r="F369" s="55">
        <v>257</v>
      </c>
      <c r="G369" s="55">
        <v>7</v>
      </c>
      <c r="H369" s="55">
        <v>1</v>
      </c>
      <c r="I369" s="55">
        <v>1.0900000000000001</v>
      </c>
      <c r="J369" s="55">
        <v>0.03</v>
      </c>
      <c r="K369" s="55">
        <v>0</v>
      </c>
      <c r="L369" s="55">
        <v>13</v>
      </c>
      <c r="M369" s="54" t="str">
        <f t="shared" si="28"/>
        <v>6-12 Months</v>
      </c>
      <c r="N369" s="54" t="str">
        <f t="shared" si="29"/>
        <v>18-24 Months</v>
      </c>
      <c r="O369" s="54" t="s">
        <v>6</v>
      </c>
      <c r="P369" s="54">
        <f t="shared" si="25"/>
        <v>0</v>
      </c>
      <c r="Q369">
        <f t="shared" si="26"/>
        <v>0</v>
      </c>
      <c r="R369">
        <f t="shared" si="27"/>
        <v>0</v>
      </c>
    </row>
    <row r="370" spans="1:18" x14ac:dyDescent="0.2">
      <c r="A370" s="54">
        <v>308856</v>
      </c>
      <c r="B370" s="54" t="s">
        <v>439</v>
      </c>
      <c r="C370" s="55">
        <v>275</v>
      </c>
      <c r="D370" s="55">
        <v>350</v>
      </c>
      <c r="E370" s="55">
        <v>11</v>
      </c>
      <c r="F370" s="55">
        <v>55</v>
      </c>
      <c r="G370" s="55">
        <v>23</v>
      </c>
      <c r="H370" s="55">
        <v>10</v>
      </c>
      <c r="I370" s="55">
        <v>0.16</v>
      </c>
      <c r="J370" s="55">
        <v>7.0000000000000007E-2</v>
      </c>
      <c r="K370" s="55">
        <v>0.03</v>
      </c>
      <c r="L370" s="55">
        <v>36</v>
      </c>
      <c r="M370" s="54" t="str">
        <f t="shared" si="28"/>
        <v>6-12 Months</v>
      </c>
      <c r="N370" s="54" t="str">
        <f t="shared" si="29"/>
        <v>18-24 Months</v>
      </c>
      <c r="O370" s="54" t="s">
        <v>6</v>
      </c>
      <c r="P370" s="54">
        <f t="shared" si="25"/>
        <v>0</v>
      </c>
      <c r="Q370">
        <f t="shared" si="26"/>
        <v>0</v>
      </c>
      <c r="R370">
        <f t="shared" si="27"/>
        <v>0</v>
      </c>
    </row>
    <row r="371" spans="1:18" x14ac:dyDescent="0.2">
      <c r="A371" s="54">
        <v>113592</v>
      </c>
      <c r="B371" s="54" t="s">
        <v>225</v>
      </c>
      <c r="C371" s="55">
        <v>438</v>
      </c>
      <c r="D371" s="55">
        <v>320</v>
      </c>
      <c r="E371" s="55">
        <v>11</v>
      </c>
      <c r="F371" s="55">
        <v>419</v>
      </c>
      <c r="G371" s="55">
        <v>372</v>
      </c>
      <c r="H371" s="55">
        <v>309</v>
      </c>
      <c r="I371" s="55">
        <v>1.31</v>
      </c>
      <c r="J371" s="55">
        <v>1.1599999999999999</v>
      </c>
      <c r="K371" s="55">
        <v>0.97</v>
      </c>
      <c r="L371" s="55">
        <v>120</v>
      </c>
      <c r="M371" s="54" t="str">
        <f t="shared" si="28"/>
        <v>6-12 Months</v>
      </c>
      <c r="N371" s="54" t="str">
        <f t="shared" si="29"/>
        <v>18-24 Months</v>
      </c>
      <c r="O371" s="54" t="s">
        <v>6</v>
      </c>
      <c r="P371" s="54">
        <f t="shared" si="25"/>
        <v>438</v>
      </c>
      <c r="Q371">
        <f t="shared" si="26"/>
        <v>0</v>
      </c>
      <c r="R371">
        <f t="shared" si="27"/>
        <v>438</v>
      </c>
    </row>
    <row r="372" spans="1:18" x14ac:dyDescent="0.2">
      <c r="A372" s="54">
        <v>109867</v>
      </c>
      <c r="B372" s="54" t="s">
        <v>106</v>
      </c>
      <c r="C372" s="55">
        <v>558</v>
      </c>
      <c r="D372" s="55">
        <v>830</v>
      </c>
      <c r="E372" s="55">
        <v>11</v>
      </c>
      <c r="F372" s="55">
        <v>1461</v>
      </c>
      <c r="G372" s="55">
        <v>1461</v>
      </c>
      <c r="H372" s="55">
        <v>1304</v>
      </c>
      <c r="I372" s="55">
        <v>1.76</v>
      </c>
      <c r="J372" s="55">
        <v>1.76</v>
      </c>
      <c r="K372" s="55">
        <v>1.57</v>
      </c>
      <c r="L372" s="55">
        <v>74</v>
      </c>
      <c r="M372" s="54" t="str">
        <f t="shared" si="28"/>
        <v>6-12 Months</v>
      </c>
      <c r="N372" s="54" t="str">
        <f t="shared" si="29"/>
        <v>18-24 Months</v>
      </c>
      <c r="O372" s="54" t="s">
        <v>5</v>
      </c>
      <c r="P372" s="54">
        <f t="shared" si="25"/>
        <v>558</v>
      </c>
      <c r="Q372">
        <f t="shared" si="26"/>
        <v>558</v>
      </c>
      <c r="R372">
        <f t="shared" si="27"/>
        <v>558</v>
      </c>
    </row>
    <row r="373" spans="1:18" x14ac:dyDescent="0.2">
      <c r="A373" s="54">
        <v>105702</v>
      </c>
      <c r="B373" s="54" t="s">
        <v>135</v>
      </c>
      <c r="C373" s="55">
        <v>928</v>
      </c>
      <c r="D373" s="55">
        <v>1000</v>
      </c>
      <c r="E373" s="55">
        <v>11</v>
      </c>
      <c r="F373" s="55">
        <v>1795</v>
      </c>
      <c r="G373" s="55">
        <v>1068</v>
      </c>
      <c r="H373" s="55">
        <v>99</v>
      </c>
      <c r="I373" s="55">
        <v>1.8</v>
      </c>
      <c r="J373" s="55">
        <v>1.07</v>
      </c>
      <c r="K373" s="55">
        <v>0.1</v>
      </c>
      <c r="L373" s="55">
        <v>63</v>
      </c>
      <c r="M373" s="54" t="str">
        <f t="shared" si="28"/>
        <v>6-12 Months</v>
      </c>
      <c r="N373" s="54" t="str">
        <f t="shared" si="29"/>
        <v>18-24 Months</v>
      </c>
      <c r="O373" s="54" t="s">
        <v>5</v>
      </c>
      <c r="P373" s="54">
        <f t="shared" si="25"/>
        <v>928</v>
      </c>
      <c r="Q373">
        <f t="shared" si="26"/>
        <v>928</v>
      </c>
      <c r="R373">
        <f t="shared" si="27"/>
        <v>928</v>
      </c>
    </row>
    <row r="374" spans="1:18" x14ac:dyDescent="0.2">
      <c r="A374" s="54">
        <v>108490</v>
      </c>
      <c r="B374" s="54" t="s">
        <v>120</v>
      </c>
      <c r="C374" s="55">
        <v>2088</v>
      </c>
      <c r="D374" s="55">
        <v>2580</v>
      </c>
      <c r="E374" s="55">
        <v>11</v>
      </c>
      <c r="F374" s="55">
        <v>2047</v>
      </c>
      <c r="G374" s="55">
        <v>33</v>
      </c>
      <c r="H374" s="55">
        <v>0</v>
      </c>
      <c r="I374" s="55">
        <v>0.79</v>
      </c>
      <c r="J374" s="55">
        <v>0.01</v>
      </c>
      <c r="K374" s="55">
        <v>0</v>
      </c>
      <c r="L374" s="55">
        <v>5</v>
      </c>
      <c r="M374" s="54" t="str">
        <f t="shared" si="28"/>
        <v>6-12 Months</v>
      </c>
      <c r="N374" s="54" t="str">
        <f t="shared" si="29"/>
        <v>18-24 Months</v>
      </c>
      <c r="O374" s="54" t="s">
        <v>5</v>
      </c>
      <c r="P374" s="54">
        <f t="shared" si="25"/>
        <v>0</v>
      </c>
      <c r="Q374">
        <f t="shared" si="26"/>
        <v>0</v>
      </c>
      <c r="R374">
        <f t="shared" si="27"/>
        <v>0</v>
      </c>
    </row>
    <row r="375" spans="1:18" x14ac:dyDescent="0.2">
      <c r="A375" s="54">
        <v>108541</v>
      </c>
      <c r="B375" s="54" t="s">
        <v>67</v>
      </c>
      <c r="C375" s="55">
        <v>2325</v>
      </c>
      <c r="D375" s="55">
        <v>750</v>
      </c>
      <c r="E375" s="55">
        <v>11</v>
      </c>
      <c r="F375" s="55">
        <v>3080</v>
      </c>
      <c r="G375" s="55">
        <v>1544</v>
      </c>
      <c r="H375" s="55">
        <v>304</v>
      </c>
      <c r="I375" s="55">
        <v>4.1100000000000003</v>
      </c>
      <c r="J375" s="55">
        <v>2.06</v>
      </c>
      <c r="K375" s="55">
        <v>0.41</v>
      </c>
      <c r="L375" s="55">
        <v>1733</v>
      </c>
      <c r="M375" s="54" t="str">
        <f t="shared" si="28"/>
        <v>6-12 Months</v>
      </c>
      <c r="N375" s="54" t="str">
        <f t="shared" si="29"/>
        <v>18-24 Months</v>
      </c>
      <c r="O375" s="54" t="s">
        <v>5</v>
      </c>
      <c r="P375" s="54">
        <f t="shared" si="25"/>
        <v>2325</v>
      </c>
      <c r="Q375">
        <f t="shared" si="26"/>
        <v>2325</v>
      </c>
      <c r="R375">
        <f t="shared" si="27"/>
        <v>2325</v>
      </c>
    </row>
    <row r="376" spans="1:18" x14ac:dyDescent="0.2">
      <c r="A376" s="54">
        <v>113444</v>
      </c>
      <c r="B376" s="54" t="s">
        <v>555</v>
      </c>
      <c r="C376" s="55">
        <v>2</v>
      </c>
      <c r="D376" s="55">
        <v>34</v>
      </c>
      <c r="E376" s="55">
        <v>10</v>
      </c>
      <c r="F376" s="55">
        <v>8</v>
      </c>
      <c r="G376" s="55">
        <v>0</v>
      </c>
      <c r="H376" s="55">
        <v>0</v>
      </c>
      <c r="I376" s="55">
        <v>0.24</v>
      </c>
      <c r="J376" s="55">
        <v>0</v>
      </c>
      <c r="K376" s="55">
        <v>0</v>
      </c>
      <c r="L376" s="55">
        <v>0</v>
      </c>
      <c r="M376" s="54" t="str">
        <f t="shared" si="28"/>
        <v>6-12 Months</v>
      </c>
      <c r="N376" s="54" t="str">
        <f t="shared" si="29"/>
        <v>18-24 Months</v>
      </c>
      <c r="O376" s="54" t="s">
        <v>7</v>
      </c>
      <c r="P376" s="54">
        <f t="shared" si="25"/>
        <v>0</v>
      </c>
      <c r="Q376">
        <f t="shared" si="26"/>
        <v>0</v>
      </c>
      <c r="R376">
        <f t="shared" si="27"/>
        <v>0</v>
      </c>
    </row>
    <row r="377" spans="1:18" x14ac:dyDescent="0.2">
      <c r="A377" s="54">
        <v>570556</v>
      </c>
      <c r="B377" s="54" t="s">
        <v>327</v>
      </c>
      <c r="C377" s="55">
        <v>3</v>
      </c>
      <c r="D377" s="55">
        <v>35</v>
      </c>
      <c r="E377" s="55">
        <v>10</v>
      </c>
      <c r="F377" s="55">
        <v>104</v>
      </c>
      <c r="G377" s="55">
        <v>85</v>
      </c>
      <c r="H377" s="55">
        <v>0</v>
      </c>
      <c r="I377" s="55">
        <v>2.97</v>
      </c>
      <c r="J377" s="55">
        <v>2.4300000000000002</v>
      </c>
      <c r="K377" s="55">
        <v>0</v>
      </c>
      <c r="L377" s="55">
        <v>0</v>
      </c>
      <c r="M377" s="54" t="str">
        <f t="shared" si="28"/>
        <v>6-12 Months</v>
      </c>
      <c r="N377" s="54" t="str">
        <f t="shared" si="29"/>
        <v>18-24 Months</v>
      </c>
      <c r="O377" s="54" t="s">
        <v>7</v>
      </c>
      <c r="P377" s="54">
        <f t="shared" si="25"/>
        <v>3</v>
      </c>
      <c r="Q377">
        <f t="shared" si="26"/>
        <v>3</v>
      </c>
      <c r="R377">
        <f t="shared" si="27"/>
        <v>3</v>
      </c>
    </row>
    <row r="378" spans="1:18" x14ac:dyDescent="0.2">
      <c r="A378" s="54">
        <v>468524</v>
      </c>
      <c r="B378" s="54" t="s">
        <v>462</v>
      </c>
      <c r="C378" s="55">
        <v>8</v>
      </c>
      <c r="D378" s="55">
        <v>7</v>
      </c>
      <c r="E378" s="55">
        <v>10</v>
      </c>
      <c r="F378" s="55">
        <v>11</v>
      </c>
      <c r="G378" s="55">
        <v>0</v>
      </c>
      <c r="H378" s="55">
        <v>0</v>
      </c>
      <c r="I378" s="55">
        <v>1.57</v>
      </c>
      <c r="J378" s="55">
        <v>0</v>
      </c>
      <c r="K378" s="55">
        <v>0</v>
      </c>
      <c r="L378" s="55">
        <v>0</v>
      </c>
      <c r="M378" s="54" t="str">
        <f t="shared" si="28"/>
        <v>6-12 Months</v>
      </c>
      <c r="N378" s="54" t="str">
        <f t="shared" si="29"/>
        <v>18-24 Months</v>
      </c>
      <c r="O378" s="54" t="s">
        <v>7</v>
      </c>
      <c r="P378" s="54">
        <f t="shared" si="25"/>
        <v>0</v>
      </c>
      <c r="Q378">
        <f t="shared" si="26"/>
        <v>0</v>
      </c>
      <c r="R378">
        <f t="shared" si="27"/>
        <v>0</v>
      </c>
    </row>
    <row r="379" spans="1:18" x14ac:dyDescent="0.2">
      <c r="A379" s="54">
        <v>109149</v>
      </c>
      <c r="B379" s="54" t="s">
        <v>405</v>
      </c>
      <c r="C379" s="55">
        <v>14</v>
      </c>
      <c r="D379" s="55">
        <v>14</v>
      </c>
      <c r="E379" s="55">
        <v>10</v>
      </c>
      <c r="F379" s="55">
        <v>71</v>
      </c>
      <c r="G379" s="55">
        <v>0</v>
      </c>
      <c r="H379" s="55">
        <v>0</v>
      </c>
      <c r="I379" s="55">
        <v>5.07</v>
      </c>
      <c r="J379" s="55">
        <v>0</v>
      </c>
      <c r="K379" s="55">
        <v>0</v>
      </c>
      <c r="L379" s="55">
        <v>0</v>
      </c>
      <c r="M379" s="54" t="str">
        <f t="shared" si="28"/>
        <v>6-12 Months</v>
      </c>
      <c r="N379" s="54" t="str">
        <f t="shared" si="29"/>
        <v>18-24 Months</v>
      </c>
      <c r="O379" s="54" t="s">
        <v>7</v>
      </c>
      <c r="P379" s="54">
        <f t="shared" si="25"/>
        <v>14</v>
      </c>
      <c r="Q379">
        <f t="shared" si="26"/>
        <v>14</v>
      </c>
      <c r="R379">
        <f t="shared" si="27"/>
        <v>0</v>
      </c>
    </row>
    <row r="380" spans="1:18" x14ac:dyDescent="0.2">
      <c r="A380" s="54">
        <v>480877</v>
      </c>
      <c r="B380" s="54" t="s">
        <v>393</v>
      </c>
      <c r="C380" s="55">
        <v>15</v>
      </c>
      <c r="D380" s="55">
        <v>15</v>
      </c>
      <c r="E380" s="55">
        <v>10</v>
      </c>
      <c r="F380" s="55">
        <v>31</v>
      </c>
      <c r="G380" s="55">
        <v>3</v>
      </c>
      <c r="H380" s="55">
        <v>3</v>
      </c>
      <c r="I380" s="55">
        <v>2.0699999999999998</v>
      </c>
      <c r="J380" s="55">
        <v>0.2</v>
      </c>
      <c r="K380" s="55">
        <v>0.2</v>
      </c>
      <c r="L380" s="55">
        <v>5</v>
      </c>
      <c r="M380" s="54" t="str">
        <f t="shared" si="28"/>
        <v>6-12 Months</v>
      </c>
      <c r="N380" s="54" t="str">
        <f t="shared" si="29"/>
        <v>18-24 Months</v>
      </c>
      <c r="O380" s="54" t="s">
        <v>7</v>
      </c>
      <c r="P380" s="54">
        <f t="shared" si="25"/>
        <v>15</v>
      </c>
      <c r="Q380">
        <f t="shared" si="26"/>
        <v>15</v>
      </c>
      <c r="R380">
        <f t="shared" si="27"/>
        <v>0</v>
      </c>
    </row>
    <row r="381" spans="1:18" x14ac:dyDescent="0.2">
      <c r="A381" s="54">
        <v>106841</v>
      </c>
      <c r="B381" s="54" t="s">
        <v>425</v>
      </c>
      <c r="C381" s="55">
        <v>20</v>
      </c>
      <c r="D381" s="55">
        <v>54</v>
      </c>
      <c r="E381" s="55">
        <v>10</v>
      </c>
      <c r="F381" s="55">
        <v>35</v>
      </c>
      <c r="G381" s="55">
        <v>1</v>
      </c>
      <c r="H381" s="55">
        <v>0</v>
      </c>
      <c r="I381" s="55">
        <v>0.65</v>
      </c>
      <c r="J381" s="55">
        <v>0.02</v>
      </c>
      <c r="K381" s="55">
        <v>0</v>
      </c>
      <c r="L381" s="55">
        <v>0</v>
      </c>
      <c r="M381" s="54" t="str">
        <f t="shared" si="28"/>
        <v>6-12 Months</v>
      </c>
      <c r="N381" s="54" t="str">
        <f t="shared" si="29"/>
        <v>18-24 Months</v>
      </c>
      <c r="O381" s="54" t="s">
        <v>7</v>
      </c>
      <c r="P381" s="54">
        <f t="shared" si="25"/>
        <v>0</v>
      </c>
      <c r="Q381">
        <f t="shared" si="26"/>
        <v>0</v>
      </c>
      <c r="R381">
        <f t="shared" si="27"/>
        <v>0</v>
      </c>
    </row>
    <row r="382" spans="1:18" x14ac:dyDescent="0.2">
      <c r="A382" s="54">
        <v>108566</v>
      </c>
      <c r="B382" s="54" t="s">
        <v>231</v>
      </c>
      <c r="C382" s="55">
        <v>20</v>
      </c>
      <c r="D382" s="55">
        <v>550</v>
      </c>
      <c r="E382" s="55">
        <v>10</v>
      </c>
      <c r="F382" s="55">
        <v>240</v>
      </c>
      <c r="G382" s="55">
        <v>107</v>
      </c>
      <c r="H382" s="55">
        <v>12</v>
      </c>
      <c r="I382" s="55">
        <v>0.44</v>
      </c>
      <c r="J382" s="55">
        <v>0.19</v>
      </c>
      <c r="K382" s="55">
        <v>0.02</v>
      </c>
      <c r="L382" s="55">
        <v>24</v>
      </c>
      <c r="M382" s="54" t="str">
        <f t="shared" si="28"/>
        <v>6-12 Months</v>
      </c>
      <c r="N382" s="54" t="str">
        <f t="shared" si="29"/>
        <v>18-24 Months</v>
      </c>
      <c r="O382" s="54" t="s">
        <v>5</v>
      </c>
      <c r="P382" s="54">
        <f t="shared" si="25"/>
        <v>0</v>
      </c>
      <c r="Q382">
        <f t="shared" si="26"/>
        <v>0</v>
      </c>
      <c r="R382">
        <f t="shared" si="27"/>
        <v>0</v>
      </c>
    </row>
    <row r="383" spans="1:18" x14ac:dyDescent="0.2">
      <c r="A383" s="54">
        <v>513206</v>
      </c>
      <c r="B383" s="54" t="s">
        <v>653</v>
      </c>
      <c r="C383" s="55">
        <v>22</v>
      </c>
      <c r="D383" s="55">
        <v>14</v>
      </c>
      <c r="E383" s="55">
        <v>10</v>
      </c>
      <c r="F383" s="55">
        <v>0</v>
      </c>
      <c r="G383" s="55">
        <v>0</v>
      </c>
      <c r="H383" s="55">
        <v>0</v>
      </c>
      <c r="I383" s="55">
        <v>0</v>
      </c>
      <c r="J383" s="55">
        <v>0</v>
      </c>
      <c r="K383" s="55">
        <v>0</v>
      </c>
      <c r="L383" s="55">
        <v>0</v>
      </c>
      <c r="M383" s="54" t="str">
        <f t="shared" si="28"/>
        <v>6-12 Months</v>
      </c>
      <c r="N383" s="54" t="str">
        <f t="shared" si="29"/>
        <v>18-24 Months</v>
      </c>
      <c r="O383" s="54" t="s">
        <v>7</v>
      </c>
      <c r="P383" s="54">
        <f t="shared" si="25"/>
        <v>0</v>
      </c>
      <c r="Q383">
        <f t="shared" si="26"/>
        <v>0</v>
      </c>
      <c r="R383">
        <f t="shared" si="27"/>
        <v>0</v>
      </c>
    </row>
    <row r="384" spans="1:18" x14ac:dyDescent="0.2">
      <c r="A384" s="54">
        <v>112545</v>
      </c>
      <c r="B384" s="54" t="s">
        <v>253</v>
      </c>
      <c r="C384" s="55">
        <v>25</v>
      </c>
      <c r="D384" s="55">
        <v>15</v>
      </c>
      <c r="E384" s="55">
        <v>10</v>
      </c>
      <c r="F384" s="55">
        <v>185</v>
      </c>
      <c r="G384" s="55">
        <v>6</v>
      </c>
      <c r="H384" s="55">
        <v>2</v>
      </c>
      <c r="I384" s="55">
        <v>12.33</v>
      </c>
      <c r="J384" s="55">
        <v>0.4</v>
      </c>
      <c r="K384" s="55">
        <v>0.13</v>
      </c>
      <c r="L384" s="55">
        <v>0</v>
      </c>
      <c r="M384" s="54" t="str">
        <f t="shared" si="28"/>
        <v>6-12 Months</v>
      </c>
      <c r="N384" s="54" t="str">
        <f t="shared" si="29"/>
        <v>18-24 Months</v>
      </c>
      <c r="O384" s="54" t="s">
        <v>7</v>
      </c>
      <c r="P384" s="54">
        <f t="shared" si="25"/>
        <v>25</v>
      </c>
      <c r="Q384">
        <f t="shared" si="26"/>
        <v>25</v>
      </c>
      <c r="R384">
        <f t="shared" si="27"/>
        <v>0</v>
      </c>
    </row>
    <row r="385" spans="1:18" x14ac:dyDescent="0.2">
      <c r="A385" s="54">
        <v>122506</v>
      </c>
      <c r="B385" s="54" t="s">
        <v>608</v>
      </c>
      <c r="C385" s="55">
        <v>25</v>
      </c>
      <c r="D385" s="55">
        <v>24</v>
      </c>
      <c r="E385" s="55">
        <v>10</v>
      </c>
      <c r="F385" s="55">
        <v>1</v>
      </c>
      <c r="G385" s="55">
        <v>0</v>
      </c>
      <c r="H385" s="55">
        <v>0</v>
      </c>
      <c r="I385" s="55">
        <v>0.04</v>
      </c>
      <c r="J385" s="55">
        <v>0</v>
      </c>
      <c r="K385" s="55">
        <v>0</v>
      </c>
      <c r="L385" s="55">
        <v>0</v>
      </c>
      <c r="M385" s="54" t="str">
        <f t="shared" si="28"/>
        <v>6-12 Months</v>
      </c>
      <c r="N385" s="54" t="str">
        <f t="shared" si="29"/>
        <v>18-24 Months</v>
      </c>
      <c r="O385" s="54" t="s">
        <v>7</v>
      </c>
      <c r="P385" s="54">
        <f t="shared" si="25"/>
        <v>0</v>
      </c>
      <c r="Q385">
        <f t="shared" si="26"/>
        <v>0</v>
      </c>
      <c r="R385">
        <f t="shared" si="27"/>
        <v>0</v>
      </c>
    </row>
    <row r="386" spans="1:18" x14ac:dyDescent="0.2">
      <c r="A386" s="54">
        <v>493856</v>
      </c>
      <c r="B386" s="54" t="s">
        <v>365</v>
      </c>
      <c r="C386" s="55">
        <v>25</v>
      </c>
      <c r="D386" s="55">
        <v>2</v>
      </c>
      <c r="E386" s="55">
        <v>10</v>
      </c>
      <c r="F386" s="55">
        <v>68</v>
      </c>
      <c r="G386" s="55">
        <v>48</v>
      </c>
      <c r="H386" s="55">
        <v>0</v>
      </c>
      <c r="I386" s="55">
        <v>34</v>
      </c>
      <c r="J386" s="55">
        <v>24</v>
      </c>
      <c r="K386" s="55">
        <v>0</v>
      </c>
      <c r="L386" s="55">
        <v>41</v>
      </c>
      <c r="M386" s="54" t="str">
        <f t="shared" si="28"/>
        <v>6-12 Months</v>
      </c>
      <c r="N386" s="54" t="str">
        <f t="shared" si="29"/>
        <v>18-24 Months</v>
      </c>
      <c r="O386" s="54" t="s">
        <v>7</v>
      </c>
      <c r="P386" s="54">
        <f t="shared" ref="P386:P449" si="30">IF(I386&gt;=2, C386, IF(J386&gt;=0.75, C386, 0))</f>
        <v>25</v>
      </c>
      <c r="Q386">
        <f t="shared" ref="Q386:Q449" si="31">IF(I386&gt;=2, C386, IF(AND(J386&gt;=0.75, D386&gt;=550), C386, 0))</f>
        <v>25</v>
      </c>
      <c r="R386">
        <f t="shared" ref="R386:R449" si="32">IF(J386&gt;=0.75, C386, 0)</f>
        <v>25</v>
      </c>
    </row>
    <row r="387" spans="1:18" x14ac:dyDescent="0.2">
      <c r="A387" s="54">
        <v>521948</v>
      </c>
      <c r="B387" s="54" t="s">
        <v>458</v>
      </c>
      <c r="C387" s="55">
        <v>25</v>
      </c>
      <c r="D387" s="55">
        <v>17</v>
      </c>
      <c r="E387" s="55">
        <v>10</v>
      </c>
      <c r="F387" s="55">
        <v>70</v>
      </c>
      <c r="G387" s="55">
        <v>65</v>
      </c>
      <c r="H387" s="55">
        <v>65</v>
      </c>
      <c r="I387" s="55">
        <v>4.12</v>
      </c>
      <c r="J387" s="55">
        <v>3.82</v>
      </c>
      <c r="K387" s="55">
        <v>3.82</v>
      </c>
      <c r="L387" s="55">
        <v>2</v>
      </c>
      <c r="M387" s="54" t="str">
        <f t="shared" ref="M387:M450" si="33">IF(E387&lt;6,"0-6 Months", IF(E387&lt;13, "6-12 Months", IF(E387&lt;19, "12-24 Months", IF(E387&lt;25, "12-24 Months", "24+ Months"))))</f>
        <v>6-12 Months</v>
      </c>
      <c r="N387" s="54" t="str">
        <f t="shared" ref="N387:N450" si="34">IF(E387&lt;6,"12-18 Months", IF(E387&lt;13, "18-24 Months", "24+ Months"))</f>
        <v>18-24 Months</v>
      </c>
      <c r="O387" s="54" t="s">
        <v>7</v>
      </c>
      <c r="P387" s="54">
        <f t="shared" si="30"/>
        <v>25</v>
      </c>
      <c r="Q387">
        <f t="shared" si="31"/>
        <v>25</v>
      </c>
      <c r="R387">
        <f t="shared" si="32"/>
        <v>25</v>
      </c>
    </row>
    <row r="388" spans="1:18" x14ac:dyDescent="0.2">
      <c r="A388" s="54">
        <v>209176</v>
      </c>
      <c r="B388" s="54" t="s">
        <v>1057</v>
      </c>
      <c r="C388" s="55">
        <v>26</v>
      </c>
      <c r="D388" s="55">
        <v>40</v>
      </c>
      <c r="E388" s="55">
        <v>10</v>
      </c>
      <c r="F388" s="55">
        <v>0</v>
      </c>
      <c r="G388" s="55">
        <v>0</v>
      </c>
      <c r="H388" s="55">
        <v>0</v>
      </c>
      <c r="I388" s="55">
        <v>0</v>
      </c>
      <c r="J388" s="55">
        <v>0</v>
      </c>
      <c r="K388" s="55">
        <v>0</v>
      </c>
      <c r="L388" s="55">
        <v>0</v>
      </c>
      <c r="M388" s="54" t="str">
        <f t="shared" si="33"/>
        <v>6-12 Months</v>
      </c>
      <c r="N388" s="54" t="str">
        <f t="shared" si="34"/>
        <v>18-24 Months</v>
      </c>
      <c r="O388" s="54" t="s">
        <v>7</v>
      </c>
      <c r="P388" s="54">
        <f t="shared" si="30"/>
        <v>0</v>
      </c>
      <c r="Q388">
        <f t="shared" si="31"/>
        <v>0</v>
      </c>
      <c r="R388">
        <f t="shared" si="32"/>
        <v>0</v>
      </c>
    </row>
    <row r="389" spans="1:18" x14ac:dyDescent="0.2">
      <c r="A389" s="54">
        <v>108354</v>
      </c>
      <c r="B389" s="54" t="s">
        <v>269</v>
      </c>
      <c r="C389" s="55">
        <v>35</v>
      </c>
      <c r="D389" s="55">
        <v>35</v>
      </c>
      <c r="E389" s="55">
        <v>10</v>
      </c>
      <c r="F389" s="55">
        <v>182</v>
      </c>
      <c r="G389" s="55">
        <v>18</v>
      </c>
      <c r="H389" s="55">
        <v>1</v>
      </c>
      <c r="I389" s="55">
        <v>5.2</v>
      </c>
      <c r="J389" s="55">
        <v>0.51</v>
      </c>
      <c r="K389" s="55">
        <v>0.03</v>
      </c>
      <c r="L389" s="55">
        <v>45</v>
      </c>
      <c r="M389" s="54" t="str">
        <f t="shared" si="33"/>
        <v>6-12 Months</v>
      </c>
      <c r="N389" s="54" t="str">
        <f t="shared" si="34"/>
        <v>18-24 Months</v>
      </c>
      <c r="O389" s="54" t="s">
        <v>7</v>
      </c>
      <c r="P389" s="54">
        <f t="shared" si="30"/>
        <v>35</v>
      </c>
      <c r="Q389">
        <f t="shared" si="31"/>
        <v>35</v>
      </c>
      <c r="R389">
        <f t="shared" si="32"/>
        <v>0</v>
      </c>
    </row>
    <row r="390" spans="1:18" x14ac:dyDescent="0.2">
      <c r="A390" s="54">
        <v>117857</v>
      </c>
      <c r="B390" s="54" t="s">
        <v>427</v>
      </c>
      <c r="C390" s="55">
        <v>38</v>
      </c>
      <c r="D390" s="55">
        <v>230</v>
      </c>
      <c r="E390" s="55">
        <v>10</v>
      </c>
      <c r="F390" s="55">
        <v>56</v>
      </c>
      <c r="G390" s="55">
        <v>34</v>
      </c>
      <c r="H390" s="55">
        <v>11</v>
      </c>
      <c r="I390" s="55">
        <v>0.24</v>
      </c>
      <c r="J390" s="55">
        <v>0.15</v>
      </c>
      <c r="K390" s="55">
        <v>0.05</v>
      </c>
      <c r="L390" s="55">
        <v>5</v>
      </c>
      <c r="M390" s="54" t="str">
        <f t="shared" si="33"/>
        <v>6-12 Months</v>
      </c>
      <c r="N390" s="54" t="str">
        <f t="shared" si="34"/>
        <v>18-24 Months</v>
      </c>
      <c r="O390" s="54" t="s">
        <v>6</v>
      </c>
      <c r="P390" s="54">
        <f t="shared" si="30"/>
        <v>0</v>
      </c>
      <c r="Q390">
        <f t="shared" si="31"/>
        <v>0</v>
      </c>
      <c r="R390">
        <f t="shared" si="32"/>
        <v>0</v>
      </c>
    </row>
    <row r="391" spans="1:18" x14ac:dyDescent="0.2">
      <c r="A391" s="54">
        <v>149335</v>
      </c>
      <c r="B391" s="54" t="s">
        <v>182</v>
      </c>
      <c r="C391" s="55">
        <v>47</v>
      </c>
      <c r="D391" s="55">
        <v>42</v>
      </c>
      <c r="E391" s="55">
        <v>10</v>
      </c>
      <c r="F391" s="55">
        <v>307</v>
      </c>
      <c r="G391" s="55">
        <v>3</v>
      </c>
      <c r="H391" s="55">
        <v>3</v>
      </c>
      <c r="I391" s="55">
        <v>7.31</v>
      </c>
      <c r="J391" s="55">
        <v>7.0000000000000007E-2</v>
      </c>
      <c r="K391" s="55">
        <v>7.0000000000000007E-2</v>
      </c>
      <c r="L391" s="55">
        <v>0</v>
      </c>
      <c r="M391" s="54" t="str">
        <f t="shared" si="33"/>
        <v>6-12 Months</v>
      </c>
      <c r="N391" s="54" t="str">
        <f t="shared" si="34"/>
        <v>18-24 Months</v>
      </c>
      <c r="O391" s="54" t="s">
        <v>7</v>
      </c>
      <c r="P391" s="54">
        <f t="shared" si="30"/>
        <v>47</v>
      </c>
      <c r="Q391">
        <f t="shared" si="31"/>
        <v>47</v>
      </c>
      <c r="R391">
        <f t="shared" si="32"/>
        <v>0</v>
      </c>
    </row>
    <row r="392" spans="1:18" x14ac:dyDescent="0.2">
      <c r="A392" s="54">
        <v>108106</v>
      </c>
      <c r="B392" s="54" t="s">
        <v>314</v>
      </c>
      <c r="C392" s="55">
        <v>51</v>
      </c>
      <c r="D392" s="55">
        <v>35</v>
      </c>
      <c r="E392" s="55">
        <v>10</v>
      </c>
      <c r="F392" s="55">
        <v>96</v>
      </c>
      <c r="G392" s="55">
        <v>77</v>
      </c>
      <c r="H392" s="55">
        <v>25</v>
      </c>
      <c r="I392" s="55">
        <v>2.74</v>
      </c>
      <c r="J392" s="55">
        <v>2.2000000000000002</v>
      </c>
      <c r="K392" s="55">
        <v>0.71</v>
      </c>
      <c r="L392" s="55">
        <v>80</v>
      </c>
      <c r="M392" s="54" t="str">
        <f t="shared" si="33"/>
        <v>6-12 Months</v>
      </c>
      <c r="N392" s="54" t="str">
        <f t="shared" si="34"/>
        <v>18-24 Months</v>
      </c>
      <c r="O392" s="54" t="s">
        <v>7</v>
      </c>
      <c r="P392" s="54">
        <f t="shared" si="30"/>
        <v>51</v>
      </c>
      <c r="Q392">
        <f t="shared" si="31"/>
        <v>51</v>
      </c>
      <c r="R392">
        <f t="shared" si="32"/>
        <v>51</v>
      </c>
    </row>
    <row r="393" spans="1:18" x14ac:dyDescent="0.2">
      <c r="A393" s="54">
        <v>114759</v>
      </c>
      <c r="B393" s="54" t="s">
        <v>220</v>
      </c>
      <c r="C393" s="55">
        <v>51</v>
      </c>
      <c r="D393" s="55">
        <v>67</v>
      </c>
      <c r="E393" s="55">
        <v>10</v>
      </c>
      <c r="F393" s="55">
        <v>298</v>
      </c>
      <c r="G393" s="55">
        <v>29</v>
      </c>
      <c r="H393" s="55">
        <v>26</v>
      </c>
      <c r="I393" s="55">
        <v>4.45</v>
      </c>
      <c r="J393" s="55">
        <v>0.43</v>
      </c>
      <c r="K393" s="55">
        <v>0.39</v>
      </c>
      <c r="L393" s="55">
        <v>13</v>
      </c>
      <c r="M393" s="54" t="str">
        <f t="shared" si="33"/>
        <v>6-12 Months</v>
      </c>
      <c r="N393" s="54" t="str">
        <f t="shared" si="34"/>
        <v>18-24 Months</v>
      </c>
      <c r="O393" s="54" t="s">
        <v>7</v>
      </c>
      <c r="P393" s="54">
        <f t="shared" si="30"/>
        <v>51</v>
      </c>
      <c r="Q393">
        <f t="shared" si="31"/>
        <v>51</v>
      </c>
      <c r="R393">
        <f t="shared" si="32"/>
        <v>0</v>
      </c>
    </row>
    <row r="394" spans="1:18" x14ac:dyDescent="0.2">
      <c r="A394" s="54">
        <v>204302</v>
      </c>
      <c r="B394" s="54" t="s">
        <v>531</v>
      </c>
      <c r="C394" s="55">
        <v>55</v>
      </c>
      <c r="D394" s="55">
        <v>50</v>
      </c>
      <c r="E394" s="55">
        <v>10</v>
      </c>
      <c r="F394" s="55">
        <v>59</v>
      </c>
      <c r="G394" s="55">
        <v>45</v>
      </c>
      <c r="H394" s="55">
        <v>2</v>
      </c>
      <c r="I394" s="55">
        <v>1.18</v>
      </c>
      <c r="J394" s="55">
        <v>0.9</v>
      </c>
      <c r="K394" s="55">
        <v>0.04</v>
      </c>
      <c r="L394" s="55">
        <v>0</v>
      </c>
      <c r="M394" s="54" t="str">
        <f t="shared" si="33"/>
        <v>6-12 Months</v>
      </c>
      <c r="N394" s="54" t="str">
        <f t="shared" si="34"/>
        <v>18-24 Months</v>
      </c>
      <c r="O394" s="54" t="s">
        <v>7</v>
      </c>
      <c r="P394" s="54">
        <f t="shared" si="30"/>
        <v>55</v>
      </c>
      <c r="Q394">
        <f t="shared" si="31"/>
        <v>0</v>
      </c>
      <c r="R394">
        <f t="shared" si="32"/>
        <v>55</v>
      </c>
    </row>
    <row r="395" spans="1:18" x14ac:dyDescent="0.2">
      <c r="A395" s="54">
        <v>310911</v>
      </c>
      <c r="B395" s="54" t="s">
        <v>218</v>
      </c>
      <c r="C395" s="55">
        <v>58</v>
      </c>
      <c r="D395" s="55">
        <v>51</v>
      </c>
      <c r="E395" s="55">
        <v>10</v>
      </c>
      <c r="F395" s="55">
        <v>263</v>
      </c>
      <c r="G395" s="55">
        <v>26</v>
      </c>
      <c r="H395" s="55">
        <v>0</v>
      </c>
      <c r="I395" s="55">
        <v>5.16</v>
      </c>
      <c r="J395" s="55">
        <v>0.51</v>
      </c>
      <c r="K395" s="55">
        <v>0</v>
      </c>
      <c r="L395" s="55">
        <v>0</v>
      </c>
      <c r="M395" s="54" t="str">
        <f t="shared" si="33"/>
        <v>6-12 Months</v>
      </c>
      <c r="N395" s="54" t="str">
        <f t="shared" si="34"/>
        <v>18-24 Months</v>
      </c>
      <c r="O395" s="54" t="s">
        <v>7</v>
      </c>
      <c r="P395" s="54">
        <f t="shared" si="30"/>
        <v>58</v>
      </c>
      <c r="Q395">
        <f t="shared" si="31"/>
        <v>58</v>
      </c>
      <c r="R395">
        <f t="shared" si="32"/>
        <v>0</v>
      </c>
    </row>
    <row r="396" spans="1:18" x14ac:dyDescent="0.2">
      <c r="A396" s="54">
        <v>108877</v>
      </c>
      <c r="B396" s="54" t="s">
        <v>309</v>
      </c>
      <c r="C396" s="55">
        <v>63</v>
      </c>
      <c r="D396" s="55">
        <v>81</v>
      </c>
      <c r="E396" s="55">
        <v>10</v>
      </c>
      <c r="F396" s="55">
        <v>99</v>
      </c>
      <c r="G396" s="55">
        <v>31</v>
      </c>
      <c r="H396" s="55">
        <v>6</v>
      </c>
      <c r="I396" s="55">
        <v>1.22</v>
      </c>
      <c r="J396" s="55">
        <v>0.38</v>
      </c>
      <c r="K396" s="55">
        <v>7.0000000000000007E-2</v>
      </c>
      <c r="L396" s="55">
        <v>13</v>
      </c>
      <c r="M396" s="54" t="str">
        <f t="shared" si="33"/>
        <v>6-12 Months</v>
      </c>
      <c r="N396" s="54" t="str">
        <f t="shared" si="34"/>
        <v>18-24 Months</v>
      </c>
      <c r="O396" s="54" t="s">
        <v>7</v>
      </c>
      <c r="P396" s="54">
        <f t="shared" si="30"/>
        <v>0</v>
      </c>
      <c r="Q396">
        <f t="shared" si="31"/>
        <v>0</v>
      </c>
      <c r="R396">
        <f t="shared" si="32"/>
        <v>0</v>
      </c>
    </row>
    <row r="397" spans="1:18" x14ac:dyDescent="0.2">
      <c r="A397" s="54">
        <v>112627</v>
      </c>
      <c r="B397" s="54" t="s">
        <v>381</v>
      </c>
      <c r="C397" s="55">
        <v>71</v>
      </c>
      <c r="D397" s="55">
        <v>35</v>
      </c>
      <c r="E397" s="55">
        <v>10</v>
      </c>
      <c r="F397" s="55">
        <v>90</v>
      </c>
      <c r="G397" s="55">
        <v>4</v>
      </c>
      <c r="H397" s="55">
        <v>0</v>
      </c>
      <c r="I397" s="55">
        <v>2.57</v>
      </c>
      <c r="J397" s="55">
        <v>0.11</v>
      </c>
      <c r="K397" s="55">
        <v>0</v>
      </c>
      <c r="L397" s="55">
        <v>0</v>
      </c>
      <c r="M397" s="54" t="str">
        <f t="shared" si="33"/>
        <v>6-12 Months</v>
      </c>
      <c r="N397" s="54" t="str">
        <f t="shared" si="34"/>
        <v>18-24 Months</v>
      </c>
      <c r="O397" s="54" t="s">
        <v>7</v>
      </c>
      <c r="P397" s="54">
        <f t="shared" si="30"/>
        <v>71</v>
      </c>
      <c r="Q397">
        <f t="shared" si="31"/>
        <v>71</v>
      </c>
      <c r="R397">
        <f t="shared" si="32"/>
        <v>0</v>
      </c>
    </row>
    <row r="398" spans="1:18" x14ac:dyDescent="0.2">
      <c r="A398" s="54">
        <v>112546</v>
      </c>
      <c r="B398" s="54" t="s">
        <v>249</v>
      </c>
      <c r="C398" s="55">
        <v>82</v>
      </c>
      <c r="D398" s="55">
        <v>130</v>
      </c>
      <c r="E398" s="55">
        <v>10</v>
      </c>
      <c r="F398" s="55">
        <v>369</v>
      </c>
      <c r="G398" s="55">
        <v>346</v>
      </c>
      <c r="H398" s="55">
        <v>344</v>
      </c>
      <c r="I398" s="55">
        <v>2.84</v>
      </c>
      <c r="J398" s="55">
        <v>2.66</v>
      </c>
      <c r="K398" s="55">
        <v>2.65</v>
      </c>
      <c r="L398" s="55">
        <v>78</v>
      </c>
      <c r="M398" s="54" t="str">
        <f t="shared" si="33"/>
        <v>6-12 Months</v>
      </c>
      <c r="N398" s="54" t="str">
        <f t="shared" si="34"/>
        <v>18-24 Months</v>
      </c>
      <c r="O398" s="54" t="s">
        <v>6</v>
      </c>
      <c r="P398" s="54">
        <f t="shared" si="30"/>
        <v>82</v>
      </c>
      <c r="Q398">
        <f t="shared" si="31"/>
        <v>82</v>
      </c>
      <c r="R398">
        <f t="shared" si="32"/>
        <v>82</v>
      </c>
    </row>
    <row r="399" spans="1:18" x14ac:dyDescent="0.2">
      <c r="A399" s="54">
        <v>131884</v>
      </c>
      <c r="B399" s="54" t="s">
        <v>386</v>
      </c>
      <c r="C399" s="55">
        <v>82</v>
      </c>
      <c r="D399" s="55">
        <v>95</v>
      </c>
      <c r="E399" s="55">
        <v>10</v>
      </c>
      <c r="F399" s="55">
        <v>89</v>
      </c>
      <c r="G399" s="55">
        <v>0</v>
      </c>
      <c r="H399" s="55">
        <v>0</v>
      </c>
      <c r="I399" s="55">
        <v>0.94</v>
      </c>
      <c r="J399" s="55">
        <v>0</v>
      </c>
      <c r="K399" s="55">
        <v>0</v>
      </c>
      <c r="L399" s="55">
        <v>0</v>
      </c>
      <c r="M399" s="54" t="str">
        <f t="shared" si="33"/>
        <v>6-12 Months</v>
      </c>
      <c r="N399" s="54" t="str">
        <f t="shared" si="34"/>
        <v>18-24 Months</v>
      </c>
      <c r="O399" s="54" t="s">
        <v>7</v>
      </c>
      <c r="P399" s="54">
        <f t="shared" si="30"/>
        <v>0</v>
      </c>
      <c r="Q399">
        <f t="shared" si="31"/>
        <v>0</v>
      </c>
      <c r="R399">
        <f t="shared" si="32"/>
        <v>0</v>
      </c>
    </row>
    <row r="400" spans="1:18" x14ac:dyDescent="0.2">
      <c r="A400" s="54">
        <v>109374</v>
      </c>
      <c r="B400" s="54" t="s">
        <v>157</v>
      </c>
      <c r="C400" s="55">
        <v>101</v>
      </c>
      <c r="D400" s="55">
        <v>100</v>
      </c>
      <c r="E400" s="55">
        <v>10</v>
      </c>
      <c r="F400" s="55">
        <v>494</v>
      </c>
      <c r="G400" s="55">
        <v>45</v>
      </c>
      <c r="H400" s="55">
        <v>24</v>
      </c>
      <c r="I400" s="55">
        <v>4.9400000000000004</v>
      </c>
      <c r="J400" s="55">
        <v>0.45</v>
      </c>
      <c r="K400" s="55">
        <v>0.24</v>
      </c>
      <c r="L400" s="55">
        <v>6</v>
      </c>
      <c r="M400" s="54" t="str">
        <f t="shared" si="33"/>
        <v>6-12 Months</v>
      </c>
      <c r="N400" s="54" t="str">
        <f t="shared" si="34"/>
        <v>18-24 Months</v>
      </c>
      <c r="O400" s="54" t="s">
        <v>6</v>
      </c>
      <c r="P400" s="54">
        <f t="shared" si="30"/>
        <v>101</v>
      </c>
      <c r="Q400">
        <f t="shared" si="31"/>
        <v>101</v>
      </c>
      <c r="R400">
        <f t="shared" si="32"/>
        <v>0</v>
      </c>
    </row>
    <row r="401" spans="1:18" x14ac:dyDescent="0.2">
      <c r="A401" s="54">
        <v>465967</v>
      </c>
      <c r="B401" s="54" t="s">
        <v>461</v>
      </c>
      <c r="C401" s="55">
        <v>109</v>
      </c>
      <c r="D401" s="55">
        <v>125</v>
      </c>
      <c r="E401" s="55">
        <v>10</v>
      </c>
      <c r="F401" s="55">
        <v>30</v>
      </c>
      <c r="G401" s="55">
        <v>0</v>
      </c>
      <c r="H401" s="55">
        <v>0</v>
      </c>
      <c r="I401" s="55">
        <v>0.24</v>
      </c>
      <c r="J401" s="55">
        <v>0</v>
      </c>
      <c r="K401" s="55">
        <v>0</v>
      </c>
      <c r="L401" s="55">
        <v>2</v>
      </c>
      <c r="M401" s="54" t="str">
        <f t="shared" si="33"/>
        <v>6-12 Months</v>
      </c>
      <c r="N401" s="54" t="str">
        <f t="shared" si="34"/>
        <v>18-24 Months</v>
      </c>
      <c r="O401" s="54" t="s">
        <v>6</v>
      </c>
      <c r="P401" s="54">
        <f t="shared" si="30"/>
        <v>0</v>
      </c>
      <c r="Q401">
        <f t="shared" si="31"/>
        <v>0</v>
      </c>
      <c r="R401">
        <f t="shared" si="32"/>
        <v>0</v>
      </c>
    </row>
    <row r="402" spans="1:18" x14ac:dyDescent="0.2">
      <c r="A402" s="54">
        <v>110526</v>
      </c>
      <c r="B402" s="54" t="s">
        <v>141</v>
      </c>
      <c r="C402" s="55">
        <v>119</v>
      </c>
      <c r="D402" s="55">
        <v>125</v>
      </c>
      <c r="E402" s="55">
        <v>10</v>
      </c>
      <c r="F402" s="55">
        <v>407</v>
      </c>
      <c r="G402" s="55">
        <v>37</v>
      </c>
      <c r="H402" s="55">
        <v>20</v>
      </c>
      <c r="I402" s="55">
        <v>3.26</v>
      </c>
      <c r="J402" s="55">
        <v>0.3</v>
      </c>
      <c r="K402" s="55">
        <v>0.16</v>
      </c>
      <c r="L402" s="55">
        <v>354</v>
      </c>
      <c r="M402" s="54" t="str">
        <f t="shared" si="33"/>
        <v>6-12 Months</v>
      </c>
      <c r="N402" s="54" t="str">
        <f t="shared" si="34"/>
        <v>18-24 Months</v>
      </c>
      <c r="O402" s="54" t="s">
        <v>6</v>
      </c>
      <c r="P402" s="54">
        <f t="shared" si="30"/>
        <v>119</v>
      </c>
      <c r="Q402">
        <f t="shared" si="31"/>
        <v>119</v>
      </c>
      <c r="R402">
        <f t="shared" si="32"/>
        <v>0</v>
      </c>
    </row>
    <row r="403" spans="1:18" x14ac:dyDescent="0.2">
      <c r="A403" s="54">
        <v>116147</v>
      </c>
      <c r="B403" s="54" t="s">
        <v>229</v>
      </c>
      <c r="C403" s="55">
        <v>128</v>
      </c>
      <c r="D403" s="55">
        <v>201</v>
      </c>
      <c r="E403" s="55">
        <v>10</v>
      </c>
      <c r="F403" s="55">
        <v>250</v>
      </c>
      <c r="G403" s="55">
        <v>202</v>
      </c>
      <c r="H403" s="55">
        <v>0</v>
      </c>
      <c r="I403" s="55">
        <v>1.32</v>
      </c>
      <c r="J403" s="55">
        <v>1.06</v>
      </c>
      <c r="K403" s="55">
        <v>0</v>
      </c>
      <c r="L403" s="55">
        <v>42</v>
      </c>
      <c r="M403" s="54" t="str">
        <f t="shared" si="33"/>
        <v>6-12 Months</v>
      </c>
      <c r="N403" s="54" t="str">
        <f t="shared" si="34"/>
        <v>18-24 Months</v>
      </c>
      <c r="O403" s="54" t="s">
        <v>6</v>
      </c>
      <c r="P403" s="54">
        <f t="shared" si="30"/>
        <v>128</v>
      </c>
      <c r="Q403">
        <f t="shared" si="31"/>
        <v>0</v>
      </c>
      <c r="R403">
        <f t="shared" si="32"/>
        <v>128</v>
      </c>
    </row>
    <row r="404" spans="1:18" x14ac:dyDescent="0.2">
      <c r="A404" s="54">
        <v>112610</v>
      </c>
      <c r="B404" s="54" t="s">
        <v>250</v>
      </c>
      <c r="C404" s="55">
        <v>144</v>
      </c>
      <c r="D404" s="55">
        <v>126</v>
      </c>
      <c r="E404" s="55">
        <v>10</v>
      </c>
      <c r="F404" s="55">
        <v>279</v>
      </c>
      <c r="G404" s="55">
        <v>37</v>
      </c>
      <c r="H404" s="55">
        <v>8</v>
      </c>
      <c r="I404" s="55">
        <v>2.21</v>
      </c>
      <c r="J404" s="55">
        <v>0.28999999999999998</v>
      </c>
      <c r="K404" s="55">
        <v>0.06</v>
      </c>
      <c r="L404" s="55">
        <v>6</v>
      </c>
      <c r="M404" s="54" t="str">
        <f t="shared" si="33"/>
        <v>6-12 Months</v>
      </c>
      <c r="N404" s="54" t="str">
        <f t="shared" si="34"/>
        <v>18-24 Months</v>
      </c>
      <c r="O404" s="54" t="s">
        <v>6</v>
      </c>
      <c r="P404" s="54">
        <f t="shared" si="30"/>
        <v>144</v>
      </c>
      <c r="Q404">
        <f t="shared" si="31"/>
        <v>144</v>
      </c>
      <c r="R404">
        <f t="shared" si="32"/>
        <v>0</v>
      </c>
    </row>
    <row r="405" spans="1:18" x14ac:dyDescent="0.2">
      <c r="A405" s="54">
        <v>113502</v>
      </c>
      <c r="B405" s="54" t="s">
        <v>525</v>
      </c>
      <c r="C405" s="55">
        <v>145</v>
      </c>
      <c r="D405" s="55">
        <v>128</v>
      </c>
      <c r="E405" s="55">
        <v>10</v>
      </c>
      <c r="F405" s="55">
        <v>6</v>
      </c>
      <c r="G405" s="55">
        <v>0</v>
      </c>
      <c r="H405" s="55">
        <v>0</v>
      </c>
      <c r="I405" s="55">
        <v>0.05</v>
      </c>
      <c r="J405" s="55">
        <v>0</v>
      </c>
      <c r="K405" s="55">
        <v>0</v>
      </c>
      <c r="L405" s="55">
        <v>0</v>
      </c>
      <c r="M405" s="54" t="str">
        <f t="shared" si="33"/>
        <v>6-12 Months</v>
      </c>
      <c r="N405" s="54" t="str">
        <f t="shared" si="34"/>
        <v>18-24 Months</v>
      </c>
      <c r="O405" s="54" t="s">
        <v>6</v>
      </c>
      <c r="P405" s="54">
        <f t="shared" si="30"/>
        <v>0</v>
      </c>
      <c r="Q405">
        <f t="shared" si="31"/>
        <v>0</v>
      </c>
      <c r="R405">
        <f t="shared" si="32"/>
        <v>0</v>
      </c>
    </row>
    <row r="406" spans="1:18" x14ac:dyDescent="0.2">
      <c r="A406" s="54">
        <v>210651</v>
      </c>
      <c r="B406" s="54" t="s">
        <v>678</v>
      </c>
      <c r="C406" s="55">
        <v>150</v>
      </c>
      <c r="D406" s="55">
        <v>180</v>
      </c>
      <c r="E406" s="55">
        <v>10</v>
      </c>
      <c r="F406" s="55">
        <v>0</v>
      </c>
      <c r="G406" s="55">
        <v>0</v>
      </c>
      <c r="H406" s="55">
        <v>0</v>
      </c>
      <c r="I406" s="55">
        <v>0</v>
      </c>
      <c r="J406" s="55">
        <v>0</v>
      </c>
      <c r="K406" s="55">
        <v>0</v>
      </c>
      <c r="L406" s="55">
        <v>0</v>
      </c>
      <c r="M406" s="54" t="str">
        <f t="shared" si="33"/>
        <v>6-12 Months</v>
      </c>
      <c r="N406" s="54" t="str">
        <f t="shared" si="34"/>
        <v>18-24 Months</v>
      </c>
      <c r="O406" s="54" t="s">
        <v>6</v>
      </c>
      <c r="P406" s="54">
        <f t="shared" si="30"/>
        <v>0</v>
      </c>
      <c r="Q406">
        <f t="shared" si="31"/>
        <v>0</v>
      </c>
      <c r="R406">
        <f t="shared" si="32"/>
        <v>0</v>
      </c>
    </row>
    <row r="407" spans="1:18" x14ac:dyDescent="0.2">
      <c r="A407" s="54">
        <v>112577</v>
      </c>
      <c r="B407" s="54" t="s">
        <v>293</v>
      </c>
      <c r="C407" s="55">
        <v>202</v>
      </c>
      <c r="D407" s="55">
        <v>134</v>
      </c>
      <c r="E407" s="55">
        <v>10</v>
      </c>
      <c r="F407" s="55">
        <v>94</v>
      </c>
      <c r="G407" s="55">
        <v>49</v>
      </c>
      <c r="H407" s="55">
        <v>2</v>
      </c>
      <c r="I407" s="55">
        <v>0.7</v>
      </c>
      <c r="J407" s="55">
        <v>0.37</v>
      </c>
      <c r="K407" s="55">
        <v>0.01</v>
      </c>
      <c r="L407" s="55">
        <v>7</v>
      </c>
      <c r="M407" s="54" t="str">
        <f t="shared" si="33"/>
        <v>6-12 Months</v>
      </c>
      <c r="N407" s="54" t="str">
        <f t="shared" si="34"/>
        <v>18-24 Months</v>
      </c>
      <c r="O407" s="54" t="s">
        <v>6</v>
      </c>
      <c r="P407" s="54">
        <f t="shared" si="30"/>
        <v>0</v>
      </c>
      <c r="Q407">
        <f t="shared" si="31"/>
        <v>0</v>
      </c>
      <c r="R407">
        <f t="shared" si="32"/>
        <v>0</v>
      </c>
    </row>
    <row r="408" spans="1:18" x14ac:dyDescent="0.2">
      <c r="A408" s="54">
        <v>134938</v>
      </c>
      <c r="B408" s="54" t="s">
        <v>444</v>
      </c>
      <c r="C408" s="55">
        <v>204</v>
      </c>
      <c r="D408" s="55">
        <v>193</v>
      </c>
      <c r="E408" s="55">
        <v>10</v>
      </c>
      <c r="F408" s="55">
        <v>40</v>
      </c>
      <c r="G408" s="55">
        <v>10</v>
      </c>
      <c r="H408" s="55">
        <v>10</v>
      </c>
      <c r="I408" s="55">
        <v>0.21</v>
      </c>
      <c r="J408" s="55">
        <v>0.05</v>
      </c>
      <c r="K408" s="55">
        <v>0.05</v>
      </c>
      <c r="L408" s="55">
        <v>0</v>
      </c>
      <c r="M408" s="54" t="str">
        <f t="shared" si="33"/>
        <v>6-12 Months</v>
      </c>
      <c r="N408" s="54" t="str">
        <f t="shared" si="34"/>
        <v>18-24 Months</v>
      </c>
      <c r="O408" s="54" t="s">
        <v>6</v>
      </c>
      <c r="P408" s="54">
        <f t="shared" si="30"/>
        <v>0</v>
      </c>
      <c r="Q408">
        <f t="shared" si="31"/>
        <v>0</v>
      </c>
      <c r="R408">
        <f t="shared" si="32"/>
        <v>0</v>
      </c>
    </row>
    <row r="409" spans="1:18" x14ac:dyDescent="0.2">
      <c r="A409" s="54">
        <v>321833</v>
      </c>
      <c r="B409" s="54" t="s">
        <v>201</v>
      </c>
      <c r="C409" s="55">
        <v>206</v>
      </c>
      <c r="D409" s="55">
        <v>250</v>
      </c>
      <c r="E409" s="55">
        <v>10</v>
      </c>
      <c r="F409" s="55">
        <v>729</v>
      </c>
      <c r="G409" s="55">
        <v>65</v>
      </c>
      <c r="H409" s="55">
        <v>65</v>
      </c>
      <c r="I409" s="55">
        <v>2.92</v>
      </c>
      <c r="J409" s="55">
        <v>0.26</v>
      </c>
      <c r="K409" s="55">
        <v>0.26</v>
      </c>
      <c r="L409" s="55">
        <v>0</v>
      </c>
      <c r="M409" s="54" t="str">
        <f t="shared" si="33"/>
        <v>6-12 Months</v>
      </c>
      <c r="N409" s="54" t="str">
        <f t="shared" si="34"/>
        <v>18-24 Months</v>
      </c>
      <c r="O409" s="54" t="s">
        <v>6</v>
      </c>
      <c r="P409" s="54">
        <f t="shared" si="30"/>
        <v>206</v>
      </c>
      <c r="Q409">
        <f t="shared" si="31"/>
        <v>206</v>
      </c>
      <c r="R409">
        <f t="shared" si="32"/>
        <v>0</v>
      </c>
    </row>
    <row r="410" spans="1:18" x14ac:dyDescent="0.2">
      <c r="A410" s="54">
        <v>129364</v>
      </c>
      <c r="B410" s="54" t="s">
        <v>82</v>
      </c>
      <c r="C410" s="55">
        <v>209</v>
      </c>
      <c r="D410" s="55">
        <v>233</v>
      </c>
      <c r="E410" s="55">
        <v>10</v>
      </c>
      <c r="F410" s="55">
        <v>1767</v>
      </c>
      <c r="G410" s="55">
        <v>1695</v>
      </c>
      <c r="H410" s="55">
        <v>1468</v>
      </c>
      <c r="I410" s="55">
        <v>7.58</v>
      </c>
      <c r="J410" s="55">
        <v>7.27</v>
      </c>
      <c r="K410" s="55">
        <v>6.3</v>
      </c>
      <c r="L410" s="55">
        <v>62</v>
      </c>
      <c r="M410" s="54" t="str">
        <f t="shared" si="33"/>
        <v>6-12 Months</v>
      </c>
      <c r="N410" s="54" t="str">
        <f t="shared" si="34"/>
        <v>18-24 Months</v>
      </c>
      <c r="O410" s="54" t="s">
        <v>6</v>
      </c>
      <c r="P410" s="54">
        <f t="shared" si="30"/>
        <v>209</v>
      </c>
      <c r="Q410">
        <f t="shared" si="31"/>
        <v>209</v>
      </c>
      <c r="R410">
        <f t="shared" si="32"/>
        <v>209</v>
      </c>
    </row>
    <row r="411" spans="1:18" x14ac:dyDescent="0.2">
      <c r="A411" s="54">
        <v>108362</v>
      </c>
      <c r="B411" s="54" t="s">
        <v>574</v>
      </c>
      <c r="C411" s="55">
        <v>215</v>
      </c>
      <c r="D411" s="55">
        <v>290</v>
      </c>
      <c r="E411" s="55">
        <v>10</v>
      </c>
      <c r="F411" s="55">
        <v>6</v>
      </c>
      <c r="G411" s="55">
        <v>6</v>
      </c>
      <c r="H411" s="55">
        <v>5</v>
      </c>
      <c r="I411" s="55">
        <v>0.02</v>
      </c>
      <c r="J411" s="55">
        <v>0.02</v>
      </c>
      <c r="K411" s="55">
        <v>0.02</v>
      </c>
      <c r="L411" s="55">
        <v>5</v>
      </c>
      <c r="M411" s="54" t="str">
        <f t="shared" si="33"/>
        <v>6-12 Months</v>
      </c>
      <c r="N411" s="54" t="str">
        <f t="shared" si="34"/>
        <v>18-24 Months</v>
      </c>
      <c r="O411" s="54" t="s">
        <v>6</v>
      </c>
      <c r="P411" s="54">
        <f t="shared" si="30"/>
        <v>0</v>
      </c>
      <c r="Q411">
        <f t="shared" si="31"/>
        <v>0</v>
      </c>
      <c r="R411">
        <f t="shared" si="32"/>
        <v>0</v>
      </c>
    </row>
    <row r="412" spans="1:18" x14ac:dyDescent="0.2">
      <c r="A412" s="54">
        <v>129244</v>
      </c>
      <c r="B412" s="54" t="s">
        <v>421</v>
      </c>
      <c r="C412" s="55">
        <v>215</v>
      </c>
      <c r="D412" s="55">
        <v>1050</v>
      </c>
      <c r="E412" s="55">
        <v>10</v>
      </c>
      <c r="F412" s="55">
        <v>147</v>
      </c>
      <c r="G412" s="55">
        <v>70</v>
      </c>
      <c r="H412" s="55">
        <v>70</v>
      </c>
      <c r="I412" s="55">
        <v>0.14000000000000001</v>
      </c>
      <c r="J412" s="55">
        <v>7.0000000000000007E-2</v>
      </c>
      <c r="K412" s="55">
        <v>7.0000000000000007E-2</v>
      </c>
      <c r="L412" s="55">
        <v>134</v>
      </c>
      <c r="M412" s="54" t="str">
        <f t="shared" si="33"/>
        <v>6-12 Months</v>
      </c>
      <c r="N412" s="54" t="str">
        <f t="shared" si="34"/>
        <v>18-24 Months</v>
      </c>
      <c r="O412" s="54" t="s">
        <v>5</v>
      </c>
      <c r="P412" s="54">
        <f t="shared" si="30"/>
        <v>0</v>
      </c>
      <c r="Q412">
        <f t="shared" si="31"/>
        <v>0</v>
      </c>
      <c r="R412">
        <f t="shared" si="32"/>
        <v>0</v>
      </c>
    </row>
    <row r="413" spans="1:18" x14ac:dyDescent="0.2">
      <c r="A413" s="54">
        <v>109685</v>
      </c>
      <c r="B413" s="54" t="s">
        <v>291</v>
      </c>
      <c r="C413" s="55">
        <v>219</v>
      </c>
      <c r="D413" s="55">
        <v>218</v>
      </c>
      <c r="E413" s="55">
        <v>10</v>
      </c>
      <c r="F413" s="55">
        <v>233</v>
      </c>
      <c r="G413" s="55">
        <v>105</v>
      </c>
      <c r="H413" s="55">
        <v>2</v>
      </c>
      <c r="I413" s="55">
        <v>1.07</v>
      </c>
      <c r="J413" s="55">
        <v>0.48</v>
      </c>
      <c r="K413" s="55">
        <v>0.01</v>
      </c>
      <c r="L413" s="55">
        <v>0</v>
      </c>
      <c r="M413" s="54" t="str">
        <f t="shared" si="33"/>
        <v>6-12 Months</v>
      </c>
      <c r="N413" s="54" t="str">
        <f t="shared" si="34"/>
        <v>18-24 Months</v>
      </c>
      <c r="O413" s="54" t="s">
        <v>6</v>
      </c>
      <c r="P413" s="54">
        <f t="shared" si="30"/>
        <v>0</v>
      </c>
      <c r="Q413">
        <f t="shared" si="31"/>
        <v>0</v>
      </c>
      <c r="R413">
        <f t="shared" si="32"/>
        <v>0</v>
      </c>
    </row>
    <row r="414" spans="1:18" x14ac:dyDescent="0.2">
      <c r="A414" s="54">
        <v>491705</v>
      </c>
      <c r="B414" s="54" t="s">
        <v>302</v>
      </c>
      <c r="C414" s="55">
        <v>226</v>
      </c>
      <c r="D414" s="55">
        <v>140</v>
      </c>
      <c r="E414" s="55">
        <v>10</v>
      </c>
      <c r="F414" s="55">
        <v>131</v>
      </c>
      <c r="G414" s="55">
        <v>78</v>
      </c>
      <c r="H414" s="55">
        <v>31</v>
      </c>
      <c r="I414" s="55">
        <v>0.94</v>
      </c>
      <c r="J414" s="55">
        <v>0.56000000000000005</v>
      </c>
      <c r="K414" s="55">
        <v>0.22</v>
      </c>
      <c r="L414" s="55">
        <v>229</v>
      </c>
      <c r="M414" s="54" t="str">
        <f t="shared" si="33"/>
        <v>6-12 Months</v>
      </c>
      <c r="N414" s="54" t="str">
        <f t="shared" si="34"/>
        <v>18-24 Months</v>
      </c>
      <c r="O414" s="54" t="s">
        <v>6</v>
      </c>
      <c r="P414" s="54">
        <f t="shared" si="30"/>
        <v>0</v>
      </c>
      <c r="Q414">
        <f t="shared" si="31"/>
        <v>0</v>
      </c>
      <c r="R414">
        <f t="shared" si="32"/>
        <v>0</v>
      </c>
    </row>
    <row r="415" spans="1:18" x14ac:dyDescent="0.2">
      <c r="A415" s="54">
        <v>107989</v>
      </c>
      <c r="B415" s="54" t="s">
        <v>95</v>
      </c>
      <c r="C415" s="55">
        <v>236</v>
      </c>
      <c r="D415" s="55">
        <v>255</v>
      </c>
      <c r="E415" s="55">
        <v>10</v>
      </c>
      <c r="F415" s="55">
        <v>886</v>
      </c>
      <c r="G415" s="55">
        <v>344</v>
      </c>
      <c r="H415" s="55">
        <v>234</v>
      </c>
      <c r="I415" s="55">
        <v>3.47</v>
      </c>
      <c r="J415" s="55">
        <v>1.35</v>
      </c>
      <c r="K415" s="55">
        <v>0.92</v>
      </c>
      <c r="L415" s="55">
        <v>1</v>
      </c>
      <c r="M415" s="54" t="str">
        <f t="shared" si="33"/>
        <v>6-12 Months</v>
      </c>
      <c r="N415" s="54" t="str">
        <f t="shared" si="34"/>
        <v>18-24 Months</v>
      </c>
      <c r="O415" s="54" t="s">
        <v>6</v>
      </c>
      <c r="P415" s="54">
        <f t="shared" si="30"/>
        <v>236</v>
      </c>
      <c r="Q415">
        <f t="shared" si="31"/>
        <v>236</v>
      </c>
      <c r="R415">
        <f t="shared" si="32"/>
        <v>236</v>
      </c>
    </row>
    <row r="416" spans="1:18" x14ac:dyDescent="0.2">
      <c r="A416" s="54">
        <v>471191</v>
      </c>
      <c r="B416" s="54" t="s">
        <v>102</v>
      </c>
      <c r="C416" s="55">
        <v>239</v>
      </c>
      <c r="D416" s="55">
        <v>190</v>
      </c>
      <c r="E416" s="55">
        <v>10</v>
      </c>
      <c r="F416" s="55">
        <v>827</v>
      </c>
      <c r="G416" s="55">
        <v>83</v>
      </c>
      <c r="H416" s="55">
        <v>38</v>
      </c>
      <c r="I416" s="55">
        <v>4.3499999999999996</v>
      </c>
      <c r="J416" s="55">
        <v>0.44</v>
      </c>
      <c r="K416" s="55">
        <v>0.2</v>
      </c>
      <c r="L416" s="55">
        <v>75</v>
      </c>
      <c r="M416" s="54" t="str">
        <f t="shared" si="33"/>
        <v>6-12 Months</v>
      </c>
      <c r="N416" s="54" t="str">
        <f t="shared" si="34"/>
        <v>18-24 Months</v>
      </c>
      <c r="O416" s="54" t="s">
        <v>6</v>
      </c>
      <c r="P416" s="54">
        <f t="shared" si="30"/>
        <v>239</v>
      </c>
      <c r="Q416">
        <f t="shared" si="31"/>
        <v>239</v>
      </c>
      <c r="R416">
        <f t="shared" si="32"/>
        <v>0</v>
      </c>
    </row>
    <row r="417" spans="1:18" x14ac:dyDescent="0.2">
      <c r="A417" s="54">
        <v>105751</v>
      </c>
      <c r="B417" s="54" t="s">
        <v>186</v>
      </c>
      <c r="C417" s="55">
        <v>248</v>
      </c>
      <c r="D417" s="55">
        <v>205</v>
      </c>
      <c r="E417" s="55">
        <v>10</v>
      </c>
      <c r="F417" s="55">
        <v>478</v>
      </c>
      <c r="G417" s="55">
        <v>204</v>
      </c>
      <c r="H417" s="55">
        <v>104</v>
      </c>
      <c r="I417" s="55">
        <v>2.33</v>
      </c>
      <c r="J417" s="55">
        <v>1</v>
      </c>
      <c r="K417" s="55">
        <v>0.51</v>
      </c>
      <c r="L417" s="55">
        <v>39</v>
      </c>
      <c r="M417" s="54" t="str">
        <f t="shared" si="33"/>
        <v>6-12 Months</v>
      </c>
      <c r="N417" s="54" t="str">
        <f t="shared" si="34"/>
        <v>18-24 Months</v>
      </c>
      <c r="O417" s="54" t="s">
        <v>6</v>
      </c>
      <c r="P417" s="54">
        <f t="shared" si="30"/>
        <v>248</v>
      </c>
      <c r="Q417">
        <f t="shared" si="31"/>
        <v>248</v>
      </c>
      <c r="R417">
        <f t="shared" si="32"/>
        <v>248</v>
      </c>
    </row>
    <row r="418" spans="1:18" x14ac:dyDescent="0.2">
      <c r="A418" s="54">
        <v>110404</v>
      </c>
      <c r="B418" s="54" t="s">
        <v>86</v>
      </c>
      <c r="C418" s="55">
        <v>248</v>
      </c>
      <c r="D418" s="55">
        <v>227</v>
      </c>
      <c r="E418" s="55">
        <v>10</v>
      </c>
      <c r="F418" s="55">
        <v>522</v>
      </c>
      <c r="G418" s="55">
        <v>72</v>
      </c>
      <c r="H418" s="55">
        <v>35</v>
      </c>
      <c r="I418" s="55">
        <v>2.2999999999999998</v>
      </c>
      <c r="J418" s="55">
        <v>0.32</v>
      </c>
      <c r="K418" s="55">
        <v>0.15</v>
      </c>
      <c r="L418" s="55">
        <v>3</v>
      </c>
      <c r="M418" s="54" t="str">
        <f t="shared" si="33"/>
        <v>6-12 Months</v>
      </c>
      <c r="N418" s="54" t="str">
        <f t="shared" si="34"/>
        <v>18-24 Months</v>
      </c>
      <c r="O418" s="54" t="s">
        <v>6</v>
      </c>
      <c r="P418" s="54">
        <f t="shared" si="30"/>
        <v>248</v>
      </c>
      <c r="Q418">
        <f t="shared" si="31"/>
        <v>248</v>
      </c>
      <c r="R418">
        <f t="shared" si="32"/>
        <v>0</v>
      </c>
    </row>
    <row r="419" spans="1:18" x14ac:dyDescent="0.2">
      <c r="A419" s="54">
        <v>109205</v>
      </c>
      <c r="B419" s="54" t="s">
        <v>491</v>
      </c>
      <c r="C419" s="55">
        <v>249</v>
      </c>
      <c r="D419" s="55">
        <v>429</v>
      </c>
      <c r="E419" s="55">
        <v>10</v>
      </c>
      <c r="F419" s="55">
        <v>19</v>
      </c>
      <c r="G419" s="55">
        <v>14</v>
      </c>
      <c r="H419" s="55">
        <v>0</v>
      </c>
      <c r="I419" s="55">
        <v>0.04</v>
      </c>
      <c r="J419" s="55">
        <v>0.03</v>
      </c>
      <c r="K419" s="55">
        <v>0</v>
      </c>
      <c r="L419" s="55">
        <v>83</v>
      </c>
      <c r="M419" s="54" t="str">
        <f t="shared" si="33"/>
        <v>6-12 Months</v>
      </c>
      <c r="N419" s="54" t="str">
        <f t="shared" si="34"/>
        <v>18-24 Months</v>
      </c>
      <c r="O419" s="54" t="s">
        <v>6</v>
      </c>
      <c r="P419" s="54">
        <f t="shared" si="30"/>
        <v>0</v>
      </c>
      <c r="Q419">
        <f t="shared" si="31"/>
        <v>0</v>
      </c>
      <c r="R419">
        <f t="shared" si="32"/>
        <v>0</v>
      </c>
    </row>
    <row r="420" spans="1:18" x14ac:dyDescent="0.2">
      <c r="A420" s="54">
        <v>110600</v>
      </c>
      <c r="B420" s="54" t="s">
        <v>90</v>
      </c>
      <c r="C420" s="55">
        <v>255</v>
      </c>
      <c r="D420" s="55">
        <v>262</v>
      </c>
      <c r="E420" s="55">
        <v>10</v>
      </c>
      <c r="F420" s="55">
        <v>650</v>
      </c>
      <c r="G420" s="55">
        <v>545</v>
      </c>
      <c r="H420" s="55">
        <v>10</v>
      </c>
      <c r="I420" s="55">
        <v>2.48</v>
      </c>
      <c r="J420" s="55">
        <v>2.08</v>
      </c>
      <c r="K420" s="55">
        <v>0.04</v>
      </c>
      <c r="L420" s="55">
        <v>140</v>
      </c>
      <c r="M420" s="54" t="str">
        <f t="shared" si="33"/>
        <v>6-12 Months</v>
      </c>
      <c r="N420" s="54" t="str">
        <f t="shared" si="34"/>
        <v>18-24 Months</v>
      </c>
      <c r="O420" s="54" t="s">
        <v>6</v>
      </c>
      <c r="P420" s="54">
        <f t="shared" si="30"/>
        <v>255</v>
      </c>
      <c r="Q420">
        <f t="shared" si="31"/>
        <v>255</v>
      </c>
      <c r="R420">
        <f t="shared" si="32"/>
        <v>255</v>
      </c>
    </row>
    <row r="421" spans="1:18" x14ac:dyDescent="0.2">
      <c r="A421" s="54">
        <v>309995</v>
      </c>
      <c r="B421" s="54" t="s">
        <v>107</v>
      </c>
      <c r="C421" s="55">
        <v>458</v>
      </c>
      <c r="D421" s="55">
        <v>450</v>
      </c>
      <c r="E421" s="55">
        <v>10</v>
      </c>
      <c r="F421" s="55">
        <v>868</v>
      </c>
      <c r="G421" s="55">
        <v>113</v>
      </c>
      <c r="H421" s="55">
        <v>4</v>
      </c>
      <c r="I421" s="55">
        <v>1.93</v>
      </c>
      <c r="J421" s="55">
        <v>0.25</v>
      </c>
      <c r="K421" s="55">
        <v>0.01</v>
      </c>
      <c r="L421" s="55">
        <v>73</v>
      </c>
      <c r="M421" s="54" t="str">
        <f t="shared" si="33"/>
        <v>6-12 Months</v>
      </c>
      <c r="N421" s="54" t="str">
        <f t="shared" si="34"/>
        <v>18-24 Months</v>
      </c>
      <c r="O421" s="54" t="s">
        <v>6</v>
      </c>
      <c r="P421" s="54">
        <f t="shared" si="30"/>
        <v>0</v>
      </c>
      <c r="Q421">
        <f t="shared" si="31"/>
        <v>0</v>
      </c>
      <c r="R421">
        <f t="shared" si="32"/>
        <v>0</v>
      </c>
    </row>
    <row r="422" spans="1:18" x14ac:dyDescent="0.2">
      <c r="A422" s="54">
        <v>107824</v>
      </c>
      <c r="B422" s="54" t="s">
        <v>97</v>
      </c>
      <c r="C422" s="55">
        <v>565</v>
      </c>
      <c r="D422" s="55">
        <v>505</v>
      </c>
      <c r="E422" s="55">
        <v>10</v>
      </c>
      <c r="F422" s="55">
        <v>1367</v>
      </c>
      <c r="G422" s="55">
        <v>692</v>
      </c>
      <c r="H422" s="55">
        <v>103</v>
      </c>
      <c r="I422" s="55">
        <v>2.71</v>
      </c>
      <c r="J422" s="55">
        <v>1.37</v>
      </c>
      <c r="K422" s="55">
        <v>0.2</v>
      </c>
      <c r="L422" s="55">
        <v>23</v>
      </c>
      <c r="M422" s="54" t="str">
        <f t="shared" si="33"/>
        <v>6-12 Months</v>
      </c>
      <c r="N422" s="54" t="str">
        <f t="shared" si="34"/>
        <v>18-24 Months</v>
      </c>
      <c r="O422" s="54" t="s">
        <v>6</v>
      </c>
      <c r="P422" s="54">
        <f t="shared" si="30"/>
        <v>565</v>
      </c>
      <c r="Q422">
        <f t="shared" si="31"/>
        <v>565</v>
      </c>
      <c r="R422">
        <f t="shared" si="32"/>
        <v>565</v>
      </c>
    </row>
    <row r="423" spans="1:18" x14ac:dyDescent="0.2">
      <c r="A423" s="54">
        <v>127250</v>
      </c>
      <c r="B423" s="54" t="s">
        <v>68</v>
      </c>
      <c r="C423" s="55">
        <v>625</v>
      </c>
      <c r="D423" s="55">
        <v>470</v>
      </c>
      <c r="E423" s="55">
        <v>10</v>
      </c>
      <c r="F423" s="55">
        <v>945</v>
      </c>
      <c r="G423" s="55">
        <v>866</v>
      </c>
      <c r="H423" s="55">
        <v>267</v>
      </c>
      <c r="I423" s="55">
        <v>2.0099999999999998</v>
      </c>
      <c r="J423" s="55">
        <v>1.84</v>
      </c>
      <c r="K423" s="55">
        <v>0.56999999999999995</v>
      </c>
      <c r="L423" s="55">
        <v>29</v>
      </c>
      <c r="M423" s="54" t="str">
        <f t="shared" si="33"/>
        <v>6-12 Months</v>
      </c>
      <c r="N423" s="54" t="str">
        <f t="shared" si="34"/>
        <v>18-24 Months</v>
      </c>
      <c r="O423" s="54" t="s">
        <v>6</v>
      </c>
      <c r="P423" s="54">
        <f t="shared" si="30"/>
        <v>625</v>
      </c>
      <c r="Q423">
        <f t="shared" si="31"/>
        <v>625</v>
      </c>
      <c r="R423">
        <f t="shared" si="32"/>
        <v>625</v>
      </c>
    </row>
    <row r="424" spans="1:18" x14ac:dyDescent="0.2">
      <c r="A424" s="54">
        <v>107206</v>
      </c>
      <c r="B424" s="54" t="s">
        <v>203</v>
      </c>
      <c r="C424" s="55">
        <v>896</v>
      </c>
      <c r="D424" s="55">
        <v>859</v>
      </c>
      <c r="E424" s="55">
        <v>10</v>
      </c>
      <c r="F424" s="55">
        <v>657</v>
      </c>
      <c r="G424" s="55">
        <v>649</v>
      </c>
      <c r="H424" s="55">
        <v>594</v>
      </c>
      <c r="I424" s="55">
        <v>0.76</v>
      </c>
      <c r="J424" s="55">
        <v>0.76</v>
      </c>
      <c r="K424" s="55">
        <v>0.69</v>
      </c>
      <c r="L424" s="55">
        <v>46</v>
      </c>
      <c r="M424" s="54" t="str">
        <f t="shared" si="33"/>
        <v>6-12 Months</v>
      </c>
      <c r="N424" s="54" t="str">
        <f t="shared" si="34"/>
        <v>18-24 Months</v>
      </c>
      <c r="O424" s="54" t="s">
        <v>5</v>
      </c>
      <c r="P424" s="54">
        <f t="shared" si="30"/>
        <v>896</v>
      </c>
      <c r="Q424">
        <f t="shared" si="31"/>
        <v>896</v>
      </c>
      <c r="R424">
        <f t="shared" si="32"/>
        <v>896</v>
      </c>
    </row>
    <row r="425" spans="1:18" x14ac:dyDescent="0.2">
      <c r="A425" s="54">
        <v>106562</v>
      </c>
      <c r="B425" s="54" t="s">
        <v>662</v>
      </c>
      <c r="C425" s="55">
        <v>1200</v>
      </c>
      <c r="D425" s="55">
        <v>1200</v>
      </c>
      <c r="E425" s="55">
        <v>10</v>
      </c>
      <c r="F425" s="55">
        <v>0</v>
      </c>
      <c r="G425" s="55">
        <v>0</v>
      </c>
      <c r="H425" s="55">
        <v>0</v>
      </c>
      <c r="I425" s="55">
        <v>0</v>
      </c>
      <c r="J425" s="55">
        <v>0</v>
      </c>
      <c r="K425" s="55">
        <v>0</v>
      </c>
      <c r="L425" s="55">
        <v>0</v>
      </c>
      <c r="M425" s="54" t="str">
        <f t="shared" si="33"/>
        <v>6-12 Months</v>
      </c>
      <c r="N425" s="54" t="str">
        <f t="shared" si="34"/>
        <v>18-24 Months</v>
      </c>
      <c r="O425" s="54" t="s">
        <v>5</v>
      </c>
      <c r="P425" s="54">
        <f t="shared" si="30"/>
        <v>0</v>
      </c>
      <c r="Q425">
        <f t="shared" si="31"/>
        <v>0</v>
      </c>
      <c r="R425">
        <f t="shared" si="32"/>
        <v>0</v>
      </c>
    </row>
    <row r="426" spans="1:18" x14ac:dyDescent="0.2">
      <c r="A426" s="54">
        <v>116660</v>
      </c>
      <c r="B426" s="54" t="s">
        <v>65</v>
      </c>
      <c r="C426" s="55">
        <v>1335</v>
      </c>
      <c r="D426" s="55">
        <v>1300</v>
      </c>
      <c r="E426" s="55">
        <v>10</v>
      </c>
      <c r="F426" s="55">
        <v>3299</v>
      </c>
      <c r="G426" s="55">
        <v>2288</v>
      </c>
      <c r="H426" s="55">
        <v>347</v>
      </c>
      <c r="I426" s="55">
        <v>2.54</v>
      </c>
      <c r="J426" s="55">
        <v>1.76</v>
      </c>
      <c r="K426" s="55">
        <v>0.27</v>
      </c>
      <c r="L426" s="55">
        <v>3361</v>
      </c>
      <c r="M426" s="54" t="str">
        <f t="shared" si="33"/>
        <v>6-12 Months</v>
      </c>
      <c r="N426" s="54" t="str">
        <f t="shared" si="34"/>
        <v>18-24 Months</v>
      </c>
      <c r="O426" s="54" t="s">
        <v>5</v>
      </c>
      <c r="P426" s="54">
        <f t="shared" si="30"/>
        <v>1335</v>
      </c>
      <c r="Q426">
        <f t="shared" si="31"/>
        <v>1335</v>
      </c>
      <c r="R426">
        <f t="shared" si="32"/>
        <v>1335</v>
      </c>
    </row>
    <row r="427" spans="1:18" x14ac:dyDescent="0.2">
      <c r="A427" s="54">
        <v>109744</v>
      </c>
      <c r="B427" s="54" t="s">
        <v>452</v>
      </c>
      <c r="C427" s="55">
        <v>1970</v>
      </c>
      <c r="D427" s="55">
        <v>1962</v>
      </c>
      <c r="E427" s="55">
        <v>10</v>
      </c>
      <c r="F427" s="55">
        <v>72</v>
      </c>
      <c r="G427" s="55">
        <v>16</v>
      </c>
      <c r="H427" s="55">
        <v>6</v>
      </c>
      <c r="I427" s="55">
        <v>0.04</v>
      </c>
      <c r="J427" s="55">
        <v>0.01</v>
      </c>
      <c r="K427" s="55">
        <v>0</v>
      </c>
      <c r="L427" s="55">
        <v>5</v>
      </c>
      <c r="M427" s="54" t="str">
        <f t="shared" si="33"/>
        <v>6-12 Months</v>
      </c>
      <c r="N427" s="54" t="str">
        <f t="shared" si="34"/>
        <v>18-24 Months</v>
      </c>
      <c r="O427" s="54" t="s">
        <v>5</v>
      </c>
      <c r="P427" s="54">
        <f t="shared" si="30"/>
        <v>0</v>
      </c>
      <c r="Q427">
        <f t="shared" si="31"/>
        <v>0</v>
      </c>
      <c r="R427">
        <f t="shared" si="32"/>
        <v>0</v>
      </c>
    </row>
    <row r="428" spans="1:18" x14ac:dyDescent="0.2">
      <c r="A428" s="54">
        <v>114601</v>
      </c>
      <c r="B428" s="54" t="s">
        <v>64</v>
      </c>
      <c r="C428" s="55">
        <v>2194</v>
      </c>
      <c r="D428" s="55">
        <v>1703</v>
      </c>
      <c r="E428" s="55">
        <v>10</v>
      </c>
      <c r="F428" s="55">
        <v>5270</v>
      </c>
      <c r="G428" s="55">
        <v>4598</v>
      </c>
      <c r="H428" s="55">
        <v>1829</v>
      </c>
      <c r="I428" s="55">
        <v>3.09</v>
      </c>
      <c r="J428" s="55">
        <v>2.7</v>
      </c>
      <c r="K428" s="55">
        <v>1.07</v>
      </c>
      <c r="L428" s="55">
        <v>7055</v>
      </c>
      <c r="M428" s="54" t="str">
        <f t="shared" si="33"/>
        <v>6-12 Months</v>
      </c>
      <c r="N428" s="54" t="str">
        <f t="shared" si="34"/>
        <v>18-24 Months</v>
      </c>
      <c r="O428" s="54" t="s">
        <v>5</v>
      </c>
      <c r="P428" s="54">
        <f t="shared" si="30"/>
        <v>2194</v>
      </c>
      <c r="Q428">
        <f t="shared" si="31"/>
        <v>2194</v>
      </c>
      <c r="R428">
        <f t="shared" si="32"/>
        <v>2194</v>
      </c>
    </row>
    <row r="429" spans="1:18" x14ac:dyDescent="0.2">
      <c r="A429" s="54">
        <v>105469</v>
      </c>
      <c r="B429" s="54" t="s">
        <v>81</v>
      </c>
      <c r="C429" s="55">
        <v>2248</v>
      </c>
      <c r="D429" s="55">
        <v>1000</v>
      </c>
      <c r="E429" s="55">
        <v>10</v>
      </c>
      <c r="F429" s="55">
        <v>5114</v>
      </c>
      <c r="G429" s="55">
        <v>664</v>
      </c>
      <c r="H429" s="55">
        <v>211</v>
      </c>
      <c r="I429" s="55">
        <v>5.1100000000000003</v>
      </c>
      <c r="J429" s="55">
        <v>0.66</v>
      </c>
      <c r="K429" s="55">
        <v>0.21</v>
      </c>
      <c r="L429" s="55">
        <v>20</v>
      </c>
      <c r="M429" s="54" t="str">
        <f t="shared" si="33"/>
        <v>6-12 Months</v>
      </c>
      <c r="N429" s="54" t="str">
        <f t="shared" si="34"/>
        <v>18-24 Months</v>
      </c>
      <c r="O429" s="54" t="s">
        <v>5</v>
      </c>
      <c r="P429" s="54">
        <f t="shared" si="30"/>
        <v>2248</v>
      </c>
      <c r="Q429">
        <f t="shared" si="31"/>
        <v>2248</v>
      </c>
      <c r="R429">
        <f t="shared" si="32"/>
        <v>0</v>
      </c>
    </row>
    <row r="430" spans="1:18" x14ac:dyDescent="0.2">
      <c r="A430" s="54">
        <v>327797</v>
      </c>
      <c r="B430" s="54" t="s">
        <v>128</v>
      </c>
      <c r="C430" s="55">
        <v>4184</v>
      </c>
      <c r="D430" s="55">
        <v>4500</v>
      </c>
      <c r="E430" s="55">
        <v>10</v>
      </c>
      <c r="F430" s="55">
        <v>711</v>
      </c>
      <c r="G430" s="55">
        <v>450</v>
      </c>
      <c r="H430" s="55">
        <v>253</v>
      </c>
      <c r="I430" s="55">
        <v>0.16</v>
      </c>
      <c r="J430" s="55">
        <v>0.1</v>
      </c>
      <c r="K430" s="55">
        <v>0.06</v>
      </c>
      <c r="L430" s="55">
        <v>568</v>
      </c>
      <c r="M430" s="54" t="str">
        <f t="shared" si="33"/>
        <v>6-12 Months</v>
      </c>
      <c r="N430" s="54" t="str">
        <f t="shared" si="34"/>
        <v>18-24 Months</v>
      </c>
      <c r="O430" s="54" t="s">
        <v>5</v>
      </c>
      <c r="P430" s="54">
        <f t="shared" si="30"/>
        <v>0</v>
      </c>
      <c r="Q430">
        <f t="shared" si="31"/>
        <v>0</v>
      </c>
      <c r="R430">
        <f t="shared" si="32"/>
        <v>0</v>
      </c>
    </row>
    <row r="431" spans="1:18" x14ac:dyDescent="0.2">
      <c r="A431" s="54">
        <v>106750</v>
      </c>
      <c r="B431" s="54" t="s">
        <v>234</v>
      </c>
      <c r="C431" s="55">
        <v>1</v>
      </c>
      <c r="D431" s="55">
        <v>37</v>
      </c>
      <c r="E431" s="55">
        <v>9</v>
      </c>
      <c r="F431" s="55">
        <v>205</v>
      </c>
      <c r="G431" s="55">
        <v>184</v>
      </c>
      <c r="H431" s="55">
        <v>0</v>
      </c>
      <c r="I431" s="55">
        <v>5.54</v>
      </c>
      <c r="J431" s="55">
        <v>4.97</v>
      </c>
      <c r="K431" s="55">
        <v>0</v>
      </c>
      <c r="L431" s="55">
        <v>3</v>
      </c>
      <c r="M431" s="54" t="str">
        <f t="shared" si="33"/>
        <v>6-12 Months</v>
      </c>
      <c r="N431" s="54" t="str">
        <f t="shared" si="34"/>
        <v>18-24 Months</v>
      </c>
      <c r="O431" s="54" t="s">
        <v>7</v>
      </c>
      <c r="P431" s="54">
        <f t="shared" si="30"/>
        <v>1</v>
      </c>
      <c r="Q431">
        <f t="shared" si="31"/>
        <v>1</v>
      </c>
      <c r="R431">
        <f t="shared" si="32"/>
        <v>1</v>
      </c>
    </row>
    <row r="432" spans="1:18" x14ac:dyDescent="0.2">
      <c r="A432" s="54">
        <v>141725</v>
      </c>
      <c r="B432" s="54" t="s">
        <v>410</v>
      </c>
      <c r="C432" s="55">
        <v>1</v>
      </c>
      <c r="D432" s="55">
        <v>50</v>
      </c>
      <c r="E432" s="55">
        <v>9</v>
      </c>
      <c r="F432" s="55">
        <v>101</v>
      </c>
      <c r="G432" s="55">
        <v>101</v>
      </c>
      <c r="H432" s="55">
        <v>101</v>
      </c>
      <c r="I432" s="55">
        <v>2.02</v>
      </c>
      <c r="J432" s="55">
        <v>2.02</v>
      </c>
      <c r="K432" s="55">
        <v>2.02</v>
      </c>
      <c r="L432" s="55">
        <v>1</v>
      </c>
      <c r="M432" s="54" t="str">
        <f t="shared" si="33"/>
        <v>6-12 Months</v>
      </c>
      <c r="N432" s="54" t="str">
        <f t="shared" si="34"/>
        <v>18-24 Months</v>
      </c>
      <c r="O432" s="54" t="s">
        <v>7</v>
      </c>
      <c r="P432" s="54">
        <f t="shared" si="30"/>
        <v>1</v>
      </c>
      <c r="Q432">
        <f t="shared" si="31"/>
        <v>1</v>
      </c>
      <c r="R432">
        <f t="shared" si="32"/>
        <v>1</v>
      </c>
    </row>
    <row r="433" spans="1:18" x14ac:dyDescent="0.2">
      <c r="A433" s="54">
        <v>172686</v>
      </c>
      <c r="B433" s="54" t="s">
        <v>188</v>
      </c>
      <c r="C433" s="55">
        <v>1</v>
      </c>
      <c r="D433" s="55">
        <v>73</v>
      </c>
      <c r="E433" s="55">
        <v>9</v>
      </c>
      <c r="F433" s="55">
        <v>331</v>
      </c>
      <c r="G433" s="55">
        <v>296</v>
      </c>
      <c r="H433" s="55">
        <v>123</v>
      </c>
      <c r="I433" s="55">
        <v>4.53</v>
      </c>
      <c r="J433" s="55">
        <v>4.05</v>
      </c>
      <c r="K433" s="55">
        <v>1.68</v>
      </c>
      <c r="L433" s="55">
        <v>11</v>
      </c>
      <c r="M433" s="54" t="str">
        <f t="shared" si="33"/>
        <v>6-12 Months</v>
      </c>
      <c r="N433" s="54" t="str">
        <f t="shared" si="34"/>
        <v>18-24 Months</v>
      </c>
      <c r="O433" s="54" t="s">
        <v>7</v>
      </c>
      <c r="P433" s="54">
        <f t="shared" si="30"/>
        <v>1</v>
      </c>
      <c r="Q433">
        <f t="shared" si="31"/>
        <v>1</v>
      </c>
      <c r="R433">
        <f t="shared" si="32"/>
        <v>1</v>
      </c>
    </row>
    <row r="434" spans="1:18" x14ac:dyDescent="0.2">
      <c r="A434" s="54">
        <v>304056</v>
      </c>
      <c r="B434" s="54" t="s">
        <v>569</v>
      </c>
      <c r="C434" s="55">
        <v>1</v>
      </c>
      <c r="D434" s="55">
        <v>5</v>
      </c>
      <c r="E434" s="55">
        <v>9</v>
      </c>
      <c r="F434" s="55">
        <v>7</v>
      </c>
      <c r="G434" s="55">
        <v>7</v>
      </c>
      <c r="H434" s="55">
        <v>7</v>
      </c>
      <c r="I434" s="55">
        <v>1.4</v>
      </c>
      <c r="J434" s="55">
        <v>1.4</v>
      </c>
      <c r="K434" s="55">
        <v>1.4</v>
      </c>
      <c r="L434" s="55">
        <v>0</v>
      </c>
      <c r="M434" s="54" t="str">
        <f t="shared" si="33"/>
        <v>6-12 Months</v>
      </c>
      <c r="N434" s="54" t="str">
        <f t="shared" si="34"/>
        <v>18-24 Months</v>
      </c>
      <c r="O434" s="54" t="s">
        <v>7</v>
      </c>
      <c r="P434" s="54">
        <f t="shared" si="30"/>
        <v>1</v>
      </c>
      <c r="Q434">
        <f t="shared" si="31"/>
        <v>0</v>
      </c>
      <c r="R434">
        <f t="shared" si="32"/>
        <v>1</v>
      </c>
    </row>
    <row r="435" spans="1:18" x14ac:dyDescent="0.2">
      <c r="A435" s="54">
        <v>107937</v>
      </c>
      <c r="B435" s="54" t="s">
        <v>442</v>
      </c>
      <c r="C435" s="55">
        <v>2</v>
      </c>
      <c r="D435" s="55">
        <v>5</v>
      </c>
      <c r="E435" s="55">
        <v>9</v>
      </c>
      <c r="F435" s="55">
        <v>32</v>
      </c>
      <c r="G435" s="55">
        <v>12</v>
      </c>
      <c r="H435" s="55">
        <v>3</v>
      </c>
      <c r="I435" s="55">
        <v>6.4</v>
      </c>
      <c r="J435" s="55">
        <v>2.4</v>
      </c>
      <c r="K435" s="55">
        <v>0.6</v>
      </c>
      <c r="L435" s="55">
        <v>0</v>
      </c>
      <c r="M435" s="54" t="str">
        <f t="shared" si="33"/>
        <v>6-12 Months</v>
      </c>
      <c r="N435" s="54" t="str">
        <f t="shared" si="34"/>
        <v>18-24 Months</v>
      </c>
      <c r="O435" s="54" t="s">
        <v>7</v>
      </c>
      <c r="P435" s="54">
        <f t="shared" si="30"/>
        <v>2</v>
      </c>
      <c r="Q435">
        <f t="shared" si="31"/>
        <v>2</v>
      </c>
      <c r="R435">
        <f t="shared" si="32"/>
        <v>2</v>
      </c>
    </row>
    <row r="436" spans="1:18" x14ac:dyDescent="0.2">
      <c r="A436" s="54">
        <v>500661</v>
      </c>
      <c r="B436" s="54" t="s">
        <v>538</v>
      </c>
      <c r="C436" s="55">
        <v>2</v>
      </c>
      <c r="D436" s="55">
        <v>9</v>
      </c>
      <c r="E436" s="55">
        <v>9</v>
      </c>
      <c r="F436" s="55">
        <v>4</v>
      </c>
      <c r="G436" s="55">
        <v>0</v>
      </c>
      <c r="H436" s="55">
        <v>0</v>
      </c>
      <c r="I436" s="55">
        <v>0.44</v>
      </c>
      <c r="J436" s="55">
        <v>0</v>
      </c>
      <c r="K436" s="55">
        <v>0</v>
      </c>
      <c r="L436" s="55">
        <v>0</v>
      </c>
      <c r="M436" s="54" t="str">
        <f t="shared" si="33"/>
        <v>6-12 Months</v>
      </c>
      <c r="N436" s="54" t="str">
        <f t="shared" si="34"/>
        <v>18-24 Months</v>
      </c>
      <c r="O436" s="54" t="s">
        <v>7</v>
      </c>
      <c r="P436" s="54">
        <f t="shared" si="30"/>
        <v>0</v>
      </c>
      <c r="Q436">
        <f t="shared" si="31"/>
        <v>0</v>
      </c>
      <c r="R436">
        <f t="shared" si="32"/>
        <v>0</v>
      </c>
    </row>
    <row r="437" spans="1:18" x14ac:dyDescent="0.2">
      <c r="A437" s="54">
        <v>107372</v>
      </c>
      <c r="B437" s="54" t="s">
        <v>414</v>
      </c>
      <c r="C437" s="55">
        <v>3</v>
      </c>
      <c r="D437" s="55">
        <v>65</v>
      </c>
      <c r="E437" s="55">
        <v>9</v>
      </c>
      <c r="F437" s="55">
        <v>43</v>
      </c>
      <c r="G437" s="55">
        <v>5</v>
      </c>
      <c r="H437" s="55">
        <v>0</v>
      </c>
      <c r="I437" s="55">
        <v>0.66</v>
      </c>
      <c r="J437" s="55">
        <v>0.08</v>
      </c>
      <c r="K437" s="55">
        <v>0</v>
      </c>
      <c r="L437" s="55">
        <v>0</v>
      </c>
      <c r="M437" s="54" t="str">
        <f t="shared" si="33"/>
        <v>6-12 Months</v>
      </c>
      <c r="N437" s="54" t="str">
        <f t="shared" si="34"/>
        <v>18-24 Months</v>
      </c>
      <c r="O437" s="54" t="s">
        <v>7</v>
      </c>
      <c r="P437" s="54">
        <f t="shared" si="30"/>
        <v>0</v>
      </c>
      <c r="Q437">
        <f t="shared" si="31"/>
        <v>0</v>
      </c>
      <c r="R437">
        <f t="shared" si="32"/>
        <v>0</v>
      </c>
    </row>
    <row r="438" spans="1:18" x14ac:dyDescent="0.2">
      <c r="A438" s="54">
        <v>110958</v>
      </c>
      <c r="B438" s="54" t="s">
        <v>96</v>
      </c>
      <c r="C438" s="55">
        <v>5</v>
      </c>
      <c r="D438" s="55">
        <v>250</v>
      </c>
      <c r="E438" s="55">
        <v>9</v>
      </c>
      <c r="F438" s="55">
        <v>1429</v>
      </c>
      <c r="G438" s="55">
        <v>920</v>
      </c>
      <c r="H438" s="55">
        <v>253</v>
      </c>
      <c r="I438" s="55">
        <v>5.72</v>
      </c>
      <c r="J438" s="55">
        <v>3.68</v>
      </c>
      <c r="K438" s="55">
        <v>1.01</v>
      </c>
      <c r="L438" s="55">
        <v>16</v>
      </c>
      <c r="M438" s="54" t="str">
        <f t="shared" si="33"/>
        <v>6-12 Months</v>
      </c>
      <c r="N438" s="54" t="str">
        <f t="shared" si="34"/>
        <v>18-24 Months</v>
      </c>
      <c r="O438" s="54" t="s">
        <v>6</v>
      </c>
      <c r="P438" s="54">
        <f t="shared" si="30"/>
        <v>5</v>
      </c>
      <c r="Q438">
        <f t="shared" si="31"/>
        <v>5</v>
      </c>
      <c r="R438">
        <f t="shared" si="32"/>
        <v>5</v>
      </c>
    </row>
    <row r="439" spans="1:18" x14ac:dyDescent="0.2">
      <c r="A439" s="54">
        <v>107214</v>
      </c>
      <c r="B439" s="54" t="s">
        <v>468</v>
      </c>
      <c r="C439" s="55">
        <v>7</v>
      </c>
      <c r="D439" s="55">
        <v>20</v>
      </c>
      <c r="E439" s="55">
        <v>9</v>
      </c>
      <c r="F439" s="55">
        <v>19</v>
      </c>
      <c r="G439" s="55">
        <v>7</v>
      </c>
      <c r="H439" s="55">
        <v>0</v>
      </c>
      <c r="I439" s="55">
        <v>0.95</v>
      </c>
      <c r="J439" s="55">
        <v>0.35</v>
      </c>
      <c r="K439" s="55">
        <v>0</v>
      </c>
      <c r="L439" s="55">
        <v>0</v>
      </c>
      <c r="M439" s="54" t="str">
        <f t="shared" si="33"/>
        <v>6-12 Months</v>
      </c>
      <c r="N439" s="54" t="str">
        <f t="shared" si="34"/>
        <v>18-24 Months</v>
      </c>
      <c r="O439" s="54" t="s">
        <v>7</v>
      </c>
      <c r="P439" s="54">
        <f t="shared" si="30"/>
        <v>0</v>
      </c>
      <c r="Q439">
        <f t="shared" si="31"/>
        <v>0</v>
      </c>
      <c r="R439">
        <f t="shared" si="32"/>
        <v>0</v>
      </c>
    </row>
    <row r="440" spans="1:18" x14ac:dyDescent="0.2">
      <c r="A440" s="54">
        <v>107430</v>
      </c>
      <c r="B440" s="54" t="s">
        <v>268</v>
      </c>
      <c r="C440" s="55">
        <v>7</v>
      </c>
      <c r="D440" s="55">
        <v>34</v>
      </c>
      <c r="E440" s="55">
        <v>9</v>
      </c>
      <c r="F440" s="55">
        <v>193</v>
      </c>
      <c r="G440" s="55">
        <v>133</v>
      </c>
      <c r="H440" s="55">
        <v>125</v>
      </c>
      <c r="I440" s="55">
        <v>5.68</v>
      </c>
      <c r="J440" s="55">
        <v>3.91</v>
      </c>
      <c r="K440" s="55">
        <v>3.68</v>
      </c>
      <c r="L440" s="55">
        <v>9</v>
      </c>
      <c r="M440" s="54" t="str">
        <f t="shared" si="33"/>
        <v>6-12 Months</v>
      </c>
      <c r="N440" s="54" t="str">
        <f t="shared" si="34"/>
        <v>18-24 Months</v>
      </c>
      <c r="O440" s="54" t="s">
        <v>7</v>
      </c>
      <c r="P440" s="54">
        <f t="shared" si="30"/>
        <v>7</v>
      </c>
      <c r="Q440">
        <f t="shared" si="31"/>
        <v>7</v>
      </c>
      <c r="R440">
        <f t="shared" si="32"/>
        <v>7</v>
      </c>
    </row>
    <row r="441" spans="1:18" x14ac:dyDescent="0.2">
      <c r="A441" s="54">
        <v>156634</v>
      </c>
      <c r="B441" s="54" t="s">
        <v>373</v>
      </c>
      <c r="C441" s="55">
        <v>8</v>
      </c>
      <c r="D441" s="55">
        <v>7</v>
      </c>
      <c r="E441" s="55">
        <v>9</v>
      </c>
      <c r="F441" s="55">
        <v>61</v>
      </c>
      <c r="G441" s="55">
        <v>9</v>
      </c>
      <c r="H441" s="55">
        <v>0</v>
      </c>
      <c r="I441" s="55">
        <v>8.7100000000000009</v>
      </c>
      <c r="J441" s="55">
        <v>1.29</v>
      </c>
      <c r="K441" s="55">
        <v>0</v>
      </c>
      <c r="L441" s="55">
        <v>0</v>
      </c>
      <c r="M441" s="54" t="str">
        <f t="shared" si="33"/>
        <v>6-12 Months</v>
      </c>
      <c r="N441" s="54" t="str">
        <f t="shared" si="34"/>
        <v>18-24 Months</v>
      </c>
      <c r="O441" s="54" t="s">
        <v>7</v>
      </c>
      <c r="P441" s="54">
        <f t="shared" si="30"/>
        <v>8</v>
      </c>
      <c r="Q441">
        <f t="shared" si="31"/>
        <v>8</v>
      </c>
      <c r="R441">
        <f t="shared" si="32"/>
        <v>8</v>
      </c>
    </row>
    <row r="442" spans="1:18" x14ac:dyDescent="0.2">
      <c r="A442" s="54">
        <v>488116</v>
      </c>
      <c r="B442" s="54" t="s">
        <v>367</v>
      </c>
      <c r="C442" s="55">
        <v>8</v>
      </c>
      <c r="D442" s="55">
        <v>8</v>
      </c>
      <c r="E442" s="55">
        <v>9</v>
      </c>
      <c r="F442" s="55">
        <v>83</v>
      </c>
      <c r="G442" s="55">
        <v>80</v>
      </c>
      <c r="H442" s="55">
        <v>77</v>
      </c>
      <c r="I442" s="55">
        <v>10.38</v>
      </c>
      <c r="J442" s="55">
        <v>10</v>
      </c>
      <c r="K442" s="55">
        <v>9.6300000000000008</v>
      </c>
      <c r="L442" s="55">
        <v>19</v>
      </c>
      <c r="M442" s="54" t="str">
        <f t="shared" si="33"/>
        <v>6-12 Months</v>
      </c>
      <c r="N442" s="54" t="str">
        <f t="shared" si="34"/>
        <v>18-24 Months</v>
      </c>
      <c r="O442" s="54" t="s">
        <v>7</v>
      </c>
      <c r="P442" s="54">
        <f t="shared" si="30"/>
        <v>8</v>
      </c>
      <c r="Q442">
        <f t="shared" si="31"/>
        <v>8</v>
      </c>
      <c r="R442">
        <f t="shared" si="32"/>
        <v>8</v>
      </c>
    </row>
    <row r="443" spans="1:18" x14ac:dyDescent="0.2">
      <c r="A443" s="54">
        <v>110385</v>
      </c>
      <c r="B443" s="54" t="s">
        <v>488</v>
      </c>
      <c r="C443" s="55">
        <v>9</v>
      </c>
      <c r="D443" s="55">
        <v>23</v>
      </c>
      <c r="E443" s="55">
        <v>9</v>
      </c>
      <c r="F443" s="55">
        <v>9</v>
      </c>
      <c r="G443" s="55">
        <v>0</v>
      </c>
      <c r="H443" s="55">
        <v>0</v>
      </c>
      <c r="I443" s="55">
        <v>0.39</v>
      </c>
      <c r="J443" s="55">
        <v>0</v>
      </c>
      <c r="K443" s="55">
        <v>0</v>
      </c>
      <c r="L443" s="55">
        <v>0</v>
      </c>
      <c r="M443" s="54" t="str">
        <f t="shared" si="33"/>
        <v>6-12 Months</v>
      </c>
      <c r="N443" s="54" t="str">
        <f t="shared" si="34"/>
        <v>18-24 Months</v>
      </c>
      <c r="O443" s="54" t="s">
        <v>7</v>
      </c>
      <c r="P443" s="54">
        <f t="shared" si="30"/>
        <v>0</v>
      </c>
      <c r="Q443">
        <f t="shared" si="31"/>
        <v>0</v>
      </c>
      <c r="R443">
        <f t="shared" si="32"/>
        <v>0</v>
      </c>
    </row>
    <row r="444" spans="1:18" x14ac:dyDescent="0.2">
      <c r="A444" s="54">
        <v>219125</v>
      </c>
      <c r="B444" s="54" t="s">
        <v>360</v>
      </c>
      <c r="C444" s="55">
        <v>9</v>
      </c>
      <c r="D444" s="55">
        <v>8</v>
      </c>
      <c r="E444" s="55">
        <v>9</v>
      </c>
      <c r="F444" s="55">
        <v>40</v>
      </c>
      <c r="G444" s="55">
        <v>15</v>
      </c>
      <c r="H444" s="55">
        <v>0</v>
      </c>
      <c r="I444" s="55">
        <v>5</v>
      </c>
      <c r="J444" s="55">
        <v>1.88</v>
      </c>
      <c r="K444" s="55">
        <v>0</v>
      </c>
      <c r="L444" s="55">
        <v>30</v>
      </c>
      <c r="M444" s="54" t="str">
        <f t="shared" si="33"/>
        <v>6-12 Months</v>
      </c>
      <c r="N444" s="54" t="str">
        <f t="shared" si="34"/>
        <v>18-24 Months</v>
      </c>
      <c r="O444" s="54" t="s">
        <v>7</v>
      </c>
      <c r="P444" s="54">
        <f t="shared" si="30"/>
        <v>9</v>
      </c>
      <c r="Q444">
        <f t="shared" si="31"/>
        <v>9</v>
      </c>
      <c r="R444">
        <f t="shared" si="32"/>
        <v>9</v>
      </c>
    </row>
    <row r="445" spans="1:18" x14ac:dyDescent="0.2">
      <c r="A445" s="54">
        <v>477587</v>
      </c>
      <c r="B445" s="54" t="s">
        <v>284</v>
      </c>
      <c r="C445" s="55">
        <v>10</v>
      </c>
      <c r="D445" s="55">
        <v>10</v>
      </c>
      <c r="E445" s="55">
        <v>9</v>
      </c>
      <c r="F445" s="55">
        <v>138</v>
      </c>
      <c r="G445" s="55">
        <v>38</v>
      </c>
      <c r="H445" s="55">
        <v>34</v>
      </c>
      <c r="I445" s="55">
        <v>13.8</v>
      </c>
      <c r="J445" s="55">
        <v>3.8</v>
      </c>
      <c r="K445" s="55">
        <v>3.4</v>
      </c>
      <c r="L445" s="55">
        <v>31</v>
      </c>
      <c r="M445" s="54" t="str">
        <f t="shared" si="33"/>
        <v>6-12 Months</v>
      </c>
      <c r="N445" s="54" t="str">
        <f t="shared" si="34"/>
        <v>18-24 Months</v>
      </c>
      <c r="O445" s="54" t="s">
        <v>7</v>
      </c>
      <c r="P445" s="54">
        <f t="shared" si="30"/>
        <v>10</v>
      </c>
      <c r="Q445">
        <f t="shared" si="31"/>
        <v>10</v>
      </c>
      <c r="R445">
        <f t="shared" si="32"/>
        <v>10</v>
      </c>
    </row>
    <row r="446" spans="1:18" x14ac:dyDescent="0.2">
      <c r="A446" s="54">
        <v>129179</v>
      </c>
      <c r="B446" s="54" t="s">
        <v>180</v>
      </c>
      <c r="C446" s="55">
        <v>12</v>
      </c>
      <c r="D446" s="55">
        <v>52</v>
      </c>
      <c r="E446" s="55">
        <v>9</v>
      </c>
      <c r="F446" s="55">
        <v>447</v>
      </c>
      <c r="G446" s="55">
        <v>30</v>
      </c>
      <c r="H446" s="55">
        <v>0</v>
      </c>
      <c r="I446" s="55">
        <v>8.6</v>
      </c>
      <c r="J446" s="55">
        <v>0.57999999999999996</v>
      </c>
      <c r="K446" s="55">
        <v>0</v>
      </c>
      <c r="L446" s="55">
        <v>0</v>
      </c>
      <c r="M446" s="54" t="str">
        <f t="shared" si="33"/>
        <v>6-12 Months</v>
      </c>
      <c r="N446" s="54" t="str">
        <f t="shared" si="34"/>
        <v>18-24 Months</v>
      </c>
      <c r="O446" s="54" t="s">
        <v>7</v>
      </c>
      <c r="P446" s="54">
        <f t="shared" si="30"/>
        <v>12</v>
      </c>
      <c r="Q446">
        <f t="shared" si="31"/>
        <v>12</v>
      </c>
      <c r="R446">
        <f t="shared" si="32"/>
        <v>0</v>
      </c>
    </row>
    <row r="447" spans="1:18" x14ac:dyDescent="0.2">
      <c r="A447" s="54">
        <v>304016</v>
      </c>
      <c r="B447" s="54" t="s">
        <v>463</v>
      </c>
      <c r="C447" s="55">
        <v>15</v>
      </c>
      <c r="D447" s="55">
        <v>5</v>
      </c>
      <c r="E447" s="55">
        <v>9</v>
      </c>
      <c r="F447" s="55">
        <v>30</v>
      </c>
      <c r="G447" s="55">
        <v>0</v>
      </c>
      <c r="H447" s="55">
        <v>0</v>
      </c>
      <c r="I447" s="55">
        <v>6</v>
      </c>
      <c r="J447" s="55">
        <v>0</v>
      </c>
      <c r="K447" s="55">
        <v>0</v>
      </c>
      <c r="L447" s="55">
        <v>0</v>
      </c>
      <c r="M447" s="54" t="str">
        <f t="shared" si="33"/>
        <v>6-12 Months</v>
      </c>
      <c r="N447" s="54" t="str">
        <f t="shared" si="34"/>
        <v>18-24 Months</v>
      </c>
      <c r="O447" s="54" t="s">
        <v>7</v>
      </c>
      <c r="P447" s="54">
        <f t="shared" si="30"/>
        <v>15</v>
      </c>
      <c r="Q447">
        <f t="shared" si="31"/>
        <v>15</v>
      </c>
      <c r="R447">
        <f t="shared" si="32"/>
        <v>0</v>
      </c>
    </row>
    <row r="448" spans="1:18" x14ac:dyDescent="0.2">
      <c r="A448" s="54">
        <v>515108</v>
      </c>
      <c r="B448" s="54" t="s">
        <v>552</v>
      </c>
      <c r="C448" s="55">
        <v>15</v>
      </c>
      <c r="D448" s="55">
        <v>3</v>
      </c>
      <c r="E448" s="55">
        <v>9</v>
      </c>
      <c r="F448" s="55">
        <v>12</v>
      </c>
      <c r="G448" s="55">
        <v>0</v>
      </c>
      <c r="H448" s="55">
        <v>0</v>
      </c>
      <c r="I448" s="55">
        <v>4</v>
      </c>
      <c r="J448" s="55">
        <v>0</v>
      </c>
      <c r="K448" s="55">
        <v>0</v>
      </c>
      <c r="L448" s="55">
        <v>0</v>
      </c>
      <c r="M448" s="54" t="str">
        <f t="shared" si="33"/>
        <v>6-12 Months</v>
      </c>
      <c r="N448" s="54" t="str">
        <f t="shared" si="34"/>
        <v>18-24 Months</v>
      </c>
      <c r="O448" s="54" t="s">
        <v>7</v>
      </c>
      <c r="P448" s="54">
        <f t="shared" si="30"/>
        <v>15</v>
      </c>
      <c r="Q448">
        <f t="shared" si="31"/>
        <v>15</v>
      </c>
      <c r="R448">
        <f t="shared" si="32"/>
        <v>0</v>
      </c>
    </row>
    <row r="449" spans="1:18" x14ac:dyDescent="0.2">
      <c r="A449" s="54">
        <v>461977</v>
      </c>
      <c r="B449" s="54" t="s">
        <v>376</v>
      </c>
      <c r="C449" s="55">
        <v>18</v>
      </c>
      <c r="D449" s="55">
        <v>10</v>
      </c>
      <c r="E449" s="55">
        <v>9</v>
      </c>
      <c r="F449" s="55">
        <v>32</v>
      </c>
      <c r="G449" s="55">
        <v>13</v>
      </c>
      <c r="H449" s="55">
        <v>0</v>
      </c>
      <c r="I449" s="55">
        <v>3.2</v>
      </c>
      <c r="J449" s="55">
        <v>1.3</v>
      </c>
      <c r="K449" s="55">
        <v>0</v>
      </c>
      <c r="L449" s="55">
        <v>0</v>
      </c>
      <c r="M449" s="54" t="str">
        <f t="shared" si="33"/>
        <v>6-12 Months</v>
      </c>
      <c r="N449" s="54" t="str">
        <f t="shared" si="34"/>
        <v>18-24 Months</v>
      </c>
      <c r="O449" s="54" t="s">
        <v>7</v>
      </c>
      <c r="P449" s="54">
        <f t="shared" si="30"/>
        <v>18</v>
      </c>
      <c r="Q449">
        <f t="shared" si="31"/>
        <v>18</v>
      </c>
      <c r="R449">
        <f t="shared" si="32"/>
        <v>18</v>
      </c>
    </row>
    <row r="450" spans="1:18" x14ac:dyDescent="0.2">
      <c r="A450" s="54">
        <v>554048</v>
      </c>
      <c r="B450" s="54" t="s">
        <v>340</v>
      </c>
      <c r="C450" s="55">
        <v>19</v>
      </c>
      <c r="D450" s="55">
        <v>20</v>
      </c>
      <c r="E450" s="55">
        <v>9</v>
      </c>
      <c r="F450" s="55">
        <v>99</v>
      </c>
      <c r="G450" s="55">
        <v>11</v>
      </c>
      <c r="H450" s="55">
        <v>0</v>
      </c>
      <c r="I450" s="55">
        <v>4.95</v>
      </c>
      <c r="J450" s="55">
        <v>0.55000000000000004</v>
      </c>
      <c r="K450" s="55">
        <v>0</v>
      </c>
      <c r="L450" s="55">
        <v>0</v>
      </c>
      <c r="M450" s="54" t="str">
        <f t="shared" si="33"/>
        <v>6-12 Months</v>
      </c>
      <c r="N450" s="54" t="str">
        <f t="shared" si="34"/>
        <v>18-24 Months</v>
      </c>
      <c r="O450" s="54" t="s">
        <v>7</v>
      </c>
      <c r="P450" s="54">
        <f t="shared" ref="P450:P513" si="35">IF(I450&gt;=2, C450, IF(J450&gt;=0.75, C450, 0))</f>
        <v>19</v>
      </c>
      <c r="Q450">
        <f t="shared" ref="Q450:Q513" si="36">IF(I450&gt;=2, C450, IF(AND(J450&gt;=0.75, D450&gt;=550), C450, 0))</f>
        <v>19</v>
      </c>
      <c r="R450">
        <f t="shared" ref="R450:R513" si="37">IF(J450&gt;=0.75, C450, 0)</f>
        <v>0</v>
      </c>
    </row>
    <row r="451" spans="1:18" x14ac:dyDescent="0.2">
      <c r="A451" s="54">
        <v>154313</v>
      </c>
      <c r="B451" s="54" t="s">
        <v>184</v>
      </c>
      <c r="C451" s="55">
        <v>24</v>
      </c>
      <c r="D451" s="55">
        <v>40</v>
      </c>
      <c r="E451" s="55">
        <v>9</v>
      </c>
      <c r="F451" s="55">
        <v>329</v>
      </c>
      <c r="G451" s="55">
        <v>284</v>
      </c>
      <c r="H451" s="55">
        <v>38</v>
      </c>
      <c r="I451" s="55">
        <v>8.23</v>
      </c>
      <c r="J451" s="55">
        <v>7.1</v>
      </c>
      <c r="K451" s="55">
        <v>0.95</v>
      </c>
      <c r="L451" s="55">
        <v>21</v>
      </c>
      <c r="M451" s="54" t="str">
        <f t="shared" ref="M451:M514" si="38">IF(E451&lt;6,"0-6 Months", IF(E451&lt;13, "6-12 Months", IF(E451&lt;19, "12-24 Months", IF(E451&lt;25, "12-24 Months", "24+ Months"))))</f>
        <v>6-12 Months</v>
      </c>
      <c r="N451" s="54" t="str">
        <f t="shared" ref="N451:N514" si="39">IF(E451&lt;6,"12-18 Months", IF(E451&lt;13, "18-24 Months", "24+ Months"))</f>
        <v>18-24 Months</v>
      </c>
      <c r="O451" s="54" t="s">
        <v>7</v>
      </c>
      <c r="P451" s="54">
        <f t="shared" si="35"/>
        <v>24</v>
      </c>
      <c r="Q451">
        <f t="shared" si="36"/>
        <v>24</v>
      </c>
      <c r="R451">
        <f t="shared" si="37"/>
        <v>24</v>
      </c>
    </row>
    <row r="452" spans="1:18" x14ac:dyDescent="0.2">
      <c r="A452" s="54">
        <v>155646</v>
      </c>
      <c r="B452" s="54" t="s">
        <v>149</v>
      </c>
      <c r="C452" s="55">
        <v>29</v>
      </c>
      <c r="D452" s="55">
        <v>26</v>
      </c>
      <c r="E452" s="55">
        <v>9</v>
      </c>
      <c r="F452" s="55">
        <v>297</v>
      </c>
      <c r="G452" s="55">
        <v>246</v>
      </c>
      <c r="H452" s="55">
        <v>40</v>
      </c>
      <c r="I452" s="55">
        <v>11.42</v>
      </c>
      <c r="J452" s="55">
        <v>9.4600000000000009</v>
      </c>
      <c r="K452" s="55">
        <v>1.54</v>
      </c>
      <c r="L452" s="55">
        <v>58</v>
      </c>
      <c r="M452" s="54" t="str">
        <f t="shared" si="38"/>
        <v>6-12 Months</v>
      </c>
      <c r="N452" s="54" t="str">
        <f t="shared" si="39"/>
        <v>18-24 Months</v>
      </c>
      <c r="O452" s="54" t="s">
        <v>7</v>
      </c>
      <c r="P452" s="54">
        <f t="shared" si="35"/>
        <v>29</v>
      </c>
      <c r="Q452">
        <f t="shared" si="36"/>
        <v>29</v>
      </c>
      <c r="R452">
        <f t="shared" si="37"/>
        <v>29</v>
      </c>
    </row>
    <row r="453" spans="1:18" x14ac:dyDescent="0.2">
      <c r="A453" s="54">
        <v>109011</v>
      </c>
      <c r="B453" s="54" t="s">
        <v>215</v>
      </c>
      <c r="C453" s="55">
        <v>40</v>
      </c>
      <c r="D453" s="55">
        <v>38</v>
      </c>
      <c r="E453" s="55">
        <v>9</v>
      </c>
      <c r="F453" s="55">
        <v>150</v>
      </c>
      <c r="G453" s="55">
        <v>95</v>
      </c>
      <c r="H453" s="55">
        <v>23</v>
      </c>
      <c r="I453" s="55">
        <v>3.95</v>
      </c>
      <c r="J453" s="55">
        <v>2.5</v>
      </c>
      <c r="K453" s="55">
        <v>0.61</v>
      </c>
      <c r="L453" s="55">
        <v>227</v>
      </c>
      <c r="M453" s="54" t="str">
        <f t="shared" si="38"/>
        <v>6-12 Months</v>
      </c>
      <c r="N453" s="54" t="str">
        <f t="shared" si="39"/>
        <v>18-24 Months</v>
      </c>
      <c r="O453" s="54" t="s">
        <v>7</v>
      </c>
      <c r="P453" s="54">
        <f t="shared" si="35"/>
        <v>40</v>
      </c>
      <c r="Q453">
        <f t="shared" si="36"/>
        <v>40</v>
      </c>
      <c r="R453">
        <f t="shared" si="37"/>
        <v>40</v>
      </c>
    </row>
    <row r="454" spans="1:18" x14ac:dyDescent="0.2">
      <c r="A454" s="54">
        <v>143651</v>
      </c>
      <c r="B454" s="54" t="s">
        <v>353</v>
      </c>
      <c r="C454" s="55">
        <v>40</v>
      </c>
      <c r="D454" s="55">
        <v>30</v>
      </c>
      <c r="E454" s="55">
        <v>9</v>
      </c>
      <c r="F454" s="55">
        <v>97</v>
      </c>
      <c r="G454" s="55">
        <v>72</v>
      </c>
      <c r="H454" s="55">
        <v>48</v>
      </c>
      <c r="I454" s="55">
        <v>3.23</v>
      </c>
      <c r="J454" s="55">
        <v>2.4</v>
      </c>
      <c r="K454" s="55">
        <v>1.6</v>
      </c>
      <c r="L454" s="55">
        <v>52</v>
      </c>
      <c r="M454" s="54" t="str">
        <f t="shared" si="38"/>
        <v>6-12 Months</v>
      </c>
      <c r="N454" s="54" t="str">
        <f t="shared" si="39"/>
        <v>18-24 Months</v>
      </c>
      <c r="O454" s="54" t="s">
        <v>7</v>
      </c>
      <c r="P454" s="54">
        <f t="shared" si="35"/>
        <v>40</v>
      </c>
      <c r="Q454">
        <f t="shared" si="36"/>
        <v>40</v>
      </c>
      <c r="R454">
        <f t="shared" si="37"/>
        <v>40</v>
      </c>
    </row>
    <row r="455" spans="1:18" x14ac:dyDescent="0.2">
      <c r="A455" s="54">
        <v>156843</v>
      </c>
      <c r="B455" s="54" t="s">
        <v>245</v>
      </c>
      <c r="C455" s="55">
        <v>43</v>
      </c>
      <c r="D455" s="55">
        <v>36</v>
      </c>
      <c r="E455" s="55">
        <v>9</v>
      </c>
      <c r="F455" s="55">
        <v>85</v>
      </c>
      <c r="G455" s="55">
        <v>55</v>
      </c>
      <c r="H455" s="55">
        <v>0</v>
      </c>
      <c r="I455" s="55">
        <v>2.36</v>
      </c>
      <c r="J455" s="55">
        <v>1.53</v>
      </c>
      <c r="K455" s="55">
        <v>0</v>
      </c>
      <c r="L455" s="55">
        <v>0</v>
      </c>
      <c r="M455" s="54" t="str">
        <f t="shared" si="38"/>
        <v>6-12 Months</v>
      </c>
      <c r="N455" s="54" t="str">
        <f t="shared" si="39"/>
        <v>18-24 Months</v>
      </c>
      <c r="O455" s="54" t="s">
        <v>7</v>
      </c>
      <c r="P455" s="54">
        <f t="shared" si="35"/>
        <v>43</v>
      </c>
      <c r="Q455">
        <f t="shared" si="36"/>
        <v>43</v>
      </c>
      <c r="R455">
        <f t="shared" si="37"/>
        <v>43</v>
      </c>
    </row>
    <row r="456" spans="1:18" x14ac:dyDescent="0.2">
      <c r="A456" s="54">
        <v>156561</v>
      </c>
      <c r="B456" s="54" t="s">
        <v>242</v>
      </c>
      <c r="C456" s="55">
        <v>49</v>
      </c>
      <c r="D456" s="55">
        <v>37</v>
      </c>
      <c r="E456" s="55">
        <v>9</v>
      </c>
      <c r="F456" s="55">
        <v>184</v>
      </c>
      <c r="G456" s="55">
        <v>177</v>
      </c>
      <c r="H456" s="55">
        <v>130</v>
      </c>
      <c r="I456" s="55">
        <v>4.97</v>
      </c>
      <c r="J456" s="55">
        <v>4.78</v>
      </c>
      <c r="K456" s="55">
        <v>3.51</v>
      </c>
      <c r="L456" s="55">
        <v>4</v>
      </c>
      <c r="M456" s="54" t="str">
        <f t="shared" si="38"/>
        <v>6-12 Months</v>
      </c>
      <c r="N456" s="54" t="str">
        <f t="shared" si="39"/>
        <v>18-24 Months</v>
      </c>
      <c r="O456" s="54" t="s">
        <v>7</v>
      </c>
      <c r="P456" s="54">
        <f t="shared" si="35"/>
        <v>49</v>
      </c>
      <c r="Q456">
        <f t="shared" si="36"/>
        <v>49</v>
      </c>
      <c r="R456">
        <f t="shared" si="37"/>
        <v>49</v>
      </c>
    </row>
    <row r="457" spans="1:18" x14ac:dyDescent="0.2">
      <c r="A457" s="54">
        <v>185176</v>
      </c>
      <c r="B457" s="54" t="s">
        <v>205</v>
      </c>
      <c r="C457" s="55">
        <v>49</v>
      </c>
      <c r="D457" s="55">
        <v>53</v>
      </c>
      <c r="E457" s="55">
        <v>9</v>
      </c>
      <c r="F457" s="55">
        <v>297</v>
      </c>
      <c r="G457" s="55">
        <v>297</v>
      </c>
      <c r="H457" s="55">
        <v>219</v>
      </c>
      <c r="I457" s="55">
        <v>5.6</v>
      </c>
      <c r="J457" s="55">
        <v>5.6</v>
      </c>
      <c r="K457" s="55">
        <v>4.13</v>
      </c>
      <c r="L457" s="55">
        <v>53</v>
      </c>
      <c r="M457" s="54" t="str">
        <f t="shared" si="38"/>
        <v>6-12 Months</v>
      </c>
      <c r="N457" s="54" t="str">
        <f t="shared" si="39"/>
        <v>18-24 Months</v>
      </c>
      <c r="O457" s="54" t="s">
        <v>7</v>
      </c>
      <c r="P457" s="54">
        <f t="shared" si="35"/>
        <v>49</v>
      </c>
      <c r="Q457">
        <f t="shared" si="36"/>
        <v>49</v>
      </c>
      <c r="R457">
        <f t="shared" si="37"/>
        <v>49</v>
      </c>
    </row>
    <row r="458" spans="1:18" x14ac:dyDescent="0.2">
      <c r="A458" s="54">
        <v>113552</v>
      </c>
      <c r="B458" s="54" t="s">
        <v>211</v>
      </c>
      <c r="C458" s="55">
        <v>50</v>
      </c>
      <c r="D458" s="55">
        <v>40</v>
      </c>
      <c r="E458" s="55">
        <v>9</v>
      </c>
      <c r="F458" s="55">
        <v>294</v>
      </c>
      <c r="G458" s="55">
        <v>293</v>
      </c>
      <c r="H458" s="55">
        <v>233</v>
      </c>
      <c r="I458" s="55">
        <v>6.53</v>
      </c>
      <c r="J458" s="55">
        <v>6.51</v>
      </c>
      <c r="K458" s="55">
        <v>5.18</v>
      </c>
      <c r="L458" s="55">
        <v>79</v>
      </c>
      <c r="M458" s="54" t="str">
        <f t="shared" si="38"/>
        <v>6-12 Months</v>
      </c>
      <c r="N458" s="54" t="str">
        <f t="shared" si="39"/>
        <v>18-24 Months</v>
      </c>
      <c r="O458" s="54" t="s">
        <v>7</v>
      </c>
      <c r="P458" s="54">
        <f t="shared" si="35"/>
        <v>50</v>
      </c>
      <c r="Q458">
        <f t="shared" si="36"/>
        <v>50</v>
      </c>
      <c r="R458">
        <f t="shared" si="37"/>
        <v>50</v>
      </c>
    </row>
    <row r="459" spans="1:18" x14ac:dyDescent="0.2">
      <c r="A459" s="54">
        <v>114833</v>
      </c>
      <c r="B459" s="54" t="s">
        <v>244</v>
      </c>
      <c r="C459" s="55">
        <v>50</v>
      </c>
      <c r="D459" s="55">
        <v>34</v>
      </c>
      <c r="E459" s="55">
        <v>9</v>
      </c>
      <c r="F459" s="55">
        <v>215</v>
      </c>
      <c r="G459" s="55">
        <v>204</v>
      </c>
      <c r="H459" s="55">
        <v>0</v>
      </c>
      <c r="I459" s="55">
        <v>6.32</v>
      </c>
      <c r="J459" s="55">
        <v>6</v>
      </c>
      <c r="K459" s="55">
        <v>0</v>
      </c>
      <c r="L459" s="55">
        <v>35</v>
      </c>
      <c r="M459" s="54" t="str">
        <f t="shared" si="38"/>
        <v>6-12 Months</v>
      </c>
      <c r="N459" s="54" t="str">
        <f t="shared" si="39"/>
        <v>18-24 Months</v>
      </c>
      <c r="O459" s="54" t="s">
        <v>7</v>
      </c>
      <c r="P459" s="54">
        <f t="shared" si="35"/>
        <v>50</v>
      </c>
      <c r="Q459">
        <f t="shared" si="36"/>
        <v>50</v>
      </c>
      <c r="R459">
        <f t="shared" si="37"/>
        <v>50</v>
      </c>
    </row>
    <row r="460" spans="1:18" x14ac:dyDescent="0.2">
      <c r="A460" s="54">
        <v>127414</v>
      </c>
      <c r="B460" s="54" t="s">
        <v>347</v>
      </c>
      <c r="C460" s="55">
        <v>59</v>
      </c>
      <c r="D460" s="55">
        <v>70</v>
      </c>
      <c r="E460" s="55">
        <v>9</v>
      </c>
      <c r="F460" s="55">
        <v>91</v>
      </c>
      <c r="G460" s="55">
        <v>20</v>
      </c>
      <c r="H460" s="55">
        <v>17</v>
      </c>
      <c r="I460" s="55">
        <v>1.3</v>
      </c>
      <c r="J460" s="55">
        <v>0.28999999999999998</v>
      </c>
      <c r="K460" s="55">
        <v>0.24</v>
      </c>
      <c r="L460" s="55">
        <v>0</v>
      </c>
      <c r="M460" s="54" t="str">
        <f t="shared" si="38"/>
        <v>6-12 Months</v>
      </c>
      <c r="N460" s="54" t="str">
        <f t="shared" si="39"/>
        <v>18-24 Months</v>
      </c>
      <c r="O460" s="54" t="s">
        <v>7</v>
      </c>
      <c r="P460" s="54">
        <f t="shared" si="35"/>
        <v>0</v>
      </c>
      <c r="Q460">
        <f t="shared" si="36"/>
        <v>0</v>
      </c>
      <c r="R460">
        <f t="shared" si="37"/>
        <v>0</v>
      </c>
    </row>
    <row r="461" spans="1:18" x14ac:dyDescent="0.2">
      <c r="A461" s="54">
        <v>313924</v>
      </c>
      <c r="B461" s="54" t="s">
        <v>481</v>
      </c>
      <c r="C461" s="55">
        <v>61</v>
      </c>
      <c r="D461" s="55">
        <v>46</v>
      </c>
      <c r="E461" s="55">
        <v>9</v>
      </c>
      <c r="F461" s="55">
        <v>52</v>
      </c>
      <c r="G461" s="55">
        <v>52</v>
      </c>
      <c r="H461" s="55">
        <v>52</v>
      </c>
      <c r="I461" s="55">
        <v>1.1299999999999999</v>
      </c>
      <c r="J461" s="55">
        <v>1.1299999999999999</v>
      </c>
      <c r="K461" s="55">
        <v>1.1299999999999999</v>
      </c>
      <c r="L461" s="55">
        <v>0</v>
      </c>
      <c r="M461" s="54" t="str">
        <f t="shared" si="38"/>
        <v>6-12 Months</v>
      </c>
      <c r="N461" s="54" t="str">
        <f t="shared" si="39"/>
        <v>18-24 Months</v>
      </c>
      <c r="O461" s="54" t="s">
        <v>7</v>
      </c>
      <c r="P461" s="54">
        <f t="shared" si="35"/>
        <v>61</v>
      </c>
      <c r="Q461">
        <f t="shared" si="36"/>
        <v>0</v>
      </c>
      <c r="R461">
        <f t="shared" si="37"/>
        <v>61</v>
      </c>
    </row>
    <row r="462" spans="1:18" x14ac:dyDescent="0.2">
      <c r="A462" s="54">
        <v>109294</v>
      </c>
      <c r="B462" s="54" t="s">
        <v>222</v>
      </c>
      <c r="C462" s="55">
        <v>62</v>
      </c>
      <c r="D462" s="55">
        <v>26</v>
      </c>
      <c r="E462" s="55">
        <v>9</v>
      </c>
      <c r="F462" s="55">
        <v>221</v>
      </c>
      <c r="G462" s="55">
        <v>14</v>
      </c>
      <c r="H462" s="55">
        <v>6</v>
      </c>
      <c r="I462" s="55">
        <v>8.5</v>
      </c>
      <c r="J462" s="55">
        <v>0.54</v>
      </c>
      <c r="K462" s="55">
        <v>0.23</v>
      </c>
      <c r="L462" s="55">
        <v>0</v>
      </c>
      <c r="M462" s="54" t="str">
        <f t="shared" si="38"/>
        <v>6-12 Months</v>
      </c>
      <c r="N462" s="54" t="str">
        <f t="shared" si="39"/>
        <v>18-24 Months</v>
      </c>
      <c r="O462" s="54" t="s">
        <v>7</v>
      </c>
      <c r="P462" s="54">
        <f t="shared" si="35"/>
        <v>62</v>
      </c>
      <c r="Q462">
        <f t="shared" si="36"/>
        <v>62</v>
      </c>
      <c r="R462">
        <f t="shared" si="37"/>
        <v>0</v>
      </c>
    </row>
    <row r="463" spans="1:18" x14ac:dyDescent="0.2">
      <c r="A463" s="54">
        <v>464691</v>
      </c>
      <c r="B463" s="54" t="s">
        <v>518</v>
      </c>
      <c r="C463" s="55">
        <v>66</v>
      </c>
      <c r="D463" s="55">
        <v>20</v>
      </c>
      <c r="E463" s="55">
        <v>9</v>
      </c>
      <c r="F463" s="55">
        <v>17</v>
      </c>
      <c r="G463" s="55">
        <v>13</v>
      </c>
      <c r="H463" s="55">
        <v>0</v>
      </c>
      <c r="I463" s="55">
        <v>0.85</v>
      </c>
      <c r="J463" s="55">
        <v>0.65</v>
      </c>
      <c r="K463" s="55">
        <v>0</v>
      </c>
      <c r="L463" s="55">
        <v>14</v>
      </c>
      <c r="M463" s="54" t="str">
        <f t="shared" si="38"/>
        <v>6-12 Months</v>
      </c>
      <c r="N463" s="54" t="str">
        <f t="shared" si="39"/>
        <v>18-24 Months</v>
      </c>
      <c r="O463" s="54" t="s">
        <v>7</v>
      </c>
      <c r="P463" s="54">
        <f t="shared" si="35"/>
        <v>0</v>
      </c>
      <c r="Q463">
        <f t="shared" si="36"/>
        <v>0</v>
      </c>
      <c r="R463">
        <f t="shared" si="37"/>
        <v>0</v>
      </c>
    </row>
    <row r="464" spans="1:18" x14ac:dyDescent="0.2">
      <c r="A464" s="54">
        <v>110580</v>
      </c>
      <c r="B464" s="54" t="s">
        <v>665</v>
      </c>
      <c r="C464" s="55">
        <v>70</v>
      </c>
      <c r="D464" s="55">
        <v>70</v>
      </c>
      <c r="E464" s="55">
        <v>9</v>
      </c>
      <c r="F464" s="55">
        <v>0</v>
      </c>
      <c r="G464" s="55">
        <v>0</v>
      </c>
      <c r="H464" s="55">
        <v>0</v>
      </c>
      <c r="I464" s="55">
        <v>0</v>
      </c>
      <c r="J464" s="55">
        <v>0</v>
      </c>
      <c r="K464" s="55">
        <v>0</v>
      </c>
      <c r="L464" s="55">
        <v>0</v>
      </c>
      <c r="M464" s="54" t="str">
        <f t="shared" si="38"/>
        <v>6-12 Months</v>
      </c>
      <c r="N464" s="54" t="str">
        <f t="shared" si="39"/>
        <v>18-24 Months</v>
      </c>
      <c r="O464" s="54" t="s">
        <v>7</v>
      </c>
      <c r="P464" s="54">
        <f t="shared" si="35"/>
        <v>0</v>
      </c>
      <c r="Q464">
        <f t="shared" si="36"/>
        <v>0</v>
      </c>
      <c r="R464">
        <f t="shared" si="37"/>
        <v>0</v>
      </c>
    </row>
    <row r="465" spans="1:18" x14ac:dyDescent="0.2">
      <c r="A465" s="54">
        <v>466044</v>
      </c>
      <c r="B465" s="54" t="s">
        <v>199</v>
      </c>
      <c r="C465" s="55">
        <v>70</v>
      </c>
      <c r="D465" s="55">
        <v>82</v>
      </c>
      <c r="E465" s="55">
        <v>9</v>
      </c>
      <c r="F465" s="55">
        <v>297</v>
      </c>
      <c r="G465" s="55">
        <v>282</v>
      </c>
      <c r="H465" s="55">
        <v>115</v>
      </c>
      <c r="I465" s="55">
        <v>3.62</v>
      </c>
      <c r="J465" s="55">
        <v>3.44</v>
      </c>
      <c r="K465" s="55">
        <v>1.4</v>
      </c>
      <c r="L465" s="55">
        <v>98</v>
      </c>
      <c r="M465" s="54" t="str">
        <f t="shared" si="38"/>
        <v>6-12 Months</v>
      </c>
      <c r="N465" s="54" t="str">
        <f t="shared" si="39"/>
        <v>18-24 Months</v>
      </c>
      <c r="O465" s="54" t="s">
        <v>7</v>
      </c>
      <c r="P465" s="54">
        <f t="shared" si="35"/>
        <v>70</v>
      </c>
      <c r="Q465">
        <f t="shared" si="36"/>
        <v>70</v>
      </c>
      <c r="R465">
        <f t="shared" si="37"/>
        <v>70</v>
      </c>
    </row>
    <row r="466" spans="1:18" x14ac:dyDescent="0.2">
      <c r="A466" s="54">
        <v>157831</v>
      </c>
      <c r="B466" s="54" t="s">
        <v>228</v>
      </c>
      <c r="C466" s="55">
        <v>80</v>
      </c>
      <c r="D466" s="55">
        <v>70</v>
      </c>
      <c r="E466" s="55">
        <v>9</v>
      </c>
      <c r="F466" s="55">
        <v>251</v>
      </c>
      <c r="G466" s="55">
        <v>0</v>
      </c>
      <c r="H466" s="55">
        <v>0</v>
      </c>
      <c r="I466" s="55">
        <v>3.59</v>
      </c>
      <c r="J466" s="55">
        <v>0</v>
      </c>
      <c r="K466" s="55">
        <v>0</v>
      </c>
      <c r="L466" s="55">
        <v>0</v>
      </c>
      <c r="M466" s="54" t="str">
        <f t="shared" si="38"/>
        <v>6-12 Months</v>
      </c>
      <c r="N466" s="54" t="str">
        <f t="shared" si="39"/>
        <v>18-24 Months</v>
      </c>
      <c r="O466" s="54" t="s">
        <v>7</v>
      </c>
      <c r="P466" s="54">
        <f t="shared" si="35"/>
        <v>80</v>
      </c>
      <c r="Q466">
        <f t="shared" si="36"/>
        <v>80</v>
      </c>
      <c r="R466">
        <f t="shared" si="37"/>
        <v>0</v>
      </c>
    </row>
    <row r="467" spans="1:18" x14ac:dyDescent="0.2">
      <c r="A467" s="54">
        <v>106990</v>
      </c>
      <c r="B467" s="54" t="s">
        <v>289</v>
      </c>
      <c r="C467" s="55">
        <v>88</v>
      </c>
      <c r="D467" s="55">
        <v>84</v>
      </c>
      <c r="E467" s="55">
        <v>9</v>
      </c>
      <c r="F467" s="55">
        <v>76</v>
      </c>
      <c r="G467" s="55">
        <v>47</v>
      </c>
      <c r="H467" s="55">
        <v>0</v>
      </c>
      <c r="I467" s="55">
        <v>0.9</v>
      </c>
      <c r="J467" s="55">
        <v>0.56000000000000005</v>
      </c>
      <c r="K467" s="55">
        <v>0</v>
      </c>
      <c r="L467" s="55">
        <v>98</v>
      </c>
      <c r="M467" s="54" t="str">
        <f t="shared" si="38"/>
        <v>6-12 Months</v>
      </c>
      <c r="N467" s="54" t="str">
        <f t="shared" si="39"/>
        <v>18-24 Months</v>
      </c>
      <c r="O467" s="54" t="s">
        <v>7</v>
      </c>
      <c r="P467" s="54">
        <f t="shared" si="35"/>
        <v>0</v>
      </c>
      <c r="Q467">
        <f t="shared" si="36"/>
        <v>0</v>
      </c>
      <c r="R467">
        <f t="shared" si="37"/>
        <v>0</v>
      </c>
    </row>
    <row r="468" spans="1:18" x14ac:dyDescent="0.2">
      <c r="A468" s="54">
        <v>107969</v>
      </c>
      <c r="B468" s="54" t="s">
        <v>140</v>
      </c>
      <c r="C468" s="55">
        <v>96</v>
      </c>
      <c r="D468" s="55">
        <v>136</v>
      </c>
      <c r="E468" s="55">
        <v>9</v>
      </c>
      <c r="F468" s="55">
        <v>608</v>
      </c>
      <c r="G468" s="55">
        <v>95</v>
      </c>
      <c r="H468" s="55">
        <v>15</v>
      </c>
      <c r="I468" s="55">
        <v>4.47</v>
      </c>
      <c r="J468" s="55">
        <v>0.7</v>
      </c>
      <c r="K468" s="55">
        <v>0.11</v>
      </c>
      <c r="L468" s="55">
        <v>31</v>
      </c>
      <c r="M468" s="54" t="str">
        <f t="shared" si="38"/>
        <v>6-12 Months</v>
      </c>
      <c r="N468" s="54" t="str">
        <f t="shared" si="39"/>
        <v>18-24 Months</v>
      </c>
      <c r="O468" s="54" t="s">
        <v>6</v>
      </c>
      <c r="P468" s="54">
        <f t="shared" si="35"/>
        <v>96</v>
      </c>
      <c r="Q468">
        <f t="shared" si="36"/>
        <v>96</v>
      </c>
      <c r="R468">
        <f t="shared" si="37"/>
        <v>0</v>
      </c>
    </row>
    <row r="469" spans="1:18" x14ac:dyDescent="0.2">
      <c r="A469" s="54">
        <v>186872</v>
      </c>
      <c r="B469" s="54" t="s">
        <v>116</v>
      </c>
      <c r="C469" s="55">
        <v>98</v>
      </c>
      <c r="D469" s="55">
        <v>98</v>
      </c>
      <c r="E469" s="55">
        <v>9</v>
      </c>
      <c r="F469" s="55">
        <v>766</v>
      </c>
      <c r="G469" s="55">
        <v>118</v>
      </c>
      <c r="H469" s="55">
        <v>48</v>
      </c>
      <c r="I469" s="55">
        <v>7.82</v>
      </c>
      <c r="J469" s="55">
        <v>1.2</v>
      </c>
      <c r="K469" s="55">
        <v>0.49</v>
      </c>
      <c r="L469" s="55">
        <v>84</v>
      </c>
      <c r="M469" s="54" t="str">
        <f t="shared" si="38"/>
        <v>6-12 Months</v>
      </c>
      <c r="N469" s="54" t="str">
        <f t="shared" si="39"/>
        <v>18-24 Months</v>
      </c>
      <c r="O469" s="54" t="s">
        <v>7</v>
      </c>
      <c r="P469" s="54">
        <f t="shared" si="35"/>
        <v>98</v>
      </c>
      <c r="Q469">
        <f t="shared" si="36"/>
        <v>98</v>
      </c>
      <c r="R469">
        <f t="shared" si="37"/>
        <v>98</v>
      </c>
    </row>
    <row r="470" spans="1:18" x14ac:dyDescent="0.2">
      <c r="A470" s="54">
        <v>106587</v>
      </c>
      <c r="B470" s="54" t="s">
        <v>158</v>
      </c>
      <c r="C470" s="55">
        <v>114</v>
      </c>
      <c r="D470" s="55">
        <v>112</v>
      </c>
      <c r="E470" s="55">
        <v>9</v>
      </c>
      <c r="F470" s="55">
        <v>449</v>
      </c>
      <c r="G470" s="55">
        <v>21</v>
      </c>
      <c r="H470" s="55">
        <v>0</v>
      </c>
      <c r="I470" s="55">
        <v>4.01</v>
      </c>
      <c r="J470" s="55">
        <v>0.19</v>
      </c>
      <c r="K470" s="55">
        <v>0</v>
      </c>
      <c r="L470" s="55">
        <v>0</v>
      </c>
      <c r="M470" s="54" t="str">
        <f t="shared" si="38"/>
        <v>6-12 Months</v>
      </c>
      <c r="N470" s="54" t="str">
        <f t="shared" si="39"/>
        <v>18-24 Months</v>
      </c>
      <c r="O470" s="54" t="s">
        <v>6</v>
      </c>
      <c r="P470" s="54">
        <f t="shared" si="35"/>
        <v>114</v>
      </c>
      <c r="Q470">
        <f t="shared" si="36"/>
        <v>114</v>
      </c>
      <c r="R470">
        <f t="shared" si="37"/>
        <v>0</v>
      </c>
    </row>
    <row r="471" spans="1:18" x14ac:dyDescent="0.2">
      <c r="A471" s="54">
        <v>108880</v>
      </c>
      <c r="B471" s="54" t="s">
        <v>357</v>
      </c>
      <c r="C471" s="55">
        <v>115</v>
      </c>
      <c r="D471" s="55">
        <v>95</v>
      </c>
      <c r="E471" s="55">
        <v>9</v>
      </c>
      <c r="F471" s="55">
        <v>76</v>
      </c>
      <c r="G471" s="55">
        <v>37</v>
      </c>
      <c r="H471" s="55">
        <v>4</v>
      </c>
      <c r="I471" s="55">
        <v>0.8</v>
      </c>
      <c r="J471" s="55">
        <v>0.39</v>
      </c>
      <c r="K471" s="55">
        <v>0.04</v>
      </c>
      <c r="L471" s="55">
        <v>0</v>
      </c>
      <c r="M471" s="54" t="str">
        <f t="shared" si="38"/>
        <v>6-12 Months</v>
      </c>
      <c r="N471" s="54" t="str">
        <f t="shared" si="39"/>
        <v>18-24 Months</v>
      </c>
      <c r="O471" s="54" t="s">
        <v>7</v>
      </c>
      <c r="P471" s="54">
        <f t="shared" si="35"/>
        <v>0</v>
      </c>
      <c r="Q471">
        <f t="shared" si="36"/>
        <v>0</v>
      </c>
      <c r="R471">
        <f t="shared" si="37"/>
        <v>0</v>
      </c>
    </row>
    <row r="472" spans="1:18" x14ac:dyDescent="0.2">
      <c r="A472" s="54">
        <v>113111</v>
      </c>
      <c r="B472" s="54" t="s">
        <v>117</v>
      </c>
      <c r="C472" s="55">
        <v>117</v>
      </c>
      <c r="D472" s="55">
        <v>115</v>
      </c>
      <c r="E472" s="55">
        <v>9</v>
      </c>
      <c r="F472" s="55">
        <v>794</v>
      </c>
      <c r="G472" s="55">
        <v>777</v>
      </c>
      <c r="H472" s="55">
        <v>22</v>
      </c>
      <c r="I472" s="55">
        <v>6.9</v>
      </c>
      <c r="J472" s="55">
        <v>6.76</v>
      </c>
      <c r="K472" s="55">
        <v>0.19</v>
      </c>
      <c r="L472" s="55">
        <v>115</v>
      </c>
      <c r="M472" s="54" t="str">
        <f t="shared" si="38"/>
        <v>6-12 Months</v>
      </c>
      <c r="N472" s="54" t="str">
        <f t="shared" si="39"/>
        <v>18-24 Months</v>
      </c>
      <c r="O472" s="54" t="s">
        <v>6</v>
      </c>
      <c r="P472" s="54">
        <f t="shared" si="35"/>
        <v>117</v>
      </c>
      <c r="Q472">
        <f t="shared" si="36"/>
        <v>117</v>
      </c>
      <c r="R472">
        <f t="shared" si="37"/>
        <v>117</v>
      </c>
    </row>
    <row r="473" spans="1:18" x14ac:dyDescent="0.2">
      <c r="A473" s="54">
        <v>108403</v>
      </c>
      <c r="B473" s="54" t="s">
        <v>397</v>
      </c>
      <c r="C473" s="55">
        <v>121</v>
      </c>
      <c r="D473" s="55">
        <v>109</v>
      </c>
      <c r="E473" s="55">
        <v>9</v>
      </c>
      <c r="F473" s="55">
        <v>62</v>
      </c>
      <c r="G473" s="55">
        <v>21</v>
      </c>
      <c r="H473" s="55">
        <v>1</v>
      </c>
      <c r="I473" s="55">
        <v>0.56999999999999995</v>
      </c>
      <c r="J473" s="55">
        <v>0.19</v>
      </c>
      <c r="K473" s="55">
        <v>0.01</v>
      </c>
      <c r="L473" s="55">
        <v>8</v>
      </c>
      <c r="M473" s="54" t="str">
        <f t="shared" si="38"/>
        <v>6-12 Months</v>
      </c>
      <c r="N473" s="54" t="str">
        <f t="shared" si="39"/>
        <v>18-24 Months</v>
      </c>
      <c r="O473" s="54" t="s">
        <v>6</v>
      </c>
      <c r="P473" s="54">
        <f t="shared" si="35"/>
        <v>0</v>
      </c>
      <c r="Q473">
        <f t="shared" si="36"/>
        <v>0</v>
      </c>
      <c r="R473">
        <f t="shared" si="37"/>
        <v>0</v>
      </c>
    </row>
    <row r="474" spans="1:18" x14ac:dyDescent="0.2">
      <c r="A474" s="54">
        <v>112209</v>
      </c>
      <c r="B474" s="54" t="s">
        <v>154</v>
      </c>
      <c r="C474" s="55">
        <v>123</v>
      </c>
      <c r="D474" s="55">
        <v>75</v>
      </c>
      <c r="E474" s="55">
        <v>9</v>
      </c>
      <c r="F474" s="55">
        <v>301</v>
      </c>
      <c r="G474" s="55">
        <v>299</v>
      </c>
      <c r="H474" s="55">
        <v>0</v>
      </c>
      <c r="I474" s="55">
        <v>4.01</v>
      </c>
      <c r="J474" s="55">
        <v>3.99</v>
      </c>
      <c r="K474" s="55">
        <v>0</v>
      </c>
      <c r="L474" s="55">
        <v>51</v>
      </c>
      <c r="M474" s="54" t="str">
        <f t="shared" si="38"/>
        <v>6-12 Months</v>
      </c>
      <c r="N474" s="54" t="str">
        <f t="shared" si="39"/>
        <v>18-24 Months</v>
      </c>
      <c r="O474" s="54" t="s">
        <v>7</v>
      </c>
      <c r="P474" s="54">
        <f t="shared" si="35"/>
        <v>123</v>
      </c>
      <c r="Q474">
        <f t="shared" si="36"/>
        <v>123</v>
      </c>
      <c r="R474">
        <f t="shared" si="37"/>
        <v>123</v>
      </c>
    </row>
    <row r="475" spans="1:18" x14ac:dyDescent="0.2">
      <c r="A475" s="54">
        <v>466491</v>
      </c>
      <c r="B475" s="54" t="s">
        <v>172</v>
      </c>
      <c r="C475" s="55">
        <v>135</v>
      </c>
      <c r="D475" s="55">
        <v>135</v>
      </c>
      <c r="E475" s="55">
        <v>9</v>
      </c>
      <c r="F475" s="55">
        <v>391</v>
      </c>
      <c r="G475" s="55">
        <v>7</v>
      </c>
      <c r="H475" s="55">
        <v>4</v>
      </c>
      <c r="I475" s="55">
        <v>2.9</v>
      </c>
      <c r="J475" s="55">
        <v>0.05</v>
      </c>
      <c r="K475" s="55">
        <v>0.03</v>
      </c>
      <c r="L475" s="55">
        <v>3</v>
      </c>
      <c r="M475" s="54" t="str">
        <f t="shared" si="38"/>
        <v>6-12 Months</v>
      </c>
      <c r="N475" s="54" t="str">
        <f t="shared" si="39"/>
        <v>18-24 Months</v>
      </c>
      <c r="O475" s="54" t="s">
        <v>6</v>
      </c>
      <c r="P475" s="54">
        <f t="shared" si="35"/>
        <v>135</v>
      </c>
      <c r="Q475">
        <f t="shared" si="36"/>
        <v>135</v>
      </c>
      <c r="R475">
        <f t="shared" si="37"/>
        <v>0</v>
      </c>
    </row>
    <row r="476" spans="1:18" x14ac:dyDescent="0.2">
      <c r="A476" s="54">
        <v>107920</v>
      </c>
      <c r="B476" s="54" t="s">
        <v>394</v>
      </c>
      <c r="C476" s="55">
        <v>150</v>
      </c>
      <c r="D476" s="55">
        <v>140</v>
      </c>
      <c r="E476" s="55">
        <v>9</v>
      </c>
      <c r="F476" s="55">
        <v>109</v>
      </c>
      <c r="G476" s="55">
        <v>109</v>
      </c>
      <c r="H476" s="55">
        <v>108</v>
      </c>
      <c r="I476" s="55">
        <v>0.78</v>
      </c>
      <c r="J476" s="55">
        <v>0.78</v>
      </c>
      <c r="K476" s="55">
        <v>0.77</v>
      </c>
      <c r="L476" s="55">
        <v>0</v>
      </c>
      <c r="M476" s="54" t="str">
        <f t="shared" si="38"/>
        <v>6-12 Months</v>
      </c>
      <c r="N476" s="54" t="str">
        <f t="shared" si="39"/>
        <v>18-24 Months</v>
      </c>
      <c r="O476" s="54" t="s">
        <v>6</v>
      </c>
      <c r="P476" s="54">
        <f t="shared" si="35"/>
        <v>150</v>
      </c>
      <c r="Q476">
        <f t="shared" si="36"/>
        <v>0</v>
      </c>
      <c r="R476">
        <f t="shared" si="37"/>
        <v>150</v>
      </c>
    </row>
    <row r="477" spans="1:18" x14ac:dyDescent="0.2">
      <c r="A477" s="54">
        <v>197700</v>
      </c>
      <c r="B477" s="54" t="s">
        <v>87</v>
      </c>
      <c r="C477" s="55">
        <v>170</v>
      </c>
      <c r="D477" s="55">
        <v>168</v>
      </c>
      <c r="E477" s="55">
        <v>9</v>
      </c>
      <c r="F477" s="55">
        <v>955</v>
      </c>
      <c r="G477" s="55">
        <v>808</v>
      </c>
      <c r="H477" s="55">
        <v>37</v>
      </c>
      <c r="I477" s="55">
        <v>5.68</v>
      </c>
      <c r="J477" s="55">
        <v>4.8099999999999996</v>
      </c>
      <c r="K477" s="55">
        <v>0.22</v>
      </c>
      <c r="L477" s="55">
        <v>38</v>
      </c>
      <c r="M477" s="54" t="str">
        <f t="shared" si="38"/>
        <v>6-12 Months</v>
      </c>
      <c r="N477" s="54" t="str">
        <f t="shared" si="39"/>
        <v>18-24 Months</v>
      </c>
      <c r="O477" s="54" t="s">
        <v>6</v>
      </c>
      <c r="P477" s="54">
        <f t="shared" si="35"/>
        <v>170</v>
      </c>
      <c r="Q477">
        <f t="shared" si="36"/>
        <v>170</v>
      </c>
      <c r="R477">
        <f t="shared" si="37"/>
        <v>170</v>
      </c>
    </row>
    <row r="478" spans="1:18" x14ac:dyDescent="0.2">
      <c r="A478" s="54">
        <v>105756</v>
      </c>
      <c r="B478" s="54" t="s">
        <v>258</v>
      </c>
      <c r="C478" s="55">
        <v>195</v>
      </c>
      <c r="D478" s="55">
        <v>271</v>
      </c>
      <c r="E478" s="55">
        <v>9</v>
      </c>
      <c r="F478" s="55">
        <v>206</v>
      </c>
      <c r="G478" s="55">
        <v>151</v>
      </c>
      <c r="H478" s="55">
        <v>104</v>
      </c>
      <c r="I478" s="55">
        <v>0.76</v>
      </c>
      <c r="J478" s="55">
        <v>0.56000000000000005</v>
      </c>
      <c r="K478" s="55">
        <v>0.38</v>
      </c>
      <c r="L478" s="55">
        <v>130</v>
      </c>
      <c r="M478" s="54" t="str">
        <f t="shared" si="38"/>
        <v>6-12 Months</v>
      </c>
      <c r="N478" s="54" t="str">
        <f t="shared" si="39"/>
        <v>18-24 Months</v>
      </c>
      <c r="O478" s="54" t="s">
        <v>6</v>
      </c>
      <c r="P478" s="54">
        <f t="shared" si="35"/>
        <v>0</v>
      </c>
      <c r="Q478">
        <f t="shared" si="36"/>
        <v>0</v>
      </c>
      <c r="R478">
        <f t="shared" si="37"/>
        <v>0</v>
      </c>
    </row>
    <row r="479" spans="1:18" x14ac:dyDescent="0.2">
      <c r="A479" s="54">
        <v>109479</v>
      </c>
      <c r="B479" s="54" t="s">
        <v>98</v>
      </c>
      <c r="C479" s="55">
        <v>205</v>
      </c>
      <c r="D479" s="55">
        <v>200</v>
      </c>
      <c r="E479" s="55">
        <v>9</v>
      </c>
      <c r="F479" s="55">
        <v>1534</v>
      </c>
      <c r="G479" s="55">
        <v>154</v>
      </c>
      <c r="H479" s="55">
        <v>35</v>
      </c>
      <c r="I479" s="55">
        <v>7.67</v>
      </c>
      <c r="J479" s="55">
        <v>0.77</v>
      </c>
      <c r="K479" s="55">
        <v>0.18</v>
      </c>
      <c r="L479" s="55">
        <v>382</v>
      </c>
      <c r="M479" s="54" t="str">
        <f t="shared" si="38"/>
        <v>6-12 Months</v>
      </c>
      <c r="N479" s="54" t="str">
        <f t="shared" si="39"/>
        <v>18-24 Months</v>
      </c>
      <c r="O479" s="54" t="s">
        <v>6</v>
      </c>
      <c r="P479" s="54">
        <f t="shared" si="35"/>
        <v>205</v>
      </c>
      <c r="Q479">
        <f t="shared" si="36"/>
        <v>205</v>
      </c>
      <c r="R479">
        <f t="shared" si="37"/>
        <v>205</v>
      </c>
    </row>
    <row r="480" spans="1:18" x14ac:dyDescent="0.2">
      <c r="A480" s="54">
        <v>106524</v>
      </c>
      <c r="B480" s="54" t="s">
        <v>93</v>
      </c>
      <c r="C480" s="55">
        <v>335</v>
      </c>
      <c r="D480" s="55">
        <v>329</v>
      </c>
      <c r="E480" s="55">
        <v>9</v>
      </c>
      <c r="F480" s="55">
        <v>1332</v>
      </c>
      <c r="G480" s="55">
        <v>217</v>
      </c>
      <c r="H480" s="55">
        <v>100</v>
      </c>
      <c r="I480" s="55">
        <v>4.05</v>
      </c>
      <c r="J480" s="55">
        <v>0.66</v>
      </c>
      <c r="K480" s="55">
        <v>0.3</v>
      </c>
      <c r="L480" s="55">
        <v>18</v>
      </c>
      <c r="M480" s="54" t="str">
        <f t="shared" si="38"/>
        <v>6-12 Months</v>
      </c>
      <c r="N480" s="54" t="str">
        <f t="shared" si="39"/>
        <v>18-24 Months</v>
      </c>
      <c r="O480" s="54" t="s">
        <v>6</v>
      </c>
      <c r="P480" s="54">
        <f t="shared" si="35"/>
        <v>335</v>
      </c>
      <c r="Q480">
        <f t="shared" si="36"/>
        <v>335</v>
      </c>
      <c r="R480">
        <f t="shared" si="37"/>
        <v>0</v>
      </c>
    </row>
    <row r="481" spans="1:18" x14ac:dyDescent="0.2">
      <c r="A481" s="54">
        <v>106372</v>
      </c>
      <c r="B481" s="54" t="s">
        <v>74</v>
      </c>
      <c r="C481" s="55">
        <v>650</v>
      </c>
      <c r="D481" s="55">
        <v>600</v>
      </c>
      <c r="E481" s="55">
        <v>9</v>
      </c>
      <c r="F481" s="55">
        <v>2895</v>
      </c>
      <c r="G481" s="55">
        <v>2291</v>
      </c>
      <c r="H481" s="55">
        <v>136</v>
      </c>
      <c r="I481" s="55">
        <v>4.83</v>
      </c>
      <c r="J481" s="55">
        <v>3.82</v>
      </c>
      <c r="K481" s="55">
        <v>0.23</v>
      </c>
      <c r="L481" s="55">
        <v>1</v>
      </c>
      <c r="M481" s="54" t="str">
        <f t="shared" si="38"/>
        <v>6-12 Months</v>
      </c>
      <c r="N481" s="54" t="str">
        <f t="shared" si="39"/>
        <v>18-24 Months</v>
      </c>
      <c r="O481" s="54" t="s">
        <v>5</v>
      </c>
      <c r="P481" s="54">
        <f t="shared" si="35"/>
        <v>650</v>
      </c>
      <c r="Q481">
        <f t="shared" si="36"/>
        <v>650</v>
      </c>
      <c r="R481">
        <f t="shared" si="37"/>
        <v>650</v>
      </c>
    </row>
    <row r="482" spans="1:18" x14ac:dyDescent="0.2">
      <c r="A482" s="54">
        <v>154518</v>
      </c>
      <c r="B482" s="54" t="s">
        <v>652</v>
      </c>
      <c r="C482" s="55">
        <v>899</v>
      </c>
      <c r="D482" s="55">
        <v>201</v>
      </c>
      <c r="E482" s="55">
        <v>9</v>
      </c>
      <c r="F482" s="55">
        <v>0</v>
      </c>
      <c r="G482" s="55">
        <v>0</v>
      </c>
      <c r="H482" s="55">
        <v>0</v>
      </c>
      <c r="I482" s="55">
        <v>0</v>
      </c>
      <c r="J482" s="55">
        <v>0</v>
      </c>
      <c r="K482" s="55">
        <v>0</v>
      </c>
      <c r="L482" s="55">
        <v>0</v>
      </c>
      <c r="M482" s="54" t="str">
        <f t="shared" si="38"/>
        <v>6-12 Months</v>
      </c>
      <c r="N482" s="54" t="str">
        <f t="shared" si="39"/>
        <v>18-24 Months</v>
      </c>
      <c r="O482" s="54" t="s">
        <v>6</v>
      </c>
      <c r="P482" s="54">
        <f t="shared" si="35"/>
        <v>0</v>
      </c>
      <c r="Q482">
        <f t="shared" si="36"/>
        <v>0</v>
      </c>
      <c r="R482">
        <f t="shared" si="37"/>
        <v>0</v>
      </c>
    </row>
    <row r="483" spans="1:18" x14ac:dyDescent="0.2">
      <c r="A483" s="54">
        <v>326941</v>
      </c>
      <c r="B483" s="54" t="s">
        <v>368</v>
      </c>
      <c r="C483" s="55">
        <v>1358</v>
      </c>
      <c r="D483" s="55">
        <v>80</v>
      </c>
      <c r="E483" s="55">
        <v>9</v>
      </c>
      <c r="F483" s="55">
        <v>188</v>
      </c>
      <c r="G483" s="55">
        <v>28</v>
      </c>
      <c r="H483" s="55">
        <v>0</v>
      </c>
      <c r="I483" s="55">
        <v>2.35</v>
      </c>
      <c r="J483" s="55">
        <v>0.35</v>
      </c>
      <c r="K483" s="55">
        <v>0</v>
      </c>
      <c r="L483" s="55">
        <v>0</v>
      </c>
      <c r="M483" s="54" t="str">
        <f t="shared" si="38"/>
        <v>6-12 Months</v>
      </c>
      <c r="N483" s="54" t="str">
        <f t="shared" si="39"/>
        <v>18-24 Months</v>
      </c>
      <c r="O483" s="54" t="s">
        <v>7</v>
      </c>
      <c r="P483" s="54">
        <f t="shared" si="35"/>
        <v>1358</v>
      </c>
      <c r="Q483">
        <f t="shared" si="36"/>
        <v>1358</v>
      </c>
      <c r="R483">
        <f t="shared" si="37"/>
        <v>0</v>
      </c>
    </row>
    <row r="484" spans="1:18" x14ac:dyDescent="0.2">
      <c r="A484" s="54">
        <v>120234</v>
      </c>
      <c r="B484" s="54" t="s">
        <v>384</v>
      </c>
      <c r="C484" s="55">
        <v>1</v>
      </c>
      <c r="D484" s="55">
        <v>22</v>
      </c>
      <c r="E484" s="55">
        <v>8</v>
      </c>
      <c r="F484" s="55">
        <v>52</v>
      </c>
      <c r="G484" s="55">
        <v>18</v>
      </c>
      <c r="H484" s="55">
        <v>2</v>
      </c>
      <c r="I484" s="55">
        <v>2.36</v>
      </c>
      <c r="J484" s="55">
        <v>0.82</v>
      </c>
      <c r="K484" s="55">
        <v>0.09</v>
      </c>
      <c r="L484" s="55">
        <v>8</v>
      </c>
      <c r="M484" s="54" t="str">
        <f t="shared" si="38"/>
        <v>6-12 Months</v>
      </c>
      <c r="N484" s="54" t="str">
        <f t="shared" si="39"/>
        <v>18-24 Months</v>
      </c>
      <c r="O484" s="54" t="s">
        <v>7</v>
      </c>
      <c r="P484" s="54">
        <f t="shared" si="35"/>
        <v>1</v>
      </c>
      <c r="Q484">
        <f t="shared" si="36"/>
        <v>1</v>
      </c>
      <c r="R484">
        <f t="shared" si="37"/>
        <v>1</v>
      </c>
    </row>
    <row r="485" spans="1:18" x14ac:dyDescent="0.2">
      <c r="A485" s="54">
        <v>241689</v>
      </c>
      <c r="B485" s="54" t="s">
        <v>466</v>
      </c>
      <c r="C485" s="55">
        <v>1</v>
      </c>
      <c r="D485" s="55">
        <v>6</v>
      </c>
      <c r="E485" s="55">
        <v>8</v>
      </c>
      <c r="F485" s="55">
        <v>28</v>
      </c>
      <c r="G485" s="55">
        <v>28</v>
      </c>
      <c r="H485" s="55">
        <v>9</v>
      </c>
      <c r="I485" s="55">
        <v>4.67</v>
      </c>
      <c r="J485" s="55">
        <v>4.67</v>
      </c>
      <c r="K485" s="55">
        <v>1.5</v>
      </c>
      <c r="L485" s="55">
        <v>84</v>
      </c>
      <c r="M485" s="54" t="str">
        <f t="shared" si="38"/>
        <v>6-12 Months</v>
      </c>
      <c r="N485" s="54" t="str">
        <f t="shared" si="39"/>
        <v>18-24 Months</v>
      </c>
      <c r="O485" s="54" t="s">
        <v>7</v>
      </c>
      <c r="P485" s="54">
        <f t="shared" si="35"/>
        <v>1</v>
      </c>
      <c r="Q485">
        <f t="shared" si="36"/>
        <v>1</v>
      </c>
      <c r="R485">
        <f t="shared" si="37"/>
        <v>1</v>
      </c>
    </row>
    <row r="486" spans="1:18" x14ac:dyDescent="0.2">
      <c r="A486" s="54">
        <v>579148</v>
      </c>
      <c r="B486" s="54" t="s">
        <v>363</v>
      </c>
      <c r="C486" s="55">
        <v>1</v>
      </c>
      <c r="D486" s="55">
        <v>6</v>
      </c>
      <c r="E486" s="55">
        <v>8</v>
      </c>
      <c r="F486" s="55">
        <v>74</v>
      </c>
      <c r="G486" s="55">
        <v>74</v>
      </c>
      <c r="H486" s="55">
        <v>0</v>
      </c>
      <c r="I486" s="55">
        <v>12.33</v>
      </c>
      <c r="J486" s="55">
        <v>12.33</v>
      </c>
      <c r="K486" s="55">
        <v>0</v>
      </c>
      <c r="L486" s="55">
        <v>84</v>
      </c>
      <c r="M486" s="54" t="str">
        <f t="shared" si="38"/>
        <v>6-12 Months</v>
      </c>
      <c r="N486" s="54" t="str">
        <f t="shared" si="39"/>
        <v>18-24 Months</v>
      </c>
      <c r="O486" s="54" t="s">
        <v>7</v>
      </c>
      <c r="P486" s="54">
        <f t="shared" si="35"/>
        <v>1</v>
      </c>
      <c r="Q486">
        <f t="shared" si="36"/>
        <v>1</v>
      </c>
      <c r="R486">
        <f t="shared" si="37"/>
        <v>1</v>
      </c>
    </row>
    <row r="487" spans="1:18" x14ac:dyDescent="0.2">
      <c r="A487" s="54">
        <v>324163</v>
      </c>
      <c r="B487" s="54" t="s">
        <v>323</v>
      </c>
      <c r="C487" s="55">
        <v>2</v>
      </c>
      <c r="D487" s="55">
        <v>44</v>
      </c>
      <c r="E487" s="55">
        <v>8</v>
      </c>
      <c r="F487" s="55">
        <v>117</v>
      </c>
      <c r="G487" s="55">
        <v>69</v>
      </c>
      <c r="H487" s="55">
        <v>0</v>
      </c>
      <c r="I487" s="55">
        <v>2.66</v>
      </c>
      <c r="J487" s="55">
        <v>1.57</v>
      </c>
      <c r="K487" s="55">
        <v>0</v>
      </c>
      <c r="L487" s="55">
        <v>0</v>
      </c>
      <c r="M487" s="54" t="str">
        <f t="shared" si="38"/>
        <v>6-12 Months</v>
      </c>
      <c r="N487" s="54" t="str">
        <f t="shared" si="39"/>
        <v>18-24 Months</v>
      </c>
      <c r="O487" s="54" t="s">
        <v>7</v>
      </c>
      <c r="P487" s="54">
        <f t="shared" si="35"/>
        <v>2</v>
      </c>
      <c r="Q487">
        <f t="shared" si="36"/>
        <v>2</v>
      </c>
      <c r="R487">
        <f t="shared" si="37"/>
        <v>2</v>
      </c>
    </row>
    <row r="488" spans="1:18" x14ac:dyDescent="0.2">
      <c r="A488" s="54">
        <v>470907</v>
      </c>
      <c r="B488" s="54" t="s">
        <v>446</v>
      </c>
      <c r="C488" s="55">
        <v>2</v>
      </c>
      <c r="D488" s="55">
        <v>15</v>
      </c>
      <c r="E488" s="55">
        <v>8</v>
      </c>
      <c r="F488" s="55">
        <v>38</v>
      </c>
      <c r="G488" s="55">
        <v>22</v>
      </c>
      <c r="H488" s="55">
        <v>21</v>
      </c>
      <c r="I488" s="55">
        <v>2.5299999999999998</v>
      </c>
      <c r="J488" s="55">
        <v>1.47</v>
      </c>
      <c r="K488" s="55">
        <v>1.4</v>
      </c>
      <c r="L488" s="55">
        <v>70</v>
      </c>
      <c r="M488" s="54" t="str">
        <f t="shared" si="38"/>
        <v>6-12 Months</v>
      </c>
      <c r="N488" s="54" t="str">
        <f t="shared" si="39"/>
        <v>18-24 Months</v>
      </c>
      <c r="O488" s="54" t="s">
        <v>7</v>
      </c>
      <c r="P488" s="54">
        <f t="shared" si="35"/>
        <v>2</v>
      </c>
      <c r="Q488">
        <f t="shared" si="36"/>
        <v>2</v>
      </c>
      <c r="R488">
        <f t="shared" si="37"/>
        <v>2</v>
      </c>
    </row>
    <row r="489" spans="1:18" x14ac:dyDescent="0.2">
      <c r="A489" s="54">
        <v>110628</v>
      </c>
      <c r="B489" s="54" t="s">
        <v>176</v>
      </c>
      <c r="C489" s="55">
        <v>3</v>
      </c>
      <c r="D489" s="55">
        <v>40</v>
      </c>
      <c r="E489" s="55">
        <v>8</v>
      </c>
      <c r="F489" s="55">
        <v>259</v>
      </c>
      <c r="G489" s="55">
        <v>203</v>
      </c>
      <c r="H489" s="55">
        <v>3</v>
      </c>
      <c r="I489" s="55">
        <v>6.48</v>
      </c>
      <c r="J489" s="55">
        <v>5.08</v>
      </c>
      <c r="K489" s="55">
        <v>0.08</v>
      </c>
      <c r="L489" s="55">
        <v>90</v>
      </c>
      <c r="M489" s="54" t="str">
        <f t="shared" si="38"/>
        <v>6-12 Months</v>
      </c>
      <c r="N489" s="54" t="str">
        <f t="shared" si="39"/>
        <v>18-24 Months</v>
      </c>
      <c r="O489" s="54" t="s">
        <v>7</v>
      </c>
      <c r="P489" s="54">
        <f t="shared" si="35"/>
        <v>3</v>
      </c>
      <c r="Q489">
        <f t="shared" si="36"/>
        <v>3</v>
      </c>
      <c r="R489">
        <f t="shared" si="37"/>
        <v>3</v>
      </c>
    </row>
    <row r="490" spans="1:18" x14ac:dyDescent="0.2">
      <c r="A490" s="54">
        <v>119697</v>
      </c>
      <c r="B490" s="54" t="s">
        <v>156</v>
      </c>
      <c r="C490" s="55">
        <v>3</v>
      </c>
      <c r="D490" s="55">
        <v>225</v>
      </c>
      <c r="E490" s="55">
        <v>8</v>
      </c>
      <c r="F490" s="55">
        <v>479</v>
      </c>
      <c r="G490" s="55">
        <v>473</v>
      </c>
      <c r="H490" s="55">
        <v>286</v>
      </c>
      <c r="I490" s="55">
        <v>2.13</v>
      </c>
      <c r="J490" s="55">
        <v>2.1</v>
      </c>
      <c r="K490" s="55">
        <v>1.27</v>
      </c>
      <c r="L490" s="55">
        <v>188</v>
      </c>
      <c r="M490" s="54" t="str">
        <f t="shared" si="38"/>
        <v>6-12 Months</v>
      </c>
      <c r="N490" s="54" t="str">
        <f t="shared" si="39"/>
        <v>18-24 Months</v>
      </c>
      <c r="O490" s="54" t="s">
        <v>6</v>
      </c>
      <c r="P490" s="54">
        <f t="shared" si="35"/>
        <v>3</v>
      </c>
      <c r="Q490">
        <f t="shared" si="36"/>
        <v>3</v>
      </c>
      <c r="R490">
        <f t="shared" si="37"/>
        <v>3</v>
      </c>
    </row>
    <row r="491" spans="1:18" x14ac:dyDescent="0.2">
      <c r="A491" s="54">
        <v>551150</v>
      </c>
      <c r="B491" s="54" t="s">
        <v>492</v>
      </c>
      <c r="C491" s="55">
        <v>3</v>
      </c>
      <c r="D491" s="55">
        <v>18</v>
      </c>
      <c r="E491" s="55">
        <v>8</v>
      </c>
      <c r="F491" s="55">
        <v>27</v>
      </c>
      <c r="G491" s="55">
        <v>27</v>
      </c>
      <c r="H491" s="55">
        <v>0</v>
      </c>
      <c r="I491" s="55">
        <v>1.5</v>
      </c>
      <c r="J491" s="55">
        <v>1.5</v>
      </c>
      <c r="K491" s="55">
        <v>0</v>
      </c>
      <c r="L491" s="55">
        <v>0</v>
      </c>
      <c r="M491" s="54" t="str">
        <f t="shared" si="38"/>
        <v>6-12 Months</v>
      </c>
      <c r="N491" s="54" t="str">
        <f t="shared" si="39"/>
        <v>18-24 Months</v>
      </c>
      <c r="O491" s="54" t="s">
        <v>7</v>
      </c>
      <c r="P491" s="54">
        <f t="shared" si="35"/>
        <v>3</v>
      </c>
      <c r="Q491">
        <f t="shared" si="36"/>
        <v>0</v>
      </c>
      <c r="R491">
        <f t="shared" si="37"/>
        <v>3</v>
      </c>
    </row>
    <row r="492" spans="1:18" x14ac:dyDescent="0.2">
      <c r="A492" s="54">
        <v>164977</v>
      </c>
      <c r="B492" s="54" t="s">
        <v>334</v>
      </c>
      <c r="C492" s="55">
        <v>5</v>
      </c>
      <c r="D492" s="55">
        <v>22</v>
      </c>
      <c r="E492" s="55">
        <v>8</v>
      </c>
      <c r="F492" s="55">
        <v>108</v>
      </c>
      <c r="G492" s="55">
        <v>96</v>
      </c>
      <c r="H492" s="55">
        <v>37</v>
      </c>
      <c r="I492" s="55">
        <v>4.91</v>
      </c>
      <c r="J492" s="55">
        <v>4.3600000000000003</v>
      </c>
      <c r="K492" s="55">
        <v>1.68</v>
      </c>
      <c r="L492" s="55">
        <v>25</v>
      </c>
      <c r="M492" s="54" t="str">
        <f t="shared" si="38"/>
        <v>6-12 Months</v>
      </c>
      <c r="N492" s="54" t="str">
        <f t="shared" si="39"/>
        <v>18-24 Months</v>
      </c>
      <c r="O492" s="54" t="s">
        <v>7</v>
      </c>
      <c r="P492" s="54">
        <f t="shared" si="35"/>
        <v>5</v>
      </c>
      <c r="Q492">
        <f t="shared" si="36"/>
        <v>5</v>
      </c>
      <c r="R492">
        <f t="shared" si="37"/>
        <v>5</v>
      </c>
    </row>
    <row r="493" spans="1:18" x14ac:dyDescent="0.2">
      <c r="A493" s="54">
        <v>321467</v>
      </c>
      <c r="B493" s="54" t="s">
        <v>413</v>
      </c>
      <c r="C493" s="55">
        <v>9</v>
      </c>
      <c r="D493" s="55">
        <v>36</v>
      </c>
      <c r="E493" s="55">
        <v>8</v>
      </c>
      <c r="F493" s="55">
        <v>46</v>
      </c>
      <c r="G493" s="55">
        <v>25</v>
      </c>
      <c r="H493" s="55">
        <v>6</v>
      </c>
      <c r="I493" s="55">
        <v>1.28</v>
      </c>
      <c r="J493" s="55">
        <v>0.69</v>
      </c>
      <c r="K493" s="55">
        <v>0.17</v>
      </c>
      <c r="L493" s="55">
        <v>78</v>
      </c>
      <c r="M493" s="54" t="str">
        <f t="shared" si="38"/>
        <v>6-12 Months</v>
      </c>
      <c r="N493" s="54" t="str">
        <f t="shared" si="39"/>
        <v>18-24 Months</v>
      </c>
      <c r="O493" s="54" t="s">
        <v>7</v>
      </c>
      <c r="P493" s="54">
        <f t="shared" si="35"/>
        <v>0</v>
      </c>
      <c r="Q493">
        <f t="shared" si="36"/>
        <v>0</v>
      </c>
      <c r="R493">
        <f t="shared" si="37"/>
        <v>0</v>
      </c>
    </row>
    <row r="494" spans="1:18" x14ac:dyDescent="0.2">
      <c r="A494" s="54">
        <v>108767</v>
      </c>
      <c r="B494" s="54" t="s">
        <v>305</v>
      </c>
      <c r="C494" s="55">
        <v>10</v>
      </c>
      <c r="D494" s="55">
        <v>45</v>
      </c>
      <c r="E494" s="55">
        <v>8</v>
      </c>
      <c r="F494" s="55">
        <v>151</v>
      </c>
      <c r="G494" s="55">
        <v>138</v>
      </c>
      <c r="H494" s="55">
        <v>111</v>
      </c>
      <c r="I494" s="55">
        <v>3.36</v>
      </c>
      <c r="J494" s="55">
        <v>3.07</v>
      </c>
      <c r="K494" s="55">
        <v>2.4700000000000002</v>
      </c>
      <c r="L494" s="55">
        <v>73</v>
      </c>
      <c r="M494" s="54" t="str">
        <f t="shared" si="38"/>
        <v>6-12 Months</v>
      </c>
      <c r="N494" s="54" t="str">
        <f t="shared" si="39"/>
        <v>18-24 Months</v>
      </c>
      <c r="O494" s="54" t="s">
        <v>7</v>
      </c>
      <c r="P494" s="54">
        <f t="shared" si="35"/>
        <v>10</v>
      </c>
      <c r="Q494">
        <f t="shared" si="36"/>
        <v>10</v>
      </c>
      <c r="R494">
        <f t="shared" si="37"/>
        <v>10</v>
      </c>
    </row>
    <row r="495" spans="1:18" x14ac:dyDescent="0.2">
      <c r="A495" s="54">
        <v>170384</v>
      </c>
      <c r="B495" s="54" t="s">
        <v>588</v>
      </c>
      <c r="C495" s="55">
        <v>20</v>
      </c>
      <c r="D495" s="55">
        <v>18</v>
      </c>
      <c r="E495" s="55">
        <v>8</v>
      </c>
      <c r="F495" s="55">
        <v>4</v>
      </c>
      <c r="G495" s="55">
        <v>0</v>
      </c>
      <c r="H495" s="55">
        <v>0</v>
      </c>
      <c r="I495" s="55">
        <v>0.22</v>
      </c>
      <c r="J495" s="55">
        <v>0</v>
      </c>
      <c r="K495" s="55">
        <v>0</v>
      </c>
      <c r="L495" s="55">
        <v>0</v>
      </c>
      <c r="M495" s="54" t="str">
        <f t="shared" si="38"/>
        <v>6-12 Months</v>
      </c>
      <c r="N495" s="54" t="str">
        <f t="shared" si="39"/>
        <v>18-24 Months</v>
      </c>
      <c r="O495" s="54" t="s">
        <v>7</v>
      </c>
      <c r="P495" s="54">
        <f t="shared" si="35"/>
        <v>0</v>
      </c>
      <c r="Q495">
        <f t="shared" si="36"/>
        <v>0</v>
      </c>
      <c r="R495">
        <f t="shared" si="37"/>
        <v>0</v>
      </c>
    </row>
    <row r="496" spans="1:18" x14ac:dyDescent="0.2">
      <c r="A496" s="54">
        <v>317638</v>
      </c>
      <c r="B496" s="54" t="s">
        <v>478</v>
      </c>
      <c r="C496" s="55">
        <v>23</v>
      </c>
      <c r="D496" s="55">
        <v>23</v>
      </c>
      <c r="E496" s="55">
        <v>8</v>
      </c>
      <c r="F496" s="55">
        <v>26</v>
      </c>
      <c r="G496" s="55">
        <v>26</v>
      </c>
      <c r="H496" s="55">
        <v>0</v>
      </c>
      <c r="I496" s="55">
        <v>1.1299999999999999</v>
      </c>
      <c r="J496" s="55">
        <v>1.1299999999999999</v>
      </c>
      <c r="K496" s="55">
        <v>0</v>
      </c>
      <c r="L496" s="55">
        <v>32</v>
      </c>
      <c r="M496" s="54" t="str">
        <f t="shared" si="38"/>
        <v>6-12 Months</v>
      </c>
      <c r="N496" s="54" t="str">
        <f t="shared" si="39"/>
        <v>18-24 Months</v>
      </c>
      <c r="O496" s="54" t="s">
        <v>7</v>
      </c>
      <c r="P496" s="54">
        <f t="shared" si="35"/>
        <v>23</v>
      </c>
      <c r="Q496">
        <f t="shared" si="36"/>
        <v>0</v>
      </c>
      <c r="R496">
        <f t="shared" si="37"/>
        <v>23</v>
      </c>
    </row>
    <row r="497" spans="1:18" x14ac:dyDescent="0.2">
      <c r="A497" s="54">
        <v>143994</v>
      </c>
      <c r="B497" s="54" t="s">
        <v>522</v>
      </c>
      <c r="C497" s="55">
        <v>31</v>
      </c>
      <c r="D497" s="55">
        <v>35</v>
      </c>
      <c r="E497" s="55">
        <v>8</v>
      </c>
      <c r="F497" s="55">
        <v>13</v>
      </c>
      <c r="G497" s="55">
        <v>0</v>
      </c>
      <c r="H497" s="55">
        <v>0</v>
      </c>
      <c r="I497" s="55">
        <v>0.37</v>
      </c>
      <c r="J497" s="55">
        <v>0</v>
      </c>
      <c r="K497" s="55">
        <v>0</v>
      </c>
      <c r="L497" s="55">
        <v>0</v>
      </c>
      <c r="M497" s="54" t="str">
        <f t="shared" si="38"/>
        <v>6-12 Months</v>
      </c>
      <c r="N497" s="54" t="str">
        <f t="shared" si="39"/>
        <v>18-24 Months</v>
      </c>
      <c r="O497" s="54" t="s">
        <v>7</v>
      </c>
      <c r="P497" s="54">
        <f t="shared" si="35"/>
        <v>0</v>
      </c>
      <c r="Q497">
        <f t="shared" si="36"/>
        <v>0</v>
      </c>
      <c r="R497">
        <f t="shared" si="37"/>
        <v>0</v>
      </c>
    </row>
    <row r="498" spans="1:18" x14ac:dyDescent="0.2">
      <c r="A498" s="54">
        <v>108627</v>
      </c>
      <c r="B498" s="54" t="s">
        <v>537</v>
      </c>
      <c r="C498" s="55">
        <v>36</v>
      </c>
      <c r="D498" s="55">
        <v>35</v>
      </c>
      <c r="E498" s="55">
        <v>8</v>
      </c>
      <c r="F498" s="55">
        <v>26</v>
      </c>
      <c r="G498" s="55">
        <v>26</v>
      </c>
      <c r="H498" s="55">
        <v>2</v>
      </c>
      <c r="I498" s="55">
        <v>0.74</v>
      </c>
      <c r="J498" s="55">
        <v>0.74</v>
      </c>
      <c r="K498" s="55">
        <v>0.06</v>
      </c>
      <c r="L498" s="55">
        <v>40</v>
      </c>
      <c r="M498" s="54" t="str">
        <f t="shared" si="38"/>
        <v>6-12 Months</v>
      </c>
      <c r="N498" s="54" t="str">
        <f t="shared" si="39"/>
        <v>18-24 Months</v>
      </c>
      <c r="O498" s="54" t="s">
        <v>7</v>
      </c>
      <c r="P498" s="54">
        <f t="shared" si="35"/>
        <v>0</v>
      </c>
      <c r="Q498">
        <f t="shared" si="36"/>
        <v>0</v>
      </c>
      <c r="R498">
        <f t="shared" si="37"/>
        <v>0</v>
      </c>
    </row>
    <row r="499" spans="1:18" x14ac:dyDescent="0.2">
      <c r="A499" s="54">
        <v>195409</v>
      </c>
      <c r="B499" s="54" t="s">
        <v>202</v>
      </c>
      <c r="C499" s="55">
        <v>39</v>
      </c>
      <c r="D499" s="55">
        <v>41</v>
      </c>
      <c r="E499" s="55">
        <v>8</v>
      </c>
      <c r="F499" s="55">
        <v>346</v>
      </c>
      <c r="G499" s="55">
        <v>346</v>
      </c>
      <c r="H499" s="55">
        <v>346</v>
      </c>
      <c r="I499" s="55">
        <v>8.44</v>
      </c>
      <c r="J499" s="55">
        <v>8.44</v>
      </c>
      <c r="K499" s="55">
        <v>8.44</v>
      </c>
      <c r="L499" s="55">
        <v>34</v>
      </c>
      <c r="M499" s="54" t="str">
        <f t="shared" si="38"/>
        <v>6-12 Months</v>
      </c>
      <c r="N499" s="54" t="str">
        <f t="shared" si="39"/>
        <v>18-24 Months</v>
      </c>
      <c r="O499" s="54" t="s">
        <v>7</v>
      </c>
      <c r="P499" s="54">
        <f t="shared" si="35"/>
        <v>39</v>
      </c>
      <c r="Q499">
        <f t="shared" si="36"/>
        <v>39</v>
      </c>
      <c r="R499">
        <f t="shared" si="37"/>
        <v>39</v>
      </c>
    </row>
    <row r="500" spans="1:18" x14ac:dyDescent="0.2">
      <c r="A500" s="54">
        <v>110173</v>
      </c>
      <c r="B500" s="54" t="s">
        <v>174</v>
      </c>
      <c r="C500" s="55">
        <v>43</v>
      </c>
      <c r="D500" s="55">
        <v>41</v>
      </c>
      <c r="E500" s="55">
        <v>8</v>
      </c>
      <c r="F500" s="55">
        <v>352</v>
      </c>
      <c r="G500" s="55">
        <v>320</v>
      </c>
      <c r="H500" s="55">
        <v>232</v>
      </c>
      <c r="I500" s="55">
        <v>8.59</v>
      </c>
      <c r="J500" s="55">
        <v>7.8</v>
      </c>
      <c r="K500" s="55">
        <v>5.66</v>
      </c>
      <c r="L500" s="55">
        <v>87</v>
      </c>
      <c r="M500" s="54" t="str">
        <f t="shared" si="38"/>
        <v>6-12 Months</v>
      </c>
      <c r="N500" s="54" t="str">
        <f t="shared" si="39"/>
        <v>18-24 Months</v>
      </c>
      <c r="O500" s="54" t="s">
        <v>7</v>
      </c>
      <c r="P500" s="54">
        <f t="shared" si="35"/>
        <v>43</v>
      </c>
      <c r="Q500">
        <f t="shared" si="36"/>
        <v>43</v>
      </c>
      <c r="R500">
        <f t="shared" si="37"/>
        <v>43</v>
      </c>
    </row>
    <row r="501" spans="1:18" x14ac:dyDescent="0.2">
      <c r="A501" s="54">
        <v>310479</v>
      </c>
      <c r="B501" s="54" t="s">
        <v>416</v>
      </c>
      <c r="C501" s="55">
        <v>44</v>
      </c>
      <c r="D501" s="55">
        <v>45</v>
      </c>
      <c r="E501" s="55">
        <v>8</v>
      </c>
      <c r="F501" s="55">
        <v>29</v>
      </c>
      <c r="G501" s="55">
        <v>13</v>
      </c>
      <c r="H501" s="55">
        <v>13</v>
      </c>
      <c r="I501" s="55">
        <v>0.64</v>
      </c>
      <c r="J501" s="55">
        <v>0.28999999999999998</v>
      </c>
      <c r="K501" s="55">
        <v>0.28999999999999998</v>
      </c>
      <c r="L501" s="55">
        <v>30</v>
      </c>
      <c r="M501" s="54" t="str">
        <f t="shared" si="38"/>
        <v>6-12 Months</v>
      </c>
      <c r="N501" s="54" t="str">
        <f t="shared" si="39"/>
        <v>18-24 Months</v>
      </c>
      <c r="O501" s="54" t="s">
        <v>7</v>
      </c>
      <c r="P501" s="54">
        <f t="shared" si="35"/>
        <v>0</v>
      </c>
      <c r="Q501">
        <f t="shared" si="36"/>
        <v>0</v>
      </c>
      <c r="R501">
        <f t="shared" si="37"/>
        <v>0</v>
      </c>
    </row>
    <row r="502" spans="1:18" x14ac:dyDescent="0.2">
      <c r="A502" s="54">
        <v>108260</v>
      </c>
      <c r="B502" s="54" t="s">
        <v>473</v>
      </c>
      <c r="C502" s="55">
        <v>59</v>
      </c>
      <c r="D502" s="55">
        <v>60</v>
      </c>
      <c r="E502" s="55">
        <v>8</v>
      </c>
      <c r="F502" s="55">
        <v>27</v>
      </c>
      <c r="G502" s="55">
        <v>0</v>
      </c>
      <c r="H502" s="55">
        <v>0</v>
      </c>
      <c r="I502" s="55">
        <v>0.45</v>
      </c>
      <c r="J502" s="55">
        <v>0</v>
      </c>
      <c r="K502" s="55">
        <v>0</v>
      </c>
      <c r="L502" s="55">
        <v>0</v>
      </c>
      <c r="M502" s="54" t="str">
        <f t="shared" si="38"/>
        <v>6-12 Months</v>
      </c>
      <c r="N502" s="54" t="str">
        <f t="shared" si="39"/>
        <v>18-24 Months</v>
      </c>
      <c r="O502" s="54" t="s">
        <v>7</v>
      </c>
      <c r="P502" s="54">
        <f t="shared" si="35"/>
        <v>0</v>
      </c>
      <c r="Q502">
        <f t="shared" si="36"/>
        <v>0</v>
      </c>
      <c r="R502">
        <f t="shared" si="37"/>
        <v>0</v>
      </c>
    </row>
    <row r="503" spans="1:18" x14ac:dyDescent="0.2">
      <c r="A503" s="54">
        <v>141788</v>
      </c>
      <c r="B503" s="54" t="s">
        <v>589</v>
      </c>
      <c r="C503" s="55">
        <v>72</v>
      </c>
      <c r="D503" s="55">
        <v>35</v>
      </c>
      <c r="E503" s="55">
        <v>8</v>
      </c>
      <c r="F503" s="55">
        <v>4</v>
      </c>
      <c r="G503" s="55">
        <v>4</v>
      </c>
      <c r="H503" s="55">
        <v>4</v>
      </c>
      <c r="I503" s="55">
        <v>0.11</v>
      </c>
      <c r="J503" s="55">
        <v>0.11</v>
      </c>
      <c r="K503" s="55">
        <v>0.11</v>
      </c>
      <c r="L503" s="55">
        <v>7</v>
      </c>
      <c r="M503" s="54" t="str">
        <f t="shared" si="38"/>
        <v>6-12 Months</v>
      </c>
      <c r="N503" s="54" t="str">
        <f t="shared" si="39"/>
        <v>18-24 Months</v>
      </c>
      <c r="O503" s="54" t="s">
        <v>7</v>
      </c>
      <c r="P503" s="54">
        <f t="shared" si="35"/>
        <v>0</v>
      </c>
      <c r="Q503">
        <f t="shared" si="36"/>
        <v>0</v>
      </c>
      <c r="R503">
        <f t="shared" si="37"/>
        <v>0</v>
      </c>
    </row>
    <row r="504" spans="1:18" x14ac:dyDescent="0.2">
      <c r="A504" s="54">
        <v>132998</v>
      </c>
      <c r="B504" s="54" t="s">
        <v>362</v>
      </c>
      <c r="C504" s="55">
        <v>82</v>
      </c>
      <c r="D504" s="55">
        <v>80</v>
      </c>
      <c r="E504" s="55">
        <v>8</v>
      </c>
      <c r="F504" s="55">
        <v>71</v>
      </c>
      <c r="G504" s="55">
        <v>5</v>
      </c>
      <c r="H504" s="55">
        <v>5</v>
      </c>
      <c r="I504" s="55">
        <v>0.89</v>
      </c>
      <c r="J504" s="55">
        <v>0.06</v>
      </c>
      <c r="K504" s="55">
        <v>0.06</v>
      </c>
      <c r="L504" s="55">
        <v>4</v>
      </c>
      <c r="M504" s="54" t="str">
        <f t="shared" si="38"/>
        <v>6-12 Months</v>
      </c>
      <c r="N504" s="54" t="str">
        <f t="shared" si="39"/>
        <v>18-24 Months</v>
      </c>
      <c r="O504" s="54" t="s">
        <v>7</v>
      </c>
      <c r="P504" s="54">
        <f t="shared" si="35"/>
        <v>0</v>
      </c>
      <c r="Q504">
        <f t="shared" si="36"/>
        <v>0</v>
      </c>
      <c r="R504">
        <f t="shared" si="37"/>
        <v>0</v>
      </c>
    </row>
    <row r="505" spans="1:18" x14ac:dyDescent="0.2">
      <c r="A505" s="54">
        <v>157728</v>
      </c>
      <c r="B505" s="54" t="s">
        <v>432</v>
      </c>
      <c r="C505" s="55">
        <v>95</v>
      </c>
      <c r="D505" s="55">
        <v>45</v>
      </c>
      <c r="E505" s="55">
        <v>8</v>
      </c>
      <c r="F505" s="55">
        <v>20</v>
      </c>
      <c r="G505" s="55">
        <v>14</v>
      </c>
      <c r="H505" s="55">
        <v>0</v>
      </c>
      <c r="I505" s="55">
        <v>0.44</v>
      </c>
      <c r="J505" s="55">
        <v>0.31</v>
      </c>
      <c r="K505" s="55">
        <v>0</v>
      </c>
      <c r="L505" s="55">
        <v>0</v>
      </c>
      <c r="M505" s="54" t="str">
        <f t="shared" si="38"/>
        <v>6-12 Months</v>
      </c>
      <c r="N505" s="54" t="str">
        <f t="shared" si="39"/>
        <v>18-24 Months</v>
      </c>
      <c r="O505" s="54" t="s">
        <v>7</v>
      </c>
      <c r="P505" s="54">
        <f t="shared" si="35"/>
        <v>0</v>
      </c>
      <c r="Q505">
        <f t="shared" si="36"/>
        <v>0</v>
      </c>
      <c r="R505">
        <f t="shared" si="37"/>
        <v>0</v>
      </c>
    </row>
    <row r="506" spans="1:18" x14ac:dyDescent="0.2">
      <c r="A506" s="54">
        <v>112596</v>
      </c>
      <c r="B506" s="54" t="s">
        <v>237</v>
      </c>
      <c r="C506" s="55">
        <v>113</v>
      </c>
      <c r="D506" s="55">
        <v>90</v>
      </c>
      <c r="E506" s="55">
        <v>8</v>
      </c>
      <c r="F506" s="55">
        <v>157</v>
      </c>
      <c r="G506" s="55">
        <v>12</v>
      </c>
      <c r="H506" s="55">
        <v>0</v>
      </c>
      <c r="I506" s="55">
        <v>1.74</v>
      </c>
      <c r="J506" s="55">
        <v>0.13</v>
      </c>
      <c r="K506" s="55">
        <v>0</v>
      </c>
      <c r="L506" s="55">
        <v>0</v>
      </c>
      <c r="M506" s="54" t="str">
        <f t="shared" si="38"/>
        <v>6-12 Months</v>
      </c>
      <c r="N506" s="54" t="str">
        <f t="shared" si="39"/>
        <v>18-24 Months</v>
      </c>
      <c r="O506" s="54" t="s">
        <v>7</v>
      </c>
      <c r="P506" s="54">
        <f t="shared" si="35"/>
        <v>0</v>
      </c>
      <c r="Q506">
        <f t="shared" si="36"/>
        <v>0</v>
      </c>
      <c r="R506">
        <f t="shared" si="37"/>
        <v>0</v>
      </c>
    </row>
    <row r="507" spans="1:18" x14ac:dyDescent="0.2">
      <c r="A507" s="54">
        <v>124863</v>
      </c>
      <c r="B507" s="54" t="s">
        <v>286</v>
      </c>
      <c r="C507" s="55">
        <v>114</v>
      </c>
      <c r="D507" s="55">
        <v>100</v>
      </c>
      <c r="E507" s="55">
        <v>8</v>
      </c>
      <c r="F507" s="55">
        <v>233</v>
      </c>
      <c r="G507" s="55">
        <v>231</v>
      </c>
      <c r="H507" s="55">
        <v>1</v>
      </c>
      <c r="I507" s="55">
        <v>2.33</v>
      </c>
      <c r="J507" s="55">
        <v>2.31</v>
      </c>
      <c r="K507" s="55">
        <v>0.01</v>
      </c>
      <c r="L507" s="55">
        <v>160</v>
      </c>
      <c r="M507" s="54" t="str">
        <f t="shared" si="38"/>
        <v>6-12 Months</v>
      </c>
      <c r="N507" s="54" t="str">
        <f t="shared" si="39"/>
        <v>18-24 Months</v>
      </c>
      <c r="O507" s="54" t="s">
        <v>6</v>
      </c>
      <c r="P507" s="54">
        <f t="shared" si="35"/>
        <v>114</v>
      </c>
      <c r="Q507">
        <f t="shared" si="36"/>
        <v>114</v>
      </c>
      <c r="R507">
        <f t="shared" si="37"/>
        <v>114</v>
      </c>
    </row>
    <row r="508" spans="1:18" x14ac:dyDescent="0.2">
      <c r="A508" s="54">
        <v>113358</v>
      </c>
      <c r="B508" s="54" t="s">
        <v>168</v>
      </c>
      <c r="C508" s="55">
        <v>152</v>
      </c>
      <c r="D508" s="55">
        <v>150</v>
      </c>
      <c r="E508" s="55">
        <v>8</v>
      </c>
      <c r="F508" s="55">
        <v>490</v>
      </c>
      <c r="G508" s="55">
        <v>419</v>
      </c>
      <c r="H508" s="55">
        <v>13</v>
      </c>
      <c r="I508" s="55">
        <v>3.27</v>
      </c>
      <c r="J508" s="55">
        <v>2.79</v>
      </c>
      <c r="K508" s="55">
        <v>0.09</v>
      </c>
      <c r="L508" s="55">
        <v>105</v>
      </c>
      <c r="M508" s="54" t="str">
        <f t="shared" si="38"/>
        <v>6-12 Months</v>
      </c>
      <c r="N508" s="54" t="str">
        <f t="shared" si="39"/>
        <v>18-24 Months</v>
      </c>
      <c r="O508" s="54" t="s">
        <v>6</v>
      </c>
      <c r="P508" s="54">
        <f t="shared" si="35"/>
        <v>152</v>
      </c>
      <c r="Q508">
        <f t="shared" si="36"/>
        <v>152</v>
      </c>
      <c r="R508">
        <f t="shared" si="37"/>
        <v>152</v>
      </c>
    </row>
    <row r="509" spans="1:18" x14ac:dyDescent="0.2">
      <c r="A509" s="54">
        <v>305896</v>
      </c>
      <c r="B509" s="54" t="s">
        <v>129</v>
      </c>
      <c r="C509" s="55">
        <v>152</v>
      </c>
      <c r="D509" s="55">
        <v>130</v>
      </c>
      <c r="E509" s="55">
        <v>8</v>
      </c>
      <c r="F509" s="55">
        <v>669</v>
      </c>
      <c r="G509" s="55">
        <v>434</v>
      </c>
      <c r="H509" s="55">
        <v>327</v>
      </c>
      <c r="I509" s="55">
        <v>5.15</v>
      </c>
      <c r="J509" s="55">
        <v>3.34</v>
      </c>
      <c r="K509" s="55">
        <v>2.52</v>
      </c>
      <c r="L509" s="55">
        <v>19</v>
      </c>
      <c r="M509" s="54" t="str">
        <f t="shared" si="38"/>
        <v>6-12 Months</v>
      </c>
      <c r="N509" s="54" t="str">
        <f t="shared" si="39"/>
        <v>18-24 Months</v>
      </c>
      <c r="O509" s="54" t="s">
        <v>6</v>
      </c>
      <c r="P509" s="54">
        <f t="shared" si="35"/>
        <v>152</v>
      </c>
      <c r="Q509">
        <f t="shared" si="36"/>
        <v>152</v>
      </c>
      <c r="R509">
        <f t="shared" si="37"/>
        <v>152</v>
      </c>
    </row>
    <row r="510" spans="1:18" x14ac:dyDescent="0.2">
      <c r="A510" s="54">
        <v>112044</v>
      </c>
      <c r="B510" s="54" t="s">
        <v>272</v>
      </c>
      <c r="C510" s="55">
        <v>162</v>
      </c>
      <c r="D510" s="55">
        <v>150</v>
      </c>
      <c r="E510" s="55">
        <v>8</v>
      </c>
      <c r="F510" s="55">
        <v>216</v>
      </c>
      <c r="G510" s="55">
        <v>128</v>
      </c>
      <c r="H510" s="55">
        <v>64</v>
      </c>
      <c r="I510" s="55">
        <v>1.44</v>
      </c>
      <c r="J510" s="55">
        <v>0.85</v>
      </c>
      <c r="K510" s="55">
        <v>0.43</v>
      </c>
      <c r="L510" s="55">
        <v>95</v>
      </c>
      <c r="M510" s="54" t="str">
        <f t="shared" si="38"/>
        <v>6-12 Months</v>
      </c>
      <c r="N510" s="54" t="str">
        <f t="shared" si="39"/>
        <v>18-24 Months</v>
      </c>
      <c r="O510" s="54" t="s">
        <v>6</v>
      </c>
      <c r="P510" s="54">
        <f t="shared" si="35"/>
        <v>162</v>
      </c>
      <c r="Q510">
        <f t="shared" si="36"/>
        <v>0</v>
      </c>
      <c r="R510">
        <f t="shared" si="37"/>
        <v>162</v>
      </c>
    </row>
    <row r="511" spans="1:18" x14ac:dyDescent="0.2">
      <c r="A511" s="54">
        <v>478812</v>
      </c>
      <c r="B511" s="54" t="s">
        <v>196</v>
      </c>
      <c r="C511" s="55">
        <v>164</v>
      </c>
      <c r="D511" s="55">
        <v>135</v>
      </c>
      <c r="E511" s="55">
        <v>8</v>
      </c>
      <c r="F511" s="55">
        <v>219</v>
      </c>
      <c r="G511" s="55">
        <v>114</v>
      </c>
      <c r="H511" s="55">
        <v>42</v>
      </c>
      <c r="I511" s="55">
        <v>1.62</v>
      </c>
      <c r="J511" s="55">
        <v>0.84</v>
      </c>
      <c r="K511" s="55">
        <v>0.31</v>
      </c>
      <c r="L511" s="55">
        <v>203</v>
      </c>
      <c r="M511" s="54" t="str">
        <f t="shared" si="38"/>
        <v>6-12 Months</v>
      </c>
      <c r="N511" s="54" t="str">
        <f t="shared" si="39"/>
        <v>18-24 Months</v>
      </c>
      <c r="O511" s="54" t="s">
        <v>6</v>
      </c>
      <c r="P511" s="54">
        <f t="shared" si="35"/>
        <v>164</v>
      </c>
      <c r="Q511">
        <f t="shared" si="36"/>
        <v>0</v>
      </c>
      <c r="R511">
        <f t="shared" si="37"/>
        <v>164</v>
      </c>
    </row>
    <row r="512" spans="1:18" x14ac:dyDescent="0.2">
      <c r="A512" s="54">
        <v>115929</v>
      </c>
      <c r="B512" s="54" t="s">
        <v>105</v>
      </c>
      <c r="C512" s="55">
        <v>187</v>
      </c>
      <c r="D512" s="55">
        <v>205</v>
      </c>
      <c r="E512" s="55">
        <v>8</v>
      </c>
      <c r="F512" s="55">
        <v>260</v>
      </c>
      <c r="G512" s="55">
        <v>154</v>
      </c>
      <c r="H512" s="55">
        <v>18</v>
      </c>
      <c r="I512" s="55">
        <v>1.27</v>
      </c>
      <c r="J512" s="55">
        <v>0.75</v>
      </c>
      <c r="K512" s="55">
        <v>0.09</v>
      </c>
      <c r="L512" s="55">
        <v>270</v>
      </c>
      <c r="M512" s="54" t="str">
        <f t="shared" si="38"/>
        <v>6-12 Months</v>
      </c>
      <c r="N512" s="54" t="str">
        <f t="shared" si="39"/>
        <v>18-24 Months</v>
      </c>
      <c r="O512" s="54" t="s">
        <v>6</v>
      </c>
      <c r="P512" s="54">
        <f t="shared" si="35"/>
        <v>187</v>
      </c>
      <c r="Q512">
        <f t="shared" si="36"/>
        <v>0</v>
      </c>
      <c r="R512">
        <f t="shared" si="37"/>
        <v>187</v>
      </c>
    </row>
    <row r="513" spans="1:18" x14ac:dyDescent="0.2">
      <c r="A513" s="54">
        <v>441034</v>
      </c>
      <c r="B513" s="54" t="s">
        <v>383</v>
      </c>
      <c r="C513" s="55">
        <v>210</v>
      </c>
      <c r="D513" s="55">
        <v>40</v>
      </c>
      <c r="E513" s="55">
        <v>8</v>
      </c>
      <c r="F513" s="55">
        <v>54</v>
      </c>
      <c r="G513" s="55">
        <v>37</v>
      </c>
      <c r="H513" s="55">
        <v>36</v>
      </c>
      <c r="I513" s="55">
        <v>1.35</v>
      </c>
      <c r="J513" s="55">
        <v>0.93</v>
      </c>
      <c r="K513" s="55">
        <v>0.9</v>
      </c>
      <c r="L513" s="55">
        <v>0</v>
      </c>
      <c r="M513" s="54" t="str">
        <f t="shared" si="38"/>
        <v>6-12 Months</v>
      </c>
      <c r="N513" s="54" t="str">
        <f t="shared" si="39"/>
        <v>18-24 Months</v>
      </c>
      <c r="O513" s="54" t="s">
        <v>7</v>
      </c>
      <c r="P513" s="54">
        <f t="shared" si="35"/>
        <v>210</v>
      </c>
      <c r="Q513">
        <f t="shared" si="36"/>
        <v>0</v>
      </c>
      <c r="R513">
        <f t="shared" si="37"/>
        <v>210</v>
      </c>
    </row>
    <row r="514" spans="1:18" x14ac:dyDescent="0.2">
      <c r="A514" s="54">
        <v>109197</v>
      </c>
      <c r="B514" s="54" t="s">
        <v>326</v>
      </c>
      <c r="C514" s="55">
        <v>347</v>
      </c>
      <c r="D514" s="55">
        <v>363</v>
      </c>
      <c r="E514" s="55">
        <v>8</v>
      </c>
      <c r="F514" s="55">
        <v>108</v>
      </c>
      <c r="G514" s="55">
        <v>64</v>
      </c>
      <c r="H514" s="55">
        <v>0</v>
      </c>
      <c r="I514" s="55">
        <v>0.3</v>
      </c>
      <c r="J514" s="55">
        <v>0.18</v>
      </c>
      <c r="K514" s="55">
        <v>0</v>
      </c>
      <c r="L514" s="55">
        <v>168</v>
      </c>
      <c r="M514" s="54" t="str">
        <f t="shared" si="38"/>
        <v>6-12 Months</v>
      </c>
      <c r="N514" s="54" t="str">
        <f t="shared" si="39"/>
        <v>18-24 Months</v>
      </c>
      <c r="O514" s="54" t="s">
        <v>6</v>
      </c>
      <c r="P514" s="54">
        <f t="shared" ref="P514:P577" si="40">IF(I514&gt;=2, C514, IF(J514&gt;=0.75, C514, 0))</f>
        <v>0</v>
      </c>
      <c r="Q514">
        <f t="shared" ref="Q514:Q577" si="41">IF(I514&gt;=2, C514, IF(AND(J514&gt;=0.75, D514&gt;=550), C514, 0))</f>
        <v>0</v>
      </c>
      <c r="R514">
        <f t="shared" ref="R514:R577" si="42">IF(J514&gt;=0.75, C514, 0)</f>
        <v>0</v>
      </c>
    </row>
    <row r="515" spans="1:18" x14ac:dyDescent="0.2">
      <c r="A515" s="54">
        <v>513921</v>
      </c>
      <c r="B515" s="54" t="s">
        <v>571</v>
      </c>
      <c r="C515" s="55">
        <v>649</v>
      </c>
      <c r="D515" s="55">
        <v>470</v>
      </c>
      <c r="E515" s="55">
        <v>8</v>
      </c>
      <c r="F515" s="55">
        <v>6</v>
      </c>
      <c r="G515" s="55">
        <v>6</v>
      </c>
      <c r="H515" s="55">
        <v>0</v>
      </c>
      <c r="I515" s="55">
        <v>0.01</v>
      </c>
      <c r="J515" s="55">
        <v>0.01</v>
      </c>
      <c r="K515" s="55">
        <v>0</v>
      </c>
      <c r="L515" s="55">
        <v>6</v>
      </c>
      <c r="M515" s="54" t="str">
        <f t="shared" ref="M515:M578" si="43">IF(E515&lt;6,"0-6 Months", IF(E515&lt;13, "6-12 Months", IF(E515&lt;19, "12-24 Months", IF(E515&lt;25, "12-24 Months", "24+ Months"))))</f>
        <v>6-12 Months</v>
      </c>
      <c r="N515" s="54" t="str">
        <f t="shared" ref="N515:N578" si="44">IF(E515&lt;6,"12-18 Months", IF(E515&lt;13, "18-24 Months", "24+ Months"))</f>
        <v>18-24 Months</v>
      </c>
      <c r="O515" s="54" t="s">
        <v>6</v>
      </c>
      <c r="P515" s="54">
        <f t="shared" si="40"/>
        <v>0</v>
      </c>
      <c r="Q515">
        <f t="shared" si="41"/>
        <v>0</v>
      </c>
      <c r="R515">
        <f t="shared" si="42"/>
        <v>0</v>
      </c>
    </row>
    <row r="516" spans="1:18" x14ac:dyDescent="0.2">
      <c r="A516" s="54">
        <v>461447</v>
      </c>
      <c r="B516" s="54" t="s">
        <v>578</v>
      </c>
      <c r="C516" s="55">
        <v>1</v>
      </c>
      <c r="D516" s="55">
        <v>1</v>
      </c>
      <c r="E516" s="55">
        <v>7</v>
      </c>
      <c r="F516" s="55">
        <v>1</v>
      </c>
      <c r="G516" s="55">
        <v>1</v>
      </c>
      <c r="H516" s="55">
        <v>0</v>
      </c>
      <c r="I516" s="55">
        <v>0.5</v>
      </c>
      <c r="J516" s="55">
        <v>0.5</v>
      </c>
      <c r="K516" s="55">
        <v>0</v>
      </c>
      <c r="L516" s="55">
        <v>0</v>
      </c>
      <c r="M516" s="54" t="str">
        <f t="shared" si="43"/>
        <v>6-12 Months</v>
      </c>
      <c r="N516" s="54" t="str">
        <f t="shared" si="44"/>
        <v>18-24 Months</v>
      </c>
      <c r="O516" s="54" t="s">
        <v>7</v>
      </c>
      <c r="P516" s="54">
        <f t="shared" si="40"/>
        <v>0</v>
      </c>
      <c r="Q516">
        <f t="shared" si="41"/>
        <v>0</v>
      </c>
      <c r="R516">
        <f t="shared" si="42"/>
        <v>0</v>
      </c>
    </row>
    <row r="517" spans="1:18" x14ac:dyDescent="0.2">
      <c r="A517" s="54">
        <v>452290</v>
      </c>
      <c r="B517" s="54" t="s">
        <v>335</v>
      </c>
      <c r="C517" s="55">
        <v>2</v>
      </c>
      <c r="D517" s="55">
        <v>5</v>
      </c>
      <c r="E517" s="55">
        <v>7</v>
      </c>
      <c r="F517" s="55">
        <v>59</v>
      </c>
      <c r="G517" s="55">
        <v>13</v>
      </c>
      <c r="H517" s="55">
        <v>10</v>
      </c>
      <c r="I517" s="55">
        <v>5.9</v>
      </c>
      <c r="J517" s="55">
        <v>1.3</v>
      </c>
      <c r="K517" s="55">
        <v>1</v>
      </c>
      <c r="L517" s="55">
        <v>4</v>
      </c>
      <c r="M517" s="54" t="str">
        <f t="shared" si="43"/>
        <v>6-12 Months</v>
      </c>
      <c r="N517" s="54" t="str">
        <f t="shared" si="44"/>
        <v>18-24 Months</v>
      </c>
      <c r="O517" s="54" t="s">
        <v>7</v>
      </c>
      <c r="P517" s="54">
        <f t="shared" si="40"/>
        <v>2</v>
      </c>
      <c r="Q517">
        <f t="shared" si="41"/>
        <v>2</v>
      </c>
      <c r="R517">
        <f t="shared" si="42"/>
        <v>2</v>
      </c>
    </row>
    <row r="518" spans="1:18" x14ac:dyDescent="0.2">
      <c r="A518" s="54">
        <v>454236</v>
      </c>
      <c r="B518" s="54" t="s">
        <v>674</v>
      </c>
      <c r="C518" s="55">
        <v>2</v>
      </c>
      <c r="D518" s="55">
        <v>18</v>
      </c>
      <c r="E518" s="55">
        <v>7</v>
      </c>
      <c r="F518" s="55">
        <v>0</v>
      </c>
      <c r="G518" s="55">
        <v>0</v>
      </c>
      <c r="H518" s="55">
        <v>0</v>
      </c>
      <c r="I518" s="55">
        <v>0</v>
      </c>
      <c r="J518" s="55">
        <v>0</v>
      </c>
      <c r="K518" s="55">
        <v>0</v>
      </c>
      <c r="L518" s="55">
        <v>0</v>
      </c>
      <c r="M518" s="54" t="str">
        <f t="shared" si="43"/>
        <v>6-12 Months</v>
      </c>
      <c r="N518" s="54" t="str">
        <f t="shared" si="44"/>
        <v>18-24 Months</v>
      </c>
      <c r="O518" s="54" t="s">
        <v>7</v>
      </c>
      <c r="P518" s="54">
        <f t="shared" si="40"/>
        <v>0</v>
      </c>
      <c r="Q518">
        <f t="shared" si="41"/>
        <v>0</v>
      </c>
      <c r="R518">
        <f t="shared" si="42"/>
        <v>0</v>
      </c>
    </row>
    <row r="519" spans="1:18" x14ac:dyDescent="0.2">
      <c r="A519" s="54">
        <v>116208</v>
      </c>
      <c r="B519" s="54" t="s">
        <v>307</v>
      </c>
      <c r="C519" s="55">
        <v>3</v>
      </c>
      <c r="D519" s="55">
        <v>30</v>
      </c>
      <c r="E519" s="55">
        <v>7</v>
      </c>
      <c r="F519" s="55">
        <v>115</v>
      </c>
      <c r="G519" s="55">
        <v>115</v>
      </c>
      <c r="H519" s="55">
        <v>86</v>
      </c>
      <c r="I519" s="55">
        <v>3.83</v>
      </c>
      <c r="J519" s="55">
        <v>3.83</v>
      </c>
      <c r="K519" s="55">
        <v>2.87</v>
      </c>
      <c r="L519" s="55">
        <v>26</v>
      </c>
      <c r="M519" s="54" t="str">
        <f t="shared" si="43"/>
        <v>6-12 Months</v>
      </c>
      <c r="N519" s="54" t="str">
        <f t="shared" si="44"/>
        <v>18-24 Months</v>
      </c>
      <c r="O519" s="54" t="s">
        <v>7</v>
      </c>
      <c r="P519" s="54">
        <f t="shared" si="40"/>
        <v>3</v>
      </c>
      <c r="Q519">
        <f t="shared" si="41"/>
        <v>3</v>
      </c>
      <c r="R519">
        <f t="shared" si="42"/>
        <v>3</v>
      </c>
    </row>
    <row r="520" spans="1:18" x14ac:dyDescent="0.2">
      <c r="A520" s="54">
        <v>135343</v>
      </c>
      <c r="B520" s="54" t="s">
        <v>94</v>
      </c>
      <c r="C520" s="55">
        <v>3</v>
      </c>
      <c r="D520" s="55">
        <v>109</v>
      </c>
      <c r="E520" s="55">
        <v>7</v>
      </c>
      <c r="F520" s="55">
        <v>328</v>
      </c>
      <c r="G520" s="55">
        <v>313</v>
      </c>
      <c r="H520" s="55">
        <v>4</v>
      </c>
      <c r="I520" s="55">
        <v>3.01</v>
      </c>
      <c r="J520" s="55">
        <v>2.87</v>
      </c>
      <c r="K520" s="55">
        <v>0.04</v>
      </c>
      <c r="L520" s="55">
        <v>33</v>
      </c>
      <c r="M520" s="54" t="str">
        <f t="shared" si="43"/>
        <v>6-12 Months</v>
      </c>
      <c r="N520" s="54" t="str">
        <f t="shared" si="44"/>
        <v>18-24 Months</v>
      </c>
      <c r="O520" s="54" t="s">
        <v>6</v>
      </c>
      <c r="P520" s="54">
        <f t="shared" si="40"/>
        <v>3</v>
      </c>
      <c r="Q520">
        <f t="shared" si="41"/>
        <v>3</v>
      </c>
      <c r="R520">
        <f t="shared" si="42"/>
        <v>3</v>
      </c>
    </row>
    <row r="521" spans="1:18" x14ac:dyDescent="0.2">
      <c r="A521" s="54">
        <v>302836</v>
      </c>
      <c r="B521" s="54" t="s">
        <v>66</v>
      </c>
      <c r="C521" s="55">
        <v>8</v>
      </c>
      <c r="D521" s="55">
        <v>505</v>
      </c>
      <c r="E521" s="55">
        <v>7</v>
      </c>
      <c r="F521" s="55">
        <v>1749</v>
      </c>
      <c r="G521" s="55">
        <v>1749</v>
      </c>
      <c r="H521" s="55">
        <v>750</v>
      </c>
      <c r="I521" s="55">
        <v>3.46</v>
      </c>
      <c r="J521" s="55">
        <v>3.46</v>
      </c>
      <c r="K521" s="55">
        <v>1.49</v>
      </c>
      <c r="L521" s="55">
        <v>109</v>
      </c>
      <c r="M521" s="54" t="str">
        <f t="shared" si="43"/>
        <v>6-12 Months</v>
      </c>
      <c r="N521" s="54" t="str">
        <f t="shared" si="44"/>
        <v>18-24 Months</v>
      </c>
      <c r="O521" s="54" t="s">
        <v>6</v>
      </c>
      <c r="P521" s="54">
        <f t="shared" si="40"/>
        <v>8</v>
      </c>
      <c r="Q521">
        <f t="shared" si="41"/>
        <v>8</v>
      </c>
      <c r="R521">
        <f t="shared" si="42"/>
        <v>8</v>
      </c>
    </row>
    <row r="522" spans="1:18" x14ac:dyDescent="0.2">
      <c r="A522" s="54">
        <v>109084</v>
      </c>
      <c r="B522" s="54" t="s">
        <v>467</v>
      </c>
      <c r="C522" s="55">
        <v>10</v>
      </c>
      <c r="D522" s="55">
        <v>14</v>
      </c>
      <c r="E522" s="55">
        <v>7</v>
      </c>
      <c r="F522" s="55">
        <v>27</v>
      </c>
      <c r="G522" s="55">
        <v>27</v>
      </c>
      <c r="H522" s="55">
        <v>7</v>
      </c>
      <c r="I522" s="55">
        <v>1.29</v>
      </c>
      <c r="J522" s="55">
        <v>1.29</v>
      </c>
      <c r="K522" s="55">
        <v>0.33</v>
      </c>
      <c r="L522" s="55">
        <v>12</v>
      </c>
      <c r="M522" s="54" t="str">
        <f t="shared" si="43"/>
        <v>6-12 Months</v>
      </c>
      <c r="N522" s="54" t="str">
        <f t="shared" si="44"/>
        <v>18-24 Months</v>
      </c>
      <c r="O522" s="54" t="s">
        <v>7</v>
      </c>
      <c r="P522" s="54">
        <f t="shared" si="40"/>
        <v>10</v>
      </c>
      <c r="Q522">
        <f t="shared" si="41"/>
        <v>0</v>
      </c>
      <c r="R522">
        <f t="shared" si="42"/>
        <v>10</v>
      </c>
    </row>
    <row r="523" spans="1:18" x14ac:dyDescent="0.2">
      <c r="A523" s="54">
        <v>110308</v>
      </c>
      <c r="B523" s="54" t="s">
        <v>165</v>
      </c>
      <c r="C523" s="55">
        <v>11</v>
      </c>
      <c r="D523" s="55">
        <v>215</v>
      </c>
      <c r="E523" s="55">
        <v>7</v>
      </c>
      <c r="F523" s="55">
        <v>438</v>
      </c>
      <c r="G523" s="55">
        <v>354</v>
      </c>
      <c r="H523" s="55">
        <v>180</v>
      </c>
      <c r="I523" s="55">
        <v>2.04</v>
      </c>
      <c r="J523" s="55">
        <v>1.65</v>
      </c>
      <c r="K523" s="55">
        <v>0.84</v>
      </c>
      <c r="L523" s="55">
        <v>371</v>
      </c>
      <c r="M523" s="54" t="str">
        <f t="shared" si="43"/>
        <v>6-12 Months</v>
      </c>
      <c r="N523" s="54" t="str">
        <f t="shared" si="44"/>
        <v>18-24 Months</v>
      </c>
      <c r="O523" s="54" t="s">
        <v>6</v>
      </c>
      <c r="P523" s="54">
        <f t="shared" si="40"/>
        <v>11</v>
      </c>
      <c r="Q523">
        <f t="shared" si="41"/>
        <v>11</v>
      </c>
      <c r="R523">
        <f t="shared" si="42"/>
        <v>11</v>
      </c>
    </row>
    <row r="524" spans="1:18" x14ac:dyDescent="0.2">
      <c r="A524" s="54">
        <v>148303</v>
      </c>
      <c r="B524" s="54" t="s">
        <v>364</v>
      </c>
      <c r="C524" s="55">
        <v>15</v>
      </c>
      <c r="D524" s="55">
        <v>11</v>
      </c>
      <c r="E524" s="55">
        <v>7</v>
      </c>
      <c r="F524" s="55">
        <v>66</v>
      </c>
      <c r="G524" s="55">
        <v>59</v>
      </c>
      <c r="H524" s="55">
        <v>45</v>
      </c>
      <c r="I524" s="55">
        <v>6</v>
      </c>
      <c r="J524" s="55">
        <v>5.36</v>
      </c>
      <c r="K524" s="55">
        <v>4.09</v>
      </c>
      <c r="L524" s="55">
        <v>35</v>
      </c>
      <c r="M524" s="54" t="str">
        <f t="shared" si="43"/>
        <v>6-12 Months</v>
      </c>
      <c r="N524" s="54" t="str">
        <f t="shared" si="44"/>
        <v>18-24 Months</v>
      </c>
      <c r="O524" s="54" t="s">
        <v>7</v>
      </c>
      <c r="P524" s="54">
        <f t="shared" si="40"/>
        <v>15</v>
      </c>
      <c r="Q524">
        <f t="shared" si="41"/>
        <v>15</v>
      </c>
      <c r="R524">
        <f t="shared" si="42"/>
        <v>15</v>
      </c>
    </row>
    <row r="525" spans="1:18" x14ac:dyDescent="0.2">
      <c r="A525" s="54">
        <v>237422</v>
      </c>
      <c r="B525" s="54" t="s">
        <v>584</v>
      </c>
      <c r="C525" s="55">
        <v>15</v>
      </c>
      <c r="D525" s="55">
        <v>16</v>
      </c>
      <c r="E525" s="55">
        <v>7</v>
      </c>
      <c r="F525" s="55">
        <v>11</v>
      </c>
      <c r="G525" s="55">
        <v>6</v>
      </c>
      <c r="H525" s="55">
        <v>6</v>
      </c>
      <c r="I525" s="55">
        <v>0.69</v>
      </c>
      <c r="J525" s="55">
        <v>0.38</v>
      </c>
      <c r="K525" s="55">
        <v>0.38</v>
      </c>
      <c r="L525" s="55">
        <v>4</v>
      </c>
      <c r="M525" s="54" t="str">
        <f t="shared" si="43"/>
        <v>6-12 Months</v>
      </c>
      <c r="N525" s="54" t="str">
        <f t="shared" si="44"/>
        <v>18-24 Months</v>
      </c>
      <c r="O525" s="54" t="s">
        <v>7</v>
      </c>
      <c r="P525" s="54">
        <f t="shared" si="40"/>
        <v>0</v>
      </c>
      <c r="Q525">
        <f t="shared" si="41"/>
        <v>0</v>
      </c>
      <c r="R525">
        <f t="shared" si="42"/>
        <v>0</v>
      </c>
    </row>
    <row r="526" spans="1:18" x14ac:dyDescent="0.2">
      <c r="A526" s="54">
        <v>458721</v>
      </c>
      <c r="B526" s="54" t="s">
        <v>430</v>
      </c>
      <c r="C526" s="55">
        <v>23</v>
      </c>
      <c r="D526" s="55">
        <v>23</v>
      </c>
      <c r="E526" s="55">
        <v>7</v>
      </c>
      <c r="F526" s="55">
        <v>33</v>
      </c>
      <c r="G526" s="55">
        <v>17</v>
      </c>
      <c r="H526" s="55">
        <v>0</v>
      </c>
      <c r="I526" s="55">
        <v>0.72</v>
      </c>
      <c r="J526" s="55">
        <v>0.37</v>
      </c>
      <c r="K526" s="55">
        <v>0</v>
      </c>
      <c r="L526" s="55">
        <v>38</v>
      </c>
      <c r="M526" s="54" t="str">
        <f t="shared" si="43"/>
        <v>6-12 Months</v>
      </c>
      <c r="N526" s="54" t="str">
        <f t="shared" si="44"/>
        <v>18-24 Months</v>
      </c>
      <c r="O526" s="54" t="s">
        <v>7</v>
      </c>
      <c r="P526" s="54">
        <f t="shared" si="40"/>
        <v>0</v>
      </c>
      <c r="Q526">
        <f t="shared" si="41"/>
        <v>0</v>
      </c>
      <c r="R526">
        <f t="shared" si="42"/>
        <v>0</v>
      </c>
    </row>
    <row r="527" spans="1:18" x14ac:dyDescent="0.2">
      <c r="A527" s="54">
        <v>164112</v>
      </c>
      <c r="B527" s="54" t="s">
        <v>344</v>
      </c>
      <c r="C527" s="55">
        <v>27</v>
      </c>
      <c r="D527" s="55">
        <v>28</v>
      </c>
      <c r="E527" s="55">
        <v>7</v>
      </c>
      <c r="F527" s="55">
        <v>80</v>
      </c>
      <c r="G527" s="55">
        <v>28</v>
      </c>
      <c r="H527" s="55">
        <v>24</v>
      </c>
      <c r="I527" s="55">
        <v>1.43</v>
      </c>
      <c r="J527" s="55">
        <v>0.5</v>
      </c>
      <c r="K527" s="55">
        <v>0.43</v>
      </c>
      <c r="L527" s="55">
        <v>0</v>
      </c>
      <c r="M527" s="54" t="str">
        <f t="shared" si="43"/>
        <v>6-12 Months</v>
      </c>
      <c r="N527" s="54" t="str">
        <f t="shared" si="44"/>
        <v>18-24 Months</v>
      </c>
      <c r="O527" s="54" t="s">
        <v>7</v>
      </c>
      <c r="P527" s="54">
        <f t="shared" si="40"/>
        <v>0</v>
      </c>
      <c r="Q527">
        <f t="shared" si="41"/>
        <v>0</v>
      </c>
      <c r="R527">
        <f t="shared" si="42"/>
        <v>0</v>
      </c>
    </row>
    <row r="528" spans="1:18" x14ac:dyDescent="0.2">
      <c r="A528" s="54">
        <v>307831</v>
      </c>
      <c r="B528" s="54" t="s">
        <v>341</v>
      </c>
      <c r="C528" s="55">
        <v>28</v>
      </c>
      <c r="D528" s="55">
        <v>28</v>
      </c>
      <c r="E528" s="55">
        <v>7</v>
      </c>
      <c r="F528" s="55">
        <v>100</v>
      </c>
      <c r="G528" s="55">
        <v>100</v>
      </c>
      <c r="H528" s="55">
        <v>6</v>
      </c>
      <c r="I528" s="55">
        <v>3.57</v>
      </c>
      <c r="J528" s="55">
        <v>3.57</v>
      </c>
      <c r="K528" s="55">
        <v>0.21</v>
      </c>
      <c r="L528" s="55">
        <v>169</v>
      </c>
      <c r="M528" s="54" t="str">
        <f t="shared" si="43"/>
        <v>6-12 Months</v>
      </c>
      <c r="N528" s="54" t="str">
        <f t="shared" si="44"/>
        <v>18-24 Months</v>
      </c>
      <c r="O528" s="54" t="s">
        <v>7</v>
      </c>
      <c r="P528" s="54">
        <f t="shared" si="40"/>
        <v>28</v>
      </c>
      <c r="Q528">
        <f t="shared" si="41"/>
        <v>28</v>
      </c>
      <c r="R528">
        <f t="shared" si="42"/>
        <v>28</v>
      </c>
    </row>
    <row r="529" spans="1:18" x14ac:dyDescent="0.2">
      <c r="A529" s="54">
        <v>321168</v>
      </c>
      <c r="B529" s="54" t="s">
        <v>520</v>
      </c>
      <c r="C529" s="55">
        <v>36</v>
      </c>
      <c r="D529" s="55">
        <v>115</v>
      </c>
      <c r="E529" s="55">
        <v>7</v>
      </c>
      <c r="F529" s="55">
        <v>13</v>
      </c>
      <c r="G529" s="55">
        <v>13</v>
      </c>
      <c r="H529" s="55">
        <v>0</v>
      </c>
      <c r="I529" s="55">
        <v>0.11</v>
      </c>
      <c r="J529" s="55">
        <v>0.11</v>
      </c>
      <c r="K529" s="55">
        <v>0</v>
      </c>
      <c r="L529" s="55">
        <v>17</v>
      </c>
      <c r="M529" s="54" t="str">
        <f t="shared" si="43"/>
        <v>6-12 Months</v>
      </c>
      <c r="N529" s="54" t="str">
        <f t="shared" si="44"/>
        <v>18-24 Months</v>
      </c>
      <c r="O529" s="54" t="s">
        <v>6</v>
      </c>
      <c r="P529" s="54">
        <f t="shared" si="40"/>
        <v>0</v>
      </c>
      <c r="Q529">
        <f t="shared" si="41"/>
        <v>0</v>
      </c>
      <c r="R529">
        <f t="shared" si="42"/>
        <v>0</v>
      </c>
    </row>
    <row r="530" spans="1:18" x14ac:dyDescent="0.2">
      <c r="A530" s="54">
        <v>324380</v>
      </c>
      <c r="B530" s="54" t="s">
        <v>378</v>
      </c>
      <c r="C530" s="55">
        <v>43</v>
      </c>
      <c r="D530" s="55">
        <v>41</v>
      </c>
      <c r="E530" s="55">
        <v>7</v>
      </c>
      <c r="F530" s="55">
        <v>55</v>
      </c>
      <c r="G530" s="55">
        <v>41</v>
      </c>
      <c r="H530" s="55">
        <v>17</v>
      </c>
      <c r="I530" s="55">
        <v>1.34</v>
      </c>
      <c r="J530" s="55">
        <v>1</v>
      </c>
      <c r="K530" s="55">
        <v>0.41</v>
      </c>
      <c r="L530" s="55">
        <v>262</v>
      </c>
      <c r="M530" s="54" t="str">
        <f t="shared" si="43"/>
        <v>6-12 Months</v>
      </c>
      <c r="N530" s="54" t="str">
        <f t="shared" si="44"/>
        <v>18-24 Months</v>
      </c>
      <c r="O530" s="54" t="s">
        <v>7</v>
      </c>
      <c r="P530" s="54">
        <f t="shared" si="40"/>
        <v>43</v>
      </c>
      <c r="Q530">
        <f t="shared" si="41"/>
        <v>0</v>
      </c>
      <c r="R530">
        <f t="shared" si="42"/>
        <v>43</v>
      </c>
    </row>
    <row r="531" spans="1:18" x14ac:dyDescent="0.2">
      <c r="A531" s="54">
        <v>105904</v>
      </c>
      <c r="B531" s="54" t="s">
        <v>256</v>
      </c>
      <c r="C531" s="55">
        <v>45</v>
      </c>
      <c r="D531" s="55">
        <v>46</v>
      </c>
      <c r="E531" s="55">
        <v>7</v>
      </c>
      <c r="F531" s="55">
        <v>182</v>
      </c>
      <c r="G531" s="55">
        <v>182</v>
      </c>
      <c r="H531" s="55">
        <v>161</v>
      </c>
      <c r="I531" s="55">
        <v>3.96</v>
      </c>
      <c r="J531" s="55">
        <v>3.96</v>
      </c>
      <c r="K531" s="55">
        <v>3.5</v>
      </c>
      <c r="L531" s="55">
        <v>39</v>
      </c>
      <c r="M531" s="54" t="str">
        <f t="shared" si="43"/>
        <v>6-12 Months</v>
      </c>
      <c r="N531" s="54" t="str">
        <f t="shared" si="44"/>
        <v>18-24 Months</v>
      </c>
      <c r="O531" s="54" t="s">
        <v>7</v>
      </c>
      <c r="P531" s="54">
        <f t="shared" si="40"/>
        <v>45</v>
      </c>
      <c r="Q531">
        <f t="shared" si="41"/>
        <v>45</v>
      </c>
      <c r="R531">
        <f t="shared" si="42"/>
        <v>45</v>
      </c>
    </row>
    <row r="532" spans="1:18" x14ac:dyDescent="0.2">
      <c r="A532" s="54">
        <v>158758</v>
      </c>
      <c r="B532" s="54" t="s">
        <v>600</v>
      </c>
      <c r="C532" s="55">
        <v>53</v>
      </c>
      <c r="D532" s="55">
        <v>40</v>
      </c>
      <c r="E532" s="55">
        <v>7</v>
      </c>
      <c r="F532" s="55">
        <v>2</v>
      </c>
      <c r="G532" s="55">
        <v>2</v>
      </c>
      <c r="H532" s="55">
        <v>1</v>
      </c>
      <c r="I532" s="55">
        <v>0.03</v>
      </c>
      <c r="J532" s="55">
        <v>0.03</v>
      </c>
      <c r="K532" s="55">
        <v>0.01</v>
      </c>
      <c r="L532" s="55">
        <v>0</v>
      </c>
      <c r="M532" s="54" t="str">
        <f t="shared" si="43"/>
        <v>6-12 Months</v>
      </c>
      <c r="N532" s="54" t="str">
        <f t="shared" si="44"/>
        <v>18-24 Months</v>
      </c>
      <c r="O532" s="54" t="s">
        <v>7</v>
      </c>
      <c r="P532" s="54">
        <f t="shared" si="40"/>
        <v>0</v>
      </c>
      <c r="Q532">
        <f t="shared" si="41"/>
        <v>0</v>
      </c>
      <c r="R532">
        <f t="shared" si="42"/>
        <v>0</v>
      </c>
    </row>
    <row r="533" spans="1:18" x14ac:dyDescent="0.2">
      <c r="A533" s="54">
        <v>109365</v>
      </c>
      <c r="B533" s="54" t="s">
        <v>503</v>
      </c>
      <c r="C533" s="55">
        <v>58</v>
      </c>
      <c r="D533" s="55">
        <v>50</v>
      </c>
      <c r="E533" s="55">
        <v>7</v>
      </c>
      <c r="F533" s="55">
        <v>20</v>
      </c>
      <c r="G533" s="55">
        <v>16</v>
      </c>
      <c r="H533" s="55">
        <v>16</v>
      </c>
      <c r="I533" s="55">
        <v>0.4</v>
      </c>
      <c r="J533" s="55">
        <v>0.32</v>
      </c>
      <c r="K533" s="55">
        <v>0.32</v>
      </c>
      <c r="L533" s="55">
        <v>98</v>
      </c>
      <c r="M533" s="54" t="str">
        <f t="shared" si="43"/>
        <v>6-12 Months</v>
      </c>
      <c r="N533" s="54" t="str">
        <f t="shared" si="44"/>
        <v>18-24 Months</v>
      </c>
      <c r="O533" s="54" t="s">
        <v>7</v>
      </c>
      <c r="P533" s="54">
        <f t="shared" si="40"/>
        <v>0</v>
      </c>
      <c r="Q533">
        <f t="shared" si="41"/>
        <v>0</v>
      </c>
      <c r="R533">
        <f t="shared" si="42"/>
        <v>0</v>
      </c>
    </row>
    <row r="534" spans="1:18" x14ac:dyDescent="0.2">
      <c r="A534" s="54">
        <v>109148</v>
      </c>
      <c r="B534" s="54" t="s">
        <v>343</v>
      </c>
      <c r="C534" s="55">
        <v>92</v>
      </c>
      <c r="D534" s="55">
        <v>85</v>
      </c>
      <c r="E534" s="55">
        <v>7</v>
      </c>
      <c r="F534" s="55">
        <v>144</v>
      </c>
      <c r="G534" s="55">
        <v>144</v>
      </c>
      <c r="H534" s="55">
        <v>77</v>
      </c>
      <c r="I534" s="55">
        <v>1.69</v>
      </c>
      <c r="J534" s="55">
        <v>1.69</v>
      </c>
      <c r="K534" s="55">
        <v>0.91</v>
      </c>
      <c r="L534" s="55">
        <v>38</v>
      </c>
      <c r="M534" s="54" t="str">
        <f t="shared" si="43"/>
        <v>6-12 Months</v>
      </c>
      <c r="N534" s="54" t="str">
        <f t="shared" si="44"/>
        <v>18-24 Months</v>
      </c>
      <c r="O534" s="54" t="s">
        <v>7</v>
      </c>
      <c r="P534" s="54">
        <f t="shared" si="40"/>
        <v>92</v>
      </c>
      <c r="Q534">
        <f t="shared" si="41"/>
        <v>0</v>
      </c>
      <c r="R534">
        <f t="shared" si="42"/>
        <v>92</v>
      </c>
    </row>
    <row r="535" spans="1:18" x14ac:dyDescent="0.2">
      <c r="A535" s="54">
        <v>105780</v>
      </c>
      <c r="B535" s="54" t="s">
        <v>159</v>
      </c>
      <c r="C535" s="55">
        <v>120</v>
      </c>
      <c r="D535" s="55">
        <v>140</v>
      </c>
      <c r="E535" s="55">
        <v>7</v>
      </c>
      <c r="F535" s="55">
        <v>427</v>
      </c>
      <c r="G535" s="55">
        <v>427</v>
      </c>
      <c r="H535" s="55">
        <v>325</v>
      </c>
      <c r="I535" s="55">
        <v>2.74</v>
      </c>
      <c r="J535" s="55">
        <v>2.74</v>
      </c>
      <c r="K535" s="55">
        <v>2.08</v>
      </c>
      <c r="L535" s="55">
        <v>22</v>
      </c>
      <c r="M535" s="54" t="str">
        <f t="shared" si="43"/>
        <v>6-12 Months</v>
      </c>
      <c r="N535" s="54" t="str">
        <f t="shared" si="44"/>
        <v>18-24 Months</v>
      </c>
      <c r="O535" s="54" t="s">
        <v>6</v>
      </c>
      <c r="P535" s="54">
        <f t="shared" si="40"/>
        <v>120</v>
      </c>
      <c r="Q535">
        <f t="shared" si="41"/>
        <v>120</v>
      </c>
      <c r="R535">
        <f t="shared" si="42"/>
        <v>120</v>
      </c>
    </row>
    <row r="536" spans="1:18" x14ac:dyDescent="0.2">
      <c r="A536" s="54">
        <v>106528</v>
      </c>
      <c r="B536" s="54" t="s">
        <v>146</v>
      </c>
      <c r="C536" s="55">
        <v>120</v>
      </c>
      <c r="D536" s="55">
        <v>150</v>
      </c>
      <c r="E536" s="55">
        <v>7</v>
      </c>
      <c r="F536" s="55">
        <v>554</v>
      </c>
      <c r="G536" s="55">
        <v>529</v>
      </c>
      <c r="H536" s="55">
        <v>456</v>
      </c>
      <c r="I536" s="55">
        <v>3.69</v>
      </c>
      <c r="J536" s="55">
        <v>3.53</v>
      </c>
      <c r="K536" s="55">
        <v>3.04</v>
      </c>
      <c r="L536" s="55">
        <v>179</v>
      </c>
      <c r="M536" s="54" t="str">
        <f t="shared" si="43"/>
        <v>6-12 Months</v>
      </c>
      <c r="N536" s="54" t="str">
        <f t="shared" si="44"/>
        <v>18-24 Months</v>
      </c>
      <c r="O536" s="54" t="s">
        <v>6</v>
      </c>
      <c r="P536" s="54">
        <f t="shared" si="40"/>
        <v>120</v>
      </c>
      <c r="Q536">
        <f t="shared" si="41"/>
        <v>120</v>
      </c>
      <c r="R536">
        <f t="shared" si="42"/>
        <v>120</v>
      </c>
    </row>
    <row r="537" spans="1:18" x14ac:dyDescent="0.2">
      <c r="A537" s="54">
        <v>113390</v>
      </c>
      <c r="B537" s="54" t="s">
        <v>233</v>
      </c>
      <c r="C537" s="55">
        <v>120</v>
      </c>
      <c r="D537" s="55">
        <v>90</v>
      </c>
      <c r="E537" s="55">
        <v>7</v>
      </c>
      <c r="F537" s="55">
        <v>183</v>
      </c>
      <c r="G537" s="55">
        <v>19</v>
      </c>
      <c r="H537" s="55">
        <v>3</v>
      </c>
      <c r="I537" s="55">
        <v>1.02</v>
      </c>
      <c r="J537" s="55">
        <v>0.11</v>
      </c>
      <c r="K537" s="55">
        <v>0.02</v>
      </c>
      <c r="L537" s="55">
        <v>0</v>
      </c>
      <c r="M537" s="54" t="str">
        <f t="shared" si="43"/>
        <v>6-12 Months</v>
      </c>
      <c r="N537" s="54" t="str">
        <f t="shared" si="44"/>
        <v>18-24 Months</v>
      </c>
      <c r="O537" s="54" t="s">
        <v>6</v>
      </c>
      <c r="P537" s="54">
        <f t="shared" si="40"/>
        <v>0</v>
      </c>
      <c r="Q537">
        <f t="shared" si="41"/>
        <v>0</v>
      </c>
      <c r="R537">
        <f t="shared" si="42"/>
        <v>0</v>
      </c>
    </row>
    <row r="538" spans="1:18" x14ac:dyDescent="0.2">
      <c r="A538" s="54">
        <v>107156</v>
      </c>
      <c r="B538" s="54" t="s">
        <v>346</v>
      </c>
      <c r="C538" s="55">
        <v>123</v>
      </c>
      <c r="D538" s="55">
        <v>123</v>
      </c>
      <c r="E538" s="55">
        <v>7</v>
      </c>
      <c r="F538" s="55">
        <v>116</v>
      </c>
      <c r="G538" s="55">
        <v>116</v>
      </c>
      <c r="H538" s="55">
        <v>5</v>
      </c>
      <c r="I538" s="55">
        <v>0.94</v>
      </c>
      <c r="J538" s="55">
        <v>0.94</v>
      </c>
      <c r="K538" s="55">
        <v>0.04</v>
      </c>
      <c r="L538" s="55">
        <v>30</v>
      </c>
      <c r="M538" s="54" t="str">
        <f t="shared" si="43"/>
        <v>6-12 Months</v>
      </c>
      <c r="N538" s="54" t="str">
        <f t="shared" si="44"/>
        <v>18-24 Months</v>
      </c>
      <c r="O538" s="54" t="s">
        <v>6</v>
      </c>
      <c r="P538" s="54">
        <f t="shared" si="40"/>
        <v>123</v>
      </c>
      <c r="Q538">
        <f t="shared" si="41"/>
        <v>0</v>
      </c>
      <c r="R538">
        <f t="shared" si="42"/>
        <v>123</v>
      </c>
    </row>
    <row r="539" spans="1:18" x14ac:dyDescent="0.2">
      <c r="A539" s="54">
        <v>223835</v>
      </c>
      <c r="B539" s="54" t="s">
        <v>246</v>
      </c>
      <c r="C539" s="55">
        <v>147</v>
      </c>
      <c r="D539" s="55">
        <v>80</v>
      </c>
      <c r="E539" s="55">
        <v>7</v>
      </c>
      <c r="F539" s="55">
        <v>366</v>
      </c>
      <c r="G539" s="55">
        <v>366</v>
      </c>
      <c r="H539" s="55">
        <v>306</v>
      </c>
      <c r="I539" s="55">
        <v>4.58</v>
      </c>
      <c r="J539" s="55">
        <v>4.58</v>
      </c>
      <c r="K539" s="55">
        <v>3.83</v>
      </c>
      <c r="L539" s="55">
        <v>69</v>
      </c>
      <c r="M539" s="54" t="str">
        <f t="shared" si="43"/>
        <v>6-12 Months</v>
      </c>
      <c r="N539" s="54" t="str">
        <f t="shared" si="44"/>
        <v>18-24 Months</v>
      </c>
      <c r="O539" s="54" t="s">
        <v>7</v>
      </c>
      <c r="P539" s="54">
        <f t="shared" si="40"/>
        <v>147</v>
      </c>
      <c r="Q539">
        <f t="shared" si="41"/>
        <v>147</v>
      </c>
      <c r="R539">
        <f t="shared" si="42"/>
        <v>147</v>
      </c>
    </row>
    <row r="540" spans="1:18" x14ac:dyDescent="0.2">
      <c r="A540" s="54">
        <v>462933</v>
      </c>
      <c r="B540" s="54" t="s">
        <v>333</v>
      </c>
      <c r="C540" s="55">
        <v>151</v>
      </c>
      <c r="D540" s="55">
        <v>5</v>
      </c>
      <c r="E540" s="55">
        <v>7</v>
      </c>
      <c r="F540" s="55">
        <v>128</v>
      </c>
      <c r="G540" s="55">
        <v>128</v>
      </c>
      <c r="H540" s="55">
        <v>118</v>
      </c>
      <c r="I540" s="55">
        <v>25.6</v>
      </c>
      <c r="J540" s="55">
        <v>25.6</v>
      </c>
      <c r="K540" s="55">
        <v>23.6</v>
      </c>
      <c r="L540" s="55">
        <v>53</v>
      </c>
      <c r="M540" s="54" t="str">
        <f t="shared" si="43"/>
        <v>6-12 Months</v>
      </c>
      <c r="N540" s="54" t="str">
        <f t="shared" si="44"/>
        <v>18-24 Months</v>
      </c>
      <c r="O540" s="54" t="s">
        <v>7</v>
      </c>
      <c r="P540" s="54">
        <f t="shared" si="40"/>
        <v>151</v>
      </c>
      <c r="Q540">
        <f t="shared" si="41"/>
        <v>151</v>
      </c>
      <c r="R540">
        <f t="shared" si="42"/>
        <v>151</v>
      </c>
    </row>
    <row r="541" spans="1:18" x14ac:dyDescent="0.2">
      <c r="A541" s="54">
        <v>109678</v>
      </c>
      <c r="B541" s="54" t="s">
        <v>379</v>
      </c>
      <c r="C541" s="55">
        <v>157</v>
      </c>
      <c r="D541" s="55">
        <v>150</v>
      </c>
      <c r="E541" s="55">
        <v>7</v>
      </c>
      <c r="F541" s="55">
        <v>66</v>
      </c>
      <c r="G541" s="55">
        <v>23</v>
      </c>
      <c r="H541" s="55">
        <v>14</v>
      </c>
      <c r="I541" s="55">
        <v>0.44</v>
      </c>
      <c r="J541" s="55">
        <v>0.15</v>
      </c>
      <c r="K541" s="55">
        <v>0.09</v>
      </c>
      <c r="L541" s="55">
        <v>35</v>
      </c>
      <c r="M541" s="54" t="str">
        <f t="shared" si="43"/>
        <v>6-12 Months</v>
      </c>
      <c r="N541" s="54" t="str">
        <f t="shared" si="44"/>
        <v>18-24 Months</v>
      </c>
      <c r="O541" s="54" t="s">
        <v>6</v>
      </c>
      <c r="P541" s="54">
        <f t="shared" si="40"/>
        <v>0</v>
      </c>
      <c r="Q541">
        <f t="shared" si="41"/>
        <v>0</v>
      </c>
      <c r="R541">
        <f t="shared" si="42"/>
        <v>0</v>
      </c>
    </row>
    <row r="542" spans="1:18" x14ac:dyDescent="0.2">
      <c r="A542" s="54">
        <v>110487</v>
      </c>
      <c r="B542" s="54" t="s">
        <v>440</v>
      </c>
      <c r="C542" s="55">
        <v>296</v>
      </c>
      <c r="D542" s="55">
        <v>175</v>
      </c>
      <c r="E542" s="55">
        <v>7</v>
      </c>
      <c r="F542" s="55">
        <v>39</v>
      </c>
      <c r="G542" s="55">
        <v>39</v>
      </c>
      <c r="H542" s="55">
        <v>39</v>
      </c>
      <c r="I542" s="55">
        <v>0.22</v>
      </c>
      <c r="J542" s="55">
        <v>0.22</v>
      </c>
      <c r="K542" s="55">
        <v>0.22</v>
      </c>
      <c r="L542" s="55">
        <v>7</v>
      </c>
      <c r="M542" s="54" t="str">
        <f t="shared" si="43"/>
        <v>6-12 Months</v>
      </c>
      <c r="N542" s="54" t="str">
        <f t="shared" si="44"/>
        <v>18-24 Months</v>
      </c>
      <c r="O542" s="54" t="s">
        <v>6</v>
      </c>
      <c r="P542" s="54">
        <f t="shared" si="40"/>
        <v>0</v>
      </c>
      <c r="Q542">
        <f t="shared" si="41"/>
        <v>0</v>
      </c>
      <c r="R542">
        <f t="shared" si="42"/>
        <v>0</v>
      </c>
    </row>
    <row r="543" spans="1:18" x14ac:dyDescent="0.2">
      <c r="A543" s="54">
        <v>106976</v>
      </c>
      <c r="B543" s="54" t="s">
        <v>119</v>
      </c>
      <c r="C543" s="55">
        <v>350</v>
      </c>
      <c r="D543" s="55">
        <v>242</v>
      </c>
      <c r="E543" s="55">
        <v>7</v>
      </c>
      <c r="F543" s="55">
        <v>286</v>
      </c>
      <c r="G543" s="55">
        <v>13</v>
      </c>
      <c r="H543" s="55">
        <v>3</v>
      </c>
      <c r="I543" s="55">
        <v>1.18</v>
      </c>
      <c r="J543" s="55">
        <v>0.05</v>
      </c>
      <c r="K543" s="55">
        <v>0.01</v>
      </c>
      <c r="L543" s="55">
        <v>19</v>
      </c>
      <c r="M543" s="54" t="str">
        <f t="shared" si="43"/>
        <v>6-12 Months</v>
      </c>
      <c r="N543" s="54" t="str">
        <f t="shared" si="44"/>
        <v>18-24 Months</v>
      </c>
      <c r="O543" s="54" t="s">
        <v>6</v>
      </c>
      <c r="P543" s="54">
        <f t="shared" si="40"/>
        <v>0</v>
      </c>
      <c r="Q543">
        <f t="shared" si="41"/>
        <v>0</v>
      </c>
      <c r="R543">
        <f t="shared" si="42"/>
        <v>0</v>
      </c>
    </row>
    <row r="544" spans="1:18" x14ac:dyDescent="0.2">
      <c r="A544" s="54">
        <v>108011</v>
      </c>
      <c r="B544" s="54" t="s">
        <v>315</v>
      </c>
      <c r="C544" s="55">
        <v>476</v>
      </c>
      <c r="D544" s="55">
        <v>464</v>
      </c>
      <c r="E544" s="55">
        <v>7</v>
      </c>
      <c r="F544" s="55">
        <v>222</v>
      </c>
      <c r="G544" s="55">
        <v>222</v>
      </c>
      <c r="H544" s="55">
        <v>172</v>
      </c>
      <c r="I544" s="55">
        <v>0.48</v>
      </c>
      <c r="J544" s="55">
        <v>0.48</v>
      </c>
      <c r="K544" s="55">
        <v>0.37</v>
      </c>
      <c r="L544" s="55">
        <v>3</v>
      </c>
      <c r="M544" s="54" t="str">
        <f t="shared" si="43"/>
        <v>6-12 Months</v>
      </c>
      <c r="N544" s="54" t="str">
        <f t="shared" si="44"/>
        <v>18-24 Months</v>
      </c>
      <c r="O544" s="54" t="s">
        <v>6</v>
      </c>
      <c r="P544" s="54">
        <f t="shared" si="40"/>
        <v>0</v>
      </c>
      <c r="Q544">
        <f t="shared" si="41"/>
        <v>0</v>
      </c>
      <c r="R544">
        <f t="shared" si="42"/>
        <v>0</v>
      </c>
    </row>
    <row r="545" spans="1:18" x14ac:dyDescent="0.2">
      <c r="A545" s="54">
        <v>106522</v>
      </c>
      <c r="B545" s="54" t="s">
        <v>72</v>
      </c>
      <c r="C545" s="55">
        <v>690</v>
      </c>
      <c r="D545" s="55">
        <v>626</v>
      </c>
      <c r="E545" s="55">
        <v>7</v>
      </c>
      <c r="F545" s="55">
        <v>1780</v>
      </c>
      <c r="G545" s="55">
        <v>1780</v>
      </c>
      <c r="H545" s="55">
        <v>612</v>
      </c>
      <c r="I545" s="55">
        <v>2.84</v>
      </c>
      <c r="J545" s="55">
        <v>2.84</v>
      </c>
      <c r="K545" s="55">
        <v>0.98</v>
      </c>
      <c r="L545" s="55">
        <v>121</v>
      </c>
      <c r="M545" s="54" t="str">
        <f t="shared" si="43"/>
        <v>6-12 Months</v>
      </c>
      <c r="N545" s="54" t="str">
        <f t="shared" si="44"/>
        <v>18-24 Months</v>
      </c>
      <c r="O545" s="54" t="s">
        <v>5</v>
      </c>
      <c r="P545" s="54">
        <f t="shared" si="40"/>
        <v>690</v>
      </c>
      <c r="Q545">
        <f t="shared" si="41"/>
        <v>690</v>
      </c>
      <c r="R545">
        <f t="shared" si="42"/>
        <v>690</v>
      </c>
    </row>
    <row r="546" spans="1:18" x14ac:dyDescent="0.2">
      <c r="A546" s="54">
        <v>109208</v>
      </c>
      <c r="B546" s="54" t="s">
        <v>290</v>
      </c>
      <c r="C546" s="55">
        <v>1200</v>
      </c>
      <c r="D546" s="55">
        <v>1062</v>
      </c>
      <c r="E546" s="55">
        <v>7</v>
      </c>
      <c r="F546" s="55">
        <v>260</v>
      </c>
      <c r="G546" s="55">
        <v>173</v>
      </c>
      <c r="H546" s="55">
        <v>173</v>
      </c>
      <c r="I546" s="55">
        <v>0.24</v>
      </c>
      <c r="J546" s="55">
        <v>0.16</v>
      </c>
      <c r="K546" s="55">
        <v>0.16</v>
      </c>
      <c r="L546" s="55">
        <v>13</v>
      </c>
      <c r="M546" s="54" t="str">
        <f t="shared" si="43"/>
        <v>6-12 Months</v>
      </c>
      <c r="N546" s="54" t="str">
        <f t="shared" si="44"/>
        <v>18-24 Months</v>
      </c>
      <c r="O546" s="54" t="s">
        <v>5</v>
      </c>
      <c r="P546" s="54">
        <f t="shared" si="40"/>
        <v>0</v>
      </c>
      <c r="Q546">
        <f t="shared" si="41"/>
        <v>0</v>
      </c>
      <c r="R546">
        <f t="shared" si="42"/>
        <v>0</v>
      </c>
    </row>
    <row r="547" spans="1:18" x14ac:dyDescent="0.2">
      <c r="A547" s="54">
        <v>106896</v>
      </c>
      <c r="B547" s="54" t="s">
        <v>227</v>
      </c>
      <c r="C547" s="55">
        <v>1515</v>
      </c>
      <c r="D547" s="55">
        <v>1210</v>
      </c>
      <c r="E547" s="55">
        <v>7</v>
      </c>
      <c r="F547" s="55">
        <v>221</v>
      </c>
      <c r="G547" s="55">
        <v>161</v>
      </c>
      <c r="H547" s="55">
        <v>1</v>
      </c>
      <c r="I547" s="55">
        <v>0.18</v>
      </c>
      <c r="J547" s="55">
        <v>0.13</v>
      </c>
      <c r="K547" s="55">
        <v>0</v>
      </c>
      <c r="L547" s="55">
        <v>93</v>
      </c>
      <c r="M547" s="54" t="str">
        <f t="shared" si="43"/>
        <v>6-12 Months</v>
      </c>
      <c r="N547" s="54" t="str">
        <f t="shared" si="44"/>
        <v>18-24 Months</v>
      </c>
      <c r="O547" s="54" t="s">
        <v>5</v>
      </c>
      <c r="P547" s="54">
        <f t="shared" si="40"/>
        <v>0</v>
      </c>
      <c r="Q547">
        <f t="shared" si="41"/>
        <v>0</v>
      </c>
      <c r="R547">
        <f t="shared" si="42"/>
        <v>0</v>
      </c>
    </row>
    <row r="548" spans="1:18" x14ac:dyDescent="0.2">
      <c r="A548" s="54">
        <v>512879</v>
      </c>
      <c r="B548" s="54" t="s">
        <v>496</v>
      </c>
      <c r="C548" s="55">
        <v>1841</v>
      </c>
      <c r="D548" s="55">
        <v>150</v>
      </c>
      <c r="E548" s="55">
        <v>7</v>
      </c>
      <c r="F548" s="55">
        <v>18</v>
      </c>
      <c r="G548" s="55">
        <v>18</v>
      </c>
      <c r="H548" s="55">
        <v>3</v>
      </c>
      <c r="I548" s="55">
        <v>0.06</v>
      </c>
      <c r="J548" s="55">
        <v>0.06</v>
      </c>
      <c r="K548" s="55">
        <v>0.01</v>
      </c>
      <c r="L548" s="55">
        <v>22</v>
      </c>
      <c r="M548" s="54" t="str">
        <f t="shared" si="43"/>
        <v>6-12 Months</v>
      </c>
      <c r="N548" s="54" t="str">
        <f t="shared" si="44"/>
        <v>18-24 Months</v>
      </c>
      <c r="O548" s="54" t="s">
        <v>6</v>
      </c>
      <c r="P548" s="54">
        <f t="shared" si="40"/>
        <v>0</v>
      </c>
      <c r="Q548">
        <f t="shared" si="41"/>
        <v>0</v>
      </c>
      <c r="R548">
        <f t="shared" si="42"/>
        <v>0</v>
      </c>
    </row>
    <row r="549" spans="1:18" x14ac:dyDescent="0.2">
      <c r="A549" s="54" t="s">
        <v>144</v>
      </c>
      <c r="B549" s="54" t="s">
        <v>143</v>
      </c>
      <c r="C549" s="55">
        <v>2119</v>
      </c>
      <c r="D549" s="55">
        <v>750</v>
      </c>
      <c r="E549" s="55">
        <v>7</v>
      </c>
      <c r="F549" s="55">
        <v>366</v>
      </c>
      <c r="G549" s="55">
        <v>366</v>
      </c>
      <c r="H549" s="55">
        <v>208</v>
      </c>
      <c r="I549" s="55">
        <v>0.49</v>
      </c>
      <c r="J549" s="55">
        <v>0.49</v>
      </c>
      <c r="K549" s="55">
        <v>0.28000000000000003</v>
      </c>
      <c r="L549" s="55">
        <v>1969</v>
      </c>
      <c r="M549" s="54" t="str">
        <f t="shared" si="43"/>
        <v>6-12 Months</v>
      </c>
      <c r="N549" s="54" t="str">
        <f t="shared" si="44"/>
        <v>18-24 Months</v>
      </c>
      <c r="O549" s="54" t="s">
        <v>5</v>
      </c>
      <c r="P549" s="54">
        <f t="shared" si="40"/>
        <v>0</v>
      </c>
      <c r="Q549">
        <f t="shared" si="41"/>
        <v>0</v>
      </c>
      <c r="R549">
        <f t="shared" si="42"/>
        <v>0</v>
      </c>
    </row>
    <row r="550" spans="1:18" x14ac:dyDescent="0.2">
      <c r="A550" s="54">
        <v>152571</v>
      </c>
      <c r="B550" s="54" t="s">
        <v>512</v>
      </c>
      <c r="C550" s="55">
        <v>1</v>
      </c>
      <c r="D550" s="55">
        <v>30</v>
      </c>
      <c r="E550" s="55">
        <v>6</v>
      </c>
      <c r="F550" s="55">
        <v>16</v>
      </c>
      <c r="G550" s="55">
        <v>16</v>
      </c>
      <c r="H550" s="55">
        <v>14</v>
      </c>
      <c r="I550" s="55">
        <v>0.27</v>
      </c>
      <c r="J550" s="55">
        <v>0.27</v>
      </c>
      <c r="K550" s="55">
        <v>0.23</v>
      </c>
      <c r="L550" s="55">
        <v>0</v>
      </c>
      <c r="M550" s="54" t="str">
        <f t="shared" si="43"/>
        <v>6-12 Months</v>
      </c>
      <c r="N550" s="54" t="str">
        <f t="shared" si="44"/>
        <v>18-24 Months</v>
      </c>
      <c r="O550" s="54" t="s">
        <v>7</v>
      </c>
      <c r="P550" s="54">
        <f t="shared" si="40"/>
        <v>0</v>
      </c>
      <c r="Q550">
        <f t="shared" si="41"/>
        <v>0</v>
      </c>
      <c r="R550">
        <f t="shared" si="42"/>
        <v>0</v>
      </c>
    </row>
    <row r="551" spans="1:18" x14ac:dyDescent="0.2">
      <c r="A551" s="54">
        <v>252871</v>
      </c>
      <c r="B551" s="54" t="s">
        <v>524</v>
      </c>
      <c r="C551" s="55">
        <v>1</v>
      </c>
      <c r="D551" s="55">
        <v>3</v>
      </c>
      <c r="E551" s="55">
        <v>6</v>
      </c>
      <c r="F551" s="55">
        <v>4</v>
      </c>
      <c r="G551" s="55">
        <v>4</v>
      </c>
      <c r="H551" s="55">
        <v>0</v>
      </c>
      <c r="I551" s="55">
        <v>0.67</v>
      </c>
      <c r="J551" s="55">
        <v>0.67</v>
      </c>
      <c r="K551" s="55">
        <v>0</v>
      </c>
      <c r="L551" s="55">
        <v>3</v>
      </c>
      <c r="M551" s="54" t="str">
        <f t="shared" si="43"/>
        <v>6-12 Months</v>
      </c>
      <c r="N551" s="54" t="str">
        <f t="shared" si="44"/>
        <v>18-24 Months</v>
      </c>
      <c r="O551" s="54" t="s">
        <v>7</v>
      </c>
      <c r="P551" s="54">
        <f t="shared" si="40"/>
        <v>0</v>
      </c>
      <c r="Q551">
        <f t="shared" si="41"/>
        <v>0</v>
      </c>
      <c r="R551">
        <f t="shared" si="42"/>
        <v>0</v>
      </c>
    </row>
    <row r="552" spans="1:18" x14ac:dyDescent="0.2">
      <c r="A552" s="54">
        <v>313325</v>
      </c>
      <c r="B552" s="54" t="s">
        <v>521</v>
      </c>
      <c r="C552" s="55">
        <v>1</v>
      </c>
      <c r="D552" s="55">
        <v>3</v>
      </c>
      <c r="E552" s="55">
        <v>6</v>
      </c>
      <c r="F552" s="55">
        <v>13</v>
      </c>
      <c r="G552" s="55">
        <v>13</v>
      </c>
      <c r="H552" s="55">
        <v>5</v>
      </c>
      <c r="I552" s="55">
        <v>2.17</v>
      </c>
      <c r="J552" s="55">
        <v>2.17</v>
      </c>
      <c r="K552" s="55">
        <v>0.83</v>
      </c>
      <c r="L552" s="55">
        <v>10</v>
      </c>
      <c r="M552" s="54" t="str">
        <f t="shared" si="43"/>
        <v>6-12 Months</v>
      </c>
      <c r="N552" s="54" t="str">
        <f t="shared" si="44"/>
        <v>18-24 Months</v>
      </c>
      <c r="O552" s="54" t="s">
        <v>7</v>
      </c>
      <c r="P552" s="54">
        <f t="shared" si="40"/>
        <v>1</v>
      </c>
      <c r="Q552">
        <f t="shared" si="41"/>
        <v>1</v>
      </c>
      <c r="R552">
        <f t="shared" si="42"/>
        <v>1</v>
      </c>
    </row>
    <row r="553" spans="1:18" x14ac:dyDescent="0.2">
      <c r="A553" s="54">
        <v>451492</v>
      </c>
      <c r="B553" s="54" t="s">
        <v>585</v>
      </c>
      <c r="C553" s="55">
        <v>1</v>
      </c>
      <c r="D553" s="55">
        <v>4</v>
      </c>
      <c r="E553" s="55">
        <v>6</v>
      </c>
      <c r="F553" s="55">
        <v>5</v>
      </c>
      <c r="G553" s="55">
        <v>5</v>
      </c>
      <c r="H553" s="55">
        <v>0</v>
      </c>
      <c r="I553" s="55">
        <v>0.63</v>
      </c>
      <c r="J553" s="55">
        <v>0.63</v>
      </c>
      <c r="K553" s="55">
        <v>0</v>
      </c>
      <c r="L553" s="55">
        <v>0</v>
      </c>
      <c r="M553" s="54" t="str">
        <f t="shared" si="43"/>
        <v>6-12 Months</v>
      </c>
      <c r="N553" s="54" t="str">
        <f t="shared" si="44"/>
        <v>18-24 Months</v>
      </c>
      <c r="O553" s="54" t="s">
        <v>7</v>
      </c>
      <c r="P553" s="54">
        <f t="shared" si="40"/>
        <v>0</v>
      </c>
      <c r="Q553">
        <f t="shared" si="41"/>
        <v>0</v>
      </c>
      <c r="R553">
        <f t="shared" si="42"/>
        <v>0</v>
      </c>
    </row>
    <row r="554" spans="1:18" x14ac:dyDescent="0.2">
      <c r="A554" s="54">
        <v>456328</v>
      </c>
      <c r="B554" s="54" t="s">
        <v>645</v>
      </c>
      <c r="C554" s="55">
        <v>1</v>
      </c>
      <c r="D554" s="55">
        <v>20</v>
      </c>
      <c r="E554" s="55">
        <v>6</v>
      </c>
      <c r="F554" s="55">
        <v>0</v>
      </c>
      <c r="G554" s="55">
        <v>0</v>
      </c>
      <c r="H554" s="55">
        <v>0</v>
      </c>
      <c r="I554" s="55">
        <v>0</v>
      </c>
      <c r="J554" s="55">
        <v>0</v>
      </c>
      <c r="K554" s="55">
        <v>0</v>
      </c>
      <c r="L554" s="55">
        <v>0</v>
      </c>
      <c r="M554" s="54" t="str">
        <f t="shared" si="43"/>
        <v>6-12 Months</v>
      </c>
      <c r="N554" s="54" t="str">
        <f t="shared" si="44"/>
        <v>18-24 Months</v>
      </c>
      <c r="O554" s="54" t="s">
        <v>7</v>
      </c>
      <c r="P554" s="54">
        <f t="shared" si="40"/>
        <v>0</v>
      </c>
      <c r="Q554">
        <f t="shared" si="41"/>
        <v>0</v>
      </c>
      <c r="R554">
        <f t="shared" si="42"/>
        <v>0</v>
      </c>
    </row>
    <row r="555" spans="1:18" x14ac:dyDescent="0.2">
      <c r="A555" s="54">
        <v>475512</v>
      </c>
      <c r="B555" s="54" t="s">
        <v>482</v>
      </c>
      <c r="C555" s="55">
        <v>1</v>
      </c>
      <c r="D555" s="55">
        <v>5</v>
      </c>
      <c r="E555" s="55">
        <v>6</v>
      </c>
      <c r="F555" s="55">
        <v>12</v>
      </c>
      <c r="G555" s="55">
        <v>12</v>
      </c>
      <c r="H555" s="55">
        <v>0</v>
      </c>
      <c r="I555" s="55">
        <v>1.2</v>
      </c>
      <c r="J555" s="55">
        <v>1.2</v>
      </c>
      <c r="K555" s="55">
        <v>0</v>
      </c>
      <c r="L555" s="55">
        <v>0</v>
      </c>
      <c r="M555" s="54" t="str">
        <f t="shared" si="43"/>
        <v>6-12 Months</v>
      </c>
      <c r="N555" s="54" t="str">
        <f t="shared" si="44"/>
        <v>18-24 Months</v>
      </c>
      <c r="O555" s="54" t="s">
        <v>7</v>
      </c>
      <c r="P555" s="54">
        <f t="shared" si="40"/>
        <v>1</v>
      </c>
      <c r="Q555">
        <f t="shared" si="41"/>
        <v>0</v>
      </c>
      <c r="R555">
        <f t="shared" si="42"/>
        <v>1</v>
      </c>
    </row>
    <row r="556" spans="1:18" x14ac:dyDescent="0.2">
      <c r="A556" s="54">
        <v>476910</v>
      </c>
      <c r="B556" s="54" t="s">
        <v>511</v>
      </c>
      <c r="C556" s="55">
        <v>1</v>
      </c>
      <c r="D556" s="55">
        <v>4</v>
      </c>
      <c r="E556" s="55">
        <v>6</v>
      </c>
      <c r="F556" s="55">
        <v>16</v>
      </c>
      <c r="G556" s="55">
        <v>0</v>
      </c>
      <c r="H556" s="55">
        <v>0</v>
      </c>
      <c r="I556" s="55">
        <v>4</v>
      </c>
      <c r="J556" s="55">
        <v>0</v>
      </c>
      <c r="K556" s="55">
        <v>0</v>
      </c>
      <c r="L556" s="55">
        <v>0</v>
      </c>
      <c r="M556" s="54" t="str">
        <f t="shared" si="43"/>
        <v>6-12 Months</v>
      </c>
      <c r="N556" s="54" t="str">
        <f t="shared" si="44"/>
        <v>18-24 Months</v>
      </c>
      <c r="O556" s="54" t="s">
        <v>7</v>
      </c>
      <c r="P556" s="54">
        <f t="shared" si="40"/>
        <v>1</v>
      </c>
      <c r="Q556">
        <f t="shared" si="41"/>
        <v>1</v>
      </c>
      <c r="R556">
        <f t="shared" si="42"/>
        <v>0</v>
      </c>
    </row>
    <row r="557" spans="1:18" x14ac:dyDescent="0.2">
      <c r="A557" s="54">
        <v>502025</v>
      </c>
      <c r="B557" s="54" t="s">
        <v>534</v>
      </c>
      <c r="C557" s="55">
        <v>1</v>
      </c>
      <c r="D557" s="55">
        <v>1</v>
      </c>
      <c r="E557" s="55">
        <v>6</v>
      </c>
      <c r="F557" s="55">
        <v>11</v>
      </c>
      <c r="G557" s="55">
        <v>10</v>
      </c>
      <c r="H557" s="55">
        <v>6</v>
      </c>
      <c r="I557" s="55">
        <v>11</v>
      </c>
      <c r="J557" s="55">
        <v>10</v>
      </c>
      <c r="K557" s="55">
        <v>6</v>
      </c>
      <c r="L557" s="55">
        <v>19</v>
      </c>
      <c r="M557" s="54" t="str">
        <f t="shared" si="43"/>
        <v>6-12 Months</v>
      </c>
      <c r="N557" s="54" t="str">
        <f t="shared" si="44"/>
        <v>18-24 Months</v>
      </c>
      <c r="O557" s="54" t="s">
        <v>7</v>
      </c>
      <c r="P557" s="54">
        <f t="shared" si="40"/>
        <v>1</v>
      </c>
      <c r="Q557">
        <f t="shared" si="41"/>
        <v>1</v>
      </c>
      <c r="R557">
        <f t="shared" si="42"/>
        <v>1</v>
      </c>
    </row>
    <row r="558" spans="1:18" x14ac:dyDescent="0.2">
      <c r="A558" s="54">
        <v>584550</v>
      </c>
      <c r="B558" s="54" t="s">
        <v>612</v>
      </c>
      <c r="C558" s="55">
        <v>1</v>
      </c>
      <c r="D558" s="55">
        <v>1</v>
      </c>
      <c r="E558" s="55">
        <v>6</v>
      </c>
      <c r="F558" s="55">
        <v>1</v>
      </c>
      <c r="G558" s="55">
        <v>1</v>
      </c>
      <c r="H558" s="55">
        <v>1</v>
      </c>
      <c r="I558" s="55">
        <v>0.5</v>
      </c>
      <c r="J558" s="55">
        <v>0.5</v>
      </c>
      <c r="K558" s="55">
        <v>0.5</v>
      </c>
      <c r="L558" s="55">
        <v>0</v>
      </c>
      <c r="M558" s="54" t="str">
        <f t="shared" si="43"/>
        <v>6-12 Months</v>
      </c>
      <c r="N558" s="54" t="str">
        <f t="shared" si="44"/>
        <v>18-24 Months</v>
      </c>
      <c r="O558" s="54" t="s">
        <v>7</v>
      </c>
      <c r="P558" s="54">
        <f t="shared" si="40"/>
        <v>0</v>
      </c>
      <c r="Q558">
        <f t="shared" si="41"/>
        <v>0</v>
      </c>
      <c r="R558">
        <f t="shared" si="42"/>
        <v>0</v>
      </c>
    </row>
    <row r="559" spans="1:18" x14ac:dyDescent="0.2">
      <c r="A559" s="54">
        <v>213641</v>
      </c>
      <c r="B559" s="54" t="s">
        <v>654</v>
      </c>
      <c r="C559" s="55">
        <v>2</v>
      </c>
      <c r="D559" s="55">
        <v>10</v>
      </c>
      <c r="E559" s="55">
        <v>6</v>
      </c>
      <c r="F559" s="55">
        <v>0</v>
      </c>
      <c r="G559" s="55">
        <v>0</v>
      </c>
      <c r="H559" s="55">
        <v>0</v>
      </c>
      <c r="I559" s="55">
        <v>0</v>
      </c>
      <c r="J559" s="55">
        <v>0</v>
      </c>
      <c r="K559" s="55">
        <v>0</v>
      </c>
      <c r="L559" s="55">
        <v>0</v>
      </c>
      <c r="M559" s="54" t="str">
        <f t="shared" si="43"/>
        <v>6-12 Months</v>
      </c>
      <c r="N559" s="54" t="str">
        <f t="shared" si="44"/>
        <v>18-24 Months</v>
      </c>
      <c r="O559" s="54" t="s">
        <v>7</v>
      </c>
      <c r="P559" s="54">
        <f t="shared" si="40"/>
        <v>0</v>
      </c>
      <c r="Q559">
        <f t="shared" si="41"/>
        <v>0</v>
      </c>
      <c r="R559">
        <f t="shared" si="42"/>
        <v>0</v>
      </c>
    </row>
    <row r="560" spans="1:18" x14ac:dyDescent="0.2">
      <c r="A560" s="54">
        <v>230607</v>
      </c>
      <c r="B560" s="54" t="s">
        <v>300</v>
      </c>
      <c r="C560" s="55">
        <v>2</v>
      </c>
      <c r="D560" s="55">
        <v>58</v>
      </c>
      <c r="E560" s="55">
        <v>6</v>
      </c>
      <c r="F560" s="55">
        <v>133</v>
      </c>
      <c r="G560" s="55">
        <v>99</v>
      </c>
      <c r="H560" s="55">
        <v>96</v>
      </c>
      <c r="I560" s="55">
        <v>1.1499999999999999</v>
      </c>
      <c r="J560" s="55">
        <v>0.85</v>
      </c>
      <c r="K560" s="55">
        <v>0.83</v>
      </c>
      <c r="L560" s="55">
        <v>21</v>
      </c>
      <c r="M560" s="54" t="str">
        <f t="shared" si="43"/>
        <v>6-12 Months</v>
      </c>
      <c r="N560" s="54" t="str">
        <f t="shared" si="44"/>
        <v>18-24 Months</v>
      </c>
      <c r="O560" s="54" t="s">
        <v>6</v>
      </c>
      <c r="P560" s="54">
        <f t="shared" si="40"/>
        <v>2</v>
      </c>
      <c r="Q560">
        <f t="shared" si="41"/>
        <v>0</v>
      </c>
      <c r="R560">
        <f t="shared" si="42"/>
        <v>2</v>
      </c>
    </row>
    <row r="561" spans="1:18" x14ac:dyDescent="0.2">
      <c r="A561" s="54">
        <v>321548</v>
      </c>
      <c r="B561" s="54" t="s">
        <v>632</v>
      </c>
      <c r="C561" s="55">
        <v>2</v>
      </c>
      <c r="D561" s="55">
        <v>5</v>
      </c>
      <c r="E561" s="55">
        <v>6</v>
      </c>
      <c r="F561" s="55">
        <v>0</v>
      </c>
      <c r="G561" s="55">
        <v>0</v>
      </c>
      <c r="H561" s="55">
        <v>0</v>
      </c>
      <c r="I561" s="55">
        <v>0</v>
      </c>
      <c r="J561" s="55">
        <v>0</v>
      </c>
      <c r="K561" s="55">
        <v>0</v>
      </c>
      <c r="L561" s="55">
        <v>0</v>
      </c>
      <c r="M561" s="54" t="str">
        <f t="shared" si="43"/>
        <v>6-12 Months</v>
      </c>
      <c r="N561" s="54" t="str">
        <f t="shared" si="44"/>
        <v>18-24 Months</v>
      </c>
      <c r="O561" s="54" t="s">
        <v>7</v>
      </c>
      <c r="P561" s="54">
        <f t="shared" si="40"/>
        <v>0</v>
      </c>
      <c r="Q561">
        <f t="shared" si="41"/>
        <v>0</v>
      </c>
      <c r="R561">
        <f t="shared" si="42"/>
        <v>0</v>
      </c>
    </row>
    <row r="562" spans="1:18" x14ac:dyDescent="0.2">
      <c r="A562" s="54">
        <v>462647</v>
      </c>
      <c r="B562" s="54" t="s">
        <v>352</v>
      </c>
      <c r="C562" s="55">
        <v>2</v>
      </c>
      <c r="D562" s="55">
        <v>16</v>
      </c>
      <c r="E562" s="55">
        <v>6</v>
      </c>
      <c r="F562" s="55">
        <v>68</v>
      </c>
      <c r="G562" s="55">
        <v>68</v>
      </c>
      <c r="H562" s="55">
        <v>46</v>
      </c>
      <c r="I562" s="55">
        <v>2.13</v>
      </c>
      <c r="J562" s="55">
        <v>2.13</v>
      </c>
      <c r="K562" s="55">
        <v>1.44</v>
      </c>
      <c r="L562" s="55">
        <v>80</v>
      </c>
      <c r="M562" s="54" t="str">
        <f t="shared" si="43"/>
        <v>6-12 Months</v>
      </c>
      <c r="N562" s="54" t="str">
        <f t="shared" si="44"/>
        <v>18-24 Months</v>
      </c>
      <c r="O562" s="54" t="s">
        <v>7</v>
      </c>
      <c r="P562" s="54">
        <f t="shared" si="40"/>
        <v>2</v>
      </c>
      <c r="Q562">
        <f t="shared" si="41"/>
        <v>2</v>
      </c>
      <c r="R562">
        <f t="shared" si="42"/>
        <v>2</v>
      </c>
    </row>
    <row r="563" spans="1:18" x14ac:dyDescent="0.2">
      <c r="A563" s="54">
        <v>310328</v>
      </c>
      <c r="B563" s="54" t="s">
        <v>613</v>
      </c>
      <c r="C563" s="55">
        <v>3</v>
      </c>
      <c r="D563" s="55">
        <v>6</v>
      </c>
      <c r="E563" s="55">
        <v>6</v>
      </c>
      <c r="F563" s="55">
        <v>1</v>
      </c>
      <c r="G563" s="55">
        <v>1</v>
      </c>
      <c r="H563" s="55">
        <v>0</v>
      </c>
      <c r="I563" s="55">
        <v>0.08</v>
      </c>
      <c r="J563" s="55">
        <v>0.08</v>
      </c>
      <c r="K563" s="55">
        <v>0</v>
      </c>
      <c r="L563" s="55">
        <v>9</v>
      </c>
      <c r="M563" s="54" t="str">
        <f t="shared" si="43"/>
        <v>6-12 Months</v>
      </c>
      <c r="N563" s="54" t="str">
        <f t="shared" si="44"/>
        <v>18-24 Months</v>
      </c>
      <c r="O563" s="54" t="s">
        <v>7</v>
      </c>
      <c r="P563" s="54">
        <f t="shared" si="40"/>
        <v>0</v>
      </c>
      <c r="Q563">
        <f t="shared" si="41"/>
        <v>0</v>
      </c>
      <c r="R563">
        <f t="shared" si="42"/>
        <v>0</v>
      </c>
    </row>
    <row r="564" spans="1:18" x14ac:dyDescent="0.2">
      <c r="A564" s="54">
        <v>110248</v>
      </c>
      <c r="B564" s="54" t="s">
        <v>402</v>
      </c>
      <c r="C564" s="55">
        <v>4</v>
      </c>
      <c r="D564" s="55">
        <v>44</v>
      </c>
      <c r="E564" s="55">
        <v>6</v>
      </c>
      <c r="F564" s="55">
        <v>58</v>
      </c>
      <c r="G564" s="55">
        <v>58</v>
      </c>
      <c r="H564" s="55">
        <v>58</v>
      </c>
      <c r="I564" s="55">
        <v>1.21</v>
      </c>
      <c r="J564" s="55">
        <v>1.21</v>
      </c>
      <c r="K564" s="55">
        <v>1.21</v>
      </c>
      <c r="L564" s="55">
        <v>5</v>
      </c>
      <c r="M564" s="54" t="str">
        <f t="shared" si="43"/>
        <v>6-12 Months</v>
      </c>
      <c r="N564" s="54" t="str">
        <f t="shared" si="44"/>
        <v>18-24 Months</v>
      </c>
      <c r="O564" s="54" t="s">
        <v>7</v>
      </c>
      <c r="P564" s="54">
        <f t="shared" si="40"/>
        <v>4</v>
      </c>
      <c r="Q564">
        <f t="shared" si="41"/>
        <v>0</v>
      </c>
      <c r="R564">
        <f t="shared" si="42"/>
        <v>4</v>
      </c>
    </row>
    <row r="565" spans="1:18" x14ac:dyDescent="0.2">
      <c r="A565" s="54">
        <v>305994</v>
      </c>
      <c r="B565" s="54" t="s">
        <v>666</v>
      </c>
      <c r="C565" s="55">
        <v>4</v>
      </c>
      <c r="D565" s="55">
        <v>18</v>
      </c>
      <c r="E565" s="55">
        <v>6</v>
      </c>
      <c r="F565" s="55">
        <v>0</v>
      </c>
      <c r="G565" s="55">
        <v>0</v>
      </c>
      <c r="H565" s="55">
        <v>0</v>
      </c>
      <c r="I565" s="55">
        <v>0</v>
      </c>
      <c r="J565" s="55">
        <v>0</v>
      </c>
      <c r="K565" s="55">
        <v>0</v>
      </c>
      <c r="L565" s="55">
        <v>0</v>
      </c>
      <c r="M565" s="54" t="str">
        <f t="shared" si="43"/>
        <v>6-12 Months</v>
      </c>
      <c r="N565" s="54" t="str">
        <f t="shared" si="44"/>
        <v>18-24 Months</v>
      </c>
      <c r="O565" s="54" t="s">
        <v>7</v>
      </c>
      <c r="P565" s="54">
        <f t="shared" si="40"/>
        <v>0</v>
      </c>
      <c r="Q565">
        <f t="shared" si="41"/>
        <v>0</v>
      </c>
      <c r="R565">
        <f t="shared" si="42"/>
        <v>0</v>
      </c>
    </row>
    <row r="566" spans="1:18" x14ac:dyDescent="0.2">
      <c r="A566" s="54">
        <v>462439</v>
      </c>
      <c r="B566" s="54" t="s">
        <v>664</v>
      </c>
      <c r="C566" s="55">
        <v>4</v>
      </c>
      <c r="D566" s="55">
        <v>23</v>
      </c>
      <c r="E566" s="55">
        <v>6</v>
      </c>
      <c r="F566" s="55">
        <v>0</v>
      </c>
      <c r="G566" s="55">
        <v>0</v>
      </c>
      <c r="H566" s="55">
        <v>0</v>
      </c>
      <c r="I566" s="55">
        <v>0</v>
      </c>
      <c r="J566" s="55">
        <v>0</v>
      </c>
      <c r="K566" s="55">
        <v>0</v>
      </c>
      <c r="L566" s="55">
        <v>0</v>
      </c>
      <c r="M566" s="54" t="str">
        <f t="shared" si="43"/>
        <v>6-12 Months</v>
      </c>
      <c r="N566" s="54" t="str">
        <f t="shared" si="44"/>
        <v>18-24 Months</v>
      </c>
      <c r="O566" s="54" t="s">
        <v>7</v>
      </c>
      <c r="P566" s="54">
        <f t="shared" si="40"/>
        <v>0</v>
      </c>
      <c r="Q566">
        <f t="shared" si="41"/>
        <v>0</v>
      </c>
      <c r="R566">
        <f t="shared" si="42"/>
        <v>0</v>
      </c>
    </row>
    <row r="567" spans="1:18" x14ac:dyDescent="0.2">
      <c r="A567" s="54">
        <v>500453</v>
      </c>
      <c r="B567" s="54" t="s">
        <v>502</v>
      </c>
      <c r="C567" s="55">
        <v>4</v>
      </c>
      <c r="D567" s="55">
        <v>4</v>
      </c>
      <c r="E567" s="55">
        <v>6</v>
      </c>
      <c r="F567" s="55">
        <v>21</v>
      </c>
      <c r="G567" s="55">
        <v>20</v>
      </c>
      <c r="H567" s="55">
        <v>14</v>
      </c>
      <c r="I567" s="55">
        <v>5.25</v>
      </c>
      <c r="J567" s="55">
        <v>5</v>
      </c>
      <c r="K567" s="55">
        <v>3.5</v>
      </c>
      <c r="L567" s="55">
        <v>34</v>
      </c>
      <c r="M567" s="54" t="str">
        <f t="shared" si="43"/>
        <v>6-12 Months</v>
      </c>
      <c r="N567" s="54" t="str">
        <f t="shared" si="44"/>
        <v>18-24 Months</v>
      </c>
      <c r="O567" s="54" t="s">
        <v>7</v>
      </c>
      <c r="P567" s="54">
        <f t="shared" si="40"/>
        <v>4</v>
      </c>
      <c r="Q567">
        <f t="shared" si="41"/>
        <v>4</v>
      </c>
      <c r="R567">
        <f t="shared" si="42"/>
        <v>4</v>
      </c>
    </row>
    <row r="568" spans="1:18" x14ac:dyDescent="0.2">
      <c r="A568" s="54">
        <v>106938</v>
      </c>
      <c r="B568" s="54" t="s">
        <v>675</v>
      </c>
      <c r="C568" s="55">
        <v>5</v>
      </c>
      <c r="D568" s="55">
        <v>11</v>
      </c>
      <c r="E568" s="55">
        <v>6</v>
      </c>
      <c r="F568" s="55">
        <v>0</v>
      </c>
      <c r="G568" s="55">
        <v>0</v>
      </c>
      <c r="H568" s="55">
        <v>0</v>
      </c>
      <c r="I568" s="55">
        <v>0</v>
      </c>
      <c r="J568" s="55">
        <v>0</v>
      </c>
      <c r="K568" s="55">
        <v>0</v>
      </c>
      <c r="L568" s="55">
        <v>0</v>
      </c>
      <c r="M568" s="54" t="str">
        <f t="shared" si="43"/>
        <v>6-12 Months</v>
      </c>
      <c r="N568" s="54" t="str">
        <f t="shared" si="44"/>
        <v>18-24 Months</v>
      </c>
      <c r="O568" s="54" t="s">
        <v>7</v>
      </c>
      <c r="P568" s="54">
        <f t="shared" si="40"/>
        <v>0</v>
      </c>
      <c r="Q568">
        <f t="shared" si="41"/>
        <v>0</v>
      </c>
      <c r="R568">
        <f t="shared" si="42"/>
        <v>0</v>
      </c>
    </row>
    <row r="569" spans="1:18" x14ac:dyDescent="0.2">
      <c r="A569" s="54">
        <v>205183</v>
      </c>
      <c r="B569" s="54" t="s">
        <v>387</v>
      </c>
      <c r="C569" s="55">
        <v>5</v>
      </c>
      <c r="D569" s="55">
        <v>5</v>
      </c>
      <c r="E569" s="55">
        <v>6</v>
      </c>
      <c r="F569" s="55">
        <v>38</v>
      </c>
      <c r="G569" s="55">
        <v>38</v>
      </c>
      <c r="H569" s="55">
        <v>0</v>
      </c>
      <c r="I569" s="55">
        <v>3.8</v>
      </c>
      <c r="J569" s="55">
        <v>3.8</v>
      </c>
      <c r="K569" s="55">
        <v>0</v>
      </c>
      <c r="L569" s="55">
        <v>0</v>
      </c>
      <c r="M569" s="54" t="str">
        <f t="shared" si="43"/>
        <v>6-12 Months</v>
      </c>
      <c r="N569" s="54" t="str">
        <f t="shared" si="44"/>
        <v>18-24 Months</v>
      </c>
      <c r="O569" s="54" t="s">
        <v>7</v>
      </c>
      <c r="P569" s="54">
        <f t="shared" si="40"/>
        <v>5</v>
      </c>
      <c r="Q569">
        <f t="shared" si="41"/>
        <v>5</v>
      </c>
      <c r="R569">
        <f t="shared" si="42"/>
        <v>5</v>
      </c>
    </row>
    <row r="570" spans="1:18" x14ac:dyDescent="0.2">
      <c r="A570" s="54">
        <v>493451</v>
      </c>
      <c r="B570" s="54" t="s">
        <v>417</v>
      </c>
      <c r="C570" s="55">
        <v>5</v>
      </c>
      <c r="D570" s="55">
        <v>7</v>
      </c>
      <c r="E570" s="55">
        <v>6</v>
      </c>
      <c r="F570" s="55">
        <v>36</v>
      </c>
      <c r="G570" s="55">
        <v>9</v>
      </c>
      <c r="H570" s="55">
        <v>0</v>
      </c>
      <c r="I570" s="55">
        <v>4.5</v>
      </c>
      <c r="J570" s="55">
        <v>1.1299999999999999</v>
      </c>
      <c r="K570" s="55">
        <v>0</v>
      </c>
      <c r="L570" s="55">
        <v>26</v>
      </c>
      <c r="M570" s="54" t="str">
        <f t="shared" si="43"/>
        <v>6-12 Months</v>
      </c>
      <c r="N570" s="54" t="str">
        <f t="shared" si="44"/>
        <v>18-24 Months</v>
      </c>
      <c r="O570" s="54" t="s">
        <v>7</v>
      </c>
      <c r="P570" s="54">
        <f t="shared" si="40"/>
        <v>5</v>
      </c>
      <c r="Q570">
        <f t="shared" si="41"/>
        <v>5</v>
      </c>
      <c r="R570">
        <f t="shared" si="42"/>
        <v>5</v>
      </c>
    </row>
    <row r="571" spans="1:18" x14ac:dyDescent="0.2">
      <c r="A571" s="54">
        <v>112987</v>
      </c>
      <c r="B571" s="54" t="s">
        <v>594</v>
      </c>
      <c r="C571" s="55">
        <v>9</v>
      </c>
      <c r="D571" s="55">
        <v>8</v>
      </c>
      <c r="E571" s="55">
        <v>6</v>
      </c>
      <c r="F571" s="55">
        <v>3</v>
      </c>
      <c r="G571" s="55">
        <v>3</v>
      </c>
      <c r="H571" s="55">
        <v>0</v>
      </c>
      <c r="I571" s="55">
        <v>0.19</v>
      </c>
      <c r="J571" s="55">
        <v>0.19</v>
      </c>
      <c r="K571" s="55">
        <v>0</v>
      </c>
      <c r="L571" s="55">
        <v>2</v>
      </c>
      <c r="M571" s="54" t="str">
        <f t="shared" si="43"/>
        <v>6-12 Months</v>
      </c>
      <c r="N571" s="54" t="str">
        <f t="shared" si="44"/>
        <v>18-24 Months</v>
      </c>
      <c r="O571" s="54" t="s">
        <v>7</v>
      </c>
      <c r="P571" s="54">
        <f t="shared" si="40"/>
        <v>0</v>
      </c>
      <c r="Q571">
        <f t="shared" si="41"/>
        <v>0</v>
      </c>
      <c r="R571">
        <f t="shared" si="42"/>
        <v>0</v>
      </c>
    </row>
    <row r="572" spans="1:18" x14ac:dyDescent="0.2">
      <c r="A572" s="54">
        <v>461758</v>
      </c>
      <c r="B572" s="54" t="s">
        <v>527</v>
      </c>
      <c r="C572" s="55">
        <v>9</v>
      </c>
      <c r="D572" s="55">
        <v>5</v>
      </c>
      <c r="E572" s="55">
        <v>6</v>
      </c>
      <c r="F572" s="55">
        <v>12</v>
      </c>
      <c r="G572" s="55">
        <v>12</v>
      </c>
      <c r="H572" s="55">
        <v>12</v>
      </c>
      <c r="I572" s="55">
        <v>2.4</v>
      </c>
      <c r="J572" s="55">
        <v>2.4</v>
      </c>
      <c r="K572" s="55">
        <v>2.4</v>
      </c>
      <c r="L572" s="55">
        <v>18</v>
      </c>
      <c r="M572" s="54" t="str">
        <f t="shared" si="43"/>
        <v>6-12 Months</v>
      </c>
      <c r="N572" s="54" t="str">
        <f t="shared" si="44"/>
        <v>18-24 Months</v>
      </c>
      <c r="O572" s="54" t="s">
        <v>7</v>
      </c>
      <c r="P572" s="54">
        <f t="shared" si="40"/>
        <v>9</v>
      </c>
      <c r="Q572">
        <f t="shared" si="41"/>
        <v>9</v>
      </c>
      <c r="R572">
        <f t="shared" si="42"/>
        <v>9</v>
      </c>
    </row>
    <row r="573" spans="1:18" x14ac:dyDescent="0.2">
      <c r="A573" s="54">
        <v>307838</v>
      </c>
      <c r="B573" s="54" t="s">
        <v>366</v>
      </c>
      <c r="C573" s="55">
        <v>10</v>
      </c>
      <c r="D573" s="55">
        <v>16</v>
      </c>
      <c r="E573" s="55">
        <v>6</v>
      </c>
      <c r="F573" s="55">
        <v>83</v>
      </c>
      <c r="G573" s="55">
        <v>83</v>
      </c>
      <c r="H573" s="55">
        <v>83</v>
      </c>
      <c r="I573" s="55">
        <v>2.59</v>
      </c>
      <c r="J573" s="55">
        <v>2.59</v>
      </c>
      <c r="K573" s="55">
        <v>2.59</v>
      </c>
      <c r="L573" s="55">
        <v>14</v>
      </c>
      <c r="M573" s="54" t="str">
        <f t="shared" si="43"/>
        <v>6-12 Months</v>
      </c>
      <c r="N573" s="54" t="str">
        <f t="shared" si="44"/>
        <v>18-24 Months</v>
      </c>
      <c r="O573" s="54" t="s">
        <v>7</v>
      </c>
      <c r="P573" s="54">
        <f t="shared" si="40"/>
        <v>10</v>
      </c>
      <c r="Q573">
        <f t="shared" si="41"/>
        <v>10</v>
      </c>
      <c r="R573">
        <f t="shared" si="42"/>
        <v>10</v>
      </c>
    </row>
    <row r="574" spans="1:18" x14ac:dyDescent="0.2">
      <c r="A574" s="54">
        <v>222038</v>
      </c>
      <c r="B574" s="54" t="s">
        <v>443</v>
      </c>
      <c r="C574" s="55">
        <v>11</v>
      </c>
      <c r="D574" s="55">
        <v>10</v>
      </c>
      <c r="E574" s="55">
        <v>6</v>
      </c>
      <c r="F574" s="55">
        <v>25</v>
      </c>
      <c r="G574" s="55">
        <v>22</v>
      </c>
      <c r="H574" s="55">
        <v>2</v>
      </c>
      <c r="I574" s="55">
        <v>1.25</v>
      </c>
      <c r="J574" s="55">
        <v>1.1000000000000001</v>
      </c>
      <c r="K574" s="55">
        <v>0.1</v>
      </c>
      <c r="L574" s="55">
        <v>10</v>
      </c>
      <c r="M574" s="54" t="str">
        <f t="shared" si="43"/>
        <v>6-12 Months</v>
      </c>
      <c r="N574" s="54" t="str">
        <f t="shared" si="44"/>
        <v>18-24 Months</v>
      </c>
      <c r="O574" s="54" t="s">
        <v>7</v>
      </c>
      <c r="P574" s="54">
        <f t="shared" si="40"/>
        <v>11</v>
      </c>
      <c r="Q574">
        <f t="shared" si="41"/>
        <v>0</v>
      </c>
      <c r="R574">
        <f t="shared" si="42"/>
        <v>11</v>
      </c>
    </row>
    <row r="575" spans="1:18" x14ac:dyDescent="0.2">
      <c r="A575" s="54">
        <v>321757</v>
      </c>
      <c r="B575" s="54" t="s">
        <v>543</v>
      </c>
      <c r="C575" s="55">
        <v>12</v>
      </c>
      <c r="D575" s="55">
        <v>6</v>
      </c>
      <c r="E575" s="55">
        <v>6</v>
      </c>
      <c r="F575" s="55">
        <v>4</v>
      </c>
      <c r="G575" s="55">
        <v>0</v>
      </c>
      <c r="H575" s="55">
        <v>0</v>
      </c>
      <c r="I575" s="55">
        <v>0.67</v>
      </c>
      <c r="J575" s="55">
        <v>0</v>
      </c>
      <c r="K575" s="55">
        <v>0</v>
      </c>
      <c r="L575" s="55">
        <v>0</v>
      </c>
      <c r="M575" s="54" t="str">
        <f t="shared" si="43"/>
        <v>6-12 Months</v>
      </c>
      <c r="N575" s="54" t="str">
        <f t="shared" si="44"/>
        <v>18-24 Months</v>
      </c>
      <c r="O575" s="54" t="s">
        <v>7</v>
      </c>
      <c r="P575" s="54">
        <f t="shared" si="40"/>
        <v>0</v>
      </c>
      <c r="Q575">
        <f t="shared" si="41"/>
        <v>0</v>
      </c>
      <c r="R575">
        <f t="shared" si="42"/>
        <v>0</v>
      </c>
    </row>
    <row r="576" spans="1:18" x14ac:dyDescent="0.2">
      <c r="A576" s="54">
        <v>158519</v>
      </c>
      <c r="B576" s="54" t="s">
        <v>460</v>
      </c>
      <c r="C576" s="55">
        <v>14</v>
      </c>
      <c r="D576" s="55">
        <v>13</v>
      </c>
      <c r="E576" s="55">
        <v>6</v>
      </c>
      <c r="F576" s="55">
        <v>42</v>
      </c>
      <c r="G576" s="55">
        <v>42</v>
      </c>
      <c r="H576" s="55">
        <v>42</v>
      </c>
      <c r="I576" s="55">
        <v>3.23</v>
      </c>
      <c r="J576" s="55">
        <v>3.23</v>
      </c>
      <c r="K576" s="55">
        <v>3.23</v>
      </c>
      <c r="L576" s="55">
        <v>12</v>
      </c>
      <c r="M576" s="54" t="str">
        <f t="shared" si="43"/>
        <v>6-12 Months</v>
      </c>
      <c r="N576" s="54" t="str">
        <f t="shared" si="44"/>
        <v>18-24 Months</v>
      </c>
      <c r="O576" s="54" t="s">
        <v>7</v>
      </c>
      <c r="P576" s="54">
        <f t="shared" si="40"/>
        <v>14</v>
      </c>
      <c r="Q576">
        <f t="shared" si="41"/>
        <v>14</v>
      </c>
      <c r="R576">
        <f t="shared" si="42"/>
        <v>14</v>
      </c>
    </row>
    <row r="577" spans="1:18" x14ac:dyDescent="0.2">
      <c r="A577" s="54">
        <v>120210</v>
      </c>
      <c r="B577" s="54" t="s">
        <v>540</v>
      </c>
      <c r="C577" s="55">
        <v>15</v>
      </c>
      <c r="D577" s="55">
        <v>15</v>
      </c>
      <c r="E577" s="55">
        <v>6</v>
      </c>
      <c r="F577" s="55">
        <v>10</v>
      </c>
      <c r="G577" s="55">
        <v>10</v>
      </c>
      <c r="H577" s="55">
        <v>10</v>
      </c>
      <c r="I577" s="55">
        <v>0.67</v>
      </c>
      <c r="J577" s="55">
        <v>0.67</v>
      </c>
      <c r="K577" s="55">
        <v>0.67</v>
      </c>
      <c r="L577" s="55">
        <v>0</v>
      </c>
      <c r="M577" s="54" t="str">
        <f t="shared" si="43"/>
        <v>6-12 Months</v>
      </c>
      <c r="N577" s="54" t="str">
        <f t="shared" si="44"/>
        <v>18-24 Months</v>
      </c>
      <c r="O577" s="54" t="s">
        <v>7</v>
      </c>
      <c r="P577" s="54">
        <f t="shared" si="40"/>
        <v>0</v>
      </c>
      <c r="Q577">
        <f t="shared" si="41"/>
        <v>0</v>
      </c>
      <c r="R577">
        <f t="shared" si="42"/>
        <v>0</v>
      </c>
    </row>
    <row r="578" spans="1:18" x14ac:dyDescent="0.2">
      <c r="A578" s="54">
        <v>113149</v>
      </c>
      <c r="B578" s="54" t="s">
        <v>435</v>
      </c>
      <c r="C578" s="55">
        <v>16</v>
      </c>
      <c r="D578" s="55">
        <v>6</v>
      </c>
      <c r="E578" s="55">
        <v>6</v>
      </c>
      <c r="F578" s="55">
        <v>37</v>
      </c>
      <c r="G578" s="55">
        <v>37</v>
      </c>
      <c r="H578" s="55">
        <v>20</v>
      </c>
      <c r="I578" s="55">
        <v>3.08</v>
      </c>
      <c r="J578" s="55">
        <v>3.08</v>
      </c>
      <c r="K578" s="55">
        <v>1.67</v>
      </c>
      <c r="L578" s="55">
        <v>0</v>
      </c>
      <c r="M578" s="54" t="str">
        <f t="shared" si="43"/>
        <v>6-12 Months</v>
      </c>
      <c r="N578" s="54" t="str">
        <f t="shared" si="44"/>
        <v>18-24 Months</v>
      </c>
      <c r="O578" s="54" t="s">
        <v>7</v>
      </c>
      <c r="P578" s="54">
        <f t="shared" ref="P578:P641" si="45">IF(I578&gt;=2, C578, IF(J578&gt;=0.75, C578, 0))</f>
        <v>16</v>
      </c>
      <c r="Q578">
        <f t="shared" ref="Q578:Q641" si="46">IF(I578&gt;=2, C578, IF(AND(J578&gt;=0.75, D578&gt;=550), C578, 0))</f>
        <v>16</v>
      </c>
      <c r="R578">
        <f t="shared" ref="R578:R641" si="47">IF(J578&gt;=0.75, C578, 0)</f>
        <v>16</v>
      </c>
    </row>
    <row r="579" spans="1:18" x14ac:dyDescent="0.2">
      <c r="A579" s="54">
        <v>305996</v>
      </c>
      <c r="B579" s="54" t="s">
        <v>459</v>
      </c>
      <c r="C579" s="55">
        <v>16</v>
      </c>
      <c r="D579" s="55">
        <v>12</v>
      </c>
      <c r="E579" s="55">
        <v>6</v>
      </c>
      <c r="F579" s="55">
        <v>48</v>
      </c>
      <c r="G579" s="55">
        <v>48</v>
      </c>
      <c r="H579" s="55">
        <v>48</v>
      </c>
      <c r="I579" s="55">
        <v>4</v>
      </c>
      <c r="J579" s="55">
        <v>4</v>
      </c>
      <c r="K579" s="55">
        <v>4</v>
      </c>
      <c r="L579" s="55">
        <v>62</v>
      </c>
      <c r="M579" s="54" t="str">
        <f t="shared" ref="M579:M642" si="48">IF(E579&lt;6,"0-6 Months", IF(E579&lt;13, "6-12 Months", IF(E579&lt;19, "12-24 Months", IF(E579&lt;25, "12-24 Months", "24+ Months"))))</f>
        <v>6-12 Months</v>
      </c>
      <c r="N579" s="54" t="str">
        <f t="shared" ref="N579:N642" si="49">IF(E579&lt;6,"12-18 Months", IF(E579&lt;13, "18-24 Months", "24+ Months"))</f>
        <v>18-24 Months</v>
      </c>
      <c r="O579" s="54" t="s">
        <v>7</v>
      </c>
      <c r="P579" s="54">
        <f t="shared" si="45"/>
        <v>16</v>
      </c>
      <c r="Q579">
        <f t="shared" si="46"/>
        <v>16</v>
      </c>
      <c r="R579">
        <f t="shared" si="47"/>
        <v>16</v>
      </c>
    </row>
    <row r="580" spans="1:18" x14ac:dyDescent="0.2">
      <c r="A580" s="54">
        <v>305998</v>
      </c>
      <c r="B580" s="54" t="s">
        <v>628</v>
      </c>
      <c r="C580" s="55">
        <v>17</v>
      </c>
      <c r="D580" s="55">
        <v>17</v>
      </c>
      <c r="E580" s="55">
        <v>6</v>
      </c>
      <c r="F580" s="55">
        <v>0</v>
      </c>
      <c r="G580" s="55">
        <v>0</v>
      </c>
      <c r="H580" s="55">
        <v>0</v>
      </c>
      <c r="I580" s="55">
        <v>0</v>
      </c>
      <c r="J580" s="55">
        <v>0</v>
      </c>
      <c r="K580" s="55">
        <v>0</v>
      </c>
      <c r="L580" s="55">
        <v>0</v>
      </c>
      <c r="M580" s="54" t="str">
        <f t="shared" si="48"/>
        <v>6-12 Months</v>
      </c>
      <c r="N580" s="54" t="str">
        <f t="shared" si="49"/>
        <v>18-24 Months</v>
      </c>
      <c r="O580" s="54" t="s">
        <v>7</v>
      </c>
      <c r="P580" s="54">
        <f t="shared" si="45"/>
        <v>0</v>
      </c>
      <c r="Q580">
        <f t="shared" si="46"/>
        <v>0</v>
      </c>
      <c r="R580">
        <f t="shared" si="47"/>
        <v>0</v>
      </c>
    </row>
    <row r="581" spans="1:18" x14ac:dyDescent="0.2">
      <c r="A581" s="54">
        <v>313390</v>
      </c>
      <c r="B581" s="54" t="s">
        <v>669</v>
      </c>
      <c r="C581" s="55">
        <v>18</v>
      </c>
      <c r="D581" s="55">
        <v>12</v>
      </c>
      <c r="E581" s="55">
        <v>6</v>
      </c>
      <c r="F581" s="55">
        <v>0</v>
      </c>
      <c r="G581" s="55">
        <v>0</v>
      </c>
      <c r="H581" s="55">
        <v>0</v>
      </c>
      <c r="I581" s="55">
        <v>0</v>
      </c>
      <c r="J581" s="55">
        <v>0</v>
      </c>
      <c r="K581" s="55">
        <v>0</v>
      </c>
      <c r="L581" s="55">
        <v>0</v>
      </c>
      <c r="M581" s="54" t="str">
        <f t="shared" si="48"/>
        <v>6-12 Months</v>
      </c>
      <c r="N581" s="54" t="str">
        <f t="shared" si="49"/>
        <v>18-24 Months</v>
      </c>
      <c r="O581" s="54" t="s">
        <v>7</v>
      </c>
      <c r="P581" s="54">
        <f t="shared" si="45"/>
        <v>0</v>
      </c>
      <c r="Q581">
        <f t="shared" si="46"/>
        <v>0</v>
      </c>
      <c r="R581">
        <f t="shared" si="47"/>
        <v>0</v>
      </c>
    </row>
    <row r="582" spans="1:18" x14ac:dyDescent="0.2">
      <c r="A582" s="54">
        <v>114486</v>
      </c>
      <c r="B582" s="54" t="s">
        <v>658</v>
      </c>
      <c r="C582" s="55">
        <v>19</v>
      </c>
      <c r="D582" s="55">
        <v>20</v>
      </c>
      <c r="E582" s="55">
        <v>6</v>
      </c>
      <c r="F582" s="55">
        <v>0</v>
      </c>
      <c r="G582" s="55">
        <v>0</v>
      </c>
      <c r="H582" s="55">
        <v>0</v>
      </c>
      <c r="I582" s="55">
        <v>0</v>
      </c>
      <c r="J582" s="55">
        <v>0</v>
      </c>
      <c r="K582" s="55">
        <v>0</v>
      </c>
      <c r="L582" s="55">
        <v>0</v>
      </c>
      <c r="M582" s="54" t="str">
        <f t="shared" si="48"/>
        <v>6-12 Months</v>
      </c>
      <c r="N582" s="54" t="str">
        <f t="shared" si="49"/>
        <v>18-24 Months</v>
      </c>
      <c r="O582" s="54" t="s">
        <v>7</v>
      </c>
      <c r="P582" s="54">
        <f t="shared" si="45"/>
        <v>0</v>
      </c>
      <c r="Q582">
        <f t="shared" si="46"/>
        <v>0</v>
      </c>
      <c r="R582">
        <f t="shared" si="47"/>
        <v>0</v>
      </c>
    </row>
    <row r="583" spans="1:18" x14ac:dyDescent="0.2">
      <c r="A583" s="54">
        <v>166614</v>
      </c>
      <c r="B583" s="54" t="s">
        <v>554</v>
      </c>
      <c r="C583" s="55">
        <v>19</v>
      </c>
      <c r="D583" s="55">
        <v>18</v>
      </c>
      <c r="E583" s="55">
        <v>6</v>
      </c>
      <c r="F583" s="55">
        <v>12</v>
      </c>
      <c r="G583" s="55">
        <v>8</v>
      </c>
      <c r="H583" s="55">
        <v>8</v>
      </c>
      <c r="I583" s="55">
        <v>0.67</v>
      </c>
      <c r="J583" s="55">
        <v>0.44</v>
      </c>
      <c r="K583" s="55">
        <v>0.44</v>
      </c>
      <c r="L583" s="55">
        <v>62</v>
      </c>
      <c r="M583" s="54" t="str">
        <f t="shared" si="48"/>
        <v>6-12 Months</v>
      </c>
      <c r="N583" s="54" t="str">
        <f t="shared" si="49"/>
        <v>18-24 Months</v>
      </c>
      <c r="O583" s="54" t="s">
        <v>7</v>
      </c>
      <c r="P583" s="54">
        <f t="shared" si="45"/>
        <v>0</v>
      </c>
      <c r="Q583">
        <f t="shared" si="46"/>
        <v>0</v>
      </c>
      <c r="R583">
        <f t="shared" si="47"/>
        <v>0</v>
      </c>
    </row>
    <row r="584" spans="1:18" x14ac:dyDescent="0.2">
      <c r="A584" s="54">
        <v>306000</v>
      </c>
      <c r="B584" s="54" t="s">
        <v>660</v>
      </c>
      <c r="C584" s="55">
        <v>20</v>
      </c>
      <c r="D584" s="55">
        <v>17</v>
      </c>
      <c r="E584" s="55">
        <v>6</v>
      </c>
      <c r="F584" s="55">
        <v>0</v>
      </c>
      <c r="G584" s="55">
        <v>0</v>
      </c>
      <c r="H584" s="55">
        <v>0</v>
      </c>
      <c r="I584" s="55">
        <v>0</v>
      </c>
      <c r="J584" s="55">
        <v>0</v>
      </c>
      <c r="K584" s="55">
        <v>0</v>
      </c>
      <c r="L584" s="55">
        <v>0</v>
      </c>
      <c r="M584" s="54" t="str">
        <f t="shared" si="48"/>
        <v>6-12 Months</v>
      </c>
      <c r="N584" s="54" t="str">
        <f t="shared" si="49"/>
        <v>18-24 Months</v>
      </c>
      <c r="O584" s="54" t="s">
        <v>7</v>
      </c>
      <c r="P584" s="54">
        <f t="shared" si="45"/>
        <v>0</v>
      </c>
      <c r="Q584">
        <f t="shared" si="46"/>
        <v>0</v>
      </c>
      <c r="R584">
        <f t="shared" si="47"/>
        <v>0</v>
      </c>
    </row>
    <row r="585" spans="1:18" x14ac:dyDescent="0.2">
      <c r="A585" s="54">
        <v>472299</v>
      </c>
      <c r="B585" s="54" t="s">
        <v>580</v>
      </c>
      <c r="C585" s="55">
        <v>20</v>
      </c>
      <c r="D585" s="55">
        <v>18</v>
      </c>
      <c r="E585" s="55">
        <v>6</v>
      </c>
      <c r="F585" s="55">
        <v>10</v>
      </c>
      <c r="G585" s="55">
        <v>10</v>
      </c>
      <c r="H585" s="55">
        <v>8</v>
      </c>
      <c r="I585" s="55">
        <v>0.28000000000000003</v>
      </c>
      <c r="J585" s="55">
        <v>0.28000000000000003</v>
      </c>
      <c r="K585" s="55">
        <v>0.22</v>
      </c>
      <c r="L585" s="55">
        <v>34</v>
      </c>
      <c r="M585" s="54" t="str">
        <f t="shared" si="48"/>
        <v>6-12 Months</v>
      </c>
      <c r="N585" s="54" t="str">
        <f t="shared" si="49"/>
        <v>18-24 Months</v>
      </c>
      <c r="O585" s="54" t="s">
        <v>7</v>
      </c>
      <c r="P585" s="54">
        <f t="shared" si="45"/>
        <v>0</v>
      </c>
      <c r="Q585">
        <f t="shared" si="46"/>
        <v>0</v>
      </c>
      <c r="R585">
        <f t="shared" si="47"/>
        <v>0</v>
      </c>
    </row>
    <row r="586" spans="1:18" x14ac:dyDescent="0.2">
      <c r="A586" s="54">
        <v>123323</v>
      </c>
      <c r="B586" s="54" t="s">
        <v>661</v>
      </c>
      <c r="C586" s="55">
        <v>21</v>
      </c>
      <c r="D586" s="55">
        <v>20</v>
      </c>
      <c r="E586" s="55">
        <v>6</v>
      </c>
      <c r="F586" s="55">
        <v>0</v>
      </c>
      <c r="G586" s="55">
        <v>0</v>
      </c>
      <c r="H586" s="55">
        <v>0</v>
      </c>
      <c r="I586" s="55">
        <v>0</v>
      </c>
      <c r="J586" s="55">
        <v>0</v>
      </c>
      <c r="K586" s="55">
        <v>0</v>
      </c>
      <c r="L586" s="55">
        <v>0</v>
      </c>
      <c r="M586" s="54" t="str">
        <f t="shared" si="48"/>
        <v>6-12 Months</v>
      </c>
      <c r="N586" s="54" t="str">
        <f t="shared" si="49"/>
        <v>18-24 Months</v>
      </c>
      <c r="O586" s="54" t="s">
        <v>7</v>
      </c>
      <c r="P586" s="54">
        <f t="shared" si="45"/>
        <v>0</v>
      </c>
      <c r="Q586">
        <f t="shared" si="46"/>
        <v>0</v>
      </c>
      <c r="R586">
        <f t="shared" si="47"/>
        <v>0</v>
      </c>
    </row>
    <row r="587" spans="1:18" x14ac:dyDescent="0.2">
      <c r="A587" s="54">
        <v>110482</v>
      </c>
      <c r="B587" s="54" t="s">
        <v>548</v>
      </c>
      <c r="C587" s="55">
        <v>22</v>
      </c>
      <c r="D587" s="55">
        <v>13</v>
      </c>
      <c r="E587" s="55">
        <v>6</v>
      </c>
      <c r="F587" s="55">
        <v>9</v>
      </c>
      <c r="G587" s="55">
        <v>9</v>
      </c>
      <c r="H587" s="55">
        <v>9</v>
      </c>
      <c r="I587" s="55">
        <v>0.69</v>
      </c>
      <c r="J587" s="55">
        <v>0.69</v>
      </c>
      <c r="K587" s="55">
        <v>0.69</v>
      </c>
      <c r="L587" s="55">
        <v>1</v>
      </c>
      <c r="M587" s="54" t="str">
        <f t="shared" si="48"/>
        <v>6-12 Months</v>
      </c>
      <c r="N587" s="54" t="str">
        <f t="shared" si="49"/>
        <v>18-24 Months</v>
      </c>
      <c r="O587" s="54" t="s">
        <v>7</v>
      </c>
      <c r="P587" s="54">
        <f t="shared" si="45"/>
        <v>0</v>
      </c>
      <c r="Q587">
        <f t="shared" si="46"/>
        <v>0</v>
      </c>
      <c r="R587">
        <f t="shared" si="47"/>
        <v>0</v>
      </c>
    </row>
    <row r="588" spans="1:18" x14ac:dyDescent="0.2">
      <c r="A588" s="54">
        <v>119803</v>
      </c>
      <c r="B588" s="54" t="s">
        <v>331</v>
      </c>
      <c r="C588" s="55">
        <v>24</v>
      </c>
      <c r="D588" s="55">
        <v>32</v>
      </c>
      <c r="E588" s="55">
        <v>6</v>
      </c>
      <c r="F588" s="55">
        <v>121</v>
      </c>
      <c r="G588" s="55">
        <v>112</v>
      </c>
      <c r="H588" s="55">
        <v>107</v>
      </c>
      <c r="I588" s="55">
        <v>3.78</v>
      </c>
      <c r="J588" s="55">
        <v>3.5</v>
      </c>
      <c r="K588" s="55">
        <v>3.34</v>
      </c>
      <c r="L588" s="55">
        <v>121</v>
      </c>
      <c r="M588" s="54" t="str">
        <f t="shared" si="48"/>
        <v>6-12 Months</v>
      </c>
      <c r="N588" s="54" t="str">
        <f t="shared" si="49"/>
        <v>18-24 Months</v>
      </c>
      <c r="O588" s="54" t="s">
        <v>7</v>
      </c>
      <c r="P588" s="54">
        <f t="shared" si="45"/>
        <v>24</v>
      </c>
      <c r="Q588">
        <f t="shared" si="46"/>
        <v>24</v>
      </c>
      <c r="R588">
        <f t="shared" si="47"/>
        <v>24</v>
      </c>
    </row>
    <row r="589" spans="1:18" x14ac:dyDescent="0.2">
      <c r="A589" s="54">
        <v>306001</v>
      </c>
      <c r="B589" s="54" t="s">
        <v>638</v>
      </c>
      <c r="C589" s="55">
        <v>25</v>
      </c>
      <c r="D589" s="55">
        <v>20</v>
      </c>
      <c r="E589" s="55">
        <v>6</v>
      </c>
      <c r="F589" s="55">
        <v>0</v>
      </c>
      <c r="G589" s="55">
        <v>0</v>
      </c>
      <c r="H589" s="55">
        <v>0</v>
      </c>
      <c r="I589" s="55">
        <v>0</v>
      </c>
      <c r="J589" s="55">
        <v>0</v>
      </c>
      <c r="K589" s="55">
        <v>0</v>
      </c>
      <c r="L589" s="55">
        <v>0</v>
      </c>
      <c r="M589" s="54" t="str">
        <f t="shared" si="48"/>
        <v>6-12 Months</v>
      </c>
      <c r="N589" s="54" t="str">
        <f t="shared" si="49"/>
        <v>18-24 Months</v>
      </c>
      <c r="O589" s="54" t="s">
        <v>7</v>
      </c>
      <c r="P589" s="54">
        <f t="shared" si="45"/>
        <v>0</v>
      </c>
      <c r="Q589">
        <f t="shared" si="46"/>
        <v>0</v>
      </c>
      <c r="R589">
        <f t="shared" si="47"/>
        <v>0</v>
      </c>
    </row>
    <row r="590" spans="1:18" x14ac:dyDescent="0.2">
      <c r="A590" s="54">
        <v>467660</v>
      </c>
      <c r="B590" s="54" t="s">
        <v>575</v>
      </c>
      <c r="C590" s="55">
        <v>26</v>
      </c>
      <c r="D590" s="55">
        <v>19</v>
      </c>
      <c r="E590" s="55">
        <v>6</v>
      </c>
      <c r="F590" s="55">
        <v>6</v>
      </c>
      <c r="G590" s="55">
        <v>6</v>
      </c>
      <c r="H590" s="55">
        <v>6</v>
      </c>
      <c r="I590" s="55">
        <v>0.32</v>
      </c>
      <c r="J590" s="55">
        <v>0.32</v>
      </c>
      <c r="K590" s="55">
        <v>0.32</v>
      </c>
      <c r="L590" s="55">
        <v>4</v>
      </c>
      <c r="M590" s="54" t="str">
        <f t="shared" si="48"/>
        <v>6-12 Months</v>
      </c>
      <c r="N590" s="54" t="str">
        <f t="shared" si="49"/>
        <v>18-24 Months</v>
      </c>
      <c r="O590" s="54" t="s">
        <v>7</v>
      </c>
      <c r="P590" s="54">
        <f t="shared" si="45"/>
        <v>0</v>
      </c>
      <c r="Q590">
        <f t="shared" si="46"/>
        <v>0</v>
      </c>
      <c r="R590">
        <f t="shared" si="47"/>
        <v>0</v>
      </c>
    </row>
    <row r="591" spans="1:18" x14ac:dyDescent="0.2">
      <c r="A591" s="54">
        <v>305999</v>
      </c>
      <c r="B591" s="54" t="s">
        <v>626</v>
      </c>
      <c r="C591" s="55">
        <v>28</v>
      </c>
      <c r="D591" s="55">
        <v>24</v>
      </c>
      <c r="E591" s="55">
        <v>6</v>
      </c>
      <c r="F591" s="55">
        <v>0</v>
      </c>
      <c r="G591" s="55">
        <v>0</v>
      </c>
      <c r="H591" s="55">
        <v>0</v>
      </c>
      <c r="I591" s="55">
        <v>0</v>
      </c>
      <c r="J591" s="55">
        <v>0</v>
      </c>
      <c r="K591" s="55">
        <v>0</v>
      </c>
      <c r="L591" s="55">
        <v>0</v>
      </c>
      <c r="M591" s="54" t="str">
        <f t="shared" si="48"/>
        <v>6-12 Months</v>
      </c>
      <c r="N591" s="54" t="str">
        <f t="shared" si="49"/>
        <v>18-24 Months</v>
      </c>
      <c r="O591" s="54" t="s">
        <v>7</v>
      </c>
      <c r="P591" s="54">
        <f t="shared" si="45"/>
        <v>0</v>
      </c>
      <c r="Q591">
        <f t="shared" si="46"/>
        <v>0</v>
      </c>
      <c r="R591">
        <f t="shared" si="47"/>
        <v>0</v>
      </c>
    </row>
    <row r="592" spans="1:18" x14ac:dyDescent="0.2">
      <c r="A592" s="54">
        <v>212348</v>
      </c>
      <c r="B592" s="54" t="s">
        <v>507</v>
      </c>
      <c r="C592" s="55">
        <v>32</v>
      </c>
      <c r="D592" s="55">
        <v>5</v>
      </c>
      <c r="E592" s="55">
        <v>6</v>
      </c>
      <c r="F592" s="55">
        <v>20</v>
      </c>
      <c r="G592" s="55">
        <v>7</v>
      </c>
      <c r="H592" s="55">
        <v>0</v>
      </c>
      <c r="I592" s="55">
        <v>4</v>
      </c>
      <c r="J592" s="55">
        <v>1.4</v>
      </c>
      <c r="K592" s="55">
        <v>0</v>
      </c>
      <c r="L592" s="55">
        <v>25</v>
      </c>
      <c r="M592" s="54" t="str">
        <f t="shared" si="48"/>
        <v>6-12 Months</v>
      </c>
      <c r="N592" s="54" t="str">
        <f t="shared" si="49"/>
        <v>18-24 Months</v>
      </c>
      <c r="O592" s="54" t="s">
        <v>7</v>
      </c>
      <c r="P592" s="54">
        <f t="shared" si="45"/>
        <v>32</v>
      </c>
      <c r="Q592">
        <f t="shared" si="46"/>
        <v>32</v>
      </c>
      <c r="R592">
        <f t="shared" si="47"/>
        <v>32</v>
      </c>
    </row>
    <row r="593" spans="1:18" x14ac:dyDescent="0.2">
      <c r="A593" s="54">
        <v>305997</v>
      </c>
      <c r="B593" s="54" t="s">
        <v>179</v>
      </c>
      <c r="C593" s="55">
        <v>32</v>
      </c>
      <c r="D593" s="55">
        <v>27</v>
      </c>
      <c r="E593" s="55">
        <v>6</v>
      </c>
      <c r="F593" s="55">
        <v>193</v>
      </c>
      <c r="G593" s="55">
        <v>170</v>
      </c>
      <c r="H593" s="55">
        <v>0</v>
      </c>
      <c r="I593" s="55">
        <v>7.15</v>
      </c>
      <c r="J593" s="55">
        <v>6.3</v>
      </c>
      <c r="K593" s="55">
        <v>0</v>
      </c>
      <c r="L593" s="55">
        <v>8</v>
      </c>
      <c r="M593" s="54" t="str">
        <f t="shared" si="48"/>
        <v>6-12 Months</v>
      </c>
      <c r="N593" s="54" t="str">
        <f t="shared" si="49"/>
        <v>18-24 Months</v>
      </c>
      <c r="O593" s="54" t="s">
        <v>7</v>
      </c>
      <c r="P593" s="54">
        <f t="shared" si="45"/>
        <v>32</v>
      </c>
      <c r="Q593">
        <f t="shared" si="46"/>
        <v>32</v>
      </c>
      <c r="R593">
        <f t="shared" si="47"/>
        <v>32</v>
      </c>
    </row>
    <row r="594" spans="1:18" x14ac:dyDescent="0.2">
      <c r="A594" s="54">
        <v>119874</v>
      </c>
      <c r="B594" s="54" t="s">
        <v>1111</v>
      </c>
      <c r="C594" s="55">
        <v>35</v>
      </c>
      <c r="D594" s="55">
        <v>24</v>
      </c>
      <c r="E594" s="55">
        <v>6</v>
      </c>
      <c r="F594" s="55">
        <v>0</v>
      </c>
      <c r="G594" s="55">
        <v>0</v>
      </c>
      <c r="H594" s="55">
        <v>0</v>
      </c>
      <c r="I594" s="55">
        <v>0</v>
      </c>
      <c r="J594" s="55">
        <v>0</v>
      </c>
      <c r="K594" s="55">
        <v>0</v>
      </c>
      <c r="L594" s="55">
        <v>0</v>
      </c>
      <c r="M594" s="54" t="str">
        <f t="shared" si="48"/>
        <v>6-12 Months</v>
      </c>
      <c r="N594" s="54" t="str">
        <f t="shared" si="49"/>
        <v>18-24 Months</v>
      </c>
      <c r="O594" s="54" t="s">
        <v>7</v>
      </c>
      <c r="P594" s="54">
        <f t="shared" si="45"/>
        <v>0</v>
      </c>
      <c r="Q594">
        <f t="shared" si="46"/>
        <v>0</v>
      </c>
      <c r="R594">
        <f t="shared" si="47"/>
        <v>0</v>
      </c>
    </row>
    <row r="595" spans="1:18" x14ac:dyDescent="0.2">
      <c r="A595" s="54">
        <v>112780</v>
      </c>
      <c r="B595" s="54" t="s">
        <v>558</v>
      </c>
      <c r="C595" s="55">
        <v>37</v>
      </c>
      <c r="D595" s="55">
        <v>24</v>
      </c>
      <c r="E595" s="55">
        <v>6</v>
      </c>
      <c r="F595" s="55">
        <v>8</v>
      </c>
      <c r="G595" s="55">
        <v>8</v>
      </c>
      <c r="H595" s="55">
        <v>8</v>
      </c>
      <c r="I595" s="55">
        <v>0.33</v>
      </c>
      <c r="J595" s="55">
        <v>0.33</v>
      </c>
      <c r="K595" s="55">
        <v>0.33</v>
      </c>
      <c r="L595" s="55">
        <v>27</v>
      </c>
      <c r="M595" s="54" t="str">
        <f t="shared" si="48"/>
        <v>6-12 Months</v>
      </c>
      <c r="N595" s="54" t="str">
        <f t="shared" si="49"/>
        <v>18-24 Months</v>
      </c>
      <c r="O595" s="54" t="s">
        <v>7</v>
      </c>
      <c r="P595" s="54">
        <f t="shared" si="45"/>
        <v>0</v>
      </c>
      <c r="Q595">
        <f t="shared" si="46"/>
        <v>0</v>
      </c>
      <c r="R595">
        <f t="shared" si="47"/>
        <v>0</v>
      </c>
    </row>
    <row r="596" spans="1:18" x14ac:dyDescent="0.2">
      <c r="A596" s="54">
        <v>109353</v>
      </c>
      <c r="B596" s="54" t="s">
        <v>434</v>
      </c>
      <c r="C596" s="55">
        <v>40</v>
      </c>
      <c r="D596" s="55">
        <v>34</v>
      </c>
      <c r="E596" s="55">
        <v>6</v>
      </c>
      <c r="F596" s="55">
        <v>31</v>
      </c>
      <c r="G596" s="55">
        <v>31</v>
      </c>
      <c r="H596" s="55">
        <v>31</v>
      </c>
      <c r="I596" s="55">
        <v>0.91</v>
      </c>
      <c r="J596" s="55">
        <v>0.91</v>
      </c>
      <c r="K596" s="55">
        <v>0.91</v>
      </c>
      <c r="L596" s="55">
        <v>14</v>
      </c>
      <c r="M596" s="54" t="str">
        <f t="shared" si="48"/>
        <v>6-12 Months</v>
      </c>
      <c r="N596" s="54" t="str">
        <f t="shared" si="49"/>
        <v>18-24 Months</v>
      </c>
      <c r="O596" s="54" t="s">
        <v>7</v>
      </c>
      <c r="P596" s="54">
        <f t="shared" si="45"/>
        <v>40</v>
      </c>
      <c r="Q596">
        <f t="shared" si="46"/>
        <v>0</v>
      </c>
      <c r="R596">
        <f t="shared" si="47"/>
        <v>40</v>
      </c>
    </row>
    <row r="597" spans="1:18" x14ac:dyDescent="0.2">
      <c r="A597" s="54">
        <v>316129</v>
      </c>
      <c r="B597" s="54" t="s">
        <v>1137</v>
      </c>
      <c r="C597" s="55">
        <v>45</v>
      </c>
      <c r="D597" s="55">
        <v>70</v>
      </c>
      <c r="E597" s="55">
        <v>6</v>
      </c>
      <c r="F597" s="55">
        <v>16</v>
      </c>
      <c r="G597" s="55">
        <v>15</v>
      </c>
      <c r="H597" s="55">
        <v>15</v>
      </c>
      <c r="I597" s="55">
        <v>0.23</v>
      </c>
      <c r="J597" s="55">
        <v>0.21</v>
      </c>
      <c r="K597" s="55">
        <v>0.21</v>
      </c>
      <c r="L597" s="55">
        <v>21</v>
      </c>
      <c r="M597" s="54" t="str">
        <f t="shared" si="48"/>
        <v>6-12 Months</v>
      </c>
      <c r="N597" s="54" t="str">
        <f t="shared" si="49"/>
        <v>18-24 Months</v>
      </c>
      <c r="O597" s="54" t="s">
        <v>7</v>
      </c>
      <c r="P597" s="54">
        <f t="shared" si="45"/>
        <v>0</v>
      </c>
      <c r="Q597">
        <f t="shared" si="46"/>
        <v>0</v>
      </c>
      <c r="R597">
        <f t="shared" si="47"/>
        <v>0</v>
      </c>
    </row>
    <row r="598" spans="1:18" x14ac:dyDescent="0.2">
      <c r="A598" s="54">
        <v>106139</v>
      </c>
      <c r="B598" s="54" t="s">
        <v>655</v>
      </c>
      <c r="C598" s="55">
        <v>50</v>
      </c>
      <c r="D598" s="55">
        <v>92</v>
      </c>
      <c r="E598" s="55">
        <v>6</v>
      </c>
      <c r="F598" s="55">
        <v>0</v>
      </c>
      <c r="G598" s="55">
        <v>0</v>
      </c>
      <c r="H598" s="55">
        <v>0</v>
      </c>
      <c r="I598" s="55">
        <v>0</v>
      </c>
      <c r="J598" s="55">
        <v>0</v>
      </c>
      <c r="K598" s="55">
        <v>0</v>
      </c>
      <c r="L598" s="55">
        <v>0</v>
      </c>
      <c r="M598" s="54" t="str">
        <f t="shared" si="48"/>
        <v>6-12 Months</v>
      </c>
      <c r="N598" s="54" t="str">
        <f t="shared" si="49"/>
        <v>18-24 Months</v>
      </c>
      <c r="O598" s="54" t="s">
        <v>7</v>
      </c>
      <c r="P598" s="54">
        <f t="shared" si="45"/>
        <v>0</v>
      </c>
      <c r="Q598">
        <f t="shared" si="46"/>
        <v>0</v>
      </c>
      <c r="R598">
        <f t="shared" si="47"/>
        <v>0</v>
      </c>
    </row>
    <row r="599" spans="1:18" x14ac:dyDescent="0.2">
      <c r="A599" s="54">
        <v>114232</v>
      </c>
      <c r="B599" s="54" t="s">
        <v>550</v>
      </c>
      <c r="C599" s="55">
        <v>57</v>
      </c>
      <c r="D599" s="55">
        <v>12</v>
      </c>
      <c r="E599" s="55">
        <v>6</v>
      </c>
      <c r="F599" s="55">
        <v>12</v>
      </c>
      <c r="G599" s="55">
        <v>12</v>
      </c>
      <c r="H599" s="55">
        <v>12</v>
      </c>
      <c r="I599" s="55">
        <v>1</v>
      </c>
      <c r="J599" s="55">
        <v>1</v>
      </c>
      <c r="K599" s="55">
        <v>1</v>
      </c>
      <c r="L599" s="55">
        <v>0</v>
      </c>
      <c r="M599" s="54" t="str">
        <f t="shared" si="48"/>
        <v>6-12 Months</v>
      </c>
      <c r="N599" s="54" t="str">
        <f t="shared" si="49"/>
        <v>18-24 Months</v>
      </c>
      <c r="O599" s="54" t="s">
        <v>7</v>
      </c>
      <c r="P599" s="54">
        <f t="shared" si="45"/>
        <v>57</v>
      </c>
      <c r="Q599">
        <f t="shared" si="46"/>
        <v>0</v>
      </c>
      <c r="R599">
        <f t="shared" si="47"/>
        <v>57</v>
      </c>
    </row>
    <row r="600" spans="1:18" x14ac:dyDescent="0.2">
      <c r="A600" s="54">
        <v>183987</v>
      </c>
      <c r="B600" s="54" t="s">
        <v>472</v>
      </c>
      <c r="C600" s="55">
        <v>65</v>
      </c>
      <c r="D600" s="55">
        <v>27</v>
      </c>
      <c r="E600" s="55">
        <v>6</v>
      </c>
      <c r="F600" s="55">
        <v>28</v>
      </c>
      <c r="G600" s="55">
        <v>28</v>
      </c>
      <c r="H600" s="55">
        <v>28</v>
      </c>
      <c r="I600" s="55">
        <v>1.04</v>
      </c>
      <c r="J600" s="55">
        <v>1.04</v>
      </c>
      <c r="K600" s="55">
        <v>1.04</v>
      </c>
      <c r="L600" s="55">
        <v>15</v>
      </c>
      <c r="M600" s="54" t="str">
        <f t="shared" si="48"/>
        <v>6-12 Months</v>
      </c>
      <c r="N600" s="54" t="str">
        <f t="shared" si="49"/>
        <v>18-24 Months</v>
      </c>
      <c r="O600" s="54" t="s">
        <v>7</v>
      </c>
      <c r="P600" s="54">
        <f t="shared" si="45"/>
        <v>65</v>
      </c>
      <c r="Q600">
        <f t="shared" si="46"/>
        <v>0</v>
      </c>
      <c r="R600">
        <f t="shared" si="47"/>
        <v>65</v>
      </c>
    </row>
    <row r="601" spans="1:18" x14ac:dyDescent="0.2">
      <c r="A601" s="54">
        <v>116353</v>
      </c>
      <c r="B601" s="54" t="s">
        <v>672</v>
      </c>
      <c r="C601" s="55">
        <v>72</v>
      </c>
      <c r="D601" s="55">
        <v>36</v>
      </c>
      <c r="E601" s="55">
        <v>6</v>
      </c>
      <c r="F601" s="55">
        <v>0</v>
      </c>
      <c r="G601" s="55">
        <v>0</v>
      </c>
      <c r="H601" s="55">
        <v>0</v>
      </c>
      <c r="I601" s="55">
        <v>0</v>
      </c>
      <c r="J601" s="55">
        <v>0</v>
      </c>
      <c r="K601" s="55">
        <v>0</v>
      </c>
      <c r="L601" s="55">
        <v>0</v>
      </c>
      <c r="M601" s="54" t="str">
        <f t="shared" si="48"/>
        <v>6-12 Months</v>
      </c>
      <c r="N601" s="54" t="str">
        <f t="shared" si="49"/>
        <v>18-24 Months</v>
      </c>
      <c r="O601" s="54" t="s">
        <v>7</v>
      </c>
      <c r="P601" s="54">
        <f t="shared" si="45"/>
        <v>0</v>
      </c>
      <c r="Q601">
        <f t="shared" si="46"/>
        <v>0</v>
      </c>
      <c r="R601">
        <f t="shared" si="47"/>
        <v>0</v>
      </c>
    </row>
    <row r="602" spans="1:18" x14ac:dyDescent="0.2">
      <c r="A602" s="54">
        <v>508779</v>
      </c>
      <c r="B602" s="54" t="s">
        <v>295</v>
      </c>
      <c r="C602" s="55">
        <v>79</v>
      </c>
      <c r="D602" s="55">
        <v>106</v>
      </c>
      <c r="E602" s="55">
        <v>6</v>
      </c>
      <c r="F602" s="55">
        <v>213</v>
      </c>
      <c r="G602" s="55">
        <v>213</v>
      </c>
      <c r="H602" s="55">
        <v>195</v>
      </c>
      <c r="I602" s="55">
        <v>2.0099999999999998</v>
      </c>
      <c r="J602" s="55">
        <v>2.0099999999999998</v>
      </c>
      <c r="K602" s="55">
        <v>1.84</v>
      </c>
      <c r="L602" s="55">
        <v>96</v>
      </c>
      <c r="M602" s="54" t="str">
        <f t="shared" si="48"/>
        <v>6-12 Months</v>
      </c>
      <c r="N602" s="54" t="str">
        <f t="shared" si="49"/>
        <v>18-24 Months</v>
      </c>
      <c r="O602" s="54" t="s">
        <v>6</v>
      </c>
      <c r="P602" s="54">
        <f t="shared" si="45"/>
        <v>79</v>
      </c>
      <c r="Q602">
        <f t="shared" si="46"/>
        <v>79</v>
      </c>
      <c r="R602">
        <f t="shared" si="47"/>
        <v>79</v>
      </c>
    </row>
    <row r="603" spans="1:18" x14ac:dyDescent="0.2">
      <c r="A603" s="54">
        <v>111178</v>
      </c>
      <c r="B603" s="54" t="s">
        <v>80</v>
      </c>
      <c r="C603" s="55">
        <v>105</v>
      </c>
      <c r="D603" s="55">
        <v>145</v>
      </c>
      <c r="E603" s="55">
        <v>6</v>
      </c>
      <c r="F603" s="55">
        <v>1154</v>
      </c>
      <c r="G603" s="55">
        <v>1154</v>
      </c>
      <c r="H603" s="55">
        <v>292</v>
      </c>
      <c r="I603" s="55">
        <v>7.96</v>
      </c>
      <c r="J603" s="55">
        <v>7.96</v>
      </c>
      <c r="K603" s="55">
        <v>2.0099999999999998</v>
      </c>
      <c r="L603" s="55">
        <v>10</v>
      </c>
      <c r="M603" s="54" t="str">
        <f t="shared" si="48"/>
        <v>6-12 Months</v>
      </c>
      <c r="N603" s="54" t="str">
        <f t="shared" si="49"/>
        <v>18-24 Months</v>
      </c>
      <c r="O603" s="54" t="s">
        <v>6</v>
      </c>
      <c r="P603" s="54">
        <f t="shared" si="45"/>
        <v>105</v>
      </c>
      <c r="Q603">
        <f t="shared" si="46"/>
        <v>105</v>
      </c>
      <c r="R603">
        <f t="shared" si="47"/>
        <v>105</v>
      </c>
    </row>
    <row r="604" spans="1:18" x14ac:dyDescent="0.2">
      <c r="A604" s="54">
        <v>106711</v>
      </c>
      <c r="B604" s="54" t="s">
        <v>126</v>
      </c>
      <c r="C604" s="55">
        <v>171</v>
      </c>
      <c r="D604" s="55">
        <v>135</v>
      </c>
      <c r="E604" s="55">
        <v>6</v>
      </c>
      <c r="F604" s="55">
        <v>525</v>
      </c>
      <c r="G604" s="55">
        <v>523</v>
      </c>
      <c r="H604" s="55">
        <v>65</v>
      </c>
      <c r="I604" s="55">
        <v>1.94</v>
      </c>
      <c r="J604" s="55">
        <v>1.94</v>
      </c>
      <c r="K604" s="55">
        <v>0.24</v>
      </c>
      <c r="L604" s="55">
        <v>4</v>
      </c>
      <c r="M604" s="54" t="str">
        <f t="shared" si="48"/>
        <v>6-12 Months</v>
      </c>
      <c r="N604" s="54" t="str">
        <f t="shared" si="49"/>
        <v>18-24 Months</v>
      </c>
      <c r="O604" s="54" t="s">
        <v>6</v>
      </c>
      <c r="P604" s="54">
        <f t="shared" si="45"/>
        <v>171</v>
      </c>
      <c r="Q604">
        <f t="shared" si="46"/>
        <v>0</v>
      </c>
      <c r="R604">
        <f t="shared" si="47"/>
        <v>171</v>
      </c>
    </row>
    <row r="605" spans="1:18" x14ac:dyDescent="0.2">
      <c r="A605" s="54">
        <v>157441</v>
      </c>
      <c r="B605" s="54" t="s">
        <v>500</v>
      </c>
      <c r="C605" s="55">
        <v>350</v>
      </c>
      <c r="D605" s="55">
        <v>250</v>
      </c>
      <c r="E605" s="55">
        <v>6</v>
      </c>
      <c r="F605" s="55">
        <v>27</v>
      </c>
      <c r="G605" s="55">
        <v>27</v>
      </c>
      <c r="H605" s="55">
        <v>27</v>
      </c>
      <c r="I605" s="55">
        <v>0.11</v>
      </c>
      <c r="J605" s="55">
        <v>0.11</v>
      </c>
      <c r="K605" s="55">
        <v>0.11</v>
      </c>
      <c r="L605" s="55">
        <v>64</v>
      </c>
      <c r="M605" s="54" t="str">
        <f t="shared" si="48"/>
        <v>6-12 Months</v>
      </c>
      <c r="N605" s="54" t="str">
        <f t="shared" si="49"/>
        <v>18-24 Months</v>
      </c>
      <c r="O605" s="54" t="s">
        <v>6</v>
      </c>
      <c r="P605" s="54">
        <f t="shared" si="45"/>
        <v>0</v>
      </c>
      <c r="Q605">
        <f t="shared" si="46"/>
        <v>0</v>
      </c>
      <c r="R605">
        <f t="shared" si="47"/>
        <v>0</v>
      </c>
    </row>
    <row r="606" spans="1:18" x14ac:dyDescent="0.2">
      <c r="A606" s="54">
        <v>110594</v>
      </c>
      <c r="B606" s="54" t="s">
        <v>243</v>
      </c>
      <c r="C606" s="55">
        <v>399</v>
      </c>
      <c r="D606" s="55">
        <v>385</v>
      </c>
      <c r="E606" s="55">
        <v>6</v>
      </c>
      <c r="F606" s="55">
        <v>195</v>
      </c>
      <c r="G606" s="55">
        <v>195</v>
      </c>
      <c r="H606" s="55">
        <v>150</v>
      </c>
      <c r="I606" s="55">
        <v>0.51</v>
      </c>
      <c r="J606" s="55">
        <v>0.51</v>
      </c>
      <c r="K606" s="55">
        <v>0.39</v>
      </c>
      <c r="L606" s="55">
        <v>310</v>
      </c>
      <c r="M606" s="54" t="str">
        <f t="shared" si="48"/>
        <v>6-12 Months</v>
      </c>
      <c r="N606" s="54" t="str">
        <f t="shared" si="49"/>
        <v>18-24 Months</v>
      </c>
      <c r="O606" s="54" t="s">
        <v>6</v>
      </c>
      <c r="P606" s="54">
        <f t="shared" si="45"/>
        <v>0</v>
      </c>
      <c r="Q606">
        <f t="shared" si="46"/>
        <v>0</v>
      </c>
      <c r="R606">
        <f t="shared" si="47"/>
        <v>0</v>
      </c>
    </row>
    <row r="607" spans="1:18" x14ac:dyDescent="0.2">
      <c r="A607" s="54">
        <v>108467</v>
      </c>
      <c r="B607" s="54" t="s">
        <v>71</v>
      </c>
      <c r="C607" s="55">
        <v>464</v>
      </c>
      <c r="D607" s="55">
        <v>488</v>
      </c>
      <c r="E607" s="55">
        <v>6</v>
      </c>
      <c r="F607" s="55">
        <v>2793</v>
      </c>
      <c r="G607" s="55">
        <v>2694</v>
      </c>
      <c r="H607" s="55">
        <v>2238</v>
      </c>
      <c r="I607" s="55">
        <v>5.72</v>
      </c>
      <c r="J607" s="55">
        <v>5.52</v>
      </c>
      <c r="K607" s="55">
        <v>4.59</v>
      </c>
      <c r="L607" s="55">
        <v>76</v>
      </c>
      <c r="M607" s="54" t="str">
        <f t="shared" si="48"/>
        <v>6-12 Months</v>
      </c>
      <c r="N607" s="54" t="str">
        <f t="shared" si="49"/>
        <v>18-24 Months</v>
      </c>
      <c r="O607" s="54" t="s">
        <v>6</v>
      </c>
      <c r="P607" s="54">
        <f t="shared" si="45"/>
        <v>464</v>
      </c>
      <c r="Q607">
        <f t="shared" si="46"/>
        <v>464</v>
      </c>
      <c r="R607">
        <f t="shared" si="47"/>
        <v>464</v>
      </c>
    </row>
    <row r="608" spans="1:18" x14ac:dyDescent="0.2">
      <c r="A608" s="54">
        <v>108658</v>
      </c>
      <c r="B608" s="54" t="s">
        <v>92</v>
      </c>
      <c r="C608" s="55">
        <v>752</v>
      </c>
      <c r="D608" s="55">
        <v>763</v>
      </c>
      <c r="E608" s="55">
        <v>6</v>
      </c>
      <c r="F608" s="55">
        <v>2499</v>
      </c>
      <c r="G608" s="55">
        <v>2358</v>
      </c>
      <c r="H608" s="55">
        <v>542</v>
      </c>
      <c r="I608" s="55">
        <v>3.28</v>
      </c>
      <c r="J608" s="55">
        <v>3.09</v>
      </c>
      <c r="K608" s="55">
        <v>0.71</v>
      </c>
      <c r="L608" s="55">
        <v>52</v>
      </c>
      <c r="M608" s="54" t="str">
        <f t="shared" si="48"/>
        <v>6-12 Months</v>
      </c>
      <c r="N608" s="54" t="str">
        <f t="shared" si="49"/>
        <v>18-24 Months</v>
      </c>
      <c r="O608" s="54" t="s">
        <v>5</v>
      </c>
      <c r="P608" s="54">
        <f t="shared" si="45"/>
        <v>752</v>
      </c>
      <c r="Q608">
        <f t="shared" si="46"/>
        <v>752</v>
      </c>
      <c r="R608">
        <f t="shared" si="47"/>
        <v>752</v>
      </c>
    </row>
    <row r="609" spans="1:18" x14ac:dyDescent="0.2">
      <c r="A609" s="54">
        <v>107741</v>
      </c>
      <c r="B609" s="54" t="s">
        <v>142</v>
      </c>
      <c r="C609" s="55">
        <v>1651</v>
      </c>
      <c r="D609" s="55">
        <v>1466</v>
      </c>
      <c r="E609" s="55">
        <v>6</v>
      </c>
      <c r="F609" s="55">
        <v>1514</v>
      </c>
      <c r="G609" s="55">
        <v>1514</v>
      </c>
      <c r="H609" s="55">
        <v>517</v>
      </c>
      <c r="I609" s="55">
        <v>1.03</v>
      </c>
      <c r="J609" s="55">
        <v>1.03</v>
      </c>
      <c r="K609" s="55">
        <v>0.35</v>
      </c>
      <c r="L609" s="55">
        <v>168</v>
      </c>
      <c r="M609" s="54" t="str">
        <f t="shared" si="48"/>
        <v>6-12 Months</v>
      </c>
      <c r="N609" s="54" t="str">
        <f t="shared" si="49"/>
        <v>18-24 Months</v>
      </c>
      <c r="O609" s="54" t="s">
        <v>5</v>
      </c>
      <c r="P609" s="54">
        <f t="shared" si="45"/>
        <v>1651</v>
      </c>
      <c r="Q609">
        <f t="shared" si="46"/>
        <v>1651</v>
      </c>
      <c r="R609">
        <f t="shared" si="47"/>
        <v>1651</v>
      </c>
    </row>
    <row r="610" spans="1:18" x14ac:dyDescent="0.2">
      <c r="A610" s="54">
        <v>319698</v>
      </c>
      <c r="B610" s="54" t="s">
        <v>583</v>
      </c>
      <c r="C610" s="55">
        <v>2037</v>
      </c>
      <c r="D610" s="55">
        <v>400</v>
      </c>
      <c r="E610" s="55">
        <v>6</v>
      </c>
      <c r="F610" s="55">
        <v>100</v>
      </c>
      <c r="G610" s="55">
        <v>5</v>
      </c>
      <c r="H610" s="55">
        <v>5</v>
      </c>
      <c r="I610" s="55">
        <v>0.25</v>
      </c>
      <c r="J610" s="55">
        <v>0.01</v>
      </c>
      <c r="K610" s="55">
        <v>0.01</v>
      </c>
      <c r="L610" s="55">
        <v>1</v>
      </c>
      <c r="M610" s="54" t="str">
        <f t="shared" si="48"/>
        <v>6-12 Months</v>
      </c>
      <c r="N610" s="54" t="str">
        <f t="shared" si="49"/>
        <v>18-24 Months</v>
      </c>
      <c r="O610" s="54" t="s">
        <v>6</v>
      </c>
      <c r="P610" s="54">
        <f t="shared" si="45"/>
        <v>0</v>
      </c>
      <c r="Q610">
        <f t="shared" si="46"/>
        <v>0</v>
      </c>
      <c r="R610">
        <f t="shared" si="47"/>
        <v>0</v>
      </c>
    </row>
    <row r="611" spans="1:18" x14ac:dyDescent="0.2">
      <c r="A611" s="54">
        <v>497705</v>
      </c>
      <c r="B611" s="54" t="s">
        <v>171</v>
      </c>
      <c r="C611" s="55">
        <v>5115</v>
      </c>
      <c r="D611" s="55">
        <v>917</v>
      </c>
      <c r="E611" s="55">
        <v>6</v>
      </c>
      <c r="F611" s="55">
        <v>728</v>
      </c>
      <c r="G611" s="55">
        <v>284</v>
      </c>
      <c r="H611" s="55">
        <v>197</v>
      </c>
      <c r="I611" s="55">
        <v>0.4</v>
      </c>
      <c r="J611" s="55">
        <v>0.15</v>
      </c>
      <c r="K611" s="55">
        <v>0.11</v>
      </c>
      <c r="L611" s="55">
        <v>4</v>
      </c>
      <c r="M611" s="54" t="str">
        <f t="shared" si="48"/>
        <v>6-12 Months</v>
      </c>
      <c r="N611" s="54" t="str">
        <f t="shared" si="49"/>
        <v>18-24 Months</v>
      </c>
      <c r="O611" s="54" t="s">
        <v>5</v>
      </c>
      <c r="P611" s="54">
        <f t="shared" si="45"/>
        <v>0</v>
      </c>
      <c r="Q611">
        <f t="shared" si="46"/>
        <v>0</v>
      </c>
      <c r="R611">
        <f t="shared" si="47"/>
        <v>0</v>
      </c>
    </row>
    <row r="612" spans="1:18" x14ac:dyDescent="0.2">
      <c r="A612" s="54" t="s">
        <v>619</v>
      </c>
      <c r="B612" s="54" t="s">
        <v>618</v>
      </c>
      <c r="C612" s="108">
        <v>0</v>
      </c>
      <c r="D612" s="55">
        <v>100</v>
      </c>
      <c r="E612" s="55">
        <v>6</v>
      </c>
      <c r="F612" s="55">
        <v>0</v>
      </c>
      <c r="G612" s="55">
        <v>0</v>
      </c>
      <c r="H612" s="55">
        <v>0</v>
      </c>
      <c r="I612" s="55">
        <v>0</v>
      </c>
      <c r="J612" s="55">
        <v>0</v>
      </c>
      <c r="K612" s="55">
        <v>0</v>
      </c>
      <c r="L612" s="55">
        <v>0</v>
      </c>
      <c r="M612" s="54" t="str">
        <f t="shared" si="48"/>
        <v>6-12 Months</v>
      </c>
      <c r="N612" s="54" t="str">
        <f t="shared" si="49"/>
        <v>18-24 Months</v>
      </c>
      <c r="O612" s="54" t="s">
        <v>6</v>
      </c>
      <c r="P612" s="54">
        <f t="shared" si="45"/>
        <v>0</v>
      </c>
      <c r="Q612">
        <f t="shared" si="46"/>
        <v>0</v>
      </c>
      <c r="R612">
        <f t="shared" si="47"/>
        <v>0</v>
      </c>
    </row>
    <row r="613" spans="1:18" x14ac:dyDescent="0.2">
      <c r="A613" s="54">
        <v>107448</v>
      </c>
      <c r="B613" s="54" t="s">
        <v>1312</v>
      </c>
      <c r="C613" s="55">
        <v>0</v>
      </c>
      <c r="D613" s="55">
        <v>32</v>
      </c>
      <c r="E613" s="55">
        <v>5</v>
      </c>
      <c r="F613" s="55">
        <v>471</v>
      </c>
      <c r="G613" s="55">
        <v>471</v>
      </c>
      <c r="H613" s="55">
        <v>430</v>
      </c>
      <c r="I613" s="55">
        <v>14.72</v>
      </c>
      <c r="J613" s="55">
        <v>14.72</v>
      </c>
      <c r="K613" s="55">
        <v>13.44</v>
      </c>
      <c r="L613" s="55">
        <v>203</v>
      </c>
      <c r="M613" s="54" t="str">
        <f t="shared" si="48"/>
        <v>0-6 Months</v>
      </c>
      <c r="N613" s="54" t="str">
        <f t="shared" si="49"/>
        <v>12-18 Months</v>
      </c>
      <c r="O613" s="54" t="s">
        <v>7</v>
      </c>
      <c r="P613" s="54">
        <f t="shared" si="45"/>
        <v>0</v>
      </c>
      <c r="Q613">
        <f t="shared" si="46"/>
        <v>0</v>
      </c>
      <c r="R613">
        <f t="shared" si="47"/>
        <v>0</v>
      </c>
    </row>
    <row r="614" spans="1:18" x14ac:dyDescent="0.2">
      <c r="A614" s="54">
        <v>205859</v>
      </c>
      <c r="B614" s="54" t="s">
        <v>1313</v>
      </c>
      <c r="C614" s="55">
        <v>0</v>
      </c>
      <c r="D614" s="55">
        <v>30</v>
      </c>
      <c r="E614" s="55">
        <v>5</v>
      </c>
      <c r="F614" s="55">
        <v>4</v>
      </c>
      <c r="G614" s="55">
        <v>4</v>
      </c>
      <c r="H614" s="55">
        <v>0</v>
      </c>
      <c r="I614" s="55">
        <v>0.13</v>
      </c>
      <c r="J614" s="55">
        <v>0.13</v>
      </c>
      <c r="K614" s="55">
        <v>0</v>
      </c>
      <c r="L614" s="55">
        <v>0</v>
      </c>
      <c r="M614" s="54" t="str">
        <f t="shared" si="48"/>
        <v>0-6 Months</v>
      </c>
      <c r="N614" s="54" t="str">
        <f t="shared" si="49"/>
        <v>12-18 Months</v>
      </c>
      <c r="O614" s="54" t="s">
        <v>7</v>
      </c>
      <c r="P614" s="54">
        <f t="shared" si="45"/>
        <v>0</v>
      </c>
      <c r="Q614">
        <f t="shared" si="46"/>
        <v>0</v>
      </c>
      <c r="R614">
        <f t="shared" si="47"/>
        <v>0</v>
      </c>
    </row>
    <row r="615" spans="1:18" x14ac:dyDescent="0.2">
      <c r="A615" s="54">
        <v>110284</v>
      </c>
      <c r="B615" s="54" t="s">
        <v>710</v>
      </c>
      <c r="C615" s="55">
        <v>1</v>
      </c>
      <c r="D615" s="55">
        <v>5</v>
      </c>
      <c r="E615" s="55">
        <v>5</v>
      </c>
      <c r="F615" s="55">
        <v>37</v>
      </c>
      <c r="G615" s="55">
        <v>37</v>
      </c>
      <c r="H615" s="55">
        <v>19</v>
      </c>
      <c r="I615" s="55">
        <v>7.4</v>
      </c>
      <c r="J615" s="55">
        <v>7.4</v>
      </c>
      <c r="K615" s="55">
        <v>3.8</v>
      </c>
      <c r="L615" s="55">
        <v>17</v>
      </c>
      <c r="M615" s="54" t="str">
        <f t="shared" si="48"/>
        <v>0-6 Months</v>
      </c>
      <c r="N615" s="54" t="str">
        <f t="shared" si="49"/>
        <v>12-18 Months</v>
      </c>
      <c r="O615" s="54" t="s">
        <v>7</v>
      </c>
      <c r="P615" s="54">
        <f t="shared" si="45"/>
        <v>1</v>
      </c>
      <c r="Q615">
        <f t="shared" si="46"/>
        <v>1</v>
      </c>
      <c r="R615">
        <f t="shared" si="47"/>
        <v>1</v>
      </c>
    </row>
    <row r="616" spans="1:18" x14ac:dyDescent="0.2">
      <c r="A616" s="54">
        <v>119244</v>
      </c>
      <c r="B616" s="54" t="s">
        <v>708</v>
      </c>
      <c r="C616" s="55">
        <v>1</v>
      </c>
      <c r="D616" s="55">
        <v>18</v>
      </c>
      <c r="E616" s="55">
        <v>5</v>
      </c>
      <c r="F616" s="55">
        <v>22</v>
      </c>
      <c r="G616" s="55">
        <v>22</v>
      </c>
      <c r="H616" s="55">
        <v>0</v>
      </c>
      <c r="I616" s="55">
        <v>1.22</v>
      </c>
      <c r="J616" s="55">
        <v>1.22</v>
      </c>
      <c r="K616" s="55">
        <v>0</v>
      </c>
      <c r="L616" s="55">
        <v>10</v>
      </c>
      <c r="M616" s="54" t="str">
        <f t="shared" si="48"/>
        <v>0-6 Months</v>
      </c>
      <c r="N616" s="54" t="str">
        <f t="shared" si="49"/>
        <v>12-18 Months</v>
      </c>
      <c r="O616" s="54" t="s">
        <v>7</v>
      </c>
      <c r="P616" s="54">
        <f t="shared" si="45"/>
        <v>1</v>
      </c>
      <c r="Q616">
        <f t="shared" si="46"/>
        <v>0</v>
      </c>
      <c r="R616">
        <f t="shared" si="47"/>
        <v>1</v>
      </c>
    </row>
    <row r="617" spans="1:18" x14ac:dyDescent="0.2">
      <c r="A617" s="54">
        <v>328345</v>
      </c>
      <c r="B617" s="54" t="s">
        <v>707</v>
      </c>
      <c r="C617" s="55">
        <v>1</v>
      </c>
      <c r="D617" s="55">
        <v>1</v>
      </c>
      <c r="E617" s="55">
        <v>5</v>
      </c>
      <c r="F617" s="55">
        <v>0</v>
      </c>
      <c r="G617" s="55">
        <v>0</v>
      </c>
      <c r="H617" s="55">
        <v>0</v>
      </c>
      <c r="I617" s="55">
        <v>0</v>
      </c>
      <c r="J617" s="55">
        <v>0</v>
      </c>
      <c r="K617" s="55">
        <v>0</v>
      </c>
      <c r="L617" s="55">
        <v>0</v>
      </c>
      <c r="M617" s="54" t="str">
        <f t="shared" si="48"/>
        <v>0-6 Months</v>
      </c>
      <c r="N617" s="54" t="str">
        <f t="shared" si="49"/>
        <v>12-18 Months</v>
      </c>
      <c r="O617" s="54" t="s">
        <v>7</v>
      </c>
      <c r="P617" s="54">
        <f t="shared" si="45"/>
        <v>0</v>
      </c>
      <c r="Q617">
        <f t="shared" si="46"/>
        <v>0</v>
      </c>
      <c r="R617">
        <f t="shared" si="47"/>
        <v>0</v>
      </c>
    </row>
    <row r="618" spans="1:18" x14ac:dyDescent="0.2">
      <c r="A618" s="54">
        <v>493704</v>
      </c>
      <c r="B618" s="54" t="s">
        <v>709</v>
      </c>
      <c r="C618" s="55">
        <v>1</v>
      </c>
      <c r="D618" s="55">
        <v>1</v>
      </c>
      <c r="E618" s="55">
        <v>5</v>
      </c>
      <c r="F618" s="55">
        <v>3</v>
      </c>
      <c r="G618" s="55">
        <v>3</v>
      </c>
      <c r="H618" s="55">
        <v>0</v>
      </c>
      <c r="I618" s="55">
        <v>3</v>
      </c>
      <c r="J618" s="55">
        <v>3</v>
      </c>
      <c r="K618" s="55">
        <v>0</v>
      </c>
      <c r="L618" s="55">
        <v>0</v>
      </c>
      <c r="M618" s="54" t="str">
        <f t="shared" si="48"/>
        <v>0-6 Months</v>
      </c>
      <c r="N618" s="54" t="str">
        <f t="shared" si="49"/>
        <v>12-18 Months</v>
      </c>
      <c r="O618" s="54" t="s">
        <v>7</v>
      </c>
      <c r="P618" s="54">
        <f t="shared" si="45"/>
        <v>1</v>
      </c>
      <c r="Q618">
        <f t="shared" si="46"/>
        <v>1</v>
      </c>
      <c r="R618">
        <f t="shared" si="47"/>
        <v>1</v>
      </c>
    </row>
    <row r="619" spans="1:18" x14ac:dyDescent="0.2">
      <c r="A619" s="54">
        <v>458584</v>
      </c>
      <c r="B619" s="54" t="s">
        <v>736</v>
      </c>
      <c r="C619" s="55">
        <v>2</v>
      </c>
      <c r="D619" s="55">
        <v>17</v>
      </c>
      <c r="E619" s="55">
        <v>5</v>
      </c>
      <c r="F619" s="55">
        <v>14</v>
      </c>
      <c r="G619" s="55">
        <v>14</v>
      </c>
      <c r="H619" s="55">
        <v>2</v>
      </c>
      <c r="I619" s="55">
        <v>0.82</v>
      </c>
      <c r="J619" s="55">
        <v>0.82</v>
      </c>
      <c r="K619" s="55">
        <v>0.12</v>
      </c>
      <c r="L619" s="55">
        <v>26</v>
      </c>
      <c r="M619" s="54" t="str">
        <f t="shared" si="48"/>
        <v>0-6 Months</v>
      </c>
      <c r="N619" s="54" t="str">
        <f t="shared" si="49"/>
        <v>12-18 Months</v>
      </c>
      <c r="O619" s="54" t="s">
        <v>7</v>
      </c>
      <c r="P619" s="54">
        <f t="shared" si="45"/>
        <v>2</v>
      </c>
      <c r="Q619">
        <f t="shared" si="46"/>
        <v>0</v>
      </c>
      <c r="R619">
        <f t="shared" si="47"/>
        <v>2</v>
      </c>
    </row>
    <row r="620" spans="1:18" x14ac:dyDescent="0.2">
      <c r="A620" s="54">
        <v>509966</v>
      </c>
      <c r="B620" s="54" t="s">
        <v>735</v>
      </c>
      <c r="C620" s="55">
        <v>2</v>
      </c>
      <c r="D620" s="55">
        <v>2</v>
      </c>
      <c r="E620" s="55">
        <v>5</v>
      </c>
      <c r="F620" s="55">
        <v>0</v>
      </c>
      <c r="G620" s="55">
        <v>0</v>
      </c>
      <c r="H620" s="55">
        <v>0</v>
      </c>
      <c r="I620" s="55">
        <v>0</v>
      </c>
      <c r="J620" s="55">
        <v>0</v>
      </c>
      <c r="K620" s="55">
        <v>0</v>
      </c>
      <c r="L620" s="55">
        <v>0</v>
      </c>
      <c r="M620" s="54" t="str">
        <f t="shared" si="48"/>
        <v>0-6 Months</v>
      </c>
      <c r="N620" s="54" t="str">
        <f t="shared" si="49"/>
        <v>12-18 Months</v>
      </c>
      <c r="O620" s="54" t="s">
        <v>7</v>
      </c>
      <c r="P620" s="54">
        <f t="shared" si="45"/>
        <v>0</v>
      </c>
      <c r="Q620">
        <f t="shared" si="46"/>
        <v>0</v>
      </c>
      <c r="R620">
        <f t="shared" si="47"/>
        <v>0</v>
      </c>
    </row>
    <row r="621" spans="1:18" x14ac:dyDescent="0.2">
      <c r="A621" s="54">
        <v>584056</v>
      </c>
      <c r="B621" s="54" t="s">
        <v>734</v>
      </c>
      <c r="C621" s="55">
        <v>2</v>
      </c>
      <c r="D621" s="55">
        <v>2</v>
      </c>
      <c r="E621" s="55">
        <v>5</v>
      </c>
      <c r="F621" s="55">
        <v>6</v>
      </c>
      <c r="G621" s="55">
        <v>6</v>
      </c>
      <c r="H621" s="55">
        <v>0</v>
      </c>
      <c r="I621" s="55">
        <v>3</v>
      </c>
      <c r="J621" s="55">
        <v>3</v>
      </c>
      <c r="K621" s="55">
        <v>0</v>
      </c>
      <c r="L621" s="55">
        <v>0</v>
      </c>
      <c r="M621" s="54" t="str">
        <f t="shared" si="48"/>
        <v>0-6 Months</v>
      </c>
      <c r="N621" s="54" t="str">
        <f t="shared" si="49"/>
        <v>12-18 Months</v>
      </c>
      <c r="O621" s="54" t="s">
        <v>7</v>
      </c>
      <c r="P621" s="54">
        <f t="shared" si="45"/>
        <v>2</v>
      </c>
      <c r="Q621">
        <f t="shared" si="46"/>
        <v>2</v>
      </c>
      <c r="R621">
        <f t="shared" si="47"/>
        <v>2</v>
      </c>
    </row>
    <row r="622" spans="1:18" x14ac:dyDescent="0.2">
      <c r="A622" s="54">
        <v>454239</v>
      </c>
      <c r="B622" s="54" t="s">
        <v>759</v>
      </c>
      <c r="C622" s="55">
        <v>3</v>
      </c>
      <c r="D622" s="55">
        <v>5</v>
      </c>
      <c r="E622" s="55">
        <v>5</v>
      </c>
      <c r="F622" s="55">
        <v>55</v>
      </c>
      <c r="G622" s="55">
        <v>55</v>
      </c>
      <c r="H622" s="55">
        <v>4</v>
      </c>
      <c r="I622" s="55">
        <v>11</v>
      </c>
      <c r="J622" s="55">
        <v>11</v>
      </c>
      <c r="K622" s="55">
        <v>0.8</v>
      </c>
      <c r="L622" s="55">
        <v>4</v>
      </c>
      <c r="M622" s="54" t="str">
        <f t="shared" si="48"/>
        <v>0-6 Months</v>
      </c>
      <c r="N622" s="54" t="str">
        <f t="shared" si="49"/>
        <v>12-18 Months</v>
      </c>
      <c r="O622" s="54" t="s">
        <v>7</v>
      </c>
      <c r="P622" s="54">
        <f t="shared" si="45"/>
        <v>3</v>
      </c>
      <c r="Q622">
        <f t="shared" si="46"/>
        <v>3</v>
      </c>
      <c r="R622">
        <f t="shared" si="47"/>
        <v>3</v>
      </c>
    </row>
    <row r="623" spans="1:18" x14ac:dyDescent="0.2">
      <c r="A623" s="54">
        <v>456357</v>
      </c>
      <c r="B623" s="54" t="s">
        <v>757</v>
      </c>
      <c r="C623" s="55">
        <v>3</v>
      </c>
      <c r="D623" s="55">
        <v>4</v>
      </c>
      <c r="E623" s="55">
        <v>5</v>
      </c>
      <c r="F623" s="55">
        <v>24</v>
      </c>
      <c r="G623" s="55">
        <v>24</v>
      </c>
      <c r="H623" s="55">
        <v>0</v>
      </c>
      <c r="I623" s="55">
        <v>6</v>
      </c>
      <c r="J623" s="55">
        <v>6</v>
      </c>
      <c r="K623" s="55">
        <v>0</v>
      </c>
      <c r="L623" s="55">
        <v>44</v>
      </c>
      <c r="M623" s="54" t="str">
        <f t="shared" si="48"/>
        <v>0-6 Months</v>
      </c>
      <c r="N623" s="54" t="str">
        <f t="shared" si="49"/>
        <v>12-18 Months</v>
      </c>
      <c r="O623" s="54" t="s">
        <v>7</v>
      </c>
      <c r="P623" s="54">
        <f t="shared" si="45"/>
        <v>3</v>
      </c>
      <c r="Q623">
        <f t="shared" si="46"/>
        <v>3</v>
      </c>
      <c r="R623">
        <f t="shared" si="47"/>
        <v>3</v>
      </c>
    </row>
    <row r="624" spans="1:18" x14ac:dyDescent="0.2">
      <c r="A624" s="54">
        <v>586658</v>
      </c>
      <c r="B624" s="54" t="s">
        <v>758</v>
      </c>
      <c r="C624" s="55">
        <v>3</v>
      </c>
      <c r="D624" s="55">
        <v>3</v>
      </c>
      <c r="E624" s="55">
        <v>5</v>
      </c>
      <c r="F624" s="55">
        <v>0</v>
      </c>
      <c r="G624" s="55">
        <v>0</v>
      </c>
      <c r="H624" s="55">
        <v>0</v>
      </c>
      <c r="I624" s="55">
        <v>0</v>
      </c>
      <c r="J624" s="55">
        <v>0</v>
      </c>
      <c r="K624" s="55">
        <v>0</v>
      </c>
      <c r="L624" s="55">
        <v>0</v>
      </c>
      <c r="M624" s="54" t="str">
        <f t="shared" si="48"/>
        <v>0-6 Months</v>
      </c>
      <c r="N624" s="54" t="str">
        <f t="shared" si="49"/>
        <v>12-18 Months</v>
      </c>
      <c r="O624" s="54" t="s">
        <v>7</v>
      </c>
      <c r="P624" s="54">
        <f t="shared" si="45"/>
        <v>0</v>
      </c>
      <c r="Q624">
        <f t="shared" si="46"/>
        <v>0</v>
      </c>
      <c r="R624">
        <f t="shared" si="47"/>
        <v>0</v>
      </c>
    </row>
    <row r="625" spans="1:18" x14ac:dyDescent="0.2">
      <c r="A625" s="54">
        <v>313412</v>
      </c>
      <c r="B625" s="54" t="s">
        <v>799</v>
      </c>
      <c r="C625" s="55">
        <v>5</v>
      </c>
      <c r="D625" s="55">
        <v>5</v>
      </c>
      <c r="E625" s="55">
        <v>5</v>
      </c>
      <c r="F625" s="55">
        <v>17</v>
      </c>
      <c r="G625" s="55">
        <v>17</v>
      </c>
      <c r="H625" s="55">
        <v>7</v>
      </c>
      <c r="I625" s="55">
        <v>3.4</v>
      </c>
      <c r="J625" s="55">
        <v>3.4</v>
      </c>
      <c r="K625" s="55">
        <v>1.4</v>
      </c>
      <c r="L625" s="55">
        <v>2</v>
      </c>
      <c r="M625" s="54" t="str">
        <f t="shared" si="48"/>
        <v>0-6 Months</v>
      </c>
      <c r="N625" s="54" t="str">
        <f t="shared" si="49"/>
        <v>12-18 Months</v>
      </c>
      <c r="O625" s="54" t="s">
        <v>7</v>
      </c>
      <c r="P625" s="54">
        <f t="shared" si="45"/>
        <v>5</v>
      </c>
      <c r="Q625">
        <f t="shared" si="46"/>
        <v>5</v>
      </c>
      <c r="R625">
        <f t="shared" si="47"/>
        <v>5</v>
      </c>
    </row>
    <row r="626" spans="1:18" x14ac:dyDescent="0.2">
      <c r="A626" s="54" t="s">
        <v>798</v>
      </c>
      <c r="B626" s="54" t="s">
        <v>797</v>
      </c>
      <c r="C626" s="55">
        <v>5</v>
      </c>
      <c r="D626" s="55">
        <v>5</v>
      </c>
      <c r="E626" s="55">
        <v>5</v>
      </c>
      <c r="F626" s="55">
        <v>3</v>
      </c>
      <c r="G626" s="55">
        <v>3</v>
      </c>
      <c r="H626" s="55">
        <v>0</v>
      </c>
      <c r="I626" s="55">
        <v>0.6</v>
      </c>
      <c r="J626" s="55">
        <v>0.6</v>
      </c>
      <c r="K626" s="55">
        <v>0</v>
      </c>
      <c r="L626" s="55">
        <v>85</v>
      </c>
      <c r="M626" s="54" t="str">
        <f t="shared" si="48"/>
        <v>0-6 Months</v>
      </c>
      <c r="N626" s="54" t="str">
        <f t="shared" si="49"/>
        <v>12-18 Months</v>
      </c>
      <c r="O626" s="54" t="s">
        <v>7</v>
      </c>
      <c r="P626" s="54">
        <f t="shared" si="45"/>
        <v>0</v>
      </c>
      <c r="Q626">
        <f t="shared" si="46"/>
        <v>0</v>
      </c>
      <c r="R626">
        <f t="shared" si="47"/>
        <v>0</v>
      </c>
    </row>
    <row r="627" spans="1:18" x14ac:dyDescent="0.2">
      <c r="A627" s="54">
        <v>164778</v>
      </c>
      <c r="B627" s="54" t="s">
        <v>818</v>
      </c>
      <c r="C627" s="55">
        <v>6</v>
      </c>
      <c r="D627" s="55">
        <v>6</v>
      </c>
      <c r="E627" s="55">
        <v>5</v>
      </c>
      <c r="F627" s="55">
        <v>86</v>
      </c>
      <c r="G627" s="55">
        <v>86</v>
      </c>
      <c r="H627" s="55">
        <v>2</v>
      </c>
      <c r="I627" s="55">
        <v>14.33</v>
      </c>
      <c r="J627" s="55">
        <v>14.33</v>
      </c>
      <c r="K627" s="55">
        <v>0.33</v>
      </c>
      <c r="L627" s="55">
        <v>0</v>
      </c>
      <c r="M627" s="54" t="str">
        <f t="shared" si="48"/>
        <v>0-6 Months</v>
      </c>
      <c r="N627" s="54" t="str">
        <f t="shared" si="49"/>
        <v>12-18 Months</v>
      </c>
      <c r="O627" s="54" t="s">
        <v>7</v>
      </c>
      <c r="P627" s="54">
        <f t="shared" si="45"/>
        <v>6</v>
      </c>
      <c r="Q627">
        <f t="shared" si="46"/>
        <v>6</v>
      </c>
      <c r="R627">
        <f t="shared" si="47"/>
        <v>6</v>
      </c>
    </row>
    <row r="628" spans="1:18" x14ac:dyDescent="0.2">
      <c r="A628" s="54">
        <v>316390</v>
      </c>
      <c r="B628" s="54" t="s">
        <v>819</v>
      </c>
      <c r="C628" s="55">
        <v>6</v>
      </c>
      <c r="D628" s="55">
        <v>11</v>
      </c>
      <c r="E628" s="55">
        <v>5</v>
      </c>
      <c r="F628" s="55">
        <v>0</v>
      </c>
      <c r="G628" s="55">
        <v>0</v>
      </c>
      <c r="H628" s="55">
        <v>0</v>
      </c>
      <c r="I628" s="55">
        <v>0</v>
      </c>
      <c r="J628" s="55">
        <v>0</v>
      </c>
      <c r="K628" s="55">
        <v>0</v>
      </c>
      <c r="L628" s="55">
        <v>0</v>
      </c>
      <c r="M628" s="54" t="str">
        <f t="shared" si="48"/>
        <v>0-6 Months</v>
      </c>
      <c r="N628" s="54" t="str">
        <f t="shared" si="49"/>
        <v>12-18 Months</v>
      </c>
      <c r="O628" s="54" t="s">
        <v>7</v>
      </c>
      <c r="P628" s="54">
        <f t="shared" si="45"/>
        <v>0</v>
      </c>
      <c r="Q628">
        <f t="shared" si="46"/>
        <v>0</v>
      </c>
      <c r="R628">
        <f t="shared" si="47"/>
        <v>0</v>
      </c>
    </row>
    <row r="629" spans="1:18" x14ac:dyDescent="0.2">
      <c r="A629" s="54">
        <v>114947</v>
      </c>
      <c r="B629" s="54" t="s">
        <v>831</v>
      </c>
      <c r="C629" s="55">
        <v>7</v>
      </c>
      <c r="D629" s="55">
        <v>6</v>
      </c>
      <c r="E629" s="55">
        <v>5</v>
      </c>
      <c r="F629" s="55">
        <v>14</v>
      </c>
      <c r="G629" s="55">
        <v>14</v>
      </c>
      <c r="H629" s="55">
        <v>5</v>
      </c>
      <c r="I629" s="55">
        <v>2.33</v>
      </c>
      <c r="J629" s="55">
        <v>2.33</v>
      </c>
      <c r="K629" s="55">
        <v>0.83</v>
      </c>
      <c r="L629" s="55">
        <v>1</v>
      </c>
      <c r="M629" s="54" t="str">
        <f t="shared" si="48"/>
        <v>0-6 Months</v>
      </c>
      <c r="N629" s="54" t="str">
        <f t="shared" si="49"/>
        <v>12-18 Months</v>
      </c>
      <c r="O629" s="54" t="s">
        <v>7</v>
      </c>
      <c r="P629" s="54">
        <f t="shared" si="45"/>
        <v>7</v>
      </c>
      <c r="Q629">
        <f t="shared" si="46"/>
        <v>7</v>
      </c>
      <c r="R629">
        <f t="shared" si="47"/>
        <v>7</v>
      </c>
    </row>
    <row r="630" spans="1:18" x14ac:dyDescent="0.2">
      <c r="A630" s="54">
        <v>586347</v>
      </c>
      <c r="B630" s="54" t="s">
        <v>832</v>
      </c>
      <c r="C630" s="55">
        <v>7</v>
      </c>
      <c r="D630" s="55">
        <v>7</v>
      </c>
      <c r="E630" s="55">
        <v>5</v>
      </c>
      <c r="F630" s="55">
        <v>4</v>
      </c>
      <c r="G630" s="55">
        <v>4</v>
      </c>
      <c r="H630" s="55">
        <v>3</v>
      </c>
      <c r="I630" s="55">
        <v>0.56999999999999995</v>
      </c>
      <c r="J630" s="55">
        <v>0.56999999999999995</v>
      </c>
      <c r="K630" s="55">
        <v>0.43</v>
      </c>
      <c r="L630" s="55">
        <v>3</v>
      </c>
      <c r="M630" s="54" t="str">
        <f t="shared" si="48"/>
        <v>0-6 Months</v>
      </c>
      <c r="N630" s="54" t="str">
        <f t="shared" si="49"/>
        <v>12-18 Months</v>
      </c>
      <c r="O630" s="54" t="s">
        <v>7</v>
      </c>
      <c r="P630" s="54">
        <f t="shared" si="45"/>
        <v>0</v>
      </c>
      <c r="Q630">
        <f t="shared" si="46"/>
        <v>0</v>
      </c>
      <c r="R630">
        <f t="shared" si="47"/>
        <v>0</v>
      </c>
    </row>
    <row r="631" spans="1:18" x14ac:dyDescent="0.2">
      <c r="A631" s="54">
        <v>198166</v>
      </c>
      <c r="B631" s="54" t="s">
        <v>854</v>
      </c>
      <c r="C631" s="55">
        <v>8</v>
      </c>
      <c r="D631" s="55">
        <v>8</v>
      </c>
      <c r="E631" s="55">
        <v>5</v>
      </c>
      <c r="F631" s="55">
        <v>0</v>
      </c>
      <c r="G631" s="55">
        <v>0</v>
      </c>
      <c r="H631" s="55">
        <v>0</v>
      </c>
      <c r="I631" s="55">
        <v>0</v>
      </c>
      <c r="J631" s="55">
        <v>0</v>
      </c>
      <c r="K631" s="55">
        <v>0</v>
      </c>
      <c r="L631" s="55">
        <v>0</v>
      </c>
      <c r="M631" s="54" t="str">
        <f t="shared" si="48"/>
        <v>0-6 Months</v>
      </c>
      <c r="N631" s="54" t="str">
        <f t="shared" si="49"/>
        <v>12-18 Months</v>
      </c>
      <c r="O631" s="54" t="s">
        <v>7</v>
      </c>
      <c r="P631" s="54">
        <f t="shared" si="45"/>
        <v>0</v>
      </c>
      <c r="Q631">
        <f t="shared" si="46"/>
        <v>0</v>
      </c>
      <c r="R631">
        <f t="shared" si="47"/>
        <v>0</v>
      </c>
    </row>
    <row r="632" spans="1:18" x14ac:dyDescent="0.2">
      <c r="A632" s="54">
        <v>470764</v>
      </c>
      <c r="B632" s="54" t="s">
        <v>853</v>
      </c>
      <c r="C632" s="55">
        <v>8</v>
      </c>
      <c r="D632" s="55">
        <v>10</v>
      </c>
      <c r="E632" s="55">
        <v>5</v>
      </c>
      <c r="F632" s="55">
        <v>25</v>
      </c>
      <c r="G632" s="55">
        <v>25</v>
      </c>
      <c r="H632" s="55">
        <v>0</v>
      </c>
      <c r="I632" s="55">
        <v>2.5</v>
      </c>
      <c r="J632" s="55">
        <v>2.5</v>
      </c>
      <c r="K632" s="55">
        <v>0</v>
      </c>
      <c r="L632" s="55">
        <v>10</v>
      </c>
      <c r="M632" s="54" t="str">
        <f t="shared" si="48"/>
        <v>0-6 Months</v>
      </c>
      <c r="N632" s="54" t="str">
        <f t="shared" si="49"/>
        <v>12-18 Months</v>
      </c>
      <c r="O632" s="54" t="s">
        <v>7</v>
      </c>
      <c r="P632" s="54">
        <f t="shared" si="45"/>
        <v>8</v>
      </c>
      <c r="Q632">
        <f t="shared" si="46"/>
        <v>8</v>
      </c>
      <c r="R632">
        <f t="shared" si="47"/>
        <v>8</v>
      </c>
    </row>
    <row r="633" spans="1:18" x14ac:dyDescent="0.2">
      <c r="A633" s="54">
        <v>110825</v>
      </c>
      <c r="B633" s="54" t="s">
        <v>867</v>
      </c>
      <c r="C633" s="55">
        <v>9</v>
      </c>
      <c r="D633" s="55">
        <v>8</v>
      </c>
      <c r="E633" s="55">
        <v>5</v>
      </c>
      <c r="F633" s="55">
        <v>53</v>
      </c>
      <c r="G633" s="55">
        <v>53</v>
      </c>
      <c r="H633" s="55">
        <v>32</v>
      </c>
      <c r="I633" s="55">
        <v>6.63</v>
      </c>
      <c r="J633" s="55">
        <v>6.63</v>
      </c>
      <c r="K633" s="55">
        <v>4</v>
      </c>
      <c r="L633" s="55">
        <v>11</v>
      </c>
      <c r="M633" s="54" t="str">
        <f t="shared" si="48"/>
        <v>0-6 Months</v>
      </c>
      <c r="N633" s="54" t="str">
        <f t="shared" si="49"/>
        <v>12-18 Months</v>
      </c>
      <c r="O633" s="54" t="s">
        <v>7</v>
      </c>
      <c r="P633" s="54">
        <f t="shared" si="45"/>
        <v>9</v>
      </c>
      <c r="Q633">
        <f t="shared" si="46"/>
        <v>9</v>
      </c>
      <c r="R633">
        <f t="shared" si="47"/>
        <v>9</v>
      </c>
    </row>
    <row r="634" spans="1:18" x14ac:dyDescent="0.2">
      <c r="A634" s="54">
        <v>305582</v>
      </c>
      <c r="B634" s="54" t="s">
        <v>866</v>
      </c>
      <c r="C634" s="55">
        <v>9</v>
      </c>
      <c r="D634" s="55">
        <v>9</v>
      </c>
      <c r="E634" s="55">
        <v>5</v>
      </c>
      <c r="F634" s="55">
        <v>20</v>
      </c>
      <c r="G634" s="55">
        <v>20</v>
      </c>
      <c r="H634" s="55">
        <v>20</v>
      </c>
      <c r="I634" s="55">
        <v>2.2200000000000002</v>
      </c>
      <c r="J634" s="55">
        <v>2.2200000000000002</v>
      </c>
      <c r="K634" s="55">
        <v>2.2200000000000002</v>
      </c>
      <c r="L634" s="55">
        <v>0</v>
      </c>
      <c r="M634" s="54" t="str">
        <f t="shared" si="48"/>
        <v>0-6 Months</v>
      </c>
      <c r="N634" s="54" t="str">
        <f t="shared" si="49"/>
        <v>12-18 Months</v>
      </c>
      <c r="O634" s="54" t="s">
        <v>7</v>
      </c>
      <c r="P634" s="54">
        <f t="shared" si="45"/>
        <v>9</v>
      </c>
      <c r="Q634">
        <f t="shared" si="46"/>
        <v>9</v>
      </c>
      <c r="R634">
        <f t="shared" si="47"/>
        <v>9</v>
      </c>
    </row>
    <row r="635" spans="1:18" x14ac:dyDescent="0.2">
      <c r="A635" s="54">
        <v>110554</v>
      </c>
      <c r="B635" s="54" t="s">
        <v>890</v>
      </c>
      <c r="C635" s="55">
        <v>10</v>
      </c>
      <c r="D635" s="55">
        <v>7</v>
      </c>
      <c r="E635" s="55">
        <v>5</v>
      </c>
      <c r="F635" s="55">
        <v>0</v>
      </c>
      <c r="G635" s="55">
        <v>0</v>
      </c>
      <c r="H635" s="55">
        <v>0</v>
      </c>
      <c r="I635" s="55">
        <v>0</v>
      </c>
      <c r="J635" s="55">
        <v>0</v>
      </c>
      <c r="K635" s="55">
        <v>0</v>
      </c>
      <c r="L635" s="55">
        <v>0</v>
      </c>
      <c r="M635" s="54" t="str">
        <f t="shared" si="48"/>
        <v>0-6 Months</v>
      </c>
      <c r="N635" s="54" t="str">
        <f t="shared" si="49"/>
        <v>12-18 Months</v>
      </c>
      <c r="O635" s="54" t="s">
        <v>7</v>
      </c>
      <c r="P635" s="54">
        <f t="shared" si="45"/>
        <v>0</v>
      </c>
      <c r="Q635">
        <f t="shared" si="46"/>
        <v>0</v>
      </c>
      <c r="R635">
        <f t="shared" si="47"/>
        <v>0</v>
      </c>
    </row>
    <row r="636" spans="1:18" x14ac:dyDescent="0.2">
      <c r="A636" s="54">
        <v>191881</v>
      </c>
      <c r="B636" s="54" t="s">
        <v>892</v>
      </c>
      <c r="C636" s="55">
        <v>10</v>
      </c>
      <c r="D636" s="55">
        <v>9</v>
      </c>
      <c r="E636" s="55">
        <v>5</v>
      </c>
      <c r="F636" s="55">
        <v>0</v>
      </c>
      <c r="G636" s="55">
        <v>0</v>
      </c>
      <c r="H636" s="55">
        <v>0</v>
      </c>
      <c r="I636" s="55">
        <v>0</v>
      </c>
      <c r="J636" s="55">
        <v>0</v>
      </c>
      <c r="K636" s="55">
        <v>0</v>
      </c>
      <c r="L636" s="55">
        <v>0</v>
      </c>
      <c r="M636" s="54" t="str">
        <f t="shared" si="48"/>
        <v>0-6 Months</v>
      </c>
      <c r="N636" s="54" t="str">
        <f t="shared" si="49"/>
        <v>12-18 Months</v>
      </c>
      <c r="O636" s="54" t="s">
        <v>7</v>
      </c>
      <c r="P636" s="54">
        <f t="shared" si="45"/>
        <v>0</v>
      </c>
      <c r="Q636">
        <f t="shared" si="46"/>
        <v>0</v>
      </c>
      <c r="R636">
        <f t="shared" si="47"/>
        <v>0</v>
      </c>
    </row>
    <row r="637" spans="1:18" x14ac:dyDescent="0.2">
      <c r="A637" s="54">
        <v>469988</v>
      </c>
      <c r="B637" s="54" t="s">
        <v>889</v>
      </c>
      <c r="C637" s="55">
        <v>10</v>
      </c>
      <c r="D637" s="55">
        <v>10</v>
      </c>
      <c r="E637" s="55">
        <v>5</v>
      </c>
      <c r="F637" s="55">
        <v>81</v>
      </c>
      <c r="G637" s="55">
        <v>81</v>
      </c>
      <c r="H637" s="55">
        <v>22</v>
      </c>
      <c r="I637" s="55">
        <v>8.1</v>
      </c>
      <c r="J637" s="55">
        <v>8.1</v>
      </c>
      <c r="K637" s="55">
        <v>2.2000000000000002</v>
      </c>
      <c r="L637" s="55">
        <v>9</v>
      </c>
      <c r="M637" s="54" t="str">
        <f t="shared" si="48"/>
        <v>0-6 Months</v>
      </c>
      <c r="N637" s="54" t="str">
        <f t="shared" si="49"/>
        <v>12-18 Months</v>
      </c>
      <c r="O637" s="54" t="s">
        <v>7</v>
      </c>
      <c r="P637" s="54">
        <f t="shared" si="45"/>
        <v>10</v>
      </c>
      <c r="Q637">
        <f t="shared" si="46"/>
        <v>10</v>
      </c>
      <c r="R637">
        <f t="shared" si="47"/>
        <v>10</v>
      </c>
    </row>
    <row r="638" spans="1:18" x14ac:dyDescent="0.2">
      <c r="A638" s="54">
        <v>487525</v>
      </c>
      <c r="B638" s="54" t="s">
        <v>891</v>
      </c>
      <c r="C638" s="55">
        <v>10</v>
      </c>
      <c r="D638" s="55">
        <v>10</v>
      </c>
      <c r="E638" s="55">
        <v>5</v>
      </c>
      <c r="F638" s="55">
        <v>13</v>
      </c>
      <c r="G638" s="55">
        <v>13</v>
      </c>
      <c r="H638" s="55">
        <v>13</v>
      </c>
      <c r="I638" s="55">
        <v>1.3</v>
      </c>
      <c r="J638" s="55">
        <v>1.3</v>
      </c>
      <c r="K638" s="55">
        <v>1.3</v>
      </c>
      <c r="L638" s="55">
        <v>0</v>
      </c>
      <c r="M638" s="54" t="str">
        <f t="shared" si="48"/>
        <v>0-6 Months</v>
      </c>
      <c r="N638" s="54" t="str">
        <f t="shared" si="49"/>
        <v>12-18 Months</v>
      </c>
      <c r="O638" s="54" t="s">
        <v>7</v>
      </c>
      <c r="P638" s="54">
        <f t="shared" si="45"/>
        <v>10</v>
      </c>
      <c r="Q638">
        <f t="shared" si="46"/>
        <v>0</v>
      </c>
      <c r="R638">
        <f t="shared" si="47"/>
        <v>10</v>
      </c>
    </row>
    <row r="639" spans="1:18" x14ac:dyDescent="0.2">
      <c r="A639" s="54">
        <v>509692</v>
      </c>
      <c r="B639" s="54" t="s">
        <v>902</v>
      </c>
      <c r="C639" s="55">
        <v>11</v>
      </c>
      <c r="D639" s="55">
        <v>26</v>
      </c>
      <c r="E639" s="55">
        <v>5</v>
      </c>
      <c r="F639" s="55">
        <v>28</v>
      </c>
      <c r="G639" s="55">
        <v>28</v>
      </c>
      <c r="H639" s="55">
        <v>28</v>
      </c>
      <c r="I639" s="55">
        <v>1.08</v>
      </c>
      <c r="J639" s="55">
        <v>1.08</v>
      </c>
      <c r="K639" s="55">
        <v>1.08</v>
      </c>
      <c r="L639" s="55">
        <v>23</v>
      </c>
      <c r="M639" s="54" t="str">
        <f t="shared" si="48"/>
        <v>0-6 Months</v>
      </c>
      <c r="N639" s="54" t="str">
        <f t="shared" si="49"/>
        <v>12-18 Months</v>
      </c>
      <c r="O639" s="54" t="s">
        <v>7</v>
      </c>
      <c r="P639" s="54">
        <f t="shared" si="45"/>
        <v>11</v>
      </c>
      <c r="Q639">
        <f t="shared" si="46"/>
        <v>0</v>
      </c>
      <c r="R639">
        <f t="shared" si="47"/>
        <v>11</v>
      </c>
    </row>
    <row r="640" spans="1:18" x14ac:dyDescent="0.2">
      <c r="A640" s="54">
        <v>148352</v>
      </c>
      <c r="B640" s="54" t="s">
        <v>912</v>
      </c>
      <c r="C640" s="55">
        <v>12</v>
      </c>
      <c r="D640" s="55">
        <v>12</v>
      </c>
      <c r="E640" s="55">
        <v>5</v>
      </c>
      <c r="F640" s="55">
        <v>0</v>
      </c>
      <c r="G640" s="55">
        <v>0</v>
      </c>
      <c r="H640" s="55">
        <v>0</v>
      </c>
      <c r="I640" s="55">
        <v>0</v>
      </c>
      <c r="J640" s="55">
        <v>0</v>
      </c>
      <c r="K640" s="55">
        <v>0</v>
      </c>
      <c r="L640" s="55">
        <v>0</v>
      </c>
      <c r="M640" s="54" t="str">
        <f t="shared" si="48"/>
        <v>0-6 Months</v>
      </c>
      <c r="N640" s="54" t="str">
        <f t="shared" si="49"/>
        <v>12-18 Months</v>
      </c>
      <c r="O640" s="54" t="s">
        <v>7</v>
      </c>
      <c r="P640" s="54">
        <f t="shared" si="45"/>
        <v>0</v>
      </c>
      <c r="Q640">
        <f t="shared" si="46"/>
        <v>0</v>
      </c>
      <c r="R640">
        <f t="shared" si="47"/>
        <v>0</v>
      </c>
    </row>
    <row r="641" spans="1:18" x14ac:dyDescent="0.2">
      <c r="A641" s="54">
        <v>309450</v>
      </c>
      <c r="B641" s="54" t="s">
        <v>913</v>
      </c>
      <c r="C641" s="55">
        <v>12</v>
      </c>
      <c r="D641" s="55">
        <v>14</v>
      </c>
      <c r="E641" s="55">
        <v>5</v>
      </c>
      <c r="F641" s="55">
        <v>0</v>
      </c>
      <c r="G641" s="55">
        <v>0</v>
      </c>
      <c r="H641" s="55">
        <v>0</v>
      </c>
      <c r="I641" s="55">
        <v>0</v>
      </c>
      <c r="J641" s="55">
        <v>0</v>
      </c>
      <c r="K641" s="55">
        <v>0</v>
      </c>
      <c r="L641" s="55">
        <v>0</v>
      </c>
      <c r="M641" s="54" t="str">
        <f t="shared" si="48"/>
        <v>0-6 Months</v>
      </c>
      <c r="N641" s="54" t="str">
        <f t="shared" si="49"/>
        <v>12-18 Months</v>
      </c>
      <c r="O641" s="54" t="s">
        <v>7</v>
      </c>
      <c r="P641" s="54">
        <f t="shared" si="45"/>
        <v>0</v>
      </c>
      <c r="Q641">
        <f t="shared" si="46"/>
        <v>0</v>
      </c>
      <c r="R641">
        <f t="shared" si="47"/>
        <v>0</v>
      </c>
    </row>
    <row r="642" spans="1:18" x14ac:dyDescent="0.2">
      <c r="A642" s="54">
        <v>109834</v>
      </c>
      <c r="B642" s="54" t="s">
        <v>927</v>
      </c>
      <c r="C642" s="55">
        <v>13</v>
      </c>
      <c r="D642" s="55">
        <v>1</v>
      </c>
      <c r="E642" s="55">
        <v>5</v>
      </c>
      <c r="F642" s="55">
        <v>2</v>
      </c>
      <c r="G642" s="55">
        <v>2</v>
      </c>
      <c r="H642" s="55">
        <v>0</v>
      </c>
      <c r="I642" s="55">
        <v>2</v>
      </c>
      <c r="J642" s="55">
        <v>2</v>
      </c>
      <c r="K642" s="55">
        <v>0</v>
      </c>
      <c r="L642" s="55">
        <v>42</v>
      </c>
      <c r="M642" s="54" t="str">
        <f t="shared" si="48"/>
        <v>0-6 Months</v>
      </c>
      <c r="N642" s="54" t="str">
        <f t="shared" si="49"/>
        <v>12-18 Months</v>
      </c>
      <c r="O642" s="54" t="s">
        <v>7</v>
      </c>
      <c r="P642" s="54">
        <f t="shared" ref="P642:P705" si="50">IF(I642&gt;=2, C642, IF(J642&gt;=0.75, C642, 0))</f>
        <v>13</v>
      </c>
      <c r="Q642">
        <f t="shared" ref="Q642:Q705" si="51">IF(I642&gt;=2, C642, IF(AND(J642&gt;=0.75, D642&gt;=550), C642, 0))</f>
        <v>13</v>
      </c>
      <c r="R642">
        <f t="shared" ref="R642:R705" si="52">IF(J642&gt;=0.75, C642, 0)</f>
        <v>13</v>
      </c>
    </row>
    <row r="643" spans="1:18" x14ac:dyDescent="0.2">
      <c r="A643" s="54">
        <v>149197</v>
      </c>
      <c r="B643" s="54" t="s">
        <v>928</v>
      </c>
      <c r="C643" s="55">
        <v>13</v>
      </c>
      <c r="D643" s="55">
        <v>11</v>
      </c>
      <c r="E643" s="55">
        <v>5</v>
      </c>
      <c r="F643" s="55">
        <v>49</v>
      </c>
      <c r="G643" s="55">
        <v>49</v>
      </c>
      <c r="H643" s="55">
        <v>49</v>
      </c>
      <c r="I643" s="55">
        <v>4.45</v>
      </c>
      <c r="J643" s="55">
        <v>4.45</v>
      </c>
      <c r="K643" s="55">
        <v>4.45</v>
      </c>
      <c r="L643" s="55">
        <v>5</v>
      </c>
      <c r="M643" s="54" t="str">
        <f t="shared" ref="M643:M706" si="53">IF(E643&lt;6,"0-6 Months", IF(E643&lt;13, "6-12 Months", IF(E643&lt;19, "12-24 Months", IF(E643&lt;25, "12-24 Months", "24+ Months"))))</f>
        <v>0-6 Months</v>
      </c>
      <c r="N643" s="54" t="str">
        <f t="shared" ref="N643:N706" si="54">IF(E643&lt;6,"12-18 Months", IF(E643&lt;13, "18-24 Months", "24+ Months"))</f>
        <v>12-18 Months</v>
      </c>
      <c r="O643" s="54" t="s">
        <v>7</v>
      </c>
      <c r="P643" s="54">
        <f t="shared" si="50"/>
        <v>13</v>
      </c>
      <c r="Q643">
        <f t="shared" si="51"/>
        <v>13</v>
      </c>
      <c r="R643">
        <f t="shared" si="52"/>
        <v>13</v>
      </c>
    </row>
    <row r="644" spans="1:18" x14ac:dyDescent="0.2">
      <c r="A644" s="54">
        <v>225032</v>
      </c>
      <c r="B644" s="54" t="s">
        <v>929</v>
      </c>
      <c r="C644" s="55">
        <v>13</v>
      </c>
      <c r="D644" s="55">
        <v>10</v>
      </c>
      <c r="E644" s="55">
        <v>5</v>
      </c>
      <c r="F644" s="55">
        <v>0</v>
      </c>
      <c r="G644" s="55">
        <v>0</v>
      </c>
      <c r="H644" s="55">
        <v>0</v>
      </c>
      <c r="I644" s="55">
        <v>0</v>
      </c>
      <c r="J644" s="55">
        <v>0</v>
      </c>
      <c r="K644" s="55">
        <v>0</v>
      </c>
      <c r="L644" s="55">
        <v>0</v>
      </c>
      <c r="M644" s="54" t="str">
        <f t="shared" si="53"/>
        <v>0-6 Months</v>
      </c>
      <c r="N644" s="54" t="str">
        <f t="shared" si="54"/>
        <v>12-18 Months</v>
      </c>
      <c r="O644" s="54" t="s">
        <v>7</v>
      </c>
      <c r="P644" s="54">
        <f t="shared" si="50"/>
        <v>0</v>
      </c>
      <c r="Q644">
        <f t="shared" si="51"/>
        <v>0</v>
      </c>
      <c r="R644">
        <f t="shared" si="52"/>
        <v>0</v>
      </c>
    </row>
    <row r="645" spans="1:18" x14ac:dyDescent="0.2">
      <c r="A645" s="54">
        <v>171614</v>
      </c>
      <c r="B645" s="54" t="s">
        <v>961</v>
      </c>
      <c r="C645" s="55">
        <v>15</v>
      </c>
      <c r="D645" s="55">
        <v>15</v>
      </c>
      <c r="E645" s="55">
        <v>5</v>
      </c>
      <c r="F645" s="55">
        <v>13</v>
      </c>
      <c r="G645" s="55">
        <v>13</v>
      </c>
      <c r="H645" s="55">
        <v>0</v>
      </c>
      <c r="I645" s="55">
        <v>0.87</v>
      </c>
      <c r="J645" s="55">
        <v>0.87</v>
      </c>
      <c r="K645" s="55">
        <v>0</v>
      </c>
      <c r="L645" s="55">
        <v>0</v>
      </c>
      <c r="M645" s="54" t="str">
        <f t="shared" si="53"/>
        <v>0-6 Months</v>
      </c>
      <c r="N645" s="54" t="str">
        <f t="shared" si="54"/>
        <v>12-18 Months</v>
      </c>
      <c r="O645" s="54" t="s">
        <v>7</v>
      </c>
      <c r="P645" s="54">
        <f t="shared" si="50"/>
        <v>15</v>
      </c>
      <c r="Q645">
        <f t="shared" si="51"/>
        <v>0</v>
      </c>
      <c r="R645">
        <f t="shared" si="52"/>
        <v>15</v>
      </c>
    </row>
    <row r="646" spans="1:18" x14ac:dyDescent="0.2">
      <c r="A646" s="54">
        <v>115403</v>
      </c>
      <c r="B646" s="54" t="s">
        <v>981</v>
      </c>
      <c r="C646" s="55">
        <v>16</v>
      </c>
      <c r="D646" s="55">
        <v>15</v>
      </c>
      <c r="E646" s="55">
        <v>5</v>
      </c>
      <c r="F646" s="55">
        <v>4</v>
      </c>
      <c r="G646" s="55">
        <v>4</v>
      </c>
      <c r="H646" s="55">
        <v>0</v>
      </c>
      <c r="I646" s="55">
        <v>0.27</v>
      </c>
      <c r="J646" s="55">
        <v>0.27</v>
      </c>
      <c r="K646" s="55">
        <v>0</v>
      </c>
      <c r="L646" s="55">
        <v>0</v>
      </c>
      <c r="M646" s="54" t="str">
        <f t="shared" si="53"/>
        <v>0-6 Months</v>
      </c>
      <c r="N646" s="54" t="str">
        <f t="shared" si="54"/>
        <v>12-18 Months</v>
      </c>
      <c r="O646" s="54" t="s">
        <v>7</v>
      </c>
      <c r="P646" s="54">
        <f t="shared" si="50"/>
        <v>0</v>
      </c>
      <c r="Q646">
        <f t="shared" si="51"/>
        <v>0</v>
      </c>
      <c r="R646">
        <f t="shared" si="52"/>
        <v>0</v>
      </c>
    </row>
    <row r="647" spans="1:18" x14ac:dyDescent="0.2">
      <c r="A647" s="54">
        <v>116337</v>
      </c>
      <c r="B647" s="54" t="s">
        <v>980</v>
      </c>
      <c r="C647" s="55">
        <v>16</v>
      </c>
      <c r="D647" s="55">
        <v>8</v>
      </c>
      <c r="E647" s="55">
        <v>5</v>
      </c>
      <c r="F647" s="55">
        <v>47</v>
      </c>
      <c r="G647" s="55">
        <v>47</v>
      </c>
      <c r="H647" s="55">
        <v>47</v>
      </c>
      <c r="I647" s="55">
        <v>5.88</v>
      </c>
      <c r="J647" s="55">
        <v>5.88</v>
      </c>
      <c r="K647" s="55">
        <v>5.88</v>
      </c>
      <c r="L647" s="55">
        <v>0</v>
      </c>
      <c r="M647" s="54" t="str">
        <f t="shared" si="53"/>
        <v>0-6 Months</v>
      </c>
      <c r="N647" s="54" t="str">
        <f t="shared" si="54"/>
        <v>12-18 Months</v>
      </c>
      <c r="O647" s="54" t="s">
        <v>7</v>
      </c>
      <c r="P647" s="54">
        <f t="shared" si="50"/>
        <v>16</v>
      </c>
      <c r="Q647">
        <f t="shared" si="51"/>
        <v>16</v>
      </c>
      <c r="R647">
        <f t="shared" si="52"/>
        <v>16</v>
      </c>
    </row>
    <row r="648" spans="1:18" x14ac:dyDescent="0.2">
      <c r="A648" s="54">
        <v>309225</v>
      </c>
      <c r="B648" s="54" t="s">
        <v>979</v>
      </c>
      <c r="C648" s="55">
        <v>16</v>
      </c>
      <c r="D648" s="55">
        <v>16</v>
      </c>
      <c r="E648" s="55">
        <v>5</v>
      </c>
      <c r="F648" s="55">
        <v>100</v>
      </c>
      <c r="G648" s="55">
        <v>100</v>
      </c>
      <c r="H648" s="55">
        <v>68</v>
      </c>
      <c r="I648" s="55">
        <v>6.25</v>
      </c>
      <c r="J648" s="55">
        <v>6.25</v>
      </c>
      <c r="K648" s="55">
        <v>4.25</v>
      </c>
      <c r="L648" s="55">
        <v>1</v>
      </c>
      <c r="M648" s="54" t="str">
        <f t="shared" si="53"/>
        <v>0-6 Months</v>
      </c>
      <c r="N648" s="54" t="str">
        <f t="shared" si="54"/>
        <v>12-18 Months</v>
      </c>
      <c r="O648" s="54" t="s">
        <v>7</v>
      </c>
      <c r="P648" s="54">
        <f t="shared" si="50"/>
        <v>16</v>
      </c>
      <c r="Q648">
        <f t="shared" si="51"/>
        <v>16</v>
      </c>
      <c r="R648">
        <f t="shared" si="52"/>
        <v>16</v>
      </c>
    </row>
    <row r="649" spans="1:18" x14ac:dyDescent="0.2">
      <c r="A649" s="54">
        <v>170623</v>
      </c>
      <c r="B649" s="54" t="s">
        <v>985</v>
      </c>
      <c r="C649" s="55">
        <v>17</v>
      </c>
      <c r="D649" s="55">
        <v>28</v>
      </c>
      <c r="E649" s="55">
        <v>5</v>
      </c>
      <c r="F649" s="55">
        <v>14</v>
      </c>
      <c r="G649" s="55">
        <v>14</v>
      </c>
      <c r="H649" s="55">
        <v>7</v>
      </c>
      <c r="I649" s="55">
        <v>0.5</v>
      </c>
      <c r="J649" s="55">
        <v>0.5</v>
      </c>
      <c r="K649" s="55">
        <v>0.25</v>
      </c>
      <c r="L649" s="55">
        <v>74</v>
      </c>
      <c r="M649" s="54" t="str">
        <f t="shared" si="53"/>
        <v>0-6 Months</v>
      </c>
      <c r="N649" s="54" t="str">
        <f t="shared" si="54"/>
        <v>12-18 Months</v>
      </c>
      <c r="O649" s="54" t="s">
        <v>7</v>
      </c>
      <c r="P649" s="54">
        <f t="shared" si="50"/>
        <v>0</v>
      </c>
      <c r="Q649">
        <f t="shared" si="51"/>
        <v>0</v>
      </c>
      <c r="R649">
        <f t="shared" si="52"/>
        <v>0</v>
      </c>
    </row>
    <row r="650" spans="1:18" x14ac:dyDescent="0.2">
      <c r="A650" s="54">
        <v>501804</v>
      </c>
      <c r="B650" s="54" t="s">
        <v>986</v>
      </c>
      <c r="C650" s="55">
        <v>17</v>
      </c>
      <c r="D650" s="55">
        <v>6</v>
      </c>
      <c r="E650" s="55">
        <v>5</v>
      </c>
      <c r="F650" s="55">
        <v>0</v>
      </c>
      <c r="G650" s="55">
        <v>0</v>
      </c>
      <c r="H650" s="55">
        <v>0</v>
      </c>
      <c r="I650" s="55">
        <v>0</v>
      </c>
      <c r="J650" s="55">
        <v>0</v>
      </c>
      <c r="K650" s="55">
        <v>0</v>
      </c>
      <c r="L650" s="55">
        <v>0</v>
      </c>
      <c r="M650" s="54" t="str">
        <f t="shared" si="53"/>
        <v>0-6 Months</v>
      </c>
      <c r="N650" s="54" t="str">
        <f t="shared" si="54"/>
        <v>12-18 Months</v>
      </c>
      <c r="O650" s="54" t="s">
        <v>7</v>
      </c>
      <c r="P650" s="54">
        <f t="shared" si="50"/>
        <v>0</v>
      </c>
      <c r="Q650">
        <f t="shared" si="51"/>
        <v>0</v>
      </c>
      <c r="R650">
        <f t="shared" si="52"/>
        <v>0</v>
      </c>
    </row>
    <row r="651" spans="1:18" x14ac:dyDescent="0.2">
      <c r="A651" s="54">
        <v>319148</v>
      </c>
      <c r="B651" s="54" t="s">
        <v>1016</v>
      </c>
      <c r="C651" s="55">
        <v>20</v>
      </c>
      <c r="D651" s="55">
        <v>16</v>
      </c>
      <c r="E651" s="55">
        <v>5</v>
      </c>
      <c r="F651" s="55">
        <v>23</v>
      </c>
      <c r="G651" s="55">
        <v>23</v>
      </c>
      <c r="H651" s="55">
        <v>16</v>
      </c>
      <c r="I651" s="55">
        <v>1.44</v>
      </c>
      <c r="J651" s="55">
        <v>1.44</v>
      </c>
      <c r="K651" s="55">
        <v>1</v>
      </c>
      <c r="L651" s="55">
        <v>5</v>
      </c>
      <c r="M651" s="54" t="str">
        <f t="shared" si="53"/>
        <v>0-6 Months</v>
      </c>
      <c r="N651" s="54" t="str">
        <f t="shared" si="54"/>
        <v>12-18 Months</v>
      </c>
      <c r="O651" s="54" t="s">
        <v>7</v>
      </c>
      <c r="P651" s="54">
        <f t="shared" si="50"/>
        <v>20</v>
      </c>
      <c r="Q651">
        <f t="shared" si="51"/>
        <v>0</v>
      </c>
      <c r="R651">
        <f t="shared" si="52"/>
        <v>20</v>
      </c>
    </row>
    <row r="652" spans="1:18" x14ac:dyDescent="0.2">
      <c r="A652" s="54">
        <v>440255</v>
      </c>
      <c r="B652" s="54" t="s">
        <v>1015</v>
      </c>
      <c r="C652" s="55">
        <v>20</v>
      </c>
      <c r="D652" s="55">
        <v>20</v>
      </c>
      <c r="E652" s="55">
        <v>5</v>
      </c>
      <c r="F652" s="55">
        <v>32</v>
      </c>
      <c r="G652" s="55">
        <v>32</v>
      </c>
      <c r="H652" s="55">
        <v>15</v>
      </c>
      <c r="I652" s="55">
        <v>1.6</v>
      </c>
      <c r="J652" s="55">
        <v>1.6</v>
      </c>
      <c r="K652" s="55">
        <v>0.75</v>
      </c>
      <c r="L652" s="55">
        <v>12</v>
      </c>
      <c r="M652" s="54" t="str">
        <f t="shared" si="53"/>
        <v>0-6 Months</v>
      </c>
      <c r="N652" s="54" t="str">
        <f t="shared" si="54"/>
        <v>12-18 Months</v>
      </c>
      <c r="O652" s="54" t="s">
        <v>7</v>
      </c>
      <c r="P652" s="54">
        <f t="shared" si="50"/>
        <v>20</v>
      </c>
      <c r="Q652">
        <f t="shared" si="51"/>
        <v>0</v>
      </c>
      <c r="R652">
        <f t="shared" si="52"/>
        <v>20</v>
      </c>
    </row>
    <row r="653" spans="1:18" x14ac:dyDescent="0.2">
      <c r="A653" s="54">
        <v>493599</v>
      </c>
      <c r="B653" s="54" t="s">
        <v>1017</v>
      </c>
      <c r="C653" s="55">
        <v>20</v>
      </c>
      <c r="D653" s="55">
        <v>20</v>
      </c>
      <c r="E653" s="55">
        <v>5</v>
      </c>
      <c r="F653" s="55">
        <v>38</v>
      </c>
      <c r="G653" s="55">
        <v>38</v>
      </c>
      <c r="H653" s="55">
        <v>1</v>
      </c>
      <c r="I653" s="55">
        <v>1.9</v>
      </c>
      <c r="J653" s="55">
        <v>1.9</v>
      </c>
      <c r="K653" s="55">
        <v>0.05</v>
      </c>
      <c r="L653" s="55">
        <v>9</v>
      </c>
      <c r="M653" s="54" t="str">
        <f t="shared" si="53"/>
        <v>0-6 Months</v>
      </c>
      <c r="N653" s="54" t="str">
        <f t="shared" si="54"/>
        <v>12-18 Months</v>
      </c>
      <c r="O653" s="54" t="s">
        <v>7</v>
      </c>
      <c r="P653" s="54">
        <f t="shared" si="50"/>
        <v>20</v>
      </c>
      <c r="Q653">
        <f t="shared" si="51"/>
        <v>0</v>
      </c>
      <c r="R653">
        <f t="shared" si="52"/>
        <v>20</v>
      </c>
    </row>
    <row r="654" spans="1:18" x14ac:dyDescent="0.2">
      <c r="A654" s="54">
        <v>106576</v>
      </c>
      <c r="B654" s="54" t="s">
        <v>1022</v>
      </c>
      <c r="C654" s="55">
        <v>21</v>
      </c>
      <c r="D654" s="55">
        <v>2</v>
      </c>
      <c r="E654" s="55">
        <v>5</v>
      </c>
      <c r="F654" s="55">
        <v>38</v>
      </c>
      <c r="G654" s="55">
        <v>38</v>
      </c>
      <c r="H654" s="55">
        <v>0</v>
      </c>
      <c r="I654" s="55">
        <v>19</v>
      </c>
      <c r="J654" s="55">
        <v>19</v>
      </c>
      <c r="K654" s="55">
        <v>0</v>
      </c>
      <c r="L654" s="55">
        <v>0</v>
      </c>
      <c r="M654" s="54" t="str">
        <f t="shared" si="53"/>
        <v>0-6 Months</v>
      </c>
      <c r="N654" s="54" t="str">
        <f t="shared" si="54"/>
        <v>12-18 Months</v>
      </c>
      <c r="O654" s="54" t="s">
        <v>7</v>
      </c>
      <c r="P654" s="54">
        <f t="shared" si="50"/>
        <v>21</v>
      </c>
      <c r="Q654">
        <f t="shared" si="51"/>
        <v>21</v>
      </c>
      <c r="R654">
        <f t="shared" si="52"/>
        <v>21</v>
      </c>
    </row>
    <row r="655" spans="1:18" x14ac:dyDescent="0.2">
      <c r="A655" s="54">
        <v>321213</v>
      </c>
      <c r="B655" s="54" t="s">
        <v>1037</v>
      </c>
      <c r="C655" s="55">
        <v>23</v>
      </c>
      <c r="D655" s="55">
        <v>7</v>
      </c>
      <c r="E655" s="55">
        <v>5</v>
      </c>
      <c r="F655" s="55">
        <v>19</v>
      </c>
      <c r="G655" s="55">
        <v>19</v>
      </c>
      <c r="H655" s="55">
        <v>19</v>
      </c>
      <c r="I655" s="55">
        <v>2.71</v>
      </c>
      <c r="J655" s="55">
        <v>2.71</v>
      </c>
      <c r="K655" s="55">
        <v>2.71</v>
      </c>
      <c r="L655" s="55">
        <v>3</v>
      </c>
      <c r="M655" s="54" t="str">
        <f t="shared" si="53"/>
        <v>0-6 Months</v>
      </c>
      <c r="N655" s="54" t="str">
        <f t="shared" si="54"/>
        <v>12-18 Months</v>
      </c>
      <c r="O655" s="54" t="s">
        <v>7</v>
      </c>
      <c r="P655" s="54">
        <f t="shared" si="50"/>
        <v>23</v>
      </c>
      <c r="Q655">
        <f t="shared" si="51"/>
        <v>23</v>
      </c>
      <c r="R655">
        <f t="shared" si="52"/>
        <v>23</v>
      </c>
    </row>
    <row r="656" spans="1:18" x14ac:dyDescent="0.2">
      <c r="A656" s="54">
        <v>115904</v>
      </c>
      <c r="B656" s="54" t="s">
        <v>1050</v>
      </c>
      <c r="C656" s="55">
        <v>25</v>
      </c>
      <c r="D656" s="55">
        <v>10</v>
      </c>
      <c r="E656" s="55">
        <v>5</v>
      </c>
      <c r="F656" s="55">
        <v>3</v>
      </c>
      <c r="G656" s="55">
        <v>3</v>
      </c>
      <c r="H656" s="55">
        <v>3</v>
      </c>
      <c r="I656" s="55">
        <v>0.3</v>
      </c>
      <c r="J656" s="55">
        <v>0.3</v>
      </c>
      <c r="K656" s="55">
        <v>0.3</v>
      </c>
      <c r="L656" s="55">
        <v>0</v>
      </c>
      <c r="M656" s="54" t="str">
        <f t="shared" si="53"/>
        <v>0-6 Months</v>
      </c>
      <c r="N656" s="54" t="str">
        <f t="shared" si="54"/>
        <v>12-18 Months</v>
      </c>
      <c r="O656" s="54" t="s">
        <v>7</v>
      </c>
      <c r="P656" s="54">
        <f t="shared" si="50"/>
        <v>0</v>
      </c>
      <c r="Q656">
        <f t="shared" si="51"/>
        <v>0</v>
      </c>
      <c r="R656">
        <f t="shared" si="52"/>
        <v>0</v>
      </c>
    </row>
    <row r="657" spans="1:18" x14ac:dyDescent="0.2">
      <c r="A657" s="54">
        <v>270032</v>
      </c>
      <c r="B657" s="54" t="s">
        <v>1068</v>
      </c>
      <c r="C657" s="55">
        <v>28</v>
      </c>
      <c r="D657" s="55">
        <v>28</v>
      </c>
      <c r="E657" s="55">
        <v>5</v>
      </c>
      <c r="F657" s="55">
        <v>6</v>
      </c>
      <c r="G657" s="55">
        <v>6</v>
      </c>
      <c r="H657" s="55">
        <v>0</v>
      </c>
      <c r="I657" s="55">
        <v>0.21</v>
      </c>
      <c r="J657" s="55">
        <v>0.21</v>
      </c>
      <c r="K657" s="55">
        <v>0</v>
      </c>
      <c r="L657" s="55">
        <v>3</v>
      </c>
      <c r="M657" s="54" t="str">
        <f t="shared" si="53"/>
        <v>0-6 Months</v>
      </c>
      <c r="N657" s="54" t="str">
        <f t="shared" si="54"/>
        <v>12-18 Months</v>
      </c>
      <c r="O657" s="54" t="s">
        <v>7</v>
      </c>
      <c r="P657" s="54">
        <f t="shared" si="50"/>
        <v>0</v>
      </c>
      <c r="Q657">
        <f t="shared" si="51"/>
        <v>0</v>
      </c>
      <c r="R657">
        <f t="shared" si="52"/>
        <v>0</v>
      </c>
    </row>
    <row r="658" spans="1:18" x14ac:dyDescent="0.2">
      <c r="A658" s="54">
        <v>107368</v>
      </c>
      <c r="B658" s="54" t="s">
        <v>1089</v>
      </c>
      <c r="C658" s="55">
        <v>31</v>
      </c>
      <c r="D658" s="55">
        <v>167</v>
      </c>
      <c r="E658" s="55">
        <v>5</v>
      </c>
      <c r="F658" s="55">
        <v>500</v>
      </c>
      <c r="G658" s="55">
        <v>500</v>
      </c>
      <c r="H658" s="55">
        <v>394</v>
      </c>
      <c r="I658" s="55">
        <v>2.99</v>
      </c>
      <c r="J658" s="55">
        <v>2.99</v>
      </c>
      <c r="K658" s="55">
        <v>2.36</v>
      </c>
      <c r="L658" s="55">
        <v>79</v>
      </c>
      <c r="M658" s="54" t="str">
        <f t="shared" si="53"/>
        <v>0-6 Months</v>
      </c>
      <c r="N658" s="54" t="str">
        <f t="shared" si="54"/>
        <v>12-18 Months</v>
      </c>
      <c r="O658" s="54" t="s">
        <v>6</v>
      </c>
      <c r="P658" s="54">
        <f t="shared" si="50"/>
        <v>31</v>
      </c>
      <c r="Q658">
        <f t="shared" si="51"/>
        <v>31</v>
      </c>
      <c r="R658">
        <f t="shared" si="52"/>
        <v>31</v>
      </c>
    </row>
    <row r="659" spans="1:18" x14ac:dyDescent="0.2">
      <c r="A659" s="54">
        <v>128946</v>
      </c>
      <c r="B659" s="54" t="s">
        <v>1095</v>
      </c>
      <c r="C659" s="55">
        <v>32</v>
      </c>
      <c r="D659" s="55">
        <v>27</v>
      </c>
      <c r="E659" s="55">
        <v>5</v>
      </c>
      <c r="F659" s="55">
        <v>0</v>
      </c>
      <c r="G659" s="55">
        <v>0</v>
      </c>
      <c r="H659" s="55">
        <v>0</v>
      </c>
      <c r="I659" s="55">
        <v>0</v>
      </c>
      <c r="J659" s="55">
        <v>0</v>
      </c>
      <c r="K659" s="55">
        <v>0</v>
      </c>
      <c r="L659" s="55">
        <v>0</v>
      </c>
      <c r="M659" s="54" t="str">
        <f t="shared" si="53"/>
        <v>0-6 Months</v>
      </c>
      <c r="N659" s="54" t="str">
        <f t="shared" si="54"/>
        <v>12-18 Months</v>
      </c>
      <c r="O659" s="54" t="s">
        <v>7</v>
      </c>
      <c r="P659" s="54">
        <f t="shared" si="50"/>
        <v>0</v>
      </c>
      <c r="Q659">
        <f t="shared" si="51"/>
        <v>0</v>
      </c>
      <c r="R659">
        <f t="shared" si="52"/>
        <v>0</v>
      </c>
    </row>
    <row r="660" spans="1:18" x14ac:dyDescent="0.2">
      <c r="A660" s="54">
        <v>154999</v>
      </c>
      <c r="B660" s="54" t="s">
        <v>1110</v>
      </c>
      <c r="C660" s="55">
        <v>35</v>
      </c>
      <c r="D660" s="55">
        <v>50</v>
      </c>
      <c r="E660" s="55">
        <v>5</v>
      </c>
      <c r="F660" s="55">
        <v>8</v>
      </c>
      <c r="G660" s="55">
        <v>8</v>
      </c>
      <c r="H660" s="55">
        <v>0</v>
      </c>
      <c r="I660" s="55">
        <v>0.16</v>
      </c>
      <c r="J660" s="55">
        <v>0.16</v>
      </c>
      <c r="K660" s="55">
        <v>0</v>
      </c>
      <c r="L660" s="55">
        <v>0</v>
      </c>
      <c r="M660" s="54" t="str">
        <f t="shared" si="53"/>
        <v>0-6 Months</v>
      </c>
      <c r="N660" s="54" t="str">
        <f t="shared" si="54"/>
        <v>12-18 Months</v>
      </c>
      <c r="O660" s="54" t="s">
        <v>7</v>
      </c>
      <c r="P660" s="54">
        <f t="shared" si="50"/>
        <v>0</v>
      </c>
      <c r="Q660">
        <f t="shared" si="51"/>
        <v>0</v>
      </c>
      <c r="R660">
        <f t="shared" si="52"/>
        <v>0</v>
      </c>
    </row>
    <row r="661" spans="1:18" x14ac:dyDescent="0.2">
      <c r="A661" s="54">
        <v>558558</v>
      </c>
      <c r="B661" s="54" t="s">
        <v>1116</v>
      </c>
      <c r="C661" s="55">
        <v>36</v>
      </c>
      <c r="D661" s="55">
        <v>35</v>
      </c>
      <c r="E661" s="55">
        <v>5</v>
      </c>
      <c r="F661" s="55">
        <v>0</v>
      </c>
      <c r="G661" s="55">
        <v>0</v>
      </c>
      <c r="H661" s="55">
        <v>0</v>
      </c>
      <c r="I661" s="55">
        <v>0</v>
      </c>
      <c r="J661" s="55">
        <v>0</v>
      </c>
      <c r="K661" s="55">
        <v>0</v>
      </c>
      <c r="L661" s="55">
        <v>0</v>
      </c>
      <c r="M661" s="54" t="str">
        <f t="shared" si="53"/>
        <v>0-6 Months</v>
      </c>
      <c r="N661" s="54" t="str">
        <f t="shared" si="54"/>
        <v>12-18 Months</v>
      </c>
      <c r="O661" s="54" t="s">
        <v>7</v>
      </c>
      <c r="P661" s="54">
        <f t="shared" si="50"/>
        <v>0</v>
      </c>
      <c r="Q661">
        <f t="shared" si="51"/>
        <v>0</v>
      </c>
      <c r="R661">
        <f t="shared" si="52"/>
        <v>0</v>
      </c>
    </row>
    <row r="662" spans="1:18" x14ac:dyDescent="0.2">
      <c r="A662" s="54">
        <v>501750</v>
      </c>
      <c r="B662" s="54" t="s">
        <v>1129</v>
      </c>
      <c r="C662" s="55">
        <v>40</v>
      </c>
      <c r="D662" s="55">
        <v>40</v>
      </c>
      <c r="E662" s="55">
        <v>5</v>
      </c>
      <c r="F662" s="55">
        <v>0</v>
      </c>
      <c r="G662" s="55">
        <v>0</v>
      </c>
      <c r="H662" s="55">
        <v>0</v>
      </c>
      <c r="I662" s="55">
        <v>0</v>
      </c>
      <c r="J662" s="55">
        <v>0</v>
      </c>
      <c r="K662" s="55">
        <v>0</v>
      </c>
      <c r="L662" s="55">
        <v>0</v>
      </c>
      <c r="M662" s="54" t="str">
        <f t="shared" si="53"/>
        <v>0-6 Months</v>
      </c>
      <c r="N662" s="54" t="str">
        <f t="shared" si="54"/>
        <v>12-18 Months</v>
      </c>
      <c r="O662" s="54" t="s">
        <v>7</v>
      </c>
      <c r="P662" s="54">
        <f t="shared" si="50"/>
        <v>0</v>
      </c>
      <c r="Q662">
        <f t="shared" si="51"/>
        <v>0</v>
      </c>
      <c r="R662">
        <f t="shared" si="52"/>
        <v>0</v>
      </c>
    </row>
    <row r="663" spans="1:18" x14ac:dyDescent="0.2">
      <c r="A663" s="54">
        <v>116783</v>
      </c>
      <c r="B663" s="54" t="s">
        <v>1133</v>
      </c>
      <c r="C663" s="55">
        <v>42</v>
      </c>
      <c r="D663" s="55">
        <v>50</v>
      </c>
      <c r="E663" s="55">
        <v>5</v>
      </c>
      <c r="F663" s="55">
        <v>2</v>
      </c>
      <c r="G663" s="55">
        <v>2</v>
      </c>
      <c r="H663" s="55">
        <v>2</v>
      </c>
      <c r="I663" s="55">
        <v>0.04</v>
      </c>
      <c r="J663" s="55">
        <v>0.04</v>
      </c>
      <c r="K663" s="55">
        <v>0.04</v>
      </c>
      <c r="L663" s="55">
        <v>16</v>
      </c>
      <c r="M663" s="54" t="str">
        <f t="shared" si="53"/>
        <v>0-6 Months</v>
      </c>
      <c r="N663" s="54" t="str">
        <f t="shared" si="54"/>
        <v>12-18 Months</v>
      </c>
      <c r="O663" s="54" t="s">
        <v>7</v>
      </c>
      <c r="P663" s="54">
        <f t="shared" si="50"/>
        <v>0</v>
      </c>
      <c r="Q663">
        <f t="shared" si="51"/>
        <v>0</v>
      </c>
      <c r="R663">
        <f t="shared" si="52"/>
        <v>0</v>
      </c>
    </row>
    <row r="664" spans="1:18" x14ac:dyDescent="0.2">
      <c r="A664" s="54">
        <v>507321</v>
      </c>
      <c r="B664" s="54" t="s">
        <v>1144</v>
      </c>
      <c r="C664" s="55">
        <v>50</v>
      </c>
      <c r="D664" s="55">
        <v>40</v>
      </c>
      <c r="E664" s="55">
        <v>5</v>
      </c>
      <c r="F664" s="55">
        <v>18</v>
      </c>
      <c r="G664" s="55">
        <v>18</v>
      </c>
      <c r="H664" s="55">
        <v>18</v>
      </c>
      <c r="I664" s="55">
        <v>0.45</v>
      </c>
      <c r="J664" s="55">
        <v>0.45</v>
      </c>
      <c r="K664" s="55">
        <v>0.45</v>
      </c>
      <c r="L664" s="55">
        <v>5</v>
      </c>
      <c r="M664" s="54" t="str">
        <f t="shared" si="53"/>
        <v>0-6 Months</v>
      </c>
      <c r="N664" s="54" t="str">
        <f t="shared" si="54"/>
        <v>12-18 Months</v>
      </c>
      <c r="O664" s="54" t="s">
        <v>7</v>
      </c>
      <c r="P664" s="54">
        <f t="shared" si="50"/>
        <v>0</v>
      </c>
      <c r="Q664">
        <f t="shared" si="51"/>
        <v>0</v>
      </c>
      <c r="R664">
        <f t="shared" si="52"/>
        <v>0</v>
      </c>
    </row>
    <row r="665" spans="1:18" x14ac:dyDescent="0.2">
      <c r="A665" s="54">
        <v>109564</v>
      </c>
      <c r="B665" s="54" t="s">
        <v>1146</v>
      </c>
      <c r="C665" s="55">
        <v>51</v>
      </c>
      <c r="D665" s="55">
        <v>38</v>
      </c>
      <c r="E665" s="55">
        <v>5</v>
      </c>
      <c r="F665" s="55">
        <v>35</v>
      </c>
      <c r="G665" s="55">
        <v>35</v>
      </c>
      <c r="H665" s="55">
        <v>30</v>
      </c>
      <c r="I665" s="55">
        <v>0.92</v>
      </c>
      <c r="J665" s="55">
        <v>0.92</v>
      </c>
      <c r="K665" s="55">
        <v>0.79</v>
      </c>
      <c r="L665" s="55">
        <v>10</v>
      </c>
      <c r="M665" s="54" t="str">
        <f t="shared" si="53"/>
        <v>0-6 Months</v>
      </c>
      <c r="N665" s="54" t="str">
        <f t="shared" si="54"/>
        <v>12-18 Months</v>
      </c>
      <c r="O665" s="54" t="s">
        <v>7</v>
      </c>
      <c r="P665" s="54">
        <f t="shared" si="50"/>
        <v>51</v>
      </c>
      <c r="Q665">
        <f t="shared" si="51"/>
        <v>0</v>
      </c>
      <c r="R665">
        <f t="shared" si="52"/>
        <v>51</v>
      </c>
    </row>
    <row r="666" spans="1:18" x14ac:dyDescent="0.2">
      <c r="A666" s="54">
        <v>208174</v>
      </c>
      <c r="B666" s="54" t="s">
        <v>1151</v>
      </c>
      <c r="C666" s="55">
        <v>52</v>
      </c>
      <c r="D666" s="55">
        <v>51</v>
      </c>
      <c r="E666" s="55">
        <v>5</v>
      </c>
      <c r="F666" s="55">
        <v>240</v>
      </c>
      <c r="G666" s="55">
        <v>240</v>
      </c>
      <c r="H666" s="55">
        <v>223</v>
      </c>
      <c r="I666" s="55">
        <v>4.71</v>
      </c>
      <c r="J666" s="55">
        <v>4.71</v>
      </c>
      <c r="K666" s="55">
        <v>4.37</v>
      </c>
      <c r="L666" s="55">
        <v>1</v>
      </c>
      <c r="M666" s="54" t="str">
        <f t="shared" si="53"/>
        <v>0-6 Months</v>
      </c>
      <c r="N666" s="54" t="str">
        <f t="shared" si="54"/>
        <v>12-18 Months</v>
      </c>
      <c r="O666" s="54" t="s">
        <v>7</v>
      </c>
      <c r="P666" s="54">
        <f t="shared" si="50"/>
        <v>52</v>
      </c>
      <c r="Q666">
        <f t="shared" si="51"/>
        <v>52</v>
      </c>
      <c r="R666">
        <f t="shared" si="52"/>
        <v>52</v>
      </c>
    </row>
    <row r="667" spans="1:18" x14ac:dyDescent="0.2">
      <c r="A667" s="54">
        <v>113214</v>
      </c>
      <c r="B667" s="54" t="s">
        <v>1162</v>
      </c>
      <c r="C667" s="55">
        <v>55</v>
      </c>
      <c r="D667" s="55">
        <v>62</v>
      </c>
      <c r="E667" s="55">
        <v>5</v>
      </c>
      <c r="F667" s="55">
        <v>0</v>
      </c>
      <c r="G667" s="55">
        <v>0</v>
      </c>
      <c r="H667" s="55">
        <v>0</v>
      </c>
      <c r="I667" s="55">
        <v>0</v>
      </c>
      <c r="J667" s="55">
        <v>0</v>
      </c>
      <c r="K667" s="55">
        <v>0</v>
      </c>
      <c r="L667" s="55">
        <v>0</v>
      </c>
      <c r="M667" s="54" t="str">
        <f t="shared" si="53"/>
        <v>0-6 Months</v>
      </c>
      <c r="N667" s="54" t="str">
        <f t="shared" si="54"/>
        <v>12-18 Months</v>
      </c>
      <c r="O667" s="54" t="s">
        <v>7</v>
      </c>
      <c r="P667" s="54">
        <f t="shared" si="50"/>
        <v>0</v>
      </c>
      <c r="Q667">
        <f t="shared" si="51"/>
        <v>0</v>
      </c>
      <c r="R667">
        <f t="shared" si="52"/>
        <v>0</v>
      </c>
    </row>
    <row r="668" spans="1:18" x14ac:dyDescent="0.2">
      <c r="A668" s="54">
        <v>163049</v>
      </c>
      <c r="B668" s="54" t="s">
        <v>1169</v>
      </c>
      <c r="C668" s="55">
        <v>60</v>
      </c>
      <c r="D668" s="55">
        <v>60</v>
      </c>
      <c r="E668" s="55">
        <v>5</v>
      </c>
      <c r="F668" s="55">
        <v>44</v>
      </c>
      <c r="G668" s="55">
        <v>44</v>
      </c>
      <c r="H668" s="55">
        <v>27</v>
      </c>
      <c r="I668" s="55">
        <v>0.73</v>
      </c>
      <c r="J668" s="55">
        <v>0.73</v>
      </c>
      <c r="K668" s="55">
        <v>0.45</v>
      </c>
      <c r="L668" s="55">
        <v>9</v>
      </c>
      <c r="M668" s="54" t="str">
        <f t="shared" si="53"/>
        <v>0-6 Months</v>
      </c>
      <c r="N668" s="54" t="str">
        <f t="shared" si="54"/>
        <v>12-18 Months</v>
      </c>
      <c r="O668" s="54" t="s">
        <v>7</v>
      </c>
      <c r="P668" s="54">
        <f t="shared" si="50"/>
        <v>0</v>
      </c>
      <c r="Q668">
        <f t="shared" si="51"/>
        <v>0</v>
      </c>
      <c r="R668">
        <f t="shared" si="52"/>
        <v>0</v>
      </c>
    </row>
    <row r="669" spans="1:18" x14ac:dyDescent="0.2">
      <c r="A669" s="54">
        <v>109232</v>
      </c>
      <c r="B669" s="54" t="s">
        <v>1174</v>
      </c>
      <c r="C669" s="55">
        <v>68</v>
      </c>
      <c r="D669" s="55">
        <v>60</v>
      </c>
      <c r="E669" s="55">
        <v>5</v>
      </c>
      <c r="F669" s="55">
        <v>62</v>
      </c>
      <c r="G669" s="55">
        <v>62</v>
      </c>
      <c r="H669" s="55">
        <v>32</v>
      </c>
      <c r="I669" s="55">
        <v>1.03</v>
      </c>
      <c r="J669" s="55">
        <v>1.03</v>
      </c>
      <c r="K669" s="55">
        <v>0.53</v>
      </c>
      <c r="L669" s="55">
        <v>35</v>
      </c>
      <c r="M669" s="54" t="str">
        <f t="shared" si="53"/>
        <v>0-6 Months</v>
      </c>
      <c r="N669" s="54" t="str">
        <f t="shared" si="54"/>
        <v>12-18 Months</v>
      </c>
      <c r="O669" s="54" t="s">
        <v>7</v>
      </c>
      <c r="P669" s="54">
        <f t="shared" si="50"/>
        <v>68</v>
      </c>
      <c r="Q669">
        <f t="shared" si="51"/>
        <v>0</v>
      </c>
      <c r="R669">
        <f t="shared" si="52"/>
        <v>68</v>
      </c>
    </row>
    <row r="670" spans="1:18" x14ac:dyDescent="0.2">
      <c r="A670" s="54">
        <v>186720</v>
      </c>
      <c r="B670" s="54" t="s">
        <v>1191</v>
      </c>
      <c r="C670" s="55">
        <v>78</v>
      </c>
      <c r="D670" s="55">
        <v>74</v>
      </c>
      <c r="E670" s="55">
        <v>5</v>
      </c>
      <c r="F670" s="55">
        <v>46</v>
      </c>
      <c r="G670" s="55">
        <v>46</v>
      </c>
      <c r="H670" s="55">
        <v>46</v>
      </c>
      <c r="I670" s="55">
        <v>0.62</v>
      </c>
      <c r="J670" s="55">
        <v>0.62</v>
      </c>
      <c r="K670" s="55">
        <v>0.62</v>
      </c>
      <c r="L670" s="55">
        <v>0</v>
      </c>
      <c r="M670" s="54" t="str">
        <f t="shared" si="53"/>
        <v>0-6 Months</v>
      </c>
      <c r="N670" s="54" t="str">
        <f t="shared" si="54"/>
        <v>12-18 Months</v>
      </c>
      <c r="O670" s="54" t="s">
        <v>7</v>
      </c>
      <c r="P670" s="54">
        <f t="shared" si="50"/>
        <v>0</v>
      </c>
      <c r="Q670">
        <f t="shared" si="51"/>
        <v>0</v>
      </c>
      <c r="R670">
        <f t="shared" si="52"/>
        <v>0</v>
      </c>
    </row>
    <row r="671" spans="1:18" x14ac:dyDescent="0.2">
      <c r="A671" s="54">
        <v>127392</v>
      </c>
      <c r="B671" s="54" t="s">
        <v>1198</v>
      </c>
      <c r="C671" s="55">
        <v>82</v>
      </c>
      <c r="D671" s="55">
        <v>80</v>
      </c>
      <c r="E671" s="55">
        <v>5</v>
      </c>
      <c r="F671" s="55">
        <v>116</v>
      </c>
      <c r="G671" s="55">
        <v>116</v>
      </c>
      <c r="H671" s="55">
        <v>0</v>
      </c>
      <c r="I671" s="55">
        <v>1.45</v>
      </c>
      <c r="J671" s="55">
        <v>1.45</v>
      </c>
      <c r="K671" s="55">
        <v>0</v>
      </c>
      <c r="L671" s="55">
        <v>69</v>
      </c>
      <c r="M671" s="54" t="str">
        <f t="shared" si="53"/>
        <v>0-6 Months</v>
      </c>
      <c r="N671" s="54" t="str">
        <f t="shared" si="54"/>
        <v>12-18 Months</v>
      </c>
      <c r="O671" s="54" t="s">
        <v>7</v>
      </c>
      <c r="P671" s="54">
        <f t="shared" si="50"/>
        <v>82</v>
      </c>
      <c r="Q671">
        <f t="shared" si="51"/>
        <v>0</v>
      </c>
      <c r="R671">
        <f t="shared" si="52"/>
        <v>82</v>
      </c>
    </row>
    <row r="672" spans="1:18" x14ac:dyDescent="0.2">
      <c r="A672" s="54">
        <v>135923</v>
      </c>
      <c r="B672" s="54" t="s">
        <v>1211</v>
      </c>
      <c r="C672" s="55">
        <v>98</v>
      </c>
      <c r="D672" s="55">
        <v>114</v>
      </c>
      <c r="E672" s="55">
        <v>5</v>
      </c>
      <c r="F672" s="55">
        <v>5</v>
      </c>
      <c r="G672" s="55">
        <v>5</v>
      </c>
      <c r="H672" s="55">
        <v>5</v>
      </c>
      <c r="I672" s="55">
        <v>0.04</v>
      </c>
      <c r="J672" s="55">
        <v>0.04</v>
      </c>
      <c r="K672" s="55">
        <v>0.04</v>
      </c>
      <c r="L672" s="55">
        <v>0</v>
      </c>
      <c r="M672" s="54" t="str">
        <f t="shared" si="53"/>
        <v>0-6 Months</v>
      </c>
      <c r="N672" s="54" t="str">
        <f t="shared" si="54"/>
        <v>12-18 Months</v>
      </c>
      <c r="O672" s="54" t="s">
        <v>6</v>
      </c>
      <c r="P672" s="54">
        <f t="shared" si="50"/>
        <v>0</v>
      </c>
      <c r="Q672">
        <f t="shared" si="51"/>
        <v>0</v>
      </c>
      <c r="R672">
        <f t="shared" si="52"/>
        <v>0</v>
      </c>
    </row>
    <row r="673" spans="1:18" x14ac:dyDescent="0.2">
      <c r="A673" s="54" t="s">
        <v>1210</v>
      </c>
      <c r="B673" s="54" t="s">
        <v>1209</v>
      </c>
      <c r="C673" s="55">
        <v>98</v>
      </c>
      <c r="D673" s="55">
        <v>41</v>
      </c>
      <c r="E673" s="55">
        <v>5</v>
      </c>
      <c r="F673" s="55">
        <v>19</v>
      </c>
      <c r="G673" s="55">
        <v>19</v>
      </c>
      <c r="H673" s="55">
        <v>19</v>
      </c>
      <c r="I673" s="55">
        <v>0.46</v>
      </c>
      <c r="J673" s="55">
        <v>0.46</v>
      </c>
      <c r="K673" s="55">
        <v>0.46</v>
      </c>
      <c r="L673" s="55">
        <v>92</v>
      </c>
      <c r="M673" s="54" t="str">
        <f t="shared" si="53"/>
        <v>0-6 Months</v>
      </c>
      <c r="N673" s="54" t="str">
        <f t="shared" si="54"/>
        <v>12-18 Months</v>
      </c>
      <c r="O673" s="54" t="s">
        <v>7</v>
      </c>
      <c r="P673" s="54">
        <f t="shared" si="50"/>
        <v>0</v>
      </c>
      <c r="Q673">
        <f t="shared" si="51"/>
        <v>0</v>
      </c>
      <c r="R673">
        <f t="shared" si="52"/>
        <v>0</v>
      </c>
    </row>
    <row r="674" spans="1:18" x14ac:dyDescent="0.2">
      <c r="A674" s="54">
        <v>112441</v>
      </c>
      <c r="B674" s="54" t="s">
        <v>1212</v>
      </c>
      <c r="C674" s="55">
        <v>99</v>
      </c>
      <c r="D674" s="55">
        <v>52</v>
      </c>
      <c r="E674" s="55">
        <v>5</v>
      </c>
      <c r="F674" s="55">
        <v>0</v>
      </c>
      <c r="G674" s="55">
        <v>0</v>
      </c>
      <c r="H674" s="55">
        <v>0</v>
      </c>
      <c r="I674" s="55">
        <v>0</v>
      </c>
      <c r="J674" s="55">
        <v>0</v>
      </c>
      <c r="K674" s="55">
        <v>0</v>
      </c>
      <c r="L674" s="55">
        <v>0</v>
      </c>
      <c r="M674" s="54" t="str">
        <f t="shared" si="53"/>
        <v>0-6 Months</v>
      </c>
      <c r="N674" s="54" t="str">
        <f t="shared" si="54"/>
        <v>12-18 Months</v>
      </c>
      <c r="O674" s="54" t="s">
        <v>7</v>
      </c>
      <c r="P674" s="54">
        <f t="shared" si="50"/>
        <v>0</v>
      </c>
      <c r="Q674">
        <f t="shared" si="51"/>
        <v>0</v>
      </c>
      <c r="R674">
        <f t="shared" si="52"/>
        <v>0</v>
      </c>
    </row>
    <row r="675" spans="1:18" x14ac:dyDescent="0.2">
      <c r="A675" s="54">
        <v>465572</v>
      </c>
      <c r="B675" s="54" t="s">
        <v>1213</v>
      </c>
      <c r="C675" s="55">
        <v>99</v>
      </c>
      <c r="D675" s="55">
        <v>20</v>
      </c>
      <c r="E675" s="55">
        <v>5</v>
      </c>
      <c r="F675" s="55">
        <v>104</v>
      </c>
      <c r="G675" s="55">
        <v>104</v>
      </c>
      <c r="H675" s="55">
        <v>104</v>
      </c>
      <c r="I675" s="55">
        <v>5.2</v>
      </c>
      <c r="J675" s="55">
        <v>5.2</v>
      </c>
      <c r="K675" s="55">
        <v>5.2</v>
      </c>
      <c r="L675" s="55">
        <v>18</v>
      </c>
      <c r="M675" s="54" t="str">
        <f t="shared" si="53"/>
        <v>0-6 Months</v>
      </c>
      <c r="N675" s="54" t="str">
        <f t="shared" si="54"/>
        <v>12-18 Months</v>
      </c>
      <c r="O675" s="54" t="s">
        <v>7</v>
      </c>
      <c r="P675" s="54">
        <f t="shared" si="50"/>
        <v>99</v>
      </c>
      <c r="Q675">
        <f t="shared" si="51"/>
        <v>99</v>
      </c>
      <c r="R675">
        <f t="shared" si="52"/>
        <v>99</v>
      </c>
    </row>
    <row r="676" spans="1:18" x14ac:dyDescent="0.2">
      <c r="A676" s="54">
        <v>216931</v>
      </c>
      <c r="B676" s="54" t="s">
        <v>1219</v>
      </c>
      <c r="C676" s="55">
        <v>106</v>
      </c>
      <c r="D676" s="55">
        <v>110</v>
      </c>
      <c r="E676" s="55">
        <v>5</v>
      </c>
      <c r="F676" s="55">
        <v>75</v>
      </c>
      <c r="G676" s="55">
        <v>75</v>
      </c>
      <c r="H676" s="55">
        <v>24</v>
      </c>
      <c r="I676" s="55">
        <v>0.68</v>
      </c>
      <c r="J676" s="55">
        <v>0.68</v>
      </c>
      <c r="K676" s="55">
        <v>0.22</v>
      </c>
      <c r="L676" s="55">
        <v>57</v>
      </c>
      <c r="M676" s="54" t="str">
        <f t="shared" si="53"/>
        <v>0-6 Months</v>
      </c>
      <c r="N676" s="54" t="str">
        <f t="shared" si="54"/>
        <v>12-18 Months</v>
      </c>
      <c r="O676" s="54" t="s">
        <v>6</v>
      </c>
      <c r="P676" s="54">
        <f t="shared" si="50"/>
        <v>0</v>
      </c>
      <c r="Q676">
        <f t="shared" si="51"/>
        <v>0</v>
      </c>
      <c r="R676">
        <f t="shared" si="52"/>
        <v>0</v>
      </c>
    </row>
    <row r="677" spans="1:18" x14ac:dyDescent="0.2">
      <c r="A677" s="54">
        <v>107455</v>
      </c>
      <c r="B677" s="54" t="s">
        <v>1223</v>
      </c>
      <c r="C677" s="55">
        <v>111</v>
      </c>
      <c r="D677" s="55">
        <v>151</v>
      </c>
      <c r="E677" s="55">
        <v>5</v>
      </c>
      <c r="F677" s="55">
        <v>60</v>
      </c>
      <c r="G677" s="55">
        <v>60</v>
      </c>
      <c r="H677" s="55">
        <v>59</v>
      </c>
      <c r="I677" s="55">
        <v>0.4</v>
      </c>
      <c r="J677" s="55">
        <v>0.4</v>
      </c>
      <c r="K677" s="55">
        <v>0.39</v>
      </c>
      <c r="L677" s="55">
        <v>0</v>
      </c>
      <c r="M677" s="54" t="str">
        <f t="shared" si="53"/>
        <v>0-6 Months</v>
      </c>
      <c r="N677" s="54" t="str">
        <f t="shared" si="54"/>
        <v>12-18 Months</v>
      </c>
      <c r="O677" s="54" t="s">
        <v>6</v>
      </c>
      <c r="P677" s="54">
        <f t="shared" si="50"/>
        <v>0</v>
      </c>
      <c r="Q677">
        <f t="shared" si="51"/>
        <v>0</v>
      </c>
      <c r="R677">
        <f t="shared" si="52"/>
        <v>0</v>
      </c>
    </row>
    <row r="678" spans="1:18" x14ac:dyDescent="0.2">
      <c r="A678" s="54">
        <v>107020</v>
      </c>
      <c r="B678" s="54" t="s">
        <v>1233</v>
      </c>
      <c r="C678" s="55">
        <v>123</v>
      </c>
      <c r="D678" s="55">
        <v>130</v>
      </c>
      <c r="E678" s="55">
        <v>5</v>
      </c>
      <c r="F678" s="55">
        <v>120</v>
      </c>
      <c r="G678" s="55">
        <v>120</v>
      </c>
      <c r="H678" s="55">
        <v>4</v>
      </c>
      <c r="I678" s="55">
        <v>0.92</v>
      </c>
      <c r="J678" s="55">
        <v>0.92</v>
      </c>
      <c r="K678" s="55">
        <v>0.03</v>
      </c>
      <c r="L678" s="55">
        <v>124</v>
      </c>
      <c r="M678" s="54" t="str">
        <f t="shared" si="53"/>
        <v>0-6 Months</v>
      </c>
      <c r="N678" s="54" t="str">
        <f t="shared" si="54"/>
        <v>12-18 Months</v>
      </c>
      <c r="O678" s="54" t="s">
        <v>6</v>
      </c>
      <c r="P678" s="54">
        <f t="shared" si="50"/>
        <v>123</v>
      </c>
      <c r="Q678">
        <f t="shared" si="51"/>
        <v>0</v>
      </c>
      <c r="R678">
        <f t="shared" si="52"/>
        <v>123</v>
      </c>
    </row>
    <row r="679" spans="1:18" x14ac:dyDescent="0.2">
      <c r="A679" s="54">
        <v>112009</v>
      </c>
      <c r="B679" s="54" t="s">
        <v>1241</v>
      </c>
      <c r="C679" s="55">
        <v>126</v>
      </c>
      <c r="D679" s="55">
        <v>107</v>
      </c>
      <c r="E679" s="55">
        <v>5</v>
      </c>
      <c r="F679" s="55">
        <v>101</v>
      </c>
      <c r="G679" s="55">
        <v>101</v>
      </c>
      <c r="H679" s="55">
        <v>23</v>
      </c>
      <c r="I679" s="55">
        <v>0.94</v>
      </c>
      <c r="J679" s="55">
        <v>0.94</v>
      </c>
      <c r="K679" s="55">
        <v>0.21</v>
      </c>
      <c r="L679" s="55">
        <v>31</v>
      </c>
      <c r="M679" s="54" t="str">
        <f t="shared" si="53"/>
        <v>0-6 Months</v>
      </c>
      <c r="N679" s="54" t="str">
        <f t="shared" si="54"/>
        <v>12-18 Months</v>
      </c>
      <c r="O679" s="54" t="s">
        <v>6</v>
      </c>
      <c r="P679" s="54">
        <f t="shared" si="50"/>
        <v>126</v>
      </c>
      <c r="Q679">
        <f t="shared" si="51"/>
        <v>0</v>
      </c>
      <c r="R679">
        <f t="shared" si="52"/>
        <v>126</v>
      </c>
    </row>
    <row r="680" spans="1:18" x14ac:dyDescent="0.2">
      <c r="A680" s="54">
        <v>152725</v>
      </c>
      <c r="B680" s="54" t="s">
        <v>1257</v>
      </c>
      <c r="C680" s="55">
        <v>155</v>
      </c>
      <c r="D680" s="55">
        <v>10</v>
      </c>
      <c r="E680" s="55">
        <v>5</v>
      </c>
      <c r="F680" s="55">
        <v>61</v>
      </c>
      <c r="G680" s="55">
        <v>61</v>
      </c>
      <c r="H680" s="55">
        <v>51</v>
      </c>
      <c r="I680" s="55">
        <v>6.1</v>
      </c>
      <c r="J680" s="55">
        <v>6.1</v>
      </c>
      <c r="K680" s="55">
        <v>5.0999999999999996</v>
      </c>
      <c r="L680" s="55">
        <v>32</v>
      </c>
      <c r="M680" s="54" t="str">
        <f t="shared" si="53"/>
        <v>0-6 Months</v>
      </c>
      <c r="N680" s="54" t="str">
        <f t="shared" si="54"/>
        <v>12-18 Months</v>
      </c>
      <c r="O680" s="54" t="s">
        <v>7</v>
      </c>
      <c r="P680" s="54">
        <f t="shared" si="50"/>
        <v>155</v>
      </c>
      <c r="Q680">
        <f t="shared" si="51"/>
        <v>155</v>
      </c>
      <c r="R680">
        <f t="shared" si="52"/>
        <v>155</v>
      </c>
    </row>
    <row r="681" spans="1:18" x14ac:dyDescent="0.2">
      <c r="A681" s="54">
        <v>115086</v>
      </c>
      <c r="B681" s="54" t="s">
        <v>1261</v>
      </c>
      <c r="C681" s="55">
        <v>160</v>
      </c>
      <c r="D681" s="55">
        <v>178</v>
      </c>
      <c r="E681" s="55">
        <v>5</v>
      </c>
      <c r="F681" s="55">
        <v>0</v>
      </c>
      <c r="G681" s="55">
        <v>0</v>
      </c>
      <c r="H681" s="55">
        <v>0</v>
      </c>
      <c r="I681" s="55">
        <v>0</v>
      </c>
      <c r="J681" s="55">
        <v>0</v>
      </c>
      <c r="K681" s="55">
        <v>0</v>
      </c>
      <c r="L681" s="55">
        <v>0</v>
      </c>
      <c r="M681" s="54" t="str">
        <f t="shared" si="53"/>
        <v>0-6 Months</v>
      </c>
      <c r="N681" s="54" t="str">
        <f t="shared" si="54"/>
        <v>12-18 Months</v>
      </c>
      <c r="O681" s="54" t="s">
        <v>6</v>
      </c>
      <c r="P681" s="54">
        <f t="shared" si="50"/>
        <v>0</v>
      </c>
      <c r="Q681">
        <f t="shared" si="51"/>
        <v>0</v>
      </c>
      <c r="R681">
        <f t="shared" si="52"/>
        <v>0</v>
      </c>
    </row>
    <row r="682" spans="1:18" x14ac:dyDescent="0.2">
      <c r="A682" s="54">
        <v>466485</v>
      </c>
      <c r="B682" s="54" t="s">
        <v>1268</v>
      </c>
      <c r="C682" s="55">
        <v>178</v>
      </c>
      <c r="D682" s="55">
        <v>140</v>
      </c>
      <c r="E682" s="55">
        <v>5</v>
      </c>
      <c r="F682" s="55">
        <v>0</v>
      </c>
      <c r="G682" s="55">
        <v>0</v>
      </c>
      <c r="H682" s="55">
        <v>0</v>
      </c>
      <c r="I682" s="55">
        <v>0</v>
      </c>
      <c r="J682" s="55">
        <v>0</v>
      </c>
      <c r="K682" s="55">
        <v>0</v>
      </c>
      <c r="L682" s="55">
        <v>0</v>
      </c>
      <c r="M682" s="54" t="str">
        <f t="shared" si="53"/>
        <v>0-6 Months</v>
      </c>
      <c r="N682" s="54" t="str">
        <f t="shared" si="54"/>
        <v>12-18 Months</v>
      </c>
      <c r="O682" s="54" t="s">
        <v>6</v>
      </c>
      <c r="P682" s="54">
        <f t="shared" si="50"/>
        <v>0</v>
      </c>
      <c r="Q682">
        <f t="shared" si="51"/>
        <v>0</v>
      </c>
      <c r="R682">
        <f t="shared" si="52"/>
        <v>0</v>
      </c>
    </row>
    <row r="683" spans="1:18" x14ac:dyDescent="0.2">
      <c r="A683" s="54">
        <v>513431</v>
      </c>
      <c r="B683" s="54" t="s">
        <v>1273</v>
      </c>
      <c r="C683" s="55">
        <v>208</v>
      </c>
      <c r="D683" s="55">
        <v>10</v>
      </c>
      <c r="E683" s="55">
        <v>5</v>
      </c>
      <c r="F683" s="55">
        <v>268</v>
      </c>
      <c r="G683" s="55">
        <v>268</v>
      </c>
      <c r="H683" s="55">
        <v>195</v>
      </c>
      <c r="I683" s="55">
        <v>26.8</v>
      </c>
      <c r="J683" s="55">
        <v>26.8</v>
      </c>
      <c r="K683" s="55">
        <v>19.5</v>
      </c>
      <c r="L683" s="55">
        <v>11</v>
      </c>
      <c r="M683" s="54" t="str">
        <f t="shared" si="53"/>
        <v>0-6 Months</v>
      </c>
      <c r="N683" s="54" t="str">
        <f t="shared" si="54"/>
        <v>12-18 Months</v>
      </c>
      <c r="O683" s="54" t="s">
        <v>7</v>
      </c>
      <c r="P683" s="54">
        <f t="shared" si="50"/>
        <v>208</v>
      </c>
      <c r="Q683">
        <f t="shared" si="51"/>
        <v>208</v>
      </c>
      <c r="R683">
        <f t="shared" si="52"/>
        <v>208</v>
      </c>
    </row>
    <row r="684" spans="1:18" x14ac:dyDescent="0.2">
      <c r="A684" s="54">
        <v>106281</v>
      </c>
      <c r="B684" s="54" t="s">
        <v>1286</v>
      </c>
      <c r="C684" s="55">
        <v>373</v>
      </c>
      <c r="D684" s="55">
        <v>200</v>
      </c>
      <c r="E684" s="55">
        <v>5</v>
      </c>
      <c r="F684" s="55">
        <v>302</v>
      </c>
      <c r="G684" s="55">
        <v>291</v>
      </c>
      <c r="H684" s="55">
        <v>3</v>
      </c>
      <c r="I684" s="55">
        <v>1.51</v>
      </c>
      <c r="J684" s="55">
        <v>1.46</v>
      </c>
      <c r="K684" s="55">
        <v>0.02</v>
      </c>
      <c r="L684" s="55">
        <v>25</v>
      </c>
      <c r="M684" s="54" t="str">
        <f t="shared" si="53"/>
        <v>0-6 Months</v>
      </c>
      <c r="N684" s="54" t="str">
        <f t="shared" si="54"/>
        <v>12-18 Months</v>
      </c>
      <c r="O684" s="54" t="s">
        <v>6</v>
      </c>
      <c r="P684" s="54">
        <f t="shared" si="50"/>
        <v>373</v>
      </c>
      <c r="Q684">
        <f t="shared" si="51"/>
        <v>0</v>
      </c>
      <c r="R684">
        <f t="shared" si="52"/>
        <v>373</v>
      </c>
    </row>
    <row r="685" spans="1:18" x14ac:dyDescent="0.2">
      <c r="A685" s="54">
        <v>107831</v>
      </c>
      <c r="B685" s="54" t="s">
        <v>1288</v>
      </c>
      <c r="C685" s="55">
        <v>402</v>
      </c>
      <c r="D685" s="55">
        <v>420</v>
      </c>
      <c r="E685" s="55">
        <v>5</v>
      </c>
      <c r="F685" s="55">
        <v>1133</v>
      </c>
      <c r="G685" s="55">
        <v>1127</v>
      </c>
      <c r="H685" s="55">
        <v>746</v>
      </c>
      <c r="I685" s="55">
        <v>2.7</v>
      </c>
      <c r="J685" s="55">
        <v>2.68</v>
      </c>
      <c r="K685" s="55">
        <v>1.78</v>
      </c>
      <c r="L685" s="55">
        <v>27</v>
      </c>
      <c r="M685" s="54" t="str">
        <f t="shared" si="53"/>
        <v>0-6 Months</v>
      </c>
      <c r="N685" s="54" t="str">
        <f t="shared" si="54"/>
        <v>12-18 Months</v>
      </c>
      <c r="O685" s="54" t="s">
        <v>6</v>
      </c>
      <c r="P685" s="54">
        <f t="shared" si="50"/>
        <v>402</v>
      </c>
      <c r="Q685">
        <f t="shared" si="51"/>
        <v>402</v>
      </c>
      <c r="R685">
        <f t="shared" si="52"/>
        <v>402</v>
      </c>
    </row>
    <row r="686" spans="1:18" x14ac:dyDescent="0.2">
      <c r="A686" s="54">
        <v>157911</v>
      </c>
      <c r="B686" s="54" t="s">
        <v>1289</v>
      </c>
      <c r="C686" s="55">
        <v>415</v>
      </c>
      <c r="D686" s="55">
        <v>350</v>
      </c>
      <c r="E686" s="55">
        <v>5</v>
      </c>
      <c r="F686" s="55">
        <v>88</v>
      </c>
      <c r="G686" s="55">
        <v>88</v>
      </c>
      <c r="H686" s="55">
        <v>26</v>
      </c>
      <c r="I686" s="55">
        <v>0.25</v>
      </c>
      <c r="J686" s="55">
        <v>0.25</v>
      </c>
      <c r="K686" s="55">
        <v>7.0000000000000007E-2</v>
      </c>
      <c r="L686" s="55">
        <v>59</v>
      </c>
      <c r="M686" s="54" t="str">
        <f t="shared" si="53"/>
        <v>0-6 Months</v>
      </c>
      <c r="N686" s="54" t="str">
        <f t="shared" si="54"/>
        <v>12-18 Months</v>
      </c>
      <c r="O686" s="54" t="s">
        <v>6</v>
      </c>
      <c r="P686" s="54">
        <f t="shared" si="50"/>
        <v>0</v>
      </c>
      <c r="Q686">
        <f t="shared" si="51"/>
        <v>0</v>
      </c>
      <c r="R686">
        <f t="shared" si="52"/>
        <v>0</v>
      </c>
    </row>
    <row r="687" spans="1:18" x14ac:dyDescent="0.2">
      <c r="A687" s="54">
        <v>109245</v>
      </c>
      <c r="B687" s="54" t="s">
        <v>1290</v>
      </c>
      <c r="C687" s="55">
        <v>426</v>
      </c>
      <c r="D687" s="55">
        <v>350</v>
      </c>
      <c r="E687" s="55">
        <v>5</v>
      </c>
      <c r="F687" s="55">
        <v>2151</v>
      </c>
      <c r="G687" s="55">
        <v>2151</v>
      </c>
      <c r="H687" s="55">
        <v>316</v>
      </c>
      <c r="I687" s="55">
        <v>6.15</v>
      </c>
      <c r="J687" s="55">
        <v>6.15</v>
      </c>
      <c r="K687" s="55">
        <v>0.9</v>
      </c>
      <c r="L687" s="55">
        <v>77</v>
      </c>
      <c r="M687" s="54" t="str">
        <f t="shared" si="53"/>
        <v>0-6 Months</v>
      </c>
      <c r="N687" s="54" t="str">
        <f t="shared" si="54"/>
        <v>12-18 Months</v>
      </c>
      <c r="O687" s="54" t="s">
        <v>6</v>
      </c>
      <c r="P687" s="54">
        <f t="shared" si="50"/>
        <v>426</v>
      </c>
      <c r="Q687">
        <f t="shared" si="51"/>
        <v>426</v>
      </c>
      <c r="R687">
        <f t="shared" si="52"/>
        <v>426</v>
      </c>
    </row>
    <row r="688" spans="1:18" x14ac:dyDescent="0.2">
      <c r="A688" s="54">
        <v>328078</v>
      </c>
      <c r="B688" s="54" t="s">
        <v>1299</v>
      </c>
      <c r="C688" s="55">
        <v>800</v>
      </c>
      <c r="D688" s="55">
        <v>30</v>
      </c>
      <c r="E688" s="55">
        <v>5</v>
      </c>
      <c r="F688" s="55">
        <v>32</v>
      </c>
      <c r="G688" s="55">
        <v>32</v>
      </c>
      <c r="H688" s="55">
        <v>20</v>
      </c>
      <c r="I688" s="55">
        <v>1.07</v>
      </c>
      <c r="J688" s="55">
        <v>1.07</v>
      </c>
      <c r="K688" s="55">
        <v>0.67</v>
      </c>
      <c r="L688" s="55">
        <v>80</v>
      </c>
      <c r="M688" s="54" t="str">
        <f t="shared" si="53"/>
        <v>0-6 Months</v>
      </c>
      <c r="N688" s="54" t="str">
        <f t="shared" si="54"/>
        <v>12-18 Months</v>
      </c>
      <c r="O688" s="54" t="s">
        <v>7</v>
      </c>
      <c r="P688" s="54">
        <f t="shared" si="50"/>
        <v>800</v>
      </c>
      <c r="Q688">
        <f t="shared" si="51"/>
        <v>0</v>
      </c>
      <c r="R688">
        <f t="shared" si="52"/>
        <v>800</v>
      </c>
    </row>
    <row r="689" spans="1:18" x14ac:dyDescent="0.2">
      <c r="A689" s="54">
        <v>106338</v>
      </c>
      <c r="B689" s="54" t="s">
        <v>1300</v>
      </c>
      <c r="C689" s="55">
        <v>895</v>
      </c>
      <c r="D689" s="55">
        <v>750</v>
      </c>
      <c r="E689" s="55">
        <v>5</v>
      </c>
      <c r="F689" s="55">
        <v>1657</v>
      </c>
      <c r="G689" s="55">
        <v>1657</v>
      </c>
      <c r="H689" s="55">
        <v>1014</v>
      </c>
      <c r="I689" s="55">
        <v>2.21</v>
      </c>
      <c r="J689" s="55">
        <v>2.21</v>
      </c>
      <c r="K689" s="55">
        <v>1.35</v>
      </c>
      <c r="L689" s="55">
        <v>212</v>
      </c>
      <c r="M689" s="54" t="str">
        <f t="shared" si="53"/>
        <v>0-6 Months</v>
      </c>
      <c r="N689" s="54" t="str">
        <f t="shared" si="54"/>
        <v>12-18 Months</v>
      </c>
      <c r="O689" s="54" t="s">
        <v>5</v>
      </c>
      <c r="P689" s="54">
        <f t="shared" si="50"/>
        <v>895</v>
      </c>
      <c r="Q689">
        <f t="shared" si="51"/>
        <v>895</v>
      </c>
      <c r="R689">
        <f t="shared" si="52"/>
        <v>895</v>
      </c>
    </row>
    <row r="690" spans="1:18" x14ac:dyDescent="0.2">
      <c r="A690" s="54">
        <v>109717</v>
      </c>
      <c r="B690" s="54" t="s">
        <v>1302</v>
      </c>
      <c r="C690" s="55">
        <v>1150</v>
      </c>
      <c r="D690" s="55">
        <v>1018</v>
      </c>
      <c r="E690" s="55">
        <v>5</v>
      </c>
      <c r="F690" s="55">
        <v>89</v>
      </c>
      <c r="G690" s="55">
        <v>73</v>
      </c>
      <c r="H690" s="55">
        <v>73</v>
      </c>
      <c r="I690" s="55">
        <v>0.09</v>
      </c>
      <c r="J690" s="55">
        <v>7.0000000000000007E-2</v>
      </c>
      <c r="K690" s="55">
        <v>7.0000000000000007E-2</v>
      </c>
      <c r="L690" s="55">
        <v>17</v>
      </c>
      <c r="M690" s="54" t="str">
        <f t="shared" si="53"/>
        <v>0-6 Months</v>
      </c>
      <c r="N690" s="54" t="str">
        <f t="shared" si="54"/>
        <v>12-18 Months</v>
      </c>
      <c r="O690" s="54" t="s">
        <v>5</v>
      </c>
      <c r="P690" s="54">
        <f t="shared" si="50"/>
        <v>0</v>
      </c>
      <c r="Q690">
        <f t="shared" si="51"/>
        <v>0</v>
      </c>
      <c r="R690">
        <f t="shared" si="52"/>
        <v>0</v>
      </c>
    </row>
    <row r="691" spans="1:18" x14ac:dyDescent="0.2">
      <c r="A691" s="54">
        <v>466928</v>
      </c>
      <c r="B691" s="54" t="s">
        <v>706</v>
      </c>
      <c r="C691" s="55">
        <v>1</v>
      </c>
      <c r="D691" s="55">
        <v>1</v>
      </c>
      <c r="E691" s="55">
        <v>4</v>
      </c>
      <c r="F691" s="55">
        <v>0</v>
      </c>
      <c r="G691" s="55">
        <v>0</v>
      </c>
      <c r="H691" s="55">
        <v>0</v>
      </c>
      <c r="I691" s="55">
        <v>0</v>
      </c>
      <c r="J691" s="55">
        <v>0</v>
      </c>
      <c r="K691" s="55">
        <v>0</v>
      </c>
      <c r="L691" s="55">
        <v>0</v>
      </c>
      <c r="M691" s="54" t="str">
        <f t="shared" si="53"/>
        <v>0-6 Months</v>
      </c>
      <c r="N691" s="54" t="str">
        <f t="shared" si="54"/>
        <v>12-18 Months</v>
      </c>
      <c r="O691" s="54" t="s">
        <v>7</v>
      </c>
      <c r="P691" s="54">
        <f t="shared" si="50"/>
        <v>0</v>
      </c>
      <c r="Q691">
        <f t="shared" si="51"/>
        <v>0</v>
      </c>
      <c r="R691">
        <f t="shared" si="52"/>
        <v>0</v>
      </c>
    </row>
    <row r="692" spans="1:18" x14ac:dyDescent="0.2">
      <c r="A692" s="54">
        <v>513872</v>
      </c>
      <c r="B692" s="54" t="s">
        <v>703</v>
      </c>
      <c r="C692" s="55">
        <v>1</v>
      </c>
      <c r="D692" s="55">
        <v>3</v>
      </c>
      <c r="E692" s="55">
        <v>4</v>
      </c>
      <c r="F692" s="55">
        <v>0</v>
      </c>
      <c r="G692" s="55">
        <v>0</v>
      </c>
      <c r="H692" s="55">
        <v>0</v>
      </c>
      <c r="I692" s="55">
        <v>0</v>
      </c>
      <c r="J692" s="55">
        <v>0</v>
      </c>
      <c r="K692" s="55">
        <v>0</v>
      </c>
      <c r="L692" s="55">
        <v>0</v>
      </c>
      <c r="M692" s="54" t="str">
        <f t="shared" si="53"/>
        <v>0-6 Months</v>
      </c>
      <c r="N692" s="54" t="str">
        <f t="shared" si="54"/>
        <v>12-18 Months</v>
      </c>
      <c r="O692" s="54" t="s">
        <v>7</v>
      </c>
      <c r="P692" s="54">
        <f t="shared" si="50"/>
        <v>0</v>
      </c>
      <c r="Q692">
        <f t="shared" si="51"/>
        <v>0</v>
      </c>
      <c r="R692">
        <f t="shared" si="52"/>
        <v>0</v>
      </c>
    </row>
    <row r="693" spans="1:18" x14ac:dyDescent="0.2">
      <c r="A693" s="54">
        <v>571755</v>
      </c>
      <c r="B693" s="54" t="s">
        <v>704</v>
      </c>
      <c r="C693" s="55">
        <v>1</v>
      </c>
      <c r="D693" s="55">
        <v>1</v>
      </c>
      <c r="E693" s="55">
        <v>4</v>
      </c>
      <c r="F693" s="55">
        <v>0</v>
      </c>
      <c r="G693" s="55">
        <v>0</v>
      </c>
      <c r="H693" s="55">
        <v>0</v>
      </c>
      <c r="I693" s="55">
        <v>0</v>
      </c>
      <c r="J693" s="55">
        <v>0</v>
      </c>
      <c r="K693" s="55">
        <v>0</v>
      </c>
      <c r="L693" s="55">
        <v>0</v>
      </c>
      <c r="M693" s="54" t="str">
        <f t="shared" si="53"/>
        <v>0-6 Months</v>
      </c>
      <c r="N693" s="54" t="str">
        <f t="shared" si="54"/>
        <v>12-18 Months</v>
      </c>
      <c r="O693" s="54" t="s">
        <v>7</v>
      </c>
      <c r="P693" s="54">
        <f t="shared" si="50"/>
        <v>0</v>
      </c>
      <c r="Q693">
        <f t="shared" si="51"/>
        <v>0</v>
      </c>
      <c r="R693">
        <f t="shared" si="52"/>
        <v>0</v>
      </c>
    </row>
    <row r="694" spans="1:18" x14ac:dyDescent="0.2">
      <c r="A694" s="54">
        <v>586447</v>
      </c>
      <c r="B694" s="54" t="s">
        <v>705</v>
      </c>
      <c r="C694" s="55">
        <v>1</v>
      </c>
      <c r="D694" s="55">
        <v>1</v>
      </c>
      <c r="E694" s="55">
        <v>4</v>
      </c>
      <c r="F694" s="55">
        <v>0</v>
      </c>
      <c r="G694" s="55">
        <v>0</v>
      </c>
      <c r="H694" s="55">
        <v>0</v>
      </c>
      <c r="I694" s="55">
        <v>0</v>
      </c>
      <c r="J694" s="55">
        <v>0</v>
      </c>
      <c r="K694" s="55">
        <v>0</v>
      </c>
      <c r="L694" s="55">
        <v>0</v>
      </c>
      <c r="M694" s="54" t="str">
        <f t="shared" si="53"/>
        <v>0-6 Months</v>
      </c>
      <c r="N694" s="54" t="str">
        <f t="shared" si="54"/>
        <v>12-18 Months</v>
      </c>
      <c r="O694" s="54" t="s">
        <v>7</v>
      </c>
      <c r="P694" s="54">
        <f t="shared" si="50"/>
        <v>0</v>
      </c>
      <c r="Q694">
        <f t="shared" si="51"/>
        <v>0</v>
      </c>
      <c r="R694">
        <f t="shared" si="52"/>
        <v>0</v>
      </c>
    </row>
    <row r="695" spans="1:18" x14ac:dyDescent="0.2">
      <c r="A695" s="54">
        <v>115433</v>
      </c>
      <c r="B695" s="54" t="s">
        <v>733</v>
      </c>
      <c r="C695" s="55">
        <v>2</v>
      </c>
      <c r="D695" s="55">
        <v>20</v>
      </c>
      <c r="E695" s="55">
        <v>4</v>
      </c>
      <c r="F695" s="55">
        <v>9</v>
      </c>
      <c r="G695" s="55">
        <v>9</v>
      </c>
      <c r="H695" s="55">
        <v>9</v>
      </c>
      <c r="I695" s="55">
        <v>0.45</v>
      </c>
      <c r="J695" s="55">
        <v>0.45</v>
      </c>
      <c r="K695" s="55">
        <v>0.45</v>
      </c>
      <c r="L695" s="55">
        <v>8</v>
      </c>
      <c r="M695" s="54" t="str">
        <f t="shared" si="53"/>
        <v>0-6 Months</v>
      </c>
      <c r="N695" s="54" t="str">
        <f t="shared" si="54"/>
        <v>12-18 Months</v>
      </c>
      <c r="O695" s="54" t="s">
        <v>7</v>
      </c>
      <c r="P695" s="54">
        <f t="shared" si="50"/>
        <v>0</v>
      </c>
      <c r="Q695">
        <f t="shared" si="51"/>
        <v>0</v>
      </c>
      <c r="R695">
        <f t="shared" si="52"/>
        <v>0</v>
      </c>
    </row>
    <row r="696" spans="1:18" x14ac:dyDescent="0.2">
      <c r="A696" s="54">
        <v>489433</v>
      </c>
      <c r="B696" s="54" t="s">
        <v>732</v>
      </c>
      <c r="C696" s="55">
        <v>2</v>
      </c>
      <c r="D696" s="55">
        <v>2</v>
      </c>
      <c r="E696" s="55">
        <v>4</v>
      </c>
      <c r="F696" s="55">
        <v>4</v>
      </c>
      <c r="G696" s="55">
        <v>4</v>
      </c>
      <c r="H696" s="55">
        <v>4</v>
      </c>
      <c r="I696" s="55">
        <v>2</v>
      </c>
      <c r="J696" s="55">
        <v>2</v>
      </c>
      <c r="K696" s="55">
        <v>2</v>
      </c>
      <c r="L696" s="55">
        <v>0</v>
      </c>
      <c r="M696" s="54" t="str">
        <f t="shared" si="53"/>
        <v>0-6 Months</v>
      </c>
      <c r="N696" s="54" t="str">
        <f t="shared" si="54"/>
        <v>12-18 Months</v>
      </c>
      <c r="O696" s="54" t="s">
        <v>7</v>
      </c>
      <c r="P696" s="54">
        <f t="shared" si="50"/>
        <v>2</v>
      </c>
      <c r="Q696">
        <f t="shared" si="51"/>
        <v>2</v>
      </c>
      <c r="R696">
        <f t="shared" si="52"/>
        <v>2</v>
      </c>
    </row>
    <row r="697" spans="1:18" x14ac:dyDescent="0.2">
      <c r="A697" s="54">
        <v>119976</v>
      </c>
      <c r="B697" s="54" t="s">
        <v>753</v>
      </c>
      <c r="C697" s="55">
        <v>3</v>
      </c>
      <c r="D697" s="55">
        <v>6</v>
      </c>
      <c r="E697" s="55">
        <v>4</v>
      </c>
      <c r="F697" s="55">
        <v>7</v>
      </c>
      <c r="G697" s="55">
        <v>7</v>
      </c>
      <c r="H697" s="55">
        <v>0</v>
      </c>
      <c r="I697" s="55">
        <v>1.17</v>
      </c>
      <c r="J697" s="55">
        <v>1.17</v>
      </c>
      <c r="K697" s="55">
        <v>0</v>
      </c>
      <c r="L697" s="55">
        <v>14</v>
      </c>
      <c r="M697" s="54" t="str">
        <f t="shared" si="53"/>
        <v>0-6 Months</v>
      </c>
      <c r="N697" s="54" t="str">
        <f t="shared" si="54"/>
        <v>12-18 Months</v>
      </c>
      <c r="O697" s="54" t="s">
        <v>7</v>
      </c>
      <c r="P697" s="54">
        <f t="shared" si="50"/>
        <v>3</v>
      </c>
      <c r="Q697">
        <f t="shared" si="51"/>
        <v>0</v>
      </c>
      <c r="R697">
        <f t="shared" si="52"/>
        <v>3</v>
      </c>
    </row>
    <row r="698" spans="1:18" x14ac:dyDescent="0.2">
      <c r="A698" s="54">
        <v>134990</v>
      </c>
      <c r="B698" s="54" t="s">
        <v>755</v>
      </c>
      <c r="C698" s="55">
        <v>3</v>
      </c>
      <c r="D698" s="55">
        <v>33</v>
      </c>
      <c r="E698" s="55">
        <v>4</v>
      </c>
      <c r="F698" s="55">
        <v>15</v>
      </c>
      <c r="G698" s="55">
        <v>15</v>
      </c>
      <c r="H698" s="55">
        <v>15</v>
      </c>
      <c r="I698" s="55">
        <v>0.45</v>
      </c>
      <c r="J698" s="55">
        <v>0.45</v>
      </c>
      <c r="K698" s="55">
        <v>0.45</v>
      </c>
      <c r="L698" s="55">
        <v>0</v>
      </c>
      <c r="M698" s="54" t="str">
        <f t="shared" si="53"/>
        <v>0-6 Months</v>
      </c>
      <c r="N698" s="54" t="str">
        <f t="shared" si="54"/>
        <v>12-18 Months</v>
      </c>
      <c r="O698" s="54" t="s">
        <v>7</v>
      </c>
      <c r="P698" s="54">
        <f t="shared" si="50"/>
        <v>0</v>
      </c>
      <c r="Q698">
        <f t="shared" si="51"/>
        <v>0</v>
      </c>
      <c r="R698">
        <f t="shared" si="52"/>
        <v>0</v>
      </c>
    </row>
    <row r="699" spans="1:18" x14ac:dyDescent="0.2">
      <c r="A699" s="54">
        <v>202077</v>
      </c>
      <c r="B699" s="54" t="s">
        <v>752</v>
      </c>
      <c r="C699" s="55">
        <v>3</v>
      </c>
      <c r="D699" s="55">
        <v>6</v>
      </c>
      <c r="E699" s="55">
        <v>4</v>
      </c>
      <c r="F699" s="55">
        <v>12</v>
      </c>
      <c r="G699" s="55">
        <v>12</v>
      </c>
      <c r="H699" s="55">
        <v>0</v>
      </c>
      <c r="I699" s="55">
        <v>2</v>
      </c>
      <c r="J699" s="55">
        <v>2</v>
      </c>
      <c r="K699" s="55">
        <v>0</v>
      </c>
      <c r="L699" s="55">
        <v>5</v>
      </c>
      <c r="M699" s="54" t="str">
        <f t="shared" si="53"/>
        <v>0-6 Months</v>
      </c>
      <c r="N699" s="54" t="str">
        <f t="shared" si="54"/>
        <v>12-18 Months</v>
      </c>
      <c r="O699" s="54" t="s">
        <v>7</v>
      </c>
      <c r="P699" s="54">
        <f t="shared" si="50"/>
        <v>3</v>
      </c>
      <c r="Q699">
        <f t="shared" si="51"/>
        <v>3</v>
      </c>
      <c r="R699">
        <f t="shared" si="52"/>
        <v>3</v>
      </c>
    </row>
    <row r="700" spans="1:18" x14ac:dyDescent="0.2">
      <c r="A700" s="54">
        <v>303321</v>
      </c>
      <c r="B700" s="54" t="s">
        <v>756</v>
      </c>
      <c r="C700" s="55">
        <v>3</v>
      </c>
      <c r="D700" s="55">
        <v>1</v>
      </c>
      <c r="E700" s="55">
        <v>4</v>
      </c>
      <c r="F700" s="55">
        <v>0</v>
      </c>
      <c r="G700" s="55">
        <v>0</v>
      </c>
      <c r="H700" s="55">
        <v>0</v>
      </c>
      <c r="I700" s="55">
        <v>0</v>
      </c>
      <c r="J700" s="55">
        <v>0</v>
      </c>
      <c r="K700" s="55">
        <v>0</v>
      </c>
      <c r="L700" s="55">
        <v>0</v>
      </c>
      <c r="M700" s="54" t="str">
        <f t="shared" si="53"/>
        <v>0-6 Months</v>
      </c>
      <c r="N700" s="54" t="str">
        <f t="shared" si="54"/>
        <v>12-18 Months</v>
      </c>
      <c r="O700" s="54" t="s">
        <v>7</v>
      </c>
      <c r="P700" s="54">
        <f t="shared" si="50"/>
        <v>0</v>
      </c>
      <c r="Q700">
        <f t="shared" si="51"/>
        <v>0</v>
      </c>
      <c r="R700">
        <f t="shared" si="52"/>
        <v>0</v>
      </c>
    </row>
    <row r="701" spans="1:18" x14ac:dyDescent="0.2">
      <c r="A701" s="54">
        <v>454683</v>
      </c>
      <c r="B701" s="54" t="s">
        <v>754</v>
      </c>
      <c r="C701" s="55">
        <v>3</v>
      </c>
      <c r="D701" s="55">
        <v>6</v>
      </c>
      <c r="E701" s="55">
        <v>4</v>
      </c>
      <c r="F701" s="55">
        <v>0</v>
      </c>
      <c r="G701" s="55">
        <v>0</v>
      </c>
      <c r="H701" s="55">
        <v>0</v>
      </c>
      <c r="I701" s="55">
        <v>0</v>
      </c>
      <c r="J701" s="55">
        <v>0</v>
      </c>
      <c r="K701" s="55">
        <v>0</v>
      </c>
      <c r="L701" s="55">
        <v>0</v>
      </c>
      <c r="M701" s="54" t="str">
        <f t="shared" si="53"/>
        <v>0-6 Months</v>
      </c>
      <c r="N701" s="54" t="str">
        <f t="shared" si="54"/>
        <v>12-18 Months</v>
      </c>
      <c r="O701" s="54" t="s">
        <v>7</v>
      </c>
      <c r="P701" s="54">
        <f t="shared" si="50"/>
        <v>0</v>
      </c>
      <c r="Q701">
        <f t="shared" si="51"/>
        <v>0</v>
      </c>
      <c r="R701">
        <f t="shared" si="52"/>
        <v>0</v>
      </c>
    </row>
    <row r="702" spans="1:18" x14ac:dyDescent="0.2">
      <c r="A702" s="54">
        <v>106824</v>
      </c>
      <c r="B702" s="54" t="s">
        <v>775</v>
      </c>
      <c r="C702" s="55">
        <v>4</v>
      </c>
      <c r="D702" s="55">
        <v>57</v>
      </c>
      <c r="E702" s="55">
        <v>4</v>
      </c>
      <c r="F702" s="55">
        <v>0</v>
      </c>
      <c r="G702" s="55">
        <v>0</v>
      </c>
      <c r="H702" s="55">
        <v>0</v>
      </c>
      <c r="I702" s="55">
        <v>0</v>
      </c>
      <c r="J702" s="55">
        <v>0</v>
      </c>
      <c r="K702" s="55">
        <v>0</v>
      </c>
      <c r="L702" s="55">
        <v>0</v>
      </c>
      <c r="M702" s="54" t="str">
        <f t="shared" si="53"/>
        <v>0-6 Months</v>
      </c>
      <c r="N702" s="54" t="str">
        <f t="shared" si="54"/>
        <v>12-18 Months</v>
      </c>
      <c r="O702" s="54" t="s">
        <v>7</v>
      </c>
      <c r="P702" s="54">
        <f t="shared" si="50"/>
        <v>0</v>
      </c>
      <c r="Q702">
        <f t="shared" si="51"/>
        <v>0</v>
      </c>
      <c r="R702">
        <f t="shared" si="52"/>
        <v>0</v>
      </c>
    </row>
    <row r="703" spans="1:18" x14ac:dyDescent="0.2">
      <c r="A703" s="54">
        <v>326208</v>
      </c>
      <c r="B703" s="54" t="s">
        <v>774</v>
      </c>
      <c r="C703" s="55">
        <v>4</v>
      </c>
      <c r="D703" s="55">
        <v>28</v>
      </c>
      <c r="E703" s="55">
        <v>4</v>
      </c>
      <c r="F703" s="55">
        <v>79</v>
      </c>
      <c r="G703" s="55">
        <v>22</v>
      </c>
      <c r="H703" s="55">
        <v>22</v>
      </c>
      <c r="I703" s="55">
        <v>2.82</v>
      </c>
      <c r="J703" s="55">
        <v>0.79</v>
      </c>
      <c r="K703" s="55">
        <v>0.79</v>
      </c>
      <c r="L703" s="55">
        <v>0</v>
      </c>
      <c r="M703" s="54" t="str">
        <f t="shared" si="53"/>
        <v>0-6 Months</v>
      </c>
      <c r="N703" s="54" t="str">
        <f t="shared" si="54"/>
        <v>12-18 Months</v>
      </c>
      <c r="O703" s="54" t="s">
        <v>7</v>
      </c>
      <c r="P703" s="54">
        <f t="shared" si="50"/>
        <v>4</v>
      </c>
      <c r="Q703">
        <f t="shared" si="51"/>
        <v>4</v>
      </c>
      <c r="R703">
        <f t="shared" si="52"/>
        <v>4</v>
      </c>
    </row>
    <row r="704" spans="1:18" x14ac:dyDescent="0.2">
      <c r="A704" s="54">
        <v>452068</v>
      </c>
      <c r="B704" s="54" t="s">
        <v>796</v>
      </c>
      <c r="C704" s="55">
        <v>5</v>
      </c>
      <c r="D704" s="55">
        <v>25</v>
      </c>
      <c r="E704" s="55">
        <v>4</v>
      </c>
      <c r="F704" s="55">
        <v>70</v>
      </c>
      <c r="G704" s="55">
        <v>51</v>
      </c>
      <c r="H704" s="55">
        <v>43</v>
      </c>
      <c r="I704" s="55">
        <v>2.8</v>
      </c>
      <c r="J704" s="55">
        <v>2.04</v>
      </c>
      <c r="K704" s="55">
        <v>1.72</v>
      </c>
      <c r="L704" s="55">
        <v>48</v>
      </c>
      <c r="M704" s="54" t="str">
        <f t="shared" si="53"/>
        <v>0-6 Months</v>
      </c>
      <c r="N704" s="54" t="str">
        <f t="shared" si="54"/>
        <v>12-18 Months</v>
      </c>
      <c r="O704" s="54" t="s">
        <v>7</v>
      </c>
      <c r="P704" s="54">
        <f t="shared" si="50"/>
        <v>5</v>
      </c>
      <c r="Q704">
        <f t="shared" si="51"/>
        <v>5</v>
      </c>
      <c r="R704">
        <f t="shared" si="52"/>
        <v>5</v>
      </c>
    </row>
    <row r="705" spans="1:18" x14ac:dyDescent="0.2">
      <c r="A705" s="54">
        <v>458741</v>
      </c>
      <c r="B705" s="54" t="s">
        <v>794</v>
      </c>
      <c r="C705" s="55">
        <v>5</v>
      </c>
      <c r="D705" s="55">
        <v>6</v>
      </c>
      <c r="E705" s="55">
        <v>4</v>
      </c>
      <c r="F705" s="55">
        <v>6</v>
      </c>
      <c r="G705" s="55">
        <v>6</v>
      </c>
      <c r="H705" s="55">
        <v>0</v>
      </c>
      <c r="I705" s="55">
        <v>1</v>
      </c>
      <c r="J705" s="55">
        <v>1</v>
      </c>
      <c r="K705" s="55">
        <v>0</v>
      </c>
      <c r="L705" s="55">
        <v>5</v>
      </c>
      <c r="M705" s="54" t="str">
        <f t="shared" si="53"/>
        <v>0-6 Months</v>
      </c>
      <c r="N705" s="54" t="str">
        <f t="shared" si="54"/>
        <v>12-18 Months</v>
      </c>
      <c r="O705" s="54" t="s">
        <v>7</v>
      </c>
      <c r="P705" s="54">
        <f t="shared" si="50"/>
        <v>5</v>
      </c>
      <c r="Q705">
        <f t="shared" si="51"/>
        <v>0</v>
      </c>
      <c r="R705">
        <f t="shared" si="52"/>
        <v>5</v>
      </c>
    </row>
    <row r="706" spans="1:18" x14ac:dyDescent="0.2">
      <c r="A706" s="54">
        <v>469448</v>
      </c>
      <c r="B706" s="54" t="s">
        <v>795</v>
      </c>
      <c r="C706" s="55">
        <v>5</v>
      </c>
      <c r="D706" s="55">
        <v>6</v>
      </c>
      <c r="E706" s="55">
        <v>4</v>
      </c>
      <c r="F706" s="55">
        <v>7</v>
      </c>
      <c r="G706" s="55">
        <v>7</v>
      </c>
      <c r="H706" s="55">
        <v>7</v>
      </c>
      <c r="I706" s="55">
        <v>1.17</v>
      </c>
      <c r="J706" s="55">
        <v>1.17</v>
      </c>
      <c r="K706" s="55">
        <v>1.17</v>
      </c>
      <c r="L706" s="55">
        <v>0</v>
      </c>
      <c r="M706" s="54" t="str">
        <f t="shared" si="53"/>
        <v>0-6 Months</v>
      </c>
      <c r="N706" s="54" t="str">
        <f t="shared" si="54"/>
        <v>12-18 Months</v>
      </c>
      <c r="O706" s="54" t="s">
        <v>7</v>
      </c>
      <c r="P706" s="54">
        <f t="shared" ref="P706:P769" si="55">IF(I706&gt;=2, C706, IF(J706&gt;=0.75, C706, 0))</f>
        <v>5</v>
      </c>
      <c r="Q706">
        <f t="shared" ref="Q706:Q769" si="56">IF(I706&gt;=2, C706, IF(AND(J706&gt;=0.75, D706&gt;=550), C706, 0))</f>
        <v>0</v>
      </c>
      <c r="R706">
        <f t="shared" ref="R706:R769" si="57">IF(J706&gt;=0.75, C706, 0)</f>
        <v>5</v>
      </c>
    </row>
    <row r="707" spans="1:18" x14ac:dyDescent="0.2">
      <c r="A707" s="54">
        <v>447364</v>
      </c>
      <c r="B707" s="54" t="s">
        <v>817</v>
      </c>
      <c r="C707" s="55">
        <v>6</v>
      </c>
      <c r="D707" s="55">
        <v>8</v>
      </c>
      <c r="E707" s="55">
        <v>4</v>
      </c>
      <c r="F707" s="55">
        <v>0</v>
      </c>
      <c r="G707" s="55">
        <v>0</v>
      </c>
      <c r="H707" s="55">
        <v>0</v>
      </c>
      <c r="I707" s="55">
        <v>0</v>
      </c>
      <c r="J707" s="55">
        <v>0</v>
      </c>
      <c r="K707" s="55">
        <v>0</v>
      </c>
      <c r="L707" s="55">
        <v>0</v>
      </c>
      <c r="M707" s="54" t="str">
        <f t="shared" ref="M707:M770" si="58">IF(E707&lt;6,"0-6 Months", IF(E707&lt;13, "6-12 Months", IF(E707&lt;19, "12-24 Months", IF(E707&lt;25, "12-24 Months", "24+ Months"))))</f>
        <v>0-6 Months</v>
      </c>
      <c r="N707" s="54" t="str">
        <f t="shared" ref="N707:N770" si="59">IF(E707&lt;6,"12-18 Months", IF(E707&lt;13, "18-24 Months", "24+ Months"))</f>
        <v>12-18 Months</v>
      </c>
      <c r="O707" s="54" t="s">
        <v>7</v>
      </c>
      <c r="P707" s="54">
        <f t="shared" si="55"/>
        <v>0</v>
      </c>
      <c r="Q707">
        <f t="shared" si="56"/>
        <v>0</v>
      </c>
      <c r="R707">
        <f t="shared" si="57"/>
        <v>0</v>
      </c>
    </row>
    <row r="708" spans="1:18" x14ac:dyDescent="0.2">
      <c r="A708" s="54">
        <v>477054</v>
      </c>
      <c r="B708" s="54" t="s">
        <v>816</v>
      </c>
      <c r="C708" s="55">
        <v>6</v>
      </c>
      <c r="D708" s="55">
        <v>6</v>
      </c>
      <c r="E708" s="55">
        <v>4</v>
      </c>
      <c r="F708" s="55">
        <v>0</v>
      </c>
      <c r="G708" s="55">
        <v>0</v>
      </c>
      <c r="H708" s="55">
        <v>0</v>
      </c>
      <c r="I708" s="55">
        <v>0</v>
      </c>
      <c r="J708" s="55">
        <v>0</v>
      </c>
      <c r="K708" s="55">
        <v>0</v>
      </c>
      <c r="L708" s="55">
        <v>0</v>
      </c>
      <c r="M708" s="54" t="str">
        <f t="shared" si="58"/>
        <v>0-6 Months</v>
      </c>
      <c r="N708" s="54" t="str">
        <f t="shared" si="59"/>
        <v>12-18 Months</v>
      </c>
      <c r="O708" s="54" t="s">
        <v>7</v>
      </c>
      <c r="P708" s="54">
        <f t="shared" si="55"/>
        <v>0</v>
      </c>
      <c r="Q708">
        <f t="shared" si="56"/>
        <v>0</v>
      </c>
      <c r="R708">
        <f t="shared" si="57"/>
        <v>0</v>
      </c>
    </row>
    <row r="709" spans="1:18" x14ac:dyDescent="0.2">
      <c r="A709" s="54">
        <v>497274</v>
      </c>
      <c r="B709" s="54" t="s">
        <v>815</v>
      </c>
      <c r="C709" s="55">
        <v>6</v>
      </c>
      <c r="D709" s="55">
        <v>6</v>
      </c>
      <c r="E709" s="55">
        <v>4</v>
      </c>
      <c r="F709" s="55">
        <v>8</v>
      </c>
      <c r="G709" s="55">
        <v>8</v>
      </c>
      <c r="H709" s="55">
        <v>8</v>
      </c>
      <c r="I709" s="55">
        <v>1.33</v>
      </c>
      <c r="J709" s="55">
        <v>1.33</v>
      </c>
      <c r="K709" s="55">
        <v>1.33</v>
      </c>
      <c r="L709" s="55">
        <v>14</v>
      </c>
      <c r="M709" s="54" t="str">
        <f t="shared" si="58"/>
        <v>0-6 Months</v>
      </c>
      <c r="N709" s="54" t="str">
        <f t="shared" si="59"/>
        <v>12-18 Months</v>
      </c>
      <c r="O709" s="54" t="s">
        <v>7</v>
      </c>
      <c r="P709" s="54">
        <f t="shared" si="55"/>
        <v>6</v>
      </c>
      <c r="Q709">
        <f t="shared" si="56"/>
        <v>0</v>
      </c>
      <c r="R709">
        <f t="shared" si="57"/>
        <v>6</v>
      </c>
    </row>
    <row r="710" spans="1:18" x14ac:dyDescent="0.2">
      <c r="A710" s="54">
        <v>152332</v>
      </c>
      <c r="B710" s="54" t="s">
        <v>830</v>
      </c>
      <c r="C710" s="55">
        <v>7</v>
      </c>
      <c r="D710" s="55">
        <v>4</v>
      </c>
      <c r="E710" s="55">
        <v>4</v>
      </c>
      <c r="F710" s="55">
        <v>0</v>
      </c>
      <c r="G710" s="55">
        <v>0</v>
      </c>
      <c r="H710" s="55">
        <v>0</v>
      </c>
      <c r="I710" s="55">
        <v>0</v>
      </c>
      <c r="J710" s="55">
        <v>0</v>
      </c>
      <c r="K710" s="55">
        <v>0</v>
      </c>
      <c r="L710" s="55">
        <v>0</v>
      </c>
      <c r="M710" s="54" t="str">
        <f t="shared" si="58"/>
        <v>0-6 Months</v>
      </c>
      <c r="N710" s="54" t="str">
        <f t="shared" si="59"/>
        <v>12-18 Months</v>
      </c>
      <c r="O710" s="54" t="s">
        <v>7</v>
      </c>
      <c r="P710" s="54">
        <f t="shared" si="55"/>
        <v>0</v>
      </c>
      <c r="Q710">
        <f t="shared" si="56"/>
        <v>0</v>
      </c>
      <c r="R710">
        <f t="shared" si="57"/>
        <v>0</v>
      </c>
    </row>
    <row r="711" spans="1:18" x14ac:dyDescent="0.2">
      <c r="A711" s="54">
        <v>322540</v>
      </c>
      <c r="B711" s="54" t="s">
        <v>829</v>
      </c>
      <c r="C711" s="55">
        <v>7</v>
      </c>
      <c r="D711" s="55">
        <v>7</v>
      </c>
      <c r="E711" s="55">
        <v>4</v>
      </c>
      <c r="F711" s="55">
        <v>5</v>
      </c>
      <c r="G711" s="55">
        <v>5</v>
      </c>
      <c r="H711" s="55">
        <v>5</v>
      </c>
      <c r="I711" s="55">
        <v>0.71</v>
      </c>
      <c r="J711" s="55">
        <v>0.71</v>
      </c>
      <c r="K711" s="55">
        <v>0.71</v>
      </c>
      <c r="L711" s="55">
        <v>2</v>
      </c>
      <c r="M711" s="54" t="str">
        <f t="shared" si="58"/>
        <v>0-6 Months</v>
      </c>
      <c r="N711" s="54" t="str">
        <f t="shared" si="59"/>
        <v>12-18 Months</v>
      </c>
      <c r="O711" s="54" t="s">
        <v>7</v>
      </c>
      <c r="P711" s="54">
        <f t="shared" si="55"/>
        <v>0</v>
      </c>
      <c r="Q711">
        <f t="shared" si="56"/>
        <v>0</v>
      </c>
      <c r="R711">
        <f t="shared" si="57"/>
        <v>0</v>
      </c>
    </row>
    <row r="712" spans="1:18" x14ac:dyDescent="0.2">
      <c r="A712" s="54">
        <v>110914</v>
      </c>
      <c r="B712" s="54" t="s">
        <v>850</v>
      </c>
      <c r="C712" s="55">
        <v>8</v>
      </c>
      <c r="D712" s="55">
        <v>10</v>
      </c>
      <c r="E712" s="55">
        <v>4</v>
      </c>
      <c r="F712" s="55">
        <v>0</v>
      </c>
      <c r="G712" s="55">
        <v>0</v>
      </c>
      <c r="H712" s="55">
        <v>0</v>
      </c>
      <c r="I712" s="55">
        <v>0</v>
      </c>
      <c r="J712" s="55">
        <v>0</v>
      </c>
      <c r="K712" s="55">
        <v>0</v>
      </c>
      <c r="L712" s="55">
        <v>0</v>
      </c>
      <c r="M712" s="54" t="str">
        <f t="shared" si="58"/>
        <v>0-6 Months</v>
      </c>
      <c r="N712" s="54" t="str">
        <f t="shared" si="59"/>
        <v>12-18 Months</v>
      </c>
      <c r="O712" s="54" t="s">
        <v>7</v>
      </c>
      <c r="P712" s="54">
        <f t="shared" si="55"/>
        <v>0</v>
      </c>
      <c r="Q712">
        <f t="shared" si="56"/>
        <v>0</v>
      </c>
      <c r="R712">
        <f t="shared" si="57"/>
        <v>0</v>
      </c>
    </row>
    <row r="713" spans="1:18" x14ac:dyDescent="0.2">
      <c r="A713" s="54">
        <v>236186</v>
      </c>
      <c r="B713" s="54" t="s">
        <v>851</v>
      </c>
      <c r="C713" s="55">
        <v>8</v>
      </c>
      <c r="D713" s="55">
        <v>8</v>
      </c>
      <c r="E713" s="55">
        <v>4</v>
      </c>
      <c r="F713" s="55">
        <v>5</v>
      </c>
      <c r="G713" s="55">
        <v>5</v>
      </c>
      <c r="H713" s="55">
        <v>0</v>
      </c>
      <c r="I713" s="55">
        <v>0.63</v>
      </c>
      <c r="J713" s="55">
        <v>0.63</v>
      </c>
      <c r="K713" s="55">
        <v>0</v>
      </c>
      <c r="L713" s="55">
        <v>0</v>
      </c>
      <c r="M713" s="54" t="str">
        <f t="shared" si="58"/>
        <v>0-6 Months</v>
      </c>
      <c r="N713" s="54" t="str">
        <f t="shared" si="59"/>
        <v>12-18 Months</v>
      </c>
      <c r="O713" s="54" t="s">
        <v>7</v>
      </c>
      <c r="P713" s="54">
        <f t="shared" si="55"/>
        <v>0</v>
      </c>
      <c r="Q713">
        <f t="shared" si="56"/>
        <v>0</v>
      </c>
      <c r="R713">
        <f t="shared" si="57"/>
        <v>0</v>
      </c>
    </row>
    <row r="714" spans="1:18" x14ac:dyDescent="0.2">
      <c r="A714" s="54">
        <v>306040</v>
      </c>
      <c r="B714" s="54" t="s">
        <v>849</v>
      </c>
      <c r="C714" s="55">
        <v>8</v>
      </c>
      <c r="D714" s="55">
        <v>34</v>
      </c>
      <c r="E714" s="55">
        <v>4</v>
      </c>
      <c r="F714" s="55">
        <v>34</v>
      </c>
      <c r="G714" s="55">
        <v>34</v>
      </c>
      <c r="H714" s="55">
        <v>30</v>
      </c>
      <c r="I714" s="55">
        <v>1</v>
      </c>
      <c r="J714" s="55">
        <v>1</v>
      </c>
      <c r="K714" s="55">
        <v>0.88</v>
      </c>
      <c r="L714" s="55">
        <v>56</v>
      </c>
      <c r="M714" s="54" t="str">
        <f t="shared" si="58"/>
        <v>0-6 Months</v>
      </c>
      <c r="N714" s="54" t="str">
        <f t="shared" si="59"/>
        <v>12-18 Months</v>
      </c>
      <c r="O714" s="54" t="s">
        <v>7</v>
      </c>
      <c r="P714" s="54">
        <f t="shared" si="55"/>
        <v>8</v>
      </c>
      <c r="Q714">
        <f t="shared" si="56"/>
        <v>0</v>
      </c>
      <c r="R714">
        <f t="shared" si="57"/>
        <v>8</v>
      </c>
    </row>
    <row r="715" spans="1:18" x14ac:dyDescent="0.2">
      <c r="A715" s="54">
        <v>472541</v>
      </c>
      <c r="B715" s="54" t="s">
        <v>852</v>
      </c>
      <c r="C715" s="55">
        <v>8</v>
      </c>
      <c r="D715" s="55">
        <v>8</v>
      </c>
      <c r="E715" s="55">
        <v>4</v>
      </c>
      <c r="F715" s="55">
        <v>4</v>
      </c>
      <c r="G715" s="55">
        <v>4</v>
      </c>
      <c r="H715" s="55">
        <v>0</v>
      </c>
      <c r="I715" s="55">
        <v>0.5</v>
      </c>
      <c r="J715" s="55">
        <v>0.5</v>
      </c>
      <c r="K715" s="55">
        <v>0</v>
      </c>
      <c r="L715" s="55">
        <v>0</v>
      </c>
      <c r="M715" s="54" t="str">
        <f t="shared" si="58"/>
        <v>0-6 Months</v>
      </c>
      <c r="N715" s="54" t="str">
        <f t="shared" si="59"/>
        <v>12-18 Months</v>
      </c>
      <c r="O715" s="54" t="s">
        <v>7</v>
      </c>
      <c r="P715" s="54">
        <f t="shared" si="55"/>
        <v>0</v>
      </c>
      <c r="Q715">
        <f t="shared" si="56"/>
        <v>0</v>
      </c>
      <c r="R715">
        <f t="shared" si="57"/>
        <v>0</v>
      </c>
    </row>
    <row r="716" spans="1:18" x14ac:dyDescent="0.2">
      <c r="A716" s="54">
        <v>322144</v>
      </c>
      <c r="B716" s="54" t="s">
        <v>888</v>
      </c>
      <c r="C716" s="55">
        <v>10</v>
      </c>
      <c r="D716" s="55">
        <v>7</v>
      </c>
      <c r="E716" s="55">
        <v>4</v>
      </c>
      <c r="F716" s="55">
        <v>9</v>
      </c>
      <c r="G716" s="55">
        <v>9</v>
      </c>
      <c r="H716" s="55">
        <v>6</v>
      </c>
      <c r="I716" s="55">
        <v>1.29</v>
      </c>
      <c r="J716" s="55">
        <v>1.29</v>
      </c>
      <c r="K716" s="55">
        <v>0.86</v>
      </c>
      <c r="L716" s="55">
        <v>0</v>
      </c>
      <c r="M716" s="54" t="str">
        <f t="shared" si="58"/>
        <v>0-6 Months</v>
      </c>
      <c r="N716" s="54" t="str">
        <f t="shared" si="59"/>
        <v>12-18 Months</v>
      </c>
      <c r="O716" s="54" t="s">
        <v>7</v>
      </c>
      <c r="P716" s="54">
        <f t="shared" si="55"/>
        <v>10</v>
      </c>
      <c r="Q716">
        <f t="shared" si="56"/>
        <v>0</v>
      </c>
      <c r="R716">
        <f t="shared" si="57"/>
        <v>10</v>
      </c>
    </row>
    <row r="717" spans="1:18" x14ac:dyDescent="0.2">
      <c r="A717" s="54">
        <v>480740</v>
      </c>
      <c r="B717" s="54" t="s">
        <v>911</v>
      </c>
      <c r="C717" s="55">
        <v>12</v>
      </c>
      <c r="D717" s="55">
        <v>6</v>
      </c>
      <c r="E717" s="55">
        <v>4</v>
      </c>
      <c r="F717" s="55">
        <v>87</v>
      </c>
      <c r="G717" s="55">
        <v>33</v>
      </c>
      <c r="H717" s="55">
        <v>33</v>
      </c>
      <c r="I717" s="55">
        <v>14.5</v>
      </c>
      <c r="J717" s="55">
        <v>5.5</v>
      </c>
      <c r="K717" s="55">
        <v>5.5</v>
      </c>
      <c r="L717" s="55">
        <v>50</v>
      </c>
      <c r="M717" s="54" t="str">
        <f t="shared" si="58"/>
        <v>0-6 Months</v>
      </c>
      <c r="N717" s="54" t="str">
        <f t="shared" si="59"/>
        <v>12-18 Months</v>
      </c>
      <c r="O717" s="54" t="s">
        <v>7</v>
      </c>
      <c r="P717" s="54">
        <f t="shared" si="55"/>
        <v>12</v>
      </c>
      <c r="Q717">
        <f t="shared" si="56"/>
        <v>12</v>
      </c>
      <c r="R717">
        <f t="shared" si="57"/>
        <v>12</v>
      </c>
    </row>
    <row r="718" spans="1:18" x14ac:dyDescent="0.2">
      <c r="A718" s="54">
        <v>448412</v>
      </c>
      <c r="B718" s="54" t="s">
        <v>925</v>
      </c>
      <c r="C718" s="55">
        <v>13</v>
      </c>
      <c r="D718" s="55">
        <v>13</v>
      </c>
      <c r="E718" s="55">
        <v>4</v>
      </c>
      <c r="F718" s="55">
        <v>0</v>
      </c>
      <c r="G718" s="55">
        <v>0</v>
      </c>
      <c r="H718" s="55">
        <v>0</v>
      </c>
      <c r="I718" s="55">
        <v>0</v>
      </c>
      <c r="J718" s="55">
        <v>0</v>
      </c>
      <c r="K718" s="55">
        <v>0</v>
      </c>
      <c r="L718" s="55">
        <v>0</v>
      </c>
      <c r="M718" s="54" t="str">
        <f t="shared" si="58"/>
        <v>0-6 Months</v>
      </c>
      <c r="N718" s="54" t="str">
        <f t="shared" si="59"/>
        <v>12-18 Months</v>
      </c>
      <c r="O718" s="54" t="s">
        <v>7</v>
      </c>
      <c r="P718" s="54">
        <f t="shared" si="55"/>
        <v>0</v>
      </c>
      <c r="Q718">
        <f t="shared" si="56"/>
        <v>0</v>
      </c>
      <c r="R718">
        <f t="shared" si="57"/>
        <v>0</v>
      </c>
    </row>
    <row r="719" spans="1:18" x14ac:dyDescent="0.2">
      <c r="A719" s="54">
        <v>466244</v>
      </c>
      <c r="B719" s="54" t="s">
        <v>926</v>
      </c>
      <c r="C719" s="55">
        <v>13</v>
      </c>
      <c r="D719" s="55">
        <v>28</v>
      </c>
      <c r="E719" s="55">
        <v>4</v>
      </c>
      <c r="F719" s="55">
        <v>0</v>
      </c>
      <c r="G719" s="55">
        <v>0</v>
      </c>
      <c r="H719" s="55">
        <v>0</v>
      </c>
      <c r="I719" s="55">
        <v>0</v>
      </c>
      <c r="J719" s="55">
        <v>0</v>
      </c>
      <c r="K719" s="55">
        <v>0</v>
      </c>
      <c r="L719" s="55">
        <v>0</v>
      </c>
      <c r="M719" s="54" t="str">
        <f t="shared" si="58"/>
        <v>0-6 Months</v>
      </c>
      <c r="N719" s="54" t="str">
        <f t="shared" si="59"/>
        <v>12-18 Months</v>
      </c>
      <c r="O719" s="54" t="s">
        <v>7</v>
      </c>
      <c r="P719" s="54">
        <f t="shared" si="55"/>
        <v>0</v>
      </c>
      <c r="Q719">
        <f t="shared" si="56"/>
        <v>0</v>
      </c>
      <c r="R719">
        <f t="shared" si="57"/>
        <v>0</v>
      </c>
    </row>
    <row r="720" spans="1:18" x14ac:dyDescent="0.2">
      <c r="A720" s="54">
        <v>115279</v>
      </c>
      <c r="B720" s="54" t="s">
        <v>943</v>
      </c>
      <c r="C720" s="55">
        <v>14</v>
      </c>
      <c r="D720" s="55">
        <v>14</v>
      </c>
      <c r="E720" s="55">
        <v>4</v>
      </c>
      <c r="F720" s="55">
        <v>2</v>
      </c>
      <c r="G720" s="55">
        <v>2</v>
      </c>
      <c r="H720" s="55">
        <v>0</v>
      </c>
      <c r="I720" s="55">
        <v>0.14000000000000001</v>
      </c>
      <c r="J720" s="55">
        <v>0.14000000000000001</v>
      </c>
      <c r="K720" s="55">
        <v>0</v>
      </c>
      <c r="L720" s="55">
        <v>0</v>
      </c>
      <c r="M720" s="54" t="str">
        <f t="shared" si="58"/>
        <v>0-6 Months</v>
      </c>
      <c r="N720" s="54" t="str">
        <f t="shared" si="59"/>
        <v>12-18 Months</v>
      </c>
      <c r="O720" s="54" t="s">
        <v>7</v>
      </c>
      <c r="P720" s="54">
        <f t="shared" si="55"/>
        <v>0</v>
      </c>
      <c r="Q720">
        <f t="shared" si="56"/>
        <v>0</v>
      </c>
      <c r="R720">
        <f t="shared" si="57"/>
        <v>0</v>
      </c>
    </row>
    <row r="721" spans="1:18" x14ac:dyDescent="0.2">
      <c r="A721" s="54">
        <v>123145</v>
      </c>
      <c r="B721" s="54" t="s">
        <v>944</v>
      </c>
      <c r="C721" s="55">
        <v>14</v>
      </c>
      <c r="D721" s="55">
        <v>26</v>
      </c>
      <c r="E721" s="55">
        <v>4</v>
      </c>
      <c r="F721" s="55">
        <v>18</v>
      </c>
      <c r="G721" s="55">
        <v>18</v>
      </c>
      <c r="H721" s="55">
        <v>4</v>
      </c>
      <c r="I721" s="55">
        <v>0.69</v>
      </c>
      <c r="J721" s="55">
        <v>0.69</v>
      </c>
      <c r="K721" s="55">
        <v>0.15</v>
      </c>
      <c r="L721" s="55">
        <v>8</v>
      </c>
      <c r="M721" s="54" t="str">
        <f t="shared" si="58"/>
        <v>0-6 Months</v>
      </c>
      <c r="N721" s="54" t="str">
        <f t="shared" si="59"/>
        <v>12-18 Months</v>
      </c>
      <c r="O721" s="54" t="s">
        <v>7</v>
      </c>
      <c r="P721" s="54">
        <f t="shared" si="55"/>
        <v>0</v>
      </c>
      <c r="Q721">
        <f t="shared" si="56"/>
        <v>0</v>
      </c>
      <c r="R721">
        <f t="shared" si="57"/>
        <v>0</v>
      </c>
    </row>
    <row r="722" spans="1:18" x14ac:dyDescent="0.2">
      <c r="A722" s="54">
        <v>146825</v>
      </c>
      <c r="B722" s="54" t="s">
        <v>945</v>
      </c>
      <c r="C722" s="55">
        <v>14</v>
      </c>
      <c r="D722" s="55">
        <v>14</v>
      </c>
      <c r="E722" s="55">
        <v>4</v>
      </c>
      <c r="F722" s="55">
        <v>54</v>
      </c>
      <c r="G722" s="55">
        <v>36</v>
      </c>
      <c r="H722" s="55">
        <v>0</v>
      </c>
      <c r="I722" s="55">
        <v>3.86</v>
      </c>
      <c r="J722" s="55">
        <v>2.57</v>
      </c>
      <c r="K722" s="55">
        <v>0</v>
      </c>
      <c r="L722" s="55">
        <v>2</v>
      </c>
      <c r="M722" s="54" t="str">
        <f t="shared" si="58"/>
        <v>0-6 Months</v>
      </c>
      <c r="N722" s="54" t="str">
        <f t="shared" si="59"/>
        <v>12-18 Months</v>
      </c>
      <c r="O722" s="54" t="s">
        <v>7</v>
      </c>
      <c r="P722" s="54">
        <f t="shared" si="55"/>
        <v>14</v>
      </c>
      <c r="Q722">
        <f t="shared" si="56"/>
        <v>14</v>
      </c>
      <c r="R722">
        <f t="shared" si="57"/>
        <v>14</v>
      </c>
    </row>
    <row r="723" spans="1:18" x14ac:dyDescent="0.2">
      <c r="A723" s="54">
        <v>451996</v>
      </c>
      <c r="B723" s="54" t="s">
        <v>960</v>
      </c>
      <c r="C723" s="55">
        <v>15</v>
      </c>
      <c r="D723" s="55">
        <v>13</v>
      </c>
      <c r="E723" s="55">
        <v>4</v>
      </c>
      <c r="F723" s="55">
        <v>0</v>
      </c>
      <c r="G723" s="55">
        <v>0</v>
      </c>
      <c r="H723" s="55">
        <v>0</v>
      </c>
      <c r="I723" s="55">
        <v>0</v>
      </c>
      <c r="J723" s="55">
        <v>0</v>
      </c>
      <c r="K723" s="55">
        <v>0</v>
      </c>
      <c r="L723" s="55">
        <v>0</v>
      </c>
      <c r="M723" s="54" t="str">
        <f t="shared" si="58"/>
        <v>0-6 Months</v>
      </c>
      <c r="N723" s="54" t="str">
        <f t="shared" si="59"/>
        <v>12-18 Months</v>
      </c>
      <c r="O723" s="54" t="s">
        <v>7</v>
      </c>
      <c r="P723" s="54">
        <f t="shared" si="55"/>
        <v>0</v>
      </c>
      <c r="Q723">
        <f t="shared" si="56"/>
        <v>0</v>
      </c>
      <c r="R723">
        <f t="shared" si="57"/>
        <v>0</v>
      </c>
    </row>
    <row r="724" spans="1:18" x14ac:dyDescent="0.2">
      <c r="A724" s="54">
        <v>470515</v>
      </c>
      <c r="B724" s="54" t="s">
        <v>978</v>
      </c>
      <c r="C724" s="55">
        <v>16</v>
      </c>
      <c r="D724" s="55">
        <v>16</v>
      </c>
      <c r="E724" s="55">
        <v>4</v>
      </c>
      <c r="F724" s="55">
        <v>8</v>
      </c>
      <c r="G724" s="55">
        <v>7</v>
      </c>
      <c r="H724" s="55">
        <v>0</v>
      </c>
      <c r="I724" s="55">
        <v>0.5</v>
      </c>
      <c r="J724" s="55">
        <v>0.44</v>
      </c>
      <c r="K724" s="55">
        <v>0</v>
      </c>
      <c r="L724" s="55">
        <v>0</v>
      </c>
      <c r="M724" s="54" t="str">
        <f t="shared" si="58"/>
        <v>0-6 Months</v>
      </c>
      <c r="N724" s="54" t="str">
        <f t="shared" si="59"/>
        <v>12-18 Months</v>
      </c>
      <c r="O724" s="54" t="s">
        <v>7</v>
      </c>
      <c r="P724" s="54">
        <f t="shared" si="55"/>
        <v>0</v>
      </c>
      <c r="Q724">
        <f t="shared" si="56"/>
        <v>0</v>
      </c>
      <c r="R724">
        <f t="shared" si="57"/>
        <v>0</v>
      </c>
    </row>
    <row r="725" spans="1:18" x14ac:dyDescent="0.2">
      <c r="A725" s="54">
        <v>327410</v>
      </c>
      <c r="B725" s="54" t="s">
        <v>984</v>
      </c>
      <c r="C725" s="55">
        <v>17</v>
      </c>
      <c r="D725" s="55">
        <v>17</v>
      </c>
      <c r="E725" s="55">
        <v>4</v>
      </c>
      <c r="F725" s="55">
        <v>3</v>
      </c>
      <c r="G725" s="55">
        <v>3</v>
      </c>
      <c r="H725" s="55">
        <v>0</v>
      </c>
      <c r="I725" s="55">
        <v>0.18</v>
      </c>
      <c r="J725" s="55">
        <v>0.18</v>
      </c>
      <c r="K725" s="55">
        <v>0</v>
      </c>
      <c r="L725" s="55">
        <v>0</v>
      </c>
      <c r="M725" s="54" t="str">
        <f t="shared" si="58"/>
        <v>0-6 Months</v>
      </c>
      <c r="N725" s="54" t="str">
        <f t="shared" si="59"/>
        <v>12-18 Months</v>
      </c>
      <c r="O725" s="54" t="s">
        <v>7</v>
      </c>
      <c r="P725" s="54">
        <f t="shared" si="55"/>
        <v>0</v>
      </c>
      <c r="Q725">
        <f t="shared" si="56"/>
        <v>0</v>
      </c>
      <c r="R725">
        <f t="shared" si="57"/>
        <v>0</v>
      </c>
    </row>
    <row r="726" spans="1:18" x14ac:dyDescent="0.2">
      <c r="A726" s="54">
        <v>180045</v>
      </c>
      <c r="B726" s="54" t="s">
        <v>996</v>
      </c>
      <c r="C726" s="55">
        <v>18</v>
      </c>
      <c r="D726" s="55">
        <v>80</v>
      </c>
      <c r="E726" s="55">
        <v>4</v>
      </c>
      <c r="F726" s="55">
        <v>29</v>
      </c>
      <c r="G726" s="55">
        <v>29</v>
      </c>
      <c r="H726" s="55">
        <v>9</v>
      </c>
      <c r="I726" s="55">
        <v>0.36</v>
      </c>
      <c r="J726" s="55">
        <v>0.36</v>
      </c>
      <c r="K726" s="55">
        <v>0.11</v>
      </c>
      <c r="L726" s="55">
        <v>14</v>
      </c>
      <c r="M726" s="54" t="str">
        <f t="shared" si="58"/>
        <v>0-6 Months</v>
      </c>
      <c r="N726" s="54" t="str">
        <f t="shared" si="59"/>
        <v>12-18 Months</v>
      </c>
      <c r="O726" s="54" t="s">
        <v>7</v>
      </c>
      <c r="P726" s="54">
        <f t="shared" si="55"/>
        <v>0</v>
      </c>
      <c r="Q726">
        <f t="shared" si="56"/>
        <v>0</v>
      </c>
      <c r="R726">
        <f t="shared" si="57"/>
        <v>0</v>
      </c>
    </row>
    <row r="727" spans="1:18" x14ac:dyDescent="0.2">
      <c r="A727" s="54">
        <v>157038</v>
      </c>
      <c r="B727" s="54" t="s">
        <v>1002</v>
      </c>
      <c r="C727" s="55">
        <v>19</v>
      </c>
      <c r="D727" s="55">
        <v>17</v>
      </c>
      <c r="E727" s="55">
        <v>4</v>
      </c>
      <c r="F727" s="55">
        <v>0</v>
      </c>
      <c r="G727" s="55">
        <v>0</v>
      </c>
      <c r="H727" s="55">
        <v>0</v>
      </c>
      <c r="I727" s="55">
        <v>0</v>
      </c>
      <c r="J727" s="55">
        <v>0</v>
      </c>
      <c r="K727" s="55">
        <v>0</v>
      </c>
      <c r="L727" s="55">
        <v>0</v>
      </c>
      <c r="M727" s="54" t="str">
        <f t="shared" si="58"/>
        <v>0-6 Months</v>
      </c>
      <c r="N727" s="54" t="str">
        <f t="shared" si="59"/>
        <v>12-18 Months</v>
      </c>
      <c r="O727" s="54" t="s">
        <v>7</v>
      </c>
      <c r="P727" s="54">
        <f t="shared" si="55"/>
        <v>0</v>
      </c>
      <c r="Q727">
        <f t="shared" si="56"/>
        <v>0</v>
      </c>
      <c r="R727">
        <f t="shared" si="57"/>
        <v>0</v>
      </c>
    </row>
    <row r="728" spans="1:18" x14ac:dyDescent="0.2">
      <c r="A728" s="54">
        <v>110080</v>
      </c>
      <c r="B728" s="54" t="s">
        <v>1014</v>
      </c>
      <c r="C728" s="55">
        <v>20</v>
      </c>
      <c r="D728" s="55">
        <v>20</v>
      </c>
      <c r="E728" s="55">
        <v>4</v>
      </c>
      <c r="F728" s="55">
        <v>0</v>
      </c>
      <c r="G728" s="55">
        <v>0</v>
      </c>
      <c r="H728" s="55">
        <v>0</v>
      </c>
      <c r="I728" s="55">
        <v>0</v>
      </c>
      <c r="J728" s="55">
        <v>0</v>
      </c>
      <c r="K728" s="55">
        <v>0</v>
      </c>
      <c r="L728" s="55">
        <v>0</v>
      </c>
      <c r="M728" s="54" t="str">
        <f t="shared" si="58"/>
        <v>0-6 Months</v>
      </c>
      <c r="N728" s="54" t="str">
        <f t="shared" si="59"/>
        <v>12-18 Months</v>
      </c>
      <c r="O728" s="54" t="s">
        <v>7</v>
      </c>
      <c r="P728" s="54">
        <f t="shared" si="55"/>
        <v>0</v>
      </c>
      <c r="Q728">
        <f t="shared" si="56"/>
        <v>0</v>
      </c>
      <c r="R728">
        <f t="shared" si="57"/>
        <v>0</v>
      </c>
    </row>
    <row r="729" spans="1:18" x14ac:dyDescent="0.2">
      <c r="A729" s="54">
        <v>327051</v>
      </c>
      <c r="B729" s="54" t="s">
        <v>1013</v>
      </c>
      <c r="C729" s="55">
        <v>20</v>
      </c>
      <c r="D729" s="55">
        <v>20</v>
      </c>
      <c r="E729" s="55">
        <v>4</v>
      </c>
      <c r="F729" s="55">
        <v>67</v>
      </c>
      <c r="G729" s="55">
        <v>67</v>
      </c>
      <c r="H729" s="55">
        <v>67</v>
      </c>
      <c r="I729" s="55">
        <v>3.35</v>
      </c>
      <c r="J729" s="55">
        <v>3.35</v>
      </c>
      <c r="K729" s="55">
        <v>3.35</v>
      </c>
      <c r="L729" s="55">
        <v>25</v>
      </c>
      <c r="M729" s="54" t="str">
        <f t="shared" si="58"/>
        <v>0-6 Months</v>
      </c>
      <c r="N729" s="54" t="str">
        <f t="shared" si="59"/>
        <v>12-18 Months</v>
      </c>
      <c r="O729" s="54" t="s">
        <v>7</v>
      </c>
      <c r="P729" s="54">
        <f t="shared" si="55"/>
        <v>20</v>
      </c>
      <c r="Q729">
        <f t="shared" si="56"/>
        <v>20</v>
      </c>
      <c r="R729">
        <f t="shared" si="57"/>
        <v>20</v>
      </c>
    </row>
    <row r="730" spans="1:18" x14ac:dyDescent="0.2">
      <c r="A730" s="54">
        <v>112696</v>
      </c>
      <c r="B730" s="54" t="s">
        <v>1021</v>
      </c>
      <c r="C730" s="55">
        <v>21</v>
      </c>
      <c r="D730" s="55">
        <v>14</v>
      </c>
      <c r="E730" s="55">
        <v>4</v>
      </c>
      <c r="F730" s="55">
        <v>68</v>
      </c>
      <c r="G730" s="55">
        <v>68</v>
      </c>
      <c r="H730" s="55">
        <v>55</v>
      </c>
      <c r="I730" s="55">
        <v>4.8600000000000003</v>
      </c>
      <c r="J730" s="55">
        <v>4.8600000000000003</v>
      </c>
      <c r="K730" s="55">
        <v>3.93</v>
      </c>
      <c r="L730" s="55">
        <v>25</v>
      </c>
      <c r="M730" s="54" t="str">
        <f t="shared" si="58"/>
        <v>0-6 Months</v>
      </c>
      <c r="N730" s="54" t="str">
        <f t="shared" si="59"/>
        <v>12-18 Months</v>
      </c>
      <c r="O730" s="54" t="s">
        <v>7</v>
      </c>
      <c r="P730" s="54">
        <f t="shared" si="55"/>
        <v>21</v>
      </c>
      <c r="Q730">
        <f t="shared" si="56"/>
        <v>21</v>
      </c>
      <c r="R730">
        <f t="shared" si="57"/>
        <v>21</v>
      </c>
    </row>
    <row r="731" spans="1:18" x14ac:dyDescent="0.2">
      <c r="A731" s="54">
        <v>198552</v>
      </c>
      <c r="B731" s="54" t="s">
        <v>1036</v>
      </c>
      <c r="C731" s="55">
        <v>23</v>
      </c>
      <c r="D731" s="55">
        <v>17</v>
      </c>
      <c r="E731" s="55">
        <v>4</v>
      </c>
      <c r="F731" s="55">
        <v>28</v>
      </c>
      <c r="G731" s="55">
        <v>28</v>
      </c>
      <c r="H731" s="55">
        <v>28</v>
      </c>
      <c r="I731" s="55">
        <v>1.65</v>
      </c>
      <c r="J731" s="55">
        <v>1.65</v>
      </c>
      <c r="K731" s="55">
        <v>1.65</v>
      </c>
      <c r="L731" s="55">
        <v>0</v>
      </c>
      <c r="M731" s="54" t="str">
        <f t="shared" si="58"/>
        <v>0-6 Months</v>
      </c>
      <c r="N731" s="54" t="str">
        <f t="shared" si="59"/>
        <v>12-18 Months</v>
      </c>
      <c r="O731" s="54" t="s">
        <v>7</v>
      </c>
      <c r="P731" s="54">
        <f t="shared" si="55"/>
        <v>23</v>
      </c>
      <c r="Q731">
        <f t="shared" si="56"/>
        <v>0</v>
      </c>
      <c r="R731">
        <f t="shared" si="57"/>
        <v>23</v>
      </c>
    </row>
    <row r="732" spans="1:18" x14ac:dyDescent="0.2">
      <c r="A732" s="54">
        <v>109081</v>
      </c>
      <c r="B732" s="54" t="s">
        <v>1041</v>
      </c>
      <c r="C732" s="55">
        <v>24</v>
      </c>
      <c r="D732" s="55">
        <v>20</v>
      </c>
      <c r="E732" s="55">
        <v>4</v>
      </c>
      <c r="F732" s="55">
        <v>0</v>
      </c>
      <c r="G732" s="55">
        <v>0</v>
      </c>
      <c r="H732" s="55">
        <v>0</v>
      </c>
      <c r="I732" s="55">
        <v>0</v>
      </c>
      <c r="J732" s="55">
        <v>0</v>
      </c>
      <c r="K732" s="55">
        <v>0</v>
      </c>
      <c r="L732" s="55">
        <v>0</v>
      </c>
      <c r="M732" s="54" t="str">
        <f t="shared" si="58"/>
        <v>0-6 Months</v>
      </c>
      <c r="N732" s="54" t="str">
        <f t="shared" si="59"/>
        <v>12-18 Months</v>
      </c>
      <c r="O732" s="54" t="s">
        <v>7</v>
      </c>
      <c r="P732" s="54">
        <f t="shared" si="55"/>
        <v>0</v>
      </c>
      <c r="Q732">
        <f t="shared" si="56"/>
        <v>0</v>
      </c>
      <c r="R732">
        <f t="shared" si="57"/>
        <v>0</v>
      </c>
    </row>
    <row r="733" spans="1:18" x14ac:dyDescent="0.2">
      <c r="A733" s="54">
        <v>124098</v>
      </c>
      <c r="B733" s="54" t="s">
        <v>1048</v>
      </c>
      <c r="C733" s="55">
        <v>25</v>
      </c>
      <c r="D733" s="55">
        <v>28</v>
      </c>
      <c r="E733" s="55">
        <v>4</v>
      </c>
      <c r="F733" s="55">
        <v>9</v>
      </c>
      <c r="G733" s="55">
        <v>9</v>
      </c>
      <c r="H733" s="55">
        <v>9</v>
      </c>
      <c r="I733" s="55">
        <v>0.32</v>
      </c>
      <c r="J733" s="55">
        <v>0.32</v>
      </c>
      <c r="K733" s="55">
        <v>0.32</v>
      </c>
      <c r="L733" s="55">
        <v>5</v>
      </c>
      <c r="M733" s="54" t="str">
        <f t="shared" si="58"/>
        <v>0-6 Months</v>
      </c>
      <c r="N733" s="54" t="str">
        <f t="shared" si="59"/>
        <v>12-18 Months</v>
      </c>
      <c r="O733" s="54" t="s">
        <v>7</v>
      </c>
      <c r="P733" s="54">
        <f t="shared" si="55"/>
        <v>0</v>
      </c>
      <c r="Q733">
        <f t="shared" si="56"/>
        <v>0</v>
      </c>
      <c r="R733">
        <f t="shared" si="57"/>
        <v>0</v>
      </c>
    </row>
    <row r="734" spans="1:18" x14ac:dyDescent="0.2">
      <c r="A734" s="54">
        <v>132522</v>
      </c>
      <c r="B734" s="54" t="s">
        <v>1047</v>
      </c>
      <c r="C734" s="55">
        <v>25</v>
      </c>
      <c r="D734" s="55">
        <v>25</v>
      </c>
      <c r="E734" s="55">
        <v>4</v>
      </c>
      <c r="F734" s="55">
        <v>30</v>
      </c>
      <c r="G734" s="55">
        <v>30</v>
      </c>
      <c r="H734" s="55">
        <v>30</v>
      </c>
      <c r="I734" s="55">
        <v>1.2</v>
      </c>
      <c r="J734" s="55">
        <v>1.2</v>
      </c>
      <c r="K734" s="55">
        <v>1.2</v>
      </c>
      <c r="L734" s="55">
        <v>0</v>
      </c>
      <c r="M734" s="54" t="str">
        <f t="shared" si="58"/>
        <v>0-6 Months</v>
      </c>
      <c r="N734" s="54" t="str">
        <f t="shared" si="59"/>
        <v>12-18 Months</v>
      </c>
      <c r="O734" s="54" t="s">
        <v>7</v>
      </c>
      <c r="P734" s="54">
        <f t="shared" si="55"/>
        <v>25</v>
      </c>
      <c r="Q734">
        <f t="shared" si="56"/>
        <v>0</v>
      </c>
      <c r="R734">
        <f t="shared" si="57"/>
        <v>25</v>
      </c>
    </row>
    <row r="735" spans="1:18" x14ac:dyDescent="0.2">
      <c r="A735" s="54">
        <v>471744</v>
      </c>
      <c r="B735" s="54" t="s">
        <v>1049</v>
      </c>
      <c r="C735" s="55">
        <v>25</v>
      </c>
      <c r="D735" s="55">
        <v>23</v>
      </c>
      <c r="E735" s="55">
        <v>4</v>
      </c>
      <c r="F735" s="55">
        <v>0</v>
      </c>
      <c r="G735" s="55">
        <v>0</v>
      </c>
      <c r="H735" s="55">
        <v>0</v>
      </c>
      <c r="I735" s="55">
        <v>0</v>
      </c>
      <c r="J735" s="55">
        <v>0</v>
      </c>
      <c r="K735" s="55">
        <v>0</v>
      </c>
      <c r="L735" s="55">
        <v>0</v>
      </c>
      <c r="M735" s="54" t="str">
        <f t="shared" si="58"/>
        <v>0-6 Months</v>
      </c>
      <c r="N735" s="54" t="str">
        <f t="shared" si="59"/>
        <v>12-18 Months</v>
      </c>
      <c r="O735" s="54" t="s">
        <v>7</v>
      </c>
      <c r="P735" s="54">
        <f t="shared" si="55"/>
        <v>0</v>
      </c>
      <c r="Q735">
        <f t="shared" si="56"/>
        <v>0</v>
      </c>
      <c r="R735">
        <f t="shared" si="57"/>
        <v>0</v>
      </c>
    </row>
    <row r="736" spans="1:18" x14ac:dyDescent="0.2">
      <c r="A736" s="54">
        <v>128823</v>
      </c>
      <c r="B736" s="54" t="s">
        <v>1083</v>
      </c>
      <c r="C736" s="55">
        <v>30</v>
      </c>
      <c r="D736" s="55">
        <v>30</v>
      </c>
      <c r="E736" s="55">
        <v>4</v>
      </c>
      <c r="F736" s="55">
        <v>3</v>
      </c>
      <c r="G736" s="55">
        <v>3</v>
      </c>
      <c r="H736" s="55">
        <v>0</v>
      </c>
      <c r="I736" s="55">
        <v>0.1</v>
      </c>
      <c r="J736" s="55">
        <v>0.1</v>
      </c>
      <c r="K736" s="55">
        <v>0</v>
      </c>
      <c r="L736" s="55">
        <v>0</v>
      </c>
      <c r="M736" s="54" t="str">
        <f t="shared" si="58"/>
        <v>0-6 Months</v>
      </c>
      <c r="N736" s="54" t="str">
        <f t="shared" si="59"/>
        <v>12-18 Months</v>
      </c>
      <c r="O736" s="54" t="s">
        <v>7</v>
      </c>
      <c r="P736" s="54">
        <f t="shared" si="55"/>
        <v>0</v>
      </c>
      <c r="Q736">
        <f t="shared" si="56"/>
        <v>0</v>
      </c>
      <c r="R736">
        <f t="shared" si="57"/>
        <v>0</v>
      </c>
    </row>
    <row r="737" spans="1:18" x14ac:dyDescent="0.2">
      <c r="A737" s="54">
        <v>106654</v>
      </c>
      <c r="B737" s="54" t="s">
        <v>1101</v>
      </c>
      <c r="C737" s="55">
        <v>33</v>
      </c>
      <c r="D737" s="55">
        <v>35</v>
      </c>
      <c r="E737" s="55">
        <v>4</v>
      </c>
      <c r="F737" s="55">
        <v>81</v>
      </c>
      <c r="G737" s="55">
        <v>69</v>
      </c>
      <c r="H737" s="55">
        <v>56</v>
      </c>
      <c r="I737" s="55">
        <v>2.31</v>
      </c>
      <c r="J737" s="55">
        <v>1.97</v>
      </c>
      <c r="K737" s="55">
        <v>1.6</v>
      </c>
      <c r="L737" s="55">
        <v>0</v>
      </c>
      <c r="M737" s="54" t="str">
        <f t="shared" si="58"/>
        <v>0-6 Months</v>
      </c>
      <c r="N737" s="54" t="str">
        <f t="shared" si="59"/>
        <v>12-18 Months</v>
      </c>
      <c r="O737" s="54" t="s">
        <v>7</v>
      </c>
      <c r="P737" s="54">
        <f t="shared" si="55"/>
        <v>33</v>
      </c>
      <c r="Q737">
        <f t="shared" si="56"/>
        <v>33</v>
      </c>
      <c r="R737">
        <f t="shared" si="57"/>
        <v>33</v>
      </c>
    </row>
    <row r="738" spans="1:18" x14ac:dyDescent="0.2">
      <c r="A738" s="54">
        <v>109470</v>
      </c>
      <c r="B738" s="54" t="s">
        <v>1100</v>
      </c>
      <c r="C738" s="55">
        <v>33</v>
      </c>
      <c r="D738" s="55">
        <v>34</v>
      </c>
      <c r="E738" s="55">
        <v>4</v>
      </c>
      <c r="F738" s="55">
        <v>32</v>
      </c>
      <c r="G738" s="55">
        <v>30</v>
      </c>
      <c r="H738" s="55">
        <v>0</v>
      </c>
      <c r="I738" s="55">
        <v>0.94</v>
      </c>
      <c r="J738" s="55">
        <v>0.88</v>
      </c>
      <c r="K738" s="55">
        <v>0</v>
      </c>
      <c r="L738" s="55">
        <v>5</v>
      </c>
      <c r="M738" s="54" t="str">
        <f t="shared" si="58"/>
        <v>0-6 Months</v>
      </c>
      <c r="N738" s="54" t="str">
        <f t="shared" si="59"/>
        <v>12-18 Months</v>
      </c>
      <c r="O738" s="54" t="s">
        <v>7</v>
      </c>
      <c r="P738" s="54">
        <f t="shared" si="55"/>
        <v>33</v>
      </c>
      <c r="Q738">
        <f t="shared" si="56"/>
        <v>0</v>
      </c>
      <c r="R738">
        <f t="shared" si="57"/>
        <v>33</v>
      </c>
    </row>
    <row r="739" spans="1:18" x14ac:dyDescent="0.2">
      <c r="A739" s="54">
        <v>300623</v>
      </c>
      <c r="B739" s="54" t="s">
        <v>1102</v>
      </c>
      <c r="C739" s="55">
        <v>33</v>
      </c>
      <c r="D739" s="55">
        <v>28</v>
      </c>
      <c r="E739" s="55">
        <v>4</v>
      </c>
      <c r="F739" s="55">
        <v>3</v>
      </c>
      <c r="G739" s="55">
        <v>3</v>
      </c>
      <c r="H739" s="55">
        <v>2</v>
      </c>
      <c r="I739" s="55">
        <v>0.11</v>
      </c>
      <c r="J739" s="55">
        <v>0.11</v>
      </c>
      <c r="K739" s="55">
        <v>7.0000000000000007E-2</v>
      </c>
      <c r="L739" s="55">
        <v>3</v>
      </c>
      <c r="M739" s="54" t="str">
        <f t="shared" si="58"/>
        <v>0-6 Months</v>
      </c>
      <c r="N739" s="54" t="str">
        <f t="shared" si="59"/>
        <v>12-18 Months</v>
      </c>
      <c r="O739" s="54" t="s">
        <v>7</v>
      </c>
      <c r="P739" s="54">
        <f t="shared" si="55"/>
        <v>0</v>
      </c>
      <c r="Q739">
        <f t="shared" si="56"/>
        <v>0</v>
      </c>
      <c r="R739">
        <f t="shared" si="57"/>
        <v>0</v>
      </c>
    </row>
    <row r="740" spans="1:18" x14ac:dyDescent="0.2">
      <c r="A740" s="54">
        <v>469776</v>
      </c>
      <c r="B740" s="54" t="s">
        <v>1103</v>
      </c>
      <c r="C740" s="55">
        <v>33</v>
      </c>
      <c r="D740" s="55">
        <v>20</v>
      </c>
      <c r="E740" s="55">
        <v>4</v>
      </c>
      <c r="F740" s="55">
        <v>4</v>
      </c>
      <c r="G740" s="55">
        <v>4</v>
      </c>
      <c r="H740" s="55">
        <v>4</v>
      </c>
      <c r="I740" s="55">
        <v>0.2</v>
      </c>
      <c r="J740" s="55">
        <v>0.2</v>
      </c>
      <c r="K740" s="55">
        <v>0.2</v>
      </c>
      <c r="L740" s="55">
        <v>0</v>
      </c>
      <c r="M740" s="54" t="str">
        <f t="shared" si="58"/>
        <v>0-6 Months</v>
      </c>
      <c r="N740" s="54" t="str">
        <f t="shared" si="59"/>
        <v>12-18 Months</v>
      </c>
      <c r="O740" s="54" t="s">
        <v>7</v>
      </c>
      <c r="P740" s="54">
        <f t="shared" si="55"/>
        <v>0</v>
      </c>
      <c r="Q740">
        <f t="shared" si="56"/>
        <v>0</v>
      </c>
      <c r="R740">
        <f t="shared" si="57"/>
        <v>0</v>
      </c>
    </row>
    <row r="741" spans="1:18" x14ac:dyDescent="0.2">
      <c r="A741" s="54">
        <v>171769</v>
      </c>
      <c r="B741" s="54" t="s">
        <v>1109</v>
      </c>
      <c r="C741" s="55">
        <v>35</v>
      </c>
      <c r="D741" s="55">
        <v>35</v>
      </c>
      <c r="E741" s="55">
        <v>4</v>
      </c>
      <c r="F741" s="55">
        <v>29</v>
      </c>
      <c r="G741" s="55">
        <v>25</v>
      </c>
      <c r="H741" s="55">
        <v>25</v>
      </c>
      <c r="I741" s="55">
        <v>0.83</v>
      </c>
      <c r="J741" s="55">
        <v>0.71</v>
      </c>
      <c r="K741" s="55">
        <v>0.71</v>
      </c>
      <c r="L741" s="55">
        <v>0</v>
      </c>
      <c r="M741" s="54" t="str">
        <f t="shared" si="58"/>
        <v>0-6 Months</v>
      </c>
      <c r="N741" s="54" t="str">
        <f t="shared" si="59"/>
        <v>12-18 Months</v>
      </c>
      <c r="O741" s="54" t="s">
        <v>7</v>
      </c>
      <c r="P741" s="54">
        <f t="shared" si="55"/>
        <v>0</v>
      </c>
      <c r="Q741">
        <f t="shared" si="56"/>
        <v>0</v>
      </c>
      <c r="R741">
        <f t="shared" si="57"/>
        <v>0</v>
      </c>
    </row>
    <row r="742" spans="1:18" x14ac:dyDescent="0.2">
      <c r="A742" s="54">
        <v>476935</v>
      </c>
      <c r="B742" s="54" t="s">
        <v>1118</v>
      </c>
      <c r="C742" s="55">
        <v>37</v>
      </c>
      <c r="D742" s="55">
        <v>30</v>
      </c>
      <c r="E742" s="55">
        <v>4</v>
      </c>
      <c r="F742" s="55">
        <v>0</v>
      </c>
      <c r="G742" s="55">
        <v>0</v>
      </c>
      <c r="H742" s="55">
        <v>0</v>
      </c>
      <c r="I742" s="55">
        <v>0</v>
      </c>
      <c r="J742" s="55">
        <v>0</v>
      </c>
      <c r="K742" s="55">
        <v>0</v>
      </c>
      <c r="L742" s="55">
        <v>0</v>
      </c>
      <c r="M742" s="54" t="str">
        <f t="shared" si="58"/>
        <v>0-6 Months</v>
      </c>
      <c r="N742" s="54" t="str">
        <f t="shared" si="59"/>
        <v>12-18 Months</v>
      </c>
      <c r="O742" s="54" t="s">
        <v>7</v>
      </c>
      <c r="P742" s="54">
        <f t="shared" si="55"/>
        <v>0</v>
      </c>
      <c r="Q742">
        <f t="shared" si="56"/>
        <v>0</v>
      </c>
      <c r="R742">
        <f t="shared" si="57"/>
        <v>0</v>
      </c>
    </row>
    <row r="743" spans="1:18" x14ac:dyDescent="0.2">
      <c r="A743" s="54">
        <v>153097</v>
      </c>
      <c r="B743" s="54" t="s">
        <v>1121</v>
      </c>
      <c r="C743" s="55">
        <v>38</v>
      </c>
      <c r="D743" s="55">
        <v>38</v>
      </c>
      <c r="E743" s="55">
        <v>4</v>
      </c>
      <c r="F743" s="55">
        <v>0</v>
      </c>
      <c r="G743" s="55">
        <v>0</v>
      </c>
      <c r="H743" s="55">
        <v>0</v>
      </c>
      <c r="I743" s="55">
        <v>0</v>
      </c>
      <c r="J743" s="55">
        <v>0</v>
      </c>
      <c r="K743" s="55">
        <v>0</v>
      </c>
      <c r="L743" s="55">
        <v>0</v>
      </c>
      <c r="M743" s="54" t="str">
        <f t="shared" si="58"/>
        <v>0-6 Months</v>
      </c>
      <c r="N743" s="54" t="str">
        <f t="shared" si="59"/>
        <v>12-18 Months</v>
      </c>
      <c r="O743" s="54" t="s">
        <v>7</v>
      </c>
      <c r="P743" s="54">
        <f t="shared" si="55"/>
        <v>0</v>
      </c>
      <c r="Q743">
        <f t="shared" si="56"/>
        <v>0</v>
      </c>
      <c r="R743">
        <f t="shared" si="57"/>
        <v>0</v>
      </c>
    </row>
    <row r="744" spans="1:18" x14ac:dyDescent="0.2">
      <c r="A744" s="54">
        <v>113219</v>
      </c>
      <c r="B744" s="54" t="s">
        <v>1124</v>
      </c>
      <c r="C744" s="55">
        <v>39</v>
      </c>
      <c r="D744" s="55">
        <v>40</v>
      </c>
      <c r="E744" s="55">
        <v>4</v>
      </c>
      <c r="F744" s="55">
        <v>4</v>
      </c>
      <c r="G744" s="55">
        <v>4</v>
      </c>
      <c r="H744" s="55">
        <v>0</v>
      </c>
      <c r="I744" s="55">
        <v>0.1</v>
      </c>
      <c r="J744" s="55">
        <v>0.1</v>
      </c>
      <c r="K744" s="55">
        <v>0</v>
      </c>
      <c r="L744" s="55">
        <v>2</v>
      </c>
      <c r="M744" s="54" t="str">
        <f t="shared" si="58"/>
        <v>0-6 Months</v>
      </c>
      <c r="N744" s="54" t="str">
        <f t="shared" si="59"/>
        <v>12-18 Months</v>
      </c>
      <c r="O744" s="54" t="s">
        <v>7</v>
      </c>
      <c r="P744" s="54">
        <f t="shared" si="55"/>
        <v>0</v>
      </c>
      <c r="Q744">
        <f t="shared" si="56"/>
        <v>0</v>
      </c>
      <c r="R744">
        <f t="shared" si="57"/>
        <v>0</v>
      </c>
    </row>
    <row r="745" spans="1:18" x14ac:dyDescent="0.2">
      <c r="A745" s="54">
        <v>516154</v>
      </c>
      <c r="B745" s="54" t="s">
        <v>1125</v>
      </c>
      <c r="C745" s="55">
        <v>39</v>
      </c>
      <c r="D745" s="55">
        <v>30</v>
      </c>
      <c r="E745" s="55">
        <v>4</v>
      </c>
      <c r="F745" s="55">
        <v>0</v>
      </c>
      <c r="G745" s="55">
        <v>0</v>
      </c>
      <c r="H745" s="55">
        <v>0</v>
      </c>
      <c r="I745" s="55">
        <v>0</v>
      </c>
      <c r="J745" s="55">
        <v>0</v>
      </c>
      <c r="K745" s="55">
        <v>0</v>
      </c>
      <c r="L745" s="55">
        <v>0</v>
      </c>
      <c r="M745" s="54" t="str">
        <f t="shared" si="58"/>
        <v>0-6 Months</v>
      </c>
      <c r="N745" s="54" t="str">
        <f t="shared" si="59"/>
        <v>12-18 Months</v>
      </c>
      <c r="O745" s="54" t="s">
        <v>7</v>
      </c>
      <c r="P745" s="54">
        <f t="shared" si="55"/>
        <v>0</v>
      </c>
      <c r="Q745">
        <f t="shared" si="56"/>
        <v>0</v>
      </c>
      <c r="R745">
        <f t="shared" si="57"/>
        <v>0</v>
      </c>
    </row>
    <row r="746" spans="1:18" x14ac:dyDescent="0.2">
      <c r="A746" s="54">
        <v>109937</v>
      </c>
      <c r="B746" s="54" t="s">
        <v>1128</v>
      </c>
      <c r="C746" s="55">
        <v>40</v>
      </c>
      <c r="D746" s="55">
        <v>40</v>
      </c>
      <c r="E746" s="55">
        <v>4</v>
      </c>
      <c r="F746" s="55">
        <v>0</v>
      </c>
      <c r="G746" s="55">
        <v>0</v>
      </c>
      <c r="H746" s="55">
        <v>0</v>
      </c>
      <c r="I746" s="55">
        <v>0</v>
      </c>
      <c r="J746" s="55">
        <v>0</v>
      </c>
      <c r="K746" s="55">
        <v>0</v>
      </c>
      <c r="L746" s="55">
        <v>0</v>
      </c>
      <c r="M746" s="54" t="str">
        <f t="shared" si="58"/>
        <v>0-6 Months</v>
      </c>
      <c r="N746" s="54" t="str">
        <f t="shared" si="59"/>
        <v>12-18 Months</v>
      </c>
      <c r="O746" s="54" t="s">
        <v>7</v>
      </c>
      <c r="P746" s="54">
        <f t="shared" si="55"/>
        <v>0</v>
      </c>
      <c r="Q746">
        <f t="shared" si="56"/>
        <v>0</v>
      </c>
      <c r="R746">
        <f t="shared" si="57"/>
        <v>0</v>
      </c>
    </row>
    <row r="747" spans="1:18" x14ac:dyDescent="0.2">
      <c r="A747" s="54">
        <v>145184</v>
      </c>
      <c r="B747" s="54" t="s">
        <v>1142</v>
      </c>
      <c r="C747" s="55">
        <v>48</v>
      </c>
      <c r="D747" s="55">
        <v>48</v>
      </c>
      <c r="E747" s="55">
        <v>4</v>
      </c>
      <c r="F747" s="55">
        <v>12</v>
      </c>
      <c r="G747" s="55">
        <v>10</v>
      </c>
      <c r="H747" s="55">
        <v>4</v>
      </c>
      <c r="I747" s="55">
        <v>0.25</v>
      </c>
      <c r="J747" s="55">
        <v>0.21</v>
      </c>
      <c r="K747" s="55">
        <v>0.08</v>
      </c>
      <c r="L747" s="55">
        <v>0</v>
      </c>
      <c r="M747" s="54" t="str">
        <f t="shared" si="58"/>
        <v>0-6 Months</v>
      </c>
      <c r="N747" s="54" t="str">
        <f t="shared" si="59"/>
        <v>12-18 Months</v>
      </c>
      <c r="O747" s="54" t="s">
        <v>7</v>
      </c>
      <c r="P747" s="54">
        <f t="shared" si="55"/>
        <v>0</v>
      </c>
      <c r="Q747">
        <f t="shared" si="56"/>
        <v>0</v>
      </c>
      <c r="R747">
        <f t="shared" si="57"/>
        <v>0</v>
      </c>
    </row>
    <row r="748" spans="1:18" x14ac:dyDescent="0.2">
      <c r="A748" s="54">
        <v>110571</v>
      </c>
      <c r="B748" s="54" t="s">
        <v>1143</v>
      </c>
      <c r="C748" s="55">
        <v>49</v>
      </c>
      <c r="D748" s="55">
        <v>10</v>
      </c>
      <c r="E748" s="55">
        <v>4</v>
      </c>
      <c r="F748" s="55">
        <v>0</v>
      </c>
      <c r="G748" s="55">
        <v>0</v>
      </c>
      <c r="H748" s="55">
        <v>0</v>
      </c>
      <c r="I748" s="55">
        <v>0</v>
      </c>
      <c r="J748" s="55">
        <v>0</v>
      </c>
      <c r="K748" s="55">
        <v>0</v>
      </c>
      <c r="L748" s="55">
        <v>0</v>
      </c>
      <c r="M748" s="54" t="str">
        <f t="shared" si="58"/>
        <v>0-6 Months</v>
      </c>
      <c r="N748" s="54" t="str">
        <f t="shared" si="59"/>
        <v>12-18 Months</v>
      </c>
      <c r="O748" s="54" t="s">
        <v>7</v>
      </c>
      <c r="P748" s="54">
        <f t="shared" si="55"/>
        <v>0</v>
      </c>
      <c r="Q748">
        <f t="shared" si="56"/>
        <v>0</v>
      </c>
      <c r="R748">
        <f t="shared" si="57"/>
        <v>0</v>
      </c>
    </row>
    <row r="749" spans="1:18" x14ac:dyDescent="0.2">
      <c r="A749" s="54">
        <v>114454</v>
      </c>
      <c r="B749" s="54" t="s">
        <v>1161</v>
      </c>
      <c r="C749" s="55">
        <v>55</v>
      </c>
      <c r="D749" s="55">
        <v>39</v>
      </c>
      <c r="E749" s="55">
        <v>4</v>
      </c>
      <c r="F749" s="55">
        <v>3</v>
      </c>
      <c r="G749" s="55">
        <v>3</v>
      </c>
      <c r="H749" s="55">
        <v>3</v>
      </c>
      <c r="I749" s="55">
        <v>0.08</v>
      </c>
      <c r="J749" s="55">
        <v>0.08</v>
      </c>
      <c r="K749" s="55">
        <v>0.08</v>
      </c>
      <c r="L749" s="55">
        <v>0</v>
      </c>
      <c r="M749" s="54" t="str">
        <f t="shared" si="58"/>
        <v>0-6 Months</v>
      </c>
      <c r="N749" s="54" t="str">
        <f t="shared" si="59"/>
        <v>12-18 Months</v>
      </c>
      <c r="O749" s="54" t="s">
        <v>7</v>
      </c>
      <c r="P749" s="54">
        <f t="shared" si="55"/>
        <v>0</v>
      </c>
      <c r="Q749">
        <f t="shared" si="56"/>
        <v>0</v>
      </c>
      <c r="R749">
        <f t="shared" si="57"/>
        <v>0</v>
      </c>
    </row>
    <row r="750" spans="1:18" x14ac:dyDescent="0.2">
      <c r="A750" s="54">
        <v>108562</v>
      </c>
      <c r="B750" s="54" t="s">
        <v>1165</v>
      </c>
      <c r="C750" s="55">
        <v>56</v>
      </c>
      <c r="D750" s="55">
        <v>80</v>
      </c>
      <c r="E750" s="55">
        <v>4</v>
      </c>
      <c r="F750" s="55">
        <v>0</v>
      </c>
      <c r="G750" s="55">
        <v>0</v>
      </c>
      <c r="H750" s="55">
        <v>0</v>
      </c>
      <c r="I750" s="55">
        <v>0</v>
      </c>
      <c r="J750" s="55">
        <v>0</v>
      </c>
      <c r="K750" s="55">
        <v>0</v>
      </c>
      <c r="L750" s="55">
        <v>0</v>
      </c>
      <c r="M750" s="54" t="str">
        <f t="shared" si="58"/>
        <v>0-6 Months</v>
      </c>
      <c r="N750" s="54" t="str">
        <f t="shared" si="59"/>
        <v>12-18 Months</v>
      </c>
      <c r="O750" s="54" t="s">
        <v>7</v>
      </c>
      <c r="P750" s="54">
        <f t="shared" si="55"/>
        <v>0</v>
      </c>
      <c r="Q750">
        <f t="shared" si="56"/>
        <v>0</v>
      </c>
      <c r="R750">
        <f t="shared" si="57"/>
        <v>0</v>
      </c>
    </row>
    <row r="751" spans="1:18" x14ac:dyDescent="0.2">
      <c r="A751" s="54">
        <v>109378</v>
      </c>
      <c r="B751" s="54" t="s">
        <v>1164</v>
      </c>
      <c r="C751" s="55">
        <v>56</v>
      </c>
      <c r="D751" s="55">
        <v>56</v>
      </c>
      <c r="E751" s="55">
        <v>4</v>
      </c>
      <c r="F751" s="55">
        <v>307</v>
      </c>
      <c r="G751" s="55">
        <v>307</v>
      </c>
      <c r="H751" s="55">
        <v>283</v>
      </c>
      <c r="I751" s="55">
        <v>5.48</v>
      </c>
      <c r="J751" s="55">
        <v>5.48</v>
      </c>
      <c r="K751" s="55">
        <v>5.05</v>
      </c>
      <c r="L751" s="55">
        <v>117</v>
      </c>
      <c r="M751" s="54" t="str">
        <f t="shared" si="58"/>
        <v>0-6 Months</v>
      </c>
      <c r="N751" s="54" t="str">
        <f t="shared" si="59"/>
        <v>12-18 Months</v>
      </c>
      <c r="O751" s="54" t="s">
        <v>7</v>
      </c>
      <c r="P751" s="54">
        <f t="shared" si="55"/>
        <v>56</v>
      </c>
      <c r="Q751">
        <f t="shared" si="56"/>
        <v>56</v>
      </c>
      <c r="R751">
        <f t="shared" si="57"/>
        <v>56</v>
      </c>
    </row>
    <row r="752" spans="1:18" x14ac:dyDescent="0.2">
      <c r="A752" s="54">
        <v>107066</v>
      </c>
      <c r="B752" s="54" t="s">
        <v>1178</v>
      </c>
      <c r="C752" s="55">
        <v>70</v>
      </c>
      <c r="D752" s="55">
        <v>78</v>
      </c>
      <c r="E752" s="55">
        <v>4</v>
      </c>
      <c r="F752" s="55">
        <v>37</v>
      </c>
      <c r="G752" s="55">
        <v>34</v>
      </c>
      <c r="H752" s="55">
        <v>34</v>
      </c>
      <c r="I752" s="55">
        <v>0.47</v>
      </c>
      <c r="J752" s="55">
        <v>0.44</v>
      </c>
      <c r="K752" s="55">
        <v>0.44</v>
      </c>
      <c r="L752" s="55">
        <v>16</v>
      </c>
      <c r="M752" s="54" t="str">
        <f t="shared" si="58"/>
        <v>0-6 Months</v>
      </c>
      <c r="N752" s="54" t="str">
        <f t="shared" si="59"/>
        <v>12-18 Months</v>
      </c>
      <c r="O752" s="54" t="s">
        <v>7</v>
      </c>
      <c r="P752" s="54">
        <f t="shared" si="55"/>
        <v>0</v>
      </c>
      <c r="Q752">
        <f t="shared" si="56"/>
        <v>0</v>
      </c>
      <c r="R752">
        <f t="shared" si="57"/>
        <v>0</v>
      </c>
    </row>
    <row r="753" spans="1:18" x14ac:dyDescent="0.2">
      <c r="A753" s="54">
        <v>107273</v>
      </c>
      <c r="B753" s="54" t="s">
        <v>1179</v>
      </c>
      <c r="C753" s="55">
        <v>70</v>
      </c>
      <c r="D753" s="55">
        <v>65</v>
      </c>
      <c r="E753" s="55">
        <v>4</v>
      </c>
      <c r="F753" s="55">
        <v>0</v>
      </c>
      <c r="G753" s="55">
        <v>0</v>
      </c>
      <c r="H753" s="55">
        <v>0</v>
      </c>
      <c r="I753" s="55">
        <v>0</v>
      </c>
      <c r="J753" s="55">
        <v>0</v>
      </c>
      <c r="K753" s="55">
        <v>0</v>
      </c>
      <c r="L753" s="55">
        <v>0</v>
      </c>
      <c r="M753" s="54" t="str">
        <f t="shared" si="58"/>
        <v>0-6 Months</v>
      </c>
      <c r="N753" s="54" t="str">
        <f t="shared" si="59"/>
        <v>12-18 Months</v>
      </c>
      <c r="O753" s="54" t="s">
        <v>7</v>
      </c>
      <c r="P753" s="54">
        <f t="shared" si="55"/>
        <v>0</v>
      </c>
      <c r="Q753">
        <f t="shared" si="56"/>
        <v>0</v>
      </c>
      <c r="R753">
        <f t="shared" si="57"/>
        <v>0</v>
      </c>
    </row>
    <row r="754" spans="1:18" x14ac:dyDescent="0.2">
      <c r="A754" s="54">
        <v>204092</v>
      </c>
      <c r="B754" s="54" t="s">
        <v>1177</v>
      </c>
      <c r="C754" s="55">
        <v>70</v>
      </c>
      <c r="D754" s="55">
        <v>70</v>
      </c>
      <c r="E754" s="55">
        <v>4</v>
      </c>
      <c r="F754" s="55">
        <v>257</v>
      </c>
      <c r="G754" s="55">
        <v>257</v>
      </c>
      <c r="H754" s="55">
        <v>255</v>
      </c>
      <c r="I754" s="55">
        <v>3.67</v>
      </c>
      <c r="J754" s="55">
        <v>3.67</v>
      </c>
      <c r="K754" s="55">
        <v>3.64</v>
      </c>
      <c r="L754" s="55">
        <v>168</v>
      </c>
      <c r="M754" s="54" t="str">
        <f t="shared" si="58"/>
        <v>0-6 Months</v>
      </c>
      <c r="N754" s="54" t="str">
        <f t="shared" si="59"/>
        <v>12-18 Months</v>
      </c>
      <c r="O754" s="54" t="s">
        <v>7</v>
      </c>
      <c r="P754" s="54">
        <f t="shared" si="55"/>
        <v>70</v>
      </c>
      <c r="Q754">
        <f t="shared" si="56"/>
        <v>70</v>
      </c>
      <c r="R754">
        <f t="shared" si="57"/>
        <v>70</v>
      </c>
    </row>
    <row r="755" spans="1:18" x14ac:dyDescent="0.2">
      <c r="A755" s="54">
        <v>124198</v>
      </c>
      <c r="B755" s="54" t="s">
        <v>1184</v>
      </c>
      <c r="C755" s="55">
        <v>72</v>
      </c>
      <c r="D755" s="55">
        <v>144</v>
      </c>
      <c r="E755" s="55">
        <v>4</v>
      </c>
      <c r="F755" s="55">
        <v>61</v>
      </c>
      <c r="G755" s="55">
        <v>34</v>
      </c>
      <c r="H755" s="55">
        <v>0</v>
      </c>
      <c r="I755" s="55">
        <v>0.42</v>
      </c>
      <c r="J755" s="55">
        <v>0.24</v>
      </c>
      <c r="K755" s="55">
        <v>0</v>
      </c>
      <c r="L755" s="55">
        <v>0</v>
      </c>
      <c r="M755" s="54" t="str">
        <f t="shared" si="58"/>
        <v>0-6 Months</v>
      </c>
      <c r="N755" s="54" t="str">
        <f t="shared" si="59"/>
        <v>12-18 Months</v>
      </c>
      <c r="O755" s="54" t="s">
        <v>6</v>
      </c>
      <c r="P755" s="54">
        <f t="shared" si="55"/>
        <v>0</v>
      </c>
      <c r="Q755">
        <f t="shared" si="56"/>
        <v>0</v>
      </c>
      <c r="R755">
        <f t="shared" si="57"/>
        <v>0</v>
      </c>
    </row>
    <row r="756" spans="1:18" x14ac:dyDescent="0.2">
      <c r="A756" s="54">
        <v>191133</v>
      </c>
      <c r="B756" s="54" t="s">
        <v>1190</v>
      </c>
      <c r="C756" s="55">
        <v>75</v>
      </c>
      <c r="D756" s="55">
        <v>75</v>
      </c>
      <c r="E756" s="55">
        <v>4</v>
      </c>
      <c r="F756" s="55">
        <v>0</v>
      </c>
      <c r="G756" s="55">
        <v>0</v>
      </c>
      <c r="H756" s="55">
        <v>0</v>
      </c>
      <c r="I756" s="55">
        <v>0</v>
      </c>
      <c r="J756" s="55">
        <v>0</v>
      </c>
      <c r="K756" s="55">
        <v>0</v>
      </c>
      <c r="L756" s="55">
        <v>0</v>
      </c>
      <c r="M756" s="54" t="str">
        <f t="shared" si="58"/>
        <v>0-6 Months</v>
      </c>
      <c r="N756" s="54" t="str">
        <f t="shared" si="59"/>
        <v>12-18 Months</v>
      </c>
      <c r="O756" s="54" t="s">
        <v>7</v>
      </c>
      <c r="P756" s="54">
        <f t="shared" si="55"/>
        <v>0</v>
      </c>
      <c r="Q756">
        <f t="shared" si="56"/>
        <v>0</v>
      </c>
      <c r="R756">
        <f t="shared" si="57"/>
        <v>0</v>
      </c>
    </row>
    <row r="757" spans="1:18" x14ac:dyDescent="0.2">
      <c r="A757" s="54">
        <v>112959</v>
      </c>
      <c r="B757" s="54" t="s">
        <v>1194</v>
      </c>
      <c r="C757" s="55">
        <v>80</v>
      </c>
      <c r="D757" s="55">
        <v>80</v>
      </c>
      <c r="E757" s="55">
        <v>4</v>
      </c>
      <c r="F757" s="55">
        <v>0</v>
      </c>
      <c r="G757" s="55">
        <v>0</v>
      </c>
      <c r="H757" s="55">
        <v>0</v>
      </c>
      <c r="I757" s="55">
        <v>0</v>
      </c>
      <c r="J757" s="55">
        <v>0</v>
      </c>
      <c r="K757" s="55">
        <v>0</v>
      </c>
      <c r="L757" s="55">
        <v>0</v>
      </c>
      <c r="M757" s="54" t="str">
        <f t="shared" si="58"/>
        <v>0-6 Months</v>
      </c>
      <c r="N757" s="54" t="str">
        <f t="shared" si="59"/>
        <v>12-18 Months</v>
      </c>
      <c r="O757" s="54" t="s">
        <v>7</v>
      </c>
      <c r="P757" s="54">
        <f t="shared" si="55"/>
        <v>0</v>
      </c>
      <c r="Q757">
        <f t="shared" si="56"/>
        <v>0</v>
      </c>
      <c r="R757">
        <f t="shared" si="57"/>
        <v>0</v>
      </c>
    </row>
    <row r="758" spans="1:18" x14ac:dyDescent="0.2">
      <c r="A758" s="54">
        <v>144971</v>
      </c>
      <c r="B758" s="54" t="s">
        <v>1204</v>
      </c>
      <c r="C758" s="55">
        <v>90</v>
      </c>
      <c r="D758" s="55">
        <v>67</v>
      </c>
      <c r="E758" s="55">
        <v>4</v>
      </c>
      <c r="F758" s="55">
        <v>0</v>
      </c>
      <c r="G758" s="55">
        <v>0</v>
      </c>
      <c r="H758" s="55">
        <v>0</v>
      </c>
      <c r="I758" s="55">
        <v>0</v>
      </c>
      <c r="J758" s="55">
        <v>0</v>
      </c>
      <c r="K758" s="55">
        <v>0</v>
      </c>
      <c r="L758" s="55">
        <v>0</v>
      </c>
      <c r="M758" s="54" t="str">
        <f t="shared" si="58"/>
        <v>0-6 Months</v>
      </c>
      <c r="N758" s="54" t="str">
        <f t="shared" si="59"/>
        <v>12-18 Months</v>
      </c>
      <c r="O758" s="54" t="s">
        <v>7</v>
      </c>
      <c r="P758" s="54">
        <f t="shared" si="55"/>
        <v>0</v>
      </c>
      <c r="Q758">
        <f t="shared" si="56"/>
        <v>0</v>
      </c>
      <c r="R758">
        <f t="shared" si="57"/>
        <v>0</v>
      </c>
    </row>
    <row r="759" spans="1:18" x14ac:dyDescent="0.2">
      <c r="A759" s="54">
        <v>106262</v>
      </c>
      <c r="B759" s="54" t="s">
        <v>1207</v>
      </c>
      <c r="C759" s="55">
        <v>96</v>
      </c>
      <c r="D759" s="55">
        <v>82</v>
      </c>
      <c r="E759" s="55">
        <v>4</v>
      </c>
      <c r="F759" s="55">
        <v>1</v>
      </c>
      <c r="G759" s="55">
        <v>1</v>
      </c>
      <c r="H759" s="55">
        <v>0</v>
      </c>
      <c r="I759" s="55">
        <v>0.01</v>
      </c>
      <c r="J759" s="55">
        <v>0.01</v>
      </c>
      <c r="K759" s="55">
        <v>0</v>
      </c>
      <c r="L759" s="55">
        <v>1</v>
      </c>
      <c r="M759" s="54" t="str">
        <f t="shared" si="58"/>
        <v>0-6 Months</v>
      </c>
      <c r="N759" s="54" t="str">
        <f t="shared" si="59"/>
        <v>12-18 Months</v>
      </c>
      <c r="O759" s="54" t="s">
        <v>7</v>
      </c>
      <c r="P759" s="54">
        <f t="shared" si="55"/>
        <v>0</v>
      </c>
      <c r="Q759">
        <f t="shared" si="56"/>
        <v>0</v>
      </c>
      <c r="R759">
        <f t="shared" si="57"/>
        <v>0</v>
      </c>
    </row>
    <row r="760" spans="1:18" x14ac:dyDescent="0.2">
      <c r="A760" s="54">
        <v>110851</v>
      </c>
      <c r="B760" s="54" t="s">
        <v>1206</v>
      </c>
      <c r="C760" s="55">
        <v>96</v>
      </c>
      <c r="D760" s="55">
        <v>126</v>
      </c>
      <c r="E760" s="55">
        <v>4</v>
      </c>
      <c r="F760" s="55">
        <v>99</v>
      </c>
      <c r="G760" s="55">
        <v>67</v>
      </c>
      <c r="H760" s="55">
        <v>19</v>
      </c>
      <c r="I760" s="55">
        <v>0.79</v>
      </c>
      <c r="J760" s="55">
        <v>0.53</v>
      </c>
      <c r="K760" s="55">
        <v>0.15</v>
      </c>
      <c r="L760" s="55">
        <v>12</v>
      </c>
      <c r="M760" s="54" t="str">
        <f t="shared" si="58"/>
        <v>0-6 Months</v>
      </c>
      <c r="N760" s="54" t="str">
        <f t="shared" si="59"/>
        <v>12-18 Months</v>
      </c>
      <c r="O760" s="54" t="s">
        <v>6</v>
      </c>
      <c r="P760" s="54">
        <f t="shared" si="55"/>
        <v>0</v>
      </c>
      <c r="Q760">
        <f t="shared" si="56"/>
        <v>0</v>
      </c>
      <c r="R760">
        <f t="shared" si="57"/>
        <v>0</v>
      </c>
    </row>
    <row r="761" spans="1:18" x14ac:dyDescent="0.2">
      <c r="A761" s="54">
        <v>116419</v>
      </c>
      <c r="B761" s="54" t="s">
        <v>1216</v>
      </c>
      <c r="C761" s="55">
        <v>101</v>
      </c>
      <c r="D761" s="55">
        <v>111</v>
      </c>
      <c r="E761" s="55">
        <v>4</v>
      </c>
      <c r="F761" s="55">
        <v>23</v>
      </c>
      <c r="G761" s="55">
        <v>23</v>
      </c>
      <c r="H761" s="55">
        <v>23</v>
      </c>
      <c r="I761" s="55">
        <v>0.21</v>
      </c>
      <c r="J761" s="55">
        <v>0.21</v>
      </c>
      <c r="K761" s="55">
        <v>0.21</v>
      </c>
      <c r="L761" s="55">
        <v>19</v>
      </c>
      <c r="M761" s="54" t="str">
        <f t="shared" si="58"/>
        <v>0-6 Months</v>
      </c>
      <c r="N761" s="54" t="str">
        <f t="shared" si="59"/>
        <v>12-18 Months</v>
      </c>
      <c r="O761" s="54" t="s">
        <v>6</v>
      </c>
      <c r="P761" s="54">
        <f t="shared" si="55"/>
        <v>0</v>
      </c>
      <c r="Q761">
        <f t="shared" si="56"/>
        <v>0</v>
      </c>
      <c r="R761">
        <f t="shared" si="57"/>
        <v>0</v>
      </c>
    </row>
    <row r="762" spans="1:18" x14ac:dyDescent="0.2">
      <c r="A762" s="54">
        <v>459858</v>
      </c>
      <c r="B762" s="54" t="s">
        <v>1225</v>
      </c>
      <c r="C762" s="55">
        <v>113</v>
      </c>
      <c r="D762" s="55">
        <v>65</v>
      </c>
      <c r="E762" s="55">
        <v>4</v>
      </c>
      <c r="F762" s="55">
        <v>7</v>
      </c>
      <c r="G762" s="55">
        <v>5</v>
      </c>
      <c r="H762" s="55">
        <v>0</v>
      </c>
      <c r="I762" s="55">
        <v>0.11</v>
      </c>
      <c r="J762" s="55">
        <v>0.08</v>
      </c>
      <c r="K762" s="55">
        <v>0</v>
      </c>
      <c r="L762" s="55">
        <v>0</v>
      </c>
      <c r="M762" s="54" t="str">
        <f t="shared" si="58"/>
        <v>0-6 Months</v>
      </c>
      <c r="N762" s="54" t="str">
        <f t="shared" si="59"/>
        <v>12-18 Months</v>
      </c>
      <c r="O762" s="54" t="s">
        <v>7</v>
      </c>
      <c r="P762" s="54">
        <f t="shared" si="55"/>
        <v>0</v>
      </c>
      <c r="Q762">
        <f t="shared" si="56"/>
        <v>0</v>
      </c>
      <c r="R762">
        <f t="shared" si="57"/>
        <v>0</v>
      </c>
    </row>
    <row r="763" spans="1:18" x14ac:dyDescent="0.2">
      <c r="A763" s="54">
        <v>123242</v>
      </c>
      <c r="B763" s="54" t="s">
        <v>1228</v>
      </c>
      <c r="C763" s="55">
        <v>117</v>
      </c>
      <c r="D763" s="55">
        <v>150</v>
      </c>
      <c r="E763" s="55">
        <v>4</v>
      </c>
      <c r="F763" s="55">
        <v>1740</v>
      </c>
      <c r="G763" s="55">
        <v>1131</v>
      </c>
      <c r="H763" s="55">
        <v>1120</v>
      </c>
      <c r="I763" s="55">
        <v>11.6</v>
      </c>
      <c r="J763" s="55">
        <v>7.54</v>
      </c>
      <c r="K763" s="55">
        <v>7.47</v>
      </c>
      <c r="L763" s="55">
        <v>142</v>
      </c>
      <c r="M763" s="54" t="str">
        <f t="shared" si="58"/>
        <v>0-6 Months</v>
      </c>
      <c r="N763" s="54" t="str">
        <f t="shared" si="59"/>
        <v>12-18 Months</v>
      </c>
      <c r="O763" s="54" t="s">
        <v>6</v>
      </c>
      <c r="P763" s="54">
        <f t="shared" si="55"/>
        <v>117</v>
      </c>
      <c r="Q763">
        <f t="shared" si="56"/>
        <v>117</v>
      </c>
      <c r="R763">
        <f t="shared" si="57"/>
        <v>117</v>
      </c>
    </row>
    <row r="764" spans="1:18" x14ac:dyDescent="0.2">
      <c r="A764" s="54">
        <v>114578</v>
      </c>
      <c r="B764" s="54" t="s">
        <v>1231</v>
      </c>
      <c r="C764" s="55">
        <v>120</v>
      </c>
      <c r="D764" s="55">
        <v>75</v>
      </c>
      <c r="E764" s="55">
        <v>4</v>
      </c>
      <c r="F764" s="55">
        <v>4</v>
      </c>
      <c r="G764" s="55">
        <v>0</v>
      </c>
      <c r="H764" s="55">
        <v>0</v>
      </c>
      <c r="I764" s="55">
        <v>0.05</v>
      </c>
      <c r="J764" s="55">
        <v>0</v>
      </c>
      <c r="K764" s="55">
        <v>0</v>
      </c>
      <c r="L764" s="55">
        <v>0</v>
      </c>
      <c r="M764" s="54" t="str">
        <f t="shared" si="58"/>
        <v>0-6 Months</v>
      </c>
      <c r="N764" s="54" t="str">
        <f t="shared" si="59"/>
        <v>12-18 Months</v>
      </c>
      <c r="O764" s="54" t="s">
        <v>7</v>
      </c>
      <c r="P764" s="54">
        <f t="shared" si="55"/>
        <v>0</v>
      </c>
      <c r="Q764">
        <f t="shared" si="56"/>
        <v>0</v>
      </c>
      <c r="R764">
        <f t="shared" si="57"/>
        <v>0</v>
      </c>
    </row>
    <row r="765" spans="1:18" x14ac:dyDescent="0.2">
      <c r="A765" s="54">
        <v>497630</v>
      </c>
      <c r="B765" s="54" t="s">
        <v>1235</v>
      </c>
      <c r="C765" s="55">
        <v>124</v>
      </c>
      <c r="D765" s="55">
        <v>126</v>
      </c>
      <c r="E765" s="55">
        <v>4</v>
      </c>
      <c r="F765" s="55">
        <v>0</v>
      </c>
      <c r="G765" s="55">
        <v>0</v>
      </c>
      <c r="H765" s="55">
        <v>0</v>
      </c>
      <c r="I765" s="55">
        <v>0</v>
      </c>
      <c r="J765" s="55">
        <v>0</v>
      </c>
      <c r="K765" s="55">
        <v>0</v>
      </c>
      <c r="L765" s="55">
        <v>0</v>
      </c>
      <c r="M765" s="54" t="str">
        <f t="shared" si="58"/>
        <v>0-6 Months</v>
      </c>
      <c r="N765" s="54" t="str">
        <f t="shared" si="59"/>
        <v>12-18 Months</v>
      </c>
      <c r="O765" s="54" t="s">
        <v>6</v>
      </c>
      <c r="P765" s="54">
        <f t="shared" si="55"/>
        <v>0</v>
      </c>
      <c r="Q765">
        <f t="shared" si="56"/>
        <v>0</v>
      </c>
      <c r="R765">
        <f t="shared" si="57"/>
        <v>0</v>
      </c>
    </row>
    <row r="766" spans="1:18" x14ac:dyDescent="0.2">
      <c r="A766" s="54">
        <v>582952</v>
      </c>
      <c r="B766" s="54" t="s">
        <v>1239</v>
      </c>
      <c r="C766" s="55">
        <v>125</v>
      </c>
      <c r="D766" s="55">
        <v>125</v>
      </c>
      <c r="E766" s="55">
        <v>4</v>
      </c>
      <c r="F766" s="55">
        <v>10</v>
      </c>
      <c r="G766" s="55">
        <v>10</v>
      </c>
      <c r="H766" s="55">
        <v>0</v>
      </c>
      <c r="I766" s="55">
        <v>0.08</v>
      </c>
      <c r="J766" s="55">
        <v>0.08</v>
      </c>
      <c r="K766" s="55">
        <v>0</v>
      </c>
      <c r="L766" s="55">
        <v>32</v>
      </c>
      <c r="M766" s="54" t="str">
        <f t="shared" si="58"/>
        <v>0-6 Months</v>
      </c>
      <c r="N766" s="54" t="str">
        <f t="shared" si="59"/>
        <v>12-18 Months</v>
      </c>
      <c r="O766" s="54" t="s">
        <v>6</v>
      </c>
      <c r="P766" s="54">
        <f t="shared" si="55"/>
        <v>0</v>
      </c>
      <c r="Q766">
        <f t="shared" si="56"/>
        <v>0</v>
      </c>
      <c r="R766">
        <f t="shared" si="57"/>
        <v>0</v>
      </c>
    </row>
    <row r="767" spans="1:18" x14ac:dyDescent="0.2">
      <c r="A767" s="54">
        <v>140280</v>
      </c>
      <c r="B767" s="54" t="s">
        <v>1242</v>
      </c>
      <c r="C767" s="55">
        <v>130</v>
      </c>
      <c r="D767" s="55">
        <v>130</v>
      </c>
      <c r="E767" s="55">
        <v>4</v>
      </c>
      <c r="F767" s="55">
        <v>15</v>
      </c>
      <c r="G767" s="55">
        <v>15</v>
      </c>
      <c r="H767" s="55">
        <v>15</v>
      </c>
      <c r="I767" s="55">
        <v>0.12</v>
      </c>
      <c r="J767" s="55">
        <v>0.12</v>
      </c>
      <c r="K767" s="55">
        <v>0.12</v>
      </c>
      <c r="L767" s="55">
        <v>67</v>
      </c>
      <c r="M767" s="54" t="str">
        <f t="shared" si="58"/>
        <v>0-6 Months</v>
      </c>
      <c r="N767" s="54" t="str">
        <f t="shared" si="59"/>
        <v>12-18 Months</v>
      </c>
      <c r="O767" s="54" t="s">
        <v>6</v>
      </c>
      <c r="P767" s="54">
        <f t="shared" si="55"/>
        <v>0</v>
      </c>
      <c r="Q767">
        <f t="shared" si="56"/>
        <v>0</v>
      </c>
      <c r="R767">
        <f t="shared" si="57"/>
        <v>0</v>
      </c>
    </row>
    <row r="768" spans="1:18" x14ac:dyDescent="0.2">
      <c r="A768" s="54">
        <v>121983</v>
      </c>
      <c r="B768" s="54" t="s">
        <v>1248</v>
      </c>
      <c r="C768" s="55">
        <v>138</v>
      </c>
      <c r="D768" s="55">
        <v>113</v>
      </c>
      <c r="E768" s="55">
        <v>4</v>
      </c>
      <c r="F768" s="55">
        <v>9</v>
      </c>
      <c r="G768" s="55">
        <v>6</v>
      </c>
      <c r="H768" s="55">
        <v>6</v>
      </c>
      <c r="I768" s="55">
        <v>0.08</v>
      </c>
      <c r="J768" s="55">
        <v>0.05</v>
      </c>
      <c r="K768" s="55">
        <v>0.05</v>
      </c>
      <c r="L768" s="55">
        <v>5</v>
      </c>
      <c r="M768" s="54" t="str">
        <f t="shared" si="58"/>
        <v>0-6 Months</v>
      </c>
      <c r="N768" s="54" t="str">
        <f t="shared" si="59"/>
        <v>12-18 Months</v>
      </c>
      <c r="O768" s="54" t="s">
        <v>6</v>
      </c>
      <c r="P768" s="54">
        <f t="shared" si="55"/>
        <v>0</v>
      </c>
      <c r="Q768">
        <f t="shared" si="56"/>
        <v>0</v>
      </c>
      <c r="R768">
        <f t="shared" si="57"/>
        <v>0</v>
      </c>
    </row>
    <row r="769" spans="1:18" x14ac:dyDescent="0.2">
      <c r="A769" s="54">
        <v>108051</v>
      </c>
      <c r="B769" s="54" t="s">
        <v>1250</v>
      </c>
      <c r="C769" s="55">
        <v>140</v>
      </c>
      <c r="D769" s="55">
        <v>140</v>
      </c>
      <c r="E769" s="55">
        <v>4</v>
      </c>
      <c r="F769" s="55">
        <v>181</v>
      </c>
      <c r="G769" s="55">
        <v>181</v>
      </c>
      <c r="H769" s="55">
        <v>178</v>
      </c>
      <c r="I769" s="55">
        <v>1.29</v>
      </c>
      <c r="J769" s="55">
        <v>1.29</v>
      </c>
      <c r="K769" s="55">
        <v>1.27</v>
      </c>
      <c r="L769" s="55">
        <v>102</v>
      </c>
      <c r="M769" s="54" t="str">
        <f t="shared" si="58"/>
        <v>0-6 Months</v>
      </c>
      <c r="N769" s="54" t="str">
        <f t="shared" si="59"/>
        <v>12-18 Months</v>
      </c>
      <c r="O769" s="54" t="s">
        <v>6</v>
      </c>
      <c r="P769" s="54">
        <f t="shared" si="55"/>
        <v>140</v>
      </c>
      <c r="Q769">
        <f t="shared" si="56"/>
        <v>0</v>
      </c>
      <c r="R769">
        <f t="shared" si="57"/>
        <v>140</v>
      </c>
    </row>
    <row r="770" spans="1:18" x14ac:dyDescent="0.2">
      <c r="A770" s="54">
        <v>198651</v>
      </c>
      <c r="B770" s="54" t="s">
        <v>1251</v>
      </c>
      <c r="C770" s="55">
        <v>140</v>
      </c>
      <c r="D770" s="55">
        <v>106</v>
      </c>
      <c r="E770" s="55">
        <v>4</v>
      </c>
      <c r="F770" s="55">
        <v>0</v>
      </c>
      <c r="G770" s="55">
        <v>0</v>
      </c>
      <c r="H770" s="55">
        <v>0</v>
      </c>
      <c r="I770" s="55">
        <v>0</v>
      </c>
      <c r="J770" s="55">
        <v>0</v>
      </c>
      <c r="K770" s="55">
        <v>0</v>
      </c>
      <c r="L770" s="55">
        <v>0</v>
      </c>
      <c r="M770" s="54" t="str">
        <f t="shared" si="58"/>
        <v>0-6 Months</v>
      </c>
      <c r="N770" s="54" t="str">
        <f t="shared" si="59"/>
        <v>12-18 Months</v>
      </c>
      <c r="O770" s="54" t="s">
        <v>6</v>
      </c>
      <c r="P770" s="54">
        <f t="shared" ref="P770:P833" si="60">IF(I770&gt;=2, C770, IF(J770&gt;=0.75, C770, 0))</f>
        <v>0</v>
      </c>
      <c r="Q770">
        <f t="shared" ref="Q770:Q833" si="61">IF(I770&gt;=2, C770, IF(AND(J770&gt;=0.75, D770&gt;=550), C770, 0))</f>
        <v>0</v>
      </c>
      <c r="R770">
        <f t="shared" ref="R770:R833" si="62">IF(J770&gt;=0.75, C770, 0)</f>
        <v>0</v>
      </c>
    </row>
    <row r="771" spans="1:18" x14ac:dyDescent="0.2">
      <c r="A771" s="54">
        <v>108662</v>
      </c>
      <c r="B771" s="54" t="s">
        <v>1260</v>
      </c>
      <c r="C771" s="55">
        <v>160</v>
      </c>
      <c r="D771" s="55">
        <v>135</v>
      </c>
      <c r="E771" s="55">
        <v>4</v>
      </c>
      <c r="F771" s="55">
        <v>44</v>
      </c>
      <c r="G771" s="55">
        <v>31</v>
      </c>
      <c r="H771" s="55">
        <v>31</v>
      </c>
      <c r="I771" s="55">
        <v>0.33</v>
      </c>
      <c r="J771" s="55">
        <v>0.23</v>
      </c>
      <c r="K771" s="55">
        <v>0.23</v>
      </c>
      <c r="L771" s="55">
        <v>189</v>
      </c>
      <c r="M771" s="54" t="str">
        <f t="shared" ref="M771:M834" si="63">IF(E771&lt;6,"0-6 Months", IF(E771&lt;13, "6-12 Months", IF(E771&lt;19, "12-24 Months", IF(E771&lt;25, "12-24 Months", "24+ Months"))))</f>
        <v>0-6 Months</v>
      </c>
      <c r="N771" s="54" t="str">
        <f t="shared" ref="N771:N834" si="64">IF(E771&lt;6,"12-18 Months", IF(E771&lt;13, "18-24 Months", "24+ Months"))</f>
        <v>12-18 Months</v>
      </c>
      <c r="O771" s="54" t="s">
        <v>6</v>
      </c>
      <c r="P771" s="54">
        <f t="shared" si="60"/>
        <v>0</v>
      </c>
      <c r="Q771">
        <f t="shared" si="61"/>
        <v>0</v>
      </c>
      <c r="R771">
        <f t="shared" si="62"/>
        <v>0</v>
      </c>
    </row>
    <row r="772" spans="1:18" x14ac:dyDescent="0.2">
      <c r="A772" s="54">
        <v>186139</v>
      </c>
      <c r="B772" s="54" t="s">
        <v>1263</v>
      </c>
      <c r="C772" s="55">
        <v>162</v>
      </c>
      <c r="D772" s="55">
        <v>162</v>
      </c>
      <c r="E772" s="55">
        <v>4</v>
      </c>
      <c r="F772" s="55">
        <v>5</v>
      </c>
      <c r="G772" s="55">
        <v>2</v>
      </c>
      <c r="H772" s="55">
        <v>0</v>
      </c>
      <c r="I772" s="55">
        <v>0.03</v>
      </c>
      <c r="J772" s="55">
        <v>0.01</v>
      </c>
      <c r="K772" s="55">
        <v>0</v>
      </c>
      <c r="L772" s="55">
        <v>2</v>
      </c>
      <c r="M772" s="54" t="str">
        <f t="shared" si="63"/>
        <v>0-6 Months</v>
      </c>
      <c r="N772" s="54" t="str">
        <f t="shared" si="64"/>
        <v>12-18 Months</v>
      </c>
      <c r="O772" s="54" t="s">
        <v>6</v>
      </c>
      <c r="P772" s="54">
        <f t="shared" si="60"/>
        <v>0</v>
      </c>
      <c r="Q772">
        <f t="shared" si="61"/>
        <v>0</v>
      </c>
      <c r="R772">
        <f t="shared" si="62"/>
        <v>0</v>
      </c>
    </row>
    <row r="773" spans="1:18" x14ac:dyDescent="0.2">
      <c r="A773" s="54">
        <v>109662</v>
      </c>
      <c r="B773" s="54" t="s">
        <v>1270</v>
      </c>
      <c r="C773" s="55">
        <v>188</v>
      </c>
      <c r="D773" s="55">
        <v>410</v>
      </c>
      <c r="E773" s="55">
        <v>4</v>
      </c>
      <c r="F773" s="55">
        <v>0</v>
      </c>
      <c r="G773" s="55">
        <v>0</v>
      </c>
      <c r="H773" s="55">
        <v>0</v>
      </c>
      <c r="I773" s="55">
        <v>0</v>
      </c>
      <c r="J773" s="55">
        <v>0</v>
      </c>
      <c r="K773" s="55">
        <v>0</v>
      </c>
      <c r="L773" s="55">
        <v>0</v>
      </c>
      <c r="M773" s="54" t="str">
        <f t="shared" si="63"/>
        <v>0-6 Months</v>
      </c>
      <c r="N773" s="54" t="str">
        <f t="shared" si="64"/>
        <v>12-18 Months</v>
      </c>
      <c r="O773" s="54" t="s">
        <v>6</v>
      </c>
      <c r="P773" s="54">
        <f t="shared" si="60"/>
        <v>0</v>
      </c>
      <c r="Q773">
        <f t="shared" si="61"/>
        <v>0</v>
      </c>
      <c r="R773">
        <f t="shared" si="62"/>
        <v>0</v>
      </c>
    </row>
    <row r="774" spans="1:18" x14ac:dyDescent="0.2">
      <c r="A774" s="54">
        <v>109414</v>
      </c>
      <c r="B774" s="54" t="s">
        <v>1279</v>
      </c>
      <c r="C774" s="55">
        <v>248</v>
      </c>
      <c r="D774" s="55">
        <v>291</v>
      </c>
      <c r="E774" s="55">
        <v>4</v>
      </c>
      <c r="F774" s="55">
        <v>79</v>
      </c>
      <c r="G774" s="55">
        <v>18</v>
      </c>
      <c r="H774" s="55">
        <v>1</v>
      </c>
      <c r="I774" s="55">
        <v>0.27</v>
      </c>
      <c r="J774" s="55">
        <v>0.06</v>
      </c>
      <c r="K774" s="55">
        <v>0</v>
      </c>
      <c r="L774" s="55">
        <v>25</v>
      </c>
      <c r="M774" s="54" t="str">
        <f t="shared" si="63"/>
        <v>0-6 Months</v>
      </c>
      <c r="N774" s="54" t="str">
        <f t="shared" si="64"/>
        <v>12-18 Months</v>
      </c>
      <c r="O774" s="54" t="s">
        <v>6</v>
      </c>
      <c r="P774" s="54">
        <f t="shared" si="60"/>
        <v>0</v>
      </c>
      <c r="Q774">
        <f t="shared" si="61"/>
        <v>0</v>
      </c>
      <c r="R774">
        <f t="shared" si="62"/>
        <v>0</v>
      </c>
    </row>
    <row r="775" spans="1:18" x14ac:dyDescent="0.2">
      <c r="A775" s="54">
        <v>326934</v>
      </c>
      <c r="B775" s="54" t="s">
        <v>1293</v>
      </c>
      <c r="C775" s="55">
        <v>500</v>
      </c>
      <c r="D775" s="55">
        <v>3000</v>
      </c>
      <c r="E775" s="55">
        <v>4</v>
      </c>
      <c r="F775" s="55">
        <v>0</v>
      </c>
      <c r="G775" s="55">
        <v>0</v>
      </c>
      <c r="H775" s="55">
        <v>0</v>
      </c>
      <c r="I775" s="55">
        <v>0</v>
      </c>
      <c r="J775" s="55">
        <v>0</v>
      </c>
      <c r="K775" s="55">
        <v>0</v>
      </c>
      <c r="L775" s="55">
        <v>1</v>
      </c>
      <c r="M775" s="54" t="str">
        <f t="shared" si="63"/>
        <v>0-6 Months</v>
      </c>
      <c r="N775" s="54" t="str">
        <f t="shared" si="64"/>
        <v>12-18 Months</v>
      </c>
      <c r="O775" s="54" t="s">
        <v>5</v>
      </c>
      <c r="P775" s="54">
        <f t="shared" si="60"/>
        <v>0</v>
      </c>
      <c r="Q775">
        <f t="shared" si="61"/>
        <v>0</v>
      </c>
      <c r="R775">
        <f t="shared" si="62"/>
        <v>0</v>
      </c>
    </row>
    <row r="776" spans="1:18" x14ac:dyDescent="0.2">
      <c r="A776" s="54" t="s">
        <v>1295</v>
      </c>
      <c r="B776" s="54" t="s">
        <v>1294</v>
      </c>
      <c r="C776" s="55">
        <v>500</v>
      </c>
      <c r="D776" s="55">
        <v>200</v>
      </c>
      <c r="E776" s="55">
        <v>4</v>
      </c>
      <c r="F776" s="55">
        <v>139</v>
      </c>
      <c r="G776" s="55">
        <v>139</v>
      </c>
      <c r="H776" s="55">
        <v>139</v>
      </c>
      <c r="I776" s="55">
        <v>0.7</v>
      </c>
      <c r="J776" s="55">
        <v>0.7</v>
      </c>
      <c r="K776" s="55">
        <v>0.7</v>
      </c>
      <c r="L776" s="55">
        <v>18</v>
      </c>
      <c r="M776" s="54" t="str">
        <f t="shared" si="63"/>
        <v>0-6 Months</v>
      </c>
      <c r="N776" s="54" t="str">
        <f t="shared" si="64"/>
        <v>12-18 Months</v>
      </c>
      <c r="O776" s="54" t="s">
        <v>6</v>
      </c>
      <c r="P776" s="54">
        <f t="shared" si="60"/>
        <v>0</v>
      </c>
      <c r="Q776">
        <f t="shared" si="61"/>
        <v>0</v>
      </c>
      <c r="R776">
        <f t="shared" si="62"/>
        <v>0</v>
      </c>
    </row>
    <row r="777" spans="1:18" x14ac:dyDescent="0.2">
      <c r="A777" s="54">
        <v>124583</v>
      </c>
      <c r="B777" s="54" t="s">
        <v>1301</v>
      </c>
      <c r="C777" s="55">
        <v>1150</v>
      </c>
      <c r="D777" s="55">
        <v>150</v>
      </c>
      <c r="E777" s="55">
        <v>4</v>
      </c>
      <c r="F777" s="55">
        <v>50</v>
      </c>
      <c r="G777" s="55">
        <v>32</v>
      </c>
      <c r="H777" s="55">
        <v>1</v>
      </c>
      <c r="I777" s="55">
        <v>0.33</v>
      </c>
      <c r="J777" s="55">
        <v>0.21</v>
      </c>
      <c r="K777" s="55">
        <v>0.01</v>
      </c>
      <c r="L777" s="55">
        <v>4</v>
      </c>
      <c r="M777" s="54" t="str">
        <f t="shared" si="63"/>
        <v>0-6 Months</v>
      </c>
      <c r="N777" s="54" t="str">
        <f t="shared" si="64"/>
        <v>12-18 Months</v>
      </c>
      <c r="O777" s="54" t="s">
        <v>6</v>
      </c>
      <c r="P777" s="54">
        <f t="shared" si="60"/>
        <v>0</v>
      </c>
      <c r="Q777">
        <f t="shared" si="61"/>
        <v>0</v>
      </c>
      <c r="R777">
        <f t="shared" si="62"/>
        <v>0</v>
      </c>
    </row>
    <row r="778" spans="1:18" x14ac:dyDescent="0.2">
      <c r="A778" s="54">
        <v>106436</v>
      </c>
      <c r="B778" s="54" t="s">
        <v>699</v>
      </c>
      <c r="C778" s="55">
        <v>1</v>
      </c>
      <c r="D778" s="55">
        <v>41</v>
      </c>
      <c r="E778" s="55">
        <v>3</v>
      </c>
      <c r="F778" s="55">
        <v>64</v>
      </c>
      <c r="G778" s="55">
        <v>59</v>
      </c>
      <c r="H778" s="55">
        <v>59</v>
      </c>
      <c r="I778" s="55">
        <v>1.56</v>
      </c>
      <c r="J778" s="55">
        <v>1.44</v>
      </c>
      <c r="K778" s="55">
        <v>1.44</v>
      </c>
      <c r="L778" s="55">
        <v>0</v>
      </c>
      <c r="M778" s="54" t="str">
        <f t="shared" si="63"/>
        <v>0-6 Months</v>
      </c>
      <c r="N778" s="54" t="str">
        <f t="shared" si="64"/>
        <v>12-18 Months</v>
      </c>
      <c r="O778" s="54" t="s">
        <v>7</v>
      </c>
      <c r="P778" s="54">
        <f t="shared" si="60"/>
        <v>1</v>
      </c>
      <c r="Q778">
        <f t="shared" si="61"/>
        <v>0</v>
      </c>
      <c r="R778">
        <f t="shared" si="62"/>
        <v>1</v>
      </c>
    </row>
    <row r="779" spans="1:18" x14ac:dyDescent="0.2">
      <c r="A779" s="54">
        <v>163254</v>
      </c>
      <c r="B779" s="54" t="s">
        <v>702</v>
      </c>
      <c r="C779" s="55">
        <v>1</v>
      </c>
      <c r="D779" s="55">
        <v>25</v>
      </c>
      <c r="E779" s="55">
        <v>3</v>
      </c>
      <c r="F779" s="55">
        <v>7</v>
      </c>
      <c r="G779" s="55">
        <v>7</v>
      </c>
      <c r="H779" s="55">
        <v>7</v>
      </c>
      <c r="I779" s="55">
        <v>0.28000000000000003</v>
      </c>
      <c r="J779" s="55">
        <v>0.28000000000000003</v>
      </c>
      <c r="K779" s="55">
        <v>0.28000000000000003</v>
      </c>
      <c r="L779" s="55">
        <v>0</v>
      </c>
      <c r="M779" s="54" t="str">
        <f t="shared" si="63"/>
        <v>0-6 Months</v>
      </c>
      <c r="N779" s="54" t="str">
        <f t="shared" si="64"/>
        <v>12-18 Months</v>
      </c>
      <c r="O779" s="54" t="s">
        <v>7</v>
      </c>
      <c r="P779" s="54">
        <f t="shared" si="60"/>
        <v>0</v>
      </c>
      <c r="Q779">
        <f t="shared" si="61"/>
        <v>0</v>
      </c>
      <c r="R779">
        <f t="shared" si="62"/>
        <v>0</v>
      </c>
    </row>
    <row r="780" spans="1:18" x14ac:dyDescent="0.2">
      <c r="A780" s="54">
        <v>466199</v>
      </c>
      <c r="B780" s="54" t="s">
        <v>701</v>
      </c>
      <c r="C780" s="55">
        <v>1</v>
      </c>
      <c r="D780" s="55">
        <v>1</v>
      </c>
      <c r="E780" s="55">
        <v>3</v>
      </c>
      <c r="F780" s="55">
        <v>11</v>
      </c>
      <c r="G780" s="55">
        <v>0</v>
      </c>
      <c r="H780" s="55">
        <v>0</v>
      </c>
      <c r="I780" s="55">
        <v>11</v>
      </c>
      <c r="J780" s="55">
        <v>0</v>
      </c>
      <c r="K780" s="55">
        <v>0</v>
      </c>
      <c r="L780" s="55">
        <v>3</v>
      </c>
      <c r="M780" s="54" t="str">
        <f t="shared" si="63"/>
        <v>0-6 Months</v>
      </c>
      <c r="N780" s="54" t="str">
        <f t="shared" si="64"/>
        <v>12-18 Months</v>
      </c>
      <c r="O780" s="54" t="s">
        <v>7</v>
      </c>
      <c r="P780" s="54">
        <f t="shared" si="60"/>
        <v>1</v>
      </c>
      <c r="Q780">
        <f t="shared" si="61"/>
        <v>1</v>
      </c>
      <c r="R780">
        <f t="shared" si="62"/>
        <v>0</v>
      </c>
    </row>
    <row r="781" spans="1:18" x14ac:dyDescent="0.2">
      <c r="A781" s="54">
        <v>477326</v>
      </c>
      <c r="B781" s="54" t="s">
        <v>700</v>
      </c>
      <c r="C781" s="55">
        <v>1</v>
      </c>
      <c r="D781" s="55">
        <v>2</v>
      </c>
      <c r="E781" s="55">
        <v>3</v>
      </c>
      <c r="F781" s="55">
        <v>0</v>
      </c>
      <c r="G781" s="55">
        <v>0</v>
      </c>
      <c r="H781" s="55">
        <v>0</v>
      </c>
      <c r="I781" s="55">
        <v>0</v>
      </c>
      <c r="J781" s="55">
        <v>0</v>
      </c>
      <c r="K781" s="55">
        <v>0</v>
      </c>
      <c r="L781" s="55">
        <v>0</v>
      </c>
      <c r="M781" s="54" t="str">
        <f t="shared" si="63"/>
        <v>0-6 Months</v>
      </c>
      <c r="N781" s="54" t="str">
        <f t="shared" si="64"/>
        <v>12-18 Months</v>
      </c>
      <c r="O781" s="54" t="s">
        <v>7</v>
      </c>
      <c r="P781" s="54">
        <f t="shared" si="60"/>
        <v>0</v>
      </c>
      <c r="Q781">
        <f t="shared" si="61"/>
        <v>0</v>
      </c>
      <c r="R781">
        <f t="shared" si="62"/>
        <v>0</v>
      </c>
    </row>
    <row r="782" spans="1:18" x14ac:dyDescent="0.2">
      <c r="A782" s="54">
        <v>595748</v>
      </c>
      <c r="B782" s="54" t="s">
        <v>698</v>
      </c>
      <c r="C782" s="55">
        <v>1</v>
      </c>
      <c r="D782" s="55">
        <v>1</v>
      </c>
      <c r="E782" s="55">
        <v>3</v>
      </c>
      <c r="F782" s="55">
        <v>5</v>
      </c>
      <c r="G782" s="55">
        <v>5</v>
      </c>
      <c r="H782" s="55">
        <v>0</v>
      </c>
      <c r="I782" s="55">
        <v>5</v>
      </c>
      <c r="J782" s="55">
        <v>5</v>
      </c>
      <c r="K782" s="55">
        <v>0</v>
      </c>
      <c r="L782" s="55">
        <v>0</v>
      </c>
      <c r="M782" s="54" t="str">
        <f t="shared" si="63"/>
        <v>0-6 Months</v>
      </c>
      <c r="N782" s="54" t="str">
        <f t="shared" si="64"/>
        <v>12-18 Months</v>
      </c>
      <c r="O782" s="54" t="s">
        <v>7</v>
      </c>
      <c r="P782" s="54">
        <f t="shared" si="60"/>
        <v>1</v>
      </c>
      <c r="Q782">
        <f t="shared" si="61"/>
        <v>1</v>
      </c>
      <c r="R782">
        <f t="shared" si="62"/>
        <v>1</v>
      </c>
    </row>
    <row r="783" spans="1:18" x14ac:dyDescent="0.2">
      <c r="A783" s="54">
        <v>114071</v>
      </c>
      <c r="B783" s="54" t="s">
        <v>729</v>
      </c>
      <c r="C783" s="55">
        <v>2</v>
      </c>
      <c r="D783" s="55">
        <v>17</v>
      </c>
      <c r="E783" s="55">
        <v>3</v>
      </c>
      <c r="F783" s="55">
        <v>42</v>
      </c>
      <c r="G783" s="55">
        <v>42</v>
      </c>
      <c r="H783" s="55">
        <v>42</v>
      </c>
      <c r="I783" s="55">
        <v>2.4700000000000002</v>
      </c>
      <c r="J783" s="55">
        <v>2.4700000000000002</v>
      </c>
      <c r="K783" s="55">
        <v>2.4700000000000002</v>
      </c>
      <c r="L783" s="55">
        <v>1</v>
      </c>
      <c r="M783" s="54" t="str">
        <f t="shared" si="63"/>
        <v>0-6 Months</v>
      </c>
      <c r="N783" s="54" t="str">
        <f t="shared" si="64"/>
        <v>12-18 Months</v>
      </c>
      <c r="O783" s="54" t="s">
        <v>7</v>
      </c>
      <c r="P783" s="54">
        <f t="shared" si="60"/>
        <v>2</v>
      </c>
      <c r="Q783">
        <f t="shared" si="61"/>
        <v>2</v>
      </c>
      <c r="R783">
        <f t="shared" si="62"/>
        <v>2</v>
      </c>
    </row>
    <row r="784" spans="1:18" x14ac:dyDescent="0.2">
      <c r="A784" s="54">
        <v>146186</v>
      </c>
      <c r="B784" s="54" t="s">
        <v>730</v>
      </c>
      <c r="C784" s="55">
        <v>2</v>
      </c>
      <c r="D784" s="55">
        <v>88</v>
      </c>
      <c r="E784" s="55">
        <v>3</v>
      </c>
      <c r="F784" s="55">
        <v>28</v>
      </c>
      <c r="G784" s="55">
        <v>30</v>
      </c>
      <c r="H784" s="55">
        <v>30</v>
      </c>
      <c r="I784" s="55">
        <v>0.32</v>
      </c>
      <c r="J784" s="55">
        <v>0.34</v>
      </c>
      <c r="K784" s="55">
        <v>0.34</v>
      </c>
      <c r="L784" s="55">
        <v>0</v>
      </c>
      <c r="M784" s="54" t="str">
        <f t="shared" si="63"/>
        <v>0-6 Months</v>
      </c>
      <c r="N784" s="54" t="str">
        <f t="shared" si="64"/>
        <v>12-18 Months</v>
      </c>
      <c r="O784" s="54" t="s">
        <v>7</v>
      </c>
      <c r="P784" s="54">
        <f t="shared" si="60"/>
        <v>0</v>
      </c>
      <c r="Q784">
        <f t="shared" si="61"/>
        <v>0</v>
      </c>
      <c r="R784">
        <f t="shared" si="62"/>
        <v>0</v>
      </c>
    </row>
    <row r="785" spans="1:18" x14ac:dyDescent="0.2">
      <c r="A785" s="54">
        <v>480908</v>
      </c>
      <c r="B785" s="54" t="s">
        <v>731</v>
      </c>
      <c r="C785" s="55">
        <v>2</v>
      </c>
      <c r="D785" s="55">
        <v>10</v>
      </c>
      <c r="E785" s="55">
        <v>3</v>
      </c>
      <c r="F785" s="55">
        <v>32</v>
      </c>
      <c r="G785" s="55">
        <v>31</v>
      </c>
      <c r="H785" s="55">
        <v>26</v>
      </c>
      <c r="I785" s="55">
        <v>3.2</v>
      </c>
      <c r="J785" s="55">
        <v>3.1</v>
      </c>
      <c r="K785" s="55">
        <v>2.6</v>
      </c>
      <c r="L785" s="55">
        <v>10</v>
      </c>
      <c r="M785" s="54" t="str">
        <f t="shared" si="63"/>
        <v>0-6 Months</v>
      </c>
      <c r="N785" s="54" t="str">
        <f t="shared" si="64"/>
        <v>12-18 Months</v>
      </c>
      <c r="O785" s="54" t="s">
        <v>7</v>
      </c>
      <c r="P785" s="54">
        <f t="shared" si="60"/>
        <v>2</v>
      </c>
      <c r="Q785">
        <f t="shared" si="61"/>
        <v>2</v>
      </c>
      <c r="R785">
        <f t="shared" si="62"/>
        <v>2</v>
      </c>
    </row>
    <row r="786" spans="1:18" x14ac:dyDescent="0.2">
      <c r="A786" s="54">
        <v>109462</v>
      </c>
      <c r="B786" s="54" t="s">
        <v>749</v>
      </c>
      <c r="C786" s="55">
        <v>3</v>
      </c>
      <c r="D786" s="55">
        <v>140</v>
      </c>
      <c r="E786" s="55">
        <v>3</v>
      </c>
      <c r="F786" s="55">
        <v>21</v>
      </c>
      <c r="G786" s="55">
        <v>21</v>
      </c>
      <c r="H786" s="55">
        <v>21</v>
      </c>
      <c r="I786" s="55">
        <v>0.15</v>
      </c>
      <c r="J786" s="55">
        <v>0.15</v>
      </c>
      <c r="K786" s="55">
        <v>0.15</v>
      </c>
      <c r="L786" s="55">
        <v>0</v>
      </c>
      <c r="M786" s="54" t="str">
        <f t="shared" si="63"/>
        <v>0-6 Months</v>
      </c>
      <c r="N786" s="54" t="str">
        <f t="shared" si="64"/>
        <v>12-18 Months</v>
      </c>
      <c r="O786" s="54" t="s">
        <v>6</v>
      </c>
      <c r="P786" s="54">
        <f t="shared" si="60"/>
        <v>0</v>
      </c>
      <c r="Q786">
        <f t="shared" si="61"/>
        <v>0</v>
      </c>
      <c r="R786">
        <f t="shared" si="62"/>
        <v>0</v>
      </c>
    </row>
    <row r="787" spans="1:18" x14ac:dyDescent="0.2">
      <c r="A787" s="54">
        <v>133873</v>
      </c>
      <c r="B787" s="54" t="s">
        <v>750</v>
      </c>
      <c r="C787" s="55">
        <v>3</v>
      </c>
      <c r="D787" s="55">
        <v>5</v>
      </c>
      <c r="E787" s="55">
        <v>3</v>
      </c>
      <c r="F787" s="55">
        <v>0</v>
      </c>
      <c r="G787" s="55">
        <v>0</v>
      </c>
      <c r="H787" s="55">
        <v>0</v>
      </c>
      <c r="I787" s="55">
        <v>0</v>
      </c>
      <c r="J787" s="55">
        <v>0</v>
      </c>
      <c r="K787" s="55">
        <v>0</v>
      </c>
      <c r="L787" s="55">
        <v>0</v>
      </c>
      <c r="M787" s="54" t="str">
        <f t="shared" si="63"/>
        <v>0-6 Months</v>
      </c>
      <c r="N787" s="54" t="str">
        <f t="shared" si="64"/>
        <v>12-18 Months</v>
      </c>
      <c r="O787" s="54" t="s">
        <v>7</v>
      </c>
      <c r="P787" s="54">
        <f t="shared" si="60"/>
        <v>0</v>
      </c>
      <c r="Q787">
        <f t="shared" si="61"/>
        <v>0</v>
      </c>
      <c r="R787">
        <f t="shared" si="62"/>
        <v>0</v>
      </c>
    </row>
    <row r="788" spans="1:18" x14ac:dyDescent="0.2">
      <c r="A788" s="54">
        <v>327314</v>
      </c>
      <c r="B788" s="54" t="s">
        <v>751</v>
      </c>
      <c r="C788" s="55">
        <v>3</v>
      </c>
      <c r="D788" s="55">
        <v>8</v>
      </c>
      <c r="E788" s="55">
        <v>3</v>
      </c>
      <c r="F788" s="55">
        <v>3</v>
      </c>
      <c r="G788" s="55">
        <v>2</v>
      </c>
      <c r="H788" s="55">
        <v>2</v>
      </c>
      <c r="I788" s="55">
        <v>0.38</v>
      </c>
      <c r="J788" s="55">
        <v>0.25</v>
      </c>
      <c r="K788" s="55">
        <v>0.25</v>
      </c>
      <c r="L788" s="55">
        <v>0</v>
      </c>
      <c r="M788" s="54" t="str">
        <f t="shared" si="63"/>
        <v>0-6 Months</v>
      </c>
      <c r="N788" s="54" t="str">
        <f t="shared" si="64"/>
        <v>12-18 Months</v>
      </c>
      <c r="O788" s="54" t="s">
        <v>7</v>
      </c>
      <c r="P788" s="54">
        <f t="shared" si="60"/>
        <v>0</v>
      </c>
      <c r="Q788">
        <f t="shared" si="61"/>
        <v>0</v>
      </c>
      <c r="R788">
        <f t="shared" si="62"/>
        <v>0</v>
      </c>
    </row>
    <row r="789" spans="1:18" x14ac:dyDescent="0.2">
      <c r="A789" s="54">
        <v>175106</v>
      </c>
      <c r="B789" s="54" t="s">
        <v>772</v>
      </c>
      <c r="C789" s="55">
        <v>4</v>
      </c>
      <c r="D789" s="55">
        <v>10</v>
      </c>
      <c r="E789" s="55">
        <v>3</v>
      </c>
      <c r="F789" s="55">
        <v>0</v>
      </c>
      <c r="G789" s="55">
        <v>0</v>
      </c>
      <c r="H789" s="55">
        <v>0</v>
      </c>
      <c r="I789" s="55">
        <v>0</v>
      </c>
      <c r="J789" s="55">
        <v>0</v>
      </c>
      <c r="K789" s="55">
        <v>0</v>
      </c>
      <c r="L789" s="55">
        <v>0</v>
      </c>
      <c r="M789" s="54" t="str">
        <f t="shared" si="63"/>
        <v>0-6 Months</v>
      </c>
      <c r="N789" s="54" t="str">
        <f t="shared" si="64"/>
        <v>12-18 Months</v>
      </c>
      <c r="O789" s="54" t="s">
        <v>7</v>
      </c>
      <c r="P789" s="54">
        <f t="shared" si="60"/>
        <v>0</v>
      </c>
      <c r="Q789">
        <f t="shared" si="61"/>
        <v>0</v>
      </c>
      <c r="R789">
        <f t="shared" si="62"/>
        <v>0</v>
      </c>
    </row>
    <row r="790" spans="1:18" x14ac:dyDescent="0.2">
      <c r="A790" s="54">
        <v>487132</v>
      </c>
      <c r="B790" s="54" t="s">
        <v>773</v>
      </c>
      <c r="C790" s="55">
        <v>4</v>
      </c>
      <c r="D790" s="55">
        <v>4</v>
      </c>
      <c r="E790" s="55">
        <v>3</v>
      </c>
      <c r="F790" s="55">
        <v>12</v>
      </c>
      <c r="G790" s="55">
        <v>10</v>
      </c>
      <c r="H790" s="55">
        <v>4</v>
      </c>
      <c r="I790" s="55">
        <v>3</v>
      </c>
      <c r="J790" s="55">
        <v>2.5</v>
      </c>
      <c r="K790" s="55">
        <v>1</v>
      </c>
      <c r="L790" s="55">
        <v>6</v>
      </c>
      <c r="M790" s="54" t="str">
        <f t="shared" si="63"/>
        <v>0-6 Months</v>
      </c>
      <c r="N790" s="54" t="str">
        <f t="shared" si="64"/>
        <v>12-18 Months</v>
      </c>
      <c r="O790" s="54" t="s">
        <v>7</v>
      </c>
      <c r="P790" s="54">
        <f t="shared" si="60"/>
        <v>4</v>
      </c>
      <c r="Q790">
        <f t="shared" si="61"/>
        <v>4</v>
      </c>
      <c r="R790">
        <f t="shared" si="62"/>
        <v>4</v>
      </c>
    </row>
    <row r="791" spans="1:18" x14ac:dyDescent="0.2">
      <c r="A791" s="54">
        <v>109962</v>
      </c>
      <c r="B791" s="54" t="s">
        <v>793</v>
      </c>
      <c r="C791" s="55">
        <v>5</v>
      </c>
      <c r="D791" s="55">
        <v>39</v>
      </c>
      <c r="E791" s="55">
        <v>3</v>
      </c>
      <c r="F791" s="55">
        <v>148</v>
      </c>
      <c r="G791" s="55">
        <v>148</v>
      </c>
      <c r="H791" s="55">
        <v>148</v>
      </c>
      <c r="I791" s="55">
        <v>3.79</v>
      </c>
      <c r="J791" s="55">
        <v>3.79</v>
      </c>
      <c r="K791" s="55">
        <v>3.79</v>
      </c>
      <c r="L791" s="55">
        <v>0</v>
      </c>
      <c r="M791" s="54" t="str">
        <f t="shared" si="63"/>
        <v>0-6 Months</v>
      </c>
      <c r="N791" s="54" t="str">
        <f t="shared" si="64"/>
        <v>12-18 Months</v>
      </c>
      <c r="O791" s="54" t="s">
        <v>7</v>
      </c>
      <c r="P791" s="54">
        <f t="shared" si="60"/>
        <v>5</v>
      </c>
      <c r="Q791">
        <f t="shared" si="61"/>
        <v>5</v>
      </c>
      <c r="R791">
        <f t="shared" si="62"/>
        <v>5</v>
      </c>
    </row>
    <row r="792" spans="1:18" x14ac:dyDescent="0.2">
      <c r="A792" s="54">
        <v>457172</v>
      </c>
      <c r="B792" s="54" t="s">
        <v>792</v>
      </c>
      <c r="C792" s="55">
        <v>5</v>
      </c>
      <c r="D792" s="55">
        <v>4</v>
      </c>
      <c r="E792" s="55">
        <v>3</v>
      </c>
      <c r="F792" s="55">
        <v>0</v>
      </c>
      <c r="G792" s="55">
        <v>0</v>
      </c>
      <c r="H792" s="55">
        <v>0</v>
      </c>
      <c r="I792" s="55">
        <v>0</v>
      </c>
      <c r="J792" s="55">
        <v>0</v>
      </c>
      <c r="K792" s="55">
        <v>0</v>
      </c>
      <c r="L792" s="55">
        <v>0</v>
      </c>
      <c r="M792" s="54" t="str">
        <f t="shared" si="63"/>
        <v>0-6 Months</v>
      </c>
      <c r="N792" s="54" t="str">
        <f t="shared" si="64"/>
        <v>12-18 Months</v>
      </c>
      <c r="O792" s="54" t="s">
        <v>7</v>
      </c>
      <c r="P792" s="54">
        <f t="shared" si="60"/>
        <v>0</v>
      </c>
      <c r="Q792">
        <f t="shared" si="61"/>
        <v>0</v>
      </c>
      <c r="R792">
        <f t="shared" si="62"/>
        <v>0</v>
      </c>
    </row>
    <row r="793" spans="1:18" x14ac:dyDescent="0.2">
      <c r="A793" s="54">
        <v>534156</v>
      </c>
      <c r="B793" s="54" t="s">
        <v>814</v>
      </c>
      <c r="C793" s="55">
        <v>6</v>
      </c>
      <c r="D793" s="55">
        <v>2</v>
      </c>
      <c r="E793" s="55">
        <v>3</v>
      </c>
      <c r="F793" s="55">
        <v>0</v>
      </c>
      <c r="G793" s="55">
        <v>0</v>
      </c>
      <c r="H793" s="55">
        <v>0</v>
      </c>
      <c r="I793" s="55">
        <v>0</v>
      </c>
      <c r="J793" s="55">
        <v>0</v>
      </c>
      <c r="K793" s="55">
        <v>0</v>
      </c>
      <c r="L793" s="55">
        <v>0</v>
      </c>
      <c r="M793" s="54" t="str">
        <f t="shared" si="63"/>
        <v>0-6 Months</v>
      </c>
      <c r="N793" s="54" t="str">
        <f t="shared" si="64"/>
        <v>12-18 Months</v>
      </c>
      <c r="O793" s="54" t="s">
        <v>7</v>
      </c>
      <c r="P793" s="54">
        <f t="shared" si="60"/>
        <v>0</v>
      </c>
      <c r="Q793">
        <f t="shared" si="61"/>
        <v>0</v>
      </c>
      <c r="R793">
        <f t="shared" si="62"/>
        <v>0</v>
      </c>
    </row>
    <row r="794" spans="1:18" x14ac:dyDescent="0.2">
      <c r="A794" s="54">
        <v>575949</v>
      </c>
      <c r="B794" s="54" t="s">
        <v>813</v>
      </c>
      <c r="C794" s="55">
        <v>6</v>
      </c>
      <c r="D794" s="55">
        <v>6</v>
      </c>
      <c r="E794" s="55">
        <v>3</v>
      </c>
      <c r="F794" s="55">
        <v>0</v>
      </c>
      <c r="G794" s="55">
        <v>0</v>
      </c>
      <c r="H794" s="55">
        <v>0</v>
      </c>
      <c r="I794" s="55">
        <v>0</v>
      </c>
      <c r="J794" s="55">
        <v>0</v>
      </c>
      <c r="K794" s="55">
        <v>0</v>
      </c>
      <c r="L794" s="55">
        <v>0</v>
      </c>
      <c r="M794" s="54" t="str">
        <f t="shared" si="63"/>
        <v>0-6 Months</v>
      </c>
      <c r="N794" s="54" t="str">
        <f t="shared" si="64"/>
        <v>12-18 Months</v>
      </c>
      <c r="O794" s="54" t="s">
        <v>7</v>
      </c>
      <c r="P794" s="54">
        <f t="shared" si="60"/>
        <v>0</v>
      </c>
      <c r="Q794">
        <f t="shared" si="61"/>
        <v>0</v>
      </c>
      <c r="R794">
        <f t="shared" si="62"/>
        <v>0</v>
      </c>
    </row>
    <row r="795" spans="1:18" x14ac:dyDescent="0.2">
      <c r="A795" s="54">
        <v>108786</v>
      </c>
      <c r="B795" s="54" t="s">
        <v>826</v>
      </c>
      <c r="C795" s="55">
        <v>7</v>
      </c>
      <c r="D795" s="55">
        <v>7</v>
      </c>
      <c r="E795" s="55">
        <v>3</v>
      </c>
      <c r="F795" s="55">
        <v>27</v>
      </c>
      <c r="G795" s="55">
        <v>27</v>
      </c>
      <c r="H795" s="55">
        <v>27</v>
      </c>
      <c r="I795" s="55">
        <v>3.86</v>
      </c>
      <c r="J795" s="55">
        <v>3.86</v>
      </c>
      <c r="K795" s="55">
        <v>3.86</v>
      </c>
      <c r="L795" s="55">
        <v>0</v>
      </c>
      <c r="M795" s="54" t="str">
        <f t="shared" si="63"/>
        <v>0-6 Months</v>
      </c>
      <c r="N795" s="54" t="str">
        <f t="shared" si="64"/>
        <v>12-18 Months</v>
      </c>
      <c r="O795" s="54" t="s">
        <v>7</v>
      </c>
      <c r="P795" s="54">
        <f t="shared" si="60"/>
        <v>7</v>
      </c>
      <c r="Q795">
        <f t="shared" si="61"/>
        <v>7</v>
      </c>
      <c r="R795">
        <f t="shared" si="62"/>
        <v>7</v>
      </c>
    </row>
    <row r="796" spans="1:18" x14ac:dyDescent="0.2">
      <c r="A796" s="54">
        <v>112359</v>
      </c>
      <c r="B796" s="54" t="s">
        <v>828</v>
      </c>
      <c r="C796" s="55">
        <v>7</v>
      </c>
      <c r="D796" s="55">
        <v>7</v>
      </c>
      <c r="E796" s="55">
        <v>3</v>
      </c>
      <c r="F796" s="55">
        <v>93</v>
      </c>
      <c r="G796" s="55">
        <v>93</v>
      </c>
      <c r="H796" s="55">
        <v>84</v>
      </c>
      <c r="I796" s="55">
        <v>13.29</v>
      </c>
      <c r="J796" s="55">
        <v>13.29</v>
      </c>
      <c r="K796" s="55">
        <v>12</v>
      </c>
      <c r="L796" s="55">
        <v>11</v>
      </c>
      <c r="M796" s="54" t="str">
        <f t="shared" si="63"/>
        <v>0-6 Months</v>
      </c>
      <c r="N796" s="54" t="str">
        <f t="shared" si="64"/>
        <v>12-18 Months</v>
      </c>
      <c r="O796" s="54" t="s">
        <v>7</v>
      </c>
      <c r="P796" s="54">
        <f t="shared" si="60"/>
        <v>7</v>
      </c>
      <c r="Q796">
        <f t="shared" si="61"/>
        <v>7</v>
      </c>
      <c r="R796">
        <f t="shared" si="62"/>
        <v>7</v>
      </c>
    </row>
    <row r="797" spans="1:18" x14ac:dyDescent="0.2">
      <c r="A797" s="54">
        <v>582251</v>
      </c>
      <c r="B797" s="54" t="s">
        <v>827</v>
      </c>
      <c r="C797" s="55">
        <v>7</v>
      </c>
      <c r="D797" s="55">
        <v>7</v>
      </c>
      <c r="E797" s="55">
        <v>3</v>
      </c>
      <c r="F797" s="55">
        <v>0</v>
      </c>
      <c r="G797" s="55">
        <v>0</v>
      </c>
      <c r="H797" s="55">
        <v>0</v>
      </c>
      <c r="I797" s="55">
        <v>0</v>
      </c>
      <c r="J797" s="55">
        <v>0</v>
      </c>
      <c r="K797" s="55">
        <v>0</v>
      </c>
      <c r="L797" s="55">
        <v>0</v>
      </c>
      <c r="M797" s="54" t="str">
        <f t="shared" si="63"/>
        <v>0-6 Months</v>
      </c>
      <c r="N797" s="54" t="str">
        <f t="shared" si="64"/>
        <v>12-18 Months</v>
      </c>
      <c r="O797" s="54" t="s">
        <v>7</v>
      </c>
      <c r="P797" s="54">
        <f t="shared" si="60"/>
        <v>0</v>
      </c>
      <c r="Q797">
        <f t="shared" si="61"/>
        <v>0</v>
      </c>
      <c r="R797">
        <f t="shared" si="62"/>
        <v>0</v>
      </c>
    </row>
    <row r="798" spans="1:18" x14ac:dyDescent="0.2">
      <c r="A798" s="54">
        <v>157396</v>
      </c>
      <c r="B798" s="54" t="s">
        <v>846</v>
      </c>
      <c r="C798" s="55">
        <v>8</v>
      </c>
      <c r="D798" s="55">
        <v>40</v>
      </c>
      <c r="E798" s="55">
        <v>3</v>
      </c>
      <c r="F798" s="55">
        <v>11</v>
      </c>
      <c r="G798" s="55">
        <v>5</v>
      </c>
      <c r="H798" s="55">
        <v>5</v>
      </c>
      <c r="I798" s="55">
        <v>0.28000000000000003</v>
      </c>
      <c r="J798" s="55">
        <v>0.13</v>
      </c>
      <c r="K798" s="55">
        <v>0.13</v>
      </c>
      <c r="L798" s="55">
        <v>0</v>
      </c>
      <c r="M798" s="54" t="str">
        <f t="shared" si="63"/>
        <v>0-6 Months</v>
      </c>
      <c r="N798" s="54" t="str">
        <f t="shared" si="64"/>
        <v>12-18 Months</v>
      </c>
      <c r="O798" s="54" t="s">
        <v>7</v>
      </c>
      <c r="P798" s="54">
        <f t="shared" si="60"/>
        <v>0</v>
      </c>
      <c r="Q798">
        <f t="shared" si="61"/>
        <v>0</v>
      </c>
      <c r="R798">
        <f t="shared" si="62"/>
        <v>0</v>
      </c>
    </row>
    <row r="799" spans="1:18" x14ac:dyDescent="0.2">
      <c r="A799" s="54">
        <v>472627</v>
      </c>
      <c r="B799" s="54" t="s">
        <v>847</v>
      </c>
      <c r="C799" s="55">
        <v>8</v>
      </c>
      <c r="D799" s="55">
        <v>8</v>
      </c>
      <c r="E799" s="55">
        <v>3</v>
      </c>
      <c r="F799" s="55">
        <v>4</v>
      </c>
      <c r="G799" s="55">
        <v>4</v>
      </c>
      <c r="H799" s="55">
        <v>0</v>
      </c>
      <c r="I799" s="55">
        <v>0.5</v>
      </c>
      <c r="J799" s="55">
        <v>0.5</v>
      </c>
      <c r="K799" s="55">
        <v>0</v>
      </c>
      <c r="L799" s="55">
        <v>0</v>
      </c>
      <c r="M799" s="54" t="str">
        <f t="shared" si="63"/>
        <v>0-6 Months</v>
      </c>
      <c r="N799" s="54" t="str">
        <f t="shared" si="64"/>
        <v>12-18 Months</v>
      </c>
      <c r="O799" s="54" t="s">
        <v>7</v>
      </c>
      <c r="P799" s="54">
        <f t="shared" si="60"/>
        <v>0</v>
      </c>
      <c r="Q799">
        <f t="shared" si="61"/>
        <v>0</v>
      </c>
      <c r="R799">
        <f t="shared" si="62"/>
        <v>0</v>
      </c>
    </row>
    <row r="800" spans="1:18" x14ac:dyDescent="0.2">
      <c r="A800" s="54">
        <v>476202</v>
      </c>
      <c r="B800" s="54" t="s">
        <v>848</v>
      </c>
      <c r="C800" s="55">
        <v>8</v>
      </c>
      <c r="D800" s="55">
        <v>8</v>
      </c>
      <c r="E800" s="55">
        <v>3</v>
      </c>
      <c r="F800" s="55">
        <v>32</v>
      </c>
      <c r="G800" s="55">
        <v>32</v>
      </c>
      <c r="H800" s="55">
        <v>32</v>
      </c>
      <c r="I800" s="55">
        <v>4</v>
      </c>
      <c r="J800" s="55">
        <v>4</v>
      </c>
      <c r="K800" s="55">
        <v>4</v>
      </c>
      <c r="L800" s="55">
        <v>0</v>
      </c>
      <c r="M800" s="54" t="str">
        <f t="shared" si="63"/>
        <v>0-6 Months</v>
      </c>
      <c r="N800" s="54" t="str">
        <f t="shared" si="64"/>
        <v>12-18 Months</v>
      </c>
      <c r="O800" s="54" t="s">
        <v>7</v>
      </c>
      <c r="P800" s="54">
        <f t="shared" si="60"/>
        <v>8</v>
      </c>
      <c r="Q800">
        <f t="shared" si="61"/>
        <v>8</v>
      </c>
      <c r="R800">
        <f t="shared" si="62"/>
        <v>8</v>
      </c>
    </row>
    <row r="801" spans="1:18" x14ac:dyDescent="0.2">
      <c r="A801" s="54">
        <v>106525</v>
      </c>
      <c r="B801" s="54" t="s">
        <v>863</v>
      </c>
      <c r="C801" s="55">
        <v>9</v>
      </c>
      <c r="D801" s="55">
        <v>9</v>
      </c>
      <c r="E801" s="55">
        <v>3</v>
      </c>
      <c r="F801" s="55">
        <v>6</v>
      </c>
      <c r="G801" s="55">
        <v>6</v>
      </c>
      <c r="H801" s="55">
        <v>6</v>
      </c>
      <c r="I801" s="55">
        <v>0.67</v>
      </c>
      <c r="J801" s="55">
        <v>0.67</v>
      </c>
      <c r="K801" s="55">
        <v>0.67</v>
      </c>
      <c r="L801" s="55">
        <v>5</v>
      </c>
      <c r="M801" s="54" t="str">
        <f t="shared" si="63"/>
        <v>0-6 Months</v>
      </c>
      <c r="N801" s="54" t="str">
        <f t="shared" si="64"/>
        <v>12-18 Months</v>
      </c>
      <c r="O801" s="54" t="s">
        <v>7</v>
      </c>
      <c r="P801" s="54">
        <f t="shared" si="60"/>
        <v>0</v>
      </c>
      <c r="Q801">
        <f t="shared" si="61"/>
        <v>0</v>
      </c>
      <c r="R801">
        <f t="shared" si="62"/>
        <v>0</v>
      </c>
    </row>
    <row r="802" spans="1:18" x14ac:dyDescent="0.2">
      <c r="A802" s="54">
        <v>125286</v>
      </c>
      <c r="B802" s="54" t="s">
        <v>865</v>
      </c>
      <c r="C802" s="55">
        <v>9</v>
      </c>
      <c r="D802" s="55">
        <v>9</v>
      </c>
      <c r="E802" s="55">
        <v>3</v>
      </c>
      <c r="F802" s="55">
        <v>0</v>
      </c>
      <c r="G802" s="55">
        <v>0</v>
      </c>
      <c r="H802" s="55">
        <v>0</v>
      </c>
      <c r="I802" s="55">
        <v>0</v>
      </c>
      <c r="J802" s="55">
        <v>0</v>
      </c>
      <c r="K802" s="55">
        <v>0</v>
      </c>
      <c r="L802" s="55">
        <v>0</v>
      </c>
      <c r="M802" s="54" t="str">
        <f t="shared" si="63"/>
        <v>0-6 Months</v>
      </c>
      <c r="N802" s="54" t="str">
        <f t="shared" si="64"/>
        <v>12-18 Months</v>
      </c>
      <c r="O802" s="54" t="s">
        <v>7</v>
      </c>
      <c r="P802" s="54">
        <f t="shared" si="60"/>
        <v>0</v>
      </c>
      <c r="Q802">
        <f t="shared" si="61"/>
        <v>0</v>
      </c>
      <c r="R802">
        <f t="shared" si="62"/>
        <v>0</v>
      </c>
    </row>
    <row r="803" spans="1:18" x14ac:dyDescent="0.2">
      <c r="A803" s="54">
        <v>317802</v>
      </c>
      <c r="B803" s="54" t="s">
        <v>862</v>
      </c>
      <c r="C803" s="55">
        <v>9</v>
      </c>
      <c r="D803" s="55">
        <v>1</v>
      </c>
      <c r="E803" s="55">
        <v>3</v>
      </c>
      <c r="F803" s="55">
        <v>0</v>
      </c>
      <c r="G803" s="55">
        <v>0</v>
      </c>
      <c r="H803" s="55">
        <v>0</v>
      </c>
      <c r="I803" s="55">
        <v>0</v>
      </c>
      <c r="J803" s="55">
        <v>0</v>
      </c>
      <c r="K803" s="55">
        <v>0</v>
      </c>
      <c r="L803" s="55">
        <v>0</v>
      </c>
      <c r="M803" s="54" t="str">
        <f t="shared" si="63"/>
        <v>0-6 Months</v>
      </c>
      <c r="N803" s="54" t="str">
        <f t="shared" si="64"/>
        <v>12-18 Months</v>
      </c>
      <c r="O803" s="54" t="s">
        <v>7</v>
      </c>
      <c r="P803" s="54">
        <f t="shared" si="60"/>
        <v>0</v>
      </c>
      <c r="Q803">
        <f t="shared" si="61"/>
        <v>0</v>
      </c>
      <c r="R803">
        <f t="shared" si="62"/>
        <v>0</v>
      </c>
    </row>
    <row r="804" spans="1:18" x14ac:dyDescent="0.2">
      <c r="A804" s="54">
        <v>328319</v>
      </c>
      <c r="B804" s="54" t="s">
        <v>864</v>
      </c>
      <c r="C804" s="55">
        <v>9</v>
      </c>
      <c r="D804" s="55">
        <v>9</v>
      </c>
      <c r="E804" s="55">
        <v>3</v>
      </c>
      <c r="F804" s="55">
        <v>0</v>
      </c>
      <c r="G804" s="55">
        <v>0</v>
      </c>
      <c r="H804" s="55">
        <v>0</v>
      </c>
      <c r="I804" s="55">
        <v>0</v>
      </c>
      <c r="J804" s="55">
        <v>0</v>
      </c>
      <c r="K804" s="55">
        <v>0</v>
      </c>
      <c r="L804" s="55">
        <v>0</v>
      </c>
      <c r="M804" s="54" t="str">
        <f t="shared" si="63"/>
        <v>0-6 Months</v>
      </c>
      <c r="N804" s="54" t="str">
        <f t="shared" si="64"/>
        <v>12-18 Months</v>
      </c>
      <c r="O804" s="54" t="s">
        <v>7</v>
      </c>
      <c r="P804" s="54">
        <f t="shared" si="60"/>
        <v>0</v>
      </c>
      <c r="Q804">
        <f t="shared" si="61"/>
        <v>0</v>
      </c>
      <c r="R804">
        <f t="shared" si="62"/>
        <v>0</v>
      </c>
    </row>
    <row r="805" spans="1:18" x14ac:dyDescent="0.2">
      <c r="A805" s="54">
        <v>115480</v>
      </c>
      <c r="B805" s="54" t="s">
        <v>885</v>
      </c>
      <c r="C805" s="55">
        <v>10</v>
      </c>
      <c r="D805" s="55">
        <v>15</v>
      </c>
      <c r="E805" s="55">
        <v>3</v>
      </c>
      <c r="F805" s="55">
        <v>0</v>
      </c>
      <c r="G805" s="55">
        <v>0</v>
      </c>
      <c r="H805" s="55">
        <v>0</v>
      </c>
      <c r="I805" s="55">
        <v>0</v>
      </c>
      <c r="J805" s="55">
        <v>0</v>
      </c>
      <c r="K805" s="55">
        <v>0</v>
      </c>
      <c r="L805" s="55">
        <v>0</v>
      </c>
      <c r="M805" s="54" t="str">
        <f t="shared" si="63"/>
        <v>0-6 Months</v>
      </c>
      <c r="N805" s="54" t="str">
        <f t="shared" si="64"/>
        <v>12-18 Months</v>
      </c>
      <c r="O805" s="54" t="s">
        <v>7</v>
      </c>
      <c r="P805" s="54">
        <f t="shared" si="60"/>
        <v>0</v>
      </c>
      <c r="Q805">
        <f t="shared" si="61"/>
        <v>0</v>
      </c>
      <c r="R805">
        <f t="shared" si="62"/>
        <v>0</v>
      </c>
    </row>
    <row r="806" spans="1:18" x14ac:dyDescent="0.2">
      <c r="A806" s="54">
        <v>232925</v>
      </c>
      <c r="B806" s="54" t="s">
        <v>883</v>
      </c>
      <c r="C806" s="55">
        <v>10</v>
      </c>
      <c r="D806" s="55">
        <v>10</v>
      </c>
      <c r="E806" s="55">
        <v>3</v>
      </c>
      <c r="F806" s="55">
        <v>25</v>
      </c>
      <c r="G806" s="55">
        <v>20</v>
      </c>
      <c r="H806" s="55">
        <v>20</v>
      </c>
      <c r="I806" s="55">
        <v>2.5</v>
      </c>
      <c r="J806" s="55">
        <v>2</v>
      </c>
      <c r="K806" s="55">
        <v>2</v>
      </c>
      <c r="L806" s="55">
        <v>35</v>
      </c>
      <c r="M806" s="54" t="str">
        <f t="shared" si="63"/>
        <v>0-6 Months</v>
      </c>
      <c r="N806" s="54" t="str">
        <f t="shared" si="64"/>
        <v>12-18 Months</v>
      </c>
      <c r="O806" s="54" t="s">
        <v>7</v>
      </c>
      <c r="P806" s="54">
        <f t="shared" si="60"/>
        <v>10</v>
      </c>
      <c r="Q806">
        <f t="shared" si="61"/>
        <v>10</v>
      </c>
      <c r="R806">
        <f t="shared" si="62"/>
        <v>10</v>
      </c>
    </row>
    <row r="807" spans="1:18" x14ac:dyDescent="0.2">
      <c r="A807" s="54">
        <v>233432</v>
      </c>
      <c r="B807" s="54" t="s">
        <v>887</v>
      </c>
      <c r="C807" s="55">
        <v>10</v>
      </c>
      <c r="D807" s="55">
        <v>10</v>
      </c>
      <c r="E807" s="55">
        <v>3</v>
      </c>
      <c r="F807" s="55">
        <v>43</v>
      </c>
      <c r="G807" s="55">
        <v>43</v>
      </c>
      <c r="H807" s="55">
        <v>43</v>
      </c>
      <c r="I807" s="55">
        <v>4.3</v>
      </c>
      <c r="J807" s="55">
        <v>4.3</v>
      </c>
      <c r="K807" s="55">
        <v>4.3</v>
      </c>
      <c r="L807" s="55">
        <v>0</v>
      </c>
      <c r="M807" s="54" t="str">
        <f t="shared" si="63"/>
        <v>0-6 Months</v>
      </c>
      <c r="N807" s="54" t="str">
        <f t="shared" si="64"/>
        <v>12-18 Months</v>
      </c>
      <c r="O807" s="54" t="s">
        <v>7</v>
      </c>
      <c r="P807" s="54">
        <f t="shared" si="60"/>
        <v>10</v>
      </c>
      <c r="Q807">
        <f t="shared" si="61"/>
        <v>10</v>
      </c>
      <c r="R807">
        <f t="shared" si="62"/>
        <v>10</v>
      </c>
    </row>
    <row r="808" spans="1:18" x14ac:dyDescent="0.2">
      <c r="A808" s="54">
        <v>466424</v>
      </c>
      <c r="B808" s="54" t="s">
        <v>886</v>
      </c>
      <c r="C808" s="55">
        <v>10</v>
      </c>
      <c r="D808" s="55">
        <v>24</v>
      </c>
      <c r="E808" s="55">
        <v>3</v>
      </c>
      <c r="F808" s="55">
        <v>0</v>
      </c>
      <c r="G808" s="55">
        <v>0</v>
      </c>
      <c r="H808" s="55">
        <v>0</v>
      </c>
      <c r="I808" s="55">
        <v>0</v>
      </c>
      <c r="J808" s="55">
        <v>0</v>
      </c>
      <c r="K808" s="55">
        <v>0</v>
      </c>
      <c r="L808" s="55">
        <v>0</v>
      </c>
      <c r="M808" s="54" t="str">
        <f t="shared" si="63"/>
        <v>0-6 Months</v>
      </c>
      <c r="N808" s="54" t="str">
        <f t="shared" si="64"/>
        <v>12-18 Months</v>
      </c>
      <c r="O808" s="54" t="s">
        <v>7</v>
      </c>
      <c r="P808" s="54">
        <f t="shared" si="60"/>
        <v>0</v>
      </c>
      <c r="Q808">
        <f t="shared" si="61"/>
        <v>0</v>
      </c>
      <c r="R808">
        <f t="shared" si="62"/>
        <v>0</v>
      </c>
    </row>
    <row r="809" spans="1:18" x14ac:dyDescent="0.2">
      <c r="A809" s="54">
        <v>546361</v>
      </c>
      <c r="B809" s="54" t="s">
        <v>884</v>
      </c>
      <c r="C809" s="55">
        <v>10</v>
      </c>
      <c r="D809" s="55">
        <v>10</v>
      </c>
      <c r="E809" s="55">
        <v>3</v>
      </c>
      <c r="F809" s="55">
        <v>2</v>
      </c>
      <c r="G809" s="55">
        <v>2</v>
      </c>
      <c r="H809" s="55">
        <v>2</v>
      </c>
      <c r="I809" s="55">
        <v>0.2</v>
      </c>
      <c r="J809" s="55">
        <v>0.2</v>
      </c>
      <c r="K809" s="55">
        <v>0.2</v>
      </c>
      <c r="L809" s="55">
        <v>0</v>
      </c>
      <c r="M809" s="54" t="str">
        <f t="shared" si="63"/>
        <v>0-6 Months</v>
      </c>
      <c r="N809" s="54" t="str">
        <f t="shared" si="64"/>
        <v>12-18 Months</v>
      </c>
      <c r="O809" s="54" t="s">
        <v>7</v>
      </c>
      <c r="P809" s="54">
        <f t="shared" si="60"/>
        <v>0</v>
      </c>
      <c r="Q809">
        <f t="shared" si="61"/>
        <v>0</v>
      </c>
      <c r="R809">
        <f t="shared" si="62"/>
        <v>0</v>
      </c>
    </row>
    <row r="810" spans="1:18" x14ac:dyDescent="0.2">
      <c r="A810" s="54">
        <v>108428</v>
      </c>
      <c r="B810" s="54" t="s">
        <v>901</v>
      </c>
      <c r="C810" s="55">
        <v>11</v>
      </c>
      <c r="D810" s="55">
        <v>21</v>
      </c>
      <c r="E810" s="55">
        <v>3</v>
      </c>
      <c r="F810" s="55">
        <v>36</v>
      </c>
      <c r="G810" s="55">
        <v>16</v>
      </c>
      <c r="H810" s="55">
        <v>8</v>
      </c>
      <c r="I810" s="55">
        <v>1.71</v>
      </c>
      <c r="J810" s="55">
        <v>0.76</v>
      </c>
      <c r="K810" s="55">
        <v>0.38</v>
      </c>
      <c r="L810" s="55">
        <v>0</v>
      </c>
      <c r="M810" s="54" t="str">
        <f t="shared" si="63"/>
        <v>0-6 Months</v>
      </c>
      <c r="N810" s="54" t="str">
        <f t="shared" si="64"/>
        <v>12-18 Months</v>
      </c>
      <c r="O810" s="54" t="s">
        <v>7</v>
      </c>
      <c r="P810" s="54">
        <f t="shared" si="60"/>
        <v>11</v>
      </c>
      <c r="Q810">
        <f t="shared" si="61"/>
        <v>0</v>
      </c>
      <c r="R810">
        <f t="shared" si="62"/>
        <v>11</v>
      </c>
    </row>
    <row r="811" spans="1:18" x14ac:dyDescent="0.2">
      <c r="A811" s="54">
        <v>477343</v>
      </c>
      <c r="B811" s="54" t="s">
        <v>900</v>
      </c>
      <c r="C811" s="55">
        <v>11</v>
      </c>
      <c r="D811" s="55">
        <v>11</v>
      </c>
      <c r="E811" s="55">
        <v>3</v>
      </c>
      <c r="F811" s="55">
        <v>4</v>
      </c>
      <c r="G811" s="55">
        <v>4</v>
      </c>
      <c r="H811" s="55">
        <v>0</v>
      </c>
      <c r="I811" s="55">
        <v>0.36</v>
      </c>
      <c r="J811" s="55">
        <v>0.36</v>
      </c>
      <c r="K811" s="55">
        <v>0</v>
      </c>
      <c r="L811" s="55">
        <v>0</v>
      </c>
      <c r="M811" s="54" t="str">
        <f t="shared" si="63"/>
        <v>0-6 Months</v>
      </c>
      <c r="N811" s="54" t="str">
        <f t="shared" si="64"/>
        <v>12-18 Months</v>
      </c>
      <c r="O811" s="54" t="s">
        <v>7</v>
      </c>
      <c r="P811" s="54">
        <f t="shared" si="60"/>
        <v>0</v>
      </c>
      <c r="Q811">
        <f t="shared" si="61"/>
        <v>0</v>
      </c>
      <c r="R811">
        <f t="shared" si="62"/>
        <v>0</v>
      </c>
    </row>
    <row r="812" spans="1:18" x14ac:dyDescent="0.2">
      <c r="A812" s="54">
        <v>110342</v>
      </c>
      <c r="B812" s="54" t="s">
        <v>909</v>
      </c>
      <c r="C812" s="55">
        <v>12</v>
      </c>
      <c r="D812" s="55">
        <v>11</v>
      </c>
      <c r="E812" s="55">
        <v>3</v>
      </c>
      <c r="F812" s="55">
        <v>30</v>
      </c>
      <c r="G812" s="55">
        <v>22</v>
      </c>
      <c r="H812" s="55">
        <v>3</v>
      </c>
      <c r="I812" s="55">
        <v>2.73</v>
      </c>
      <c r="J812" s="55">
        <v>2</v>
      </c>
      <c r="K812" s="55">
        <v>0.27</v>
      </c>
      <c r="L812" s="55">
        <v>9</v>
      </c>
      <c r="M812" s="54" t="str">
        <f t="shared" si="63"/>
        <v>0-6 Months</v>
      </c>
      <c r="N812" s="54" t="str">
        <f t="shared" si="64"/>
        <v>12-18 Months</v>
      </c>
      <c r="O812" s="54" t="s">
        <v>7</v>
      </c>
      <c r="P812" s="54">
        <f t="shared" si="60"/>
        <v>12</v>
      </c>
      <c r="Q812">
        <f t="shared" si="61"/>
        <v>12</v>
      </c>
      <c r="R812">
        <f t="shared" si="62"/>
        <v>12</v>
      </c>
    </row>
    <row r="813" spans="1:18" x14ac:dyDescent="0.2">
      <c r="A813" s="54">
        <v>206493</v>
      </c>
      <c r="B813" s="54" t="s">
        <v>910</v>
      </c>
      <c r="C813" s="55">
        <v>12</v>
      </c>
      <c r="D813" s="55">
        <v>2</v>
      </c>
      <c r="E813" s="55">
        <v>3</v>
      </c>
      <c r="F813" s="55">
        <v>0</v>
      </c>
      <c r="G813" s="55">
        <v>0</v>
      </c>
      <c r="H813" s="55">
        <v>0</v>
      </c>
      <c r="I813" s="55">
        <v>0</v>
      </c>
      <c r="J813" s="55">
        <v>0</v>
      </c>
      <c r="K813" s="55">
        <v>0</v>
      </c>
      <c r="L813" s="55">
        <v>0</v>
      </c>
      <c r="M813" s="54" t="str">
        <f t="shared" si="63"/>
        <v>0-6 Months</v>
      </c>
      <c r="N813" s="54" t="str">
        <f t="shared" si="64"/>
        <v>12-18 Months</v>
      </c>
      <c r="O813" s="54" t="s">
        <v>7</v>
      </c>
      <c r="P813" s="54">
        <f t="shared" si="60"/>
        <v>0</v>
      </c>
      <c r="Q813">
        <f t="shared" si="61"/>
        <v>0</v>
      </c>
      <c r="R813">
        <f t="shared" si="62"/>
        <v>0</v>
      </c>
    </row>
    <row r="814" spans="1:18" x14ac:dyDescent="0.2">
      <c r="A814" s="54">
        <v>481041</v>
      </c>
      <c r="B814" s="54" t="s">
        <v>924</v>
      </c>
      <c r="C814" s="55">
        <v>13</v>
      </c>
      <c r="D814" s="55">
        <v>13</v>
      </c>
      <c r="E814" s="55">
        <v>3</v>
      </c>
      <c r="F814" s="55">
        <v>0</v>
      </c>
      <c r="G814" s="55">
        <v>0</v>
      </c>
      <c r="H814" s="55">
        <v>0</v>
      </c>
      <c r="I814" s="55">
        <v>0</v>
      </c>
      <c r="J814" s="55">
        <v>0</v>
      </c>
      <c r="K814" s="55">
        <v>0</v>
      </c>
      <c r="L814" s="55">
        <v>0</v>
      </c>
      <c r="M814" s="54" t="str">
        <f t="shared" si="63"/>
        <v>0-6 Months</v>
      </c>
      <c r="N814" s="54" t="str">
        <f t="shared" si="64"/>
        <v>12-18 Months</v>
      </c>
      <c r="O814" s="54" t="s">
        <v>7</v>
      </c>
      <c r="P814" s="54">
        <f t="shared" si="60"/>
        <v>0</v>
      </c>
      <c r="Q814">
        <f t="shared" si="61"/>
        <v>0</v>
      </c>
      <c r="R814">
        <f t="shared" si="62"/>
        <v>0</v>
      </c>
    </row>
    <row r="815" spans="1:18" x14ac:dyDescent="0.2">
      <c r="A815" s="54">
        <v>107758</v>
      </c>
      <c r="B815" s="54" t="s">
        <v>941</v>
      </c>
      <c r="C815" s="55">
        <v>14</v>
      </c>
      <c r="D815" s="55">
        <v>13</v>
      </c>
      <c r="E815" s="55">
        <v>3</v>
      </c>
      <c r="F815" s="55">
        <v>6</v>
      </c>
      <c r="G815" s="55">
        <v>1</v>
      </c>
      <c r="H815" s="55">
        <v>1</v>
      </c>
      <c r="I815" s="55">
        <v>0.46</v>
      </c>
      <c r="J815" s="55">
        <v>0.08</v>
      </c>
      <c r="K815" s="55">
        <v>0.08</v>
      </c>
      <c r="L815" s="55">
        <v>11</v>
      </c>
      <c r="M815" s="54" t="str">
        <f t="shared" si="63"/>
        <v>0-6 Months</v>
      </c>
      <c r="N815" s="54" t="str">
        <f t="shared" si="64"/>
        <v>12-18 Months</v>
      </c>
      <c r="O815" s="54" t="s">
        <v>7</v>
      </c>
      <c r="P815" s="54">
        <f t="shared" si="60"/>
        <v>0</v>
      </c>
      <c r="Q815">
        <f t="shared" si="61"/>
        <v>0</v>
      </c>
      <c r="R815">
        <f t="shared" si="62"/>
        <v>0</v>
      </c>
    </row>
    <row r="816" spans="1:18" x14ac:dyDescent="0.2">
      <c r="A816" s="54">
        <v>155722</v>
      </c>
      <c r="B816" s="54" t="s">
        <v>942</v>
      </c>
      <c r="C816" s="55">
        <v>14</v>
      </c>
      <c r="D816" s="55">
        <v>13</v>
      </c>
      <c r="E816" s="55">
        <v>3</v>
      </c>
      <c r="F816" s="55">
        <v>0</v>
      </c>
      <c r="G816" s="55">
        <v>0</v>
      </c>
      <c r="H816" s="55">
        <v>0</v>
      </c>
      <c r="I816" s="55">
        <v>0</v>
      </c>
      <c r="J816" s="55">
        <v>0</v>
      </c>
      <c r="K816" s="55">
        <v>0</v>
      </c>
      <c r="L816" s="55">
        <v>0</v>
      </c>
      <c r="M816" s="54" t="str">
        <f t="shared" si="63"/>
        <v>0-6 Months</v>
      </c>
      <c r="N816" s="54" t="str">
        <f t="shared" si="64"/>
        <v>12-18 Months</v>
      </c>
      <c r="O816" s="54" t="s">
        <v>7</v>
      </c>
      <c r="P816" s="54">
        <f t="shared" si="60"/>
        <v>0</v>
      </c>
      <c r="Q816">
        <f t="shared" si="61"/>
        <v>0</v>
      </c>
      <c r="R816">
        <f t="shared" si="62"/>
        <v>0</v>
      </c>
    </row>
    <row r="817" spans="1:18" x14ac:dyDescent="0.2">
      <c r="A817" s="54">
        <v>165139</v>
      </c>
      <c r="B817" s="54" t="s">
        <v>959</v>
      </c>
      <c r="C817" s="55">
        <v>15</v>
      </c>
      <c r="D817" s="55">
        <v>18</v>
      </c>
      <c r="E817" s="55">
        <v>3</v>
      </c>
      <c r="F817" s="55">
        <v>1</v>
      </c>
      <c r="G817" s="55">
        <v>1</v>
      </c>
      <c r="H817" s="55">
        <v>0</v>
      </c>
      <c r="I817" s="55">
        <v>0.06</v>
      </c>
      <c r="J817" s="55">
        <v>0.06</v>
      </c>
      <c r="K817" s="55">
        <v>0</v>
      </c>
      <c r="L817" s="55">
        <v>0</v>
      </c>
      <c r="M817" s="54" t="str">
        <f t="shared" si="63"/>
        <v>0-6 Months</v>
      </c>
      <c r="N817" s="54" t="str">
        <f t="shared" si="64"/>
        <v>12-18 Months</v>
      </c>
      <c r="O817" s="54" t="s">
        <v>7</v>
      </c>
      <c r="P817" s="54">
        <f t="shared" si="60"/>
        <v>0</v>
      </c>
      <c r="Q817">
        <f t="shared" si="61"/>
        <v>0</v>
      </c>
      <c r="R817">
        <f t="shared" si="62"/>
        <v>0</v>
      </c>
    </row>
    <row r="818" spans="1:18" x14ac:dyDescent="0.2">
      <c r="A818" s="54">
        <v>517964</v>
      </c>
      <c r="B818" s="54" t="s">
        <v>958</v>
      </c>
      <c r="C818" s="55">
        <v>15</v>
      </c>
      <c r="D818" s="55">
        <v>16</v>
      </c>
      <c r="E818" s="55">
        <v>3</v>
      </c>
      <c r="F818" s="55">
        <v>0</v>
      </c>
      <c r="G818" s="55">
        <v>0</v>
      </c>
      <c r="H818" s="55">
        <v>0</v>
      </c>
      <c r="I818" s="55">
        <v>0</v>
      </c>
      <c r="J818" s="55">
        <v>0</v>
      </c>
      <c r="K818" s="55">
        <v>0</v>
      </c>
      <c r="L818" s="55">
        <v>0</v>
      </c>
      <c r="M818" s="54" t="str">
        <f t="shared" si="63"/>
        <v>0-6 Months</v>
      </c>
      <c r="N818" s="54" t="str">
        <f t="shared" si="64"/>
        <v>12-18 Months</v>
      </c>
      <c r="O818" s="54" t="s">
        <v>7</v>
      </c>
      <c r="P818" s="54">
        <f t="shared" si="60"/>
        <v>0</v>
      </c>
      <c r="Q818">
        <f t="shared" si="61"/>
        <v>0</v>
      </c>
      <c r="R818">
        <f t="shared" si="62"/>
        <v>0</v>
      </c>
    </row>
    <row r="819" spans="1:18" x14ac:dyDescent="0.2">
      <c r="A819" s="54">
        <v>154192</v>
      </c>
      <c r="B819" s="54" t="s">
        <v>977</v>
      </c>
      <c r="C819" s="55">
        <v>16</v>
      </c>
      <c r="D819" s="55">
        <v>7</v>
      </c>
      <c r="E819" s="55">
        <v>3</v>
      </c>
      <c r="F819" s="55">
        <v>3</v>
      </c>
      <c r="G819" s="55">
        <v>3</v>
      </c>
      <c r="H819" s="55">
        <v>0</v>
      </c>
      <c r="I819" s="55">
        <v>0.43</v>
      </c>
      <c r="J819" s="55">
        <v>0.43</v>
      </c>
      <c r="K819" s="55">
        <v>0</v>
      </c>
      <c r="L819" s="55">
        <v>0</v>
      </c>
      <c r="M819" s="54" t="str">
        <f t="shared" si="63"/>
        <v>0-6 Months</v>
      </c>
      <c r="N819" s="54" t="str">
        <f t="shared" si="64"/>
        <v>12-18 Months</v>
      </c>
      <c r="O819" s="54" t="s">
        <v>7</v>
      </c>
      <c r="P819" s="54">
        <f t="shared" si="60"/>
        <v>0</v>
      </c>
      <c r="Q819">
        <f t="shared" si="61"/>
        <v>0</v>
      </c>
      <c r="R819">
        <f t="shared" si="62"/>
        <v>0</v>
      </c>
    </row>
    <row r="820" spans="1:18" x14ac:dyDescent="0.2">
      <c r="A820" s="54">
        <v>202744</v>
      </c>
      <c r="B820" s="54" t="s">
        <v>976</v>
      </c>
      <c r="C820" s="55">
        <v>16</v>
      </c>
      <c r="D820" s="55">
        <v>16</v>
      </c>
      <c r="E820" s="55">
        <v>3</v>
      </c>
      <c r="F820" s="55">
        <v>45</v>
      </c>
      <c r="G820" s="55">
        <v>38</v>
      </c>
      <c r="H820" s="55">
        <v>38</v>
      </c>
      <c r="I820" s="55">
        <v>2.81</v>
      </c>
      <c r="J820" s="55">
        <v>2.38</v>
      </c>
      <c r="K820" s="55">
        <v>2.38</v>
      </c>
      <c r="L820" s="55">
        <v>0</v>
      </c>
      <c r="M820" s="54" t="str">
        <f t="shared" si="63"/>
        <v>0-6 Months</v>
      </c>
      <c r="N820" s="54" t="str">
        <f t="shared" si="64"/>
        <v>12-18 Months</v>
      </c>
      <c r="O820" s="54" t="s">
        <v>7</v>
      </c>
      <c r="P820" s="54">
        <f t="shared" si="60"/>
        <v>16</v>
      </c>
      <c r="Q820">
        <f t="shared" si="61"/>
        <v>16</v>
      </c>
      <c r="R820">
        <f t="shared" si="62"/>
        <v>16</v>
      </c>
    </row>
    <row r="821" spans="1:18" x14ac:dyDescent="0.2">
      <c r="A821" s="54">
        <v>110870</v>
      </c>
      <c r="B821" s="54" t="s">
        <v>983</v>
      </c>
      <c r="C821" s="55">
        <v>17</v>
      </c>
      <c r="D821" s="55">
        <v>27</v>
      </c>
      <c r="E821" s="55">
        <v>3</v>
      </c>
      <c r="F821" s="55">
        <v>0</v>
      </c>
      <c r="G821" s="55">
        <v>0</v>
      </c>
      <c r="H821" s="55">
        <v>0</v>
      </c>
      <c r="I821" s="55">
        <v>0</v>
      </c>
      <c r="J821" s="55">
        <v>0</v>
      </c>
      <c r="K821" s="55">
        <v>0</v>
      </c>
      <c r="L821" s="55">
        <v>0</v>
      </c>
      <c r="M821" s="54" t="str">
        <f t="shared" si="63"/>
        <v>0-6 Months</v>
      </c>
      <c r="N821" s="54" t="str">
        <f t="shared" si="64"/>
        <v>12-18 Months</v>
      </c>
      <c r="O821" s="54" t="s">
        <v>7</v>
      </c>
      <c r="P821" s="54">
        <f t="shared" si="60"/>
        <v>0</v>
      </c>
      <c r="Q821">
        <f t="shared" si="61"/>
        <v>0</v>
      </c>
      <c r="R821">
        <f t="shared" si="62"/>
        <v>0</v>
      </c>
    </row>
    <row r="822" spans="1:18" x14ac:dyDescent="0.2">
      <c r="A822" s="54">
        <v>110305</v>
      </c>
      <c r="B822" s="54" t="s">
        <v>995</v>
      </c>
      <c r="C822" s="55">
        <v>18</v>
      </c>
      <c r="D822" s="55">
        <v>522</v>
      </c>
      <c r="E822" s="55">
        <v>3</v>
      </c>
      <c r="F822" s="55">
        <v>33</v>
      </c>
      <c r="G822" s="55">
        <v>26</v>
      </c>
      <c r="H822" s="55">
        <v>26</v>
      </c>
      <c r="I822" s="55">
        <v>0.06</v>
      </c>
      <c r="J822" s="55">
        <v>0.05</v>
      </c>
      <c r="K822" s="55">
        <v>0.05</v>
      </c>
      <c r="L822" s="55">
        <v>0</v>
      </c>
      <c r="M822" s="54" t="str">
        <f t="shared" si="63"/>
        <v>0-6 Months</v>
      </c>
      <c r="N822" s="54" t="str">
        <f t="shared" si="64"/>
        <v>12-18 Months</v>
      </c>
      <c r="O822" s="54" t="s">
        <v>6</v>
      </c>
      <c r="P822" s="54">
        <f t="shared" si="60"/>
        <v>0</v>
      </c>
      <c r="Q822">
        <f t="shared" si="61"/>
        <v>0</v>
      </c>
      <c r="R822">
        <f t="shared" si="62"/>
        <v>0</v>
      </c>
    </row>
    <row r="823" spans="1:18" x14ac:dyDescent="0.2">
      <c r="A823" s="54">
        <v>521750</v>
      </c>
      <c r="B823" s="54" t="s">
        <v>994</v>
      </c>
      <c r="C823" s="55">
        <v>18</v>
      </c>
      <c r="D823" s="55">
        <v>88</v>
      </c>
      <c r="E823" s="55">
        <v>3</v>
      </c>
      <c r="F823" s="55">
        <v>59</v>
      </c>
      <c r="G823" s="55">
        <v>59</v>
      </c>
      <c r="H823" s="55">
        <v>59</v>
      </c>
      <c r="I823" s="55">
        <v>0.67</v>
      </c>
      <c r="J823" s="55">
        <v>0.67</v>
      </c>
      <c r="K823" s="55">
        <v>0.67</v>
      </c>
      <c r="L823" s="55">
        <v>0</v>
      </c>
      <c r="M823" s="54" t="str">
        <f t="shared" si="63"/>
        <v>0-6 Months</v>
      </c>
      <c r="N823" s="54" t="str">
        <f t="shared" si="64"/>
        <v>12-18 Months</v>
      </c>
      <c r="O823" s="54" t="s">
        <v>7</v>
      </c>
      <c r="P823" s="54">
        <f t="shared" si="60"/>
        <v>0</v>
      </c>
      <c r="Q823">
        <f t="shared" si="61"/>
        <v>0</v>
      </c>
      <c r="R823">
        <f t="shared" si="62"/>
        <v>0</v>
      </c>
    </row>
    <row r="824" spans="1:18" x14ac:dyDescent="0.2">
      <c r="A824" s="54">
        <v>183838</v>
      </c>
      <c r="B824" s="54" t="s">
        <v>1001</v>
      </c>
      <c r="C824" s="55">
        <v>19</v>
      </c>
      <c r="D824" s="55">
        <v>115</v>
      </c>
      <c r="E824" s="55">
        <v>3</v>
      </c>
      <c r="F824" s="55">
        <v>35</v>
      </c>
      <c r="G824" s="55">
        <v>35</v>
      </c>
      <c r="H824" s="55">
        <v>35</v>
      </c>
      <c r="I824" s="55">
        <v>0.3</v>
      </c>
      <c r="J824" s="55">
        <v>0.3</v>
      </c>
      <c r="K824" s="55">
        <v>0.3</v>
      </c>
      <c r="L824" s="55">
        <v>30</v>
      </c>
      <c r="M824" s="54" t="str">
        <f t="shared" si="63"/>
        <v>0-6 Months</v>
      </c>
      <c r="N824" s="54" t="str">
        <f t="shared" si="64"/>
        <v>12-18 Months</v>
      </c>
      <c r="O824" s="54" t="s">
        <v>6</v>
      </c>
      <c r="P824" s="54">
        <f t="shared" si="60"/>
        <v>0</v>
      </c>
      <c r="Q824">
        <f t="shared" si="61"/>
        <v>0</v>
      </c>
      <c r="R824">
        <f t="shared" si="62"/>
        <v>0</v>
      </c>
    </row>
    <row r="825" spans="1:18" x14ac:dyDescent="0.2">
      <c r="A825" s="54">
        <v>216488</v>
      </c>
      <c r="B825" s="54" t="s">
        <v>1000</v>
      </c>
      <c r="C825" s="55">
        <v>19</v>
      </c>
      <c r="D825" s="55">
        <v>17</v>
      </c>
      <c r="E825" s="55">
        <v>3</v>
      </c>
      <c r="F825" s="55">
        <v>5</v>
      </c>
      <c r="G825" s="55">
        <v>5</v>
      </c>
      <c r="H825" s="55">
        <v>5</v>
      </c>
      <c r="I825" s="55">
        <v>0.28999999999999998</v>
      </c>
      <c r="J825" s="55">
        <v>0.28999999999999998</v>
      </c>
      <c r="K825" s="55">
        <v>0.28999999999999998</v>
      </c>
      <c r="L825" s="55">
        <v>7</v>
      </c>
      <c r="M825" s="54" t="str">
        <f t="shared" si="63"/>
        <v>0-6 Months</v>
      </c>
      <c r="N825" s="54" t="str">
        <f t="shared" si="64"/>
        <v>12-18 Months</v>
      </c>
      <c r="O825" s="54" t="s">
        <v>7</v>
      </c>
      <c r="P825" s="54">
        <f t="shared" si="60"/>
        <v>0</v>
      </c>
      <c r="Q825">
        <f t="shared" si="61"/>
        <v>0</v>
      </c>
      <c r="R825">
        <f t="shared" si="62"/>
        <v>0</v>
      </c>
    </row>
    <row r="826" spans="1:18" x14ac:dyDescent="0.2">
      <c r="A826" s="54">
        <v>129372</v>
      </c>
      <c r="B826" s="54" t="s">
        <v>1012</v>
      </c>
      <c r="C826" s="55">
        <v>20</v>
      </c>
      <c r="D826" s="55">
        <v>17</v>
      </c>
      <c r="E826" s="55">
        <v>3</v>
      </c>
      <c r="F826" s="55">
        <v>0</v>
      </c>
      <c r="G826" s="55">
        <v>0</v>
      </c>
      <c r="H826" s="55">
        <v>0</v>
      </c>
      <c r="I826" s="55">
        <v>0</v>
      </c>
      <c r="J826" s="55">
        <v>0</v>
      </c>
      <c r="K826" s="55">
        <v>0</v>
      </c>
      <c r="L826" s="55">
        <v>0</v>
      </c>
      <c r="M826" s="54" t="str">
        <f t="shared" si="63"/>
        <v>0-6 Months</v>
      </c>
      <c r="N826" s="54" t="str">
        <f t="shared" si="64"/>
        <v>12-18 Months</v>
      </c>
      <c r="O826" s="54" t="s">
        <v>7</v>
      </c>
      <c r="P826" s="54">
        <f t="shared" si="60"/>
        <v>0</v>
      </c>
      <c r="Q826">
        <f t="shared" si="61"/>
        <v>0</v>
      </c>
      <c r="R826">
        <f t="shared" si="62"/>
        <v>0</v>
      </c>
    </row>
    <row r="827" spans="1:18" x14ac:dyDescent="0.2">
      <c r="A827" s="54">
        <v>140147</v>
      </c>
      <c r="B827" s="54" t="s">
        <v>1008</v>
      </c>
      <c r="C827" s="55">
        <v>20</v>
      </c>
      <c r="D827" s="55">
        <v>30</v>
      </c>
      <c r="E827" s="55">
        <v>3</v>
      </c>
      <c r="F827" s="55">
        <v>0</v>
      </c>
      <c r="G827" s="55">
        <v>0</v>
      </c>
      <c r="H827" s="55">
        <v>0</v>
      </c>
      <c r="I827" s="55">
        <v>0</v>
      </c>
      <c r="J827" s="55">
        <v>0</v>
      </c>
      <c r="K827" s="55">
        <v>0</v>
      </c>
      <c r="L827" s="55">
        <v>0</v>
      </c>
      <c r="M827" s="54" t="str">
        <f t="shared" si="63"/>
        <v>0-6 Months</v>
      </c>
      <c r="N827" s="54" t="str">
        <f t="shared" si="64"/>
        <v>12-18 Months</v>
      </c>
      <c r="O827" s="54" t="s">
        <v>7</v>
      </c>
      <c r="P827" s="54">
        <f t="shared" si="60"/>
        <v>0</v>
      </c>
      <c r="Q827">
        <f t="shared" si="61"/>
        <v>0</v>
      </c>
      <c r="R827">
        <f t="shared" si="62"/>
        <v>0</v>
      </c>
    </row>
    <row r="828" spans="1:18" x14ac:dyDescent="0.2">
      <c r="A828" s="54">
        <v>198111</v>
      </c>
      <c r="B828" s="54" t="s">
        <v>1011</v>
      </c>
      <c r="C828" s="55">
        <v>20</v>
      </c>
      <c r="D828" s="55">
        <v>20</v>
      </c>
      <c r="E828" s="55">
        <v>3</v>
      </c>
      <c r="F828" s="55">
        <v>5</v>
      </c>
      <c r="G828" s="55">
        <v>5</v>
      </c>
      <c r="H828" s="55">
        <v>5</v>
      </c>
      <c r="I828" s="55">
        <v>0.25</v>
      </c>
      <c r="J828" s="55">
        <v>0.25</v>
      </c>
      <c r="K828" s="55">
        <v>0.25</v>
      </c>
      <c r="L828" s="55">
        <v>0</v>
      </c>
      <c r="M828" s="54" t="str">
        <f t="shared" si="63"/>
        <v>0-6 Months</v>
      </c>
      <c r="N828" s="54" t="str">
        <f t="shared" si="64"/>
        <v>12-18 Months</v>
      </c>
      <c r="O828" s="54" t="s">
        <v>7</v>
      </c>
      <c r="P828" s="54">
        <f t="shared" si="60"/>
        <v>0</v>
      </c>
      <c r="Q828">
        <f t="shared" si="61"/>
        <v>0</v>
      </c>
      <c r="R828">
        <f t="shared" si="62"/>
        <v>0</v>
      </c>
    </row>
    <row r="829" spans="1:18" x14ac:dyDescent="0.2">
      <c r="A829" s="54">
        <v>239968</v>
      </c>
      <c r="B829" s="54" t="s">
        <v>1010</v>
      </c>
      <c r="C829" s="55">
        <v>20</v>
      </c>
      <c r="D829" s="55">
        <v>25</v>
      </c>
      <c r="E829" s="55">
        <v>3</v>
      </c>
      <c r="F829" s="55">
        <v>0</v>
      </c>
      <c r="G829" s="55">
        <v>0</v>
      </c>
      <c r="H829" s="55">
        <v>0</v>
      </c>
      <c r="I829" s="55">
        <v>0</v>
      </c>
      <c r="J829" s="55">
        <v>0</v>
      </c>
      <c r="K829" s="55">
        <v>0</v>
      </c>
      <c r="L829" s="55">
        <v>0</v>
      </c>
      <c r="M829" s="54" t="str">
        <f t="shared" si="63"/>
        <v>0-6 Months</v>
      </c>
      <c r="N829" s="54" t="str">
        <f t="shared" si="64"/>
        <v>12-18 Months</v>
      </c>
      <c r="O829" s="54" t="s">
        <v>7</v>
      </c>
      <c r="P829" s="54">
        <f t="shared" si="60"/>
        <v>0</v>
      </c>
      <c r="Q829">
        <f t="shared" si="61"/>
        <v>0</v>
      </c>
      <c r="R829">
        <f t="shared" si="62"/>
        <v>0</v>
      </c>
    </row>
    <row r="830" spans="1:18" x14ac:dyDescent="0.2">
      <c r="A830" s="54">
        <v>470991</v>
      </c>
      <c r="B830" s="54" t="s">
        <v>1009</v>
      </c>
      <c r="C830" s="55">
        <v>20</v>
      </c>
      <c r="D830" s="55">
        <v>15</v>
      </c>
      <c r="E830" s="55">
        <v>3</v>
      </c>
      <c r="F830" s="55">
        <v>0</v>
      </c>
      <c r="G830" s="55">
        <v>0</v>
      </c>
      <c r="H830" s="55">
        <v>0</v>
      </c>
      <c r="I830" s="55">
        <v>0</v>
      </c>
      <c r="J830" s="55">
        <v>0</v>
      </c>
      <c r="K830" s="55">
        <v>0</v>
      </c>
      <c r="L830" s="55">
        <v>0</v>
      </c>
      <c r="M830" s="54" t="str">
        <f t="shared" si="63"/>
        <v>0-6 Months</v>
      </c>
      <c r="N830" s="54" t="str">
        <f t="shared" si="64"/>
        <v>12-18 Months</v>
      </c>
      <c r="O830" s="54" t="s">
        <v>7</v>
      </c>
      <c r="P830" s="54">
        <f t="shared" si="60"/>
        <v>0</v>
      </c>
      <c r="Q830">
        <f t="shared" si="61"/>
        <v>0</v>
      </c>
      <c r="R830">
        <f t="shared" si="62"/>
        <v>0</v>
      </c>
    </row>
    <row r="831" spans="1:18" x14ac:dyDescent="0.2">
      <c r="A831" s="54">
        <v>315562</v>
      </c>
      <c r="B831" s="54" t="s">
        <v>1030</v>
      </c>
      <c r="C831" s="55">
        <v>22</v>
      </c>
      <c r="D831" s="55">
        <v>22</v>
      </c>
      <c r="E831" s="55">
        <v>3</v>
      </c>
      <c r="F831" s="55">
        <v>43</v>
      </c>
      <c r="G831" s="55">
        <v>43</v>
      </c>
      <c r="H831" s="55">
        <v>34</v>
      </c>
      <c r="I831" s="55">
        <v>1.95</v>
      </c>
      <c r="J831" s="55">
        <v>1.95</v>
      </c>
      <c r="K831" s="55">
        <v>1.55</v>
      </c>
      <c r="L831" s="55">
        <v>19</v>
      </c>
      <c r="M831" s="54" t="str">
        <f t="shared" si="63"/>
        <v>0-6 Months</v>
      </c>
      <c r="N831" s="54" t="str">
        <f t="shared" si="64"/>
        <v>12-18 Months</v>
      </c>
      <c r="O831" s="54" t="s">
        <v>7</v>
      </c>
      <c r="P831" s="54">
        <f t="shared" si="60"/>
        <v>22</v>
      </c>
      <c r="Q831">
        <f t="shared" si="61"/>
        <v>0</v>
      </c>
      <c r="R831">
        <f t="shared" si="62"/>
        <v>22</v>
      </c>
    </row>
    <row r="832" spans="1:18" x14ac:dyDescent="0.2">
      <c r="A832" s="54">
        <v>452370</v>
      </c>
      <c r="B832" s="54" t="s">
        <v>1035</v>
      </c>
      <c r="C832" s="55">
        <v>23</v>
      </c>
      <c r="D832" s="55">
        <v>20</v>
      </c>
      <c r="E832" s="55">
        <v>3</v>
      </c>
      <c r="F832" s="55">
        <v>0</v>
      </c>
      <c r="G832" s="55">
        <v>0</v>
      </c>
      <c r="H832" s="55">
        <v>0</v>
      </c>
      <c r="I832" s="55">
        <v>0</v>
      </c>
      <c r="J832" s="55">
        <v>0</v>
      </c>
      <c r="K832" s="55">
        <v>0</v>
      </c>
      <c r="L832" s="55">
        <v>0</v>
      </c>
      <c r="M832" s="54" t="str">
        <f t="shared" si="63"/>
        <v>0-6 Months</v>
      </c>
      <c r="N832" s="54" t="str">
        <f t="shared" si="64"/>
        <v>12-18 Months</v>
      </c>
      <c r="O832" s="54" t="s">
        <v>7</v>
      </c>
      <c r="P832" s="54">
        <f t="shared" si="60"/>
        <v>0</v>
      </c>
      <c r="Q832">
        <f t="shared" si="61"/>
        <v>0</v>
      </c>
      <c r="R832">
        <f t="shared" si="62"/>
        <v>0</v>
      </c>
    </row>
    <row r="833" spans="1:18" x14ac:dyDescent="0.2">
      <c r="A833" s="54">
        <v>459792</v>
      </c>
      <c r="B833" s="54" t="s">
        <v>1034</v>
      </c>
      <c r="C833" s="55">
        <v>23</v>
      </c>
      <c r="D833" s="55">
        <v>20</v>
      </c>
      <c r="E833" s="55">
        <v>3</v>
      </c>
      <c r="F833" s="55">
        <v>0</v>
      </c>
      <c r="G833" s="55">
        <v>0</v>
      </c>
      <c r="H833" s="55">
        <v>0</v>
      </c>
      <c r="I833" s="55">
        <v>0</v>
      </c>
      <c r="J833" s="55">
        <v>0</v>
      </c>
      <c r="K833" s="55">
        <v>0</v>
      </c>
      <c r="L833" s="55">
        <v>0</v>
      </c>
      <c r="M833" s="54" t="str">
        <f t="shared" si="63"/>
        <v>0-6 Months</v>
      </c>
      <c r="N833" s="54" t="str">
        <f t="shared" si="64"/>
        <v>12-18 Months</v>
      </c>
      <c r="O833" s="54" t="s">
        <v>7</v>
      </c>
      <c r="P833" s="54">
        <f t="shared" si="60"/>
        <v>0</v>
      </c>
      <c r="Q833">
        <f t="shared" si="61"/>
        <v>0</v>
      </c>
      <c r="R833">
        <f t="shared" si="62"/>
        <v>0</v>
      </c>
    </row>
    <row r="834" spans="1:18" x14ac:dyDescent="0.2">
      <c r="A834" s="54">
        <v>413118</v>
      </c>
      <c r="B834" s="54" t="s">
        <v>1040</v>
      </c>
      <c r="C834" s="55">
        <v>24</v>
      </c>
      <c r="D834" s="55">
        <v>24</v>
      </c>
      <c r="E834" s="55">
        <v>3</v>
      </c>
      <c r="F834" s="55">
        <v>4</v>
      </c>
      <c r="G834" s="55">
        <v>4</v>
      </c>
      <c r="H834" s="55">
        <v>4</v>
      </c>
      <c r="I834" s="55">
        <v>0.17</v>
      </c>
      <c r="J834" s="55">
        <v>0.17</v>
      </c>
      <c r="K834" s="55">
        <v>0.17</v>
      </c>
      <c r="L834" s="55">
        <v>0</v>
      </c>
      <c r="M834" s="54" t="str">
        <f t="shared" si="63"/>
        <v>0-6 Months</v>
      </c>
      <c r="N834" s="54" t="str">
        <f t="shared" si="64"/>
        <v>12-18 Months</v>
      </c>
      <c r="O834" s="54" t="s">
        <v>7</v>
      </c>
      <c r="P834" s="54">
        <f t="shared" ref="P834:P897" si="65">IF(I834&gt;=2, C834, IF(J834&gt;=0.75, C834, 0))</f>
        <v>0</v>
      </c>
      <c r="Q834">
        <f t="shared" ref="Q834:Q897" si="66">IF(I834&gt;=2, C834, IF(AND(J834&gt;=0.75, D834&gt;=550), C834, 0))</f>
        <v>0</v>
      </c>
      <c r="R834">
        <f t="shared" ref="R834:R897" si="67">IF(J834&gt;=0.75, C834, 0)</f>
        <v>0</v>
      </c>
    </row>
    <row r="835" spans="1:18" x14ac:dyDescent="0.2">
      <c r="A835" s="54">
        <v>107826</v>
      </c>
      <c r="B835" s="54" t="s">
        <v>1044</v>
      </c>
      <c r="C835" s="55">
        <v>25</v>
      </c>
      <c r="D835" s="55">
        <v>1150</v>
      </c>
      <c r="E835" s="55">
        <v>3</v>
      </c>
      <c r="F835" s="55">
        <v>218</v>
      </c>
      <c r="G835" s="55">
        <v>218</v>
      </c>
      <c r="H835" s="55">
        <v>218</v>
      </c>
      <c r="I835" s="55">
        <v>0.19</v>
      </c>
      <c r="J835" s="55">
        <v>0.19</v>
      </c>
      <c r="K835" s="55">
        <v>0.19</v>
      </c>
      <c r="L835" s="55">
        <v>26</v>
      </c>
      <c r="M835" s="54" t="str">
        <f t="shared" ref="M835:M898" si="68">IF(E835&lt;6,"0-6 Months", IF(E835&lt;13, "6-12 Months", IF(E835&lt;19, "12-24 Months", IF(E835&lt;25, "12-24 Months", "24+ Months"))))</f>
        <v>0-6 Months</v>
      </c>
      <c r="N835" s="54" t="str">
        <f t="shared" ref="N835:N898" si="69">IF(E835&lt;6,"12-18 Months", IF(E835&lt;13, "18-24 Months", "24+ Months"))</f>
        <v>12-18 Months</v>
      </c>
      <c r="O835" s="54" t="s">
        <v>5</v>
      </c>
      <c r="P835" s="54">
        <f t="shared" si="65"/>
        <v>0</v>
      </c>
      <c r="Q835">
        <f t="shared" si="66"/>
        <v>0</v>
      </c>
      <c r="R835">
        <f t="shared" si="67"/>
        <v>0</v>
      </c>
    </row>
    <row r="836" spans="1:18" x14ac:dyDescent="0.2">
      <c r="A836" s="54">
        <v>113326</v>
      </c>
      <c r="B836" s="54" t="s">
        <v>1045</v>
      </c>
      <c r="C836" s="55">
        <v>25</v>
      </c>
      <c r="D836" s="55">
        <v>22</v>
      </c>
      <c r="E836" s="55">
        <v>3</v>
      </c>
      <c r="F836" s="55">
        <v>8</v>
      </c>
      <c r="G836" s="55">
        <v>8</v>
      </c>
      <c r="H836" s="55">
        <v>8</v>
      </c>
      <c r="I836" s="55">
        <v>0.36</v>
      </c>
      <c r="J836" s="55">
        <v>0.36</v>
      </c>
      <c r="K836" s="55">
        <v>0.36</v>
      </c>
      <c r="L836" s="55">
        <v>1</v>
      </c>
      <c r="M836" s="54" t="str">
        <f t="shared" si="68"/>
        <v>0-6 Months</v>
      </c>
      <c r="N836" s="54" t="str">
        <f t="shared" si="69"/>
        <v>12-18 Months</v>
      </c>
      <c r="O836" s="54" t="s">
        <v>7</v>
      </c>
      <c r="P836" s="54">
        <f t="shared" si="65"/>
        <v>0</v>
      </c>
      <c r="Q836">
        <f t="shared" si="66"/>
        <v>0</v>
      </c>
      <c r="R836">
        <f t="shared" si="67"/>
        <v>0</v>
      </c>
    </row>
    <row r="837" spans="1:18" x14ac:dyDescent="0.2">
      <c r="A837" s="54">
        <v>125102</v>
      </c>
      <c r="B837" s="54" t="s">
        <v>1046</v>
      </c>
      <c r="C837" s="55">
        <v>25</v>
      </c>
      <c r="D837" s="55">
        <v>25</v>
      </c>
      <c r="E837" s="55">
        <v>3</v>
      </c>
      <c r="F837" s="55">
        <v>4</v>
      </c>
      <c r="G837" s="55">
        <v>4</v>
      </c>
      <c r="H837" s="55">
        <v>4</v>
      </c>
      <c r="I837" s="55">
        <v>0.16</v>
      </c>
      <c r="J837" s="55">
        <v>0.16</v>
      </c>
      <c r="K837" s="55">
        <v>0.16</v>
      </c>
      <c r="L837" s="55">
        <v>0</v>
      </c>
      <c r="M837" s="54" t="str">
        <f t="shared" si="68"/>
        <v>0-6 Months</v>
      </c>
      <c r="N837" s="54" t="str">
        <f t="shared" si="69"/>
        <v>12-18 Months</v>
      </c>
      <c r="O837" s="54" t="s">
        <v>7</v>
      </c>
      <c r="P837" s="54">
        <f t="shared" si="65"/>
        <v>0</v>
      </c>
      <c r="Q837">
        <f t="shared" si="66"/>
        <v>0</v>
      </c>
      <c r="R837">
        <f t="shared" si="67"/>
        <v>0</v>
      </c>
    </row>
    <row r="838" spans="1:18" x14ac:dyDescent="0.2">
      <c r="A838" s="54">
        <v>451573</v>
      </c>
      <c r="B838" s="54" t="s">
        <v>1043</v>
      </c>
      <c r="C838" s="55">
        <v>25</v>
      </c>
      <c r="D838" s="55">
        <v>25</v>
      </c>
      <c r="E838" s="55">
        <v>3</v>
      </c>
      <c r="F838" s="55">
        <v>0</v>
      </c>
      <c r="G838" s="55">
        <v>0</v>
      </c>
      <c r="H838" s="55">
        <v>0</v>
      </c>
      <c r="I838" s="55">
        <v>0</v>
      </c>
      <c r="J838" s="55">
        <v>0</v>
      </c>
      <c r="K838" s="55">
        <v>0</v>
      </c>
      <c r="L838" s="55">
        <v>0</v>
      </c>
      <c r="M838" s="54" t="str">
        <f t="shared" si="68"/>
        <v>0-6 Months</v>
      </c>
      <c r="N838" s="54" t="str">
        <f t="shared" si="69"/>
        <v>12-18 Months</v>
      </c>
      <c r="O838" s="54" t="s">
        <v>7</v>
      </c>
      <c r="P838" s="54">
        <f t="shared" si="65"/>
        <v>0</v>
      </c>
      <c r="Q838">
        <f t="shared" si="66"/>
        <v>0</v>
      </c>
      <c r="R838">
        <f t="shared" si="67"/>
        <v>0</v>
      </c>
    </row>
    <row r="839" spans="1:18" x14ac:dyDescent="0.2">
      <c r="A839" s="54">
        <v>187291</v>
      </c>
      <c r="B839" s="54" t="s">
        <v>1070</v>
      </c>
      <c r="C839" s="55">
        <v>29</v>
      </c>
      <c r="D839" s="55">
        <v>29</v>
      </c>
      <c r="E839" s="55">
        <v>3</v>
      </c>
      <c r="F839" s="55">
        <v>0</v>
      </c>
      <c r="G839" s="55">
        <v>0</v>
      </c>
      <c r="H839" s="55">
        <v>0</v>
      </c>
      <c r="I839" s="55">
        <v>0</v>
      </c>
      <c r="J839" s="55">
        <v>0</v>
      </c>
      <c r="K839" s="55">
        <v>0</v>
      </c>
      <c r="L839" s="55">
        <v>0</v>
      </c>
      <c r="M839" s="54" t="str">
        <f t="shared" si="68"/>
        <v>0-6 Months</v>
      </c>
      <c r="N839" s="54" t="str">
        <f t="shared" si="69"/>
        <v>12-18 Months</v>
      </c>
      <c r="O839" s="54" t="s">
        <v>7</v>
      </c>
      <c r="P839" s="54">
        <f t="shared" si="65"/>
        <v>0</v>
      </c>
      <c r="Q839">
        <f t="shared" si="66"/>
        <v>0</v>
      </c>
      <c r="R839">
        <f t="shared" si="67"/>
        <v>0</v>
      </c>
    </row>
    <row r="840" spans="1:18" x14ac:dyDescent="0.2">
      <c r="A840" s="54">
        <v>190854</v>
      </c>
      <c r="B840" s="54" t="s">
        <v>1071</v>
      </c>
      <c r="C840" s="55">
        <v>29</v>
      </c>
      <c r="D840" s="55">
        <v>20</v>
      </c>
      <c r="E840" s="55">
        <v>3</v>
      </c>
      <c r="F840" s="55">
        <v>3</v>
      </c>
      <c r="G840" s="55">
        <v>3</v>
      </c>
      <c r="H840" s="55">
        <v>3</v>
      </c>
      <c r="I840" s="55">
        <v>0.15</v>
      </c>
      <c r="J840" s="55">
        <v>0.15</v>
      </c>
      <c r="K840" s="55">
        <v>0.15</v>
      </c>
      <c r="L840" s="55">
        <v>0</v>
      </c>
      <c r="M840" s="54" t="str">
        <f t="shared" si="68"/>
        <v>0-6 Months</v>
      </c>
      <c r="N840" s="54" t="str">
        <f t="shared" si="69"/>
        <v>12-18 Months</v>
      </c>
      <c r="O840" s="54" t="s">
        <v>7</v>
      </c>
      <c r="P840" s="54">
        <f t="shared" si="65"/>
        <v>0</v>
      </c>
      <c r="Q840">
        <f t="shared" si="66"/>
        <v>0</v>
      </c>
      <c r="R840">
        <f t="shared" si="67"/>
        <v>0</v>
      </c>
    </row>
    <row r="841" spans="1:18" x14ac:dyDescent="0.2">
      <c r="A841" s="54">
        <v>228826</v>
      </c>
      <c r="B841" s="54" t="s">
        <v>1082</v>
      </c>
      <c r="C841" s="55">
        <v>30</v>
      </c>
      <c r="D841" s="55">
        <v>30</v>
      </c>
      <c r="E841" s="55">
        <v>3</v>
      </c>
      <c r="F841" s="55">
        <v>16</v>
      </c>
      <c r="G841" s="55">
        <v>16</v>
      </c>
      <c r="H841" s="55">
        <v>9</v>
      </c>
      <c r="I841" s="55">
        <v>0.53</v>
      </c>
      <c r="J841" s="55">
        <v>0.53</v>
      </c>
      <c r="K841" s="55">
        <v>0.3</v>
      </c>
      <c r="L841" s="55">
        <v>2</v>
      </c>
      <c r="M841" s="54" t="str">
        <f t="shared" si="68"/>
        <v>0-6 Months</v>
      </c>
      <c r="N841" s="54" t="str">
        <f t="shared" si="69"/>
        <v>12-18 Months</v>
      </c>
      <c r="O841" s="54" t="s">
        <v>7</v>
      </c>
      <c r="P841" s="54">
        <f t="shared" si="65"/>
        <v>0</v>
      </c>
      <c r="Q841">
        <f t="shared" si="66"/>
        <v>0</v>
      </c>
      <c r="R841">
        <f t="shared" si="67"/>
        <v>0</v>
      </c>
    </row>
    <row r="842" spans="1:18" x14ac:dyDescent="0.2">
      <c r="A842" s="54">
        <v>109969</v>
      </c>
      <c r="B842" s="54" t="s">
        <v>1092</v>
      </c>
      <c r="C842" s="55">
        <v>32</v>
      </c>
      <c r="D842" s="55">
        <v>21</v>
      </c>
      <c r="E842" s="55">
        <v>3</v>
      </c>
      <c r="F842" s="55">
        <v>5</v>
      </c>
      <c r="G842" s="55">
        <v>5</v>
      </c>
      <c r="H842" s="55">
        <v>5</v>
      </c>
      <c r="I842" s="55">
        <v>0.24</v>
      </c>
      <c r="J842" s="55">
        <v>0.24</v>
      </c>
      <c r="K842" s="55">
        <v>0.24</v>
      </c>
      <c r="L842" s="55">
        <v>8</v>
      </c>
      <c r="M842" s="54" t="str">
        <f t="shared" si="68"/>
        <v>0-6 Months</v>
      </c>
      <c r="N842" s="54" t="str">
        <f t="shared" si="69"/>
        <v>12-18 Months</v>
      </c>
      <c r="O842" s="54" t="s">
        <v>7</v>
      </c>
      <c r="P842" s="54">
        <f t="shared" si="65"/>
        <v>0</v>
      </c>
      <c r="Q842">
        <f t="shared" si="66"/>
        <v>0</v>
      </c>
      <c r="R842">
        <f t="shared" si="67"/>
        <v>0</v>
      </c>
    </row>
    <row r="843" spans="1:18" x14ac:dyDescent="0.2">
      <c r="A843" s="54">
        <v>114954</v>
      </c>
      <c r="B843" s="54" t="s">
        <v>1093</v>
      </c>
      <c r="C843" s="55">
        <v>32</v>
      </c>
      <c r="D843" s="55">
        <v>32</v>
      </c>
      <c r="E843" s="55">
        <v>3</v>
      </c>
      <c r="F843" s="55">
        <v>29</v>
      </c>
      <c r="G843" s="55">
        <v>29</v>
      </c>
      <c r="H843" s="55">
        <v>29</v>
      </c>
      <c r="I843" s="55">
        <v>0.91</v>
      </c>
      <c r="J843" s="55">
        <v>0.91</v>
      </c>
      <c r="K843" s="55">
        <v>0.91</v>
      </c>
      <c r="L843" s="55">
        <v>11</v>
      </c>
      <c r="M843" s="54" t="str">
        <f t="shared" si="68"/>
        <v>0-6 Months</v>
      </c>
      <c r="N843" s="54" t="str">
        <f t="shared" si="69"/>
        <v>12-18 Months</v>
      </c>
      <c r="O843" s="54" t="s">
        <v>7</v>
      </c>
      <c r="P843" s="54">
        <f t="shared" si="65"/>
        <v>32</v>
      </c>
      <c r="Q843">
        <f t="shared" si="66"/>
        <v>0</v>
      </c>
      <c r="R843">
        <f t="shared" si="67"/>
        <v>32</v>
      </c>
    </row>
    <row r="844" spans="1:18" x14ac:dyDescent="0.2">
      <c r="A844" s="54">
        <v>327790</v>
      </c>
      <c r="B844" s="54" t="s">
        <v>1094</v>
      </c>
      <c r="C844" s="55">
        <v>32</v>
      </c>
      <c r="D844" s="55">
        <v>32</v>
      </c>
      <c r="E844" s="55">
        <v>3</v>
      </c>
      <c r="F844" s="55">
        <v>62</v>
      </c>
      <c r="G844" s="55">
        <v>41</v>
      </c>
      <c r="H844" s="55">
        <v>41</v>
      </c>
      <c r="I844" s="55">
        <v>1.94</v>
      </c>
      <c r="J844" s="55">
        <v>1.28</v>
      </c>
      <c r="K844" s="55">
        <v>1.28</v>
      </c>
      <c r="L844" s="55">
        <v>34</v>
      </c>
      <c r="M844" s="54" t="str">
        <f t="shared" si="68"/>
        <v>0-6 Months</v>
      </c>
      <c r="N844" s="54" t="str">
        <f t="shared" si="69"/>
        <v>12-18 Months</v>
      </c>
      <c r="O844" s="54" t="s">
        <v>7</v>
      </c>
      <c r="P844" s="54">
        <f t="shared" si="65"/>
        <v>32</v>
      </c>
      <c r="Q844">
        <f t="shared" si="66"/>
        <v>0</v>
      </c>
      <c r="R844">
        <f t="shared" si="67"/>
        <v>32</v>
      </c>
    </row>
    <row r="845" spans="1:18" x14ac:dyDescent="0.2">
      <c r="A845" s="54">
        <v>108005</v>
      </c>
      <c r="B845" s="54" t="s">
        <v>1105</v>
      </c>
      <c r="C845" s="55">
        <v>34</v>
      </c>
      <c r="D845" s="55">
        <v>15</v>
      </c>
      <c r="E845" s="55">
        <v>3</v>
      </c>
      <c r="F845" s="55">
        <v>8</v>
      </c>
      <c r="G845" s="55">
        <v>8</v>
      </c>
      <c r="H845" s="55">
        <v>8</v>
      </c>
      <c r="I845" s="55">
        <v>0.53</v>
      </c>
      <c r="J845" s="55">
        <v>0.53</v>
      </c>
      <c r="K845" s="55">
        <v>0.53</v>
      </c>
      <c r="L845" s="55">
        <v>0</v>
      </c>
      <c r="M845" s="54" t="str">
        <f t="shared" si="68"/>
        <v>0-6 Months</v>
      </c>
      <c r="N845" s="54" t="str">
        <f t="shared" si="69"/>
        <v>12-18 Months</v>
      </c>
      <c r="O845" s="54" t="s">
        <v>7</v>
      </c>
      <c r="P845" s="54">
        <f t="shared" si="65"/>
        <v>0</v>
      </c>
      <c r="Q845">
        <f t="shared" si="66"/>
        <v>0</v>
      </c>
      <c r="R845">
        <f t="shared" si="67"/>
        <v>0</v>
      </c>
    </row>
    <row r="846" spans="1:18" x14ac:dyDescent="0.2">
      <c r="A846" s="54">
        <v>453249</v>
      </c>
      <c r="B846" s="54" t="s">
        <v>1104</v>
      </c>
      <c r="C846" s="55">
        <v>34</v>
      </c>
      <c r="D846" s="55">
        <v>41</v>
      </c>
      <c r="E846" s="55">
        <v>3</v>
      </c>
      <c r="F846" s="55">
        <v>11</v>
      </c>
      <c r="G846" s="55">
        <v>11</v>
      </c>
      <c r="H846" s="55">
        <v>11</v>
      </c>
      <c r="I846" s="55">
        <v>0.27</v>
      </c>
      <c r="J846" s="55">
        <v>0.27</v>
      </c>
      <c r="K846" s="55">
        <v>0.27</v>
      </c>
      <c r="L846" s="55">
        <v>17</v>
      </c>
      <c r="M846" s="54" t="str">
        <f t="shared" si="68"/>
        <v>0-6 Months</v>
      </c>
      <c r="N846" s="54" t="str">
        <f t="shared" si="69"/>
        <v>12-18 Months</v>
      </c>
      <c r="O846" s="54" t="s">
        <v>7</v>
      </c>
      <c r="P846" s="54">
        <f t="shared" si="65"/>
        <v>0</v>
      </c>
      <c r="Q846">
        <f t="shared" si="66"/>
        <v>0</v>
      </c>
      <c r="R846">
        <f t="shared" si="67"/>
        <v>0</v>
      </c>
    </row>
    <row r="847" spans="1:18" x14ac:dyDescent="0.2">
      <c r="A847" s="54">
        <v>106657</v>
      </c>
      <c r="B847" s="54" t="s">
        <v>1127</v>
      </c>
      <c r="C847" s="55">
        <v>40</v>
      </c>
      <c r="D847" s="55">
        <v>40</v>
      </c>
      <c r="E847" s="55">
        <v>3</v>
      </c>
      <c r="F847" s="55">
        <v>2</v>
      </c>
      <c r="G847" s="55">
        <v>2</v>
      </c>
      <c r="H847" s="55">
        <v>2</v>
      </c>
      <c r="I847" s="55">
        <v>0.05</v>
      </c>
      <c r="J847" s="55">
        <v>0.05</v>
      </c>
      <c r="K847" s="55">
        <v>0.05</v>
      </c>
      <c r="L847" s="55">
        <v>0</v>
      </c>
      <c r="M847" s="54" t="str">
        <f t="shared" si="68"/>
        <v>0-6 Months</v>
      </c>
      <c r="N847" s="54" t="str">
        <f t="shared" si="69"/>
        <v>12-18 Months</v>
      </c>
      <c r="O847" s="54" t="s">
        <v>7</v>
      </c>
      <c r="P847" s="54">
        <f t="shared" si="65"/>
        <v>0</v>
      </c>
      <c r="Q847">
        <f t="shared" si="66"/>
        <v>0</v>
      </c>
      <c r="R847">
        <f t="shared" si="67"/>
        <v>0</v>
      </c>
    </row>
    <row r="848" spans="1:18" x14ac:dyDescent="0.2">
      <c r="A848" s="54">
        <v>303269</v>
      </c>
      <c r="B848" s="54" t="s">
        <v>1150</v>
      </c>
      <c r="C848" s="55">
        <v>52</v>
      </c>
      <c r="D848" s="55">
        <v>52</v>
      </c>
      <c r="E848" s="55">
        <v>3</v>
      </c>
      <c r="F848" s="55">
        <v>274</v>
      </c>
      <c r="G848" s="55">
        <v>274</v>
      </c>
      <c r="H848" s="55">
        <v>274</v>
      </c>
      <c r="I848" s="55">
        <v>5.27</v>
      </c>
      <c r="J848" s="55">
        <v>5.27</v>
      </c>
      <c r="K848" s="55">
        <v>5.27</v>
      </c>
      <c r="L848" s="55">
        <v>45</v>
      </c>
      <c r="M848" s="54" t="str">
        <f t="shared" si="68"/>
        <v>0-6 Months</v>
      </c>
      <c r="N848" s="54" t="str">
        <f t="shared" si="69"/>
        <v>12-18 Months</v>
      </c>
      <c r="O848" s="54" t="s">
        <v>7</v>
      </c>
      <c r="P848" s="54">
        <f t="shared" si="65"/>
        <v>52</v>
      </c>
      <c r="Q848">
        <f t="shared" si="66"/>
        <v>52</v>
      </c>
      <c r="R848">
        <f t="shared" si="67"/>
        <v>52</v>
      </c>
    </row>
    <row r="849" spans="1:18" x14ac:dyDescent="0.2">
      <c r="A849" s="54">
        <v>109007</v>
      </c>
      <c r="B849" s="54" t="s">
        <v>1154</v>
      </c>
      <c r="C849" s="55">
        <v>54</v>
      </c>
      <c r="D849" s="55">
        <v>80</v>
      </c>
      <c r="E849" s="55">
        <v>3</v>
      </c>
      <c r="F849" s="55">
        <v>90</v>
      </c>
      <c r="G849" s="55">
        <v>66</v>
      </c>
      <c r="H849" s="55">
        <v>65</v>
      </c>
      <c r="I849" s="55">
        <v>1.1299999999999999</v>
      </c>
      <c r="J849" s="55">
        <v>0.83</v>
      </c>
      <c r="K849" s="55">
        <v>0.81</v>
      </c>
      <c r="L849" s="55">
        <v>7</v>
      </c>
      <c r="M849" s="54" t="str">
        <f t="shared" si="68"/>
        <v>0-6 Months</v>
      </c>
      <c r="N849" s="54" t="str">
        <f t="shared" si="69"/>
        <v>12-18 Months</v>
      </c>
      <c r="O849" s="54" t="s">
        <v>7</v>
      </c>
      <c r="P849" s="54">
        <f t="shared" si="65"/>
        <v>54</v>
      </c>
      <c r="Q849">
        <f t="shared" si="66"/>
        <v>0</v>
      </c>
      <c r="R849">
        <f t="shared" si="67"/>
        <v>54</v>
      </c>
    </row>
    <row r="850" spans="1:18" x14ac:dyDescent="0.2">
      <c r="A850" s="54">
        <v>132173</v>
      </c>
      <c r="B850" s="54" t="s">
        <v>1155</v>
      </c>
      <c r="C850" s="55">
        <v>54</v>
      </c>
      <c r="D850" s="55">
        <v>50</v>
      </c>
      <c r="E850" s="55">
        <v>3</v>
      </c>
      <c r="F850" s="55">
        <v>0</v>
      </c>
      <c r="G850" s="55">
        <v>0</v>
      </c>
      <c r="H850" s="55">
        <v>0</v>
      </c>
      <c r="I850" s="55">
        <v>0</v>
      </c>
      <c r="J850" s="55">
        <v>0</v>
      </c>
      <c r="K850" s="55">
        <v>0</v>
      </c>
      <c r="L850" s="55">
        <v>3</v>
      </c>
      <c r="M850" s="54" t="str">
        <f t="shared" si="68"/>
        <v>0-6 Months</v>
      </c>
      <c r="N850" s="54" t="str">
        <f t="shared" si="69"/>
        <v>12-18 Months</v>
      </c>
      <c r="O850" s="54" t="s">
        <v>7</v>
      </c>
      <c r="P850" s="54">
        <f t="shared" si="65"/>
        <v>0</v>
      </c>
      <c r="Q850">
        <f t="shared" si="66"/>
        <v>0</v>
      </c>
      <c r="R850">
        <f t="shared" si="67"/>
        <v>0</v>
      </c>
    </row>
    <row r="851" spans="1:18" x14ac:dyDescent="0.2">
      <c r="A851" s="54">
        <v>326007</v>
      </c>
      <c r="B851" s="54" t="s">
        <v>1168</v>
      </c>
      <c r="C851" s="55">
        <v>60</v>
      </c>
      <c r="D851" s="55">
        <v>60</v>
      </c>
      <c r="E851" s="55">
        <v>3</v>
      </c>
      <c r="F851" s="55">
        <v>149</v>
      </c>
      <c r="G851" s="55">
        <v>126</v>
      </c>
      <c r="H851" s="55">
        <v>126</v>
      </c>
      <c r="I851" s="55">
        <v>2.48</v>
      </c>
      <c r="J851" s="55">
        <v>2.1</v>
      </c>
      <c r="K851" s="55">
        <v>2.1</v>
      </c>
      <c r="L851" s="55">
        <v>3</v>
      </c>
      <c r="M851" s="54" t="str">
        <f t="shared" si="68"/>
        <v>0-6 Months</v>
      </c>
      <c r="N851" s="54" t="str">
        <f t="shared" si="69"/>
        <v>12-18 Months</v>
      </c>
      <c r="O851" s="54" t="s">
        <v>7</v>
      </c>
      <c r="P851" s="54">
        <f t="shared" si="65"/>
        <v>60</v>
      </c>
      <c r="Q851">
        <f t="shared" si="66"/>
        <v>60</v>
      </c>
      <c r="R851">
        <f t="shared" si="67"/>
        <v>60</v>
      </c>
    </row>
    <row r="852" spans="1:18" x14ac:dyDescent="0.2">
      <c r="A852" s="54">
        <v>112396</v>
      </c>
      <c r="B852" s="54" t="s">
        <v>1171</v>
      </c>
      <c r="C852" s="55">
        <v>61</v>
      </c>
      <c r="D852" s="55">
        <v>66</v>
      </c>
      <c r="E852" s="55">
        <v>3</v>
      </c>
      <c r="F852" s="55">
        <v>0</v>
      </c>
      <c r="G852" s="55">
        <v>0</v>
      </c>
      <c r="H852" s="55">
        <v>0</v>
      </c>
      <c r="I852" s="55">
        <v>0</v>
      </c>
      <c r="J852" s="55">
        <v>0</v>
      </c>
      <c r="K852" s="55">
        <v>0</v>
      </c>
      <c r="L852" s="55">
        <v>0</v>
      </c>
      <c r="M852" s="54" t="str">
        <f t="shared" si="68"/>
        <v>0-6 Months</v>
      </c>
      <c r="N852" s="54" t="str">
        <f t="shared" si="69"/>
        <v>12-18 Months</v>
      </c>
      <c r="O852" s="54" t="s">
        <v>7</v>
      </c>
      <c r="P852" s="54">
        <f t="shared" si="65"/>
        <v>0</v>
      </c>
      <c r="Q852">
        <f t="shared" si="66"/>
        <v>0</v>
      </c>
      <c r="R852">
        <f t="shared" si="67"/>
        <v>0</v>
      </c>
    </row>
    <row r="853" spans="1:18" x14ac:dyDescent="0.2">
      <c r="A853" s="54">
        <v>452353</v>
      </c>
      <c r="B853" s="54" t="s">
        <v>1176</v>
      </c>
      <c r="C853" s="55">
        <v>70</v>
      </c>
      <c r="D853" s="55">
        <v>75</v>
      </c>
      <c r="E853" s="55">
        <v>3</v>
      </c>
      <c r="F853" s="55">
        <v>124</v>
      </c>
      <c r="G853" s="55">
        <v>94</v>
      </c>
      <c r="H853" s="55">
        <v>94</v>
      </c>
      <c r="I853" s="55">
        <v>1.65</v>
      </c>
      <c r="J853" s="55">
        <v>1.25</v>
      </c>
      <c r="K853" s="55">
        <v>1.25</v>
      </c>
      <c r="L853" s="55">
        <v>0</v>
      </c>
      <c r="M853" s="54" t="str">
        <f t="shared" si="68"/>
        <v>0-6 Months</v>
      </c>
      <c r="N853" s="54" t="str">
        <f t="shared" si="69"/>
        <v>12-18 Months</v>
      </c>
      <c r="O853" s="54" t="s">
        <v>7</v>
      </c>
      <c r="P853" s="54">
        <f t="shared" si="65"/>
        <v>70</v>
      </c>
      <c r="Q853">
        <f t="shared" si="66"/>
        <v>0</v>
      </c>
      <c r="R853">
        <f t="shared" si="67"/>
        <v>70</v>
      </c>
    </row>
    <row r="854" spans="1:18" x14ac:dyDescent="0.2">
      <c r="A854" s="54">
        <v>157765</v>
      </c>
      <c r="B854" s="54" t="s">
        <v>1183</v>
      </c>
      <c r="C854" s="55">
        <v>72</v>
      </c>
      <c r="D854" s="55">
        <v>71</v>
      </c>
      <c r="E854" s="55">
        <v>3</v>
      </c>
      <c r="F854" s="55">
        <v>14</v>
      </c>
      <c r="G854" s="55">
        <v>14</v>
      </c>
      <c r="H854" s="55">
        <v>14</v>
      </c>
      <c r="I854" s="55">
        <v>0.2</v>
      </c>
      <c r="J854" s="55">
        <v>0.2</v>
      </c>
      <c r="K854" s="55">
        <v>0.2</v>
      </c>
      <c r="L854" s="55">
        <v>2</v>
      </c>
      <c r="M854" s="54" t="str">
        <f t="shared" si="68"/>
        <v>0-6 Months</v>
      </c>
      <c r="N854" s="54" t="str">
        <f t="shared" si="69"/>
        <v>12-18 Months</v>
      </c>
      <c r="O854" s="54" t="s">
        <v>7</v>
      </c>
      <c r="P854" s="54">
        <f t="shared" si="65"/>
        <v>0</v>
      </c>
      <c r="Q854">
        <f t="shared" si="66"/>
        <v>0</v>
      </c>
      <c r="R854">
        <f t="shared" si="67"/>
        <v>0</v>
      </c>
    </row>
    <row r="855" spans="1:18" x14ac:dyDescent="0.2">
      <c r="A855" s="54">
        <v>119729</v>
      </c>
      <c r="B855" s="54" t="s">
        <v>1195</v>
      </c>
      <c r="C855" s="55">
        <v>81</v>
      </c>
      <c r="D855" s="55">
        <v>70</v>
      </c>
      <c r="E855" s="55">
        <v>3</v>
      </c>
      <c r="F855" s="55">
        <v>0</v>
      </c>
      <c r="G855" s="55">
        <v>0</v>
      </c>
      <c r="H855" s="55">
        <v>0</v>
      </c>
      <c r="I855" s="55">
        <v>0</v>
      </c>
      <c r="J855" s="55">
        <v>0</v>
      </c>
      <c r="K855" s="55">
        <v>0</v>
      </c>
      <c r="L855" s="55">
        <v>0</v>
      </c>
      <c r="M855" s="54" t="str">
        <f t="shared" si="68"/>
        <v>0-6 Months</v>
      </c>
      <c r="N855" s="54" t="str">
        <f t="shared" si="69"/>
        <v>12-18 Months</v>
      </c>
      <c r="O855" s="54" t="s">
        <v>7</v>
      </c>
      <c r="P855" s="54">
        <f t="shared" si="65"/>
        <v>0</v>
      </c>
      <c r="Q855">
        <f t="shared" si="66"/>
        <v>0</v>
      </c>
      <c r="R855">
        <f t="shared" si="67"/>
        <v>0</v>
      </c>
    </row>
    <row r="856" spans="1:18" x14ac:dyDescent="0.2">
      <c r="A856" s="54">
        <v>183946</v>
      </c>
      <c r="B856" s="54" t="s">
        <v>1197</v>
      </c>
      <c r="C856" s="55">
        <v>82</v>
      </c>
      <c r="D856" s="55">
        <v>86</v>
      </c>
      <c r="E856" s="55">
        <v>3</v>
      </c>
      <c r="F856" s="55">
        <v>509</v>
      </c>
      <c r="G856" s="55">
        <v>433</v>
      </c>
      <c r="H856" s="55">
        <v>433</v>
      </c>
      <c r="I856" s="55">
        <v>5.92</v>
      </c>
      <c r="J856" s="55">
        <v>5.03</v>
      </c>
      <c r="K856" s="55">
        <v>5.03</v>
      </c>
      <c r="L856" s="55">
        <v>40</v>
      </c>
      <c r="M856" s="54" t="str">
        <f t="shared" si="68"/>
        <v>0-6 Months</v>
      </c>
      <c r="N856" s="54" t="str">
        <f t="shared" si="69"/>
        <v>12-18 Months</v>
      </c>
      <c r="O856" s="54" t="s">
        <v>7</v>
      </c>
      <c r="P856" s="54">
        <f t="shared" si="65"/>
        <v>82</v>
      </c>
      <c r="Q856">
        <f t="shared" si="66"/>
        <v>82</v>
      </c>
      <c r="R856">
        <f t="shared" si="67"/>
        <v>82</v>
      </c>
    </row>
    <row r="857" spans="1:18" x14ac:dyDescent="0.2">
      <c r="A857" s="54">
        <v>114248</v>
      </c>
      <c r="B857" s="54" t="s">
        <v>1200</v>
      </c>
      <c r="C857" s="55">
        <v>85</v>
      </c>
      <c r="D857" s="55">
        <v>90</v>
      </c>
      <c r="E857" s="55">
        <v>3</v>
      </c>
      <c r="F857" s="55">
        <v>15</v>
      </c>
      <c r="G857" s="55">
        <v>15</v>
      </c>
      <c r="H857" s="55">
        <v>15</v>
      </c>
      <c r="I857" s="55">
        <v>0.17</v>
      </c>
      <c r="J857" s="55">
        <v>0.17</v>
      </c>
      <c r="K857" s="55">
        <v>0.17</v>
      </c>
      <c r="L857" s="55">
        <v>82</v>
      </c>
      <c r="M857" s="54" t="str">
        <f t="shared" si="68"/>
        <v>0-6 Months</v>
      </c>
      <c r="N857" s="54" t="str">
        <f t="shared" si="69"/>
        <v>12-18 Months</v>
      </c>
      <c r="O857" s="54" t="s">
        <v>7</v>
      </c>
      <c r="P857" s="54">
        <f t="shared" si="65"/>
        <v>0</v>
      </c>
      <c r="Q857">
        <f t="shared" si="66"/>
        <v>0</v>
      </c>
      <c r="R857">
        <f t="shared" si="67"/>
        <v>0</v>
      </c>
    </row>
    <row r="858" spans="1:18" x14ac:dyDescent="0.2">
      <c r="A858" s="54">
        <v>112742</v>
      </c>
      <c r="B858" s="54" t="s">
        <v>1203</v>
      </c>
      <c r="C858" s="55">
        <v>90</v>
      </c>
      <c r="D858" s="55">
        <v>49</v>
      </c>
      <c r="E858" s="55">
        <v>3</v>
      </c>
      <c r="F858" s="55">
        <v>6</v>
      </c>
      <c r="G858" s="55">
        <v>6</v>
      </c>
      <c r="H858" s="55">
        <v>0</v>
      </c>
      <c r="I858" s="55">
        <v>0.12</v>
      </c>
      <c r="J858" s="55">
        <v>0.12</v>
      </c>
      <c r="K858" s="55">
        <v>0</v>
      </c>
      <c r="L858" s="55">
        <v>1</v>
      </c>
      <c r="M858" s="54" t="str">
        <f t="shared" si="68"/>
        <v>0-6 Months</v>
      </c>
      <c r="N858" s="54" t="str">
        <f t="shared" si="69"/>
        <v>12-18 Months</v>
      </c>
      <c r="O858" s="54" t="s">
        <v>7</v>
      </c>
      <c r="P858" s="54">
        <f t="shared" si="65"/>
        <v>0</v>
      </c>
      <c r="Q858">
        <f t="shared" si="66"/>
        <v>0</v>
      </c>
      <c r="R858">
        <f t="shared" si="67"/>
        <v>0</v>
      </c>
    </row>
    <row r="859" spans="1:18" x14ac:dyDescent="0.2">
      <c r="A859" s="54">
        <v>110540</v>
      </c>
      <c r="B859" s="54" t="s">
        <v>1214</v>
      </c>
      <c r="C859" s="55">
        <v>100</v>
      </c>
      <c r="D859" s="55">
        <v>112</v>
      </c>
      <c r="E859" s="55">
        <v>3</v>
      </c>
      <c r="F859" s="55">
        <v>38</v>
      </c>
      <c r="G859" s="55">
        <v>0</v>
      </c>
      <c r="H859" s="55">
        <v>0</v>
      </c>
      <c r="I859" s="55">
        <v>0.34</v>
      </c>
      <c r="J859" s="55">
        <v>0</v>
      </c>
      <c r="K859" s="55">
        <v>0</v>
      </c>
      <c r="L859" s="55">
        <v>31</v>
      </c>
      <c r="M859" s="54" t="str">
        <f t="shared" si="68"/>
        <v>0-6 Months</v>
      </c>
      <c r="N859" s="54" t="str">
        <f t="shared" si="69"/>
        <v>12-18 Months</v>
      </c>
      <c r="O859" s="54" t="s">
        <v>6</v>
      </c>
      <c r="P859" s="54">
        <f t="shared" si="65"/>
        <v>0</v>
      </c>
      <c r="Q859">
        <f t="shared" si="66"/>
        <v>0</v>
      </c>
      <c r="R859">
        <f t="shared" si="67"/>
        <v>0</v>
      </c>
    </row>
    <row r="860" spans="1:18" x14ac:dyDescent="0.2">
      <c r="A860" s="54">
        <v>514617</v>
      </c>
      <c r="B860" s="54" t="s">
        <v>1221</v>
      </c>
      <c r="C860" s="55">
        <v>108</v>
      </c>
      <c r="D860" s="55">
        <v>100</v>
      </c>
      <c r="E860" s="55">
        <v>3</v>
      </c>
      <c r="F860" s="55">
        <v>41</v>
      </c>
      <c r="G860" s="55">
        <v>41</v>
      </c>
      <c r="H860" s="55">
        <v>41</v>
      </c>
      <c r="I860" s="55">
        <v>0.41</v>
      </c>
      <c r="J860" s="55">
        <v>0.41</v>
      </c>
      <c r="K860" s="55">
        <v>0.41</v>
      </c>
      <c r="L860" s="55">
        <v>11</v>
      </c>
      <c r="M860" s="54" t="str">
        <f t="shared" si="68"/>
        <v>0-6 Months</v>
      </c>
      <c r="N860" s="54" t="str">
        <f t="shared" si="69"/>
        <v>12-18 Months</v>
      </c>
      <c r="O860" s="54" t="s">
        <v>6</v>
      </c>
      <c r="P860" s="54">
        <f t="shared" si="65"/>
        <v>0</v>
      </c>
      <c r="Q860">
        <f t="shared" si="66"/>
        <v>0</v>
      </c>
      <c r="R860">
        <f t="shared" si="67"/>
        <v>0</v>
      </c>
    </row>
    <row r="861" spans="1:18" x14ac:dyDescent="0.2">
      <c r="A861" s="54">
        <v>109222</v>
      </c>
      <c r="B861" s="54" t="s">
        <v>1232</v>
      </c>
      <c r="C861" s="55">
        <v>122</v>
      </c>
      <c r="D861" s="55">
        <v>135</v>
      </c>
      <c r="E861" s="55">
        <v>3</v>
      </c>
      <c r="F861" s="55">
        <v>13</v>
      </c>
      <c r="G861" s="55">
        <v>13</v>
      </c>
      <c r="H861" s="55">
        <v>13</v>
      </c>
      <c r="I861" s="55">
        <v>0.1</v>
      </c>
      <c r="J861" s="55">
        <v>0.1</v>
      </c>
      <c r="K861" s="55">
        <v>0.1</v>
      </c>
      <c r="L861" s="55">
        <v>16</v>
      </c>
      <c r="M861" s="54" t="str">
        <f t="shared" si="68"/>
        <v>0-6 Months</v>
      </c>
      <c r="N861" s="54" t="str">
        <f t="shared" si="69"/>
        <v>12-18 Months</v>
      </c>
      <c r="O861" s="54" t="s">
        <v>6</v>
      </c>
      <c r="P861" s="54">
        <f t="shared" si="65"/>
        <v>0</v>
      </c>
      <c r="Q861">
        <f t="shared" si="66"/>
        <v>0</v>
      </c>
      <c r="R861">
        <f t="shared" si="67"/>
        <v>0</v>
      </c>
    </row>
    <row r="862" spans="1:18" x14ac:dyDescent="0.2">
      <c r="A862" s="54">
        <v>317139</v>
      </c>
      <c r="B862" s="54" t="s">
        <v>1247</v>
      </c>
      <c r="C862" s="55">
        <v>137</v>
      </c>
      <c r="D862" s="55">
        <v>137</v>
      </c>
      <c r="E862" s="55">
        <v>3</v>
      </c>
      <c r="F862" s="55">
        <v>23</v>
      </c>
      <c r="G862" s="55">
        <v>23</v>
      </c>
      <c r="H862" s="55">
        <v>23</v>
      </c>
      <c r="I862" s="55">
        <v>0.17</v>
      </c>
      <c r="J862" s="55">
        <v>0.17</v>
      </c>
      <c r="K862" s="55">
        <v>0.17</v>
      </c>
      <c r="L862" s="55">
        <v>0</v>
      </c>
      <c r="M862" s="54" t="str">
        <f t="shared" si="68"/>
        <v>0-6 Months</v>
      </c>
      <c r="N862" s="54" t="str">
        <f t="shared" si="69"/>
        <v>12-18 Months</v>
      </c>
      <c r="O862" s="54" t="s">
        <v>6</v>
      </c>
      <c r="P862" s="54">
        <f t="shared" si="65"/>
        <v>0</v>
      </c>
      <c r="Q862">
        <f t="shared" si="66"/>
        <v>0</v>
      </c>
      <c r="R862">
        <f t="shared" si="67"/>
        <v>0</v>
      </c>
    </row>
    <row r="863" spans="1:18" x14ac:dyDescent="0.2">
      <c r="A863" s="54">
        <v>116059</v>
      </c>
      <c r="B863" s="54" t="s">
        <v>1255</v>
      </c>
      <c r="C863" s="55">
        <v>150</v>
      </c>
      <c r="D863" s="55">
        <v>625</v>
      </c>
      <c r="E863" s="55">
        <v>3</v>
      </c>
      <c r="F863" s="55">
        <v>587</v>
      </c>
      <c r="G863" s="55">
        <v>587</v>
      </c>
      <c r="H863" s="55">
        <v>587</v>
      </c>
      <c r="I863" s="55">
        <v>0.94</v>
      </c>
      <c r="J863" s="55">
        <v>0.94</v>
      </c>
      <c r="K863" s="55">
        <v>0.94</v>
      </c>
      <c r="L863" s="55">
        <v>112</v>
      </c>
      <c r="M863" s="54" t="str">
        <f t="shared" si="68"/>
        <v>0-6 Months</v>
      </c>
      <c r="N863" s="54" t="str">
        <f t="shared" si="69"/>
        <v>12-18 Months</v>
      </c>
      <c r="O863" s="54" t="s">
        <v>5</v>
      </c>
      <c r="P863" s="54">
        <f t="shared" si="65"/>
        <v>150</v>
      </c>
      <c r="Q863">
        <f t="shared" si="66"/>
        <v>150</v>
      </c>
      <c r="R863">
        <f t="shared" si="67"/>
        <v>150</v>
      </c>
    </row>
    <row r="864" spans="1:18" x14ac:dyDescent="0.2">
      <c r="A864" s="54">
        <v>327726</v>
      </c>
      <c r="B864" s="54" t="s">
        <v>1259</v>
      </c>
      <c r="C864" s="55">
        <v>156</v>
      </c>
      <c r="D864" s="55">
        <v>156</v>
      </c>
      <c r="E864" s="55">
        <v>3</v>
      </c>
      <c r="F864" s="55">
        <v>127</v>
      </c>
      <c r="G864" s="55">
        <v>123</v>
      </c>
      <c r="H864" s="55">
        <v>119</v>
      </c>
      <c r="I864" s="55">
        <v>0.81</v>
      </c>
      <c r="J864" s="55">
        <v>0.79</v>
      </c>
      <c r="K864" s="55">
        <v>0.76</v>
      </c>
      <c r="L864" s="55">
        <v>25</v>
      </c>
      <c r="M864" s="54" t="str">
        <f t="shared" si="68"/>
        <v>0-6 Months</v>
      </c>
      <c r="N864" s="54" t="str">
        <f t="shared" si="69"/>
        <v>12-18 Months</v>
      </c>
      <c r="O864" s="54" t="s">
        <v>6</v>
      </c>
      <c r="P864" s="54">
        <f t="shared" si="65"/>
        <v>156</v>
      </c>
      <c r="Q864">
        <f t="shared" si="66"/>
        <v>0</v>
      </c>
      <c r="R864">
        <f t="shared" si="67"/>
        <v>156</v>
      </c>
    </row>
    <row r="865" spans="1:18" x14ac:dyDescent="0.2">
      <c r="A865" s="54">
        <v>107149</v>
      </c>
      <c r="B865" s="54" t="s">
        <v>1262</v>
      </c>
      <c r="C865" s="55">
        <v>162</v>
      </c>
      <c r="D865" s="55">
        <v>55</v>
      </c>
      <c r="E865" s="55">
        <v>3</v>
      </c>
      <c r="F865" s="55">
        <v>9</v>
      </c>
      <c r="G865" s="55">
        <v>9</v>
      </c>
      <c r="H865" s="55">
        <v>9</v>
      </c>
      <c r="I865" s="55">
        <v>0.16</v>
      </c>
      <c r="J865" s="55">
        <v>0.16</v>
      </c>
      <c r="K865" s="55">
        <v>0.16</v>
      </c>
      <c r="L865" s="55">
        <v>0</v>
      </c>
      <c r="M865" s="54" t="str">
        <f t="shared" si="68"/>
        <v>0-6 Months</v>
      </c>
      <c r="N865" s="54" t="str">
        <f t="shared" si="69"/>
        <v>12-18 Months</v>
      </c>
      <c r="O865" s="54" t="s">
        <v>7</v>
      </c>
      <c r="P865" s="54">
        <f t="shared" si="65"/>
        <v>0</v>
      </c>
      <c r="Q865">
        <f t="shared" si="66"/>
        <v>0</v>
      </c>
      <c r="R865">
        <f t="shared" si="67"/>
        <v>0</v>
      </c>
    </row>
    <row r="866" spans="1:18" x14ac:dyDescent="0.2">
      <c r="A866" s="54">
        <v>107237</v>
      </c>
      <c r="B866" s="54" t="s">
        <v>1267</v>
      </c>
      <c r="C866" s="55">
        <v>171</v>
      </c>
      <c r="D866" s="55">
        <v>130</v>
      </c>
      <c r="E866" s="55">
        <v>3</v>
      </c>
      <c r="F866" s="55">
        <v>21</v>
      </c>
      <c r="G866" s="55">
        <v>21</v>
      </c>
      <c r="H866" s="55">
        <v>21</v>
      </c>
      <c r="I866" s="55">
        <v>0.16</v>
      </c>
      <c r="J866" s="55">
        <v>0.16</v>
      </c>
      <c r="K866" s="55">
        <v>0.16</v>
      </c>
      <c r="L866" s="55">
        <v>0</v>
      </c>
      <c r="M866" s="54" t="str">
        <f t="shared" si="68"/>
        <v>0-6 Months</v>
      </c>
      <c r="N866" s="54" t="str">
        <f t="shared" si="69"/>
        <v>12-18 Months</v>
      </c>
      <c r="O866" s="54" t="s">
        <v>6</v>
      </c>
      <c r="P866" s="54">
        <f t="shared" si="65"/>
        <v>0</v>
      </c>
      <c r="Q866">
        <f t="shared" si="66"/>
        <v>0</v>
      </c>
      <c r="R866">
        <f t="shared" si="67"/>
        <v>0</v>
      </c>
    </row>
    <row r="867" spans="1:18" x14ac:dyDescent="0.2">
      <c r="A867" s="54">
        <v>106945</v>
      </c>
      <c r="B867" s="54" t="s">
        <v>1269</v>
      </c>
      <c r="C867" s="55">
        <v>184</v>
      </c>
      <c r="D867" s="55">
        <v>210</v>
      </c>
      <c r="E867" s="55">
        <v>3</v>
      </c>
      <c r="F867" s="55">
        <v>0</v>
      </c>
      <c r="G867" s="55">
        <v>0</v>
      </c>
      <c r="H867" s="55">
        <v>0</v>
      </c>
      <c r="I867" s="55">
        <v>0</v>
      </c>
      <c r="J867" s="55">
        <v>0</v>
      </c>
      <c r="K867" s="55">
        <v>0</v>
      </c>
      <c r="L867" s="55">
        <v>0</v>
      </c>
      <c r="M867" s="54" t="str">
        <f t="shared" si="68"/>
        <v>0-6 Months</v>
      </c>
      <c r="N867" s="54" t="str">
        <f t="shared" si="69"/>
        <v>12-18 Months</v>
      </c>
      <c r="O867" s="54" t="s">
        <v>6</v>
      </c>
      <c r="P867" s="54">
        <f t="shared" si="65"/>
        <v>0</v>
      </c>
      <c r="Q867">
        <f t="shared" si="66"/>
        <v>0</v>
      </c>
      <c r="R867">
        <f t="shared" si="67"/>
        <v>0</v>
      </c>
    </row>
    <row r="868" spans="1:18" x14ac:dyDescent="0.2">
      <c r="A868" s="54">
        <v>107101</v>
      </c>
      <c r="B868" s="54" t="s">
        <v>1275</v>
      </c>
      <c r="C868" s="55">
        <v>220</v>
      </c>
      <c r="D868" s="55">
        <v>181</v>
      </c>
      <c r="E868" s="55">
        <v>3</v>
      </c>
      <c r="F868" s="55">
        <v>759</v>
      </c>
      <c r="G868" s="55">
        <v>759</v>
      </c>
      <c r="H868" s="55">
        <v>759</v>
      </c>
      <c r="I868" s="55">
        <v>4.1900000000000004</v>
      </c>
      <c r="J868" s="55">
        <v>4.1900000000000004</v>
      </c>
      <c r="K868" s="55">
        <v>4.1900000000000004</v>
      </c>
      <c r="L868" s="55">
        <v>235</v>
      </c>
      <c r="M868" s="54" t="str">
        <f t="shared" si="68"/>
        <v>0-6 Months</v>
      </c>
      <c r="N868" s="54" t="str">
        <f t="shared" si="69"/>
        <v>12-18 Months</v>
      </c>
      <c r="O868" s="54" t="s">
        <v>6</v>
      </c>
      <c r="P868" s="54">
        <f t="shared" si="65"/>
        <v>220</v>
      </c>
      <c r="Q868">
        <f t="shared" si="66"/>
        <v>220</v>
      </c>
      <c r="R868">
        <f t="shared" si="67"/>
        <v>220</v>
      </c>
    </row>
    <row r="869" spans="1:18" x14ac:dyDescent="0.2">
      <c r="A869" s="54">
        <v>327587</v>
      </c>
      <c r="B869" s="54" t="s">
        <v>1278</v>
      </c>
      <c r="C869" s="55">
        <v>245</v>
      </c>
      <c r="D869" s="55">
        <v>225</v>
      </c>
      <c r="E869" s="55">
        <v>3</v>
      </c>
      <c r="F869" s="55">
        <v>22</v>
      </c>
      <c r="G869" s="55">
        <v>22</v>
      </c>
      <c r="H869" s="55">
        <v>22</v>
      </c>
      <c r="I869" s="55">
        <v>0.1</v>
      </c>
      <c r="J869" s="55">
        <v>0.1</v>
      </c>
      <c r="K869" s="55">
        <v>0.1</v>
      </c>
      <c r="L869" s="55">
        <v>19</v>
      </c>
      <c r="M869" s="54" t="str">
        <f t="shared" si="68"/>
        <v>0-6 Months</v>
      </c>
      <c r="N869" s="54" t="str">
        <f t="shared" si="69"/>
        <v>12-18 Months</v>
      </c>
      <c r="O869" s="54" t="s">
        <v>6</v>
      </c>
      <c r="P869" s="54">
        <f t="shared" si="65"/>
        <v>0</v>
      </c>
      <c r="Q869">
        <f t="shared" si="66"/>
        <v>0</v>
      </c>
      <c r="R869">
        <f t="shared" si="67"/>
        <v>0</v>
      </c>
    </row>
    <row r="870" spans="1:18" x14ac:dyDescent="0.2">
      <c r="A870" s="54">
        <v>112223</v>
      </c>
      <c r="B870" s="54" t="s">
        <v>1280</v>
      </c>
      <c r="C870" s="55">
        <v>270</v>
      </c>
      <c r="D870" s="55">
        <v>253</v>
      </c>
      <c r="E870" s="55">
        <v>3</v>
      </c>
      <c r="F870" s="55">
        <v>29</v>
      </c>
      <c r="G870" s="55">
        <v>29</v>
      </c>
      <c r="H870" s="55">
        <v>18</v>
      </c>
      <c r="I870" s="55">
        <v>0.11</v>
      </c>
      <c r="J870" s="55">
        <v>0.11</v>
      </c>
      <c r="K870" s="55">
        <v>7.0000000000000007E-2</v>
      </c>
      <c r="L870" s="55">
        <v>175</v>
      </c>
      <c r="M870" s="54" t="str">
        <f t="shared" si="68"/>
        <v>0-6 Months</v>
      </c>
      <c r="N870" s="54" t="str">
        <f t="shared" si="69"/>
        <v>12-18 Months</v>
      </c>
      <c r="O870" s="54" t="s">
        <v>6</v>
      </c>
      <c r="P870" s="54">
        <f t="shared" si="65"/>
        <v>0</v>
      </c>
      <c r="Q870">
        <f t="shared" si="66"/>
        <v>0</v>
      </c>
      <c r="R870">
        <f t="shared" si="67"/>
        <v>0</v>
      </c>
    </row>
    <row r="871" spans="1:18" x14ac:dyDescent="0.2">
      <c r="A871" s="54">
        <v>109712</v>
      </c>
      <c r="B871" s="54" t="s">
        <v>1283</v>
      </c>
      <c r="C871" s="55">
        <v>304</v>
      </c>
      <c r="D871" s="55">
        <v>305</v>
      </c>
      <c r="E871" s="55">
        <v>3</v>
      </c>
      <c r="F871" s="55">
        <v>166</v>
      </c>
      <c r="G871" s="55">
        <v>133</v>
      </c>
      <c r="H871" s="55">
        <v>127</v>
      </c>
      <c r="I871" s="55">
        <v>0.54</v>
      </c>
      <c r="J871" s="55">
        <v>0.44</v>
      </c>
      <c r="K871" s="55">
        <v>0.42</v>
      </c>
      <c r="L871" s="55">
        <v>210</v>
      </c>
      <c r="M871" s="54" t="str">
        <f t="shared" si="68"/>
        <v>0-6 Months</v>
      </c>
      <c r="N871" s="54" t="str">
        <f t="shared" si="69"/>
        <v>12-18 Months</v>
      </c>
      <c r="O871" s="54" t="s">
        <v>6</v>
      </c>
      <c r="P871" s="54">
        <f t="shared" si="65"/>
        <v>0</v>
      </c>
      <c r="Q871">
        <f t="shared" si="66"/>
        <v>0</v>
      </c>
      <c r="R871">
        <f t="shared" si="67"/>
        <v>0</v>
      </c>
    </row>
    <row r="872" spans="1:18" x14ac:dyDescent="0.2">
      <c r="A872" s="54">
        <v>107157</v>
      </c>
      <c r="B872" s="54" t="s">
        <v>1296</v>
      </c>
      <c r="C872" s="55">
        <v>566</v>
      </c>
      <c r="D872" s="55">
        <v>480</v>
      </c>
      <c r="E872" s="55">
        <v>3</v>
      </c>
      <c r="F872" s="55">
        <v>39</v>
      </c>
      <c r="G872" s="55">
        <v>39</v>
      </c>
      <c r="H872" s="55">
        <v>36</v>
      </c>
      <c r="I872" s="55">
        <v>0.08</v>
      </c>
      <c r="J872" s="55">
        <v>0.08</v>
      </c>
      <c r="K872" s="55">
        <v>0.08</v>
      </c>
      <c r="L872" s="55">
        <v>13</v>
      </c>
      <c r="M872" s="54" t="str">
        <f t="shared" si="68"/>
        <v>0-6 Months</v>
      </c>
      <c r="N872" s="54" t="str">
        <f t="shared" si="69"/>
        <v>12-18 Months</v>
      </c>
      <c r="O872" s="54" t="s">
        <v>6</v>
      </c>
      <c r="P872" s="54">
        <f t="shared" si="65"/>
        <v>0</v>
      </c>
      <c r="Q872">
        <f t="shared" si="66"/>
        <v>0</v>
      </c>
      <c r="R872">
        <f t="shared" si="67"/>
        <v>0</v>
      </c>
    </row>
    <row r="873" spans="1:18" x14ac:dyDescent="0.2">
      <c r="A873" s="54">
        <v>494666</v>
      </c>
      <c r="B873" s="54" t="s">
        <v>1298</v>
      </c>
      <c r="C873" s="55">
        <v>630</v>
      </c>
      <c r="D873" s="55">
        <v>630</v>
      </c>
      <c r="E873" s="55">
        <v>3</v>
      </c>
      <c r="F873" s="55">
        <v>0</v>
      </c>
      <c r="G873" s="55">
        <v>0</v>
      </c>
      <c r="H873" s="55">
        <v>0</v>
      </c>
      <c r="I873" s="55">
        <v>0</v>
      </c>
      <c r="J873" s="55">
        <v>0</v>
      </c>
      <c r="K873" s="55">
        <v>0</v>
      </c>
      <c r="L873" s="55">
        <v>0</v>
      </c>
      <c r="M873" s="54" t="str">
        <f t="shared" si="68"/>
        <v>0-6 Months</v>
      </c>
      <c r="N873" s="54" t="str">
        <f t="shared" si="69"/>
        <v>12-18 Months</v>
      </c>
      <c r="O873" s="54" t="s">
        <v>5</v>
      </c>
      <c r="P873" s="54">
        <f t="shared" si="65"/>
        <v>0</v>
      </c>
      <c r="Q873">
        <f t="shared" si="66"/>
        <v>0</v>
      </c>
      <c r="R873">
        <f t="shared" si="67"/>
        <v>0</v>
      </c>
    </row>
    <row r="874" spans="1:18" x14ac:dyDescent="0.2">
      <c r="A874" s="54">
        <v>113145</v>
      </c>
      <c r="B874" s="54" t="s">
        <v>1310</v>
      </c>
      <c r="C874" s="55">
        <v>0</v>
      </c>
      <c r="D874" s="55">
        <v>21</v>
      </c>
      <c r="E874" s="55">
        <v>2</v>
      </c>
      <c r="F874" s="55">
        <v>0</v>
      </c>
      <c r="G874" s="55">
        <v>0</v>
      </c>
      <c r="H874" s="55">
        <v>0</v>
      </c>
      <c r="I874" s="55">
        <v>0</v>
      </c>
      <c r="J874" s="55">
        <v>0</v>
      </c>
      <c r="K874" s="55">
        <v>0</v>
      </c>
      <c r="L874" s="55">
        <v>0</v>
      </c>
      <c r="M874" s="54" t="str">
        <f t="shared" si="68"/>
        <v>0-6 Months</v>
      </c>
      <c r="N874" s="54" t="str">
        <f t="shared" si="69"/>
        <v>12-18 Months</v>
      </c>
      <c r="O874" s="54" t="s">
        <v>7</v>
      </c>
      <c r="P874" s="54">
        <f t="shared" si="65"/>
        <v>0</v>
      </c>
      <c r="Q874">
        <f t="shared" si="66"/>
        <v>0</v>
      </c>
      <c r="R874">
        <f t="shared" si="67"/>
        <v>0</v>
      </c>
    </row>
    <row r="875" spans="1:18" x14ac:dyDescent="0.2">
      <c r="A875" s="54">
        <v>144017</v>
      </c>
      <c r="B875" s="54" t="s">
        <v>1311</v>
      </c>
      <c r="C875" s="55">
        <v>0</v>
      </c>
      <c r="D875" s="55">
        <v>23</v>
      </c>
      <c r="E875" s="55">
        <v>2</v>
      </c>
      <c r="F875" s="55">
        <v>0</v>
      </c>
      <c r="G875" s="55">
        <v>0</v>
      </c>
      <c r="H875" s="55">
        <v>0</v>
      </c>
      <c r="I875" s="55">
        <v>0</v>
      </c>
      <c r="J875" s="55">
        <v>0</v>
      </c>
      <c r="K875" s="55">
        <v>0</v>
      </c>
      <c r="L875" s="55">
        <v>0</v>
      </c>
      <c r="M875" s="54" t="str">
        <f t="shared" si="68"/>
        <v>0-6 Months</v>
      </c>
      <c r="N875" s="54" t="str">
        <f t="shared" si="69"/>
        <v>12-18 Months</v>
      </c>
      <c r="O875" s="54" t="s">
        <v>7</v>
      </c>
      <c r="P875" s="54">
        <f t="shared" si="65"/>
        <v>0</v>
      </c>
      <c r="Q875">
        <f t="shared" si="66"/>
        <v>0</v>
      </c>
      <c r="R875">
        <f t="shared" si="67"/>
        <v>0</v>
      </c>
    </row>
    <row r="876" spans="1:18" x14ac:dyDescent="0.2">
      <c r="A876" s="54">
        <v>591849</v>
      </c>
      <c r="B876" s="54" t="s">
        <v>1309</v>
      </c>
      <c r="C876" s="55">
        <v>0</v>
      </c>
      <c r="D876" s="55">
        <v>4</v>
      </c>
      <c r="E876" s="55">
        <v>2</v>
      </c>
      <c r="F876" s="55">
        <v>0</v>
      </c>
      <c r="G876" s="55">
        <v>0</v>
      </c>
      <c r="H876" s="55">
        <v>0</v>
      </c>
      <c r="I876" s="55">
        <v>0</v>
      </c>
      <c r="J876" s="55">
        <v>0</v>
      </c>
      <c r="K876" s="55">
        <v>0</v>
      </c>
      <c r="L876" s="55">
        <v>0</v>
      </c>
      <c r="M876" s="54" t="str">
        <f t="shared" si="68"/>
        <v>0-6 Months</v>
      </c>
      <c r="N876" s="54" t="str">
        <f t="shared" si="69"/>
        <v>12-18 Months</v>
      </c>
      <c r="O876" s="54" t="s">
        <v>7</v>
      </c>
      <c r="P876" s="54">
        <f t="shared" si="65"/>
        <v>0</v>
      </c>
      <c r="Q876">
        <f t="shared" si="66"/>
        <v>0</v>
      </c>
      <c r="R876">
        <f t="shared" si="67"/>
        <v>0</v>
      </c>
    </row>
    <row r="877" spans="1:18" x14ac:dyDescent="0.2">
      <c r="A877" s="54">
        <v>106418</v>
      </c>
      <c r="B877" s="54" t="s">
        <v>691</v>
      </c>
      <c r="C877" s="55">
        <v>1</v>
      </c>
      <c r="D877" s="55">
        <v>55</v>
      </c>
      <c r="E877" s="55">
        <v>2</v>
      </c>
      <c r="F877" s="55">
        <v>13</v>
      </c>
      <c r="G877" s="55">
        <v>13</v>
      </c>
      <c r="H877" s="55">
        <v>13</v>
      </c>
      <c r="I877" s="55">
        <v>0.24</v>
      </c>
      <c r="J877" s="55">
        <v>0.24</v>
      </c>
      <c r="K877" s="55">
        <v>0.24</v>
      </c>
      <c r="L877" s="55">
        <v>6</v>
      </c>
      <c r="M877" s="54" t="str">
        <f t="shared" si="68"/>
        <v>0-6 Months</v>
      </c>
      <c r="N877" s="54" t="str">
        <f t="shared" si="69"/>
        <v>12-18 Months</v>
      </c>
      <c r="O877" s="54" t="s">
        <v>7</v>
      </c>
      <c r="P877" s="54">
        <f t="shared" si="65"/>
        <v>0</v>
      </c>
      <c r="Q877">
        <f t="shared" si="66"/>
        <v>0</v>
      </c>
      <c r="R877">
        <f t="shared" si="67"/>
        <v>0</v>
      </c>
    </row>
    <row r="878" spans="1:18" x14ac:dyDescent="0.2">
      <c r="A878" s="54">
        <v>112088</v>
      </c>
      <c r="B878" s="54" t="s">
        <v>697</v>
      </c>
      <c r="C878" s="55">
        <v>1</v>
      </c>
      <c r="D878" s="55">
        <v>702</v>
      </c>
      <c r="E878" s="55">
        <v>2</v>
      </c>
      <c r="F878" s="55">
        <v>0</v>
      </c>
      <c r="G878" s="55">
        <v>0</v>
      </c>
      <c r="H878" s="55">
        <v>0</v>
      </c>
      <c r="I878" s="55">
        <v>0</v>
      </c>
      <c r="J878" s="55">
        <v>0</v>
      </c>
      <c r="K878" s="55">
        <v>0</v>
      </c>
      <c r="L878" s="55">
        <v>0</v>
      </c>
      <c r="M878" s="54" t="str">
        <f t="shared" si="68"/>
        <v>0-6 Months</v>
      </c>
      <c r="N878" s="54" t="str">
        <f t="shared" si="69"/>
        <v>12-18 Months</v>
      </c>
      <c r="O878" s="54" t="s">
        <v>5</v>
      </c>
      <c r="P878" s="54">
        <f t="shared" si="65"/>
        <v>0</v>
      </c>
      <c r="Q878">
        <f t="shared" si="66"/>
        <v>0</v>
      </c>
      <c r="R878">
        <f t="shared" si="67"/>
        <v>0</v>
      </c>
    </row>
    <row r="879" spans="1:18" x14ac:dyDescent="0.2">
      <c r="A879" s="54">
        <v>124340</v>
      </c>
      <c r="B879" s="54" t="s">
        <v>694</v>
      </c>
      <c r="C879" s="55">
        <v>1</v>
      </c>
      <c r="D879" s="55">
        <v>22</v>
      </c>
      <c r="E879" s="55">
        <v>2</v>
      </c>
      <c r="F879" s="55">
        <v>12</v>
      </c>
      <c r="G879" s="55">
        <v>12</v>
      </c>
      <c r="H879" s="55">
        <v>12</v>
      </c>
      <c r="I879" s="55">
        <v>0.55000000000000004</v>
      </c>
      <c r="J879" s="55">
        <v>0.55000000000000004</v>
      </c>
      <c r="K879" s="55">
        <v>0.55000000000000004</v>
      </c>
      <c r="L879" s="55">
        <v>15</v>
      </c>
      <c r="M879" s="54" t="str">
        <f t="shared" si="68"/>
        <v>0-6 Months</v>
      </c>
      <c r="N879" s="54" t="str">
        <f t="shared" si="69"/>
        <v>12-18 Months</v>
      </c>
      <c r="O879" s="54" t="s">
        <v>7</v>
      </c>
      <c r="P879" s="54">
        <f t="shared" si="65"/>
        <v>0</v>
      </c>
      <c r="Q879">
        <f t="shared" si="66"/>
        <v>0</v>
      </c>
      <c r="R879">
        <f t="shared" si="67"/>
        <v>0</v>
      </c>
    </row>
    <row r="880" spans="1:18" x14ac:dyDescent="0.2">
      <c r="A880" s="54">
        <v>160268</v>
      </c>
      <c r="B880" s="54" t="s">
        <v>695</v>
      </c>
      <c r="C880" s="55">
        <v>1</v>
      </c>
      <c r="D880" s="55">
        <v>4</v>
      </c>
      <c r="E880" s="55">
        <v>2</v>
      </c>
      <c r="F880" s="55">
        <v>3</v>
      </c>
      <c r="G880" s="55">
        <v>3</v>
      </c>
      <c r="H880" s="55">
        <v>3</v>
      </c>
      <c r="I880" s="55">
        <v>0.75</v>
      </c>
      <c r="J880" s="55">
        <v>0.75</v>
      </c>
      <c r="K880" s="55">
        <v>0.75</v>
      </c>
      <c r="L880" s="55">
        <v>0</v>
      </c>
      <c r="M880" s="54" t="str">
        <f t="shared" si="68"/>
        <v>0-6 Months</v>
      </c>
      <c r="N880" s="54" t="str">
        <f t="shared" si="69"/>
        <v>12-18 Months</v>
      </c>
      <c r="O880" s="54" t="s">
        <v>7</v>
      </c>
      <c r="P880" s="54">
        <f t="shared" si="65"/>
        <v>1</v>
      </c>
      <c r="Q880">
        <f t="shared" si="66"/>
        <v>0</v>
      </c>
      <c r="R880">
        <f t="shared" si="67"/>
        <v>1</v>
      </c>
    </row>
    <row r="881" spans="1:18" x14ac:dyDescent="0.2">
      <c r="A881" s="54">
        <v>321708</v>
      </c>
      <c r="B881" s="54" t="s">
        <v>690</v>
      </c>
      <c r="C881" s="55">
        <v>1</v>
      </c>
      <c r="D881" s="55">
        <v>2</v>
      </c>
      <c r="E881" s="55">
        <v>2</v>
      </c>
      <c r="F881" s="55">
        <v>9</v>
      </c>
      <c r="G881" s="55">
        <v>9</v>
      </c>
      <c r="H881" s="55">
        <v>9</v>
      </c>
      <c r="I881" s="55">
        <v>4.5</v>
      </c>
      <c r="J881" s="55">
        <v>4.5</v>
      </c>
      <c r="K881" s="55">
        <v>4.5</v>
      </c>
      <c r="L881" s="55">
        <v>7</v>
      </c>
      <c r="M881" s="54" t="str">
        <f t="shared" si="68"/>
        <v>0-6 Months</v>
      </c>
      <c r="N881" s="54" t="str">
        <f t="shared" si="69"/>
        <v>12-18 Months</v>
      </c>
      <c r="O881" s="54" t="s">
        <v>7</v>
      </c>
      <c r="P881" s="54">
        <f t="shared" si="65"/>
        <v>1</v>
      </c>
      <c r="Q881">
        <f t="shared" si="66"/>
        <v>1</v>
      </c>
      <c r="R881">
        <f t="shared" si="67"/>
        <v>1</v>
      </c>
    </row>
    <row r="882" spans="1:18" x14ac:dyDescent="0.2">
      <c r="A882" s="54">
        <v>327328</v>
      </c>
      <c r="B882" s="54" t="s">
        <v>692</v>
      </c>
      <c r="C882" s="55">
        <v>1</v>
      </c>
      <c r="D882" s="55">
        <v>25</v>
      </c>
      <c r="E882" s="55">
        <v>2</v>
      </c>
      <c r="F882" s="55">
        <v>30</v>
      </c>
      <c r="G882" s="55">
        <v>30</v>
      </c>
      <c r="H882" s="55">
        <v>30</v>
      </c>
      <c r="I882" s="55">
        <v>1.2</v>
      </c>
      <c r="J882" s="55">
        <v>1.2</v>
      </c>
      <c r="K882" s="55">
        <v>1.2</v>
      </c>
      <c r="L882" s="55">
        <v>0</v>
      </c>
      <c r="M882" s="54" t="str">
        <f t="shared" si="68"/>
        <v>0-6 Months</v>
      </c>
      <c r="N882" s="54" t="str">
        <f t="shared" si="69"/>
        <v>12-18 Months</v>
      </c>
      <c r="O882" s="54" t="s">
        <v>7</v>
      </c>
      <c r="P882" s="54">
        <f t="shared" si="65"/>
        <v>1</v>
      </c>
      <c r="Q882">
        <f t="shared" si="66"/>
        <v>0</v>
      </c>
      <c r="R882">
        <f t="shared" si="67"/>
        <v>1</v>
      </c>
    </row>
    <row r="883" spans="1:18" x14ac:dyDescent="0.2">
      <c r="A883" s="54">
        <v>470029</v>
      </c>
      <c r="B883" s="54" t="s">
        <v>689</v>
      </c>
      <c r="C883" s="55">
        <v>1</v>
      </c>
      <c r="D883" s="55">
        <v>7</v>
      </c>
      <c r="E883" s="55">
        <v>2</v>
      </c>
      <c r="F883" s="55">
        <v>11</v>
      </c>
      <c r="G883" s="55">
        <v>11</v>
      </c>
      <c r="H883" s="55">
        <v>11</v>
      </c>
      <c r="I883" s="55">
        <v>1.57</v>
      </c>
      <c r="J883" s="55">
        <v>1.57</v>
      </c>
      <c r="K883" s="55">
        <v>1.57</v>
      </c>
      <c r="L883" s="55">
        <v>0</v>
      </c>
      <c r="M883" s="54" t="str">
        <f t="shared" si="68"/>
        <v>0-6 Months</v>
      </c>
      <c r="N883" s="54" t="str">
        <f t="shared" si="69"/>
        <v>12-18 Months</v>
      </c>
      <c r="O883" s="54" t="s">
        <v>7</v>
      </c>
      <c r="P883" s="54">
        <f t="shared" si="65"/>
        <v>1</v>
      </c>
      <c r="Q883">
        <f t="shared" si="66"/>
        <v>0</v>
      </c>
      <c r="R883">
        <f t="shared" si="67"/>
        <v>1</v>
      </c>
    </row>
    <row r="884" spans="1:18" x14ac:dyDescent="0.2">
      <c r="A884" s="54">
        <v>509881</v>
      </c>
      <c r="B884" s="54" t="s">
        <v>696</v>
      </c>
      <c r="C884" s="55">
        <v>1</v>
      </c>
      <c r="D884" s="55">
        <v>3</v>
      </c>
      <c r="E884" s="55">
        <v>2</v>
      </c>
      <c r="F884" s="55">
        <v>0</v>
      </c>
      <c r="G884" s="55">
        <v>0</v>
      </c>
      <c r="H884" s="55">
        <v>0</v>
      </c>
      <c r="I884" s="55">
        <v>0</v>
      </c>
      <c r="J884" s="55">
        <v>0</v>
      </c>
      <c r="K884" s="55">
        <v>0</v>
      </c>
      <c r="L884" s="55">
        <v>0</v>
      </c>
      <c r="M884" s="54" t="str">
        <f t="shared" si="68"/>
        <v>0-6 Months</v>
      </c>
      <c r="N884" s="54" t="str">
        <f t="shared" si="69"/>
        <v>12-18 Months</v>
      </c>
      <c r="O884" s="54" t="s">
        <v>7</v>
      </c>
      <c r="P884" s="54">
        <f t="shared" si="65"/>
        <v>0</v>
      </c>
      <c r="Q884">
        <f t="shared" si="66"/>
        <v>0</v>
      </c>
      <c r="R884">
        <f t="shared" si="67"/>
        <v>0</v>
      </c>
    </row>
    <row r="885" spans="1:18" x14ac:dyDescent="0.2">
      <c r="A885" s="54">
        <v>587055</v>
      </c>
      <c r="B885" s="54" t="s">
        <v>693</v>
      </c>
      <c r="C885" s="55">
        <v>1</v>
      </c>
      <c r="D885" s="55">
        <v>8</v>
      </c>
      <c r="E885" s="55">
        <v>2</v>
      </c>
      <c r="F885" s="55">
        <v>14</v>
      </c>
      <c r="G885" s="55">
        <v>14</v>
      </c>
      <c r="H885" s="55">
        <v>14</v>
      </c>
      <c r="I885" s="55">
        <v>1.75</v>
      </c>
      <c r="J885" s="55">
        <v>1.75</v>
      </c>
      <c r="K885" s="55">
        <v>1.75</v>
      </c>
      <c r="L885" s="55">
        <v>0</v>
      </c>
      <c r="M885" s="54" t="str">
        <f t="shared" si="68"/>
        <v>0-6 Months</v>
      </c>
      <c r="N885" s="54" t="str">
        <f t="shared" si="69"/>
        <v>12-18 Months</v>
      </c>
      <c r="O885" s="54" t="s">
        <v>7</v>
      </c>
      <c r="P885" s="54">
        <f t="shared" si="65"/>
        <v>1</v>
      </c>
      <c r="Q885">
        <f t="shared" si="66"/>
        <v>0</v>
      </c>
      <c r="R885">
        <f t="shared" si="67"/>
        <v>1</v>
      </c>
    </row>
    <row r="886" spans="1:18" x14ac:dyDescent="0.2">
      <c r="A886" s="54">
        <v>108453</v>
      </c>
      <c r="B886" s="54" t="s">
        <v>722</v>
      </c>
      <c r="C886" s="55">
        <v>2</v>
      </c>
      <c r="D886" s="55">
        <v>30</v>
      </c>
      <c r="E886" s="55">
        <v>2</v>
      </c>
      <c r="F886" s="55">
        <v>26</v>
      </c>
      <c r="G886" s="55">
        <v>19</v>
      </c>
      <c r="H886" s="55">
        <v>19</v>
      </c>
      <c r="I886" s="55">
        <v>0.87</v>
      </c>
      <c r="J886" s="55">
        <v>0.63</v>
      </c>
      <c r="K886" s="55">
        <v>0.63</v>
      </c>
      <c r="L886" s="55">
        <v>70</v>
      </c>
      <c r="M886" s="54" t="str">
        <f t="shared" si="68"/>
        <v>0-6 Months</v>
      </c>
      <c r="N886" s="54" t="str">
        <f t="shared" si="69"/>
        <v>12-18 Months</v>
      </c>
      <c r="O886" s="54" t="s">
        <v>7</v>
      </c>
      <c r="P886" s="54">
        <f t="shared" si="65"/>
        <v>0</v>
      </c>
      <c r="Q886">
        <f t="shared" si="66"/>
        <v>0</v>
      </c>
      <c r="R886">
        <f t="shared" si="67"/>
        <v>0</v>
      </c>
    </row>
    <row r="887" spans="1:18" x14ac:dyDescent="0.2">
      <c r="A887" s="54">
        <v>112101</v>
      </c>
      <c r="B887" s="54" t="s">
        <v>724</v>
      </c>
      <c r="C887" s="55">
        <v>2</v>
      </c>
      <c r="D887" s="55">
        <v>25</v>
      </c>
      <c r="E887" s="55">
        <v>2</v>
      </c>
      <c r="F887" s="55">
        <v>12</v>
      </c>
      <c r="G887" s="55">
        <v>12</v>
      </c>
      <c r="H887" s="55">
        <v>12</v>
      </c>
      <c r="I887" s="55">
        <v>0.48</v>
      </c>
      <c r="J887" s="55">
        <v>0.48</v>
      </c>
      <c r="K887" s="55">
        <v>0.48</v>
      </c>
      <c r="L887" s="55">
        <v>21</v>
      </c>
      <c r="M887" s="54" t="str">
        <f t="shared" si="68"/>
        <v>0-6 Months</v>
      </c>
      <c r="N887" s="54" t="str">
        <f t="shared" si="69"/>
        <v>12-18 Months</v>
      </c>
      <c r="O887" s="54" t="s">
        <v>7</v>
      </c>
      <c r="P887" s="54">
        <f t="shared" si="65"/>
        <v>0</v>
      </c>
      <c r="Q887">
        <f t="shared" si="66"/>
        <v>0</v>
      </c>
      <c r="R887">
        <f t="shared" si="67"/>
        <v>0</v>
      </c>
    </row>
    <row r="888" spans="1:18" x14ac:dyDescent="0.2">
      <c r="A888" s="54">
        <v>115092</v>
      </c>
      <c r="B888" s="54" t="s">
        <v>726</v>
      </c>
      <c r="C888" s="55">
        <v>2</v>
      </c>
      <c r="D888" s="55">
        <v>6</v>
      </c>
      <c r="E888" s="55">
        <v>2</v>
      </c>
      <c r="F888" s="55">
        <v>38</v>
      </c>
      <c r="G888" s="55">
        <v>26</v>
      </c>
      <c r="H888" s="55">
        <v>26</v>
      </c>
      <c r="I888" s="55">
        <v>6.33</v>
      </c>
      <c r="J888" s="55">
        <v>4.33</v>
      </c>
      <c r="K888" s="55">
        <v>4.33</v>
      </c>
      <c r="L888" s="55">
        <v>52</v>
      </c>
      <c r="M888" s="54" t="str">
        <f t="shared" si="68"/>
        <v>0-6 Months</v>
      </c>
      <c r="N888" s="54" t="str">
        <f t="shared" si="69"/>
        <v>12-18 Months</v>
      </c>
      <c r="O888" s="54" t="s">
        <v>7</v>
      </c>
      <c r="P888" s="54">
        <f t="shared" si="65"/>
        <v>2</v>
      </c>
      <c r="Q888">
        <f t="shared" si="66"/>
        <v>2</v>
      </c>
      <c r="R888">
        <f t="shared" si="67"/>
        <v>2</v>
      </c>
    </row>
    <row r="889" spans="1:18" x14ac:dyDescent="0.2">
      <c r="A889" s="54">
        <v>115736</v>
      </c>
      <c r="B889" s="54" t="s">
        <v>728</v>
      </c>
      <c r="C889" s="55">
        <v>2</v>
      </c>
      <c r="D889" s="55">
        <v>4</v>
      </c>
      <c r="E889" s="55">
        <v>2</v>
      </c>
      <c r="F889" s="55">
        <v>21</v>
      </c>
      <c r="G889" s="55">
        <v>14</v>
      </c>
      <c r="H889" s="55">
        <v>14</v>
      </c>
      <c r="I889" s="55">
        <v>5.25</v>
      </c>
      <c r="J889" s="55">
        <v>3.5</v>
      </c>
      <c r="K889" s="55">
        <v>3.5</v>
      </c>
      <c r="L889" s="55">
        <v>0</v>
      </c>
      <c r="M889" s="54" t="str">
        <f t="shared" si="68"/>
        <v>0-6 Months</v>
      </c>
      <c r="N889" s="54" t="str">
        <f t="shared" si="69"/>
        <v>12-18 Months</v>
      </c>
      <c r="O889" s="54" t="s">
        <v>7</v>
      </c>
      <c r="P889" s="54">
        <f t="shared" si="65"/>
        <v>2</v>
      </c>
      <c r="Q889">
        <f t="shared" si="66"/>
        <v>2</v>
      </c>
      <c r="R889">
        <f t="shared" si="67"/>
        <v>2</v>
      </c>
    </row>
    <row r="890" spans="1:18" x14ac:dyDescent="0.2">
      <c r="A890" s="54">
        <v>130683</v>
      </c>
      <c r="B890" s="54" t="s">
        <v>719</v>
      </c>
      <c r="C890" s="55">
        <v>2</v>
      </c>
      <c r="D890" s="55">
        <v>5</v>
      </c>
      <c r="E890" s="55">
        <v>2</v>
      </c>
      <c r="F890" s="55">
        <v>73</v>
      </c>
      <c r="G890" s="55">
        <v>45</v>
      </c>
      <c r="H890" s="55">
        <v>45</v>
      </c>
      <c r="I890" s="55">
        <v>14.6</v>
      </c>
      <c r="J890" s="55">
        <v>9</v>
      </c>
      <c r="K890" s="55">
        <v>9</v>
      </c>
      <c r="L890" s="55">
        <v>61</v>
      </c>
      <c r="M890" s="54" t="str">
        <f t="shared" si="68"/>
        <v>0-6 Months</v>
      </c>
      <c r="N890" s="54" t="str">
        <f t="shared" si="69"/>
        <v>12-18 Months</v>
      </c>
      <c r="O890" s="54" t="s">
        <v>7</v>
      </c>
      <c r="P890" s="54">
        <f t="shared" si="65"/>
        <v>2</v>
      </c>
      <c r="Q890">
        <f t="shared" si="66"/>
        <v>2</v>
      </c>
      <c r="R890">
        <f t="shared" si="67"/>
        <v>2</v>
      </c>
    </row>
    <row r="891" spans="1:18" x14ac:dyDescent="0.2">
      <c r="A891" s="54">
        <v>136506</v>
      </c>
      <c r="B891" s="54" t="s">
        <v>725</v>
      </c>
      <c r="C891" s="55">
        <v>2</v>
      </c>
      <c r="D891" s="55">
        <v>192</v>
      </c>
      <c r="E891" s="55">
        <v>2</v>
      </c>
      <c r="F891" s="55">
        <v>50</v>
      </c>
      <c r="G891" s="55">
        <v>50</v>
      </c>
      <c r="H891" s="55">
        <v>50</v>
      </c>
      <c r="I891" s="55">
        <v>0.26</v>
      </c>
      <c r="J891" s="55">
        <v>0.26</v>
      </c>
      <c r="K891" s="55">
        <v>0.26</v>
      </c>
      <c r="L891" s="55">
        <v>68</v>
      </c>
      <c r="M891" s="54" t="str">
        <f t="shared" si="68"/>
        <v>0-6 Months</v>
      </c>
      <c r="N891" s="54" t="str">
        <f t="shared" si="69"/>
        <v>12-18 Months</v>
      </c>
      <c r="O891" s="54" t="s">
        <v>6</v>
      </c>
      <c r="P891" s="54">
        <f t="shared" si="65"/>
        <v>0</v>
      </c>
      <c r="Q891">
        <f t="shared" si="66"/>
        <v>0</v>
      </c>
      <c r="R891">
        <f t="shared" si="67"/>
        <v>0</v>
      </c>
    </row>
    <row r="892" spans="1:18" x14ac:dyDescent="0.2">
      <c r="A892" s="54">
        <v>185502</v>
      </c>
      <c r="B892" s="54" t="s">
        <v>718</v>
      </c>
      <c r="C892" s="55">
        <v>2</v>
      </c>
      <c r="D892" s="55">
        <v>12</v>
      </c>
      <c r="E892" s="55">
        <v>2</v>
      </c>
      <c r="F892" s="55">
        <v>0</v>
      </c>
      <c r="G892" s="55">
        <v>0</v>
      </c>
      <c r="H892" s="55">
        <v>0</v>
      </c>
      <c r="I892" s="55">
        <v>0</v>
      </c>
      <c r="J892" s="55">
        <v>0</v>
      </c>
      <c r="K892" s="55">
        <v>0</v>
      </c>
      <c r="L892" s="55">
        <v>0</v>
      </c>
      <c r="M892" s="54" t="str">
        <f t="shared" si="68"/>
        <v>0-6 Months</v>
      </c>
      <c r="N892" s="54" t="str">
        <f t="shared" si="69"/>
        <v>12-18 Months</v>
      </c>
      <c r="O892" s="54" t="s">
        <v>7</v>
      </c>
      <c r="P892" s="54">
        <f t="shared" si="65"/>
        <v>0</v>
      </c>
      <c r="Q892">
        <f t="shared" si="66"/>
        <v>0</v>
      </c>
      <c r="R892">
        <f t="shared" si="67"/>
        <v>0</v>
      </c>
    </row>
    <row r="893" spans="1:18" x14ac:dyDescent="0.2">
      <c r="A893" s="54">
        <v>217054</v>
      </c>
      <c r="B893" s="54" t="s">
        <v>727</v>
      </c>
      <c r="C893" s="55">
        <v>2</v>
      </c>
      <c r="D893" s="55">
        <v>30</v>
      </c>
      <c r="E893" s="55">
        <v>2</v>
      </c>
      <c r="F893" s="55">
        <v>71</v>
      </c>
      <c r="G893" s="55">
        <v>71</v>
      </c>
      <c r="H893" s="55">
        <v>71</v>
      </c>
      <c r="I893" s="55">
        <v>2.37</v>
      </c>
      <c r="J893" s="55">
        <v>2.37</v>
      </c>
      <c r="K893" s="55">
        <v>2.37</v>
      </c>
      <c r="L893" s="55">
        <v>20</v>
      </c>
      <c r="M893" s="54" t="str">
        <f t="shared" si="68"/>
        <v>0-6 Months</v>
      </c>
      <c r="N893" s="54" t="str">
        <f t="shared" si="69"/>
        <v>12-18 Months</v>
      </c>
      <c r="O893" s="54" t="s">
        <v>7</v>
      </c>
      <c r="P893" s="54">
        <f t="shared" si="65"/>
        <v>2</v>
      </c>
      <c r="Q893">
        <f t="shared" si="66"/>
        <v>2</v>
      </c>
      <c r="R893">
        <f t="shared" si="67"/>
        <v>2</v>
      </c>
    </row>
    <row r="894" spans="1:18" x14ac:dyDescent="0.2">
      <c r="A894" s="54">
        <v>302910</v>
      </c>
      <c r="B894" s="54" t="s">
        <v>717</v>
      </c>
      <c r="C894" s="55">
        <v>2</v>
      </c>
      <c r="D894" s="55">
        <v>10</v>
      </c>
      <c r="E894" s="55">
        <v>2</v>
      </c>
      <c r="F894" s="55">
        <v>25</v>
      </c>
      <c r="G894" s="55">
        <v>13</v>
      </c>
      <c r="H894" s="55">
        <v>13</v>
      </c>
      <c r="I894" s="55">
        <v>2.5</v>
      </c>
      <c r="J894" s="55">
        <v>1.3</v>
      </c>
      <c r="K894" s="55">
        <v>1.3</v>
      </c>
      <c r="L894" s="55">
        <v>58</v>
      </c>
      <c r="M894" s="54" t="str">
        <f t="shared" si="68"/>
        <v>0-6 Months</v>
      </c>
      <c r="N894" s="54" t="str">
        <f t="shared" si="69"/>
        <v>12-18 Months</v>
      </c>
      <c r="O894" s="54" t="s">
        <v>7</v>
      </c>
      <c r="P894" s="54">
        <f t="shared" si="65"/>
        <v>2</v>
      </c>
      <c r="Q894">
        <f t="shared" si="66"/>
        <v>2</v>
      </c>
      <c r="R894">
        <f t="shared" si="67"/>
        <v>2</v>
      </c>
    </row>
    <row r="895" spans="1:18" x14ac:dyDescent="0.2">
      <c r="A895" s="54">
        <v>462446</v>
      </c>
      <c r="B895" s="54" t="s">
        <v>721</v>
      </c>
      <c r="C895" s="55">
        <v>2</v>
      </c>
      <c r="D895" s="55">
        <v>16</v>
      </c>
      <c r="E895" s="55">
        <v>2</v>
      </c>
      <c r="F895" s="55">
        <v>11</v>
      </c>
      <c r="G895" s="55">
        <v>11</v>
      </c>
      <c r="H895" s="55">
        <v>11</v>
      </c>
      <c r="I895" s="55">
        <v>0.69</v>
      </c>
      <c r="J895" s="55">
        <v>0.69</v>
      </c>
      <c r="K895" s="55">
        <v>0.69</v>
      </c>
      <c r="L895" s="55">
        <v>3</v>
      </c>
      <c r="M895" s="54" t="str">
        <f t="shared" si="68"/>
        <v>0-6 Months</v>
      </c>
      <c r="N895" s="54" t="str">
        <f t="shared" si="69"/>
        <v>12-18 Months</v>
      </c>
      <c r="O895" s="54" t="s">
        <v>7</v>
      </c>
      <c r="P895" s="54">
        <f t="shared" si="65"/>
        <v>0</v>
      </c>
      <c r="Q895">
        <f t="shared" si="66"/>
        <v>0</v>
      </c>
      <c r="R895">
        <f t="shared" si="67"/>
        <v>0</v>
      </c>
    </row>
    <row r="896" spans="1:18" x14ac:dyDescent="0.2">
      <c r="A896" s="54">
        <v>485667</v>
      </c>
      <c r="B896" s="54" t="s">
        <v>723</v>
      </c>
      <c r="C896" s="55">
        <v>2</v>
      </c>
      <c r="D896" s="55">
        <v>2</v>
      </c>
      <c r="E896" s="55">
        <v>2</v>
      </c>
      <c r="F896" s="55">
        <v>0</v>
      </c>
      <c r="G896" s="55">
        <v>0</v>
      </c>
      <c r="H896" s="55">
        <v>0</v>
      </c>
      <c r="I896" s="55">
        <v>0</v>
      </c>
      <c r="J896" s="55">
        <v>0</v>
      </c>
      <c r="K896" s="55">
        <v>0</v>
      </c>
      <c r="L896" s="55">
        <v>0</v>
      </c>
      <c r="M896" s="54" t="str">
        <f t="shared" si="68"/>
        <v>0-6 Months</v>
      </c>
      <c r="N896" s="54" t="str">
        <f t="shared" si="69"/>
        <v>12-18 Months</v>
      </c>
      <c r="O896" s="54" t="s">
        <v>7</v>
      </c>
      <c r="P896" s="54">
        <f t="shared" si="65"/>
        <v>0</v>
      </c>
      <c r="Q896">
        <f t="shared" si="66"/>
        <v>0</v>
      </c>
      <c r="R896">
        <f t="shared" si="67"/>
        <v>0</v>
      </c>
    </row>
    <row r="897" spans="1:18" x14ac:dyDescent="0.2">
      <c r="A897" s="54">
        <v>487376</v>
      </c>
      <c r="B897" s="54" t="s">
        <v>720</v>
      </c>
      <c r="C897" s="55">
        <v>2</v>
      </c>
      <c r="D897" s="55">
        <v>2</v>
      </c>
      <c r="E897" s="55">
        <v>2</v>
      </c>
      <c r="F897" s="55">
        <v>0</v>
      </c>
      <c r="G897" s="55">
        <v>0</v>
      </c>
      <c r="H897" s="55">
        <v>0</v>
      </c>
      <c r="I897" s="55">
        <v>0</v>
      </c>
      <c r="J897" s="55">
        <v>0</v>
      </c>
      <c r="K897" s="55">
        <v>0</v>
      </c>
      <c r="L897" s="55">
        <v>0</v>
      </c>
      <c r="M897" s="54" t="str">
        <f t="shared" si="68"/>
        <v>0-6 Months</v>
      </c>
      <c r="N897" s="54" t="str">
        <f t="shared" si="69"/>
        <v>12-18 Months</v>
      </c>
      <c r="O897" s="54" t="s">
        <v>7</v>
      </c>
      <c r="P897" s="54">
        <f t="shared" si="65"/>
        <v>0</v>
      </c>
      <c r="Q897">
        <f t="shared" si="66"/>
        <v>0</v>
      </c>
      <c r="R897">
        <f t="shared" si="67"/>
        <v>0</v>
      </c>
    </row>
    <row r="898" spans="1:18" x14ac:dyDescent="0.2">
      <c r="A898" s="54">
        <v>106394</v>
      </c>
      <c r="B898" s="54" t="s">
        <v>747</v>
      </c>
      <c r="C898" s="55">
        <v>3</v>
      </c>
      <c r="D898" s="55">
        <v>142</v>
      </c>
      <c r="E898" s="55">
        <v>2</v>
      </c>
      <c r="F898" s="55">
        <v>28</v>
      </c>
      <c r="G898" s="55">
        <v>28</v>
      </c>
      <c r="H898" s="55">
        <v>28</v>
      </c>
      <c r="I898" s="55">
        <v>0.2</v>
      </c>
      <c r="J898" s="55">
        <v>0.2</v>
      </c>
      <c r="K898" s="55">
        <v>0.2</v>
      </c>
      <c r="L898" s="55">
        <v>3</v>
      </c>
      <c r="M898" s="54" t="str">
        <f t="shared" si="68"/>
        <v>0-6 Months</v>
      </c>
      <c r="N898" s="54" t="str">
        <f t="shared" si="69"/>
        <v>12-18 Months</v>
      </c>
      <c r="O898" s="54" t="s">
        <v>6</v>
      </c>
      <c r="P898" s="54">
        <f t="shared" ref="P898:P961" si="70">IF(I898&gt;=2, C898, IF(J898&gt;=0.75, C898, 0))</f>
        <v>0</v>
      </c>
      <c r="Q898">
        <f t="shared" ref="Q898:Q961" si="71">IF(I898&gt;=2, C898, IF(AND(J898&gt;=0.75, D898&gt;=550), C898, 0))</f>
        <v>0</v>
      </c>
      <c r="R898">
        <f t="shared" ref="R898:R961" si="72">IF(J898&gt;=0.75, C898, 0)</f>
        <v>0</v>
      </c>
    </row>
    <row r="899" spans="1:18" x14ac:dyDescent="0.2">
      <c r="A899" s="54">
        <v>114678</v>
      </c>
      <c r="B899" s="54" t="s">
        <v>748</v>
      </c>
      <c r="C899" s="55">
        <v>3</v>
      </c>
      <c r="D899" s="55">
        <v>35</v>
      </c>
      <c r="E899" s="55">
        <v>2</v>
      </c>
      <c r="F899" s="55">
        <v>56</v>
      </c>
      <c r="G899" s="55">
        <v>56</v>
      </c>
      <c r="H899" s="55">
        <v>56</v>
      </c>
      <c r="I899" s="55">
        <v>1.6</v>
      </c>
      <c r="J899" s="55">
        <v>1.6</v>
      </c>
      <c r="K899" s="55">
        <v>1.6</v>
      </c>
      <c r="L899" s="55">
        <v>42</v>
      </c>
      <c r="M899" s="54" t="str">
        <f t="shared" ref="M899:M962" si="73">IF(E899&lt;6,"0-6 Months", IF(E899&lt;13, "6-12 Months", IF(E899&lt;19, "12-24 Months", IF(E899&lt;25, "12-24 Months", "24+ Months"))))</f>
        <v>0-6 Months</v>
      </c>
      <c r="N899" s="54" t="str">
        <f t="shared" ref="N899:N962" si="74">IF(E899&lt;6,"12-18 Months", IF(E899&lt;13, "18-24 Months", "24+ Months"))</f>
        <v>12-18 Months</v>
      </c>
      <c r="O899" s="54" t="s">
        <v>7</v>
      </c>
      <c r="P899" s="54">
        <f t="shared" si="70"/>
        <v>3</v>
      </c>
      <c r="Q899">
        <f t="shared" si="71"/>
        <v>0</v>
      </c>
      <c r="R899">
        <f t="shared" si="72"/>
        <v>3</v>
      </c>
    </row>
    <row r="900" spans="1:18" x14ac:dyDescent="0.2">
      <c r="A900" s="54">
        <v>151907</v>
      </c>
      <c r="B900" s="54" t="s">
        <v>746</v>
      </c>
      <c r="C900" s="55">
        <v>3</v>
      </c>
      <c r="D900" s="55">
        <v>30</v>
      </c>
      <c r="E900" s="55">
        <v>2</v>
      </c>
      <c r="F900" s="55">
        <v>3</v>
      </c>
      <c r="G900" s="55">
        <v>3</v>
      </c>
      <c r="H900" s="55">
        <v>3</v>
      </c>
      <c r="I900" s="55">
        <v>0.1</v>
      </c>
      <c r="J900" s="55">
        <v>0.1</v>
      </c>
      <c r="K900" s="55">
        <v>0.1</v>
      </c>
      <c r="L900" s="55">
        <v>0</v>
      </c>
      <c r="M900" s="54" t="str">
        <f t="shared" si="73"/>
        <v>0-6 Months</v>
      </c>
      <c r="N900" s="54" t="str">
        <f t="shared" si="74"/>
        <v>12-18 Months</v>
      </c>
      <c r="O900" s="54" t="s">
        <v>7</v>
      </c>
      <c r="P900" s="54">
        <f t="shared" si="70"/>
        <v>0</v>
      </c>
      <c r="Q900">
        <f t="shared" si="71"/>
        <v>0</v>
      </c>
      <c r="R900">
        <f t="shared" si="72"/>
        <v>0</v>
      </c>
    </row>
    <row r="901" spans="1:18" x14ac:dyDescent="0.2">
      <c r="A901" s="54">
        <v>111040</v>
      </c>
      <c r="B901" s="54" t="s">
        <v>769</v>
      </c>
      <c r="C901" s="55">
        <v>4</v>
      </c>
      <c r="D901" s="55">
        <v>4</v>
      </c>
      <c r="E901" s="55">
        <v>2</v>
      </c>
      <c r="F901" s="55">
        <v>2</v>
      </c>
      <c r="G901" s="55">
        <v>2</v>
      </c>
      <c r="H901" s="55">
        <v>2</v>
      </c>
      <c r="I901" s="55">
        <v>0.5</v>
      </c>
      <c r="J901" s="55">
        <v>0.5</v>
      </c>
      <c r="K901" s="55">
        <v>0.5</v>
      </c>
      <c r="L901" s="55">
        <v>0</v>
      </c>
      <c r="M901" s="54" t="str">
        <f t="shared" si="73"/>
        <v>0-6 Months</v>
      </c>
      <c r="N901" s="54" t="str">
        <f t="shared" si="74"/>
        <v>12-18 Months</v>
      </c>
      <c r="O901" s="54" t="s">
        <v>7</v>
      </c>
      <c r="P901" s="54">
        <f t="shared" si="70"/>
        <v>0</v>
      </c>
      <c r="Q901">
        <f t="shared" si="71"/>
        <v>0</v>
      </c>
      <c r="R901">
        <f t="shared" si="72"/>
        <v>0</v>
      </c>
    </row>
    <row r="902" spans="1:18" x14ac:dyDescent="0.2">
      <c r="A902" s="54">
        <v>114970</v>
      </c>
      <c r="B902" s="54" t="s">
        <v>768</v>
      </c>
      <c r="C902" s="55">
        <v>4</v>
      </c>
      <c r="D902" s="55">
        <v>4</v>
      </c>
      <c r="E902" s="55">
        <v>2</v>
      </c>
      <c r="F902" s="55">
        <v>3</v>
      </c>
      <c r="G902" s="55">
        <v>3</v>
      </c>
      <c r="H902" s="55">
        <v>3</v>
      </c>
      <c r="I902" s="55">
        <v>0.75</v>
      </c>
      <c r="J902" s="55">
        <v>0.75</v>
      </c>
      <c r="K902" s="55">
        <v>0.75</v>
      </c>
      <c r="L902" s="55">
        <v>0</v>
      </c>
      <c r="M902" s="54" t="str">
        <f t="shared" si="73"/>
        <v>0-6 Months</v>
      </c>
      <c r="N902" s="54" t="str">
        <f t="shared" si="74"/>
        <v>12-18 Months</v>
      </c>
      <c r="O902" s="54" t="s">
        <v>7</v>
      </c>
      <c r="P902" s="54">
        <f t="shared" si="70"/>
        <v>4</v>
      </c>
      <c r="Q902">
        <f t="shared" si="71"/>
        <v>0</v>
      </c>
      <c r="R902">
        <f t="shared" si="72"/>
        <v>4</v>
      </c>
    </row>
    <row r="903" spans="1:18" x14ac:dyDescent="0.2">
      <c r="A903" s="54">
        <v>327530</v>
      </c>
      <c r="B903" s="54" t="s">
        <v>771</v>
      </c>
      <c r="C903" s="55">
        <v>4</v>
      </c>
      <c r="D903" s="55">
        <v>30</v>
      </c>
      <c r="E903" s="55">
        <v>2</v>
      </c>
      <c r="F903" s="55">
        <v>0</v>
      </c>
      <c r="G903" s="55">
        <v>0</v>
      </c>
      <c r="H903" s="55">
        <v>0</v>
      </c>
      <c r="I903" s="55">
        <v>0</v>
      </c>
      <c r="J903" s="55">
        <v>0</v>
      </c>
      <c r="K903" s="55">
        <v>0</v>
      </c>
      <c r="L903" s="55">
        <v>0</v>
      </c>
      <c r="M903" s="54" t="str">
        <f t="shared" si="73"/>
        <v>0-6 Months</v>
      </c>
      <c r="N903" s="54" t="str">
        <f t="shared" si="74"/>
        <v>12-18 Months</v>
      </c>
      <c r="O903" s="54" t="s">
        <v>7</v>
      </c>
      <c r="P903" s="54">
        <f t="shared" si="70"/>
        <v>0</v>
      </c>
      <c r="Q903">
        <f t="shared" si="71"/>
        <v>0</v>
      </c>
      <c r="R903">
        <f t="shared" si="72"/>
        <v>0</v>
      </c>
    </row>
    <row r="904" spans="1:18" x14ac:dyDescent="0.2">
      <c r="A904" s="54">
        <v>461472</v>
      </c>
      <c r="B904" s="54" t="s">
        <v>767</v>
      </c>
      <c r="C904" s="55">
        <v>4</v>
      </c>
      <c r="D904" s="55">
        <v>1</v>
      </c>
      <c r="E904" s="55">
        <v>2</v>
      </c>
      <c r="F904" s="55">
        <v>0</v>
      </c>
      <c r="G904" s="55">
        <v>0</v>
      </c>
      <c r="H904" s="55">
        <v>0</v>
      </c>
      <c r="I904" s="55">
        <v>0</v>
      </c>
      <c r="J904" s="55">
        <v>0</v>
      </c>
      <c r="K904" s="55">
        <v>0</v>
      </c>
      <c r="L904" s="55">
        <v>0</v>
      </c>
      <c r="M904" s="54" t="str">
        <f t="shared" si="73"/>
        <v>0-6 Months</v>
      </c>
      <c r="N904" s="54" t="str">
        <f t="shared" si="74"/>
        <v>12-18 Months</v>
      </c>
      <c r="O904" s="54" t="s">
        <v>7</v>
      </c>
      <c r="P904" s="54">
        <f t="shared" si="70"/>
        <v>0</v>
      </c>
      <c r="Q904">
        <f t="shared" si="71"/>
        <v>0</v>
      </c>
      <c r="R904">
        <f t="shared" si="72"/>
        <v>0</v>
      </c>
    </row>
    <row r="905" spans="1:18" x14ac:dyDescent="0.2">
      <c r="A905" s="54">
        <v>463227</v>
      </c>
      <c r="B905" s="54" t="s">
        <v>770</v>
      </c>
      <c r="C905" s="55">
        <v>4</v>
      </c>
      <c r="D905" s="55">
        <v>110</v>
      </c>
      <c r="E905" s="55">
        <v>2</v>
      </c>
      <c r="F905" s="55">
        <v>8</v>
      </c>
      <c r="G905" s="55">
        <v>8</v>
      </c>
      <c r="H905" s="55">
        <v>8</v>
      </c>
      <c r="I905" s="55">
        <v>7.0000000000000007E-2</v>
      </c>
      <c r="J905" s="55">
        <v>7.0000000000000007E-2</v>
      </c>
      <c r="K905" s="55">
        <v>7.0000000000000007E-2</v>
      </c>
      <c r="L905" s="55">
        <v>1</v>
      </c>
      <c r="M905" s="54" t="str">
        <f t="shared" si="73"/>
        <v>0-6 Months</v>
      </c>
      <c r="N905" s="54" t="str">
        <f t="shared" si="74"/>
        <v>12-18 Months</v>
      </c>
      <c r="O905" s="54" t="s">
        <v>6</v>
      </c>
      <c r="P905" s="54">
        <f t="shared" si="70"/>
        <v>0</v>
      </c>
      <c r="Q905">
        <f t="shared" si="71"/>
        <v>0</v>
      </c>
      <c r="R905">
        <f t="shared" si="72"/>
        <v>0</v>
      </c>
    </row>
    <row r="906" spans="1:18" x14ac:dyDescent="0.2">
      <c r="A906" s="54">
        <v>111195</v>
      </c>
      <c r="B906" s="54" t="s">
        <v>787</v>
      </c>
      <c r="C906" s="55">
        <v>5</v>
      </c>
      <c r="D906" s="55">
        <v>16</v>
      </c>
      <c r="E906" s="55">
        <v>2</v>
      </c>
      <c r="F906" s="55">
        <v>17</v>
      </c>
      <c r="G906" s="55">
        <v>17</v>
      </c>
      <c r="H906" s="55">
        <v>17</v>
      </c>
      <c r="I906" s="55">
        <v>1.06</v>
      </c>
      <c r="J906" s="55">
        <v>1.06</v>
      </c>
      <c r="K906" s="55">
        <v>1.06</v>
      </c>
      <c r="L906" s="55">
        <v>1</v>
      </c>
      <c r="M906" s="54" t="str">
        <f t="shared" si="73"/>
        <v>0-6 Months</v>
      </c>
      <c r="N906" s="54" t="str">
        <f t="shared" si="74"/>
        <v>12-18 Months</v>
      </c>
      <c r="O906" s="54" t="s">
        <v>7</v>
      </c>
      <c r="P906" s="54">
        <f t="shared" si="70"/>
        <v>5</v>
      </c>
      <c r="Q906">
        <f t="shared" si="71"/>
        <v>0</v>
      </c>
      <c r="R906">
        <f t="shared" si="72"/>
        <v>5</v>
      </c>
    </row>
    <row r="907" spans="1:18" x14ac:dyDescent="0.2">
      <c r="A907" s="54">
        <v>115592</v>
      </c>
      <c r="B907" s="54" t="s">
        <v>790</v>
      </c>
      <c r="C907" s="55">
        <v>5</v>
      </c>
      <c r="D907" s="55">
        <v>4</v>
      </c>
      <c r="E907" s="55">
        <v>2</v>
      </c>
      <c r="F907" s="55">
        <v>0</v>
      </c>
      <c r="G907" s="55">
        <v>0</v>
      </c>
      <c r="H907" s="55">
        <v>0</v>
      </c>
      <c r="I907" s="55">
        <v>0</v>
      </c>
      <c r="J907" s="55">
        <v>0</v>
      </c>
      <c r="K907" s="55">
        <v>0</v>
      </c>
      <c r="L907" s="55">
        <v>0</v>
      </c>
      <c r="M907" s="54" t="str">
        <f t="shared" si="73"/>
        <v>0-6 Months</v>
      </c>
      <c r="N907" s="54" t="str">
        <f t="shared" si="74"/>
        <v>12-18 Months</v>
      </c>
      <c r="O907" s="54" t="s">
        <v>7</v>
      </c>
      <c r="P907" s="54">
        <f t="shared" si="70"/>
        <v>0</v>
      </c>
      <c r="Q907">
        <f t="shared" si="71"/>
        <v>0</v>
      </c>
      <c r="R907">
        <f t="shared" si="72"/>
        <v>0</v>
      </c>
    </row>
    <row r="908" spans="1:18" x14ac:dyDescent="0.2">
      <c r="A908" s="54">
        <v>308828</v>
      </c>
      <c r="B908" s="54" t="s">
        <v>788</v>
      </c>
      <c r="C908" s="55">
        <v>5</v>
      </c>
      <c r="D908" s="55">
        <v>140</v>
      </c>
      <c r="E908" s="55">
        <v>2</v>
      </c>
      <c r="F908" s="55">
        <v>0</v>
      </c>
      <c r="G908" s="55">
        <v>0</v>
      </c>
      <c r="H908" s="55">
        <v>0</v>
      </c>
      <c r="I908" s="55">
        <v>0</v>
      </c>
      <c r="J908" s="55">
        <v>0</v>
      </c>
      <c r="K908" s="55">
        <v>0</v>
      </c>
      <c r="L908" s="55">
        <v>0</v>
      </c>
      <c r="M908" s="54" t="str">
        <f t="shared" si="73"/>
        <v>0-6 Months</v>
      </c>
      <c r="N908" s="54" t="str">
        <f t="shared" si="74"/>
        <v>12-18 Months</v>
      </c>
      <c r="O908" s="54" t="s">
        <v>6</v>
      </c>
      <c r="P908" s="54">
        <f t="shared" si="70"/>
        <v>0</v>
      </c>
      <c r="Q908">
        <f t="shared" si="71"/>
        <v>0</v>
      </c>
      <c r="R908">
        <f t="shared" si="72"/>
        <v>0</v>
      </c>
    </row>
    <row r="909" spans="1:18" x14ac:dyDescent="0.2">
      <c r="A909" s="54">
        <v>313841</v>
      </c>
      <c r="B909" s="54" t="s">
        <v>786</v>
      </c>
      <c r="C909" s="55">
        <v>5</v>
      </c>
      <c r="D909" s="55">
        <v>3</v>
      </c>
      <c r="E909" s="55">
        <v>2</v>
      </c>
      <c r="F909" s="55">
        <v>0</v>
      </c>
      <c r="G909" s="55">
        <v>0</v>
      </c>
      <c r="H909" s="55">
        <v>0</v>
      </c>
      <c r="I909" s="55">
        <v>0</v>
      </c>
      <c r="J909" s="55">
        <v>0</v>
      </c>
      <c r="K909" s="55">
        <v>0</v>
      </c>
      <c r="L909" s="55">
        <v>0</v>
      </c>
      <c r="M909" s="54" t="str">
        <f t="shared" si="73"/>
        <v>0-6 Months</v>
      </c>
      <c r="N909" s="54" t="str">
        <f t="shared" si="74"/>
        <v>12-18 Months</v>
      </c>
      <c r="O909" s="54" t="s">
        <v>7</v>
      </c>
      <c r="P909" s="54">
        <f t="shared" si="70"/>
        <v>0</v>
      </c>
      <c r="Q909">
        <f t="shared" si="71"/>
        <v>0</v>
      </c>
      <c r="R909">
        <f t="shared" si="72"/>
        <v>0</v>
      </c>
    </row>
    <row r="910" spans="1:18" x14ac:dyDescent="0.2">
      <c r="A910" s="54">
        <v>499870</v>
      </c>
      <c r="B910" s="54" t="s">
        <v>791</v>
      </c>
      <c r="C910" s="55">
        <v>5</v>
      </c>
      <c r="D910" s="55">
        <v>5</v>
      </c>
      <c r="E910" s="55">
        <v>2</v>
      </c>
      <c r="F910" s="55">
        <v>60</v>
      </c>
      <c r="G910" s="55">
        <v>58</v>
      </c>
      <c r="H910" s="55">
        <v>58</v>
      </c>
      <c r="I910" s="55">
        <v>12</v>
      </c>
      <c r="J910" s="55">
        <v>11.6</v>
      </c>
      <c r="K910" s="55">
        <v>11.6</v>
      </c>
      <c r="L910" s="55">
        <v>3</v>
      </c>
      <c r="M910" s="54" t="str">
        <f t="shared" si="73"/>
        <v>0-6 Months</v>
      </c>
      <c r="N910" s="54" t="str">
        <f t="shared" si="74"/>
        <v>12-18 Months</v>
      </c>
      <c r="O910" s="54" t="s">
        <v>7</v>
      </c>
      <c r="P910" s="54">
        <f t="shared" si="70"/>
        <v>5</v>
      </c>
      <c r="Q910">
        <f t="shared" si="71"/>
        <v>5</v>
      </c>
      <c r="R910">
        <f t="shared" si="72"/>
        <v>5</v>
      </c>
    </row>
    <row r="911" spans="1:18" x14ac:dyDescent="0.2">
      <c r="A911" s="54">
        <v>510989</v>
      </c>
      <c r="B911" s="54" t="s">
        <v>789</v>
      </c>
      <c r="C911" s="55">
        <v>5</v>
      </c>
      <c r="D911" s="55">
        <v>5</v>
      </c>
      <c r="E911" s="55">
        <v>2</v>
      </c>
      <c r="F911" s="55">
        <v>0</v>
      </c>
      <c r="G911" s="55">
        <v>0</v>
      </c>
      <c r="H911" s="55">
        <v>0</v>
      </c>
      <c r="I911" s="55">
        <v>0</v>
      </c>
      <c r="J911" s="55">
        <v>0</v>
      </c>
      <c r="K911" s="55">
        <v>0</v>
      </c>
      <c r="L911" s="55">
        <v>0</v>
      </c>
      <c r="M911" s="54" t="str">
        <f t="shared" si="73"/>
        <v>0-6 Months</v>
      </c>
      <c r="N911" s="54" t="str">
        <f t="shared" si="74"/>
        <v>12-18 Months</v>
      </c>
      <c r="O911" s="54" t="s">
        <v>7</v>
      </c>
      <c r="P911" s="54">
        <f t="shared" si="70"/>
        <v>0</v>
      </c>
      <c r="Q911">
        <f t="shared" si="71"/>
        <v>0</v>
      </c>
      <c r="R911">
        <f t="shared" si="72"/>
        <v>0</v>
      </c>
    </row>
    <row r="912" spans="1:18" x14ac:dyDescent="0.2">
      <c r="A912" s="54">
        <v>109631</v>
      </c>
      <c r="B912" s="54" t="s">
        <v>810</v>
      </c>
      <c r="C912" s="55">
        <v>6</v>
      </c>
      <c r="D912" s="55">
        <v>93</v>
      </c>
      <c r="E912" s="55">
        <v>2</v>
      </c>
      <c r="F912" s="55">
        <v>8</v>
      </c>
      <c r="G912" s="55">
        <v>8</v>
      </c>
      <c r="H912" s="55">
        <v>8</v>
      </c>
      <c r="I912" s="55">
        <v>0.09</v>
      </c>
      <c r="J912" s="55">
        <v>0.09</v>
      </c>
      <c r="K912" s="55">
        <v>0.09</v>
      </c>
      <c r="L912" s="55">
        <v>0</v>
      </c>
      <c r="M912" s="54" t="str">
        <f t="shared" si="73"/>
        <v>0-6 Months</v>
      </c>
      <c r="N912" s="54" t="str">
        <f t="shared" si="74"/>
        <v>12-18 Months</v>
      </c>
      <c r="O912" s="54" t="s">
        <v>7</v>
      </c>
      <c r="P912" s="54">
        <f t="shared" si="70"/>
        <v>0</v>
      </c>
      <c r="Q912">
        <f t="shared" si="71"/>
        <v>0</v>
      </c>
      <c r="R912">
        <f t="shared" si="72"/>
        <v>0</v>
      </c>
    </row>
    <row r="913" spans="1:18" x14ac:dyDescent="0.2">
      <c r="A913" s="54">
        <v>142334</v>
      </c>
      <c r="B913" s="54" t="s">
        <v>808</v>
      </c>
      <c r="C913" s="55">
        <v>6</v>
      </c>
      <c r="D913" s="55">
        <v>5</v>
      </c>
      <c r="E913" s="55">
        <v>2</v>
      </c>
      <c r="F913" s="55">
        <v>0</v>
      </c>
      <c r="G913" s="55">
        <v>3</v>
      </c>
      <c r="H913" s="55">
        <v>3</v>
      </c>
      <c r="I913" s="55">
        <v>0</v>
      </c>
      <c r="J913" s="55">
        <v>0.6</v>
      </c>
      <c r="K913" s="55">
        <v>0.6</v>
      </c>
      <c r="L913" s="55">
        <v>0</v>
      </c>
      <c r="M913" s="54" t="str">
        <f t="shared" si="73"/>
        <v>0-6 Months</v>
      </c>
      <c r="N913" s="54" t="str">
        <f t="shared" si="74"/>
        <v>12-18 Months</v>
      </c>
      <c r="O913" s="54" t="s">
        <v>7</v>
      </c>
      <c r="P913" s="54">
        <f t="shared" si="70"/>
        <v>0</v>
      </c>
      <c r="Q913">
        <f t="shared" si="71"/>
        <v>0</v>
      </c>
      <c r="R913">
        <f t="shared" si="72"/>
        <v>0</v>
      </c>
    </row>
    <row r="914" spans="1:18" x14ac:dyDescent="0.2">
      <c r="A914" s="54">
        <v>318133</v>
      </c>
      <c r="B914" s="54" t="s">
        <v>811</v>
      </c>
      <c r="C914" s="55">
        <v>6</v>
      </c>
      <c r="D914" s="55">
        <v>4</v>
      </c>
      <c r="E914" s="55">
        <v>2</v>
      </c>
      <c r="F914" s="55">
        <v>4</v>
      </c>
      <c r="G914" s="55">
        <v>4</v>
      </c>
      <c r="H914" s="55">
        <v>4</v>
      </c>
      <c r="I914" s="55">
        <v>1</v>
      </c>
      <c r="J914" s="55">
        <v>1</v>
      </c>
      <c r="K914" s="55">
        <v>1</v>
      </c>
      <c r="L914" s="55">
        <v>0</v>
      </c>
      <c r="M914" s="54" t="str">
        <f t="shared" si="73"/>
        <v>0-6 Months</v>
      </c>
      <c r="N914" s="54" t="str">
        <f t="shared" si="74"/>
        <v>12-18 Months</v>
      </c>
      <c r="O914" s="54" t="s">
        <v>7</v>
      </c>
      <c r="P914" s="54">
        <f t="shared" si="70"/>
        <v>6</v>
      </c>
      <c r="Q914">
        <f t="shared" si="71"/>
        <v>0</v>
      </c>
      <c r="R914">
        <f t="shared" si="72"/>
        <v>6</v>
      </c>
    </row>
    <row r="915" spans="1:18" x14ac:dyDescent="0.2">
      <c r="A915" s="54">
        <v>460013</v>
      </c>
      <c r="B915" s="54" t="s">
        <v>812</v>
      </c>
      <c r="C915" s="55">
        <v>6</v>
      </c>
      <c r="D915" s="55">
        <v>32</v>
      </c>
      <c r="E915" s="55">
        <v>2</v>
      </c>
      <c r="F915" s="55">
        <v>0</v>
      </c>
      <c r="G915" s="55">
        <v>0</v>
      </c>
      <c r="H915" s="55">
        <v>0</v>
      </c>
      <c r="I915" s="55">
        <v>0</v>
      </c>
      <c r="J915" s="55">
        <v>0</v>
      </c>
      <c r="K915" s="55">
        <v>0</v>
      </c>
      <c r="L915" s="55">
        <v>0</v>
      </c>
      <c r="M915" s="54" t="str">
        <f t="shared" si="73"/>
        <v>0-6 Months</v>
      </c>
      <c r="N915" s="54" t="str">
        <f t="shared" si="74"/>
        <v>12-18 Months</v>
      </c>
      <c r="O915" s="54" t="s">
        <v>7</v>
      </c>
      <c r="P915" s="54">
        <f t="shared" si="70"/>
        <v>0</v>
      </c>
      <c r="Q915">
        <f t="shared" si="71"/>
        <v>0</v>
      </c>
      <c r="R915">
        <f t="shared" si="72"/>
        <v>0</v>
      </c>
    </row>
    <row r="916" spans="1:18" x14ac:dyDescent="0.2">
      <c r="A916" s="54">
        <v>531557</v>
      </c>
      <c r="B916" s="54" t="s">
        <v>809</v>
      </c>
      <c r="C916" s="55">
        <v>6</v>
      </c>
      <c r="D916" s="55">
        <v>6</v>
      </c>
      <c r="E916" s="55">
        <v>2</v>
      </c>
      <c r="F916" s="55">
        <v>3</v>
      </c>
      <c r="G916" s="55">
        <v>3</v>
      </c>
      <c r="H916" s="55">
        <v>3</v>
      </c>
      <c r="I916" s="55">
        <v>0.5</v>
      </c>
      <c r="J916" s="55">
        <v>0.5</v>
      </c>
      <c r="K916" s="55">
        <v>0.5</v>
      </c>
      <c r="L916" s="55">
        <v>0</v>
      </c>
      <c r="M916" s="54" t="str">
        <f t="shared" si="73"/>
        <v>0-6 Months</v>
      </c>
      <c r="N916" s="54" t="str">
        <f t="shared" si="74"/>
        <v>12-18 Months</v>
      </c>
      <c r="O916" s="54" t="s">
        <v>7</v>
      </c>
      <c r="P916" s="54">
        <f t="shared" si="70"/>
        <v>0</v>
      </c>
      <c r="Q916">
        <f t="shared" si="71"/>
        <v>0</v>
      </c>
      <c r="R916">
        <f t="shared" si="72"/>
        <v>0</v>
      </c>
    </row>
    <row r="917" spans="1:18" x14ac:dyDescent="0.2">
      <c r="A917" s="54">
        <v>143871</v>
      </c>
      <c r="B917" s="54" t="s">
        <v>825</v>
      </c>
      <c r="C917" s="55">
        <v>7</v>
      </c>
      <c r="D917" s="55">
        <v>5</v>
      </c>
      <c r="E917" s="55">
        <v>2</v>
      </c>
      <c r="F917" s="55">
        <v>2</v>
      </c>
      <c r="G917" s="55">
        <v>2</v>
      </c>
      <c r="H917" s="55">
        <v>2</v>
      </c>
      <c r="I917" s="55">
        <v>0.4</v>
      </c>
      <c r="J917" s="55">
        <v>0.4</v>
      </c>
      <c r="K917" s="55">
        <v>0.4</v>
      </c>
      <c r="L917" s="55">
        <v>10</v>
      </c>
      <c r="M917" s="54" t="str">
        <f t="shared" si="73"/>
        <v>0-6 Months</v>
      </c>
      <c r="N917" s="54" t="str">
        <f t="shared" si="74"/>
        <v>12-18 Months</v>
      </c>
      <c r="O917" s="54" t="s">
        <v>7</v>
      </c>
      <c r="P917" s="54">
        <f t="shared" si="70"/>
        <v>0</v>
      </c>
      <c r="Q917">
        <f t="shared" si="71"/>
        <v>0</v>
      </c>
      <c r="R917">
        <f t="shared" si="72"/>
        <v>0</v>
      </c>
    </row>
    <row r="918" spans="1:18" x14ac:dyDescent="0.2">
      <c r="A918" s="54">
        <v>168226</v>
      </c>
      <c r="B918" s="54" t="s">
        <v>824</v>
      </c>
      <c r="C918" s="55">
        <v>7</v>
      </c>
      <c r="D918" s="55">
        <v>18</v>
      </c>
      <c r="E918" s="55">
        <v>2</v>
      </c>
      <c r="F918" s="55">
        <v>10</v>
      </c>
      <c r="G918" s="55">
        <v>6</v>
      </c>
      <c r="H918" s="55">
        <v>6</v>
      </c>
      <c r="I918" s="55">
        <v>0.56000000000000005</v>
      </c>
      <c r="J918" s="55">
        <v>0.33</v>
      </c>
      <c r="K918" s="55">
        <v>0.33</v>
      </c>
      <c r="L918" s="55">
        <v>1</v>
      </c>
      <c r="M918" s="54" t="str">
        <f t="shared" si="73"/>
        <v>0-6 Months</v>
      </c>
      <c r="N918" s="54" t="str">
        <f t="shared" si="74"/>
        <v>12-18 Months</v>
      </c>
      <c r="O918" s="54" t="s">
        <v>7</v>
      </c>
      <c r="P918" s="54">
        <f t="shared" si="70"/>
        <v>0</v>
      </c>
      <c r="Q918">
        <f t="shared" si="71"/>
        <v>0</v>
      </c>
      <c r="R918">
        <f t="shared" si="72"/>
        <v>0</v>
      </c>
    </row>
    <row r="919" spans="1:18" x14ac:dyDescent="0.2">
      <c r="A919" s="54">
        <v>112487</v>
      </c>
      <c r="B919" s="54" t="s">
        <v>842</v>
      </c>
      <c r="C919" s="55">
        <v>8</v>
      </c>
      <c r="D919" s="55">
        <v>8</v>
      </c>
      <c r="E919" s="55">
        <v>2</v>
      </c>
      <c r="F919" s="55">
        <v>0</v>
      </c>
      <c r="G919" s="55">
        <v>0</v>
      </c>
      <c r="H919" s="55">
        <v>0</v>
      </c>
      <c r="I919" s="55">
        <v>0</v>
      </c>
      <c r="J919" s="55">
        <v>0</v>
      </c>
      <c r="K919" s="55">
        <v>0</v>
      </c>
      <c r="L919" s="55">
        <v>0</v>
      </c>
      <c r="M919" s="54" t="str">
        <f t="shared" si="73"/>
        <v>0-6 Months</v>
      </c>
      <c r="N919" s="54" t="str">
        <f t="shared" si="74"/>
        <v>12-18 Months</v>
      </c>
      <c r="O919" s="54" t="s">
        <v>7</v>
      </c>
      <c r="P919" s="54">
        <f t="shared" si="70"/>
        <v>0</v>
      </c>
      <c r="Q919">
        <f t="shared" si="71"/>
        <v>0</v>
      </c>
      <c r="R919">
        <f t="shared" si="72"/>
        <v>0</v>
      </c>
    </row>
    <row r="920" spans="1:18" x14ac:dyDescent="0.2">
      <c r="A920" s="54">
        <v>136308</v>
      </c>
      <c r="B920" s="54" t="s">
        <v>839</v>
      </c>
      <c r="C920" s="55">
        <v>8</v>
      </c>
      <c r="D920" s="55">
        <v>8</v>
      </c>
      <c r="E920" s="55">
        <v>2</v>
      </c>
      <c r="F920" s="55">
        <v>4</v>
      </c>
      <c r="G920" s="55">
        <v>4</v>
      </c>
      <c r="H920" s="55">
        <v>4</v>
      </c>
      <c r="I920" s="55">
        <v>0.5</v>
      </c>
      <c r="J920" s="55">
        <v>0.5</v>
      </c>
      <c r="K920" s="55">
        <v>0.5</v>
      </c>
      <c r="L920" s="55">
        <v>6</v>
      </c>
      <c r="M920" s="54" t="str">
        <f t="shared" si="73"/>
        <v>0-6 Months</v>
      </c>
      <c r="N920" s="54" t="str">
        <f t="shared" si="74"/>
        <v>12-18 Months</v>
      </c>
      <c r="O920" s="54" t="s">
        <v>7</v>
      </c>
      <c r="P920" s="54">
        <f t="shared" si="70"/>
        <v>0</v>
      </c>
      <c r="Q920">
        <f t="shared" si="71"/>
        <v>0</v>
      </c>
      <c r="R920">
        <f t="shared" si="72"/>
        <v>0</v>
      </c>
    </row>
    <row r="921" spans="1:18" x14ac:dyDescent="0.2">
      <c r="A921" s="54">
        <v>183514</v>
      </c>
      <c r="B921" s="54" t="s">
        <v>845</v>
      </c>
      <c r="C921" s="55">
        <v>8</v>
      </c>
      <c r="D921" s="55">
        <v>6</v>
      </c>
      <c r="E921" s="55">
        <v>2</v>
      </c>
      <c r="F921" s="55">
        <v>36</v>
      </c>
      <c r="G921" s="55">
        <v>36</v>
      </c>
      <c r="H921" s="55">
        <v>36</v>
      </c>
      <c r="I921" s="55">
        <v>6</v>
      </c>
      <c r="J921" s="55">
        <v>6</v>
      </c>
      <c r="K921" s="55">
        <v>6</v>
      </c>
      <c r="L921" s="55">
        <v>0</v>
      </c>
      <c r="M921" s="54" t="str">
        <f t="shared" si="73"/>
        <v>0-6 Months</v>
      </c>
      <c r="N921" s="54" t="str">
        <f t="shared" si="74"/>
        <v>12-18 Months</v>
      </c>
      <c r="O921" s="54" t="s">
        <v>7</v>
      </c>
      <c r="P921" s="54">
        <f t="shared" si="70"/>
        <v>8</v>
      </c>
      <c r="Q921">
        <f t="shared" si="71"/>
        <v>8</v>
      </c>
      <c r="R921">
        <f t="shared" si="72"/>
        <v>8</v>
      </c>
    </row>
    <row r="922" spans="1:18" x14ac:dyDescent="0.2">
      <c r="A922" s="54">
        <v>218005</v>
      </c>
      <c r="B922" s="54" t="s">
        <v>841</v>
      </c>
      <c r="C922" s="55">
        <v>8</v>
      </c>
      <c r="D922" s="55">
        <v>20</v>
      </c>
      <c r="E922" s="55">
        <v>2</v>
      </c>
      <c r="F922" s="55">
        <v>19</v>
      </c>
      <c r="G922" s="55">
        <v>19</v>
      </c>
      <c r="H922" s="55">
        <v>19</v>
      </c>
      <c r="I922" s="55">
        <v>0.95</v>
      </c>
      <c r="J922" s="55">
        <v>0.95</v>
      </c>
      <c r="K922" s="55">
        <v>0.95</v>
      </c>
      <c r="L922" s="55">
        <v>0</v>
      </c>
      <c r="M922" s="54" t="str">
        <f t="shared" si="73"/>
        <v>0-6 Months</v>
      </c>
      <c r="N922" s="54" t="str">
        <f t="shared" si="74"/>
        <v>12-18 Months</v>
      </c>
      <c r="O922" s="54" t="s">
        <v>7</v>
      </c>
      <c r="P922" s="54">
        <f t="shared" si="70"/>
        <v>8</v>
      </c>
      <c r="Q922">
        <f t="shared" si="71"/>
        <v>0</v>
      </c>
      <c r="R922">
        <f t="shared" si="72"/>
        <v>8</v>
      </c>
    </row>
    <row r="923" spans="1:18" x14ac:dyDescent="0.2">
      <c r="A923" s="54">
        <v>411270</v>
      </c>
      <c r="B923" s="54" t="s">
        <v>838</v>
      </c>
      <c r="C923" s="55">
        <v>8</v>
      </c>
      <c r="D923" s="55">
        <v>8</v>
      </c>
      <c r="E923" s="55">
        <v>2</v>
      </c>
      <c r="F923" s="55">
        <v>35</v>
      </c>
      <c r="G923" s="55">
        <v>35</v>
      </c>
      <c r="H923" s="55">
        <v>35</v>
      </c>
      <c r="I923" s="55">
        <v>4.38</v>
      </c>
      <c r="J923" s="55">
        <v>4.38</v>
      </c>
      <c r="K923" s="55">
        <v>4.38</v>
      </c>
      <c r="L923" s="55">
        <v>30</v>
      </c>
      <c r="M923" s="54" t="str">
        <f t="shared" si="73"/>
        <v>0-6 Months</v>
      </c>
      <c r="N923" s="54" t="str">
        <f t="shared" si="74"/>
        <v>12-18 Months</v>
      </c>
      <c r="O923" s="54" t="s">
        <v>7</v>
      </c>
      <c r="P923" s="54">
        <f t="shared" si="70"/>
        <v>8</v>
      </c>
      <c r="Q923">
        <f t="shared" si="71"/>
        <v>8</v>
      </c>
      <c r="R923">
        <f t="shared" si="72"/>
        <v>8</v>
      </c>
    </row>
    <row r="924" spans="1:18" x14ac:dyDescent="0.2">
      <c r="A924" s="54">
        <v>467078</v>
      </c>
      <c r="B924" s="54" t="s">
        <v>840</v>
      </c>
      <c r="C924" s="55">
        <v>8</v>
      </c>
      <c r="D924" s="55">
        <v>7</v>
      </c>
      <c r="E924" s="55">
        <v>2</v>
      </c>
      <c r="F924" s="55">
        <v>0</v>
      </c>
      <c r="G924" s="55">
        <v>0</v>
      </c>
      <c r="H924" s="55">
        <v>0</v>
      </c>
      <c r="I924" s="55">
        <v>0</v>
      </c>
      <c r="J924" s="55">
        <v>0</v>
      </c>
      <c r="K924" s="55">
        <v>0</v>
      </c>
      <c r="L924" s="55">
        <v>0</v>
      </c>
      <c r="M924" s="54" t="str">
        <f t="shared" si="73"/>
        <v>0-6 Months</v>
      </c>
      <c r="N924" s="54" t="str">
        <f t="shared" si="74"/>
        <v>12-18 Months</v>
      </c>
      <c r="O924" s="54" t="s">
        <v>7</v>
      </c>
      <c r="P924" s="54">
        <f t="shared" si="70"/>
        <v>0</v>
      </c>
      <c r="Q924">
        <f t="shared" si="71"/>
        <v>0</v>
      </c>
      <c r="R924">
        <f t="shared" si="72"/>
        <v>0</v>
      </c>
    </row>
    <row r="925" spans="1:18" x14ac:dyDescent="0.2">
      <c r="A925" s="54">
        <v>472006</v>
      </c>
      <c r="B925" s="54" t="s">
        <v>843</v>
      </c>
      <c r="C925" s="55">
        <v>8</v>
      </c>
      <c r="D925" s="55">
        <v>8</v>
      </c>
      <c r="E925" s="55">
        <v>2</v>
      </c>
      <c r="F925" s="55">
        <v>2</v>
      </c>
      <c r="G925" s="55">
        <v>1</v>
      </c>
      <c r="H925" s="55">
        <v>1</v>
      </c>
      <c r="I925" s="55">
        <v>0.25</v>
      </c>
      <c r="J925" s="55">
        <v>0.13</v>
      </c>
      <c r="K925" s="55">
        <v>0.13</v>
      </c>
      <c r="L925" s="55">
        <v>0</v>
      </c>
      <c r="M925" s="54" t="str">
        <f t="shared" si="73"/>
        <v>0-6 Months</v>
      </c>
      <c r="N925" s="54" t="str">
        <f t="shared" si="74"/>
        <v>12-18 Months</v>
      </c>
      <c r="O925" s="54" t="s">
        <v>7</v>
      </c>
      <c r="P925" s="54">
        <f t="shared" si="70"/>
        <v>0</v>
      </c>
      <c r="Q925">
        <f t="shared" si="71"/>
        <v>0</v>
      </c>
      <c r="R925">
        <f t="shared" si="72"/>
        <v>0</v>
      </c>
    </row>
    <row r="926" spans="1:18" x14ac:dyDescent="0.2">
      <c r="A926" s="54">
        <v>524778</v>
      </c>
      <c r="B926" s="54" t="s">
        <v>844</v>
      </c>
      <c r="C926" s="55">
        <v>8</v>
      </c>
      <c r="D926" s="55">
        <v>8</v>
      </c>
      <c r="E926" s="55">
        <v>2</v>
      </c>
      <c r="F926" s="55">
        <v>31</v>
      </c>
      <c r="G926" s="55">
        <v>31</v>
      </c>
      <c r="H926" s="55">
        <v>31</v>
      </c>
      <c r="I926" s="55">
        <v>3.88</v>
      </c>
      <c r="J926" s="55">
        <v>3.88</v>
      </c>
      <c r="K926" s="55">
        <v>3.88</v>
      </c>
      <c r="L926" s="55">
        <v>1</v>
      </c>
      <c r="M926" s="54" t="str">
        <f t="shared" si="73"/>
        <v>0-6 Months</v>
      </c>
      <c r="N926" s="54" t="str">
        <f t="shared" si="74"/>
        <v>12-18 Months</v>
      </c>
      <c r="O926" s="54" t="s">
        <v>7</v>
      </c>
      <c r="P926" s="54">
        <f t="shared" si="70"/>
        <v>8</v>
      </c>
      <c r="Q926">
        <f t="shared" si="71"/>
        <v>8</v>
      </c>
      <c r="R926">
        <f t="shared" si="72"/>
        <v>8</v>
      </c>
    </row>
    <row r="927" spans="1:18" x14ac:dyDescent="0.2">
      <c r="A927" s="54">
        <v>113500</v>
      </c>
      <c r="B927" s="54" t="s">
        <v>859</v>
      </c>
      <c r="C927" s="55">
        <v>9</v>
      </c>
      <c r="D927" s="55">
        <v>10</v>
      </c>
      <c r="E927" s="55">
        <v>2</v>
      </c>
      <c r="F927" s="55">
        <v>0</v>
      </c>
      <c r="G927" s="55">
        <v>0</v>
      </c>
      <c r="H927" s="55">
        <v>0</v>
      </c>
      <c r="I927" s="55">
        <v>0</v>
      </c>
      <c r="J927" s="55">
        <v>0</v>
      </c>
      <c r="K927" s="55">
        <v>0</v>
      </c>
      <c r="L927" s="55">
        <v>0</v>
      </c>
      <c r="M927" s="54" t="str">
        <f t="shared" si="73"/>
        <v>0-6 Months</v>
      </c>
      <c r="N927" s="54" t="str">
        <f t="shared" si="74"/>
        <v>12-18 Months</v>
      </c>
      <c r="O927" s="54" t="s">
        <v>7</v>
      </c>
      <c r="P927" s="54">
        <f t="shared" si="70"/>
        <v>0</v>
      </c>
      <c r="Q927">
        <f t="shared" si="71"/>
        <v>0</v>
      </c>
      <c r="R927">
        <f t="shared" si="72"/>
        <v>0</v>
      </c>
    </row>
    <row r="928" spans="1:18" x14ac:dyDescent="0.2">
      <c r="A928" s="54">
        <v>140244</v>
      </c>
      <c r="B928" s="54" t="s">
        <v>860</v>
      </c>
      <c r="C928" s="55">
        <v>9</v>
      </c>
      <c r="D928" s="55">
        <v>8</v>
      </c>
      <c r="E928" s="55">
        <v>2</v>
      </c>
      <c r="F928" s="55">
        <v>0</v>
      </c>
      <c r="G928" s="55">
        <v>0</v>
      </c>
      <c r="H928" s="55">
        <v>0</v>
      </c>
      <c r="I928" s="55">
        <v>0</v>
      </c>
      <c r="J928" s="55">
        <v>0</v>
      </c>
      <c r="K928" s="55">
        <v>0</v>
      </c>
      <c r="L928" s="55">
        <v>0</v>
      </c>
      <c r="M928" s="54" t="str">
        <f t="shared" si="73"/>
        <v>0-6 Months</v>
      </c>
      <c r="N928" s="54" t="str">
        <f t="shared" si="74"/>
        <v>12-18 Months</v>
      </c>
      <c r="O928" s="54" t="s">
        <v>7</v>
      </c>
      <c r="P928" s="54">
        <f t="shared" si="70"/>
        <v>0</v>
      </c>
      <c r="Q928">
        <f t="shared" si="71"/>
        <v>0</v>
      </c>
      <c r="R928">
        <f t="shared" si="72"/>
        <v>0</v>
      </c>
    </row>
    <row r="929" spans="1:18" x14ac:dyDescent="0.2">
      <c r="A929" s="54">
        <v>149648</v>
      </c>
      <c r="B929" s="54" t="s">
        <v>857</v>
      </c>
      <c r="C929" s="55">
        <v>9</v>
      </c>
      <c r="D929" s="55">
        <v>30</v>
      </c>
      <c r="E929" s="55">
        <v>2</v>
      </c>
      <c r="F929" s="55">
        <v>4</v>
      </c>
      <c r="G929" s="55">
        <v>4</v>
      </c>
      <c r="H929" s="55">
        <v>4</v>
      </c>
      <c r="I929" s="55">
        <v>0.13</v>
      </c>
      <c r="J929" s="55">
        <v>0.13</v>
      </c>
      <c r="K929" s="55">
        <v>0.13</v>
      </c>
      <c r="L929" s="55">
        <v>0</v>
      </c>
      <c r="M929" s="54" t="str">
        <f t="shared" si="73"/>
        <v>0-6 Months</v>
      </c>
      <c r="N929" s="54" t="str">
        <f t="shared" si="74"/>
        <v>12-18 Months</v>
      </c>
      <c r="O929" s="54" t="s">
        <v>7</v>
      </c>
      <c r="P929" s="54">
        <f t="shared" si="70"/>
        <v>0</v>
      </c>
      <c r="Q929">
        <f t="shared" si="71"/>
        <v>0</v>
      </c>
      <c r="R929">
        <f t="shared" si="72"/>
        <v>0</v>
      </c>
    </row>
    <row r="930" spans="1:18" x14ac:dyDescent="0.2">
      <c r="A930" s="54">
        <v>164265</v>
      </c>
      <c r="B930" s="54" t="s">
        <v>861</v>
      </c>
      <c r="C930" s="55">
        <v>9</v>
      </c>
      <c r="D930" s="55">
        <v>8</v>
      </c>
      <c r="E930" s="55">
        <v>2</v>
      </c>
      <c r="F930" s="55">
        <v>91</v>
      </c>
      <c r="G930" s="55">
        <v>54</v>
      </c>
      <c r="H930" s="55">
        <v>54</v>
      </c>
      <c r="I930" s="55">
        <v>11.38</v>
      </c>
      <c r="J930" s="55">
        <v>6.75</v>
      </c>
      <c r="K930" s="55">
        <v>6.75</v>
      </c>
      <c r="L930" s="55">
        <v>42</v>
      </c>
      <c r="M930" s="54" t="str">
        <f t="shared" si="73"/>
        <v>0-6 Months</v>
      </c>
      <c r="N930" s="54" t="str">
        <f t="shared" si="74"/>
        <v>12-18 Months</v>
      </c>
      <c r="O930" s="54" t="s">
        <v>7</v>
      </c>
      <c r="P930" s="54">
        <f t="shared" si="70"/>
        <v>9</v>
      </c>
      <c r="Q930">
        <f t="shared" si="71"/>
        <v>9</v>
      </c>
      <c r="R930">
        <f t="shared" si="72"/>
        <v>9</v>
      </c>
    </row>
    <row r="931" spans="1:18" x14ac:dyDescent="0.2">
      <c r="A931" s="54">
        <v>600593</v>
      </c>
      <c r="B931" s="54" t="s">
        <v>858</v>
      </c>
      <c r="C931" s="55">
        <v>9</v>
      </c>
      <c r="D931" s="55">
        <v>9</v>
      </c>
      <c r="E931" s="55">
        <v>2</v>
      </c>
      <c r="F931" s="55">
        <v>12</v>
      </c>
      <c r="G931" s="55">
        <v>12</v>
      </c>
      <c r="H931" s="55">
        <v>12</v>
      </c>
      <c r="I931" s="55">
        <v>1.33</v>
      </c>
      <c r="J931" s="55">
        <v>1.33</v>
      </c>
      <c r="K931" s="55">
        <v>1.33</v>
      </c>
      <c r="L931" s="55">
        <v>0</v>
      </c>
      <c r="M931" s="54" t="str">
        <f t="shared" si="73"/>
        <v>0-6 Months</v>
      </c>
      <c r="N931" s="54" t="str">
        <f t="shared" si="74"/>
        <v>12-18 Months</v>
      </c>
      <c r="O931" s="54" t="s">
        <v>7</v>
      </c>
      <c r="P931" s="54">
        <f t="shared" si="70"/>
        <v>9</v>
      </c>
      <c r="Q931">
        <f t="shared" si="71"/>
        <v>0</v>
      </c>
      <c r="R931">
        <f t="shared" si="72"/>
        <v>9</v>
      </c>
    </row>
    <row r="932" spans="1:18" x14ac:dyDescent="0.2">
      <c r="A932" s="54">
        <v>110012</v>
      </c>
      <c r="B932" s="54" t="s">
        <v>881</v>
      </c>
      <c r="C932" s="55">
        <v>10</v>
      </c>
      <c r="D932" s="55">
        <v>10</v>
      </c>
      <c r="E932" s="55">
        <v>2</v>
      </c>
      <c r="F932" s="55">
        <v>9</v>
      </c>
      <c r="G932" s="55">
        <v>1</v>
      </c>
      <c r="H932" s="55">
        <v>1</v>
      </c>
      <c r="I932" s="55">
        <v>0.9</v>
      </c>
      <c r="J932" s="55">
        <v>0.1</v>
      </c>
      <c r="K932" s="55">
        <v>0.1</v>
      </c>
      <c r="L932" s="55">
        <v>3</v>
      </c>
      <c r="M932" s="54" t="str">
        <f t="shared" si="73"/>
        <v>0-6 Months</v>
      </c>
      <c r="N932" s="54" t="str">
        <f t="shared" si="74"/>
        <v>12-18 Months</v>
      </c>
      <c r="O932" s="54" t="s">
        <v>7</v>
      </c>
      <c r="P932" s="54">
        <f t="shared" si="70"/>
        <v>0</v>
      </c>
      <c r="Q932">
        <f t="shared" si="71"/>
        <v>0</v>
      </c>
      <c r="R932">
        <f t="shared" si="72"/>
        <v>0</v>
      </c>
    </row>
    <row r="933" spans="1:18" x14ac:dyDescent="0.2">
      <c r="A933" s="54">
        <v>110777</v>
      </c>
      <c r="B933" s="54" t="s">
        <v>878</v>
      </c>
      <c r="C933" s="55">
        <v>10</v>
      </c>
      <c r="D933" s="55">
        <v>39</v>
      </c>
      <c r="E933" s="55">
        <v>2</v>
      </c>
      <c r="F933" s="55">
        <v>55</v>
      </c>
      <c r="G933" s="55">
        <v>52</v>
      </c>
      <c r="H933" s="55">
        <v>52</v>
      </c>
      <c r="I933" s="55">
        <v>1.41</v>
      </c>
      <c r="J933" s="55">
        <v>1.33</v>
      </c>
      <c r="K933" s="55">
        <v>1.33</v>
      </c>
      <c r="L933" s="55">
        <v>25</v>
      </c>
      <c r="M933" s="54" t="str">
        <f t="shared" si="73"/>
        <v>0-6 Months</v>
      </c>
      <c r="N933" s="54" t="str">
        <f t="shared" si="74"/>
        <v>12-18 Months</v>
      </c>
      <c r="O933" s="54" t="s">
        <v>7</v>
      </c>
      <c r="P933" s="54">
        <f t="shared" si="70"/>
        <v>10</v>
      </c>
      <c r="Q933">
        <f t="shared" si="71"/>
        <v>0</v>
      </c>
      <c r="R933">
        <f t="shared" si="72"/>
        <v>10</v>
      </c>
    </row>
    <row r="934" spans="1:18" x14ac:dyDescent="0.2">
      <c r="A934" s="54">
        <v>198541</v>
      </c>
      <c r="B934" s="54" t="s">
        <v>880</v>
      </c>
      <c r="C934" s="55">
        <v>10</v>
      </c>
      <c r="D934" s="55">
        <v>1</v>
      </c>
      <c r="E934" s="55">
        <v>2</v>
      </c>
      <c r="F934" s="55">
        <v>288</v>
      </c>
      <c r="G934" s="55">
        <v>272</v>
      </c>
      <c r="H934" s="55">
        <v>272</v>
      </c>
      <c r="I934" s="55">
        <v>288</v>
      </c>
      <c r="J934" s="55">
        <v>272</v>
      </c>
      <c r="K934" s="55">
        <v>272</v>
      </c>
      <c r="L934" s="55">
        <v>58</v>
      </c>
      <c r="M934" s="54" t="str">
        <f t="shared" si="73"/>
        <v>0-6 Months</v>
      </c>
      <c r="N934" s="54" t="str">
        <f t="shared" si="74"/>
        <v>12-18 Months</v>
      </c>
      <c r="O934" s="54" t="s">
        <v>7</v>
      </c>
      <c r="P934" s="54">
        <f t="shared" si="70"/>
        <v>10</v>
      </c>
      <c r="Q934">
        <f t="shared" si="71"/>
        <v>10</v>
      </c>
      <c r="R934">
        <f t="shared" si="72"/>
        <v>10</v>
      </c>
    </row>
    <row r="935" spans="1:18" x14ac:dyDescent="0.2">
      <c r="A935" s="54">
        <v>309173</v>
      </c>
      <c r="B935" s="54" t="s">
        <v>882</v>
      </c>
      <c r="C935" s="55">
        <v>10</v>
      </c>
      <c r="D935" s="55">
        <v>7</v>
      </c>
      <c r="E935" s="55">
        <v>2</v>
      </c>
      <c r="F935" s="55">
        <v>19</v>
      </c>
      <c r="G935" s="55">
        <v>19</v>
      </c>
      <c r="H935" s="55">
        <v>19</v>
      </c>
      <c r="I935" s="55">
        <v>2.71</v>
      </c>
      <c r="J935" s="55">
        <v>2.71</v>
      </c>
      <c r="K935" s="55">
        <v>2.71</v>
      </c>
      <c r="L935" s="55">
        <v>17</v>
      </c>
      <c r="M935" s="54" t="str">
        <f t="shared" si="73"/>
        <v>0-6 Months</v>
      </c>
      <c r="N935" s="54" t="str">
        <f t="shared" si="74"/>
        <v>12-18 Months</v>
      </c>
      <c r="O935" s="54" t="s">
        <v>7</v>
      </c>
      <c r="P935" s="54">
        <f t="shared" si="70"/>
        <v>10</v>
      </c>
      <c r="Q935">
        <f t="shared" si="71"/>
        <v>10</v>
      </c>
      <c r="R935">
        <f t="shared" si="72"/>
        <v>10</v>
      </c>
    </row>
    <row r="936" spans="1:18" x14ac:dyDescent="0.2">
      <c r="A936" s="54">
        <v>473714</v>
      </c>
      <c r="B936" s="54" t="s">
        <v>879</v>
      </c>
      <c r="C936" s="55">
        <v>10</v>
      </c>
      <c r="D936" s="55">
        <v>10</v>
      </c>
      <c r="E936" s="55">
        <v>2</v>
      </c>
      <c r="F936" s="55">
        <v>29</v>
      </c>
      <c r="G936" s="55">
        <v>21</v>
      </c>
      <c r="H936" s="55">
        <v>21</v>
      </c>
      <c r="I936" s="55">
        <v>2.9</v>
      </c>
      <c r="J936" s="55">
        <v>2.1</v>
      </c>
      <c r="K936" s="55">
        <v>2.1</v>
      </c>
      <c r="L936" s="55">
        <v>14</v>
      </c>
      <c r="M936" s="54" t="str">
        <f t="shared" si="73"/>
        <v>0-6 Months</v>
      </c>
      <c r="N936" s="54" t="str">
        <f t="shared" si="74"/>
        <v>12-18 Months</v>
      </c>
      <c r="O936" s="54" t="s">
        <v>7</v>
      </c>
      <c r="P936" s="54">
        <f t="shared" si="70"/>
        <v>10</v>
      </c>
      <c r="Q936">
        <f t="shared" si="71"/>
        <v>10</v>
      </c>
      <c r="R936">
        <f t="shared" si="72"/>
        <v>10</v>
      </c>
    </row>
    <row r="937" spans="1:18" x14ac:dyDescent="0.2">
      <c r="A937" s="54">
        <v>110505</v>
      </c>
      <c r="B937" s="54" t="s">
        <v>899</v>
      </c>
      <c r="C937" s="55">
        <v>11</v>
      </c>
      <c r="D937" s="55">
        <v>11</v>
      </c>
      <c r="E937" s="55">
        <v>2</v>
      </c>
      <c r="F937" s="55">
        <v>27</v>
      </c>
      <c r="G937" s="55">
        <v>13</v>
      </c>
      <c r="H937" s="55">
        <v>13</v>
      </c>
      <c r="I937" s="55">
        <v>2.4500000000000002</v>
      </c>
      <c r="J937" s="55">
        <v>1.18</v>
      </c>
      <c r="K937" s="55">
        <v>1.18</v>
      </c>
      <c r="L937" s="55">
        <v>0</v>
      </c>
      <c r="M937" s="54" t="str">
        <f t="shared" si="73"/>
        <v>0-6 Months</v>
      </c>
      <c r="N937" s="54" t="str">
        <f t="shared" si="74"/>
        <v>12-18 Months</v>
      </c>
      <c r="O937" s="54" t="s">
        <v>7</v>
      </c>
      <c r="P937" s="54">
        <f t="shared" si="70"/>
        <v>11</v>
      </c>
      <c r="Q937">
        <f t="shared" si="71"/>
        <v>11</v>
      </c>
      <c r="R937">
        <f t="shared" si="72"/>
        <v>11</v>
      </c>
    </row>
    <row r="938" spans="1:18" x14ac:dyDescent="0.2">
      <c r="A938" s="54">
        <v>301497</v>
      </c>
      <c r="B938" s="54" t="s">
        <v>898</v>
      </c>
      <c r="C938" s="55">
        <v>11</v>
      </c>
      <c r="D938" s="55">
        <v>7</v>
      </c>
      <c r="E938" s="55">
        <v>2</v>
      </c>
      <c r="F938" s="55">
        <v>59</v>
      </c>
      <c r="G938" s="55">
        <v>59</v>
      </c>
      <c r="H938" s="55">
        <v>59</v>
      </c>
      <c r="I938" s="55">
        <v>8.43</v>
      </c>
      <c r="J938" s="55">
        <v>8.43</v>
      </c>
      <c r="K938" s="55">
        <v>8.43</v>
      </c>
      <c r="L938" s="55">
        <v>0</v>
      </c>
      <c r="M938" s="54" t="str">
        <f t="shared" si="73"/>
        <v>0-6 Months</v>
      </c>
      <c r="N938" s="54" t="str">
        <f t="shared" si="74"/>
        <v>12-18 Months</v>
      </c>
      <c r="O938" s="54" t="s">
        <v>7</v>
      </c>
      <c r="P938" s="54">
        <f t="shared" si="70"/>
        <v>11</v>
      </c>
      <c r="Q938">
        <f t="shared" si="71"/>
        <v>11</v>
      </c>
      <c r="R938">
        <f t="shared" si="72"/>
        <v>11</v>
      </c>
    </row>
    <row r="939" spans="1:18" x14ac:dyDescent="0.2">
      <c r="A939" s="54">
        <v>460768</v>
      </c>
      <c r="B939" s="54" t="s">
        <v>897</v>
      </c>
      <c r="C939" s="55">
        <v>11</v>
      </c>
      <c r="D939" s="55">
        <v>11</v>
      </c>
      <c r="E939" s="55">
        <v>2</v>
      </c>
      <c r="F939" s="55">
        <v>9</v>
      </c>
      <c r="G939" s="55">
        <v>9</v>
      </c>
      <c r="H939" s="55">
        <v>9</v>
      </c>
      <c r="I939" s="55">
        <v>0.82</v>
      </c>
      <c r="J939" s="55">
        <v>0.82</v>
      </c>
      <c r="K939" s="55">
        <v>0.82</v>
      </c>
      <c r="L939" s="55">
        <v>0</v>
      </c>
      <c r="M939" s="54" t="str">
        <f t="shared" si="73"/>
        <v>0-6 Months</v>
      </c>
      <c r="N939" s="54" t="str">
        <f t="shared" si="74"/>
        <v>12-18 Months</v>
      </c>
      <c r="O939" s="54" t="s">
        <v>7</v>
      </c>
      <c r="P939" s="54">
        <f t="shared" si="70"/>
        <v>11</v>
      </c>
      <c r="Q939">
        <f t="shared" si="71"/>
        <v>0</v>
      </c>
      <c r="R939">
        <f t="shared" si="72"/>
        <v>11</v>
      </c>
    </row>
    <row r="940" spans="1:18" x14ac:dyDescent="0.2">
      <c r="A940" s="54">
        <v>115693</v>
      </c>
      <c r="B940" s="54" t="s">
        <v>908</v>
      </c>
      <c r="C940" s="55">
        <v>12</v>
      </c>
      <c r="D940" s="55">
        <v>11</v>
      </c>
      <c r="E940" s="55">
        <v>2</v>
      </c>
      <c r="F940" s="55">
        <v>0</v>
      </c>
      <c r="G940" s="55">
        <v>0</v>
      </c>
      <c r="H940" s="55">
        <v>0</v>
      </c>
      <c r="I940" s="55">
        <v>0</v>
      </c>
      <c r="J940" s="55">
        <v>0</v>
      </c>
      <c r="K940" s="55">
        <v>0</v>
      </c>
      <c r="L940" s="55">
        <v>0</v>
      </c>
      <c r="M940" s="54" t="str">
        <f t="shared" si="73"/>
        <v>0-6 Months</v>
      </c>
      <c r="N940" s="54" t="str">
        <f t="shared" si="74"/>
        <v>12-18 Months</v>
      </c>
      <c r="O940" s="54" t="s">
        <v>7</v>
      </c>
      <c r="P940" s="54">
        <f t="shared" si="70"/>
        <v>0</v>
      </c>
      <c r="Q940">
        <f t="shared" si="71"/>
        <v>0</v>
      </c>
      <c r="R940">
        <f t="shared" si="72"/>
        <v>0</v>
      </c>
    </row>
    <row r="941" spans="1:18" x14ac:dyDescent="0.2">
      <c r="A941" s="54">
        <v>120176</v>
      </c>
      <c r="B941" s="54" t="s">
        <v>922</v>
      </c>
      <c r="C941" s="55">
        <v>13</v>
      </c>
      <c r="D941" s="55">
        <v>6</v>
      </c>
      <c r="E941" s="55">
        <v>2</v>
      </c>
      <c r="F941" s="55">
        <v>11</v>
      </c>
      <c r="G941" s="55">
        <v>11</v>
      </c>
      <c r="H941" s="55">
        <v>11</v>
      </c>
      <c r="I941" s="55">
        <v>1.83</v>
      </c>
      <c r="J941" s="55">
        <v>1.83</v>
      </c>
      <c r="K941" s="55">
        <v>1.83</v>
      </c>
      <c r="L941" s="55">
        <v>0</v>
      </c>
      <c r="M941" s="54" t="str">
        <f t="shared" si="73"/>
        <v>0-6 Months</v>
      </c>
      <c r="N941" s="54" t="str">
        <f t="shared" si="74"/>
        <v>12-18 Months</v>
      </c>
      <c r="O941" s="54" t="s">
        <v>7</v>
      </c>
      <c r="P941" s="54">
        <f t="shared" si="70"/>
        <v>13</v>
      </c>
      <c r="Q941">
        <f t="shared" si="71"/>
        <v>0</v>
      </c>
      <c r="R941">
        <f t="shared" si="72"/>
        <v>13</v>
      </c>
    </row>
    <row r="942" spans="1:18" x14ac:dyDescent="0.2">
      <c r="A942" s="54">
        <v>236367</v>
      </c>
      <c r="B942" s="54" t="s">
        <v>921</v>
      </c>
      <c r="C942" s="55">
        <v>13</v>
      </c>
      <c r="D942" s="55">
        <v>13</v>
      </c>
      <c r="E942" s="55">
        <v>2</v>
      </c>
      <c r="F942" s="55">
        <v>7</v>
      </c>
      <c r="G942" s="55">
        <v>7</v>
      </c>
      <c r="H942" s="55">
        <v>7</v>
      </c>
      <c r="I942" s="55">
        <v>0.54</v>
      </c>
      <c r="J942" s="55">
        <v>0.54</v>
      </c>
      <c r="K942" s="55">
        <v>0.54</v>
      </c>
      <c r="L942" s="55">
        <v>2</v>
      </c>
      <c r="M942" s="54" t="str">
        <f t="shared" si="73"/>
        <v>0-6 Months</v>
      </c>
      <c r="N942" s="54" t="str">
        <f t="shared" si="74"/>
        <v>12-18 Months</v>
      </c>
      <c r="O942" s="54" t="s">
        <v>7</v>
      </c>
      <c r="P942" s="54">
        <f t="shared" si="70"/>
        <v>0</v>
      </c>
      <c r="Q942">
        <f t="shared" si="71"/>
        <v>0</v>
      </c>
      <c r="R942">
        <f t="shared" si="72"/>
        <v>0</v>
      </c>
    </row>
    <row r="943" spans="1:18" x14ac:dyDescent="0.2">
      <c r="A943" s="54">
        <v>518248</v>
      </c>
      <c r="B943" s="54" t="s">
        <v>923</v>
      </c>
      <c r="C943" s="55">
        <v>13</v>
      </c>
      <c r="D943" s="55">
        <v>13</v>
      </c>
      <c r="E943" s="55">
        <v>2</v>
      </c>
      <c r="F943" s="55">
        <v>0</v>
      </c>
      <c r="G943" s="55">
        <v>0</v>
      </c>
      <c r="H943" s="55">
        <v>0</v>
      </c>
      <c r="I943" s="55">
        <v>0</v>
      </c>
      <c r="J943" s="55">
        <v>0</v>
      </c>
      <c r="K943" s="55">
        <v>0</v>
      </c>
      <c r="L943" s="55">
        <v>0</v>
      </c>
      <c r="M943" s="54" t="str">
        <f t="shared" si="73"/>
        <v>0-6 Months</v>
      </c>
      <c r="N943" s="54" t="str">
        <f t="shared" si="74"/>
        <v>12-18 Months</v>
      </c>
      <c r="O943" s="54" t="s">
        <v>7</v>
      </c>
      <c r="P943" s="54">
        <f t="shared" si="70"/>
        <v>0</v>
      </c>
      <c r="Q943">
        <f t="shared" si="71"/>
        <v>0</v>
      </c>
      <c r="R943">
        <f t="shared" si="72"/>
        <v>0</v>
      </c>
    </row>
    <row r="944" spans="1:18" x14ac:dyDescent="0.2">
      <c r="A944" s="54">
        <v>110147</v>
      </c>
      <c r="B944" s="54" t="s">
        <v>936</v>
      </c>
      <c r="C944" s="55">
        <v>14</v>
      </c>
      <c r="D944" s="55">
        <v>14</v>
      </c>
      <c r="E944" s="55">
        <v>2</v>
      </c>
      <c r="F944" s="55">
        <v>37</v>
      </c>
      <c r="G944" s="55">
        <v>27</v>
      </c>
      <c r="H944" s="55">
        <v>27</v>
      </c>
      <c r="I944" s="55">
        <v>2.64</v>
      </c>
      <c r="J944" s="55">
        <v>1.93</v>
      </c>
      <c r="K944" s="55">
        <v>1.93</v>
      </c>
      <c r="L944" s="55">
        <v>0</v>
      </c>
      <c r="M944" s="54" t="str">
        <f t="shared" si="73"/>
        <v>0-6 Months</v>
      </c>
      <c r="N944" s="54" t="str">
        <f t="shared" si="74"/>
        <v>12-18 Months</v>
      </c>
      <c r="O944" s="54" t="s">
        <v>7</v>
      </c>
      <c r="P944" s="54">
        <f t="shared" si="70"/>
        <v>14</v>
      </c>
      <c r="Q944">
        <f t="shared" si="71"/>
        <v>14</v>
      </c>
      <c r="R944">
        <f t="shared" si="72"/>
        <v>14</v>
      </c>
    </row>
    <row r="945" spans="1:18" x14ac:dyDescent="0.2">
      <c r="A945" s="54">
        <v>179820</v>
      </c>
      <c r="B945" s="54" t="s">
        <v>934</v>
      </c>
      <c r="C945" s="55">
        <v>14</v>
      </c>
      <c r="D945" s="55">
        <v>14</v>
      </c>
      <c r="E945" s="55">
        <v>2</v>
      </c>
      <c r="F945" s="55">
        <v>7</v>
      </c>
      <c r="G945" s="55">
        <v>7</v>
      </c>
      <c r="H945" s="55">
        <v>7</v>
      </c>
      <c r="I945" s="55">
        <v>0.5</v>
      </c>
      <c r="J945" s="55">
        <v>0.5</v>
      </c>
      <c r="K945" s="55">
        <v>0.5</v>
      </c>
      <c r="L945" s="55">
        <v>10</v>
      </c>
      <c r="M945" s="54" t="str">
        <f t="shared" si="73"/>
        <v>0-6 Months</v>
      </c>
      <c r="N945" s="54" t="str">
        <f t="shared" si="74"/>
        <v>12-18 Months</v>
      </c>
      <c r="O945" s="54" t="s">
        <v>7</v>
      </c>
      <c r="P945" s="54">
        <f t="shared" si="70"/>
        <v>0</v>
      </c>
      <c r="Q945">
        <f t="shared" si="71"/>
        <v>0</v>
      </c>
      <c r="R945">
        <f t="shared" si="72"/>
        <v>0</v>
      </c>
    </row>
    <row r="946" spans="1:18" x14ac:dyDescent="0.2">
      <c r="A946" s="54">
        <v>318806</v>
      </c>
      <c r="B946" s="54" t="s">
        <v>937</v>
      </c>
      <c r="C946" s="55">
        <v>14</v>
      </c>
      <c r="D946" s="55">
        <v>15</v>
      </c>
      <c r="E946" s="55">
        <v>2</v>
      </c>
      <c r="F946" s="55">
        <v>3</v>
      </c>
      <c r="G946" s="55">
        <v>3</v>
      </c>
      <c r="H946" s="55">
        <v>3</v>
      </c>
      <c r="I946" s="55">
        <v>0.2</v>
      </c>
      <c r="J946" s="55">
        <v>0.2</v>
      </c>
      <c r="K946" s="55">
        <v>0.2</v>
      </c>
      <c r="L946" s="55">
        <v>2</v>
      </c>
      <c r="M946" s="54" t="str">
        <f t="shared" si="73"/>
        <v>0-6 Months</v>
      </c>
      <c r="N946" s="54" t="str">
        <f t="shared" si="74"/>
        <v>12-18 Months</v>
      </c>
      <c r="O946" s="54" t="s">
        <v>7</v>
      </c>
      <c r="P946" s="54">
        <f t="shared" si="70"/>
        <v>0</v>
      </c>
      <c r="Q946">
        <f t="shared" si="71"/>
        <v>0</v>
      </c>
      <c r="R946">
        <f t="shared" si="72"/>
        <v>0</v>
      </c>
    </row>
    <row r="947" spans="1:18" x14ac:dyDescent="0.2">
      <c r="A947" s="54">
        <v>322022</v>
      </c>
      <c r="B947" s="54" t="s">
        <v>935</v>
      </c>
      <c r="C947" s="55">
        <v>14</v>
      </c>
      <c r="D947" s="55">
        <v>215</v>
      </c>
      <c r="E947" s="55">
        <v>2</v>
      </c>
      <c r="F947" s="55">
        <v>27</v>
      </c>
      <c r="G947" s="55">
        <v>27</v>
      </c>
      <c r="H947" s="55">
        <v>27</v>
      </c>
      <c r="I947" s="55">
        <v>0.13</v>
      </c>
      <c r="J947" s="55">
        <v>0.13</v>
      </c>
      <c r="K947" s="55">
        <v>0.13</v>
      </c>
      <c r="L947" s="55">
        <v>68</v>
      </c>
      <c r="M947" s="54" t="str">
        <f t="shared" si="73"/>
        <v>0-6 Months</v>
      </c>
      <c r="N947" s="54" t="str">
        <f t="shared" si="74"/>
        <v>12-18 Months</v>
      </c>
      <c r="O947" s="54" t="s">
        <v>6</v>
      </c>
      <c r="P947" s="54">
        <f t="shared" si="70"/>
        <v>0</v>
      </c>
      <c r="Q947">
        <f t="shared" si="71"/>
        <v>0</v>
      </c>
      <c r="R947">
        <f t="shared" si="72"/>
        <v>0</v>
      </c>
    </row>
    <row r="948" spans="1:18" x14ac:dyDescent="0.2">
      <c r="A948" s="54">
        <v>409151</v>
      </c>
      <c r="B948" s="54" t="s">
        <v>939</v>
      </c>
      <c r="C948" s="55">
        <v>14</v>
      </c>
      <c r="D948" s="55">
        <v>10</v>
      </c>
      <c r="E948" s="55">
        <v>2</v>
      </c>
      <c r="F948" s="55">
        <v>10</v>
      </c>
      <c r="G948" s="55">
        <v>10</v>
      </c>
      <c r="H948" s="55">
        <v>10</v>
      </c>
      <c r="I948" s="55">
        <v>1</v>
      </c>
      <c r="J948" s="55">
        <v>1</v>
      </c>
      <c r="K948" s="55">
        <v>1</v>
      </c>
      <c r="L948" s="55">
        <v>19</v>
      </c>
      <c r="M948" s="54" t="str">
        <f t="shared" si="73"/>
        <v>0-6 Months</v>
      </c>
      <c r="N948" s="54" t="str">
        <f t="shared" si="74"/>
        <v>12-18 Months</v>
      </c>
      <c r="O948" s="54" t="s">
        <v>7</v>
      </c>
      <c r="P948" s="54">
        <f t="shared" si="70"/>
        <v>14</v>
      </c>
      <c r="Q948">
        <f t="shared" si="71"/>
        <v>0</v>
      </c>
      <c r="R948">
        <f t="shared" si="72"/>
        <v>14</v>
      </c>
    </row>
    <row r="949" spans="1:18" x14ac:dyDescent="0.2">
      <c r="A949" s="54">
        <v>472380</v>
      </c>
      <c r="B949" s="54" t="s">
        <v>938</v>
      </c>
      <c r="C949" s="55">
        <v>14</v>
      </c>
      <c r="D949" s="55">
        <v>13</v>
      </c>
      <c r="E949" s="55">
        <v>2</v>
      </c>
      <c r="F949" s="55">
        <v>0</v>
      </c>
      <c r="G949" s="55">
        <v>0</v>
      </c>
      <c r="H949" s="55">
        <v>0</v>
      </c>
      <c r="I949" s="55">
        <v>0</v>
      </c>
      <c r="J949" s="55">
        <v>0</v>
      </c>
      <c r="K949" s="55">
        <v>0</v>
      </c>
      <c r="L949" s="55">
        <v>6</v>
      </c>
      <c r="M949" s="54" t="str">
        <f t="shared" si="73"/>
        <v>0-6 Months</v>
      </c>
      <c r="N949" s="54" t="str">
        <f t="shared" si="74"/>
        <v>12-18 Months</v>
      </c>
      <c r="O949" s="54" t="s">
        <v>7</v>
      </c>
      <c r="P949" s="54">
        <f t="shared" si="70"/>
        <v>0</v>
      </c>
      <c r="Q949">
        <f t="shared" si="71"/>
        <v>0</v>
      </c>
      <c r="R949">
        <f t="shared" si="72"/>
        <v>0</v>
      </c>
    </row>
    <row r="950" spans="1:18" x14ac:dyDescent="0.2">
      <c r="A950" s="54">
        <v>479222</v>
      </c>
      <c r="B950" s="54" t="s">
        <v>940</v>
      </c>
      <c r="C950" s="55">
        <v>14</v>
      </c>
      <c r="D950" s="55">
        <v>15</v>
      </c>
      <c r="E950" s="55">
        <v>2</v>
      </c>
      <c r="F950" s="55">
        <v>12</v>
      </c>
      <c r="G950" s="55">
        <v>18</v>
      </c>
      <c r="H950" s="55">
        <v>21</v>
      </c>
      <c r="I950" s="55">
        <v>0.8</v>
      </c>
      <c r="J950" s="55">
        <v>1.2</v>
      </c>
      <c r="K950" s="55">
        <v>1.4</v>
      </c>
      <c r="L950" s="55">
        <v>0</v>
      </c>
      <c r="M950" s="54" t="str">
        <f t="shared" si="73"/>
        <v>0-6 Months</v>
      </c>
      <c r="N950" s="54" t="str">
        <f t="shared" si="74"/>
        <v>12-18 Months</v>
      </c>
      <c r="O950" s="54" t="s">
        <v>7</v>
      </c>
      <c r="P950" s="54">
        <f t="shared" si="70"/>
        <v>14</v>
      </c>
      <c r="Q950">
        <f t="shared" si="71"/>
        <v>0</v>
      </c>
      <c r="R950">
        <f t="shared" si="72"/>
        <v>14</v>
      </c>
    </row>
    <row r="951" spans="1:18" x14ac:dyDescent="0.2">
      <c r="A951" s="54">
        <v>105730</v>
      </c>
      <c r="B951" s="54" t="s">
        <v>955</v>
      </c>
      <c r="C951" s="55">
        <v>15</v>
      </c>
      <c r="D951" s="55">
        <v>23</v>
      </c>
      <c r="E951" s="55">
        <v>2</v>
      </c>
      <c r="F951" s="55">
        <v>5</v>
      </c>
      <c r="G951" s="55">
        <v>5</v>
      </c>
      <c r="H951" s="55">
        <v>5</v>
      </c>
      <c r="I951" s="55">
        <v>0.22</v>
      </c>
      <c r="J951" s="55">
        <v>0.22</v>
      </c>
      <c r="K951" s="55">
        <v>0.22</v>
      </c>
      <c r="L951" s="55">
        <v>0</v>
      </c>
      <c r="M951" s="54" t="str">
        <f t="shared" si="73"/>
        <v>0-6 Months</v>
      </c>
      <c r="N951" s="54" t="str">
        <f t="shared" si="74"/>
        <v>12-18 Months</v>
      </c>
      <c r="O951" s="54" t="s">
        <v>7</v>
      </c>
      <c r="P951" s="54">
        <f t="shared" si="70"/>
        <v>0</v>
      </c>
      <c r="Q951">
        <f t="shared" si="71"/>
        <v>0</v>
      </c>
      <c r="R951">
        <f t="shared" si="72"/>
        <v>0</v>
      </c>
    </row>
    <row r="952" spans="1:18" x14ac:dyDescent="0.2">
      <c r="A952" s="54">
        <v>129030</v>
      </c>
      <c r="B952" s="54" t="s">
        <v>954</v>
      </c>
      <c r="C952" s="55">
        <v>15</v>
      </c>
      <c r="D952" s="55">
        <v>15</v>
      </c>
      <c r="E952" s="55">
        <v>2</v>
      </c>
      <c r="F952" s="55">
        <v>2</v>
      </c>
      <c r="G952" s="55">
        <v>2</v>
      </c>
      <c r="H952" s="55">
        <v>2</v>
      </c>
      <c r="I952" s="55">
        <v>0.13</v>
      </c>
      <c r="J952" s="55">
        <v>0.13</v>
      </c>
      <c r="K952" s="55">
        <v>0.13</v>
      </c>
      <c r="L952" s="55">
        <v>0</v>
      </c>
      <c r="M952" s="54" t="str">
        <f t="shared" si="73"/>
        <v>0-6 Months</v>
      </c>
      <c r="N952" s="54" t="str">
        <f t="shared" si="74"/>
        <v>12-18 Months</v>
      </c>
      <c r="O952" s="54" t="s">
        <v>7</v>
      </c>
      <c r="P952" s="54">
        <f t="shared" si="70"/>
        <v>0</v>
      </c>
      <c r="Q952">
        <f t="shared" si="71"/>
        <v>0</v>
      </c>
      <c r="R952">
        <f t="shared" si="72"/>
        <v>0</v>
      </c>
    </row>
    <row r="953" spans="1:18" x14ac:dyDescent="0.2">
      <c r="A953" s="54">
        <v>316715</v>
      </c>
      <c r="B953" s="54" t="s">
        <v>956</v>
      </c>
      <c r="C953" s="55">
        <v>15</v>
      </c>
      <c r="D953" s="55">
        <v>40</v>
      </c>
      <c r="E953" s="55">
        <v>2</v>
      </c>
      <c r="F953" s="55">
        <v>6</v>
      </c>
      <c r="G953" s="55">
        <v>6</v>
      </c>
      <c r="H953" s="55">
        <v>6</v>
      </c>
      <c r="I953" s="55">
        <v>0.15</v>
      </c>
      <c r="J953" s="55">
        <v>0.15</v>
      </c>
      <c r="K953" s="55">
        <v>0.15</v>
      </c>
      <c r="L953" s="55">
        <v>3</v>
      </c>
      <c r="M953" s="54" t="str">
        <f t="shared" si="73"/>
        <v>0-6 Months</v>
      </c>
      <c r="N953" s="54" t="str">
        <f t="shared" si="74"/>
        <v>12-18 Months</v>
      </c>
      <c r="O953" s="54" t="s">
        <v>7</v>
      </c>
      <c r="P953" s="54">
        <f t="shared" si="70"/>
        <v>0</v>
      </c>
      <c r="Q953">
        <f t="shared" si="71"/>
        <v>0</v>
      </c>
      <c r="R953">
        <f t="shared" si="72"/>
        <v>0</v>
      </c>
    </row>
    <row r="954" spans="1:18" x14ac:dyDescent="0.2">
      <c r="A954" s="54">
        <v>493249</v>
      </c>
      <c r="B954" s="54" t="s">
        <v>953</v>
      </c>
      <c r="C954" s="55">
        <v>15</v>
      </c>
      <c r="D954" s="55">
        <v>15</v>
      </c>
      <c r="E954" s="55">
        <v>2</v>
      </c>
      <c r="F954" s="55">
        <v>0</v>
      </c>
      <c r="G954" s="55">
        <v>0</v>
      </c>
      <c r="H954" s="55">
        <v>0</v>
      </c>
      <c r="I954" s="55">
        <v>0</v>
      </c>
      <c r="J954" s="55">
        <v>0</v>
      </c>
      <c r="K954" s="55">
        <v>0</v>
      </c>
      <c r="L954" s="55">
        <v>0</v>
      </c>
      <c r="M954" s="54" t="str">
        <f t="shared" si="73"/>
        <v>0-6 Months</v>
      </c>
      <c r="N954" s="54" t="str">
        <f t="shared" si="74"/>
        <v>12-18 Months</v>
      </c>
      <c r="O954" s="54" t="s">
        <v>7</v>
      </c>
      <c r="P954" s="54">
        <f t="shared" si="70"/>
        <v>0</v>
      </c>
      <c r="Q954">
        <f t="shared" si="71"/>
        <v>0</v>
      </c>
      <c r="R954">
        <f t="shared" si="72"/>
        <v>0</v>
      </c>
    </row>
    <row r="955" spans="1:18" x14ac:dyDescent="0.2">
      <c r="A955" s="54">
        <v>514054</v>
      </c>
      <c r="B955" s="54" t="s">
        <v>957</v>
      </c>
      <c r="C955" s="55">
        <v>15</v>
      </c>
      <c r="D955" s="55">
        <v>14</v>
      </c>
      <c r="E955" s="55">
        <v>2</v>
      </c>
      <c r="F955" s="55">
        <v>9</v>
      </c>
      <c r="G955" s="55">
        <v>9</v>
      </c>
      <c r="H955" s="55">
        <v>9</v>
      </c>
      <c r="I955" s="55">
        <v>0.64</v>
      </c>
      <c r="J955" s="55">
        <v>0.64</v>
      </c>
      <c r="K955" s="55">
        <v>0.64</v>
      </c>
      <c r="L955" s="55">
        <v>2</v>
      </c>
      <c r="M955" s="54" t="str">
        <f t="shared" si="73"/>
        <v>0-6 Months</v>
      </c>
      <c r="N955" s="54" t="str">
        <f t="shared" si="74"/>
        <v>12-18 Months</v>
      </c>
      <c r="O955" s="54" t="s">
        <v>7</v>
      </c>
      <c r="P955" s="54">
        <f t="shared" si="70"/>
        <v>0</v>
      </c>
      <c r="Q955">
        <f t="shared" si="71"/>
        <v>0</v>
      </c>
      <c r="R955">
        <f t="shared" si="72"/>
        <v>0</v>
      </c>
    </row>
    <row r="956" spans="1:18" x14ac:dyDescent="0.2">
      <c r="A956" s="54">
        <v>107918</v>
      </c>
      <c r="B956" s="54" t="s">
        <v>973</v>
      </c>
      <c r="C956" s="55">
        <v>16</v>
      </c>
      <c r="D956" s="55">
        <v>17</v>
      </c>
      <c r="E956" s="55">
        <v>2</v>
      </c>
      <c r="F956" s="55">
        <v>19</v>
      </c>
      <c r="G956" s="55">
        <v>19</v>
      </c>
      <c r="H956" s="55">
        <v>19</v>
      </c>
      <c r="I956" s="55">
        <v>1.1200000000000001</v>
      </c>
      <c r="J956" s="55">
        <v>1.1200000000000001</v>
      </c>
      <c r="K956" s="55">
        <v>1.1200000000000001</v>
      </c>
      <c r="L956" s="55">
        <v>0</v>
      </c>
      <c r="M956" s="54" t="str">
        <f t="shared" si="73"/>
        <v>0-6 Months</v>
      </c>
      <c r="N956" s="54" t="str">
        <f t="shared" si="74"/>
        <v>12-18 Months</v>
      </c>
      <c r="O956" s="54" t="s">
        <v>7</v>
      </c>
      <c r="P956" s="54">
        <f t="shared" si="70"/>
        <v>16</v>
      </c>
      <c r="Q956">
        <f t="shared" si="71"/>
        <v>0</v>
      </c>
      <c r="R956">
        <f t="shared" si="72"/>
        <v>16</v>
      </c>
    </row>
    <row r="957" spans="1:18" x14ac:dyDescent="0.2">
      <c r="A957" s="54">
        <v>114245</v>
      </c>
      <c r="B957" s="54" t="s">
        <v>972</v>
      </c>
      <c r="C957" s="55">
        <v>16</v>
      </c>
      <c r="D957" s="55">
        <v>12</v>
      </c>
      <c r="E957" s="55">
        <v>2</v>
      </c>
      <c r="F957" s="55">
        <v>6</v>
      </c>
      <c r="G957" s="55">
        <v>6</v>
      </c>
      <c r="H957" s="55">
        <v>6</v>
      </c>
      <c r="I957" s="55">
        <v>0.5</v>
      </c>
      <c r="J957" s="55">
        <v>0.5</v>
      </c>
      <c r="K957" s="55">
        <v>0.5</v>
      </c>
      <c r="L957" s="55">
        <v>0</v>
      </c>
      <c r="M957" s="54" t="str">
        <f t="shared" si="73"/>
        <v>0-6 Months</v>
      </c>
      <c r="N957" s="54" t="str">
        <f t="shared" si="74"/>
        <v>12-18 Months</v>
      </c>
      <c r="O957" s="54" t="s">
        <v>7</v>
      </c>
      <c r="P957" s="54">
        <f t="shared" si="70"/>
        <v>0</v>
      </c>
      <c r="Q957">
        <f t="shared" si="71"/>
        <v>0</v>
      </c>
      <c r="R957">
        <f t="shared" si="72"/>
        <v>0</v>
      </c>
    </row>
    <row r="958" spans="1:18" x14ac:dyDescent="0.2">
      <c r="A958" s="54">
        <v>116126</v>
      </c>
      <c r="B958" s="54" t="s">
        <v>974</v>
      </c>
      <c r="C958" s="55">
        <v>16</v>
      </c>
      <c r="D958" s="55">
        <v>17</v>
      </c>
      <c r="E958" s="55">
        <v>2</v>
      </c>
      <c r="F958" s="55">
        <v>1</v>
      </c>
      <c r="G958" s="55">
        <v>1</v>
      </c>
      <c r="H958" s="55">
        <v>1</v>
      </c>
      <c r="I958" s="55">
        <v>0.06</v>
      </c>
      <c r="J958" s="55">
        <v>0.06</v>
      </c>
      <c r="K958" s="55">
        <v>0.06</v>
      </c>
      <c r="L958" s="55">
        <v>0</v>
      </c>
      <c r="M958" s="54" t="str">
        <f t="shared" si="73"/>
        <v>0-6 Months</v>
      </c>
      <c r="N958" s="54" t="str">
        <f t="shared" si="74"/>
        <v>12-18 Months</v>
      </c>
      <c r="O958" s="54" t="s">
        <v>7</v>
      </c>
      <c r="P958" s="54">
        <f t="shared" si="70"/>
        <v>0</v>
      </c>
      <c r="Q958">
        <f t="shared" si="71"/>
        <v>0</v>
      </c>
      <c r="R958">
        <f t="shared" si="72"/>
        <v>0</v>
      </c>
    </row>
    <row r="959" spans="1:18" x14ac:dyDescent="0.2">
      <c r="A959" s="54">
        <v>209634</v>
      </c>
      <c r="B959" s="54" t="s">
        <v>975</v>
      </c>
      <c r="C959" s="55">
        <v>16</v>
      </c>
      <c r="D959" s="55">
        <v>16</v>
      </c>
      <c r="E959" s="55">
        <v>2</v>
      </c>
      <c r="F959" s="55">
        <v>27</v>
      </c>
      <c r="G959" s="55">
        <v>27</v>
      </c>
      <c r="H959" s="55">
        <v>27</v>
      </c>
      <c r="I959" s="55">
        <v>1.69</v>
      </c>
      <c r="J959" s="55">
        <v>1.69</v>
      </c>
      <c r="K959" s="55">
        <v>1.69</v>
      </c>
      <c r="L959" s="55">
        <v>0</v>
      </c>
      <c r="M959" s="54" t="str">
        <f t="shared" si="73"/>
        <v>0-6 Months</v>
      </c>
      <c r="N959" s="54" t="str">
        <f t="shared" si="74"/>
        <v>12-18 Months</v>
      </c>
      <c r="O959" s="54" t="s">
        <v>7</v>
      </c>
      <c r="P959" s="54">
        <f t="shared" si="70"/>
        <v>16</v>
      </c>
      <c r="Q959">
        <f t="shared" si="71"/>
        <v>0</v>
      </c>
      <c r="R959">
        <f t="shared" si="72"/>
        <v>16</v>
      </c>
    </row>
    <row r="960" spans="1:18" x14ac:dyDescent="0.2">
      <c r="A960" s="54">
        <v>493195</v>
      </c>
      <c r="B960" s="54" t="s">
        <v>970</v>
      </c>
      <c r="C960" s="55">
        <v>16</v>
      </c>
      <c r="D960" s="55">
        <v>10</v>
      </c>
      <c r="E960" s="55">
        <v>2</v>
      </c>
      <c r="F960" s="55">
        <v>0</v>
      </c>
      <c r="G960" s="55">
        <v>0</v>
      </c>
      <c r="H960" s="55">
        <v>0</v>
      </c>
      <c r="I960" s="55">
        <v>0</v>
      </c>
      <c r="J960" s="55">
        <v>0</v>
      </c>
      <c r="K960" s="55">
        <v>0</v>
      </c>
      <c r="L960" s="55">
        <v>0</v>
      </c>
      <c r="M960" s="54" t="str">
        <f t="shared" si="73"/>
        <v>0-6 Months</v>
      </c>
      <c r="N960" s="54" t="str">
        <f t="shared" si="74"/>
        <v>12-18 Months</v>
      </c>
      <c r="O960" s="54" t="s">
        <v>7</v>
      </c>
      <c r="P960" s="54">
        <f t="shared" si="70"/>
        <v>0</v>
      </c>
      <c r="Q960">
        <f t="shared" si="71"/>
        <v>0</v>
      </c>
      <c r="R960">
        <f t="shared" si="72"/>
        <v>0</v>
      </c>
    </row>
    <row r="961" spans="1:18" x14ac:dyDescent="0.2">
      <c r="A961" s="54">
        <v>497501</v>
      </c>
      <c r="B961" s="54" t="s">
        <v>971</v>
      </c>
      <c r="C961" s="55">
        <v>16</v>
      </c>
      <c r="D961" s="55">
        <v>16</v>
      </c>
      <c r="E961" s="55">
        <v>2</v>
      </c>
      <c r="F961" s="55">
        <v>0</v>
      </c>
      <c r="G961" s="55">
        <v>0</v>
      </c>
      <c r="H961" s="55">
        <v>0</v>
      </c>
      <c r="I961" s="55">
        <v>0</v>
      </c>
      <c r="J961" s="55">
        <v>0</v>
      </c>
      <c r="K961" s="55">
        <v>0</v>
      </c>
      <c r="L961" s="55">
        <v>0</v>
      </c>
      <c r="M961" s="54" t="str">
        <f t="shared" si="73"/>
        <v>0-6 Months</v>
      </c>
      <c r="N961" s="54" t="str">
        <f t="shared" si="74"/>
        <v>12-18 Months</v>
      </c>
      <c r="O961" s="54" t="s">
        <v>7</v>
      </c>
      <c r="P961" s="54">
        <f t="shared" si="70"/>
        <v>0</v>
      </c>
      <c r="Q961">
        <f t="shared" si="71"/>
        <v>0</v>
      </c>
      <c r="R961">
        <f t="shared" si="72"/>
        <v>0</v>
      </c>
    </row>
    <row r="962" spans="1:18" x14ac:dyDescent="0.2">
      <c r="A962" s="54">
        <v>106446</v>
      </c>
      <c r="B962" s="54" t="s">
        <v>992</v>
      </c>
      <c r="C962" s="55">
        <v>18</v>
      </c>
      <c r="D962" s="55">
        <v>16</v>
      </c>
      <c r="E962" s="55">
        <v>2</v>
      </c>
      <c r="F962" s="55">
        <v>81</v>
      </c>
      <c r="G962" s="55">
        <v>81</v>
      </c>
      <c r="H962" s="55">
        <v>81</v>
      </c>
      <c r="I962" s="55">
        <v>5.0599999999999996</v>
      </c>
      <c r="J962" s="55">
        <v>5.0599999999999996</v>
      </c>
      <c r="K962" s="55">
        <v>5.0599999999999996</v>
      </c>
      <c r="L962" s="55">
        <v>17</v>
      </c>
      <c r="M962" s="54" t="str">
        <f t="shared" si="73"/>
        <v>0-6 Months</v>
      </c>
      <c r="N962" s="54" t="str">
        <f t="shared" si="74"/>
        <v>12-18 Months</v>
      </c>
      <c r="O962" s="54" t="s">
        <v>7</v>
      </c>
      <c r="P962" s="54">
        <f t="shared" ref="P962:P1025" si="75">IF(I962&gt;=2, C962, IF(J962&gt;=0.75, C962, 0))</f>
        <v>18</v>
      </c>
      <c r="Q962">
        <f t="shared" ref="Q962:Q1025" si="76">IF(I962&gt;=2, C962, IF(AND(J962&gt;=0.75, D962&gt;=550), C962, 0))</f>
        <v>18</v>
      </c>
      <c r="R962">
        <f t="shared" ref="R962:R1025" si="77">IF(J962&gt;=0.75, C962, 0)</f>
        <v>18</v>
      </c>
    </row>
    <row r="963" spans="1:18" x14ac:dyDescent="0.2">
      <c r="A963" s="54">
        <v>108291</v>
      </c>
      <c r="B963" s="54" t="s">
        <v>993</v>
      </c>
      <c r="C963" s="55">
        <v>18</v>
      </c>
      <c r="D963" s="55">
        <v>18</v>
      </c>
      <c r="E963" s="55">
        <v>2</v>
      </c>
      <c r="F963" s="55">
        <v>57</v>
      </c>
      <c r="G963" s="55">
        <v>57</v>
      </c>
      <c r="H963" s="55">
        <v>57</v>
      </c>
      <c r="I963" s="55">
        <v>3.17</v>
      </c>
      <c r="J963" s="55">
        <v>3.17</v>
      </c>
      <c r="K963" s="55">
        <v>3.17</v>
      </c>
      <c r="L963" s="55">
        <v>149</v>
      </c>
      <c r="M963" s="54" t="str">
        <f t="shared" ref="M963:M1026" si="78">IF(E963&lt;6,"0-6 Months", IF(E963&lt;13, "6-12 Months", IF(E963&lt;19, "12-24 Months", IF(E963&lt;25, "12-24 Months", "24+ Months"))))</f>
        <v>0-6 Months</v>
      </c>
      <c r="N963" s="54" t="str">
        <f t="shared" ref="N963:N1026" si="79">IF(E963&lt;6,"12-18 Months", IF(E963&lt;13, "18-24 Months", "24+ Months"))</f>
        <v>12-18 Months</v>
      </c>
      <c r="O963" s="54" t="s">
        <v>7</v>
      </c>
      <c r="P963" s="54">
        <f t="shared" si="75"/>
        <v>18</v>
      </c>
      <c r="Q963">
        <f t="shared" si="76"/>
        <v>18</v>
      </c>
      <c r="R963">
        <f t="shared" si="77"/>
        <v>18</v>
      </c>
    </row>
    <row r="964" spans="1:18" x14ac:dyDescent="0.2">
      <c r="A964" s="54">
        <v>114398</v>
      </c>
      <c r="B964" s="54" t="s">
        <v>989</v>
      </c>
      <c r="C964" s="55">
        <v>18</v>
      </c>
      <c r="D964" s="55">
        <v>20</v>
      </c>
      <c r="E964" s="55">
        <v>2</v>
      </c>
      <c r="F964" s="55">
        <v>0</v>
      </c>
      <c r="G964" s="55">
        <v>0</v>
      </c>
      <c r="H964" s="55">
        <v>0</v>
      </c>
      <c r="I964" s="55">
        <v>0</v>
      </c>
      <c r="J964" s="55">
        <v>0</v>
      </c>
      <c r="K964" s="55">
        <v>0</v>
      </c>
      <c r="L964" s="55">
        <v>0</v>
      </c>
      <c r="M964" s="54" t="str">
        <f t="shared" si="78"/>
        <v>0-6 Months</v>
      </c>
      <c r="N964" s="54" t="str">
        <f t="shared" si="79"/>
        <v>12-18 Months</v>
      </c>
      <c r="O964" s="54" t="s">
        <v>7</v>
      </c>
      <c r="P964" s="54">
        <f t="shared" si="75"/>
        <v>0</v>
      </c>
      <c r="Q964">
        <f t="shared" si="76"/>
        <v>0</v>
      </c>
      <c r="R964">
        <f t="shared" si="77"/>
        <v>0</v>
      </c>
    </row>
    <row r="965" spans="1:18" x14ac:dyDescent="0.2">
      <c r="A965" s="54">
        <v>168376</v>
      </c>
      <c r="B965" s="54" t="s">
        <v>990</v>
      </c>
      <c r="C965" s="55">
        <v>18</v>
      </c>
      <c r="D965" s="55">
        <v>18</v>
      </c>
      <c r="E965" s="55">
        <v>2</v>
      </c>
      <c r="F965" s="55">
        <v>21</v>
      </c>
      <c r="G965" s="55">
        <v>21</v>
      </c>
      <c r="H965" s="55">
        <v>21</v>
      </c>
      <c r="I965" s="55">
        <v>1.17</v>
      </c>
      <c r="J965" s="55">
        <v>1.17</v>
      </c>
      <c r="K965" s="55">
        <v>1.17</v>
      </c>
      <c r="L965" s="55">
        <v>0</v>
      </c>
      <c r="M965" s="54" t="str">
        <f t="shared" si="78"/>
        <v>0-6 Months</v>
      </c>
      <c r="N965" s="54" t="str">
        <f t="shared" si="79"/>
        <v>12-18 Months</v>
      </c>
      <c r="O965" s="54" t="s">
        <v>7</v>
      </c>
      <c r="P965" s="54">
        <f t="shared" si="75"/>
        <v>18</v>
      </c>
      <c r="Q965">
        <f t="shared" si="76"/>
        <v>0</v>
      </c>
      <c r="R965">
        <f t="shared" si="77"/>
        <v>18</v>
      </c>
    </row>
    <row r="966" spans="1:18" x14ac:dyDescent="0.2">
      <c r="A966" s="54">
        <v>209541</v>
      </c>
      <c r="B966" s="54" t="s">
        <v>991</v>
      </c>
      <c r="C966" s="55">
        <v>18</v>
      </c>
      <c r="D966" s="55">
        <v>18</v>
      </c>
      <c r="E966" s="55">
        <v>2</v>
      </c>
      <c r="F966" s="55">
        <v>0</v>
      </c>
      <c r="G966" s="55">
        <v>0</v>
      </c>
      <c r="H966" s="55">
        <v>0</v>
      </c>
      <c r="I966" s="55">
        <v>0</v>
      </c>
      <c r="J966" s="55">
        <v>0</v>
      </c>
      <c r="K966" s="55">
        <v>0</v>
      </c>
      <c r="L966" s="55">
        <v>0</v>
      </c>
      <c r="M966" s="54" t="str">
        <f t="shared" si="78"/>
        <v>0-6 Months</v>
      </c>
      <c r="N966" s="54" t="str">
        <f t="shared" si="79"/>
        <v>12-18 Months</v>
      </c>
      <c r="O966" s="54" t="s">
        <v>7</v>
      </c>
      <c r="P966" s="54">
        <f t="shared" si="75"/>
        <v>0</v>
      </c>
      <c r="Q966">
        <f t="shared" si="76"/>
        <v>0</v>
      </c>
      <c r="R966">
        <f t="shared" si="77"/>
        <v>0</v>
      </c>
    </row>
    <row r="967" spans="1:18" x14ac:dyDescent="0.2">
      <c r="A967" s="54">
        <v>108600</v>
      </c>
      <c r="B967" s="54" t="s">
        <v>1005</v>
      </c>
      <c r="C967" s="55">
        <v>20</v>
      </c>
      <c r="D967" s="55">
        <v>20</v>
      </c>
      <c r="E967" s="55">
        <v>2</v>
      </c>
      <c r="F967" s="55">
        <v>95</v>
      </c>
      <c r="G967" s="55">
        <v>95</v>
      </c>
      <c r="H967" s="55">
        <v>95</v>
      </c>
      <c r="I967" s="55">
        <v>4.75</v>
      </c>
      <c r="J967" s="55">
        <v>4.75</v>
      </c>
      <c r="K967" s="55">
        <v>4.75</v>
      </c>
      <c r="L967" s="55">
        <v>0</v>
      </c>
      <c r="M967" s="54" t="str">
        <f t="shared" si="78"/>
        <v>0-6 Months</v>
      </c>
      <c r="N967" s="54" t="str">
        <f t="shared" si="79"/>
        <v>12-18 Months</v>
      </c>
      <c r="O967" s="54" t="s">
        <v>7</v>
      </c>
      <c r="P967" s="54">
        <f t="shared" si="75"/>
        <v>20</v>
      </c>
      <c r="Q967">
        <f t="shared" si="76"/>
        <v>20</v>
      </c>
      <c r="R967">
        <f t="shared" si="77"/>
        <v>20</v>
      </c>
    </row>
    <row r="968" spans="1:18" x14ac:dyDescent="0.2">
      <c r="A968" s="54">
        <v>115080</v>
      </c>
      <c r="B968" s="54" t="s">
        <v>1006</v>
      </c>
      <c r="C968" s="55">
        <v>20</v>
      </c>
      <c r="D968" s="55">
        <v>20</v>
      </c>
      <c r="E968" s="55">
        <v>2</v>
      </c>
      <c r="F968" s="55">
        <v>2</v>
      </c>
      <c r="G968" s="55">
        <v>2</v>
      </c>
      <c r="H968" s="55">
        <v>2</v>
      </c>
      <c r="I968" s="55">
        <v>0.1</v>
      </c>
      <c r="J968" s="55">
        <v>0.1</v>
      </c>
      <c r="K968" s="55">
        <v>0.1</v>
      </c>
      <c r="L968" s="55">
        <v>0</v>
      </c>
      <c r="M968" s="54" t="str">
        <f t="shared" si="78"/>
        <v>0-6 Months</v>
      </c>
      <c r="N968" s="54" t="str">
        <f t="shared" si="79"/>
        <v>12-18 Months</v>
      </c>
      <c r="O968" s="54" t="s">
        <v>7</v>
      </c>
      <c r="P968" s="54">
        <f t="shared" si="75"/>
        <v>0</v>
      </c>
      <c r="Q968">
        <f t="shared" si="76"/>
        <v>0</v>
      </c>
      <c r="R968">
        <f t="shared" si="77"/>
        <v>0</v>
      </c>
    </row>
    <row r="969" spans="1:18" x14ac:dyDescent="0.2">
      <c r="A969" s="54">
        <v>115379</v>
      </c>
      <c r="B969" s="54" t="s">
        <v>1007</v>
      </c>
      <c r="C969" s="55">
        <v>20</v>
      </c>
      <c r="D969" s="55">
        <v>20</v>
      </c>
      <c r="E969" s="55">
        <v>2</v>
      </c>
      <c r="F969" s="55">
        <v>0</v>
      </c>
      <c r="G969" s="55">
        <v>0</v>
      </c>
      <c r="H969" s="55">
        <v>0</v>
      </c>
      <c r="I969" s="55">
        <v>0</v>
      </c>
      <c r="J969" s="55">
        <v>0</v>
      </c>
      <c r="K969" s="55">
        <v>0</v>
      </c>
      <c r="L969" s="55">
        <v>0</v>
      </c>
      <c r="M969" s="54" t="str">
        <f t="shared" si="78"/>
        <v>0-6 Months</v>
      </c>
      <c r="N969" s="54" t="str">
        <f t="shared" si="79"/>
        <v>12-18 Months</v>
      </c>
      <c r="O969" s="54" t="s">
        <v>7</v>
      </c>
      <c r="P969" s="54">
        <f t="shared" si="75"/>
        <v>0</v>
      </c>
      <c r="Q969">
        <f t="shared" si="76"/>
        <v>0</v>
      </c>
      <c r="R969">
        <f t="shared" si="77"/>
        <v>0</v>
      </c>
    </row>
    <row r="970" spans="1:18" x14ac:dyDescent="0.2">
      <c r="A970" s="54">
        <v>111999</v>
      </c>
      <c r="B970" s="54" t="s">
        <v>1020</v>
      </c>
      <c r="C970" s="55">
        <v>21</v>
      </c>
      <c r="D970" s="55">
        <v>20</v>
      </c>
      <c r="E970" s="55">
        <v>2</v>
      </c>
      <c r="F970" s="55">
        <v>4</v>
      </c>
      <c r="G970" s="55">
        <v>4</v>
      </c>
      <c r="H970" s="55">
        <v>0</v>
      </c>
      <c r="I970" s="55">
        <v>0.2</v>
      </c>
      <c r="J970" s="55">
        <v>0.2</v>
      </c>
      <c r="K970" s="55">
        <v>0</v>
      </c>
      <c r="L970" s="55">
        <v>0</v>
      </c>
      <c r="M970" s="54" t="str">
        <f t="shared" si="78"/>
        <v>0-6 Months</v>
      </c>
      <c r="N970" s="54" t="str">
        <f t="shared" si="79"/>
        <v>12-18 Months</v>
      </c>
      <c r="O970" s="54" t="s">
        <v>7</v>
      </c>
      <c r="P970" s="54">
        <f t="shared" si="75"/>
        <v>0</v>
      </c>
      <c r="Q970">
        <f t="shared" si="76"/>
        <v>0</v>
      </c>
      <c r="R970">
        <f t="shared" si="77"/>
        <v>0</v>
      </c>
    </row>
    <row r="971" spans="1:18" x14ac:dyDescent="0.2">
      <c r="A971" s="54">
        <v>110264</v>
      </c>
      <c r="B971" s="54" t="s">
        <v>1026</v>
      </c>
      <c r="C971" s="55">
        <v>22</v>
      </c>
      <c r="D971" s="55">
        <v>23</v>
      </c>
      <c r="E971" s="55">
        <v>2</v>
      </c>
      <c r="F971" s="55">
        <v>31</v>
      </c>
      <c r="G971" s="55">
        <v>31</v>
      </c>
      <c r="H971" s="55">
        <v>31</v>
      </c>
      <c r="I971" s="55">
        <v>1.35</v>
      </c>
      <c r="J971" s="55">
        <v>1.35</v>
      </c>
      <c r="K971" s="55">
        <v>1.35</v>
      </c>
      <c r="L971" s="55">
        <v>1</v>
      </c>
      <c r="M971" s="54" t="str">
        <f t="shared" si="78"/>
        <v>0-6 Months</v>
      </c>
      <c r="N971" s="54" t="str">
        <f t="shared" si="79"/>
        <v>12-18 Months</v>
      </c>
      <c r="O971" s="54" t="s">
        <v>7</v>
      </c>
      <c r="P971" s="54">
        <f t="shared" si="75"/>
        <v>22</v>
      </c>
      <c r="Q971">
        <f t="shared" si="76"/>
        <v>0</v>
      </c>
      <c r="R971">
        <f t="shared" si="77"/>
        <v>22</v>
      </c>
    </row>
    <row r="972" spans="1:18" x14ac:dyDescent="0.2">
      <c r="A972" s="54">
        <v>115798</v>
      </c>
      <c r="B972" s="54" t="s">
        <v>1029</v>
      </c>
      <c r="C972" s="55">
        <v>22</v>
      </c>
      <c r="D972" s="55">
        <v>20</v>
      </c>
      <c r="E972" s="55">
        <v>2</v>
      </c>
      <c r="F972" s="55">
        <v>47</v>
      </c>
      <c r="G972" s="55">
        <v>47</v>
      </c>
      <c r="H972" s="55">
        <v>47</v>
      </c>
      <c r="I972" s="55">
        <v>2.35</v>
      </c>
      <c r="J972" s="55">
        <v>2.35</v>
      </c>
      <c r="K972" s="55">
        <v>2.35</v>
      </c>
      <c r="L972" s="55">
        <v>2</v>
      </c>
      <c r="M972" s="54" t="str">
        <f t="shared" si="78"/>
        <v>0-6 Months</v>
      </c>
      <c r="N972" s="54" t="str">
        <f t="shared" si="79"/>
        <v>12-18 Months</v>
      </c>
      <c r="O972" s="54" t="s">
        <v>7</v>
      </c>
      <c r="P972" s="54">
        <f t="shared" si="75"/>
        <v>22</v>
      </c>
      <c r="Q972">
        <f t="shared" si="76"/>
        <v>22</v>
      </c>
      <c r="R972">
        <f t="shared" si="77"/>
        <v>22</v>
      </c>
    </row>
    <row r="973" spans="1:18" x14ac:dyDescent="0.2">
      <c r="A973" s="54">
        <v>118387</v>
      </c>
      <c r="B973" s="54" t="s">
        <v>1027</v>
      </c>
      <c r="C973" s="55">
        <v>22</v>
      </c>
      <c r="D973" s="55">
        <v>20</v>
      </c>
      <c r="E973" s="55">
        <v>2</v>
      </c>
      <c r="F973" s="55">
        <v>34</v>
      </c>
      <c r="G973" s="55">
        <v>34</v>
      </c>
      <c r="H973" s="55">
        <v>34</v>
      </c>
      <c r="I973" s="55">
        <v>1.7</v>
      </c>
      <c r="J973" s="55">
        <v>1.7</v>
      </c>
      <c r="K973" s="55">
        <v>1.7</v>
      </c>
      <c r="L973" s="55">
        <v>0</v>
      </c>
      <c r="M973" s="54" t="str">
        <f t="shared" si="78"/>
        <v>0-6 Months</v>
      </c>
      <c r="N973" s="54" t="str">
        <f t="shared" si="79"/>
        <v>12-18 Months</v>
      </c>
      <c r="O973" s="54" t="s">
        <v>7</v>
      </c>
      <c r="P973" s="54">
        <f t="shared" si="75"/>
        <v>22</v>
      </c>
      <c r="Q973">
        <f t="shared" si="76"/>
        <v>0</v>
      </c>
      <c r="R973">
        <f t="shared" si="77"/>
        <v>22</v>
      </c>
    </row>
    <row r="974" spans="1:18" x14ac:dyDescent="0.2">
      <c r="A974" s="54">
        <v>488231</v>
      </c>
      <c r="B974" s="54" t="s">
        <v>1028</v>
      </c>
      <c r="C974" s="55">
        <v>22</v>
      </c>
      <c r="D974" s="55">
        <v>22</v>
      </c>
      <c r="E974" s="55">
        <v>2</v>
      </c>
      <c r="F974" s="55">
        <v>23</v>
      </c>
      <c r="G974" s="55">
        <v>23</v>
      </c>
      <c r="H974" s="55">
        <v>23</v>
      </c>
      <c r="I974" s="55">
        <v>1.05</v>
      </c>
      <c r="J974" s="55">
        <v>1.05</v>
      </c>
      <c r="K974" s="55">
        <v>1.05</v>
      </c>
      <c r="L974" s="55">
        <v>0</v>
      </c>
      <c r="M974" s="54" t="str">
        <f t="shared" si="78"/>
        <v>0-6 Months</v>
      </c>
      <c r="N974" s="54" t="str">
        <f t="shared" si="79"/>
        <v>12-18 Months</v>
      </c>
      <c r="O974" s="54" t="s">
        <v>7</v>
      </c>
      <c r="P974" s="54">
        <f t="shared" si="75"/>
        <v>22</v>
      </c>
      <c r="Q974">
        <f t="shared" si="76"/>
        <v>0</v>
      </c>
      <c r="R974">
        <f t="shared" si="77"/>
        <v>22</v>
      </c>
    </row>
    <row r="975" spans="1:18" x14ac:dyDescent="0.2">
      <c r="A975" s="54">
        <v>130931</v>
      </c>
      <c r="B975" s="54" t="s">
        <v>1056</v>
      </c>
      <c r="C975" s="55">
        <v>26</v>
      </c>
      <c r="D975" s="55">
        <v>23</v>
      </c>
      <c r="E975" s="55">
        <v>2</v>
      </c>
      <c r="F975" s="55">
        <v>8</v>
      </c>
      <c r="G975" s="55">
        <v>8</v>
      </c>
      <c r="H975" s="55">
        <v>8</v>
      </c>
      <c r="I975" s="55">
        <v>0.35</v>
      </c>
      <c r="J975" s="55">
        <v>0.35</v>
      </c>
      <c r="K975" s="55">
        <v>0.35</v>
      </c>
      <c r="L975" s="55">
        <v>6</v>
      </c>
      <c r="M975" s="54" t="str">
        <f t="shared" si="78"/>
        <v>0-6 Months</v>
      </c>
      <c r="N975" s="54" t="str">
        <f t="shared" si="79"/>
        <v>12-18 Months</v>
      </c>
      <c r="O975" s="54" t="s">
        <v>7</v>
      </c>
      <c r="P975" s="54">
        <f t="shared" si="75"/>
        <v>0</v>
      </c>
      <c r="Q975">
        <f t="shared" si="76"/>
        <v>0</v>
      </c>
      <c r="R975">
        <f t="shared" si="77"/>
        <v>0</v>
      </c>
    </row>
    <row r="976" spans="1:18" x14ac:dyDescent="0.2">
      <c r="A976" s="54">
        <v>461574</v>
      </c>
      <c r="B976" s="54" t="s">
        <v>1062</v>
      </c>
      <c r="C976" s="55">
        <v>27</v>
      </c>
      <c r="D976" s="55">
        <v>30</v>
      </c>
      <c r="E976" s="55">
        <v>2</v>
      </c>
      <c r="F976" s="55">
        <v>9</v>
      </c>
      <c r="G976" s="55">
        <v>9</v>
      </c>
      <c r="H976" s="55">
        <v>9</v>
      </c>
      <c r="I976" s="55">
        <v>0.3</v>
      </c>
      <c r="J976" s="55">
        <v>0.3</v>
      </c>
      <c r="K976" s="55">
        <v>0.3</v>
      </c>
      <c r="L976" s="55">
        <v>0</v>
      </c>
      <c r="M976" s="54" t="str">
        <f t="shared" si="78"/>
        <v>0-6 Months</v>
      </c>
      <c r="N976" s="54" t="str">
        <f t="shared" si="79"/>
        <v>12-18 Months</v>
      </c>
      <c r="O976" s="54" t="s">
        <v>7</v>
      </c>
      <c r="P976" s="54">
        <f t="shared" si="75"/>
        <v>0</v>
      </c>
      <c r="Q976">
        <f t="shared" si="76"/>
        <v>0</v>
      </c>
      <c r="R976">
        <f t="shared" si="77"/>
        <v>0</v>
      </c>
    </row>
    <row r="977" spans="1:18" x14ac:dyDescent="0.2">
      <c r="A977" s="54">
        <v>476210</v>
      </c>
      <c r="B977" s="54" t="s">
        <v>1061</v>
      </c>
      <c r="C977" s="55">
        <v>27</v>
      </c>
      <c r="D977" s="55">
        <v>30</v>
      </c>
      <c r="E977" s="55">
        <v>2</v>
      </c>
      <c r="F977" s="55">
        <v>4</v>
      </c>
      <c r="G977" s="55">
        <v>4</v>
      </c>
      <c r="H977" s="55">
        <v>0</v>
      </c>
      <c r="I977" s="55">
        <v>0.13</v>
      </c>
      <c r="J977" s="55">
        <v>0.13</v>
      </c>
      <c r="K977" s="55">
        <v>0</v>
      </c>
      <c r="L977" s="55">
        <v>0</v>
      </c>
      <c r="M977" s="54" t="str">
        <f t="shared" si="78"/>
        <v>0-6 Months</v>
      </c>
      <c r="N977" s="54" t="str">
        <f t="shared" si="79"/>
        <v>12-18 Months</v>
      </c>
      <c r="O977" s="54" t="s">
        <v>7</v>
      </c>
      <c r="P977" s="54">
        <f t="shared" si="75"/>
        <v>0</v>
      </c>
      <c r="Q977">
        <f t="shared" si="76"/>
        <v>0</v>
      </c>
      <c r="R977">
        <f t="shared" si="77"/>
        <v>0</v>
      </c>
    </row>
    <row r="978" spans="1:18" x14ac:dyDescent="0.2">
      <c r="A978" s="54">
        <v>114136</v>
      </c>
      <c r="B978" s="54" t="s">
        <v>1066</v>
      </c>
      <c r="C978" s="55">
        <v>28</v>
      </c>
      <c r="D978" s="55">
        <v>16</v>
      </c>
      <c r="E978" s="55">
        <v>2</v>
      </c>
      <c r="F978" s="55">
        <v>2</v>
      </c>
      <c r="G978" s="55">
        <v>2</v>
      </c>
      <c r="H978" s="55">
        <v>2</v>
      </c>
      <c r="I978" s="55">
        <v>0.13</v>
      </c>
      <c r="J978" s="55">
        <v>0.13</v>
      </c>
      <c r="K978" s="55">
        <v>0.13</v>
      </c>
      <c r="L978" s="55">
        <v>0</v>
      </c>
      <c r="M978" s="54" t="str">
        <f t="shared" si="78"/>
        <v>0-6 Months</v>
      </c>
      <c r="N978" s="54" t="str">
        <f t="shared" si="79"/>
        <v>12-18 Months</v>
      </c>
      <c r="O978" s="54" t="s">
        <v>7</v>
      </c>
      <c r="P978" s="54">
        <f t="shared" si="75"/>
        <v>0</v>
      </c>
      <c r="Q978">
        <f t="shared" si="76"/>
        <v>0</v>
      </c>
      <c r="R978">
        <f t="shared" si="77"/>
        <v>0</v>
      </c>
    </row>
    <row r="979" spans="1:18" x14ac:dyDescent="0.2">
      <c r="A979" s="54">
        <v>137418</v>
      </c>
      <c r="B979" s="54" t="s">
        <v>1067</v>
      </c>
      <c r="C979" s="55">
        <v>28</v>
      </c>
      <c r="D979" s="55">
        <v>22</v>
      </c>
      <c r="E979" s="55">
        <v>2</v>
      </c>
      <c r="F979" s="55">
        <v>23</v>
      </c>
      <c r="G979" s="55">
        <v>23</v>
      </c>
      <c r="H979" s="55">
        <v>23</v>
      </c>
      <c r="I979" s="55">
        <v>1.05</v>
      </c>
      <c r="J979" s="55">
        <v>1.05</v>
      </c>
      <c r="K979" s="55">
        <v>1.05</v>
      </c>
      <c r="L979" s="55">
        <v>17</v>
      </c>
      <c r="M979" s="54" t="str">
        <f t="shared" si="78"/>
        <v>0-6 Months</v>
      </c>
      <c r="N979" s="54" t="str">
        <f t="shared" si="79"/>
        <v>12-18 Months</v>
      </c>
      <c r="O979" s="54" t="s">
        <v>7</v>
      </c>
      <c r="P979" s="54">
        <f t="shared" si="75"/>
        <v>28</v>
      </c>
      <c r="Q979">
        <f t="shared" si="76"/>
        <v>0</v>
      </c>
      <c r="R979">
        <f t="shared" si="77"/>
        <v>28</v>
      </c>
    </row>
    <row r="980" spans="1:18" x14ac:dyDescent="0.2">
      <c r="A980" s="54">
        <v>175962</v>
      </c>
      <c r="B980" s="54" t="s">
        <v>1069</v>
      </c>
      <c r="C980" s="55">
        <v>29</v>
      </c>
      <c r="D980" s="55">
        <v>8</v>
      </c>
      <c r="E980" s="55">
        <v>2</v>
      </c>
      <c r="F980" s="55">
        <v>0</v>
      </c>
      <c r="G980" s="55">
        <v>0</v>
      </c>
      <c r="H980" s="55">
        <v>0</v>
      </c>
      <c r="I980" s="55">
        <v>0</v>
      </c>
      <c r="J980" s="55">
        <v>0</v>
      </c>
      <c r="K980" s="55">
        <v>0</v>
      </c>
      <c r="L980" s="55">
        <v>0</v>
      </c>
      <c r="M980" s="54" t="str">
        <f t="shared" si="78"/>
        <v>0-6 Months</v>
      </c>
      <c r="N980" s="54" t="str">
        <f t="shared" si="79"/>
        <v>12-18 Months</v>
      </c>
      <c r="O980" s="54" t="s">
        <v>7</v>
      </c>
      <c r="P980" s="54">
        <f t="shared" si="75"/>
        <v>0</v>
      </c>
      <c r="Q980">
        <f t="shared" si="76"/>
        <v>0</v>
      </c>
      <c r="R980">
        <f t="shared" si="77"/>
        <v>0</v>
      </c>
    </row>
    <row r="981" spans="1:18" x14ac:dyDescent="0.2">
      <c r="A981" s="54">
        <v>114269</v>
      </c>
      <c r="B981" s="54" t="s">
        <v>1080</v>
      </c>
      <c r="C981" s="55">
        <v>30</v>
      </c>
      <c r="D981" s="55">
        <v>30</v>
      </c>
      <c r="E981" s="55">
        <v>2</v>
      </c>
      <c r="F981" s="55">
        <v>3</v>
      </c>
      <c r="G981" s="55">
        <v>3</v>
      </c>
      <c r="H981" s="55">
        <v>3</v>
      </c>
      <c r="I981" s="55">
        <v>0.1</v>
      </c>
      <c r="J981" s="55">
        <v>0.1</v>
      </c>
      <c r="K981" s="55">
        <v>0.1</v>
      </c>
      <c r="L981" s="55">
        <v>0</v>
      </c>
      <c r="M981" s="54" t="str">
        <f t="shared" si="78"/>
        <v>0-6 Months</v>
      </c>
      <c r="N981" s="54" t="str">
        <f t="shared" si="79"/>
        <v>12-18 Months</v>
      </c>
      <c r="O981" s="54" t="s">
        <v>7</v>
      </c>
      <c r="P981" s="54">
        <f t="shared" si="75"/>
        <v>0</v>
      </c>
      <c r="Q981">
        <f t="shared" si="76"/>
        <v>0</v>
      </c>
      <c r="R981">
        <f t="shared" si="77"/>
        <v>0</v>
      </c>
    </row>
    <row r="982" spans="1:18" x14ac:dyDescent="0.2">
      <c r="A982" s="54">
        <v>155477</v>
      </c>
      <c r="B982" s="54" t="s">
        <v>1081</v>
      </c>
      <c r="C982" s="55">
        <v>30</v>
      </c>
      <c r="D982" s="55">
        <v>28</v>
      </c>
      <c r="E982" s="55">
        <v>2</v>
      </c>
      <c r="F982" s="55">
        <v>0</v>
      </c>
      <c r="G982" s="55">
        <v>0</v>
      </c>
      <c r="H982" s="55">
        <v>0</v>
      </c>
      <c r="I982" s="55">
        <v>0</v>
      </c>
      <c r="J982" s="55">
        <v>0</v>
      </c>
      <c r="K982" s="55">
        <v>0</v>
      </c>
      <c r="L982" s="55">
        <v>0</v>
      </c>
      <c r="M982" s="54" t="str">
        <f t="shared" si="78"/>
        <v>0-6 Months</v>
      </c>
      <c r="N982" s="54" t="str">
        <f t="shared" si="79"/>
        <v>12-18 Months</v>
      </c>
      <c r="O982" s="54" t="s">
        <v>7</v>
      </c>
      <c r="P982" s="54">
        <f t="shared" si="75"/>
        <v>0</v>
      </c>
      <c r="Q982">
        <f t="shared" si="76"/>
        <v>0</v>
      </c>
      <c r="R982">
        <f t="shared" si="77"/>
        <v>0</v>
      </c>
    </row>
    <row r="983" spans="1:18" x14ac:dyDescent="0.2">
      <c r="A983" s="54">
        <v>466249</v>
      </c>
      <c r="B983" s="54" t="s">
        <v>1079</v>
      </c>
      <c r="C983" s="55">
        <v>30</v>
      </c>
      <c r="D983" s="55">
        <v>20</v>
      </c>
      <c r="E983" s="55">
        <v>2</v>
      </c>
      <c r="F983" s="55">
        <v>0</v>
      </c>
      <c r="G983" s="55">
        <v>0</v>
      </c>
      <c r="H983" s="55">
        <v>0</v>
      </c>
      <c r="I983" s="55">
        <v>0</v>
      </c>
      <c r="J983" s="55">
        <v>0</v>
      </c>
      <c r="K983" s="55">
        <v>0</v>
      </c>
      <c r="L983" s="55">
        <v>0</v>
      </c>
      <c r="M983" s="54" t="str">
        <f t="shared" si="78"/>
        <v>0-6 Months</v>
      </c>
      <c r="N983" s="54" t="str">
        <f t="shared" si="79"/>
        <v>12-18 Months</v>
      </c>
      <c r="O983" s="54" t="s">
        <v>7</v>
      </c>
      <c r="P983" s="54">
        <f t="shared" si="75"/>
        <v>0</v>
      </c>
      <c r="Q983">
        <f t="shared" si="76"/>
        <v>0</v>
      </c>
      <c r="R983">
        <f t="shared" si="77"/>
        <v>0</v>
      </c>
    </row>
    <row r="984" spans="1:18" x14ac:dyDescent="0.2">
      <c r="A984" s="54">
        <v>466375</v>
      </c>
      <c r="B984" s="54" t="s">
        <v>1088</v>
      </c>
      <c r="C984" s="55">
        <v>31</v>
      </c>
      <c r="D984" s="55">
        <v>32</v>
      </c>
      <c r="E984" s="55">
        <v>2</v>
      </c>
      <c r="F984" s="55">
        <v>34</v>
      </c>
      <c r="G984" s="55">
        <v>34</v>
      </c>
      <c r="H984" s="55">
        <v>34</v>
      </c>
      <c r="I984" s="55">
        <v>1.06</v>
      </c>
      <c r="J984" s="55">
        <v>1.06</v>
      </c>
      <c r="K984" s="55">
        <v>1.06</v>
      </c>
      <c r="L984" s="55">
        <v>23</v>
      </c>
      <c r="M984" s="54" t="str">
        <f t="shared" si="78"/>
        <v>0-6 Months</v>
      </c>
      <c r="N984" s="54" t="str">
        <f t="shared" si="79"/>
        <v>12-18 Months</v>
      </c>
      <c r="O984" s="54" t="s">
        <v>7</v>
      </c>
      <c r="P984" s="54">
        <f t="shared" si="75"/>
        <v>31</v>
      </c>
      <c r="Q984">
        <f t="shared" si="76"/>
        <v>0</v>
      </c>
      <c r="R984">
        <f t="shared" si="77"/>
        <v>31</v>
      </c>
    </row>
    <row r="985" spans="1:18" x14ac:dyDescent="0.2">
      <c r="A985" s="54">
        <v>108253</v>
      </c>
      <c r="B985" s="54" t="s">
        <v>1091</v>
      </c>
      <c r="C985" s="55">
        <v>32</v>
      </c>
      <c r="D985" s="55">
        <v>42</v>
      </c>
      <c r="E985" s="55">
        <v>2</v>
      </c>
      <c r="F985" s="55">
        <v>4</v>
      </c>
      <c r="G985" s="55">
        <v>4</v>
      </c>
      <c r="H985" s="55">
        <v>4</v>
      </c>
      <c r="I985" s="55">
        <v>0.1</v>
      </c>
      <c r="J985" s="55">
        <v>0.1</v>
      </c>
      <c r="K985" s="55">
        <v>0.1</v>
      </c>
      <c r="L985" s="55">
        <v>0</v>
      </c>
      <c r="M985" s="54" t="str">
        <f t="shared" si="78"/>
        <v>0-6 Months</v>
      </c>
      <c r="N985" s="54" t="str">
        <f t="shared" si="79"/>
        <v>12-18 Months</v>
      </c>
      <c r="O985" s="54" t="s">
        <v>7</v>
      </c>
      <c r="P985" s="54">
        <f t="shared" si="75"/>
        <v>0</v>
      </c>
      <c r="Q985">
        <f t="shared" si="76"/>
        <v>0</v>
      </c>
      <c r="R985">
        <f t="shared" si="77"/>
        <v>0</v>
      </c>
    </row>
    <row r="986" spans="1:18" x14ac:dyDescent="0.2">
      <c r="A986" s="54">
        <v>109818</v>
      </c>
      <c r="B986" s="54" t="s">
        <v>1098</v>
      </c>
      <c r="C986" s="55">
        <v>33</v>
      </c>
      <c r="D986" s="55">
        <v>33</v>
      </c>
      <c r="E986" s="55">
        <v>2</v>
      </c>
      <c r="F986" s="55">
        <v>30</v>
      </c>
      <c r="G986" s="55">
        <v>30</v>
      </c>
      <c r="H986" s="55">
        <v>30</v>
      </c>
      <c r="I986" s="55">
        <v>0.91</v>
      </c>
      <c r="J986" s="55">
        <v>0.91</v>
      </c>
      <c r="K986" s="55">
        <v>0.91</v>
      </c>
      <c r="L986" s="55">
        <v>0</v>
      </c>
      <c r="M986" s="54" t="str">
        <f t="shared" si="78"/>
        <v>0-6 Months</v>
      </c>
      <c r="N986" s="54" t="str">
        <f t="shared" si="79"/>
        <v>12-18 Months</v>
      </c>
      <c r="O986" s="54" t="s">
        <v>7</v>
      </c>
      <c r="P986" s="54">
        <f t="shared" si="75"/>
        <v>33</v>
      </c>
      <c r="Q986">
        <f t="shared" si="76"/>
        <v>0</v>
      </c>
      <c r="R986">
        <f t="shared" si="77"/>
        <v>33</v>
      </c>
    </row>
    <row r="987" spans="1:18" x14ac:dyDescent="0.2">
      <c r="A987" s="54">
        <v>318176</v>
      </c>
      <c r="B987" s="54" t="s">
        <v>1099</v>
      </c>
      <c r="C987" s="55">
        <v>33</v>
      </c>
      <c r="D987" s="55">
        <v>25</v>
      </c>
      <c r="E987" s="55">
        <v>2</v>
      </c>
      <c r="F987" s="55">
        <v>1</v>
      </c>
      <c r="G987" s="55">
        <v>1</v>
      </c>
      <c r="H987" s="55">
        <v>1</v>
      </c>
      <c r="I987" s="55">
        <v>0.04</v>
      </c>
      <c r="J987" s="55">
        <v>0.04</v>
      </c>
      <c r="K987" s="55">
        <v>0.04</v>
      </c>
      <c r="L987" s="55">
        <v>0</v>
      </c>
      <c r="M987" s="54" t="str">
        <f t="shared" si="78"/>
        <v>0-6 Months</v>
      </c>
      <c r="N987" s="54" t="str">
        <f t="shared" si="79"/>
        <v>12-18 Months</v>
      </c>
      <c r="O987" s="54" t="s">
        <v>7</v>
      </c>
      <c r="P987" s="54">
        <f t="shared" si="75"/>
        <v>0</v>
      </c>
      <c r="Q987">
        <f t="shared" si="76"/>
        <v>0</v>
      </c>
      <c r="R987">
        <f t="shared" si="77"/>
        <v>0</v>
      </c>
    </row>
    <row r="988" spans="1:18" x14ac:dyDescent="0.2">
      <c r="A988" s="54">
        <v>122943</v>
      </c>
      <c r="B988" s="54" t="s">
        <v>1107</v>
      </c>
      <c r="C988" s="55">
        <v>35</v>
      </c>
      <c r="D988" s="55">
        <v>38</v>
      </c>
      <c r="E988" s="55">
        <v>2</v>
      </c>
      <c r="F988" s="55">
        <v>32</v>
      </c>
      <c r="G988" s="55">
        <v>32</v>
      </c>
      <c r="H988" s="55">
        <v>32</v>
      </c>
      <c r="I988" s="55">
        <v>0.84</v>
      </c>
      <c r="J988" s="55">
        <v>0.84</v>
      </c>
      <c r="K988" s="55">
        <v>0.84</v>
      </c>
      <c r="L988" s="55">
        <v>45</v>
      </c>
      <c r="M988" s="54" t="str">
        <f t="shared" si="78"/>
        <v>0-6 Months</v>
      </c>
      <c r="N988" s="54" t="str">
        <f t="shared" si="79"/>
        <v>12-18 Months</v>
      </c>
      <c r="O988" s="54" t="s">
        <v>7</v>
      </c>
      <c r="P988" s="54">
        <f t="shared" si="75"/>
        <v>35</v>
      </c>
      <c r="Q988">
        <f t="shared" si="76"/>
        <v>0</v>
      </c>
      <c r="R988">
        <f t="shared" si="77"/>
        <v>35</v>
      </c>
    </row>
    <row r="989" spans="1:18" x14ac:dyDescent="0.2">
      <c r="A989" s="54">
        <v>587054</v>
      </c>
      <c r="B989" s="54" t="s">
        <v>1108</v>
      </c>
      <c r="C989" s="55">
        <v>35</v>
      </c>
      <c r="D989" s="55">
        <v>35</v>
      </c>
      <c r="E989" s="55">
        <v>2</v>
      </c>
      <c r="F989" s="55">
        <v>19</v>
      </c>
      <c r="G989" s="55">
        <v>19</v>
      </c>
      <c r="H989" s="55">
        <v>19</v>
      </c>
      <c r="I989" s="55">
        <v>0.54</v>
      </c>
      <c r="J989" s="55">
        <v>0.54</v>
      </c>
      <c r="K989" s="55">
        <v>0.54</v>
      </c>
      <c r="L989" s="55">
        <v>10</v>
      </c>
      <c r="M989" s="54" t="str">
        <f t="shared" si="78"/>
        <v>0-6 Months</v>
      </c>
      <c r="N989" s="54" t="str">
        <f t="shared" si="79"/>
        <v>12-18 Months</v>
      </c>
      <c r="O989" s="54" t="s">
        <v>7</v>
      </c>
      <c r="P989" s="54">
        <f t="shared" si="75"/>
        <v>0</v>
      </c>
      <c r="Q989">
        <f t="shared" si="76"/>
        <v>0</v>
      </c>
      <c r="R989">
        <f t="shared" si="77"/>
        <v>0</v>
      </c>
    </row>
    <row r="990" spans="1:18" x14ac:dyDescent="0.2">
      <c r="A990" s="54">
        <v>305835</v>
      </c>
      <c r="B990" s="54" t="s">
        <v>1115</v>
      </c>
      <c r="C990" s="55">
        <v>36</v>
      </c>
      <c r="D990" s="55">
        <v>34</v>
      </c>
      <c r="E990" s="55">
        <v>2</v>
      </c>
      <c r="F990" s="55">
        <v>3</v>
      </c>
      <c r="G990" s="55">
        <v>3</v>
      </c>
      <c r="H990" s="55">
        <v>3</v>
      </c>
      <c r="I990" s="55">
        <v>0.09</v>
      </c>
      <c r="J990" s="55">
        <v>0.09</v>
      </c>
      <c r="K990" s="55">
        <v>0.09</v>
      </c>
      <c r="L990" s="55">
        <v>0</v>
      </c>
      <c r="M990" s="54" t="str">
        <f t="shared" si="78"/>
        <v>0-6 Months</v>
      </c>
      <c r="N990" s="54" t="str">
        <f t="shared" si="79"/>
        <v>12-18 Months</v>
      </c>
      <c r="O990" s="54" t="s">
        <v>7</v>
      </c>
      <c r="P990" s="54">
        <f t="shared" si="75"/>
        <v>0</v>
      </c>
      <c r="Q990">
        <f t="shared" si="76"/>
        <v>0</v>
      </c>
      <c r="R990">
        <f t="shared" si="77"/>
        <v>0</v>
      </c>
    </row>
    <row r="991" spans="1:18" x14ac:dyDescent="0.2">
      <c r="A991" s="54">
        <v>327329</v>
      </c>
      <c r="B991" s="54" t="s">
        <v>1114</v>
      </c>
      <c r="C991" s="55">
        <v>36</v>
      </c>
      <c r="D991" s="55">
        <v>28</v>
      </c>
      <c r="E991" s="55">
        <v>2</v>
      </c>
      <c r="F991" s="55">
        <v>10</v>
      </c>
      <c r="G991" s="55">
        <v>10</v>
      </c>
      <c r="H991" s="55">
        <v>10</v>
      </c>
      <c r="I991" s="55">
        <v>0.36</v>
      </c>
      <c r="J991" s="55">
        <v>0.36</v>
      </c>
      <c r="K991" s="55">
        <v>0.36</v>
      </c>
      <c r="L991" s="55">
        <v>0</v>
      </c>
      <c r="M991" s="54" t="str">
        <f t="shared" si="78"/>
        <v>0-6 Months</v>
      </c>
      <c r="N991" s="54" t="str">
        <f t="shared" si="79"/>
        <v>12-18 Months</v>
      </c>
      <c r="O991" s="54" t="s">
        <v>7</v>
      </c>
      <c r="P991" s="54">
        <f t="shared" si="75"/>
        <v>0</v>
      </c>
      <c r="Q991">
        <f t="shared" si="76"/>
        <v>0</v>
      </c>
      <c r="R991">
        <f t="shared" si="77"/>
        <v>0</v>
      </c>
    </row>
    <row r="992" spans="1:18" x14ac:dyDescent="0.2">
      <c r="A992" s="54">
        <v>321952</v>
      </c>
      <c r="B992" s="54" t="s">
        <v>1120</v>
      </c>
      <c r="C992" s="55">
        <v>38</v>
      </c>
      <c r="D992" s="55">
        <v>30</v>
      </c>
      <c r="E992" s="55">
        <v>2</v>
      </c>
      <c r="F992" s="55">
        <v>1</v>
      </c>
      <c r="G992" s="55">
        <v>1</v>
      </c>
      <c r="H992" s="55">
        <v>1</v>
      </c>
      <c r="I992" s="55">
        <v>0.03</v>
      </c>
      <c r="J992" s="55">
        <v>0.03</v>
      </c>
      <c r="K992" s="55">
        <v>0.03</v>
      </c>
      <c r="L992" s="55">
        <v>0</v>
      </c>
      <c r="M992" s="54" t="str">
        <f t="shared" si="78"/>
        <v>0-6 Months</v>
      </c>
      <c r="N992" s="54" t="str">
        <f t="shared" si="79"/>
        <v>12-18 Months</v>
      </c>
      <c r="O992" s="54" t="s">
        <v>7</v>
      </c>
      <c r="P992" s="54">
        <f t="shared" si="75"/>
        <v>0</v>
      </c>
      <c r="Q992">
        <f t="shared" si="76"/>
        <v>0</v>
      </c>
      <c r="R992">
        <f t="shared" si="77"/>
        <v>0</v>
      </c>
    </row>
    <row r="993" spans="1:18" x14ac:dyDescent="0.2">
      <c r="A993" s="54">
        <v>193670</v>
      </c>
      <c r="B993" s="54" t="s">
        <v>1123</v>
      </c>
      <c r="C993" s="55">
        <v>39</v>
      </c>
      <c r="D993" s="55">
        <v>40</v>
      </c>
      <c r="E993" s="55">
        <v>2</v>
      </c>
      <c r="F993" s="55">
        <v>15</v>
      </c>
      <c r="G993" s="55">
        <v>15</v>
      </c>
      <c r="H993" s="55">
        <v>15</v>
      </c>
      <c r="I993" s="55">
        <v>0.38</v>
      </c>
      <c r="J993" s="55">
        <v>0.38</v>
      </c>
      <c r="K993" s="55">
        <v>0.38</v>
      </c>
      <c r="L993" s="55">
        <v>0</v>
      </c>
      <c r="M993" s="54" t="str">
        <f t="shared" si="78"/>
        <v>0-6 Months</v>
      </c>
      <c r="N993" s="54" t="str">
        <f t="shared" si="79"/>
        <v>12-18 Months</v>
      </c>
      <c r="O993" s="54" t="s">
        <v>7</v>
      </c>
      <c r="P993" s="54">
        <f t="shared" si="75"/>
        <v>0</v>
      </c>
      <c r="Q993">
        <f t="shared" si="76"/>
        <v>0</v>
      </c>
      <c r="R993">
        <f t="shared" si="77"/>
        <v>0</v>
      </c>
    </row>
    <row r="994" spans="1:18" x14ac:dyDescent="0.2">
      <c r="A994" s="54">
        <v>130859</v>
      </c>
      <c r="B994" s="54" t="s">
        <v>1131</v>
      </c>
      <c r="C994" s="55">
        <v>41</v>
      </c>
      <c r="D994" s="55">
        <v>39</v>
      </c>
      <c r="E994" s="55">
        <v>2</v>
      </c>
      <c r="F994" s="55">
        <v>0</v>
      </c>
      <c r="G994" s="55">
        <v>0</v>
      </c>
      <c r="H994" s="55">
        <v>0</v>
      </c>
      <c r="I994" s="55">
        <v>0</v>
      </c>
      <c r="J994" s="55">
        <v>0</v>
      </c>
      <c r="K994" s="55">
        <v>0</v>
      </c>
      <c r="L994" s="55">
        <v>0</v>
      </c>
      <c r="M994" s="54" t="str">
        <f t="shared" si="78"/>
        <v>0-6 Months</v>
      </c>
      <c r="N994" s="54" t="str">
        <f t="shared" si="79"/>
        <v>12-18 Months</v>
      </c>
      <c r="O994" s="54" t="s">
        <v>7</v>
      </c>
      <c r="P994" s="54">
        <f t="shared" si="75"/>
        <v>0</v>
      </c>
      <c r="Q994">
        <f t="shared" si="76"/>
        <v>0</v>
      </c>
      <c r="R994">
        <f t="shared" si="77"/>
        <v>0</v>
      </c>
    </row>
    <row r="995" spans="1:18" x14ac:dyDescent="0.2">
      <c r="A995" s="54">
        <v>109924</v>
      </c>
      <c r="B995" s="54" t="s">
        <v>1134</v>
      </c>
      <c r="C995" s="55">
        <v>43</v>
      </c>
      <c r="D995" s="55">
        <v>40</v>
      </c>
      <c r="E995" s="55">
        <v>2</v>
      </c>
      <c r="F995" s="55">
        <v>19</v>
      </c>
      <c r="G995" s="55">
        <v>19</v>
      </c>
      <c r="H995" s="55">
        <v>19</v>
      </c>
      <c r="I995" s="55">
        <v>0.48</v>
      </c>
      <c r="J995" s="55">
        <v>0.48</v>
      </c>
      <c r="K995" s="55">
        <v>0.48</v>
      </c>
      <c r="L995" s="55">
        <v>0</v>
      </c>
      <c r="M995" s="54" t="str">
        <f t="shared" si="78"/>
        <v>0-6 Months</v>
      </c>
      <c r="N995" s="54" t="str">
        <f t="shared" si="79"/>
        <v>12-18 Months</v>
      </c>
      <c r="O995" s="54" t="s">
        <v>7</v>
      </c>
      <c r="P995" s="54">
        <f t="shared" si="75"/>
        <v>0</v>
      </c>
      <c r="Q995">
        <f t="shared" si="76"/>
        <v>0</v>
      </c>
      <c r="R995">
        <f t="shared" si="77"/>
        <v>0</v>
      </c>
    </row>
    <row r="996" spans="1:18" x14ac:dyDescent="0.2">
      <c r="A996" s="54">
        <v>303208</v>
      </c>
      <c r="B996" s="54" t="s">
        <v>1140</v>
      </c>
      <c r="C996" s="55">
        <v>47</v>
      </c>
      <c r="D996" s="55">
        <v>15</v>
      </c>
      <c r="E996" s="55">
        <v>2</v>
      </c>
      <c r="F996" s="55">
        <v>0</v>
      </c>
      <c r="G996" s="55">
        <v>0</v>
      </c>
      <c r="H996" s="55">
        <v>0</v>
      </c>
      <c r="I996" s="55">
        <v>0</v>
      </c>
      <c r="J996" s="55">
        <v>0</v>
      </c>
      <c r="K996" s="55">
        <v>0</v>
      </c>
      <c r="L996" s="55">
        <v>0</v>
      </c>
      <c r="M996" s="54" t="str">
        <f t="shared" si="78"/>
        <v>0-6 Months</v>
      </c>
      <c r="N996" s="54" t="str">
        <f t="shared" si="79"/>
        <v>12-18 Months</v>
      </c>
      <c r="O996" s="54" t="s">
        <v>7</v>
      </c>
      <c r="P996" s="54">
        <f t="shared" si="75"/>
        <v>0</v>
      </c>
      <c r="Q996">
        <f t="shared" si="76"/>
        <v>0</v>
      </c>
      <c r="R996">
        <f t="shared" si="77"/>
        <v>0</v>
      </c>
    </row>
    <row r="997" spans="1:18" x14ac:dyDescent="0.2">
      <c r="A997" s="54">
        <v>110348</v>
      </c>
      <c r="B997" s="54" t="s">
        <v>1141</v>
      </c>
      <c r="C997" s="55">
        <v>48</v>
      </c>
      <c r="D997" s="55">
        <v>50</v>
      </c>
      <c r="E997" s="55">
        <v>2</v>
      </c>
      <c r="F997" s="55">
        <v>76</v>
      </c>
      <c r="G997" s="55">
        <v>76</v>
      </c>
      <c r="H997" s="55">
        <v>76</v>
      </c>
      <c r="I997" s="55">
        <v>1.52</v>
      </c>
      <c r="J997" s="55">
        <v>1.52</v>
      </c>
      <c r="K997" s="55">
        <v>1.52</v>
      </c>
      <c r="L997" s="55">
        <v>0</v>
      </c>
      <c r="M997" s="54" t="str">
        <f t="shared" si="78"/>
        <v>0-6 Months</v>
      </c>
      <c r="N997" s="54" t="str">
        <f t="shared" si="79"/>
        <v>12-18 Months</v>
      </c>
      <c r="O997" s="54" t="s">
        <v>7</v>
      </c>
      <c r="P997" s="54">
        <f t="shared" si="75"/>
        <v>48</v>
      </c>
      <c r="Q997">
        <f t="shared" si="76"/>
        <v>0</v>
      </c>
      <c r="R997">
        <f t="shared" si="77"/>
        <v>48</v>
      </c>
    </row>
    <row r="998" spans="1:18" x14ac:dyDescent="0.2">
      <c r="A998" s="54">
        <v>455172</v>
      </c>
      <c r="B998" s="54" t="s">
        <v>1145</v>
      </c>
      <c r="C998" s="55">
        <v>51</v>
      </c>
      <c r="D998" s="55">
        <v>45</v>
      </c>
      <c r="E998" s="55">
        <v>2</v>
      </c>
      <c r="F998" s="55">
        <v>0</v>
      </c>
      <c r="G998" s="55">
        <v>0</v>
      </c>
      <c r="H998" s="55">
        <v>0</v>
      </c>
      <c r="I998" s="55">
        <v>0</v>
      </c>
      <c r="J998" s="55">
        <v>0</v>
      </c>
      <c r="K998" s="55">
        <v>0</v>
      </c>
      <c r="L998" s="55">
        <v>0</v>
      </c>
      <c r="M998" s="54" t="str">
        <f t="shared" si="78"/>
        <v>0-6 Months</v>
      </c>
      <c r="N998" s="54" t="str">
        <f t="shared" si="79"/>
        <v>12-18 Months</v>
      </c>
      <c r="O998" s="54" t="s">
        <v>7</v>
      </c>
      <c r="P998" s="54">
        <f t="shared" si="75"/>
        <v>0</v>
      </c>
      <c r="Q998">
        <f t="shared" si="76"/>
        <v>0</v>
      </c>
      <c r="R998">
        <f t="shared" si="77"/>
        <v>0</v>
      </c>
    </row>
    <row r="999" spans="1:18" x14ac:dyDescent="0.2">
      <c r="A999" s="54">
        <v>300075</v>
      </c>
      <c r="B999" s="54" t="s">
        <v>1149</v>
      </c>
      <c r="C999" s="55">
        <v>52</v>
      </c>
      <c r="D999" s="55">
        <v>55</v>
      </c>
      <c r="E999" s="55">
        <v>2</v>
      </c>
      <c r="F999" s="55">
        <v>51</v>
      </c>
      <c r="G999" s="55">
        <v>51</v>
      </c>
      <c r="H999" s="55">
        <v>51</v>
      </c>
      <c r="I999" s="55">
        <v>0.93</v>
      </c>
      <c r="J999" s="55">
        <v>0.93</v>
      </c>
      <c r="K999" s="55">
        <v>0.93</v>
      </c>
      <c r="L999" s="55">
        <v>114</v>
      </c>
      <c r="M999" s="54" t="str">
        <f t="shared" si="78"/>
        <v>0-6 Months</v>
      </c>
      <c r="N999" s="54" t="str">
        <f t="shared" si="79"/>
        <v>12-18 Months</v>
      </c>
      <c r="O999" s="54" t="s">
        <v>7</v>
      </c>
      <c r="P999" s="54">
        <f t="shared" si="75"/>
        <v>52</v>
      </c>
      <c r="Q999">
        <f t="shared" si="76"/>
        <v>0</v>
      </c>
      <c r="R999">
        <f t="shared" si="77"/>
        <v>52</v>
      </c>
    </row>
    <row r="1000" spans="1:18" x14ac:dyDescent="0.2">
      <c r="A1000" s="54">
        <v>128761</v>
      </c>
      <c r="B1000" s="54" t="s">
        <v>1160</v>
      </c>
      <c r="C1000" s="55">
        <v>55</v>
      </c>
      <c r="D1000" s="55">
        <v>50</v>
      </c>
      <c r="E1000" s="55">
        <v>2</v>
      </c>
      <c r="F1000" s="55">
        <v>241</v>
      </c>
      <c r="G1000" s="55">
        <v>241</v>
      </c>
      <c r="H1000" s="55">
        <v>241</v>
      </c>
      <c r="I1000" s="55">
        <v>4.82</v>
      </c>
      <c r="J1000" s="55">
        <v>4.82</v>
      </c>
      <c r="K1000" s="55">
        <v>4.82</v>
      </c>
      <c r="L1000" s="55">
        <v>49</v>
      </c>
      <c r="M1000" s="54" t="str">
        <f t="shared" si="78"/>
        <v>0-6 Months</v>
      </c>
      <c r="N1000" s="54" t="str">
        <f t="shared" si="79"/>
        <v>12-18 Months</v>
      </c>
      <c r="O1000" s="54" t="s">
        <v>7</v>
      </c>
      <c r="P1000" s="54">
        <f t="shared" si="75"/>
        <v>55</v>
      </c>
      <c r="Q1000">
        <f t="shared" si="76"/>
        <v>55</v>
      </c>
      <c r="R1000">
        <f t="shared" si="77"/>
        <v>55</v>
      </c>
    </row>
    <row r="1001" spans="1:18" x14ac:dyDescent="0.2">
      <c r="A1001" s="54">
        <v>309618</v>
      </c>
      <c r="B1001" s="54" t="s">
        <v>1158</v>
      </c>
      <c r="C1001" s="55">
        <v>55</v>
      </c>
      <c r="D1001" s="55">
        <v>55</v>
      </c>
      <c r="E1001" s="55">
        <v>2</v>
      </c>
      <c r="F1001" s="55">
        <v>33</v>
      </c>
      <c r="G1001" s="55">
        <v>33</v>
      </c>
      <c r="H1001" s="55">
        <v>33</v>
      </c>
      <c r="I1001" s="55">
        <v>0.6</v>
      </c>
      <c r="J1001" s="55">
        <v>0.6</v>
      </c>
      <c r="K1001" s="55">
        <v>0.6</v>
      </c>
      <c r="L1001" s="55">
        <v>29</v>
      </c>
      <c r="M1001" s="54" t="str">
        <f t="shared" si="78"/>
        <v>0-6 Months</v>
      </c>
      <c r="N1001" s="54" t="str">
        <f t="shared" si="79"/>
        <v>12-18 Months</v>
      </c>
      <c r="O1001" s="54" t="s">
        <v>7</v>
      </c>
      <c r="P1001" s="54">
        <f t="shared" si="75"/>
        <v>0</v>
      </c>
      <c r="Q1001">
        <f t="shared" si="76"/>
        <v>0</v>
      </c>
      <c r="R1001">
        <f t="shared" si="77"/>
        <v>0</v>
      </c>
    </row>
    <row r="1002" spans="1:18" x14ac:dyDescent="0.2">
      <c r="A1002" s="54">
        <v>494944</v>
      </c>
      <c r="B1002" s="54" t="s">
        <v>1159</v>
      </c>
      <c r="C1002" s="55">
        <v>55</v>
      </c>
      <c r="D1002" s="55">
        <v>55</v>
      </c>
      <c r="E1002" s="55">
        <v>2</v>
      </c>
      <c r="F1002" s="55">
        <v>10</v>
      </c>
      <c r="G1002" s="55">
        <v>10</v>
      </c>
      <c r="H1002" s="55">
        <v>10</v>
      </c>
      <c r="I1002" s="55">
        <v>0.18</v>
      </c>
      <c r="J1002" s="55">
        <v>0.18</v>
      </c>
      <c r="K1002" s="55">
        <v>0.18</v>
      </c>
      <c r="L1002" s="55">
        <v>14</v>
      </c>
      <c r="M1002" s="54" t="str">
        <f t="shared" si="78"/>
        <v>0-6 Months</v>
      </c>
      <c r="N1002" s="54" t="str">
        <f t="shared" si="79"/>
        <v>12-18 Months</v>
      </c>
      <c r="O1002" s="54" t="s">
        <v>7</v>
      </c>
      <c r="P1002" s="54">
        <f t="shared" si="75"/>
        <v>0</v>
      </c>
      <c r="Q1002">
        <f t="shared" si="76"/>
        <v>0</v>
      </c>
      <c r="R1002">
        <f t="shared" si="77"/>
        <v>0</v>
      </c>
    </row>
    <row r="1003" spans="1:18" x14ac:dyDescent="0.2">
      <c r="A1003" s="54">
        <v>109200</v>
      </c>
      <c r="B1003" s="54" t="s">
        <v>1166</v>
      </c>
      <c r="C1003" s="55">
        <v>60</v>
      </c>
      <c r="D1003" s="55">
        <v>60</v>
      </c>
      <c r="E1003" s="55">
        <v>2</v>
      </c>
      <c r="F1003" s="55">
        <v>0</v>
      </c>
      <c r="G1003" s="55">
        <v>0</v>
      </c>
      <c r="H1003" s="55">
        <v>0</v>
      </c>
      <c r="I1003" s="55">
        <v>0</v>
      </c>
      <c r="J1003" s="55">
        <v>0</v>
      </c>
      <c r="K1003" s="55">
        <v>0</v>
      </c>
      <c r="L1003" s="55">
        <v>0</v>
      </c>
      <c r="M1003" s="54" t="str">
        <f t="shared" si="78"/>
        <v>0-6 Months</v>
      </c>
      <c r="N1003" s="54" t="str">
        <f t="shared" si="79"/>
        <v>12-18 Months</v>
      </c>
      <c r="O1003" s="54" t="s">
        <v>7</v>
      </c>
      <c r="P1003" s="54">
        <f t="shared" si="75"/>
        <v>0</v>
      </c>
      <c r="Q1003">
        <f t="shared" si="76"/>
        <v>0</v>
      </c>
      <c r="R1003">
        <f t="shared" si="77"/>
        <v>0</v>
      </c>
    </row>
    <row r="1004" spans="1:18" x14ac:dyDescent="0.2">
      <c r="A1004" s="54">
        <v>300173</v>
      </c>
      <c r="B1004" s="54" t="s">
        <v>1167</v>
      </c>
      <c r="C1004" s="55">
        <v>60</v>
      </c>
      <c r="D1004" s="55">
        <v>88</v>
      </c>
      <c r="E1004" s="55">
        <v>2</v>
      </c>
      <c r="F1004" s="55">
        <v>136</v>
      </c>
      <c r="G1004" s="55">
        <v>136</v>
      </c>
      <c r="H1004" s="55">
        <v>136</v>
      </c>
      <c r="I1004" s="55">
        <v>1.55</v>
      </c>
      <c r="J1004" s="55">
        <v>1.55</v>
      </c>
      <c r="K1004" s="55">
        <v>1.55</v>
      </c>
      <c r="L1004" s="55">
        <v>45</v>
      </c>
      <c r="M1004" s="54" t="str">
        <f t="shared" si="78"/>
        <v>0-6 Months</v>
      </c>
      <c r="N1004" s="54" t="str">
        <f t="shared" si="79"/>
        <v>12-18 Months</v>
      </c>
      <c r="O1004" s="54" t="s">
        <v>7</v>
      </c>
      <c r="P1004" s="54">
        <f t="shared" si="75"/>
        <v>60</v>
      </c>
      <c r="Q1004">
        <f t="shared" si="76"/>
        <v>0</v>
      </c>
      <c r="R1004">
        <f t="shared" si="77"/>
        <v>60</v>
      </c>
    </row>
    <row r="1005" spans="1:18" x14ac:dyDescent="0.2">
      <c r="A1005" s="54">
        <v>115621</v>
      </c>
      <c r="B1005" s="54" t="s">
        <v>1170</v>
      </c>
      <c r="C1005" s="55">
        <v>61</v>
      </c>
      <c r="D1005" s="55">
        <v>60</v>
      </c>
      <c r="E1005" s="55">
        <v>2</v>
      </c>
      <c r="F1005" s="55">
        <v>7</v>
      </c>
      <c r="G1005" s="55">
        <v>7</v>
      </c>
      <c r="H1005" s="55">
        <v>7</v>
      </c>
      <c r="I1005" s="55">
        <v>0.12</v>
      </c>
      <c r="J1005" s="55">
        <v>0.12</v>
      </c>
      <c r="K1005" s="55">
        <v>0.12</v>
      </c>
      <c r="L1005" s="55">
        <v>23</v>
      </c>
      <c r="M1005" s="54" t="str">
        <f t="shared" si="78"/>
        <v>0-6 Months</v>
      </c>
      <c r="N1005" s="54" t="str">
        <f t="shared" si="79"/>
        <v>12-18 Months</v>
      </c>
      <c r="O1005" s="54" t="s">
        <v>7</v>
      </c>
      <c r="P1005" s="54">
        <f t="shared" si="75"/>
        <v>0</v>
      </c>
      <c r="Q1005">
        <f t="shared" si="76"/>
        <v>0</v>
      </c>
      <c r="R1005">
        <f t="shared" si="77"/>
        <v>0</v>
      </c>
    </row>
    <row r="1006" spans="1:18" x14ac:dyDescent="0.2">
      <c r="A1006" s="54">
        <v>105703</v>
      </c>
      <c r="B1006" s="54" t="s">
        <v>1181</v>
      </c>
      <c r="C1006" s="55">
        <v>71</v>
      </c>
      <c r="D1006" s="55">
        <v>100</v>
      </c>
      <c r="E1006" s="55">
        <v>2</v>
      </c>
      <c r="F1006" s="55">
        <v>0</v>
      </c>
      <c r="G1006" s="55">
        <v>0</v>
      </c>
      <c r="H1006" s="55">
        <v>0</v>
      </c>
      <c r="I1006" s="55">
        <v>0</v>
      </c>
      <c r="J1006" s="55">
        <v>0</v>
      </c>
      <c r="K1006" s="55">
        <v>0</v>
      </c>
      <c r="L1006" s="55">
        <v>0</v>
      </c>
      <c r="M1006" s="54" t="str">
        <f t="shared" si="78"/>
        <v>0-6 Months</v>
      </c>
      <c r="N1006" s="54" t="str">
        <f t="shared" si="79"/>
        <v>12-18 Months</v>
      </c>
      <c r="O1006" s="54" t="s">
        <v>6</v>
      </c>
      <c r="P1006" s="54">
        <f t="shared" si="75"/>
        <v>0</v>
      </c>
      <c r="Q1006">
        <f t="shared" si="76"/>
        <v>0</v>
      </c>
      <c r="R1006">
        <f t="shared" si="77"/>
        <v>0</v>
      </c>
    </row>
    <row r="1007" spans="1:18" x14ac:dyDescent="0.2">
      <c r="A1007" s="54">
        <v>109391</v>
      </c>
      <c r="B1007" s="54" t="s">
        <v>1180</v>
      </c>
      <c r="C1007" s="55">
        <v>71</v>
      </c>
      <c r="D1007" s="55">
        <v>73</v>
      </c>
      <c r="E1007" s="55">
        <v>2</v>
      </c>
      <c r="F1007" s="55">
        <v>50</v>
      </c>
      <c r="G1007" s="55">
        <v>47</v>
      </c>
      <c r="H1007" s="55">
        <v>47</v>
      </c>
      <c r="I1007" s="55">
        <v>0.68</v>
      </c>
      <c r="J1007" s="55">
        <v>0.64</v>
      </c>
      <c r="K1007" s="55">
        <v>0.64</v>
      </c>
      <c r="L1007" s="55">
        <v>26</v>
      </c>
      <c r="M1007" s="54" t="str">
        <f t="shared" si="78"/>
        <v>0-6 Months</v>
      </c>
      <c r="N1007" s="54" t="str">
        <f t="shared" si="79"/>
        <v>12-18 Months</v>
      </c>
      <c r="O1007" s="54" t="s">
        <v>7</v>
      </c>
      <c r="P1007" s="54">
        <f t="shared" si="75"/>
        <v>0</v>
      </c>
      <c r="Q1007">
        <f t="shared" si="76"/>
        <v>0</v>
      </c>
      <c r="R1007">
        <f t="shared" si="77"/>
        <v>0</v>
      </c>
    </row>
    <row r="1008" spans="1:18" x14ac:dyDescent="0.2">
      <c r="A1008" s="54">
        <v>149464</v>
      </c>
      <c r="B1008" s="54" t="s">
        <v>1187</v>
      </c>
      <c r="C1008" s="55">
        <v>74</v>
      </c>
      <c r="D1008" s="55">
        <v>74</v>
      </c>
      <c r="E1008" s="55">
        <v>2</v>
      </c>
      <c r="F1008" s="55">
        <v>40</v>
      </c>
      <c r="G1008" s="55">
        <v>40</v>
      </c>
      <c r="H1008" s="55">
        <v>40</v>
      </c>
      <c r="I1008" s="55">
        <v>0.54</v>
      </c>
      <c r="J1008" s="55">
        <v>0.54</v>
      </c>
      <c r="K1008" s="55">
        <v>0.54</v>
      </c>
      <c r="L1008" s="55">
        <v>0</v>
      </c>
      <c r="M1008" s="54" t="str">
        <f t="shared" si="78"/>
        <v>0-6 Months</v>
      </c>
      <c r="N1008" s="54" t="str">
        <f t="shared" si="79"/>
        <v>12-18 Months</v>
      </c>
      <c r="O1008" s="54" t="s">
        <v>7</v>
      </c>
      <c r="P1008" s="54">
        <f t="shared" si="75"/>
        <v>0</v>
      </c>
      <c r="Q1008">
        <f t="shared" si="76"/>
        <v>0</v>
      </c>
      <c r="R1008">
        <f t="shared" si="77"/>
        <v>0</v>
      </c>
    </row>
    <row r="1009" spans="1:18" x14ac:dyDescent="0.2">
      <c r="A1009" s="54">
        <v>109722</v>
      </c>
      <c r="B1009" s="54" t="s">
        <v>1193</v>
      </c>
      <c r="C1009" s="55">
        <v>80</v>
      </c>
      <c r="D1009" s="55">
        <v>75</v>
      </c>
      <c r="E1009" s="55">
        <v>2</v>
      </c>
      <c r="F1009" s="55">
        <v>40</v>
      </c>
      <c r="G1009" s="55">
        <v>40</v>
      </c>
      <c r="H1009" s="55">
        <v>40</v>
      </c>
      <c r="I1009" s="55">
        <v>0.53</v>
      </c>
      <c r="J1009" s="55">
        <v>0.53</v>
      </c>
      <c r="K1009" s="55">
        <v>0.53</v>
      </c>
      <c r="L1009" s="55">
        <v>16</v>
      </c>
      <c r="M1009" s="54" t="str">
        <f t="shared" si="78"/>
        <v>0-6 Months</v>
      </c>
      <c r="N1009" s="54" t="str">
        <f t="shared" si="79"/>
        <v>12-18 Months</v>
      </c>
      <c r="O1009" s="54" t="s">
        <v>7</v>
      </c>
      <c r="P1009" s="54">
        <f t="shared" si="75"/>
        <v>0</v>
      </c>
      <c r="Q1009">
        <f t="shared" si="76"/>
        <v>0</v>
      </c>
      <c r="R1009">
        <f t="shared" si="77"/>
        <v>0</v>
      </c>
    </row>
    <row r="1010" spans="1:18" x14ac:dyDescent="0.2">
      <c r="A1010" s="54">
        <v>107894</v>
      </c>
      <c r="B1010" s="54" t="s">
        <v>1196</v>
      </c>
      <c r="C1010" s="55">
        <v>82</v>
      </c>
      <c r="D1010" s="55">
        <v>4</v>
      </c>
      <c r="E1010" s="55">
        <v>2</v>
      </c>
      <c r="F1010" s="55">
        <v>1</v>
      </c>
      <c r="G1010" s="55">
        <v>1</v>
      </c>
      <c r="H1010" s="55">
        <v>1</v>
      </c>
      <c r="I1010" s="55">
        <v>0.25</v>
      </c>
      <c r="J1010" s="55">
        <v>0.25</v>
      </c>
      <c r="K1010" s="55">
        <v>0.25</v>
      </c>
      <c r="L1010" s="55">
        <v>0</v>
      </c>
      <c r="M1010" s="54" t="str">
        <f t="shared" si="78"/>
        <v>0-6 Months</v>
      </c>
      <c r="N1010" s="54" t="str">
        <f t="shared" si="79"/>
        <v>12-18 Months</v>
      </c>
      <c r="O1010" s="54" t="s">
        <v>7</v>
      </c>
      <c r="P1010" s="54">
        <f t="shared" si="75"/>
        <v>0</v>
      </c>
      <c r="Q1010">
        <f t="shared" si="76"/>
        <v>0</v>
      </c>
      <c r="R1010">
        <f t="shared" si="77"/>
        <v>0</v>
      </c>
    </row>
    <row r="1011" spans="1:18" x14ac:dyDescent="0.2">
      <c r="A1011" s="54">
        <v>108043</v>
      </c>
      <c r="B1011" s="54" t="s">
        <v>1199</v>
      </c>
      <c r="C1011" s="55">
        <v>85</v>
      </c>
      <c r="D1011" s="55">
        <v>79</v>
      </c>
      <c r="E1011" s="55">
        <v>2</v>
      </c>
      <c r="F1011" s="55">
        <v>40</v>
      </c>
      <c r="G1011" s="55">
        <v>30</v>
      </c>
      <c r="H1011" s="55">
        <v>30</v>
      </c>
      <c r="I1011" s="55">
        <v>0.51</v>
      </c>
      <c r="J1011" s="55">
        <v>0.38</v>
      </c>
      <c r="K1011" s="55">
        <v>0.38</v>
      </c>
      <c r="L1011" s="55">
        <v>10</v>
      </c>
      <c r="M1011" s="54" t="str">
        <f t="shared" si="78"/>
        <v>0-6 Months</v>
      </c>
      <c r="N1011" s="54" t="str">
        <f t="shared" si="79"/>
        <v>12-18 Months</v>
      </c>
      <c r="O1011" s="54" t="s">
        <v>7</v>
      </c>
      <c r="P1011" s="54">
        <f t="shared" si="75"/>
        <v>0</v>
      </c>
      <c r="Q1011">
        <f t="shared" si="76"/>
        <v>0</v>
      </c>
      <c r="R1011">
        <f t="shared" si="77"/>
        <v>0</v>
      </c>
    </row>
    <row r="1012" spans="1:18" x14ac:dyDescent="0.2">
      <c r="A1012" s="54">
        <v>108041</v>
      </c>
      <c r="B1012" s="54" t="s">
        <v>1205</v>
      </c>
      <c r="C1012" s="55">
        <v>91</v>
      </c>
      <c r="D1012" s="55">
        <v>77</v>
      </c>
      <c r="E1012" s="55">
        <v>2</v>
      </c>
      <c r="F1012" s="55">
        <v>76</v>
      </c>
      <c r="G1012" s="55">
        <v>76</v>
      </c>
      <c r="H1012" s="55">
        <v>76</v>
      </c>
      <c r="I1012" s="55">
        <v>0.99</v>
      </c>
      <c r="J1012" s="55">
        <v>0.99</v>
      </c>
      <c r="K1012" s="55">
        <v>0.99</v>
      </c>
      <c r="L1012" s="55">
        <v>38</v>
      </c>
      <c r="M1012" s="54" t="str">
        <f t="shared" si="78"/>
        <v>0-6 Months</v>
      </c>
      <c r="N1012" s="54" t="str">
        <f t="shared" si="79"/>
        <v>12-18 Months</v>
      </c>
      <c r="O1012" s="54" t="s">
        <v>7</v>
      </c>
      <c r="P1012" s="54">
        <f t="shared" si="75"/>
        <v>91</v>
      </c>
      <c r="Q1012">
        <f t="shared" si="76"/>
        <v>0</v>
      </c>
      <c r="R1012">
        <f t="shared" si="77"/>
        <v>91</v>
      </c>
    </row>
    <row r="1013" spans="1:18" x14ac:dyDescent="0.2">
      <c r="A1013" s="54">
        <v>123688</v>
      </c>
      <c r="B1013" s="54" t="s">
        <v>1208</v>
      </c>
      <c r="C1013" s="55">
        <v>98</v>
      </c>
      <c r="D1013" s="55">
        <v>110</v>
      </c>
      <c r="E1013" s="55">
        <v>2</v>
      </c>
      <c r="F1013" s="55">
        <v>98</v>
      </c>
      <c r="G1013" s="55">
        <v>98</v>
      </c>
      <c r="H1013" s="55">
        <v>98</v>
      </c>
      <c r="I1013" s="55">
        <v>0.89</v>
      </c>
      <c r="J1013" s="55">
        <v>0.89</v>
      </c>
      <c r="K1013" s="55">
        <v>0.89</v>
      </c>
      <c r="L1013" s="55">
        <v>74</v>
      </c>
      <c r="M1013" s="54" t="str">
        <f t="shared" si="78"/>
        <v>0-6 Months</v>
      </c>
      <c r="N1013" s="54" t="str">
        <f t="shared" si="79"/>
        <v>12-18 Months</v>
      </c>
      <c r="O1013" s="54" t="s">
        <v>6</v>
      </c>
      <c r="P1013" s="54">
        <f t="shared" si="75"/>
        <v>98</v>
      </c>
      <c r="Q1013">
        <f t="shared" si="76"/>
        <v>0</v>
      </c>
      <c r="R1013">
        <f t="shared" si="77"/>
        <v>98</v>
      </c>
    </row>
    <row r="1014" spans="1:18" x14ac:dyDescent="0.2">
      <c r="A1014" s="54">
        <v>109597</v>
      </c>
      <c r="B1014" s="54" t="s">
        <v>1217</v>
      </c>
      <c r="C1014" s="55">
        <v>103</v>
      </c>
      <c r="D1014" s="55">
        <v>103</v>
      </c>
      <c r="E1014" s="55">
        <v>2</v>
      </c>
      <c r="F1014" s="55">
        <v>3</v>
      </c>
      <c r="G1014" s="55">
        <v>0</v>
      </c>
      <c r="H1014" s="55">
        <v>0</v>
      </c>
      <c r="I1014" s="55">
        <v>0.03</v>
      </c>
      <c r="J1014" s="55">
        <v>0</v>
      </c>
      <c r="K1014" s="55">
        <v>0</v>
      </c>
      <c r="L1014" s="55">
        <v>0</v>
      </c>
      <c r="M1014" s="54" t="str">
        <f t="shared" si="78"/>
        <v>0-6 Months</v>
      </c>
      <c r="N1014" s="54" t="str">
        <f t="shared" si="79"/>
        <v>12-18 Months</v>
      </c>
      <c r="O1014" s="54" t="s">
        <v>6</v>
      </c>
      <c r="P1014" s="54">
        <f t="shared" si="75"/>
        <v>0</v>
      </c>
      <c r="Q1014">
        <f t="shared" si="76"/>
        <v>0</v>
      </c>
      <c r="R1014">
        <f t="shared" si="77"/>
        <v>0</v>
      </c>
    </row>
    <row r="1015" spans="1:18" x14ac:dyDescent="0.2">
      <c r="A1015" s="54">
        <v>140885</v>
      </c>
      <c r="B1015" s="54" t="s">
        <v>1220</v>
      </c>
      <c r="C1015" s="55">
        <v>107</v>
      </c>
      <c r="D1015" s="55">
        <v>100</v>
      </c>
      <c r="E1015" s="55">
        <v>2</v>
      </c>
      <c r="F1015" s="55">
        <v>8</v>
      </c>
      <c r="G1015" s="55">
        <v>8</v>
      </c>
      <c r="H1015" s="55">
        <v>8</v>
      </c>
      <c r="I1015" s="55">
        <v>0.08</v>
      </c>
      <c r="J1015" s="55">
        <v>0.08</v>
      </c>
      <c r="K1015" s="55">
        <v>0.08</v>
      </c>
      <c r="L1015" s="55">
        <v>0</v>
      </c>
      <c r="M1015" s="54" t="str">
        <f t="shared" si="78"/>
        <v>0-6 Months</v>
      </c>
      <c r="N1015" s="54" t="str">
        <f t="shared" si="79"/>
        <v>12-18 Months</v>
      </c>
      <c r="O1015" s="54" t="s">
        <v>6</v>
      </c>
      <c r="P1015" s="54">
        <f t="shared" si="75"/>
        <v>0</v>
      </c>
      <c r="Q1015">
        <f t="shared" si="76"/>
        <v>0</v>
      </c>
      <c r="R1015">
        <f t="shared" si="77"/>
        <v>0</v>
      </c>
    </row>
    <row r="1016" spans="1:18" x14ac:dyDescent="0.2">
      <c r="A1016" s="54">
        <v>115150</v>
      </c>
      <c r="B1016" s="54" t="s">
        <v>1236</v>
      </c>
      <c r="C1016" s="55">
        <v>125</v>
      </c>
      <c r="D1016" s="55">
        <v>125</v>
      </c>
      <c r="E1016" s="55">
        <v>2</v>
      </c>
      <c r="F1016" s="55">
        <v>7</v>
      </c>
      <c r="G1016" s="55">
        <v>7</v>
      </c>
      <c r="H1016" s="55">
        <v>7</v>
      </c>
      <c r="I1016" s="55">
        <v>0.06</v>
      </c>
      <c r="J1016" s="55">
        <v>0.06</v>
      </c>
      <c r="K1016" s="55">
        <v>0.06</v>
      </c>
      <c r="L1016" s="55">
        <v>0</v>
      </c>
      <c r="M1016" s="54" t="str">
        <f t="shared" si="78"/>
        <v>0-6 Months</v>
      </c>
      <c r="N1016" s="54" t="str">
        <f t="shared" si="79"/>
        <v>12-18 Months</v>
      </c>
      <c r="O1016" s="54" t="s">
        <v>6</v>
      </c>
      <c r="P1016" s="54">
        <f t="shared" si="75"/>
        <v>0</v>
      </c>
      <c r="Q1016">
        <f t="shared" si="76"/>
        <v>0</v>
      </c>
      <c r="R1016">
        <f t="shared" si="77"/>
        <v>0</v>
      </c>
    </row>
    <row r="1017" spans="1:18" x14ac:dyDescent="0.2">
      <c r="A1017" s="54" t="s">
        <v>1238</v>
      </c>
      <c r="B1017" s="54" t="s">
        <v>1237</v>
      </c>
      <c r="C1017" s="55">
        <v>125</v>
      </c>
      <c r="D1017" s="55">
        <v>50</v>
      </c>
      <c r="E1017" s="55">
        <v>2</v>
      </c>
      <c r="F1017" s="55">
        <v>9</v>
      </c>
      <c r="G1017" s="55">
        <v>9</v>
      </c>
      <c r="H1017" s="55">
        <v>9</v>
      </c>
      <c r="I1017" s="55">
        <v>0.18</v>
      </c>
      <c r="J1017" s="55">
        <v>0.18</v>
      </c>
      <c r="K1017" s="55">
        <v>0.18</v>
      </c>
      <c r="L1017" s="55">
        <v>24</v>
      </c>
      <c r="M1017" s="54" t="str">
        <f t="shared" si="78"/>
        <v>0-6 Months</v>
      </c>
      <c r="N1017" s="54" t="str">
        <f t="shared" si="79"/>
        <v>12-18 Months</v>
      </c>
      <c r="O1017" s="54" t="s">
        <v>7</v>
      </c>
      <c r="P1017" s="54">
        <f t="shared" si="75"/>
        <v>0</v>
      </c>
      <c r="Q1017">
        <f t="shared" si="76"/>
        <v>0</v>
      </c>
      <c r="R1017">
        <f t="shared" si="77"/>
        <v>0</v>
      </c>
    </row>
    <row r="1018" spans="1:18" x14ac:dyDescent="0.2">
      <c r="A1018" s="54">
        <v>113004</v>
      </c>
      <c r="B1018" s="54" t="s">
        <v>1245</v>
      </c>
      <c r="C1018" s="55">
        <v>136</v>
      </c>
      <c r="D1018" s="55">
        <v>105</v>
      </c>
      <c r="E1018" s="55">
        <v>2</v>
      </c>
      <c r="F1018" s="55">
        <v>2</v>
      </c>
      <c r="G1018" s="55">
        <v>2</v>
      </c>
      <c r="H1018" s="55">
        <v>0</v>
      </c>
      <c r="I1018" s="55">
        <v>0.02</v>
      </c>
      <c r="J1018" s="55">
        <v>0.02</v>
      </c>
      <c r="K1018" s="55">
        <v>0</v>
      </c>
      <c r="L1018" s="55">
        <v>0</v>
      </c>
      <c r="M1018" s="54" t="str">
        <f t="shared" si="78"/>
        <v>0-6 Months</v>
      </c>
      <c r="N1018" s="54" t="str">
        <f t="shared" si="79"/>
        <v>12-18 Months</v>
      </c>
      <c r="O1018" s="54" t="s">
        <v>6</v>
      </c>
      <c r="P1018" s="54">
        <f t="shared" si="75"/>
        <v>0</v>
      </c>
      <c r="Q1018">
        <f t="shared" si="76"/>
        <v>0</v>
      </c>
      <c r="R1018">
        <f t="shared" si="77"/>
        <v>0</v>
      </c>
    </row>
    <row r="1019" spans="1:18" x14ac:dyDescent="0.2">
      <c r="A1019" s="54">
        <v>489005</v>
      </c>
      <c r="B1019" s="54" t="s">
        <v>1246</v>
      </c>
      <c r="C1019" s="55">
        <v>137</v>
      </c>
      <c r="D1019" s="55">
        <v>5</v>
      </c>
      <c r="E1019" s="55">
        <v>2</v>
      </c>
      <c r="F1019" s="55">
        <v>0</v>
      </c>
      <c r="G1019" s="55">
        <v>0</v>
      </c>
      <c r="H1019" s="55">
        <v>0</v>
      </c>
      <c r="I1019" s="55">
        <v>0</v>
      </c>
      <c r="J1019" s="55">
        <v>0</v>
      </c>
      <c r="K1019" s="55">
        <v>0</v>
      </c>
      <c r="L1019" s="55">
        <v>0</v>
      </c>
      <c r="M1019" s="54" t="str">
        <f t="shared" si="78"/>
        <v>0-6 Months</v>
      </c>
      <c r="N1019" s="54" t="str">
        <f t="shared" si="79"/>
        <v>12-18 Months</v>
      </c>
      <c r="O1019" s="54" t="s">
        <v>7</v>
      </c>
      <c r="P1019" s="54">
        <f t="shared" si="75"/>
        <v>0</v>
      </c>
      <c r="Q1019">
        <f t="shared" si="76"/>
        <v>0</v>
      </c>
      <c r="R1019">
        <f t="shared" si="77"/>
        <v>0</v>
      </c>
    </row>
    <row r="1020" spans="1:18" x14ac:dyDescent="0.2">
      <c r="A1020" s="54">
        <v>141491</v>
      </c>
      <c r="B1020" s="54" t="s">
        <v>1249</v>
      </c>
      <c r="C1020" s="55">
        <v>140</v>
      </c>
      <c r="D1020" s="55">
        <v>140</v>
      </c>
      <c r="E1020" s="55">
        <v>2</v>
      </c>
      <c r="F1020" s="55">
        <v>0</v>
      </c>
      <c r="G1020" s="55">
        <v>0</v>
      </c>
      <c r="H1020" s="55">
        <v>0</v>
      </c>
      <c r="I1020" s="55">
        <v>0</v>
      </c>
      <c r="J1020" s="55">
        <v>0</v>
      </c>
      <c r="K1020" s="55">
        <v>0</v>
      </c>
      <c r="L1020" s="55">
        <v>0</v>
      </c>
      <c r="M1020" s="54" t="str">
        <f t="shared" si="78"/>
        <v>0-6 Months</v>
      </c>
      <c r="N1020" s="54" t="str">
        <f t="shared" si="79"/>
        <v>12-18 Months</v>
      </c>
      <c r="O1020" s="54" t="s">
        <v>6</v>
      </c>
      <c r="P1020" s="54">
        <f t="shared" si="75"/>
        <v>0</v>
      </c>
      <c r="Q1020">
        <f t="shared" si="76"/>
        <v>0</v>
      </c>
      <c r="R1020">
        <f t="shared" si="77"/>
        <v>0</v>
      </c>
    </row>
    <row r="1021" spans="1:18" x14ac:dyDescent="0.2">
      <c r="A1021" s="54">
        <v>437670</v>
      </c>
      <c r="B1021" s="54" t="s">
        <v>1254</v>
      </c>
      <c r="C1021" s="55">
        <v>150</v>
      </c>
      <c r="D1021" s="55">
        <v>5</v>
      </c>
      <c r="E1021" s="55">
        <v>2</v>
      </c>
      <c r="F1021" s="55">
        <v>0</v>
      </c>
      <c r="G1021" s="55">
        <v>0</v>
      </c>
      <c r="H1021" s="55">
        <v>0</v>
      </c>
      <c r="I1021" s="55">
        <v>0</v>
      </c>
      <c r="J1021" s="55">
        <v>0</v>
      </c>
      <c r="K1021" s="55">
        <v>0</v>
      </c>
      <c r="L1021" s="55">
        <v>0</v>
      </c>
      <c r="M1021" s="54" t="str">
        <f t="shared" si="78"/>
        <v>0-6 Months</v>
      </c>
      <c r="N1021" s="54" t="str">
        <f t="shared" si="79"/>
        <v>12-18 Months</v>
      </c>
      <c r="O1021" s="54" t="s">
        <v>7</v>
      </c>
      <c r="P1021" s="54">
        <f t="shared" si="75"/>
        <v>0</v>
      </c>
      <c r="Q1021">
        <f t="shared" si="76"/>
        <v>0</v>
      </c>
      <c r="R1021">
        <f t="shared" si="77"/>
        <v>0</v>
      </c>
    </row>
    <row r="1022" spans="1:18" x14ac:dyDescent="0.2">
      <c r="A1022" s="54">
        <v>186227</v>
      </c>
      <c r="B1022" s="54" t="s">
        <v>1258</v>
      </c>
      <c r="C1022" s="55">
        <v>156</v>
      </c>
      <c r="D1022" s="55">
        <v>12</v>
      </c>
      <c r="E1022" s="55">
        <v>2</v>
      </c>
      <c r="F1022" s="55">
        <v>3</v>
      </c>
      <c r="G1022" s="55">
        <v>3</v>
      </c>
      <c r="H1022" s="55">
        <v>3</v>
      </c>
      <c r="I1022" s="55">
        <v>0.25</v>
      </c>
      <c r="J1022" s="55">
        <v>0.25</v>
      </c>
      <c r="K1022" s="55">
        <v>0.25</v>
      </c>
      <c r="L1022" s="55">
        <v>4</v>
      </c>
      <c r="M1022" s="54" t="str">
        <f t="shared" si="78"/>
        <v>0-6 Months</v>
      </c>
      <c r="N1022" s="54" t="str">
        <f t="shared" si="79"/>
        <v>12-18 Months</v>
      </c>
      <c r="O1022" s="54" t="s">
        <v>7</v>
      </c>
      <c r="P1022" s="54">
        <f t="shared" si="75"/>
        <v>0</v>
      </c>
      <c r="Q1022">
        <f t="shared" si="76"/>
        <v>0</v>
      </c>
      <c r="R1022">
        <f t="shared" si="77"/>
        <v>0</v>
      </c>
    </row>
    <row r="1023" spans="1:18" x14ac:dyDescent="0.2">
      <c r="A1023" s="54">
        <v>121372</v>
      </c>
      <c r="B1023" s="54" t="s">
        <v>1264</v>
      </c>
      <c r="C1023" s="55">
        <v>167</v>
      </c>
      <c r="D1023" s="55">
        <v>129</v>
      </c>
      <c r="E1023" s="55">
        <v>2</v>
      </c>
      <c r="F1023" s="55">
        <v>0</v>
      </c>
      <c r="G1023" s="55">
        <v>0</v>
      </c>
      <c r="H1023" s="55">
        <v>0</v>
      </c>
      <c r="I1023" s="55">
        <v>0</v>
      </c>
      <c r="J1023" s="55">
        <v>0</v>
      </c>
      <c r="K1023" s="55">
        <v>0</v>
      </c>
      <c r="L1023" s="55">
        <v>0</v>
      </c>
      <c r="M1023" s="54" t="str">
        <f t="shared" si="78"/>
        <v>0-6 Months</v>
      </c>
      <c r="N1023" s="54" t="str">
        <f t="shared" si="79"/>
        <v>12-18 Months</v>
      </c>
      <c r="O1023" s="54" t="s">
        <v>6</v>
      </c>
      <c r="P1023" s="54">
        <f t="shared" si="75"/>
        <v>0</v>
      </c>
      <c r="Q1023">
        <f t="shared" si="76"/>
        <v>0</v>
      </c>
      <c r="R1023">
        <f t="shared" si="77"/>
        <v>0</v>
      </c>
    </row>
    <row r="1024" spans="1:18" x14ac:dyDescent="0.2">
      <c r="A1024" s="54">
        <v>512875</v>
      </c>
      <c r="B1024" s="54" t="s">
        <v>1272</v>
      </c>
      <c r="C1024" s="55">
        <v>194</v>
      </c>
      <c r="D1024" s="55">
        <v>4</v>
      </c>
      <c r="E1024" s="55">
        <v>2</v>
      </c>
      <c r="F1024" s="55">
        <v>0</v>
      </c>
      <c r="G1024" s="55">
        <v>0</v>
      </c>
      <c r="H1024" s="55">
        <v>0</v>
      </c>
      <c r="I1024" s="55">
        <v>0</v>
      </c>
      <c r="J1024" s="55">
        <v>0</v>
      </c>
      <c r="K1024" s="55">
        <v>0</v>
      </c>
      <c r="L1024" s="55">
        <v>0</v>
      </c>
      <c r="M1024" s="54" t="str">
        <f t="shared" si="78"/>
        <v>0-6 Months</v>
      </c>
      <c r="N1024" s="54" t="str">
        <f t="shared" si="79"/>
        <v>12-18 Months</v>
      </c>
      <c r="O1024" s="54" t="s">
        <v>7</v>
      </c>
      <c r="P1024" s="54">
        <f t="shared" si="75"/>
        <v>0</v>
      </c>
      <c r="Q1024">
        <f t="shared" si="76"/>
        <v>0</v>
      </c>
      <c r="R1024">
        <f t="shared" si="77"/>
        <v>0</v>
      </c>
    </row>
    <row r="1025" spans="1:18" x14ac:dyDescent="0.2">
      <c r="A1025" s="54">
        <v>133348</v>
      </c>
      <c r="B1025" s="54" t="s">
        <v>1281</v>
      </c>
      <c r="C1025" s="55">
        <v>280</v>
      </c>
      <c r="D1025" s="55">
        <v>15</v>
      </c>
      <c r="E1025" s="55">
        <v>2</v>
      </c>
      <c r="F1025" s="55">
        <v>0</v>
      </c>
      <c r="G1025" s="55">
        <v>0</v>
      </c>
      <c r="H1025" s="55">
        <v>0</v>
      </c>
      <c r="I1025" s="55">
        <v>0</v>
      </c>
      <c r="J1025" s="55">
        <v>0</v>
      </c>
      <c r="K1025" s="55">
        <v>0</v>
      </c>
      <c r="L1025" s="55">
        <v>0</v>
      </c>
      <c r="M1025" s="54" t="str">
        <f t="shared" si="78"/>
        <v>0-6 Months</v>
      </c>
      <c r="N1025" s="54" t="str">
        <f t="shared" si="79"/>
        <v>12-18 Months</v>
      </c>
      <c r="O1025" s="54" t="s">
        <v>7</v>
      </c>
      <c r="P1025" s="54">
        <f t="shared" si="75"/>
        <v>0</v>
      </c>
      <c r="Q1025">
        <f t="shared" si="76"/>
        <v>0</v>
      </c>
      <c r="R1025">
        <f t="shared" si="77"/>
        <v>0</v>
      </c>
    </row>
    <row r="1026" spans="1:18" x14ac:dyDescent="0.2">
      <c r="A1026" s="54">
        <v>155741</v>
      </c>
      <c r="B1026" s="54" t="s">
        <v>1282</v>
      </c>
      <c r="C1026" s="55">
        <v>297</v>
      </c>
      <c r="D1026" s="55">
        <v>288</v>
      </c>
      <c r="E1026" s="55">
        <v>2</v>
      </c>
      <c r="F1026" s="55">
        <v>0</v>
      </c>
      <c r="G1026" s="55">
        <v>0</v>
      </c>
      <c r="H1026" s="55">
        <v>0</v>
      </c>
      <c r="I1026" s="55">
        <v>0</v>
      </c>
      <c r="J1026" s="55">
        <v>0</v>
      </c>
      <c r="K1026" s="55">
        <v>0</v>
      </c>
      <c r="L1026" s="55">
        <v>0</v>
      </c>
      <c r="M1026" s="54" t="str">
        <f t="shared" si="78"/>
        <v>0-6 Months</v>
      </c>
      <c r="N1026" s="54" t="str">
        <f t="shared" si="79"/>
        <v>12-18 Months</v>
      </c>
      <c r="O1026" s="54" t="s">
        <v>6</v>
      </c>
      <c r="P1026" s="54">
        <f t="shared" ref="P1026:P1089" si="80">IF(I1026&gt;=2, C1026, IF(J1026&gt;=0.75, C1026, 0))</f>
        <v>0</v>
      </c>
      <c r="Q1026">
        <f t="shared" ref="Q1026:Q1089" si="81">IF(I1026&gt;=2, C1026, IF(AND(J1026&gt;=0.75, D1026&gt;=550), C1026, 0))</f>
        <v>0</v>
      </c>
      <c r="R1026">
        <f t="shared" ref="R1026:R1089" si="82">IF(J1026&gt;=0.75, C1026, 0)</f>
        <v>0</v>
      </c>
    </row>
    <row r="1027" spans="1:18" x14ac:dyDescent="0.2">
      <c r="A1027" s="54">
        <v>211120</v>
      </c>
      <c r="B1027" s="54" t="s">
        <v>1285</v>
      </c>
      <c r="C1027" s="55">
        <v>360</v>
      </c>
      <c r="D1027" s="55">
        <v>360</v>
      </c>
      <c r="E1027" s="55">
        <v>2</v>
      </c>
      <c r="F1027" s="55">
        <v>0</v>
      </c>
      <c r="G1027" s="55">
        <v>0</v>
      </c>
      <c r="H1027" s="55">
        <v>0</v>
      </c>
      <c r="I1027" s="55">
        <v>0</v>
      </c>
      <c r="J1027" s="55">
        <v>0</v>
      </c>
      <c r="K1027" s="55">
        <v>0</v>
      </c>
      <c r="L1027" s="55">
        <v>0</v>
      </c>
      <c r="M1027" s="54" t="str">
        <f t="shared" ref="M1027:M1090" si="83">IF(E1027&lt;6,"0-6 Months", IF(E1027&lt;13, "6-12 Months", IF(E1027&lt;19, "12-24 Months", IF(E1027&lt;25, "12-24 Months", "24+ Months"))))</f>
        <v>0-6 Months</v>
      </c>
      <c r="N1027" s="54" t="str">
        <f t="shared" ref="N1027:N1090" si="84">IF(E1027&lt;6,"12-18 Months", IF(E1027&lt;13, "18-24 Months", "24+ Months"))</f>
        <v>12-18 Months</v>
      </c>
      <c r="O1027" s="54" t="s">
        <v>6</v>
      </c>
      <c r="P1027" s="54">
        <f t="shared" si="80"/>
        <v>0</v>
      </c>
      <c r="Q1027">
        <f t="shared" si="81"/>
        <v>0</v>
      </c>
      <c r="R1027">
        <f t="shared" si="82"/>
        <v>0</v>
      </c>
    </row>
    <row r="1028" spans="1:18" x14ac:dyDescent="0.2">
      <c r="A1028" s="54">
        <v>113074</v>
      </c>
      <c r="B1028" s="54" t="s">
        <v>1303</v>
      </c>
      <c r="C1028" s="55">
        <v>0</v>
      </c>
      <c r="D1028" s="55">
        <v>35</v>
      </c>
      <c r="E1028" s="55">
        <v>1</v>
      </c>
      <c r="F1028" s="55">
        <v>0</v>
      </c>
      <c r="G1028" s="55">
        <v>0</v>
      </c>
      <c r="H1028" s="55">
        <v>0</v>
      </c>
      <c r="I1028" s="55">
        <v>0</v>
      </c>
      <c r="J1028" s="55">
        <v>0</v>
      </c>
      <c r="K1028" s="55">
        <v>0</v>
      </c>
      <c r="L1028" s="55">
        <v>0</v>
      </c>
      <c r="M1028" s="54" t="str">
        <f t="shared" si="83"/>
        <v>0-6 Months</v>
      </c>
      <c r="N1028" s="54" t="str">
        <f t="shared" si="84"/>
        <v>12-18 Months</v>
      </c>
      <c r="O1028" s="54" t="s">
        <v>7</v>
      </c>
      <c r="P1028" s="54">
        <f t="shared" si="80"/>
        <v>0</v>
      </c>
      <c r="Q1028">
        <f t="shared" si="81"/>
        <v>0</v>
      </c>
      <c r="R1028">
        <f t="shared" si="82"/>
        <v>0</v>
      </c>
    </row>
    <row r="1029" spans="1:18" x14ac:dyDescent="0.2">
      <c r="A1029" s="54">
        <v>113139</v>
      </c>
      <c r="B1029" s="54" t="s">
        <v>1308</v>
      </c>
      <c r="C1029" s="55">
        <v>0</v>
      </c>
      <c r="D1029" s="55">
        <v>100</v>
      </c>
      <c r="E1029" s="55">
        <v>1</v>
      </c>
      <c r="F1029" s="55">
        <v>0</v>
      </c>
      <c r="G1029" s="55">
        <v>0</v>
      </c>
      <c r="H1029" s="55">
        <v>0</v>
      </c>
      <c r="I1029" s="55">
        <v>0</v>
      </c>
      <c r="J1029" s="55">
        <v>0</v>
      </c>
      <c r="K1029" s="55">
        <v>0</v>
      </c>
      <c r="L1029" s="55">
        <v>0</v>
      </c>
      <c r="M1029" s="54" t="str">
        <f t="shared" si="83"/>
        <v>0-6 Months</v>
      </c>
      <c r="N1029" s="54" t="str">
        <f t="shared" si="84"/>
        <v>12-18 Months</v>
      </c>
      <c r="O1029" s="54" t="s">
        <v>6</v>
      </c>
      <c r="P1029" s="54">
        <f t="shared" si="80"/>
        <v>0</v>
      </c>
      <c r="Q1029">
        <f t="shared" si="81"/>
        <v>0</v>
      </c>
      <c r="R1029">
        <f t="shared" si="82"/>
        <v>0</v>
      </c>
    </row>
    <row r="1030" spans="1:18" x14ac:dyDescent="0.2">
      <c r="A1030" s="54">
        <v>170121</v>
      </c>
      <c r="B1030" s="54" t="s">
        <v>1307</v>
      </c>
      <c r="C1030" s="55">
        <v>0</v>
      </c>
      <c r="D1030" s="55">
        <v>37</v>
      </c>
      <c r="E1030" s="55">
        <v>1</v>
      </c>
      <c r="F1030" s="55">
        <v>0</v>
      </c>
      <c r="G1030" s="55">
        <v>0</v>
      </c>
      <c r="H1030" s="55">
        <v>0</v>
      </c>
      <c r="I1030" s="55">
        <v>0</v>
      </c>
      <c r="J1030" s="55">
        <v>0</v>
      </c>
      <c r="K1030" s="55">
        <v>0</v>
      </c>
      <c r="L1030" s="55">
        <v>0</v>
      </c>
      <c r="M1030" s="54" t="str">
        <f t="shared" si="83"/>
        <v>0-6 Months</v>
      </c>
      <c r="N1030" s="54" t="str">
        <f t="shared" si="84"/>
        <v>12-18 Months</v>
      </c>
      <c r="O1030" s="54" t="s">
        <v>7</v>
      </c>
      <c r="P1030" s="54">
        <f t="shared" si="80"/>
        <v>0</v>
      </c>
      <c r="Q1030">
        <f t="shared" si="81"/>
        <v>0</v>
      </c>
      <c r="R1030">
        <f t="shared" si="82"/>
        <v>0</v>
      </c>
    </row>
    <row r="1031" spans="1:18" x14ac:dyDescent="0.2">
      <c r="A1031" s="54">
        <v>587158</v>
      </c>
      <c r="B1031" s="54" t="s">
        <v>1306</v>
      </c>
      <c r="C1031" s="55">
        <v>0</v>
      </c>
      <c r="D1031" s="55">
        <v>50</v>
      </c>
      <c r="E1031" s="55">
        <v>1</v>
      </c>
      <c r="F1031" s="55">
        <v>0</v>
      </c>
      <c r="G1031" s="55">
        <v>0</v>
      </c>
      <c r="H1031" s="55">
        <v>0</v>
      </c>
      <c r="I1031" s="55">
        <v>0</v>
      </c>
      <c r="J1031" s="55">
        <v>0</v>
      </c>
      <c r="K1031" s="55">
        <v>0</v>
      </c>
      <c r="L1031" s="55">
        <v>0</v>
      </c>
      <c r="M1031" s="54" t="str">
        <f t="shared" si="83"/>
        <v>0-6 Months</v>
      </c>
      <c r="N1031" s="54" t="str">
        <f t="shared" si="84"/>
        <v>12-18 Months</v>
      </c>
      <c r="O1031" s="54" t="s">
        <v>7</v>
      </c>
      <c r="P1031" s="54">
        <f t="shared" si="80"/>
        <v>0</v>
      </c>
      <c r="Q1031">
        <f t="shared" si="81"/>
        <v>0</v>
      </c>
      <c r="R1031">
        <f t="shared" si="82"/>
        <v>0</v>
      </c>
    </row>
    <row r="1032" spans="1:18" x14ac:dyDescent="0.2">
      <c r="A1032" s="54" t="s">
        <v>1305</v>
      </c>
      <c r="B1032" s="54" t="s">
        <v>1304</v>
      </c>
      <c r="C1032" s="55">
        <v>0</v>
      </c>
      <c r="D1032" s="55">
        <v>2</v>
      </c>
      <c r="E1032" s="55">
        <v>1</v>
      </c>
      <c r="F1032" s="55">
        <v>6</v>
      </c>
      <c r="G1032" s="55">
        <v>6</v>
      </c>
      <c r="H1032" s="55">
        <v>6</v>
      </c>
      <c r="I1032" s="55">
        <v>3</v>
      </c>
      <c r="J1032" s="55">
        <v>3</v>
      </c>
      <c r="K1032" s="55">
        <v>3</v>
      </c>
      <c r="L1032" s="55">
        <v>0</v>
      </c>
      <c r="M1032" s="54" t="str">
        <f t="shared" si="83"/>
        <v>0-6 Months</v>
      </c>
      <c r="N1032" s="54" t="str">
        <f t="shared" si="84"/>
        <v>12-18 Months</v>
      </c>
      <c r="O1032" s="54" t="s">
        <v>7</v>
      </c>
      <c r="P1032" s="54">
        <f t="shared" si="80"/>
        <v>0</v>
      </c>
      <c r="Q1032">
        <f t="shared" si="81"/>
        <v>0</v>
      </c>
      <c r="R1032">
        <f t="shared" si="82"/>
        <v>0</v>
      </c>
    </row>
    <row r="1033" spans="1:18" x14ac:dyDescent="0.2">
      <c r="A1033" s="54">
        <v>114913</v>
      </c>
      <c r="B1033" s="54" t="s">
        <v>682</v>
      </c>
      <c r="C1033" s="55">
        <v>1</v>
      </c>
      <c r="D1033" s="55">
        <v>43</v>
      </c>
      <c r="E1033" s="55">
        <v>1</v>
      </c>
      <c r="F1033" s="55">
        <v>124</v>
      </c>
      <c r="G1033" s="55">
        <v>124</v>
      </c>
      <c r="H1033" s="55">
        <v>124</v>
      </c>
      <c r="I1033" s="55">
        <v>2.88</v>
      </c>
      <c r="J1033" s="55">
        <v>2.88</v>
      </c>
      <c r="K1033" s="55">
        <v>2.88</v>
      </c>
      <c r="L1033" s="55">
        <v>69</v>
      </c>
      <c r="M1033" s="54" t="str">
        <f t="shared" si="83"/>
        <v>0-6 Months</v>
      </c>
      <c r="N1033" s="54" t="str">
        <f t="shared" si="84"/>
        <v>12-18 Months</v>
      </c>
      <c r="O1033" s="54" t="s">
        <v>7</v>
      </c>
      <c r="P1033" s="54">
        <f t="shared" si="80"/>
        <v>1</v>
      </c>
      <c r="Q1033">
        <f t="shared" si="81"/>
        <v>1</v>
      </c>
      <c r="R1033">
        <f t="shared" si="82"/>
        <v>1</v>
      </c>
    </row>
    <row r="1034" spans="1:18" x14ac:dyDescent="0.2">
      <c r="A1034" s="54">
        <v>119959</v>
      </c>
      <c r="B1034" s="54" t="s">
        <v>686</v>
      </c>
      <c r="C1034" s="55">
        <v>1</v>
      </c>
      <c r="D1034" s="55">
        <v>10</v>
      </c>
      <c r="E1034" s="55">
        <v>1</v>
      </c>
      <c r="F1034" s="55">
        <v>25</v>
      </c>
      <c r="G1034" s="55">
        <v>25</v>
      </c>
      <c r="H1034" s="55">
        <v>25</v>
      </c>
      <c r="I1034" s="55">
        <v>2.5</v>
      </c>
      <c r="J1034" s="55">
        <v>2.5</v>
      </c>
      <c r="K1034" s="55">
        <v>2.5</v>
      </c>
      <c r="L1034" s="55">
        <v>0</v>
      </c>
      <c r="M1034" s="54" t="str">
        <f t="shared" si="83"/>
        <v>0-6 Months</v>
      </c>
      <c r="N1034" s="54" t="str">
        <f t="shared" si="84"/>
        <v>12-18 Months</v>
      </c>
      <c r="O1034" s="54" t="s">
        <v>7</v>
      </c>
      <c r="P1034" s="54">
        <f t="shared" si="80"/>
        <v>1</v>
      </c>
      <c r="Q1034">
        <f t="shared" si="81"/>
        <v>1</v>
      </c>
      <c r="R1034">
        <f t="shared" si="82"/>
        <v>1</v>
      </c>
    </row>
    <row r="1035" spans="1:18" x14ac:dyDescent="0.2">
      <c r="A1035" s="54">
        <v>210057</v>
      </c>
      <c r="B1035" s="54" t="s">
        <v>685</v>
      </c>
      <c r="C1035" s="55">
        <v>1</v>
      </c>
      <c r="D1035" s="55">
        <v>6</v>
      </c>
      <c r="E1035" s="55">
        <v>1</v>
      </c>
      <c r="F1035" s="55">
        <v>5</v>
      </c>
      <c r="G1035" s="55">
        <v>5</v>
      </c>
      <c r="H1035" s="55">
        <v>5</v>
      </c>
      <c r="I1035" s="55">
        <v>0.83</v>
      </c>
      <c r="J1035" s="55">
        <v>0.83</v>
      </c>
      <c r="K1035" s="55">
        <v>0.83</v>
      </c>
      <c r="L1035" s="55">
        <v>0</v>
      </c>
      <c r="M1035" s="54" t="str">
        <f t="shared" si="83"/>
        <v>0-6 Months</v>
      </c>
      <c r="N1035" s="54" t="str">
        <f t="shared" si="84"/>
        <v>12-18 Months</v>
      </c>
      <c r="O1035" s="54" t="s">
        <v>7</v>
      </c>
      <c r="P1035" s="54">
        <f t="shared" si="80"/>
        <v>1</v>
      </c>
      <c r="Q1035">
        <f t="shared" si="81"/>
        <v>0</v>
      </c>
      <c r="R1035">
        <f t="shared" si="82"/>
        <v>1</v>
      </c>
    </row>
    <row r="1036" spans="1:18" x14ac:dyDescent="0.2">
      <c r="A1036" s="54">
        <v>211664</v>
      </c>
      <c r="B1036" s="54" t="s">
        <v>687</v>
      </c>
      <c r="C1036" s="55">
        <v>1</v>
      </c>
      <c r="D1036" s="55">
        <v>5</v>
      </c>
      <c r="E1036" s="55">
        <v>1</v>
      </c>
      <c r="F1036" s="55">
        <v>0</v>
      </c>
      <c r="G1036" s="55">
        <v>0</v>
      </c>
      <c r="H1036" s="55">
        <v>0</v>
      </c>
      <c r="I1036" s="55">
        <v>0</v>
      </c>
      <c r="J1036" s="55">
        <v>0</v>
      </c>
      <c r="K1036" s="55">
        <v>0</v>
      </c>
      <c r="L1036" s="55">
        <v>0</v>
      </c>
      <c r="M1036" s="54" t="str">
        <f t="shared" si="83"/>
        <v>0-6 Months</v>
      </c>
      <c r="N1036" s="54" t="str">
        <f t="shared" si="84"/>
        <v>12-18 Months</v>
      </c>
      <c r="O1036" s="54" t="s">
        <v>7</v>
      </c>
      <c r="P1036" s="54">
        <f t="shared" si="80"/>
        <v>0</v>
      </c>
      <c r="Q1036">
        <f t="shared" si="81"/>
        <v>0</v>
      </c>
      <c r="R1036">
        <f t="shared" si="82"/>
        <v>0</v>
      </c>
    </row>
    <row r="1037" spans="1:18" x14ac:dyDescent="0.2">
      <c r="A1037" s="54">
        <v>304014</v>
      </c>
      <c r="B1037" s="54" t="s">
        <v>688</v>
      </c>
      <c r="C1037" s="55">
        <v>1</v>
      </c>
      <c r="D1037" s="55">
        <v>15</v>
      </c>
      <c r="E1037" s="55">
        <v>1</v>
      </c>
      <c r="F1037" s="55">
        <v>0</v>
      </c>
      <c r="G1037" s="55">
        <v>0</v>
      </c>
      <c r="H1037" s="55">
        <v>0</v>
      </c>
      <c r="I1037" s="55">
        <v>0</v>
      </c>
      <c r="J1037" s="55">
        <v>0</v>
      </c>
      <c r="K1037" s="55">
        <v>0</v>
      </c>
      <c r="L1037" s="55">
        <v>0</v>
      </c>
      <c r="M1037" s="54" t="str">
        <f t="shared" si="83"/>
        <v>0-6 Months</v>
      </c>
      <c r="N1037" s="54" t="str">
        <f t="shared" si="84"/>
        <v>12-18 Months</v>
      </c>
      <c r="O1037" s="54" t="s">
        <v>7</v>
      </c>
      <c r="P1037" s="54">
        <f t="shared" si="80"/>
        <v>0</v>
      </c>
      <c r="Q1037">
        <f t="shared" si="81"/>
        <v>0</v>
      </c>
      <c r="R1037">
        <f t="shared" si="82"/>
        <v>0</v>
      </c>
    </row>
    <row r="1038" spans="1:18" x14ac:dyDescent="0.2">
      <c r="A1038" s="54">
        <v>472834</v>
      </c>
      <c r="B1038" s="54" t="s">
        <v>683</v>
      </c>
      <c r="C1038" s="55">
        <v>1</v>
      </c>
      <c r="D1038" s="55">
        <v>1</v>
      </c>
      <c r="E1038" s="55">
        <v>1</v>
      </c>
      <c r="F1038" s="55">
        <v>0</v>
      </c>
      <c r="G1038" s="55">
        <v>0</v>
      </c>
      <c r="H1038" s="55">
        <v>0</v>
      </c>
      <c r="I1038" s="55">
        <v>0</v>
      </c>
      <c r="J1038" s="55">
        <v>0</v>
      </c>
      <c r="K1038" s="55">
        <v>0</v>
      </c>
      <c r="L1038" s="55">
        <v>0</v>
      </c>
      <c r="M1038" s="54" t="str">
        <f t="shared" si="83"/>
        <v>0-6 Months</v>
      </c>
      <c r="N1038" s="54" t="str">
        <f t="shared" si="84"/>
        <v>12-18 Months</v>
      </c>
      <c r="O1038" s="54" t="s">
        <v>7</v>
      </c>
      <c r="P1038" s="54">
        <f t="shared" si="80"/>
        <v>0</v>
      </c>
      <c r="Q1038">
        <f t="shared" si="81"/>
        <v>0</v>
      </c>
      <c r="R1038">
        <f t="shared" si="82"/>
        <v>0</v>
      </c>
    </row>
    <row r="1039" spans="1:18" x14ac:dyDescent="0.2">
      <c r="A1039" s="54">
        <v>481694</v>
      </c>
      <c r="B1039" s="54" t="s">
        <v>681</v>
      </c>
      <c r="C1039" s="55">
        <v>1</v>
      </c>
      <c r="D1039" s="55">
        <v>1</v>
      </c>
      <c r="E1039" s="55">
        <v>1</v>
      </c>
      <c r="F1039" s="55">
        <v>0</v>
      </c>
      <c r="G1039" s="55">
        <v>0</v>
      </c>
      <c r="H1039" s="55">
        <v>0</v>
      </c>
      <c r="I1039" s="55">
        <v>0</v>
      </c>
      <c r="J1039" s="55">
        <v>0</v>
      </c>
      <c r="K1039" s="55">
        <v>0</v>
      </c>
      <c r="L1039" s="55">
        <v>0</v>
      </c>
      <c r="M1039" s="54" t="str">
        <f t="shared" si="83"/>
        <v>0-6 Months</v>
      </c>
      <c r="N1039" s="54" t="str">
        <f t="shared" si="84"/>
        <v>12-18 Months</v>
      </c>
      <c r="O1039" s="54" t="s">
        <v>7</v>
      </c>
      <c r="P1039" s="54">
        <f t="shared" si="80"/>
        <v>0</v>
      </c>
      <c r="Q1039">
        <f t="shared" si="81"/>
        <v>0</v>
      </c>
      <c r="R1039">
        <f t="shared" si="82"/>
        <v>0</v>
      </c>
    </row>
    <row r="1040" spans="1:18" x14ac:dyDescent="0.2">
      <c r="A1040" s="54">
        <v>607351</v>
      </c>
      <c r="B1040" s="54" t="s">
        <v>684</v>
      </c>
      <c r="C1040" s="55">
        <v>1</v>
      </c>
      <c r="D1040" s="55">
        <v>1</v>
      </c>
      <c r="E1040" s="55">
        <v>1</v>
      </c>
      <c r="F1040" s="55">
        <v>0</v>
      </c>
      <c r="G1040" s="55">
        <v>0</v>
      </c>
      <c r="H1040" s="55">
        <v>0</v>
      </c>
      <c r="I1040" s="55">
        <v>0</v>
      </c>
      <c r="J1040" s="55">
        <v>0</v>
      </c>
      <c r="K1040" s="55">
        <v>0</v>
      </c>
      <c r="L1040" s="55">
        <v>0</v>
      </c>
      <c r="M1040" s="54" t="str">
        <f t="shared" si="83"/>
        <v>0-6 Months</v>
      </c>
      <c r="N1040" s="54" t="str">
        <f t="shared" si="84"/>
        <v>12-18 Months</v>
      </c>
      <c r="O1040" s="54" t="s">
        <v>7</v>
      </c>
      <c r="P1040" s="54">
        <f t="shared" si="80"/>
        <v>0</v>
      </c>
      <c r="Q1040">
        <f t="shared" si="81"/>
        <v>0</v>
      </c>
      <c r="R1040">
        <f t="shared" si="82"/>
        <v>0</v>
      </c>
    </row>
    <row r="1041" spans="1:18" x14ac:dyDescent="0.2">
      <c r="A1041" s="54">
        <v>112815</v>
      </c>
      <c r="B1041" s="54" t="s">
        <v>713</v>
      </c>
      <c r="C1041" s="55">
        <v>2</v>
      </c>
      <c r="D1041" s="55">
        <v>100</v>
      </c>
      <c r="E1041" s="55">
        <v>1</v>
      </c>
      <c r="F1041" s="55">
        <v>0</v>
      </c>
      <c r="G1041" s="55">
        <v>0</v>
      </c>
      <c r="H1041" s="55">
        <v>0</v>
      </c>
      <c r="I1041" s="55">
        <v>0</v>
      </c>
      <c r="J1041" s="55">
        <v>0</v>
      </c>
      <c r="K1041" s="55">
        <v>0</v>
      </c>
      <c r="L1041" s="55">
        <v>0</v>
      </c>
      <c r="M1041" s="54" t="str">
        <f t="shared" si="83"/>
        <v>0-6 Months</v>
      </c>
      <c r="N1041" s="54" t="str">
        <f t="shared" si="84"/>
        <v>12-18 Months</v>
      </c>
      <c r="O1041" s="54" t="s">
        <v>6</v>
      </c>
      <c r="P1041" s="54">
        <f t="shared" si="80"/>
        <v>0</v>
      </c>
      <c r="Q1041">
        <f t="shared" si="81"/>
        <v>0</v>
      </c>
      <c r="R1041">
        <f t="shared" si="82"/>
        <v>0</v>
      </c>
    </row>
    <row r="1042" spans="1:18" x14ac:dyDescent="0.2">
      <c r="A1042" s="54">
        <v>115267</v>
      </c>
      <c r="B1042" s="54" t="s">
        <v>715</v>
      </c>
      <c r="C1042" s="55">
        <v>2</v>
      </c>
      <c r="D1042" s="55">
        <v>7</v>
      </c>
      <c r="E1042" s="55">
        <v>1</v>
      </c>
      <c r="F1042" s="55">
        <v>14</v>
      </c>
      <c r="G1042" s="55">
        <v>14</v>
      </c>
      <c r="H1042" s="55">
        <v>14</v>
      </c>
      <c r="I1042" s="55">
        <v>2</v>
      </c>
      <c r="J1042" s="55">
        <v>2</v>
      </c>
      <c r="K1042" s="55">
        <v>2</v>
      </c>
      <c r="L1042" s="55">
        <v>22</v>
      </c>
      <c r="M1042" s="54" t="str">
        <f t="shared" si="83"/>
        <v>0-6 Months</v>
      </c>
      <c r="N1042" s="54" t="str">
        <f t="shared" si="84"/>
        <v>12-18 Months</v>
      </c>
      <c r="O1042" s="54" t="s">
        <v>7</v>
      </c>
      <c r="P1042" s="54">
        <f t="shared" si="80"/>
        <v>2</v>
      </c>
      <c r="Q1042">
        <f t="shared" si="81"/>
        <v>2</v>
      </c>
      <c r="R1042">
        <f t="shared" si="82"/>
        <v>2</v>
      </c>
    </row>
    <row r="1043" spans="1:18" x14ac:dyDescent="0.2">
      <c r="A1043" s="54">
        <v>154022</v>
      </c>
      <c r="B1043" s="54" t="s">
        <v>714</v>
      </c>
      <c r="C1043" s="55">
        <v>2</v>
      </c>
      <c r="D1043" s="55">
        <v>34</v>
      </c>
      <c r="E1043" s="55">
        <v>1</v>
      </c>
      <c r="F1043" s="55">
        <v>0</v>
      </c>
      <c r="G1043" s="55">
        <v>0</v>
      </c>
      <c r="H1043" s="55">
        <v>0</v>
      </c>
      <c r="I1043" s="55">
        <v>0</v>
      </c>
      <c r="J1043" s="55">
        <v>0</v>
      </c>
      <c r="K1043" s="55">
        <v>0</v>
      </c>
      <c r="L1043" s="55">
        <v>0</v>
      </c>
      <c r="M1043" s="54" t="str">
        <f t="shared" si="83"/>
        <v>0-6 Months</v>
      </c>
      <c r="N1043" s="54" t="str">
        <f t="shared" si="84"/>
        <v>12-18 Months</v>
      </c>
      <c r="O1043" s="54" t="s">
        <v>7</v>
      </c>
      <c r="P1043" s="54">
        <f t="shared" si="80"/>
        <v>0</v>
      </c>
      <c r="Q1043">
        <f t="shared" si="81"/>
        <v>0</v>
      </c>
      <c r="R1043">
        <f t="shared" si="82"/>
        <v>0</v>
      </c>
    </row>
    <row r="1044" spans="1:18" x14ac:dyDescent="0.2">
      <c r="A1044" s="54">
        <v>466251</v>
      </c>
      <c r="B1044" s="54" t="s">
        <v>712</v>
      </c>
      <c r="C1044" s="55">
        <v>2</v>
      </c>
      <c r="D1044" s="55">
        <v>11</v>
      </c>
      <c r="E1044" s="55">
        <v>1</v>
      </c>
      <c r="F1044" s="55">
        <v>0</v>
      </c>
      <c r="G1044" s="55">
        <v>0</v>
      </c>
      <c r="H1044" s="55">
        <v>0</v>
      </c>
      <c r="I1044" s="55">
        <v>0</v>
      </c>
      <c r="J1044" s="55">
        <v>0</v>
      </c>
      <c r="K1044" s="55">
        <v>0</v>
      </c>
      <c r="L1044" s="55">
        <v>0</v>
      </c>
      <c r="M1044" s="54" t="str">
        <f t="shared" si="83"/>
        <v>0-6 Months</v>
      </c>
      <c r="N1044" s="54" t="str">
        <f t="shared" si="84"/>
        <v>12-18 Months</v>
      </c>
      <c r="O1044" s="54" t="s">
        <v>7</v>
      </c>
      <c r="P1044" s="54">
        <f t="shared" si="80"/>
        <v>0</v>
      </c>
      <c r="Q1044">
        <f t="shared" si="81"/>
        <v>0</v>
      </c>
      <c r="R1044">
        <f t="shared" si="82"/>
        <v>0</v>
      </c>
    </row>
    <row r="1045" spans="1:18" x14ac:dyDescent="0.2">
      <c r="A1045" s="54">
        <v>607152</v>
      </c>
      <c r="B1045" s="54" t="s">
        <v>716</v>
      </c>
      <c r="C1045" s="55">
        <v>2</v>
      </c>
      <c r="D1045" s="55">
        <v>2</v>
      </c>
      <c r="E1045" s="55">
        <v>1</v>
      </c>
      <c r="F1045" s="55">
        <v>0</v>
      </c>
      <c r="G1045" s="55">
        <v>0</v>
      </c>
      <c r="H1045" s="55">
        <v>0</v>
      </c>
      <c r="I1045" s="55">
        <v>0</v>
      </c>
      <c r="J1045" s="55">
        <v>0</v>
      </c>
      <c r="K1045" s="55">
        <v>0</v>
      </c>
      <c r="L1045" s="55">
        <v>0</v>
      </c>
      <c r="M1045" s="54" t="str">
        <f t="shared" si="83"/>
        <v>0-6 Months</v>
      </c>
      <c r="N1045" s="54" t="str">
        <f t="shared" si="84"/>
        <v>12-18 Months</v>
      </c>
      <c r="O1045" s="54" t="s">
        <v>7</v>
      </c>
      <c r="P1045" s="54">
        <f t="shared" si="80"/>
        <v>0</v>
      </c>
      <c r="Q1045">
        <f t="shared" si="81"/>
        <v>0</v>
      </c>
      <c r="R1045">
        <f t="shared" si="82"/>
        <v>0</v>
      </c>
    </row>
    <row r="1046" spans="1:18" x14ac:dyDescent="0.2">
      <c r="A1046" s="54">
        <v>106340</v>
      </c>
      <c r="B1046" s="54" t="s">
        <v>740</v>
      </c>
      <c r="C1046" s="55">
        <v>3</v>
      </c>
      <c r="D1046" s="55">
        <v>86</v>
      </c>
      <c r="E1046" s="55">
        <v>1</v>
      </c>
      <c r="F1046" s="55">
        <v>20</v>
      </c>
      <c r="G1046" s="55">
        <v>20</v>
      </c>
      <c r="H1046" s="55">
        <v>20</v>
      </c>
      <c r="I1046" s="55">
        <v>0.23</v>
      </c>
      <c r="J1046" s="55">
        <v>0.23</v>
      </c>
      <c r="K1046" s="55">
        <v>0.23</v>
      </c>
      <c r="L1046" s="55">
        <v>0</v>
      </c>
      <c r="M1046" s="54" t="str">
        <f t="shared" si="83"/>
        <v>0-6 Months</v>
      </c>
      <c r="N1046" s="54" t="str">
        <f t="shared" si="84"/>
        <v>12-18 Months</v>
      </c>
      <c r="O1046" s="54" t="s">
        <v>7</v>
      </c>
      <c r="P1046" s="54">
        <f t="shared" si="80"/>
        <v>0</v>
      </c>
      <c r="Q1046">
        <f t="shared" si="81"/>
        <v>0</v>
      </c>
      <c r="R1046">
        <f t="shared" si="82"/>
        <v>0</v>
      </c>
    </row>
    <row r="1047" spans="1:18" x14ac:dyDescent="0.2">
      <c r="A1047" s="54">
        <v>114973</v>
      </c>
      <c r="B1047" s="54" t="s">
        <v>744</v>
      </c>
      <c r="C1047" s="55">
        <v>3</v>
      </c>
      <c r="D1047" s="55">
        <v>5</v>
      </c>
      <c r="E1047" s="55">
        <v>1</v>
      </c>
      <c r="F1047" s="55">
        <v>0</v>
      </c>
      <c r="G1047" s="55">
        <v>0</v>
      </c>
      <c r="H1047" s="55">
        <v>0</v>
      </c>
      <c r="I1047" s="55">
        <v>0</v>
      </c>
      <c r="J1047" s="55">
        <v>0</v>
      </c>
      <c r="K1047" s="55">
        <v>0</v>
      </c>
      <c r="L1047" s="55">
        <v>0</v>
      </c>
      <c r="M1047" s="54" t="str">
        <f t="shared" si="83"/>
        <v>0-6 Months</v>
      </c>
      <c r="N1047" s="54" t="str">
        <f t="shared" si="84"/>
        <v>12-18 Months</v>
      </c>
      <c r="O1047" s="54" t="s">
        <v>7</v>
      </c>
      <c r="P1047" s="54">
        <f t="shared" si="80"/>
        <v>0</v>
      </c>
      <c r="Q1047">
        <f t="shared" si="81"/>
        <v>0</v>
      </c>
      <c r="R1047">
        <f t="shared" si="82"/>
        <v>0</v>
      </c>
    </row>
    <row r="1048" spans="1:18" x14ac:dyDescent="0.2">
      <c r="A1048" s="54">
        <v>128005</v>
      </c>
      <c r="B1048" s="54" t="s">
        <v>745</v>
      </c>
      <c r="C1048" s="55">
        <v>3</v>
      </c>
      <c r="D1048" s="55">
        <v>3</v>
      </c>
      <c r="E1048" s="55">
        <v>1</v>
      </c>
      <c r="F1048" s="55">
        <v>0</v>
      </c>
      <c r="G1048" s="55">
        <v>0</v>
      </c>
      <c r="H1048" s="55">
        <v>0</v>
      </c>
      <c r="I1048" s="55">
        <v>0</v>
      </c>
      <c r="J1048" s="55">
        <v>0</v>
      </c>
      <c r="K1048" s="55">
        <v>0</v>
      </c>
      <c r="L1048" s="55">
        <v>0</v>
      </c>
      <c r="M1048" s="54" t="str">
        <f t="shared" si="83"/>
        <v>0-6 Months</v>
      </c>
      <c r="N1048" s="54" t="str">
        <f t="shared" si="84"/>
        <v>12-18 Months</v>
      </c>
      <c r="O1048" s="54" t="s">
        <v>7</v>
      </c>
      <c r="P1048" s="54">
        <f t="shared" si="80"/>
        <v>0</v>
      </c>
      <c r="Q1048">
        <f t="shared" si="81"/>
        <v>0</v>
      </c>
      <c r="R1048">
        <f t="shared" si="82"/>
        <v>0</v>
      </c>
    </row>
    <row r="1049" spans="1:18" x14ac:dyDescent="0.2">
      <c r="A1049" s="54">
        <v>314695</v>
      </c>
      <c r="B1049" s="54" t="s">
        <v>743</v>
      </c>
      <c r="C1049" s="55">
        <v>3</v>
      </c>
      <c r="D1049" s="55">
        <v>3</v>
      </c>
      <c r="E1049" s="55">
        <v>1</v>
      </c>
      <c r="F1049" s="55">
        <v>10</v>
      </c>
      <c r="G1049" s="55">
        <v>10</v>
      </c>
      <c r="H1049" s="55">
        <v>10</v>
      </c>
      <c r="I1049" s="55">
        <v>3.33</v>
      </c>
      <c r="J1049" s="55">
        <v>3.33</v>
      </c>
      <c r="K1049" s="55">
        <v>3.33</v>
      </c>
      <c r="L1049" s="55">
        <v>1</v>
      </c>
      <c r="M1049" s="54" t="str">
        <f t="shared" si="83"/>
        <v>0-6 Months</v>
      </c>
      <c r="N1049" s="54" t="str">
        <f t="shared" si="84"/>
        <v>12-18 Months</v>
      </c>
      <c r="O1049" s="54" t="s">
        <v>7</v>
      </c>
      <c r="P1049" s="54">
        <f t="shared" si="80"/>
        <v>3</v>
      </c>
      <c r="Q1049">
        <f t="shared" si="81"/>
        <v>3</v>
      </c>
      <c r="R1049">
        <f t="shared" si="82"/>
        <v>3</v>
      </c>
    </row>
    <row r="1050" spans="1:18" x14ac:dyDescent="0.2">
      <c r="A1050" s="54">
        <v>325444</v>
      </c>
      <c r="B1050" s="54" t="s">
        <v>742</v>
      </c>
      <c r="C1050" s="55">
        <v>3</v>
      </c>
      <c r="D1050" s="55">
        <v>3</v>
      </c>
      <c r="E1050" s="55">
        <v>1</v>
      </c>
      <c r="F1050" s="55">
        <v>9</v>
      </c>
      <c r="G1050" s="55">
        <v>1</v>
      </c>
      <c r="H1050" s="55">
        <v>1</v>
      </c>
      <c r="I1050" s="55">
        <v>3</v>
      </c>
      <c r="J1050" s="55">
        <v>0.33</v>
      </c>
      <c r="K1050" s="55">
        <v>0.33</v>
      </c>
      <c r="L1050" s="55">
        <v>0</v>
      </c>
      <c r="M1050" s="54" t="str">
        <f t="shared" si="83"/>
        <v>0-6 Months</v>
      </c>
      <c r="N1050" s="54" t="str">
        <f t="shared" si="84"/>
        <v>12-18 Months</v>
      </c>
      <c r="O1050" s="54" t="s">
        <v>7</v>
      </c>
      <c r="P1050" s="54">
        <f t="shared" si="80"/>
        <v>3</v>
      </c>
      <c r="Q1050">
        <f t="shared" si="81"/>
        <v>3</v>
      </c>
      <c r="R1050">
        <f t="shared" si="82"/>
        <v>0</v>
      </c>
    </row>
    <row r="1051" spans="1:18" x14ac:dyDescent="0.2">
      <c r="A1051" s="54">
        <v>537147</v>
      </c>
      <c r="B1051" s="54" t="s">
        <v>741</v>
      </c>
      <c r="C1051" s="55">
        <v>3</v>
      </c>
      <c r="D1051" s="55">
        <v>1</v>
      </c>
      <c r="E1051" s="55">
        <v>1</v>
      </c>
      <c r="F1051" s="55">
        <v>0</v>
      </c>
      <c r="G1051" s="55">
        <v>0</v>
      </c>
      <c r="H1051" s="55">
        <v>0</v>
      </c>
      <c r="I1051" s="55">
        <v>0</v>
      </c>
      <c r="J1051" s="55">
        <v>0</v>
      </c>
      <c r="K1051" s="55">
        <v>0</v>
      </c>
      <c r="L1051" s="55">
        <v>0</v>
      </c>
      <c r="M1051" s="54" t="str">
        <f t="shared" si="83"/>
        <v>0-6 Months</v>
      </c>
      <c r="N1051" s="54" t="str">
        <f t="shared" si="84"/>
        <v>12-18 Months</v>
      </c>
      <c r="O1051" s="54" t="s">
        <v>7</v>
      </c>
      <c r="P1051" s="54">
        <f t="shared" si="80"/>
        <v>0</v>
      </c>
      <c r="Q1051">
        <f t="shared" si="81"/>
        <v>0</v>
      </c>
      <c r="R1051">
        <f t="shared" si="82"/>
        <v>0</v>
      </c>
    </row>
    <row r="1052" spans="1:18" x14ac:dyDescent="0.2">
      <c r="A1052" s="54">
        <v>106753</v>
      </c>
      <c r="B1052" s="54" t="s">
        <v>764</v>
      </c>
      <c r="C1052" s="55">
        <v>4</v>
      </c>
      <c r="D1052" s="55">
        <v>19</v>
      </c>
      <c r="E1052" s="55">
        <v>1</v>
      </c>
      <c r="F1052" s="55">
        <v>22</v>
      </c>
      <c r="G1052" s="55">
        <v>22</v>
      </c>
      <c r="H1052" s="55">
        <v>22</v>
      </c>
      <c r="I1052" s="55">
        <v>1.1599999999999999</v>
      </c>
      <c r="J1052" s="55">
        <v>1.1599999999999999</v>
      </c>
      <c r="K1052" s="55">
        <v>1.1599999999999999</v>
      </c>
      <c r="L1052" s="55">
        <v>0</v>
      </c>
      <c r="M1052" s="54" t="str">
        <f t="shared" si="83"/>
        <v>0-6 Months</v>
      </c>
      <c r="N1052" s="54" t="str">
        <f t="shared" si="84"/>
        <v>12-18 Months</v>
      </c>
      <c r="O1052" s="54" t="s">
        <v>7</v>
      </c>
      <c r="P1052" s="54">
        <f t="shared" si="80"/>
        <v>4</v>
      </c>
      <c r="Q1052">
        <f t="shared" si="81"/>
        <v>0</v>
      </c>
      <c r="R1052">
        <f t="shared" si="82"/>
        <v>4</v>
      </c>
    </row>
    <row r="1053" spans="1:18" x14ac:dyDescent="0.2">
      <c r="A1053" s="54">
        <v>113153</v>
      </c>
      <c r="B1053" s="54" t="s">
        <v>762</v>
      </c>
      <c r="C1053" s="55">
        <v>4</v>
      </c>
      <c r="D1053" s="55">
        <v>4</v>
      </c>
      <c r="E1053" s="55">
        <v>1</v>
      </c>
      <c r="F1053" s="55">
        <v>0</v>
      </c>
      <c r="G1053" s="55">
        <v>0</v>
      </c>
      <c r="H1053" s="55">
        <v>0</v>
      </c>
      <c r="I1053" s="55">
        <v>0</v>
      </c>
      <c r="J1053" s="55">
        <v>0</v>
      </c>
      <c r="K1053" s="55">
        <v>0</v>
      </c>
      <c r="L1053" s="55">
        <v>0</v>
      </c>
      <c r="M1053" s="54" t="str">
        <f t="shared" si="83"/>
        <v>0-6 Months</v>
      </c>
      <c r="N1053" s="54" t="str">
        <f t="shared" si="84"/>
        <v>12-18 Months</v>
      </c>
      <c r="O1053" s="54" t="s">
        <v>7</v>
      </c>
      <c r="P1053" s="54">
        <f t="shared" si="80"/>
        <v>0</v>
      </c>
      <c r="Q1053">
        <f t="shared" si="81"/>
        <v>0</v>
      </c>
      <c r="R1053">
        <f t="shared" si="82"/>
        <v>0</v>
      </c>
    </row>
    <row r="1054" spans="1:18" x14ac:dyDescent="0.2">
      <c r="A1054" s="54">
        <v>114425</v>
      </c>
      <c r="B1054" s="54" t="s">
        <v>765</v>
      </c>
      <c r="C1054" s="55">
        <v>4</v>
      </c>
      <c r="D1054" s="55">
        <v>10</v>
      </c>
      <c r="E1054" s="55">
        <v>1</v>
      </c>
      <c r="F1054" s="55">
        <v>0</v>
      </c>
      <c r="G1054" s="55">
        <v>0</v>
      </c>
      <c r="H1054" s="55">
        <v>0</v>
      </c>
      <c r="I1054" s="55">
        <v>0</v>
      </c>
      <c r="J1054" s="55">
        <v>0</v>
      </c>
      <c r="K1054" s="55">
        <v>0</v>
      </c>
      <c r="L1054" s="55">
        <v>0</v>
      </c>
      <c r="M1054" s="54" t="str">
        <f t="shared" si="83"/>
        <v>0-6 Months</v>
      </c>
      <c r="N1054" s="54" t="str">
        <f t="shared" si="84"/>
        <v>12-18 Months</v>
      </c>
      <c r="O1054" s="54" t="s">
        <v>7</v>
      </c>
      <c r="P1054" s="54">
        <f t="shared" si="80"/>
        <v>0</v>
      </c>
      <c r="Q1054">
        <f t="shared" si="81"/>
        <v>0</v>
      </c>
      <c r="R1054">
        <f t="shared" si="82"/>
        <v>0</v>
      </c>
    </row>
    <row r="1055" spans="1:18" x14ac:dyDescent="0.2">
      <c r="A1055" s="54">
        <v>133163</v>
      </c>
      <c r="B1055" s="54" t="s">
        <v>766</v>
      </c>
      <c r="C1055" s="55">
        <v>4</v>
      </c>
      <c r="D1055" s="55">
        <v>25</v>
      </c>
      <c r="E1055" s="55">
        <v>1</v>
      </c>
      <c r="F1055" s="55">
        <v>0</v>
      </c>
      <c r="G1055" s="55">
        <v>0</v>
      </c>
      <c r="H1055" s="55">
        <v>0</v>
      </c>
      <c r="I1055" s="55">
        <v>0</v>
      </c>
      <c r="J1055" s="55">
        <v>0</v>
      </c>
      <c r="K1055" s="55">
        <v>0</v>
      </c>
      <c r="L1055" s="55">
        <v>0</v>
      </c>
      <c r="M1055" s="54" t="str">
        <f t="shared" si="83"/>
        <v>0-6 Months</v>
      </c>
      <c r="N1055" s="54" t="str">
        <f t="shared" si="84"/>
        <v>12-18 Months</v>
      </c>
      <c r="O1055" s="54" t="s">
        <v>7</v>
      </c>
      <c r="P1055" s="54">
        <f t="shared" si="80"/>
        <v>0</v>
      </c>
      <c r="Q1055">
        <f t="shared" si="81"/>
        <v>0</v>
      </c>
      <c r="R1055">
        <f t="shared" si="82"/>
        <v>0</v>
      </c>
    </row>
    <row r="1056" spans="1:18" x14ac:dyDescent="0.2">
      <c r="A1056" s="54">
        <v>528556</v>
      </c>
      <c r="B1056" s="54" t="s">
        <v>763</v>
      </c>
      <c r="C1056" s="55">
        <v>4</v>
      </c>
      <c r="D1056" s="55">
        <v>6</v>
      </c>
      <c r="E1056" s="55">
        <v>1</v>
      </c>
      <c r="F1056" s="55">
        <v>0</v>
      </c>
      <c r="G1056" s="55">
        <v>0</v>
      </c>
      <c r="H1056" s="55">
        <v>0</v>
      </c>
      <c r="I1056" s="55">
        <v>0</v>
      </c>
      <c r="J1056" s="55">
        <v>0</v>
      </c>
      <c r="K1056" s="55">
        <v>0</v>
      </c>
      <c r="L1056" s="55">
        <v>0</v>
      </c>
      <c r="M1056" s="54" t="str">
        <f t="shared" si="83"/>
        <v>0-6 Months</v>
      </c>
      <c r="N1056" s="54" t="str">
        <f t="shared" si="84"/>
        <v>12-18 Months</v>
      </c>
      <c r="O1056" s="54" t="s">
        <v>7</v>
      </c>
      <c r="P1056" s="54">
        <f t="shared" si="80"/>
        <v>0</v>
      </c>
      <c r="Q1056">
        <f t="shared" si="81"/>
        <v>0</v>
      </c>
      <c r="R1056">
        <f t="shared" si="82"/>
        <v>0</v>
      </c>
    </row>
    <row r="1057" spans="1:18" x14ac:dyDescent="0.2">
      <c r="A1057" s="54">
        <v>325705</v>
      </c>
      <c r="B1057" s="54" t="s">
        <v>782</v>
      </c>
      <c r="C1057" s="55">
        <v>5</v>
      </c>
      <c r="D1057" s="55">
        <v>350</v>
      </c>
      <c r="E1057" s="55">
        <v>1</v>
      </c>
      <c r="F1057" s="55">
        <v>0</v>
      </c>
      <c r="G1057" s="55">
        <v>0</v>
      </c>
      <c r="H1057" s="55">
        <v>0</v>
      </c>
      <c r="I1057" s="55">
        <v>0</v>
      </c>
      <c r="J1057" s="55">
        <v>0</v>
      </c>
      <c r="K1057" s="55">
        <v>0</v>
      </c>
      <c r="L1057" s="55">
        <v>0</v>
      </c>
      <c r="M1057" s="54" t="str">
        <f t="shared" si="83"/>
        <v>0-6 Months</v>
      </c>
      <c r="N1057" s="54" t="str">
        <f t="shared" si="84"/>
        <v>12-18 Months</v>
      </c>
      <c r="O1057" s="54" t="s">
        <v>6</v>
      </c>
      <c r="P1057" s="54">
        <f t="shared" si="80"/>
        <v>0</v>
      </c>
      <c r="Q1057">
        <f t="shared" si="81"/>
        <v>0</v>
      </c>
      <c r="R1057">
        <f t="shared" si="82"/>
        <v>0</v>
      </c>
    </row>
    <row r="1058" spans="1:18" x14ac:dyDescent="0.2">
      <c r="A1058" s="54">
        <v>463052</v>
      </c>
      <c r="B1058" s="54" t="s">
        <v>785</v>
      </c>
      <c r="C1058" s="55">
        <v>5</v>
      </c>
      <c r="D1058" s="55">
        <v>6</v>
      </c>
      <c r="E1058" s="55">
        <v>1</v>
      </c>
      <c r="F1058" s="55">
        <v>0</v>
      </c>
      <c r="G1058" s="55">
        <v>0</v>
      </c>
      <c r="H1058" s="55">
        <v>0</v>
      </c>
      <c r="I1058" s="55">
        <v>0</v>
      </c>
      <c r="J1058" s="55">
        <v>0</v>
      </c>
      <c r="K1058" s="55">
        <v>0</v>
      </c>
      <c r="L1058" s="55">
        <v>0</v>
      </c>
      <c r="M1058" s="54" t="str">
        <f t="shared" si="83"/>
        <v>0-6 Months</v>
      </c>
      <c r="N1058" s="54" t="str">
        <f t="shared" si="84"/>
        <v>12-18 Months</v>
      </c>
      <c r="O1058" s="54" t="s">
        <v>7</v>
      </c>
      <c r="P1058" s="54">
        <f t="shared" si="80"/>
        <v>0</v>
      </c>
      <c r="Q1058">
        <f t="shared" si="81"/>
        <v>0</v>
      </c>
      <c r="R1058">
        <f t="shared" si="82"/>
        <v>0</v>
      </c>
    </row>
    <row r="1059" spans="1:18" x14ac:dyDescent="0.2">
      <c r="A1059" s="54">
        <v>477682</v>
      </c>
      <c r="B1059" s="54" t="s">
        <v>784</v>
      </c>
      <c r="C1059" s="55">
        <v>5</v>
      </c>
      <c r="D1059" s="55">
        <v>5</v>
      </c>
      <c r="E1059" s="55">
        <v>1</v>
      </c>
      <c r="F1059" s="55">
        <v>0</v>
      </c>
      <c r="G1059" s="55">
        <v>0</v>
      </c>
      <c r="H1059" s="55">
        <v>0</v>
      </c>
      <c r="I1059" s="55">
        <v>0</v>
      </c>
      <c r="J1059" s="55">
        <v>0</v>
      </c>
      <c r="K1059" s="55">
        <v>0</v>
      </c>
      <c r="L1059" s="55">
        <v>0</v>
      </c>
      <c r="M1059" s="54" t="str">
        <f t="shared" si="83"/>
        <v>0-6 Months</v>
      </c>
      <c r="N1059" s="54" t="str">
        <f t="shared" si="84"/>
        <v>12-18 Months</v>
      </c>
      <c r="O1059" s="54" t="s">
        <v>7</v>
      </c>
      <c r="P1059" s="54">
        <f t="shared" si="80"/>
        <v>0</v>
      </c>
      <c r="Q1059">
        <f t="shared" si="81"/>
        <v>0</v>
      </c>
      <c r="R1059">
        <f t="shared" si="82"/>
        <v>0</v>
      </c>
    </row>
    <row r="1060" spans="1:18" x14ac:dyDescent="0.2">
      <c r="A1060" s="54">
        <v>490548</v>
      </c>
      <c r="B1060" s="54" t="s">
        <v>783</v>
      </c>
      <c r="C1060" s="55">
        <v>5</v>
      </c>
      <c r="D1060" s="55">
        <v>6</v>
      </c>
      <c r="E1060" s="55">
        <v>1</v>
      </c>
      <c r="F1060" s="55">
        <v>0</v>
      </c>
      <c r="G1060" s="55">
        <v>0</v>
      </c>
      <c r="H1060" s="55">
        <v>0</v>
      </c>
      <c r="I1060" s="55">
        <v>0</v>
      </c>
      <c r="J1060" s="55">
        <v>0</v>
      </c>
      <c r="K1060" s="55">
        <v>0</v>
      </c>
      <c r="L1060" s="55">
        <v>0</v>
      </c>
      <c r="M1060" s="54" t="str">
        <f t="shared" si="83"/>
        <v>0-6 Months</v>
      </c>
      <c r="N1060" s="54" t="str">
        <f t="shared" si="84"/>
        <v>12-18 Months</v>
      </c>
      <c r="O1060" s="54" t="s">
        <v>7</v>
      </c>
      <c r="P1060" s="54">
        <f t="shared" si="80"/>
        <v>0</v>
      </c>
      <c r="Q1060">
        <f t="shared" si="81"/>
        <v>0</v>
      </c>
      <c r="R1060">
        <f t="shared" si="82"/>
        <v>0</v>
      </c>
    </row>
    <row r="1061" spans="1:18" x14ac:dyDescent="0.2">
      <c r="A1061" s="54">
        <v>595453</v>
      </c>
      <c r="B1061" s="54" t="s">
        <v>781</v>
      </c>
      <c r="C1061" s="55">
        <v>5</v>
      </c>
      <c r="D1061" s="55">
        <v>9</v>
      </c>
      <c r="E1061" s="55">
        <v>1</v>
      </c>
      <c r="F1061" s="55">
        <v>0</v>
      </c>
      <c r="G1061" s="55">
        <v>0</v>
      </c>
      <c r="H1061" s="55">
        <v>0</v>
      </c>
      <c r="I1061" s="55">
        <v>0</v>
      </c>
      <c r="J1061" s="55">
        <v>0</v>
      </c>
      <c r="K1061" s="55">
        <v>0</v>
      </c>
      <c r="L1061" s="55">
        <v>0</v>
      </c>
      <c r="M1061" s="54" t="str">
        <f t="shared" si="83"/>
        <v>0-6 Months</v>
      </c>
      <c r="N1061" s="54" t="str">
        <f t="shared" si="84"/>
        <v>12-18 Months</v>
      </c>
      <c r="O1061" s="54" t="s">
        <v>7</v>
      </c>
      <c r="P1061" s="54">
        <f t="shared" si="80"/>
        <v>0</v>
      </c>
      <c r="Q1061">
        <f t="shared" si="81"/>
        <v>0</v>
      </c>
      <c r="R1061">
        <f t="shared" si="82"/>
        <v>0</v>
      </c>
    </row>
    <row r="1062" spans="1:18" x14ac:dyDescent="0.2">
      <c r="A1062" s="54">
        <v>143646</v>
      </c>
      <c r="B1062" s="54" t="s">
        <v>807</v>
      </c>
      <c r="C1062" s="55">
        <v>6</v>
      </c>
      <c r="D1062" s="55">
        <v>6</v>
      </c>
      <c r="E1062" s="55">
        <v>1</v>
      </c>
      <c r="F1062" s="55">
        <v>3</v>
      </c>
      <c r="G1062" s="55">
        <v>3</v>
      </c>
      <c r="H1062" s="55">
        <v>3</v>
      </c>
      <c r="I1062" s="55">
        <v>0.5</v>
      </c>
      <c r="J1062" s="55">
        <v>0.5</v>
      </c>
      <c r="K1062" s="55">
        <v>0.5</v>
      </c>
      <c r="L1062" s="55">
        <v>0</v>
      </c>
      <c r="M1062" s="54" t="str">
        <f t="shared" si="83"/>
        <v>0-6 Months</v>
      </c>
      <c r="N1062" s="54" t="str">
        <f t="shared" si="84"/>
        <v>12-18 Months</v>
      </c>
      <c r="O1062" s="54" t="s">
        <v>7</v>
      </c>
      <c r="P1062" s="54">
        <f t="shared" si="80"/>
        <v>0</v>
      </c>
      <c r="Q1062">
        <f t="shared" si="81"/>
        <v>0</v>
      </c>
      <c r="R1062">
        <f t="shared" si="82"/>
        <v>0</v>
      </c>
    </row>
    <row r="1063" spans="1:18" x14ac:dyDescent="0.2">
      <c r="A1063" s="54">
        <v>169396</v>
      </c>
      <c r="B1063" s="54" t="s">
        <v>805</v>
      </c>
      <c r="C1063" s="55">
        <v>6</v>
      </c>
      <c r="D1063" s="55">
        <v>6</v>
      </c>
      <c r="E1063" s="55">
        <v>1</v>
      </c>
      <c r="F1063" s="55">
        <v>28</v>
      </c>
      <c r="G1063" s="55">
        <v>22</v>
      </c>
      <c r="H1063" s="55">
        <v>22</v>
      </c>
      <c r="I1063" s="55">
        <v>4.67</v>
      </c>
      <c r="J1063" s="55">
        <v>3.67</v>
      </c>
      <c r="K1063" s="55">
        <v>3.67</v>
      </c>
      <c r="L1063" s="55">
        <v>0</v>
      </c>
      <c r="M1063" s="54" t="str">
        <f t="shared" si="83"/>
        <v>0-6 Months</v>
      </c>
      <c r="N1063" s="54" t="str">
        <f t="shared" si="84"/>
        <v>12-18 Months</v>
      </c>
      <c r="O1063" s="54" t="s">
        <v>7</v>
      </c>
      <c r="P1063" s="54">
        <f t="shared" si="80"/>
        <v>6</v>
      </c>
      <c r="Q1063">
        <f t="shared" si="81"/>
        <v>6</v>
      </c>
      <c r="R1063">
        <f t="shared" si="82"/>
        <v>6</v>
      </c>
    </row>
    <row r="1064" spans="1:18" x14ac:dyDescent="0.2">
      <c r="A1064" s="54">
        <v>176517</v>
      </c>
      <c r="B1064" s="54" t="s">
        <v>806</v>
      </c>
      <c r="C1064" s="55">
        <v>6</v>
      </c>
      <c r="D1064" s="55">
        <v>6</v>
      </c>
      <c r="E1064" s="55">
        <v>1</v>
      </c>
      <c r="F1064" s="55">
        <v>0</v>
      </c>
      <c r="G1064" s="55">
        <v>0</v>
      </c>
      <c r="H1064" s="55">
        <v>0</v>
      </c>
      <c r="I1064" s="55">
        <v>0</v>
      </c>
      <c r="J1064" s="55">
        <v>0</v>
      </c>
      <c r="K1064" s="55">
        <v>0</v>
      </c>
      <c r="L1064" s="55">
        <v>0</v>
      </c>
      <c r="M1064" s="54" t="str">
        <f t="shared" si="83"/>
        <v>0-6 Months</v>
      </c>
      <c r="N1064" s="54" t="str">
        <f t="shared" si="84"/>
        <v>12-18 Months</v>
      </c>
      <c r="O1064" s="54" t="s">
        <v>7</v>
      </c>
      <c r="P1064" s="54">
        <f t="shared" si="80"/>
        <v>0</v>
      </c>
      <c r="Q1064">
        <f t="shared" si="81"/>
        <v>0</v>
      </c>
      <c r="R1064">
        <f t="shared" si="82"/>
        <v>0</v>
      </c>
    </row>
    <row r="1065" spans="1:18" x14ac:dyDescent="0.2">
      <c r="A1065" s="54">
        <v>311621</v>
      </c>
      <c r="B1065" s="54" t="s">
        <v>804</v>
      </c>
      <c r="C1065" s="55">
        <v>6</v>
      </c>
      <c r="D1065" s="55">
        <v>7</v>
      </c>
      <c r="E1065" s="55">
        <v>1</v>
      </c>
      <c r="F1065" s="55">
        <v>0</v>
      </c>
      <c r="G1065" s="55">
        <v>0</v>
      </c>
      <c r="H1065" s="55">
        <v>0</v>
      </c>
      <c r="I1065" s="55">
        <v>0</v>
      </c>
      <c r="J1065" s="55">
        <v>0</v>
      </c>
      <c r="K1065" s="55">
        <v>0</v>
      </c>
      <c r="L1065" s="55">
        <v>0</v>
      </c>
      <c r="M1065" s="54" t="str">
        <f t="shared" si="83"/>
        <v>0-6 Months</v>
      </c>
      <c r="N1065" s="54" t="str">
        <f t="shared" si="84"/>
        <v>12-18 Months</v>
      </c>
      <c r="O1065" s="54" t="s">
        <v>7</v>
      </c>
      <c r="P1065" s="54">
        <f t="shared" si="80"/>
        <v>0</v>
      </c>
      <c r="Q1065">
        <f t="shared" si="81"/>
        <v>0</v>
      </c>
      <c r="R1065">
        <f t="shared" si="82"/>
        <v>0</v>
      </c>
    </row>
    <row r="1066" spans="1:18" x14ac:dyDescent="0.2">
      <c r="A1066" s="54">
        <v>462592</v>
      </c>
      <c r="B1066" s="54" t="s">
        <v>803</v>
      </c>
      <c r="C1066" s="55">
        <v>6</v>
      </c>
      <c r="D1066" s="55">
        <v>6</v>
      </c>
      <c r="E1066" s="55">
        <v>1</v>
      </c>
      <c r="F1066" s="55">
        <v>0</v>
      </c>
      <c r="G1066" s="55">
        <v>0</v>
      </c>
      <c r="H1066" s="55">
        <v>0</v>
      </c>
      <c r="I1066" s="55">
        <v>0</v>
      </c>
      <c r="J1066" s="55">
        <v>0</v>
      </c>
      <c r="K1066" s="55">
        <v>0</v>
      </c>
      <c r="L1066" s="55">
        <v>0</v>
      </c>
      <c r="M1066" s="54" t="str">
        <f t="shared" si="83"/>
        <v>0-6 Months</v>
      </c>
      <c r="N1066" s="54" t="str">
        <f t="shared" si="84"/>
        <v>12-18 Months</v>
      </c>
      <c r="O1066" s="54" t="s">
        <v>7</v>
      </c>
      <c r="P1066" s="54">
        <f t="shared" si="80"/>
        <v>0</v>
      </c>
      <c r="Q1066">
        <f t="shared" si="81"/>
        <v>0</v>
      </c>
      <c r="R1066">
        <f t="shared" si="82"/>
        <v>0</v>
      </c>
    </row>
    <row r="1067" spans="1:18" x14ac:dyDescent="0.2">
      <c r="A1067" s="54">
        <v>303536</v>
      </c>
      <c r="B1067" s="54" t="s">
        <v>823</v>
      </c>
      <c r="C1067" s="55">
        <v>7</v>
      </c>
      <c r="D1067" s="55">
        <v>5</v>
      </c>
      <c r="E1067" s="55">
        <v>1</v>
      </c>
      <c r="F1067" s="55">
        <v>2</v>
      </c>
      <c r="G1067" s="55">
        <v>2</v>
      </c>
      <c r="H1067" s="55">
        <v>2</v>
      </c>
      <c r="I1067" s="55">
        <v>0.4</v>
      </c>
      <c r="J1067" s="55">
        <v>0.4</v>
      </c>
      <c r="K1067" s="55">
        <v>0.4</v>
      </c>
      <c r="L1067" s="55">
        <v>0</v>
      </c>
      <c r="M1067" s="54" t="str">
        <f t="shared" si="83"/>
        <v>0-6 Months</v>
      </c>
      <c r="N1067" s="54" t="str">
        <f t="shared" si="84"/>
        <v>12-18 Months</v>
      </c>
      <c r="O1067" s="54" t="s">
        <v>7</v>
      </c>
      <c r="P1067" s="54">
        <f t="shared" si="80"/>
        <v>0</v>
      </c>
      <c r="Q1067">
        <f t="shared" si="81"/>
        <v>0</v>
      </c>
      <c r="R1067">
        <f t="shared" si="82"/>
        <v>0</v>
      </c>
    </row>
    <row r="1068" spans="1:18" x14ac:dyDescent="0.2">
      <c r="A1068" s="54">
        <v>321423</v>
      </c>
      <c r="B1068" s="54" t="s">
        <v>822</v>
      </c>
      <c r="C1068" s="55">
        <v>7</v>
      </c>
      <c r="D1068" s="55">
        <v>6</v>
      </c>
      <c r="E1068" s="55">
        <v>1</v>
      </c>
      <c r="F1068" s="55">
        <v>0</v>
      </c>
      <c r="G1068" s="55">
        <v>0</v>
      </c>
      <c r="H1068" s="55">
        <v>0</v>
      </c>
      <c r="I1068" s="55">
        <v>0</v>
      </c>
      <c r="J1068" s="55">
        <v>0</v>
      </c>
      <c r="K1068" s="55">
        <v>0</v>
      </c>
      <c r="L1068" s="55">
        <v>0</v>
      </c>
      <c r="M1068" s="54" t="str">
        <f t="shared" si="83"/>
        <v>0-6 Months</v>
      </c>
      <c r="N1068" s="54" t="str">
        <f t="shared" si="84"/>
        <v>12-18 Months</v>
      </c>
      <c r="O1068" s="54" t="s">
        <v>7</v>
      </c>
      <c r="P1068" s="54">
        <f t="shared" si="80"/>
        <v>0</v>
      </c>
      <c r="Q1068">
        <f t="shared" si="81"/>
        <v>0</v>
      </c>
      <c r="R1068">
        <f t="shared" si="82"/>
        <v>0</v>
      </c>
    </row>
    <row r="1069" spans="1:18" x14ac:dyDescent="0.2">
      <c r="A1069" s="54">
        <v>203187</v>
      </c>
      <c r="B1069" s="54" t="s">
        <v>834</v>
      </c>
      <c r="C1069" s="55">
        <v>8</v>
      </c>
      <c r="D1069" s="55">
        <v>4</v>
      </c>
      <c r="E1069" s="55">
        <v>1</v>
      </c>
      <c r="F1069" s="55">
        <v>0</v>
      </c>
      <c r="G1069" s="55">
        <v>0</v>
      </c>
      <c r="H1069" s="55">
        <v>0</v>
      </c>
      <c r="I1069" s="55">
        <v>0</v>
      </c>
      <c r="J1069" s="55">
        <v>0</v>
      </c>
      <c r="K1069" s="55">
        <v>0</v>
      </c>
      <c r="L1069" s="55">
        <v>0</v>
      </c>
      <c r="M1069" s="54" t="str">
        <f t="shared" si="83"/>
        <v>0-6 Months</v>
      </c>
      <c r="N1069" s="54" t="str">
        <f t="shared" si="84"/>
        <v>12-18 Months</v>
      </c>
      <c r="O1069" s="54" t="s">
        <v>7</v>
      </c>
      <c r="P1069" s="54">
        <f t="shared" si="80"/>
        <v>0</v>
      </c>
      <c r="Q1069">
        <f t="shared" si="81"/>
        <v>0</v>
      </c>
      <c r="R1069">
        <f t="shared" si="82"/>
        <v>0</v>
      </c>
    </row>
    <row r="1070" spans="1:18" x14ac:dyDescent="0.2">
      <c r="A1070" s="54">
        <v>208498</v>
      </c>
      <c r="B1070" s="54" t="s">
        <v>835</v>
      </c>
      <c r="C1070" s="55">
        <v>8</v>
      </c>
      <c r="D1070" s="55">
        <v>7</v>
      </c>
      <c r="E1070" s="55">
        <v>1</v>
      </c>
      <c r="F1070" s="55">
        <v>0</v>
      </c>
      <c r="G1070" s="55">
        <v>0</v>
      </c>
      <c r="H1070" s="55">
        <v>0</v>
      </c>
      <c r="I1070" s="55">
        <v>0</v>
      </c>
      <c r="J1070" s="55">
        <v>0</v>
      </c>
      <c r="K1070" s="55">
        <v>0</v>
      </c>
      <c r="L1070" s="55">
        <v>0</v>
      </c>
      <c r="M1070" s="54" t="str">
        <f t="shared" si="83"/>
        <v>0-6 Months</v>
      </c>
      <c r="N1070" s="54" t="str">
        <f t="shared" si="84"/>
        <v>12-18 Months</v>
      </c>
      <c r="O1070" s="54" t="s">
        <v>7</v>
      </c>
      <c r="P1070" s="54">
        <f t="shared" si="80"/>
        <v>0</v>
      </c>
      <c r="Q1070">
        <f t="shared" si="81"/>
        <v>0</v>
      </c>
      <c r="R1070">
        <f t="shared" si="82"/>
        <v>0</v>
      </c>
    </row>
    <row r="1071" spans="1:18" x14ac:dyDescent="0.2">
      <c r="A1071" s="54">
        <v>327017</v>
      </c>
      <c r="B1071" s="54" t="s">
        <v>837</v>
      </c>
      <c r="C1071" s="55">
        <v>8</v>
      </c>
      <c r="D1071" s="55">
        <v>8</v>
      </c>
      <c r="E1071" s="55">
        <v>1</v>
      </c>
      <c r="F1071" s="55">
        <v>16</v>
      </c>
      <c r="G1071" s="55">
        <v>16</v>
      </c>
      <c r="H1071" s="55">
        <v>16</v>
      </c>
      <c r="I1071" s="55">
        <v>2</v>
      </c>
      <c r="J1071" s="55">
        <v>2</v>
      </c>
      <c r="K1071" s="55">
        <v>2</v>
      </c>
      <c r="L1071" s="55">
        <v>0</v>
      </c>
      <c r="M1071" s="54" t="str">
        <f t="shared" si="83"/>
        <v>0-6 Months</v>
      </c>
      <c r="N1071" s="54" t="str">
        <f t="shared" si="84"/>
        <v>12-18 Months</v>
      </c>
      <c r="O1071" s="54" t="s">
        <v>7</v>
      </c>
      <c r="P1071" s="54">
        <f t="shared" si="80"/>
        <v>8</v>
      </c>
      <c r="Q1071">
        <f t="shared" si="81"/>
        <v>8</v>
      </c>
      <c r="R1071">
        <f t="shared" si="82"/>
        <v>8</v>
      </c>
    </row>
    <row r="1072" spans="1:18" x14ac:dyDescent="0.2">
      <c r="A1072" s="54">
        <v>578855</v>
      </c>
      <c r="B1072" s="54" t="s">
        <v>836</v>
      </c>
      <c r="C1072" s="55">
        <v>8</v>
      </c>
      <c r="D1072" s="55">
        <v>8</v>
      </c>
      <c r="E1072" s="55">
        <v>1</v>
      </c>
      <c r="F1072" s="55">
        <v>0</v>
      </c>
      <c r="G1072" s="55">
        <v>0</v>
      </c>
      <c r="H1072" s="55">
        <v>0</v>
      </c>
      <c r="I1072" s="55">
        <v>0</v>
      </c>
      <c r="J1072" s="55">
        <v>0</v>
      </c>
      <c r="K1072" s="55">
        <v>0</v>
      </c>
      <c r="L1072" s="55">
        <v>0</v>
      </c>
      <c r="M1072" s="54" t="str">
        <f t="shared" si="83"/>
        <v>0-6 Months</v>
      </c>
      <c r="N1072" s="54" t="str">
        <f t="shared" si="84"/>
        <v>12-18 Months</v>
      </c>
      <c r="O1072" s="54" t="s">
        <v>7</v>
      </c>
      <c r="P1072" s="54">
        <f t="shared" si="80"/>
        <v>0</v>
      </c>
      <c r="Q1072">
        <f t="shared" si="81"/>
        <v>0</v>
      </c>
      <c r="R1072">
        <f t="shared" si="82"/>
        <v>0</v>
      </c>
    </row>
    <row r="1073" spans="1:18" x14ac:dyDescent="0.2">
      <c r="A1073" s="54">
        <v>109085</v>
      </c>
      <c r="B1073" s="54" t="s">
        <v>855</v>
      </c>
      <c r="C1073" s="55">
        <v>9</v>
      </c>
      <c r="D1073" s="55">
        <v>8</v>
      </c>
      <c r="E1073" s="55">
        <v>1</v>
      </c>
      <c r="F1073" s="55">
        <v>0</v>
      </c>
      <c r="G1073" s="55">
        <v>0</v>
      </c>
      <c r="H1073" s="55">
        <v>0</v>
      </c>
      <c r="I1073" s="55">
        <v>0</v>
      </c>
      <c r="J1073" s="55">
        <v>0</v>
      </c>
      <c r="K1073" s="55">
        <v>0</v>
      </c>
      <c r="L1073" s="55">
        <v>0</v>
      </c>
      <c r="M1073" s="54" t="str">
        <f t="shared" si="83"/>
        <v>0-6 Months</v>
      </c>
      <c r="N1073" s="54" t="str">
        <f t="shared" si="84"/>
        <v>12-18 Months</v>
      </c>
      <c r="O1073" s="54" t="s">
        <v>7</v>
      </c>
      <c r="P1073" s="54">
        <f t="shared" si="80"/>
        <v>0</v>
      </c>
      <c r="Q1073">
        <f t="shared" si="81"/>
        <v>0</v>
      </c>
      <c r="R1073">
        <f t="shared" si="82"/>
        <v>0</v>
      </c>
    </row>
    <row r="1074" spans="1:18" x14ac:dyDescent="0.2">
      <c r="A1074" s="54">
        <v>155268</v>
      </c>
      <c r="B1074" s="54" t="s">
        <v>856</v>
      </c>
      <c r="C1074" s="55">
        <v>9</v>
      </c>
      <c r="D1074" s="55">
        <v>9</v>
      </c>
      <c r="E1074" s="55">
        <v>1</v>
      </c>
      <c r="F1074" s="55">
        <v>56</v>
      </c>
      <c r="G1074" s="55">
        <v>56</v>
      </c>
      <c r="H1074" s="55">
        <v>56</v>
      </c>
      <c r="I1074" s="55">
        <v>6.22</v>
      </c>
      <c r="J1074" s="55">
        <v>6.22</v>
      </c>
      <c r="K1074" s="55">
        <v>6.22</v>
      </c>
      <c r="L1074" s="55">
        <v>15</v>
      </c>
      <c r="M1074" s="54" t="str">
        <f t="shared" si="83"/>
        <v>0-6 Months</v>
      </c>
      <c r="N1074" s="54" t="str">
        <f t="shared" si="84"/>
        <v>12-18 Months</v>
      </c>
      <c r="O1074" s="54" t="s">
        <v>7</v>
      </c>
      <c r="P1074" s="54">
        <f t="shared" si="80"/>
        <v>9</v>
      </c>
      <c r="Q1074">
        <f t="shared" si="81"/>
        <v>9</v>
      </c>
      <c r="R1074">
        <f t="shared" si="82"/>
        <v>9</v>
      </c>
    </row>
    <row r="1075" spans="1:18" x14ac:dyDescent="0.2">
      <c r="A1075" s="54">
        <v>110838</v>
      </c>
      <c r="B1075" s="54" t="s">
        <v>873</v>
      </c>
      <c r="C1075" s="55">
        <v>10</v>
      </c>
      <c r="D1075" s="55">
        <v>10</v>
      </c>
      <c r="E1075" s="55">
        <v>1</v>
      </c>
      <c r="F1075" s="55">
        <v>61</v>
      </c>
      <c r="G1075" s="55">
        <v>48</v>
      </c>
      <c r="H1075" s="55">
        <v>48</v>
      </c>
      <c r="I1075" s="55">
        <v>6.1</v>
      </c>
      <c r="J1075" s="55">
        <v>4.8</v>
      </c>
      <c r="K1075" s="55">
        <v>4.8</v>
      </c>
      <c r="L1075" s="55">
        <v>1</v>
      </c>
      <c r="M1075" s="54" t="str">
        <f t="shared" si="83"/>
        <v>0-6 Months</v>
      </c>
      <c r="N1075" s="54" t="str">
        <f t="shared" si="84"/>
        <v>12-18 Months</v>
      </c>
      <c r="O1075" s="54" t="s">
        <v>7</v>
      </c>
      <c r="P1075" s="54">
        <f t="shared" si="80"/>
        <v>10</v>
      </c>
      <c r="Q1075">
        <f t="shared" si="81"/>
        <v>10</v>
      </c>
      <c r="R1075">
        <f t="shared" si="82"/>
        <v>10</v>
      </c>
    </row>
    <row r="1076" spans="1:18" x14ac:dyDescent="0.2">
      <c r="A1076" s="54">
        <v>112309</v>
      </c>
      <c r="B1076" s="54" t="s">
        <v>874</v>
      </c>
      <c r="C1076" s="55">
        <v>10</v>
      </c>
      <c r="D1076" s="55">
        <v>10</v>
      </c>
      <c r="E1076" s="55">
        <v>1</v>
      </c>
      <c r="F1076" s="55">
        <v>0</v>
      </c>
      <c r="G1076" s="55">
        <v>0</v>
      </c>
      <c r="H1076" s="55">
        <v>0</v>
      </c>
      <c r="I1076" s="55">
        <v>0</v>
      </c>
      <c r="J1076" s="55">
        <v>0</v>
      </c>
      <c r="K1076" s="55">
        <v>0</v>
      </c>
      <c r="L1076" s="55">
        <v>0</v>
      </c>
      <c r="M1076" s="54" t="str">
        <f t="shared" si="83"/>
        <v>0-6 Months</v>
      </c>
      <c r="N1076" s="54" t="str">
        <f t="shared" si="84"/>
        <v>12-18 Months</v>
      </c>
      <c r="O1076" s="54" t="s">
        <v>7</v>
      </c>
      <c r="P1076" s="54">
        <f t="shared" si="80"/>
        <v>0</v>
      </c>
      <c r="Q1076">
        <f t="shared" si="81"/>
        <v>0</v>
      </c>
      <c r="R1076">
        <f t="shared" si="82"/>
        <v>0</v>
      </c>
    </row>
    <row r="1077" spans="1:18" x14ac:dyDescent="0.2">
      <c r="A1077" s="54">
        <v>126651</v>
      </c>
      <c r="B1077" s="54" t="s">
        <v>876</v>
      </c>
      <c r="C1077" s="55">
        <v>10</v>
      </c>
      <c r="D1077" s="55">
        <v>10</v>
      </c>
      <c r="E1077" s="55">
        <v>1</v>
      </c>
      <c r="F1077" s="55">
        <v>0</v>
      </c>
      <c r="G1077" s="55">
        <v>0</v>
      </c>
      <c r="H1077" s="55">
        <v>0</v>
      </c>
      <c r="I1077" s="55">
        <v>0</v>
      </c>
      <c r="J1077" s="55">
        <v>0</v>
      </c>
      <c r="K1077" s="55">
        <v>0</v>
      </c>
      <c r="L1077" s="55">
        <v>0</v>
      </c>
      <c r="M1077" s="54" t="str">
        <f t="shared" si="83"/>
        <v>0-6 Months</v>
      </c>
      <c r="N1077" s="54" t="str">
        <f t="shared" si="84"/>
        <v>12-18 Months</v>
      </c>
      <c r="O1077" s="54" t="s">
        <v>7</v>
      </c>
      <c r="P1077" s="54">
        <f t="shared" si="80"/>
        <v>0</v>
      </c>
      <c r="Q1077">
        <f t="shared" si="81"/>
        <v>0</v>
      </c>
      <c r="R1077">
        <f t="shared" si="82"/>
        <v>0</v>
      </c>
    </row>
    <row r="1078" spans="1:18" x14ac:dyDescent="0.2">
      <c r="A1078" s="54">
        <v>242096</v>
      </c>
      <c r="B1078" s="54" t="s">
        <v>875</v>
      </c>
      <c r="C1078" s="55">
        <v>10</v>
      </c>
      <c r="D1078" s="55">
        <v>10</v>
      </c>
      <c r="E1078" s="55">
        <v>1</v>
      </c>
      <c r="F1078" s="55">
        <v>0</v>
      </c>
      <c r="G1078" s="55">
        <v>0</v>
      </c>
      <c r="H1078" s="55">
        <v>0</v>
      </c>
      <c r="I1078" s="55">
        <v>0</v>
      </c>
      <c r="J1078" s="55">
        <v>0</v>
      </c>
      <c r="K1078" s="55">
        <v>0</v>
      </c>
      <c r="L1078" s="55">
        <v>0</v>
      </c>
      <c r="M1078" s="54" t="str">
        <f t="shared" si="83"/>
        <v>0-6 Months</v>
      </c>
      <c r="N1078" s="54" t="str">
        <f t="shared" si="84"/>
        <v>12-18 Months</v>
      </c>
      <c r="O1078" s="54" t="s">
        <v>7</v>
      </c>
      <c r="P1078" s="54">
        <f t="shared" si="80"/>
        <v>0</v>
      </c>
      <c r="Q1078">
        <f t="shared" si="81"/>
        <v>0</v>
      </c>
      <c r="R1078">
        <f t="shared" si="82"/>
        <v>0</v>
      </c>
    </row>
    <row r="1079" spans="1:18" x14ac:dyDescent="0.2">
      <c r="A1079" s="54">
        <v>305183</v>
      </c>
      <c r="B1079" s="54" t="s">
        <v>869</v>
      </c>
      <c r="C1079" s="55">
        <v>10</v>
      </c>
      <c r="D1079" s="55">
        <v>10</v>
      </c>
      <c r="E1079" s="55">
        <v>1</v>
      </c>
      <c r="F1079" s="55">
        <v>5</v>
      </c>
      <c r="G1079" s="55">
        <v>5</v>
      </c>
      <c r="H1079" s="55">
        <v>5</v>
      </c>
      <c r="I1079" s="55">
        <v>0.5</v>
      </c>
      <c r="J1079" s="55">
        <v>0.5</v>
      </c>
      <c r="K1079" s="55">
        <v>0.5</v>
      </c>
      <c r="L1079" s="55">
        <v>0</v>
      </c>
      <c r="M1079" s="54" t="str">
        <f t="shared" si="83"/>
        <v>0-6 Months</v>
      </c>
      <c r="N1079" s="54" t="str">
        <f t="shared" si="84"/>
        <v>12-18 Months</v>
      </c>
      <c r="O1079" s="54" t="s">
        <v>7</v>
      </c>
      <c r="P1079" s="54">
        <f t="shared" si="80"/>
        <v>0</v>
      </c>
      <c r="Q1079">
        <f t="shared" si="81"/>
        <v>0</v>
      </c>
      <c r="R1079">
        <f t="shared" si="82"/>
        <v>0</v>
      </c>
    </row>
    <row r="1080" spans="1:18" x14ac:dyDescent="0.2">
      <c r="A1080" s="54">
        <v>327717</v>
      </c>
      <c r="B1080" s="54" t="s">
        <v>877</v>
      </c>
      <c r="C1080" s="55">
        <v>10</v>
      </c>
      <c r="D1080" s="55">
        <v>10</v>
      </c>
      <c r="E1080" s="55">
        <v>1</v>
      </c>
      <c r="F1080" s="55">
        <v>0</v>
      </c>
      <c r="G1080" s="55">
        <v>0</v>
      </c>
      <c r="H1080" s="55">
        <v>0</v>
      </c>
      <c r="I1080" s="55">
        <v>0</v>
      </c>
      <c r="J1080" s="55">
        <v>0</v>
      </c>
      <c r="K1080" s="55">
        <v>0</v>
      </c>
      <c r="L1080" s="55">
        <v>0</v>
      </c>
      <c r="M1080" s="54" t="str">
        <f t="shared" si="83"/>
        <v>0-6 Months</v>
      </c>
      <c r="N1080" s="54" t="str">
        <f t="shared" si="84"/>
        <v>12-18 Months</v>
      </c>
      <c r="O1080" s="54" t="s">
        <v>7</v>
      </c>
      <c r="P1080" s="54">
        <f t="shared" si="80"/>
        <v>0</v>
      </c>
      <c r="Q1080">
        <f t="shared" si="81"/>
        <v>0</v>
      </c>
      <c r="R1080">
        <f t="shared" si="82"/>
        <v>0</v>
      </c>
    </row>
    <row r="1081" spans="1:18" x14ac:dyDescent="0.2">
      <c r="A1081" s="54">
        <v>448018</v>
      </c>
      <c r="B1081" s="54" t="s">
        <v>872</v>
      </c>
      <c r="C1081" s="55">
        <v>10</v>
      </c>
      <c r="D1081" s="55">
        <v>10</v>
      </c>
      <c r="E1081" s="55">
        <v>1</v>
      </c>
      <c r="F1081" s="55">
        <v>7</v>
      </c>
      <c r="G1081" s="55">
        <v>7</v>
      </c>
      <c r="H1081" s="55">
        <v>7</v>
      </c>
      <c r="I1081" s="55">
        <v>0.7</v>
      </c>
      <c r="J1081" s="55">
        <v>0.7</v>
      </c>
      <c r="K1081" s="55">
        <v>0.7</v>
      </c>
      <c r="L1081" s="55">
        <v>0</v>
      </c>
      <c r="M1081" s="54" t="str">
        <f t="shared" si="83"/>
        <v>0-6 Months</v>
      </c>
      <c r="N1081" s="54" t="str">
        <f t="shared" si="84"/>
        <v>12-18 Months</v>
      </c>
      <c r="O1081" s="54" t="s">
        <v>7</v>
      </c>
      <c r="P1081" s="54">
        <f t="shared" si="80"/>
        <v>0</v>
      </c>
      <c r="Q1081">
        <f t="shared" si="81"/>
        <v>0</v>
      </c>
      <c r="R1081">
        <f t="shared" si="82"/>
        <v>0</v>
      </c>
    </row>
    <row r="1082" spans="1:18" x14ac:dyDescent="0.2">
      <c r="A1082" s="54">
        <v>470041</v>
      </c>
      <c r="B1082" s="54" t="s">
        <v>868</v>
      </c>
      <c r="C1082" s="55">
        <v>10</v>
      </c>
      <c r="D1082" s="55">
        <v>8</v>
      </c>
      <c r="E1082" s="55">
        <v>1</v>
      </c>
      <c r="F1082" s="55">
        <v>0</v>
      </c>
      <c r="G1082" s="55">
        <v>0</v>
      </c>
      <c r="H1082" s="55">
        <v>0</v>
      </c>
      <c r="I1082" s="55">
        <v>0</v>
      </c>
      <c r="J1082" s="55">
        <v>0</v>
      </c>
      <c r="K1082" s="55">
        <v>0</v>
      </c>
      <c r="L1082" s="55">
        <v>0</v>
      </c>
      <c r="M1082" s="54" t="str">
        <f t="shared" si="83"/>
        <v>0-6 Months</v>
      </c>
      <c r="N1082" s="54" t="str">
        <f t="shared" si="84"/>
        <v>12-18 Months</v>
      </c>
      <c r="O1082" s="54" t="s">
        <v>7</v>
      </c>
      <c r="P1082" s="54">
        <f t="shared" si="80"/>
        <v>0</v>
      </c>
      <c r="Q1082">
        <f t="shared" si="81"/>
        <v>0</v>
      </c>
      <c r="R1082">
        <f t="shared" si="82"/>
        <v>0</v>
      </c>
    </row>
    <row r="1083" spans="1:18" x14ac:dyDescent="0.2">
      <c r="A1083" s="54">
        <v>476352</v>
      </c>
      <c r="B1083" s="54" t="s">
        <v>870</v>
      </c>
      <c r="C1083" s="55">
        <v>10</v>
      </c>
      <c r="D1083" s="55">
        <v>10</v>
      </c>
      <c r="E1083" s="55">
        <v>1</v>
      </c>
      <c r="F1083" s="55">
        <v>16</v>
      </c>
      <c r="G1083" s="55">
        <v>16</v>
      </c>
      <c r="H1083" s="55">
        <v>16</v>
      </c>
      <c r="I1083" s="55">
        <v>1.6</v>
      </c>
      <c r="J1083" s="55">
        <v>1.6</v>
      </c>
      <c r="K1083" s="55">
        <v>1.6</v>
      </c>
      <c r="L1083" s="55">
        <v>0</v>
      </c>
      <c r="M1083" s="54" t="str">
        <f t="shared" si="83"/>
        <v>0-6 Months</v>
      </c>
      <c r="N1083" s="54" t="str">
        <f t="shared" si="84"/>
        <v>12-18 Months</v>
      </c>
      <c r="O1083" s="54" t="s">
        <v>7</v>
      </c>
      <c r="P1083" s="54">
        <f t="shared" si="80"/>
        <v>10</v>
      </c>
      <c r="Q1083">
        <f t="shared" si="81"/>
        <v>0</v>
      </c>
      <c r="R1083">
        <f t="shared" si="82"/>
        <v>10</v>
      </c>
    </row>
    <row r="1084" spans="1:18" x14ac:dyDescent="0.2">
      <c r="A1084" s="54">
        <v>508610</v>
      </c>
      <c r="B1084" s="54" t="s">
        <v>871</v>
      </c>
      <c r="C1084" s="55">
        <v>10</v>
      </c>
      <c r="D1084" s="55">
        <v>10</v>
      </c>
      <c r="E1084" s="55">
        <v>1</v>
      </c>
      <c r="F1084" s="55">
        <v>0</v>
      </c>
      <c r="G1084" s="55">
        <v>0</v>
      </c>
      <c r="H1084" s="55">
        <v>0</v>
      </c>
      <c r="I1084" s="55">
        <v>0</v>
      </c>
      <c r="J1084" s="55">
        <v>0</v>
      </c>
      <c r="K1084" s="55">
        <v>0</v>
      </c>
      <c r="L1084" s="55">
        <v>0</v>
      </c>
      <c r="M1084" s="54" t="str">
        <f t="shared" si="83"/>
        <v>0-6 Months</v>
      </c>
      <c r="N1084" s="54" t="str">
        <f t="shared" si="84"/>
        <v>12-18 Months</v>
      </c>
      <c r="O1084" s="54" t="s">
        <v>7</v>
      </c>
      <c r="P1084" s="54">
        <f t="shared" si="80"/>
        <v>0</v>
      </c>
      <c r="Q1084">
        <f t="shared" si="81"/>
        <v>0</v>
      </c>
      <c r="R1084">
        <f t="shared" si="82"/>
        <v>0</v>
      </c>
    </row>
    <row r="1085" spans="1:18" x14ac:dyDescent="0.2">
      <c r="A1085" s="54">
        <v>107916</v>
      </c>
      <c r="B1085" s="54" t="s">
        <v>896</v>
      </c>
      <c r="C1085" s="55">
        <v>11</v>
      </c>
      <c r="D1085" s="55">
        <v>8</v>
      </c>
      <c r="E1085" s="55">
        <v>1</v>
      </c>
      <c r="F1085" s="55">
        <v>0</v>
      </c>
      <c r="G1085" s="55">
        <v>0</v>
      </c>
      <c r="H1085" s="55">
        <v>0</v>
      </c>
      <c r="I1085" s="55">
        <v>0</v>
      </c>
      <c r="J1085" s="55">
        <v>0</v>
      </c>
      <c r="K1085" s="55">
        <v>0</v>
      </c>
      <c r="L1085" s="55">
        <v>0</v>
      </c>
      <c r="M1085" s="54" t="str">
        <f t="shared" si="83"/>
        <v>0-6 Months</v>
      </c>
      <c r="N1085" s="54" t="str">
        <f t="shared" si="84"/>
        <v>12-18 Months</v>
      </c>
      <c r="O1085" s="54" t="s">
        <v>7</v>
      </c>
      <c r="P1085" s="54">
        <f t="shared" si="80"/>
        <v>0</v>
      </c>
      <c r="Q1085">
        <f t="shared" si="81"/>
        <v>0</v>
      </c>
      <c r="R1085">
        <f t="shared" si="82"/>
        <v>0</v>
      </c>
    </row>
    <row r="1086" spans="1:18" x14ac:dyDescent="0.2">
      <c r="A1086" s="54">
        <v>106051</v>
      </c>
      <c r="B1086" s="54" t="s">
        <v>906</v>
      </c>
      <c r="C1086" s="55">
        <v>12</v>
      </c>
      <c r="D1086" s="55">
        <v>11</v>
      </c>
      <c r="E1086" s="55">
        <v>1</v>
      </c>
      <c r="F1086" s="55">
        <v>23</v>
      </c>
      <c r="G1086" s="55">
        <v>23</v>
      </c>
      <c r="H1086" s="55">
        <v>23</v>
      </c>
      <c r="I1086" s="55">
        <v>2.09</v>
      </c>
      <c r="J1086" s="55">
        <v>2.09</v>
      </c>
      <c r="K1086" s="55">
        <v>2.09</v>
      </c>
      <c r="L1086" s="55">
        <v>0</v>
      </c>
      <c r="M1086" s="54" t="str">
        <f t="shared" si="83"/>
        <v>0-6 Months</v>
      </c>
      <c r="N1086" s="54" t="str">
        <f t="shared" si="84"/>
        <v>12-18 Months</v>
      </c>
      <c r="O1086" s="54" t="s">
        <v>7</v>
      </c>
      <c r="P1086" s="54">
        <f t="shared" si="80"/>
        <v>12</v>
      </c>
      <c r="Q1086">
        <f t="shared" si="81"/>
        <v>12</v>
      </c>
      <c r="R1086">
        <f t="shared" si="82"/>
        <v>12</v>
      </c>
    </row>
    <row r="1087" spans="1:18" x14ac:dyDescent="0.2">
      <c r="A1087" s="54">
        <v>323370</v>
      </c>
      <c r="B1087" s="54" t="s">
        <v>905</v>
      </c>
      <c r="C1087" s="55">
        <v>12</v>
      </c>
      <c r="D1087" s="55">
        <v>12</v>
      </c>
      <c r="E1087" s="55">
        <v>1</v>
      </c>
      <c r="F1087" s="55">
        <v>0</v>
      </c>
      <c r="G1087" s="55">
        <v>0</v>
      </c>
      <c r="H1087" s="55">
        <v>0</v>
      </c>
      <c r="I1087" s="55">
        <v>0</v>
      </c>
      <c r="J1087" s="55">
        <v>0</v>
      </c>
      <c r="K1087" s="55">
        <v>0</v>
      </c>
      <c r="L1087" s="55">
        <v>0</v>
      </c>
      <c r="M1087" s="54" t="str">
        <f t="shared" si="83"/>
        <v>0-6 Months</v>
      </c>
      <c r="N1087" s="54" t="str">
        <f t="shared" si="84"/>
        <v>12-18 Months</v>
      </c>
      <c r="O1087" s="54" t="s">
        <v>7</v>
      </c>
      <c r="P1087" s="54">
        <f t="shared" si="80"/>
        <v>0</v>
      </c>
      <c r="Q1087">
        <f t="shared" si="81"/>
        <v>0</v>
      </c>
      <c r="R1087">
        <f t="shared" si="82"/>
        <v>0</v>
      </c>
    </row>
    <row r="1088" spans="1:18" x14ac:dyDescent="0.2">
      <c r="A1088" s="54">
        <v>477147</v>
      </c>
      <c r="B1088" s="54" t="s">
        <v>907</v>
      </c>
      <c r="C1088" s="55">
        <v>12</v>
      </c>
      <c r="D1088" s="55">
        <v>16</v>
      </c>
      <c r="E1088" s="55">
        <v>1</v>
      </c>
      <c r="F1088" s="55">
        <v>0</v>
      </c>
      <c r="G1088" s="55">
        <v>0</v>
      </c>
      <c r="H1088" s="55">
        <v>0</v>
      </c>
      <c r="I1088" s="55">
        <v>0</v>
      </c>
      <c r="J1088" s="55">
        <v>0</v>
      </c>
      <c r="K1088" s="55">
        <v>0</v>
      </c>
      <c r="L1088" s="55">
        <v>0</v>
      </c>
      <c r="M1088" s="54" t="str">
        <f t="shared" si="83"/>
        <v>0-6 Months</v>
      </c>
      <c r="N1088" s="54" t="str">
        <f t="shared" si="84"/>
        <v>12-18 Months</v>
      </c>
      <c r="O1088" s="54" t="s">
        <v>7</v>
      </c>
      <c r="P1088" s="54">
        <f t="shared" si="80"/>
        <v>0</v>
      </c>
      <c r="Q1088">
        <f t="shared" si="81"/>
        <v>0</v>
      </c>
      <c r="R1088">
        <f t="shared" si="82"/>
        <v>0</v>
      </c>
    </row>
    <row r="1089" spans="1:18" x14ac:dyDescent="0.2">
      <c r="A1089" s="54">
        <v>114821</v>
      </c>
      <c r="B1089" s="54" t="s">
        <v>920</v>
      </c>
      <c r="C1089" s="55">
        <v>13</v>
      </c>
      <c r="D1089" s="55">
        <v>14</v>
      </c>
      <c r="E1089" s="55">
        <v>1</v>
      </c>
      <c r="F1089" s="55">
        <v>31</v>
      </c>
      <c r="G1089" s="55">
        <v>15</v>
      </c>
      <c r="H1089" s="55">
        <v>15</v>
      </c>
      <c r="I1089" s="55">
        <v>2.21</v>
      </c>
      <c r="J1089" s="55">
        <v>1.07</v>
      </c>
      <c r="K1089" s="55">
        <v>1.07</v>
      </c>
      <c r="L1089" s="55">
        <v>0</v>
      </c>
      <c r="M1089" s="54" t="str">
        <f t="shared" si="83"/>
        <v>0-6 Months</v>
      </c>
      <c r="N1089" s="54" t="str">
        <f t="shared" si="84"/>
        <v>12-18 Months</v>
      </c>
      <c r="O1089" s="54" t="s">
        <v>7</v>
      </c>
      <c r="P1089" s="54">
        <f t="shared" si="80"/>
        <v>13</v>
      </c>
      <c r="Q1089">
        <f t="shared" si="81"/>
        <v>13</v>
      </c>
      <c r="R1089">
        <f t="shared" si="82"/>
        <v>13</v>
      </c>
    </row>
    <row r="1090" spans="1:18" x14ac:dyDescent="0.2">
      <c r="A1090" s="54">
        <v>170572</v>
      </c>
      <c r="B1090" s="54" t="s">
        <v>919</v>
      </c>
      <c r="C1090" s="55">
        <v>13</v>
      </c>
      <c r="D1090" s="55">
        <v>69</v>
      </c>
      <c r="E1090" s="55">
        <v>1</v>
      </c>
      <c r="F1090" s="55">
        <v>33</v>
      </c>
      <c r="G1090" s="55">
        <v>33</v>
      </c>
      <c r="H1090" s="55">
        <v>33</v>
      </c>
      <c r="I1090" s="55">
        <v>0.48</v>
      </c>
      <c r="J1090" s="55">
        <v>0.48</v>
      </c>
      <c r="K1090" s="55">
        <v>0.48</v>
      </c>
      <c r="L1090" s="55">
        <v>70</v>
      </c>
      <c r="M1090" s="54" t="str">
        <f t="shared" si="83"/>
        <v>0-6 Months</v>
      </c>
      <c r="N1090" s="54" t="str">
        <f t="shared" si="84"/>
        <v>12-18 Months</v>
      </c>
      <c r="O1090" s="54" t="s">
        <v>7</v>
      </c>
      <c r="P1090" s="54">
        <f t="shared" ref="P1090:P1153" si="85">IF(I1090&gt;=2, C1090, IF(J1090&gt;=0.75, C1090, 0))</f>
        <v>0</v>
      </c>
      <c r="Q1090">
        <f t="shared" ref="Q1090:Q1153" si="86">IF(I1090&gt;=2, C1090, IF(AND(J1090&gt;=0.75, D1090&gt;=550), C1090, 0))</f>
        <v>0</v>
      </c>
      <c r="R1090">
        <f t="shared" ref="R1090:R1153" si="87">IF(J1090&gt;=0.75, C1090, 0)</f>
        <v>0</v>
      </c>
    </row>
    <row r="1091" spans="1:18" x14ac:dyDescent="0.2">
      <c r="A1091" s="54">
        <v>209124</v>
      </c>
      <c r="B1091" s="54" t="s">
        <v>918</v>
      </c>
      <c r="C1091" s="55">
        <v>13</v>
      </c>
      <c r="D1091" s="55">
        <v>12</v>
      </c>
      <c r="E1091" s="55">
        <v>1</v>
      </c>
      <c r="F1091" s="55">
        <v>8</v>
      </c>
      <c r="G1091" s="55">
        <v>8</v>
      </c>
      <c r="H1091" s="55">
        <v>8</v>
      </c>
      <c r="I1091" s="55">
        <v>0.67</v>
      </c>
      <c r="J1091" s="55">
        <v>0.67</v>
      </c>
      <c r="K1091" s="55">
        <v>0.67</v>
      </c>
      <c r="L1091" s="55">
        <v>16</v>
      </c>
      <c r="M1091" s="54" t="str">
        <f t="shared" ref="M1091:M1154" si="88">IF(E1091&lt;6,"0-6 Months", IF(E1091&lt;13, "6-12 Months", IF(E1091&lt;19, "12-24 Months", IF(E1091&lt;25, "12-24 Months", "24+ Months"))))</f>
        <v>0-6 Months</v>
      </c>
      <c r="N1091" s="54" t="str">
        <f t="shared" ref="N1091:N1154" si="89">IF(E1091&lt;6,"12-18 Months", IF(E1091&lt;13, "18-24 Months", "24+ Months"))</f>
        <v>12-18 Months</v>
      </c>
      <c r="O1091" s="54" t="s">
        <v>7</v>
      </c>
      <c r="P1091" s="54">
        <f t="shared" si="85"/>
        <v>0</v>
      </c>
      <c r="Q1091">
        <f t="shared" si="86"/>
        <v>0</v>
      </c>
      <c r="R1091">
        <f t="shared" si="87"/>
        <v>0</v>
      </c>
    </row>
    <row r="1092" spans="1:18" x14ac:dyDescent="0.2">
      <c r="A1092" s="54">
        <v>324011</v>
      </c>
      <c r="B1092" s="54" t="s">
        <v>917</v>
      </c>
      <c r="C1092" s="55">
        <v>13</v>
      </c>
      <c r="D1092" s="55">
        <v>10</v>
      </c>
      <c r="E1092" s="55">
        <v>1</v>
      </c>
      <c r="F1092" s="55">
        <v>0</v>
      </c>
      <c r="G1092" s="55">
        <v>0</v>
      </c>
      <c r="H1092" s="55">
        <v>0</v>
      </c>
      <c r="I1092" s="55">
        <v>0</v>
      </c>
      <c r="J1092" s="55">
        <v>0</v>
      </c>
      <c r="K1092" s="55">
        <v>0</v>
      </c>
      <c r="L1092" s="55">
        <v>0</v>
      </c>
      <c r="M1092" s="54" t="str">
        <f t="shared" si="88"/>
        <v>0-6 Months</v>
      </c>
      <c r="N1092" s="54" t="str">
        <f t="shared" si="89"/>
        <v>12-18 Months</v>
      </c>
      <c r="O1092" s="54" t="s">
        <v>7</v>
      </c>
      <c r="P1092" s="54">
        <f t="shared" si="85"/>
        <v>0</v>
      </c>
      <c r="Q1092">
        <f t="shared" si="86"/>
        <v>0</v>
      </c>
      <c r="R1092">
        <f t="shared" si="87"/>
        <v>0</v>
      </c>
    </row>
    <row r="1093" spans="1:18" x14ac:dyDescent="0.2">
      <c r="A1093" s="54">
        <v>108630</v>
      </c>
      <c r="B1093" s="54" t="s">
        <v>933</v>
      </c>
      <c r="C1093" s="55">
        <v>14</v>
      </c>
      <c r="D1093" s="55">
        <v>13</v>
      </c>
      <c r="E1093" s="55">
        <v>1</v>
      </c>
      <c r="F1093" s="55">
        <v>0</v>
      </c>
      <c r="G1093" s="55">
        <v>0</v>
      </c>
      <c r="H1093" s="55">
        <v>0</v>
      </c>
      <c r="I1093" s="55">
        <v>0</v>
      </c>
      <c r="J1093" s="55">
        <v>0</v>
      </c>
      <c r="K1093" s="55">
        <v>0</v>
      </c>
      <c r="L1093" s="55">
        <v>0</v>
      </c>
      <c r="M1093" s="54" t="str">
        <f t="shared" si="88"/>
        <v>0-6 Months</v>
      </c>
      <c r="N1093" s="54" t="str">
        <f t="shared" si="89"/>
        <v>12-18 Months</v>
      </c>
      <c r="O1093" s="54" t="s">
        <v>7</v>
      </c>
      <c r="P1093" s="54">
        <f t="shared" si="85"/>
        <v>0</v>
      </c>
      <c r="Q1093">
        <f t="shared" si="86"/>
        <v>0</v>
      </c>
      <c r="R1093">
        <f t="shared" si="87"/>
        <v>0</v>
      </c>
    </row>
    <row r="1094" spans="1:18" x14ac:dyDescent="0.2">
      <c r="A1094" s="54">
        <v>115212</v>
      </c>
      <c r="B1094" s="54" t="s">
        <v>932</v>
      </c>
      <c r="C1094" s="55">
        <v>14</v>
      </c>
      <c r="D1094" s="55">
        <v>14</v>
      </c>
      <c r="E1094" s="55">
        <v>1</v>
      </c>
      <c r="F1094" s="55">
        <v>96</v>
      </c>
      <c r="G1094" s="55">
        <v>56</v>
      </c>
      <c r="H1094" s="55">
        <v>56</v>
      </c>
      <c r="I1094" s="55">
        <v>6.86</v>
      </c>
      <c r="J1094" s="55">
        <v>4</v>
      </c>
      <c r="K1094" s="55">
        <v>4</v>
      </c>
      <c r="L1094" s="55">
        <v>56</v>
      </c>
      <c r="M1094" s="54" t="str">
        <f t="shared" si="88"/>
        <v>0-6 Months</v>
      </c>
      <c r="N1094" s="54" t="str">
        <f t="shared" si="89"/>
        <v>12-18 Months</v>
      </c>
      <c r="O1094" s="54" t="s">
        <v>7</v>
      </c>
      <c r="P1094" s="54">
        <f t="shared" si="85"/>
        <v>14</v>
      </c>
      <c r="Q1094">
        <f t="shared" si="86"/>
        <v>14</v>
      </c>
      <c r="R1094">
        <f t="shared" si="87"/>
        <v>14</v>
      </c>
    </row>
    <row r="1095" spans="1:18" x14ac:dyDescent="0.2">
      <c r="A1095" s="54">
        <v>322489</v>
      </c>
      <c r="B1095" s="54" t="s">
        <v>931</v>
      </c>
      <c r="C1095" s="55">
        <v>14</v>
      </c>
      <c r="D1095" s="55">
        <v>15</v>
      </c>
      <c r="E1095" s="55">
        <v>1</v>
      </c>
      <c r="F1095" s="55">
        <v>0</v>
      </c>
      <c r="G1095" s="55">
        <v>0</v>
      </c>
      <c r="H1095" s="55">
        <v>0</v>
      </c>
      <c r="I1095" s="55">
        <v>0</v>
      </c>
      <c r="J1095" s="55">
        <v>0</v>
      </c>
      <c r="K1095" s="55">
        <v>0</v>
      </c>
      <c r="L1095" s="55">
        <v>0</v>
      </c>
      <c r="M1095" s="54" t="str">
        <f t="shared" si="88"/>
        <v>0-6 Months</v>
      </c>
      <c r="N1095" s="54" t="str">
        <f t="shared" si="89"/>
        <v>12-18 Months</v>
      </c>
      <c r="O1095" s="54" t="s">
        <v>7</v>
      </c>
      <c r="P1095" s="54">
        <f t="shared" si="85"/>
        <v>0</v>
      </c>
      <c r="Q1095">
        <f t="shared" si="86"/>
        <v>0</v>
      </c>
      <c r="R1095">
        <f t="shared" si="87"/>
        <v>0</v>
      </c>
    </row>
    <row r="1096" spans="1:18" x14ac:dyDescent="0.2">
      <c r="A1096" s="54">
        <v>129206</v>
      </c>
      <c r="B1096" s="54" t="s">
        <v>949</v>
      </c>
      <c r="C1096" s="55">
        <v>15</v>
      </c>
      <c r="D1096" s="55">
        <v>1</v>
      </c>
      <c r="E1096" s="55">
        <v>1</v>
      </c>
      <c r="F1096" s="55">
        <v>0</v>
      </c>
      <c r="G1096" s="55">
        <v>0</v>
      </c>
      <c r="H1096" s="55">
        <v>0</v>
      </c>
      <c r="I1096" s="55">
        <v>0</v>
      </c>
      <c r="J1096" s="55">
        <v>0</v>
      </c>
      <c r="K1096" s="55">
        <v>0</v>
      </c>
      <c r="L1096" s="55">
        <v>0</v>
      </c>
      <c r="M1096" s="54" t="str">
        <f t="shared" si="88"/>
        <v>0-6 Months</v>
      </c>
      <c r="N1096" s="54" t="str">
        <f t="shared" si="89"/>
        <v>12-18 Months</v>
      </c>
      <c r="O1096" s="54" t="s">
        <v>7</v>
      </c>
      <c r="P1096" s="54">
        <f t="shared" si="85"/>
        <v>0</v>
      </c>
      <c r="Q1096">
        <f t="shared" si="86"/>
        <v>0</v>
      </c>
      <c r="R1096">
        <f t="shared" si="87"/>
        <v>0</v>
      </c>
    </row>
    <row r="1097" spans="1:18" x14ac:dyDescent="0.2">
      <c r="A1097" s="54">
        <v>464190</v>
      </c>
      <c r="B1097" s="54" t="s">
        <v>951</v>
      </c>
      <c r="C1097" s="55">
        <v>15</v>
      </c>
      <c r="D1097" s="55">
        <v>15</v>
      </c>
      <c r="E1097" s="55">
        <v>1</v>
      </c>
      <c r="F1097" s="55">
        <v>5</v>
      </c>
      <c r="G1097" s="55">
        <v>5</v>
      </c>
      <c r="H1097" s="55">
        <v>5</v>
      </c>
      <c r="I1097" s="55">
        <v>0.33</v>
      </c>
      <c r="J1097" s="55">
        <v>0.33</v>
      </c>
      <c r="K1097" s="55">
        <v>0.33</v>
      </c>
      <c r="L1097" s="55">
        <v>1</v>
      </c>
      <c r="M1097" s="54" t="str">
        <f t="shared" si="88"/>
        <v>0-6 Months</v>
      </c>
      <c r="N1097" s="54" t="str">
        <f t="shared" si="89"/>
        <v>12-18 Months</v>
      </c>
      <c r="O1097" s="54" t="s">
        <v>7</v>
      </c>
      <c r="P1097" s="54">
        <f t="shared" si="85"/>
        <v>0</v>
      </c>
      <c r="Q1097">
        <f t="shared" si="86"/>
        <v>0</v>
      </c>
      <c r="R1097">
        <f t="shared" si="87"/>
        <v>0</v>
      </c>
    </row>
    <row r="1098" spans="1:18" x14ac:dyDescent="0.2">
      <c r="A1098" s="54">
        <v>556150</v>
      </c>
      <c r="B1098" s="54" t="s">
        <v>952</v>
      </c>
      <c r="C1098" s="55">
        <v>15</v>
      </c>
      <c r="D1098" s="55">
        <v>4</v>
      </c>
      <c r="E1098" s="55">
        <v>1</v>
      </c>
      <c r="F1098" s="55">
        <v>5</v>
      </c>
      <c r="G1098" s="55">
        <v>5</v>
      </c>
      <c r="H1098" s="55">
        <v>5</v>
      </c>
      <c r="I1098" s="55">
        <v>1.25</v>
      </c>
      <c r="J1098" s="55">
        <v>1.25</v>
      </c>
      <c r="K1098" s="55">
        <v>1.25</v>
      </c>
      <c r="L1098" s="55">
        <v>0</v>
      </c>
      <c r="M1098" s="54" t="str">
        <f t="shared" si="88"/>
        <v>0-6 Months</v>
      </c>
      <c r="N1098" s="54" t="str">
        <f t="shared" si="89"/>
        <v>12-18 Months</v>
      </c>
      <c r="O1098" s="54" t="s">
        <v>7</v>
      </c>
      <c r="P1098" s="54">
        <f t="shared" si="85"/>
        <v>15</v>
      </c>
      <c r="Q1098">
        <f t="shared" si="86"/>
        <v>0</v>
      </c>
      <c r="R1098">
        <f t="shared" si="87"/>
        <v>15</v>
      </c>
    </row>
    <row r="1099" spans="1:18" x14ac:dyDescent="0.2">
      <c r="A1099" s="54">
        <v>583348</v>
      </c>
      <c r="B1099" s="54" t="s">
        <v>950</v>
      </c>
      <c r="C1099" s="55">
        <v>15</v>
      </c>
      <c r="D1099" s="55">
        <v>15</v>
      </c>
      <c r="E1099" s="55">
        <v>1</v>
      </c>
      <c r="F1099" s="55">
        <v>7</v>
      </c>
      <c r="G1099" s="55">
        <v>7</v>
      </c>
      <c r="H1099" s="55">
        <v>7</v>
      </c>
      <c r="I1099" s="55">
        <v>0.47</v>
      </c>
      <c r="J1099" s="55">
        <v>0.47</v>
      </c>
      <c r="K1099" s="55">
        <v>0.47</v>
      </c>
      <c r="L1099" s="55">
        <v>0</v>
      </c>
      <c r="M1099" s="54" t="str">
        <f t="shared" si="88"/>
        <v>0-6 Months</v>
      </c>
      <c r="N1099" s="54" t="str">
        <f t="shared" si="89"/>
        <v>12-18 Months</v>
      </c>
      <c r="O1099" s="54" t="s">
        <v>7</v>
      </c>
      <c r="P1099" s="54">
        <f t="shared" si="85"/>
        <v>0</v>
      </c>
      <c r="Q1099">
        <f t="shared" si="86"/>
        <v>0</v>
      </c>
      <c r="R1099">
        <f t="shared" si="87"/>
        <v>0</v>
      </c>
    </row>
    <row r="1100" spans="1:18" x14ac:dyDescent="0.2">
      <c r="A1100" s="54">
        <v>108558</v>
      </c>
      <c r="B1100" s="54" t="s">
        <v>969</v>
      </c>
      <c r="C1100" s="55">
        <v>16</v>
      </c>
      <c r="D1100" s="55">
        <v>14</v>
      </c>
      <c r="E1100" s="55">
        <v>1</v>
      </c>
      <c r="F1100" s="55">
        <v>0</v>
      </c>
      <c r="G1100" s="55">
        <v>0</v>
      </c>
      <c r="H1100" s="55">
        <v>0</v>
      </c>
      <c r="I1100" s="55">
        <v>0</v>
      </c>
      <c r="J1100" s="55">
        <v>0</v>
      </c>
      <c r="K1100" s="55">
        <v>0</v>
      </c>
      <c r="L1100" s="55">
        <v>0</v>
      </c>
      <c r="M1100" s="54" t="str">
        <f t="shared" si="88"/>
        <v>0-6 Months</v>
      </c>
      <c r="N1100" s="54" t="str">
        <f t="shared" si="89"/>
        <v>12-18 Months</v>
      </c>
      <c r="O1100" s="54" t="s">
        <v>7</v>
      </c>
      <c r="P1100" s="54">
        <f t="shared" si="85"/>
        <v>0</v>
      </c>
      <c r="Q1100">
        <f t="shared" si="86"/>
        <v>0</v>
      </c>
      <c r="R1100">
        <f t="shared" si="87"/>
        <v>0</v>
      </c>
    </row>
    <row r="1101" spans="1:18" x14ac:dyDescent="0.2">
      <c r="A1101" s="54">
        <v>235511</v>
      </c>
      <c r="B1101" s="54" t="s">
        <v>968</v>
      </c>
      <c r="C1101" s="55">
        <v>16</v>
      </c>
      <c r="D1101" s="55">
        <v>16</v>
      </c>
      <c r="E1101" s="55">
        <v>1</v>
      </c>
      <c r="F1101" s="55">
        <v>0</v>
      </c>
      <c r="G1101" s="55">
        <v>0</v>
      </c>
      <c r="H1101" s="55">
        <v>0</v>
      </c>
      <c r="I1101" s="55">
        <v>0</v>
      </c>
      <c r="J1101" s="55">
        <v>0</v>
      </c>
      <c r="K1101" s="55">
        <v>0</v>
      </c>
      <c r="L1101" s="55">
        <v>0</v>
      </c>
      <c r="M1101" s="54" t="str">
        <f t="shared" si="88"/>
        <v>0-6 Months</v>
      </c>
      <c r="N1101" s="54" t="str">
        <f t="shared" si="89"/>
        <v>12-18 Months</v>
      </c>
      <c r="O1101" s="54" t="s">
        <v>7</v>
      </c>
      <c r="P1101" s="54">
        <f t="shared" si="85"/>
        <v>0</v>
      </c>
      <c r="Q1101">
        <f t="shared" si="86"/>
        <v>0</v>
      </c>
      <c r="R1101">
        <f t="shared" si="87"/>
        <v>0</v>
      </c>
    </row>
    <row r="1102" spans="1:18" x14ac:dyDescent="0.2">
      <c r="A1102" s="54">
        <v>326529</v>
      </c>
      <c r="B1102" s="54" t="s">
        <v>966</v>
      </c>
      <c r="C1102" s="55">
        <v>16</v>
      </c>
      <c r="D1102" s="55">
        <v>18</v>
      </c>
      <c r="E1102" s="55">
        <v>1</v>
      </c>
      <c r="F1102" s="55">
        <v>0</v>
      </c>
      <c r="G1102" s="55">
        <v>0</v>
      </c>
      <c r="H1102" s="55">
        <v>0</v>
      </c>
      <c r="I1102" s="55">
        <v>0</v>
      </c>
      <c r="J1102" s="55">
        <v>0</v>
      </c>
      <c r="K1102" s="55">
        <v>0</v>
      </c>
      <c r="L1102" s="55">
        <v>0</v>
      </c>
      <c r="M1102" s="54" t="str">
        <f t="shared" si="88"/>
        <v>0-6 Months</v>
      </c>
      <c r="N1102" s="54" t="str">
        <f t="shared" si="89"/>
        <v>12-18 Months</v>
      </c>
      <c r="O1102" s="54" t="s">
        <v>7</v>
      </c>
      <c r="P1102" s="54">
        <f t="shared" si="85"/>
        <v>0</v>
      </c>
      <c r="Q1102">
        <f t="shared" si="86"/>
        <v>0</v>
      </c>
      <c r="R1102">
        <f t="shared" si="87"/>
        <v>0</v>
      </c>
    </row>
    <row r="1103" spans="1:18" x14ac:dyDescent="0.2">
      <c r="A1103" s="54">
        <v>465215</v>
      </c>
      <c r="B1103" s="54" t="s">
        <v>967</v>
      </c>
      <c r="C1103" s="55">
        <v>16</v>
      </c>
      <c r="D1103" s="55">
        <v>16</v>
      </c>
      <c r="E1103" s="55">
        <v>1</v>
      </c>
      <c r="F1103" s="55">
        <v>0</v>
      </c>
      <c r="G1103" s="55">
        <v>0</v>
      </c>
      <c r="H1103" s="55">
        <v>0</v>
      </c>
      <c r="I1103" s="55">
        <v>0</v>
      </c>
      <c r="J1103" s="55">
        <v>0</v>
      </c>
      <c r="K1103" s="55">
        <v>0</v>
      </c>
      <c r="L1103" s="55">
        <v>0</v>
      </c>
      <c r="M1103" s="54" t="str">
        <f t="shared" si="88"/>
        <v>0-6 Months</v>
      </c>
      <c r="N1103" s="54" t="str">
        <f t="shared" si="89"/>
        <v>12-18 Months</v>
      </c>
      <c r="O1103" s="54" t="s">
        <v>7</v>
      </c>
      <c r="P1103" s="54">
        <f t="shared" si="85"/>
        <v>0</v>
      </c>
      <c r="Q1103">
        <f t="shared" si="86"/>
        <v>0</v>
      </c>
      <c r="R1103">
        <f t="shared" si="87"/>
        <v>0</v>
      </c>
    </row>
    <row r="1104" spans="1:18" x14ac:dyDescent="0.2">
      <c r="A1104" s="54">
        <v>485748</v>
      </c>
      <c r="B1104" s="54" t="s">
        <v>982</v>
      </c>
      <c r="C1104" s="55">
        <v>17</v>
      </c>
      <c r="D1104" s="55">
        <v>17</v>
      </c>
      <c r="E1104" s="55">
        <v>1</v>
      </c>
      <c r="F1104" s="55">
        <v>0</v>
      </c>
      <c r="G1104" s="55">
        <v>0</v>
      </c>
      <c r="H1104" s="55">
        <v>0</v>
      </c>
      <c r="I1104" s="55">
        <v>0</v>
      </c>
      <c r="J1104" s="55">
        <v>0</v>
      </c>
      <c r="K1104" s="55">
        <v>0</v>
      </c>
      <c r="L1104" s="55">
        <v>0</v>
      </c>
      <c r="M1104" s="54" t="str">
        <f t="shared" si="88"/>
        <v>0-6 Months</v>
      </c>
      <c r="N1104" s="54" t="str">
        <f t="shared" si="89"/>
        <v>12-18 Months</v>
      </c>
      <c r="O1104" s="54" t="s">
        <v>7</v>
      </c>
      <c r="P1104" s="54">
        <f t="shared" si="85"/>
        <v>0</v>
      </c>
      <c r="Q1104">
        <f t="shared" si="86"/>
        <v>0</v>
      </c>
      <c r="R1104">
        <f t="shared" si="87"/>
        <v>0</v>
      </c>
    </row>
    <row r="1105" spans="1:18" x14ac:dyDescent="0.2">
      <c r="A1105" s="54">
        <v>148782</v>
      </c>
      <c r="B1105" s="54" t="s">
        <v>988</v>
      </c>
      <c r="C1105" s="55">
        <v>18</v>
      </c>
      <c r="D1105" s="55">
        <v>50</v>
      </c>
      <c r="E1105" s="55">
        <v>1</v>
      </c>
      <c r="F1105" s="55">
        <v>0</v>
      </c>
      <c r="G1105" s="55">
        <v>0</v>
      </c>
      <c r="H1105" s="55">
        <v>0</v>
      </c>
      <c r="I1105" s="55">
        <v>0</v>
      </c>
      <c r="J1105" s="55">
        <v>0</v>
      </c>
      <c r="K1105" s="55">
        <v>0</v>
      </c>
      <c r="L1105" s="55">
        <v>0</v>
      </c>
      <c r="M1105" s="54" t="str">
        <f t="shared" si="88"/>
        <v>0-6 Months</v>
      </c>
      <c r="N1105" s="54" t="str">
        <f t="shared" si="89"/>
        <v>12-18 Months</v>
      </c>
      <c r="O1105" s="54" t="s">
        <v>7</v>
      </c>
      <c r="P1105" s="54">
        <f t="shared" si="85"/>
        <v>0</v>
      </c>
      <c r="Q1105">
        <f t="shared" si="86"/>
        <v>0</v>
      </c>
      <c r="R1105">
        <f t="shared" si="87"/>
        <v>0</v>
      </c>
    </row>
    <row r="1106" spans="1:18" x14ac:dyDescent="0.2">
      <c r="A1106" s="54">
        <v>237178</v>
      </c>
      <c r="B1106" s="54" t="s">
        <v>987</v>
      </c>
      <c r="C1106" s="55">
        <v>18</v>
      </c>
      <c r="D1106" s="55">
        <v>175</v>
      </c>
      <c r="E1106" s="55">
        <v>1</v>
      </c>
      <c r="F1106" s="55">
        <v>19</v>
      </c>
      <c r="G1106" s="55">
        <v>19</v>
      </c>
      <c r="H1106" s="55">
        <v>19</v>
      </c>
      <c r="I1106" s="55">
        <v>0.11</v>
      </c>
      <c r="J1106" s="55">
        <v>0.11</v>
      </c>
      <c r="K1106" s="55">
        <v>0.11</v>
      </c>
      <c r="L1106" s="55">
        <v>0</v>
      </c>
      <c r="M1106" s="54" t="str">
        <f t="shared" si="88"/>
        <v>0-6 Months</v>
      </c>
      <c r="N1106" s="54" t="str">
        <f t="shared" si="89"/>
        <v>12-18 Months</v>
      </c>
      <c r="O1106" s="54" t="s">
        <v>6</v>
      </c>
      <c r="P1106" s="54">
        <f t="shared" si="85"/>
        <v>0</v>
      </c>
      <c r="Q1106">
        <f t="shared" si="86"/>
        <v>0</v>
      </c>
      <c r="R1106">
        <f t="shared" si="87"/>
        <v>0</v>
      </c>
    </row>
    <row r="1107" spans="1:18" x14ac:dyDescent="0.2">
      <c r="A1107" s="54">
        <v>326543</v>
      </c>
      <c r="B1107" s="54" t="s">
        <v>1019</v>
      </c>
      <c r="C1107" s="55">
        <v>21</v>
      </c>
      <c r="D1107" s="55">
        <v>25</v>
      </c>
      <c r="E1107" s="55">
        <v>1</v>
      </c>
      <c r="F1107" s="55">
        <v>4</v>
      </c>
      <c r="G1107" s="55">
        <v>4</v>
      </c>
      <c r="H1107" s="55">
        <v>4</v>
      </c>
      <c r="I1107" s="55">
        <v>0.16</v>
      </c>
      <c r="J1107" s="55">
        <v>0.16</v>
      </c>
      <c r="K1107" s="55">
        <v>0.16</v>
      </c>
      <c r="L1107" s="55">
        <v>0</v>
      </c>
      <c r="M1107" s="54" t="str">
        <f t="shared" si="88"/>
        <v>0-6 Months</v>
      </c>
      <c r="N1107" s="54" t="str">
        <f t="shared" si="89"/>
        <v>12-18 Months</v>
      </c>
      <c r="O1107" s="54" t="s">
        <v>7</v>
      </c>
      <c r="P1107" s="54">
        <f t="shared" si="85"/>
        <v>0</v>
      </c>
      <c r="Q1107">
        <f t="shared" si="86"/>
        <v>0</v>
      </c>
      <c r="R1107">
        <f t="shared" si="87"/>
        <v>0</v>
      </c>
    </row>
    <row r="1108" spans="1:18" x14ac:dyDescent="0.2">
      <c r="A1108" s="54">
        <v>113553</v>
      </c>
      <c r="B1108" s="54" t="s">
        <v>1023</v>
      </c>
      <c r="C1108" s="55">
        <v>22</v>
      </c>
      <c r="D1108" s="55">
        <v>14</v>
      </c>
      <c r="E1108" s="55">
        <v>1</v>
      </c>
      <c r="F1108" s="55">
        <v>32</v>
      </c>
      <c r="G1108" s="55">
        <v>32</v>
      </c>
      <c r="H1108" s="55">
        <v>32</v>
      </c>
      <c r="I1108" s="55">
        <v>2.29</v>
      </c>
      <c r="J1108" s="55">
        <v>2.29</v>
      </c>
      <c r="K1108" s="55">
        <v>2.29</v>
      </c>
      <c r="L1108" s="55">
        <v>61</v>
      </c>
      <c r="M1108" s="54" t="str">
        <f t="shared" si="88"/>
        <v>0-6 Months</v>
      </c>
      <c r="N1108" s="54" t="str">
        <f t="shared" si="89"/>
        <v>12-18 Months</v>
      </c>
      <c r="O1108" s="54" t="s">
        <v>7</v>
      </c>
      <c r="P1108" s="54">
        <f t="shared" si="85"/>
        <v>22</v>
      </c>
      <c r="Q1108">
        <f t="shared" si="86"/>
        <v>22</v>
      </c>
      <c r="R1108">
        <f t="shared" si="87"/>
        <v>22</v>
      </c>
    </row>
    <row r="1109" spans="1:18" x14ac:dyDescent="0.2">
      <c r="A1109" s="54">
        <v>135461</v>
      </c>
      <c r="B1109" s="54" t="s">
        <v>1025</v>
      </c>
      <c r="C1109" s="55">
        <v>22</v>
      </c>
      <c r="D1109" s="55">
        <v>20</v>
      </c>
      <c r="E1109" s="55">
        <v>1</v>
      </c>
      <c r="F1109" s="55">
        <v>12</v>
      </c>
      <c r="G1109" s="55">
        <v>12</v>
      </c>
      <c r="H1109" s="55">
        <v>12</v>
      </c>
      <c r="I1109" s="55">
        <v>0.6</v>
      </c>
      <c r="J1109" s="55">
        <v>0.6</v>
      </c>
      <c r="K1109" s="55">
        <v>0.6</v>
      </c>
      <c r="L1109" s="55">
        <v>0</v>
      </c>
      <c r="M1109" s="54" t="str">
        <f t="shared" si="88"/>
        <v>0-6 Months</v>
      </c>
      <c r="N1109" s="54" t="str">
        <f t="shared" si="89"/>
        <v>12-18 Months</v>
      </c>
      <c r="O1109" s="54" t="s">
        <v>7</v>
      </c>
      <c r="P1109" s="54">
        <f t="shared" si="85"/>
        <v>0</v>
      </c>
      <c r="Q1109">
        <f t="shared" si="86"/>
        <v>0</v>
      </c>
      <c r="R1109">
        <f t="shared" si="87"/>
        <v>0</v>
      </c>
    </row>
    <row r="1110" spans="1:18" x14ac:dyDescent="0.2">
      <c r="A1110" s="54">
        <v>317556</v>
      </c>
      <c r="B1110" s="54" t="s">
        <v>1024</v>
      </c>
      <c r="C1110" s="55">
        <v>22</v>
      </c>
      <c r="D1110" s="55">
        <v>24</v>
      </c>
      <c r="E1110" s="55">
        <v>1</v>
      </c>
      <c r="F1110" s="55">
        <v>3</v>
      </c>
      <c r="G1110" s="55">
        <v>3</v>
      </c>
      <c r="H1110" s="55">
        <v>3</v>
      </c>
      <c r="I1110" s="55">
        <v>0.13</v>
      </c>
      <c r="J1110" s="55">
        <v>0.13</v>
      </c>
      <c r="K1110" s="55">
        <v>0.13</v>
      </c>
      <c r="L1110" s="55">
        <v>0</v>
      </c>
      <c r="M1110" s="54" t="str">
        <f t="shared" si="88"/>
        <v>0-6 Months</v>
      </c>
      <c r="N1110" s="54" t="str">
        <f t="shared" si="89"/>
        <v>12-18 Months</v>
      </c>
      <c r="O1110" s="54" t="s">
        <v>7</v>
      </c>
      <c r="P1110" s="54">
        <f t="shared" si="85"/>
        <v>0</v>
      </c>
      <c r="Q1110">
        <f t="shared" si="86"/>
        <v>0</v>
      </c>
      <c r="R1110">
        <f t="shared" si="87"/>
        <v>0</v>
      </c>
    </row>
    <row r="1111" spans="1:18" x14ac:dyDescent="0.2">
      <c r="A1111" s="54">
        <v>211950</v>
      </c>
      <c r="B1111" s="54" t="s">
        <v>1033</v>
      </c>
      <c r="C1111" s="55">
        <v>23</v>
      </c>
      <c r="D1111" s="55">
        <v>23</v>
      </c>
      <c r="E1111" s="55">
        <v>1</v>
      </c>
      <c r="F1111" s="55">
        <v>20</v>
      </c>
      <c r="G1111" s="55">
        <v>20</v>
      </c>
      <c r="H1111" s="55">
        <v>20</v>
      </c>
      <c r="I1111" s="55">
        <v>0.87</v>
      </c>
      <c r="J1111" s="55">
        <v>0.87</v>
      </c>
      <c r="K1111" s="55">
        <v>0.87</v>
      </c>
      <c r="L1111" s="55">
        <v>2</v>
      </c>
      <c r="M1111" s="54" t="str">
        <f t="shared" si="88"/>
        <v>0-6 Months</v>
      </c>
      <c r="N1111" s="54" t="str">
        <f t="shared" si="89"/>
        <v>12-18 Months</v>
      </c>
      <c r="O1111" s="54" t="s">
        <v>7</v>
      </c>
      <c r="P1111" s="54">
        <f t="shared" si="85"/>
        <v>23</v>
      </c>
      <c r="Q1111">
        <f t="shared" si="86"/>
        <v>0</v>
      </c>
      <c r="R1111">
        <f t="shared" si="87"/>
        <v>23</v>
      </c>
    </row>
    <row r="1112" spans="1:18" x14ac:dyDescent="0.2">
      <c r="A1112" s="54">
        <v>109968</v>
      </c>
      <c r="B1112" s="54" t="s">
        <v>1039</v>
      </c>
      <c r="C1112" s="55">
        <v>24</v>
      </c>
      <c r="D1112" s="55">
        <v>24</v>
      </c>
      <c r="E1112" s="55">
        <v>1</v>
      </c>
      <c r="F1112" s="55">
        <v>0</v>
      </c>
      <c r="G1112" s="55">
        <v>0</v>
      </c>
      <c r="H1112" s="55">
        <v>0</v>
      </c>
      <c r="I1112" s="55">
        <v>0</v>
      </c>
      <c r="J1112" s="55">
        <v>0</v>
      </c>
      <c r="K1112" s="55">
        <v>0</v>
      </c>
      <c r="L1112" s="55">
        <v>0</v>
      </c>
      <c r="M1112" s="54" t="str">
        <f t="shared" si="88"/>
        <v>0-6 Months</v>
      </c>
      <c r="N1112" s="54" t="str">
        <f t="shared" si="89"/>
        <v>12-18 Months</v>
      </c>
      <c r="O1112" s="54" t="s">
        <v>7</v>
      </c>
      <c r="P1112" s="54">
        <f t="shared" si="85"/>
        <v>0</v>
      </c>
      <c r="Q1112">
        <f t="shared" si="86"/>
        <v>0</v>
      </c>
      <c r="R1112">
        <f t="shared" si="87"/>
        <v>0</v>
      </c>
    </row>
    <row r="1113" spans="1:18" x14ac:dyDescent="0.2">
      <c r="A1113" s="54">
        <v>116393</v>
      </c>
      <c r="B1113" s="54" t="s">
        <v>1042</v>
      </c>
      <c r="C1113" s="55">
        <v>25</v>
      </c>
      <c r="D1113" s="55">
        <v>25</v>
      </c>
      <c r="E1113" s="55">
        <v>1</v>
      </c>
      <c r="F1113" s="55">
        <v>50</v>
      </c>
      <c r="G1113" s="55">
        <v>50</v>
      </c>
      <c r="H1113" s="55">
        <v>50</v>
      </c>
      <c r="I1113" s="55">
        <v>2</v>
      </c>
      <c r="J1113" s="55">
        <v>2</v>
      </c>
      <c r="K1113" s="55">
        <v>2</v>
      </c>
      <c r="L1113" s="55">
        <v>122</v>
      </c>
      <c r="M1113" s="54" t="str">
        <f t="shared" si="88"/>
        <v>0-6 Months</v>
      </c>
      <c r="N1113" s="54" t="str">
        <f t="shared" si="89"/>
        <v>12-18 Months</v>
      </c>
      <c r="O1113" s="54" t="s">
        <v>7</v>
      </c>
      <c r="P1113" s="54">
        <f t="shared" si="85"/>
        <v>25</v>
      </c>
      <c r="Q1113">
        <f t="shared" si="86"/>
        <v>25</v>
      </c>
      <c r="R1113">
        <f t="shared" si="87"/>
        <v>25</v>
      </c>
    </row>
    <row r="1114" spans="1:18" x14ac:dyDescent="0.2">
      <c r="A1114" s="54">
        <v>115913</v>
      </c>
      <c r="B1114" s="54" t="s">
        <v>1054</v>
      </c>
      <c r="C1114" s="55">
        <v>26</v>
      </c>
      <c r="D1114" s="55">
        <v>14</v>
      </c>
      <c r="E1114" s="55">
        <v>1</v>
      </c>
      <c r="F1114" s="55">
        <v>0</v>
      </c>
      <c r="G1114" s="55">
        <v>0</v>
      </c>
      <c r="H1114" s="55">
        <v>0</v>
      </c>
      <c r="I1114" s="55">
        <v>0</v>
      </c>
      <c r="J1114" s="55">
        <v>0</v>
      </c>
      <c r="K1114" s="55">
        <v>0</v>
      </c>
      <c r="L1114" s="55">
        <v>0</v>
      </c>
      <c r="M1114" s="54" t="str">
        <f t="shared" si="88"/>
        <v>0-6 Months</v>
      </c>
      <c r="N1114" s="54" t="str">
        <f t="shared" si="89"/>
        <v>12-18 Months</v>
      </c>
      <c r="O1114" s="54" t="s">
        <v>7</v>
      </c>
      <c r="P1114" s="54">
        <f t="shared" si="85"/>
        <v>0</v>
      </c>
      <c r="Q1114">
        <f t="shared" si="86"/>
        <v>0</v>
      </c>
      <c r="R1114">
        <f t="shared" si="87"/>
        <v>0</v>
      </c>
    </row>
    <row r="1115" spans="1:18" x14ac:dyDescent="0.2">
      <c r="A1115" s="54">
        <v>154280</v>
      </c>
      <c r="B1115" s="54" t="s">
        <v>1053</v>
      </c>
      <c r="C1115" s="55">
        <v>26</v>
      </c>
      <c r="D1115" s="55">
        <v>15</v>
      </c>
      <c r="E1115" s="55">
        <v>1</v>
      </c>
      <c r="F1115" s="55">
        <v>4</v>
      </c>
      <c r="G1115" s="55">
        <v>4</v>
      </c>
      <c r="H1115" s="55">
        <v>4</v>
      </c>
      <c r="I1115" s="55">
        <v>0.27</v>
      </c>
      <c r="J1115" s="55">
        <v>0.27</v>
      </c>
      <c r="K1115" s="55">
        <v>0.27</v>
      </c>
      <c r="L1115" s="55">
        <v>0</v>
      </c>
      <c r="M1115" s="54" t="str">
        <f t="shared" si="88"/>
        <v>0-6 Months</v>
      </c>
      <c r="N1115" s="54" t="str">
        <f t="shared" si="89"/>
        <v>12-18 Months</v>
      </c>
      <c r="O1115" s="54" t="s">
        <v>7</v>
      </c>
      <c r="P1115" s="54">
        <f t="shared" si="85"/>
        <v>0</v>
      </c>
      <c r="Q1115">
        <f t="shared" si="86"/>
        <v>0</v>
      </c>
      <c r="R1115">
        <f t="shared" si="87"/>
        <v>0</v>
      </c>
    </row>
    <row r="1116" spans="1:18" x14ac:dyDescent="0.2">
      <c r="A1116" s="54">
        <v>444824</v>
      </c>
      <c r="B1116" s="54" t="s">
        <v>1055</v>
      </c>
      <c r="C1116" s="55">
        <v>26</v>
      </c>
      <c r="D1116" s="55">
        <v>10</v>
      </c>
      <c r="E1116" s="55">
        <v>1</v>
      </c>
      <c r="F1116" s="55">
        <v>26</v>
      </c>
      <c r="G1116" s="55">
        <v>4</v>
      </c>
      <c r="H1116" s="55">
        <v>4</v>
      </c>
      <c r="I1116" s="55">
        <v>2.6</v>
      </c>
      <c r="J1116" s="55">
        <v>0.4</v>
      </c>
      <c r="K1116" s="55">
        <v>0.4</v>
      </c>
      <c r="L1116" s="55">
        <v>0</v>
      </c>
      <c r="M1116" s="54" t="str">
        <f t="shared" si="88"/>
        <v>0-6 Months</v>
      </c>
      <c r="N1116" s="54" t="str">
        <f t="shared" si="89"/>
        <v>12-18 Months</v>
      </c>
      <c r="O1116" s="54" t="s">
        <v>7</v>
      </c>
      <c r="P1116" s="54">
        <f t="shared" si="85"/>
        <v>26</v>
      </c>
      <c r="Q1116">
        <f t="shared" si="86"/>
        <v>26</v>
      </c>
      <c r="R1116">
        <f t="shared" si="87"/>
        <v>0</v>
      </c>
    </row>
    <row r="1117" spans="1:18" x14ac:dyDescent="0.2">
      <c r="A1117" s="54">
        <v>108333</v>
      </c>
      <c r="B1117" s="54" t="s">
        <v>1060</v>
      </c>
      <c r="C1117" s="55">
        <v>27</v>
      </c>
      <c r="D1117" s="55">
        <v>27</v>
      </c>
      <c r="E1117" s="55">
        <v>1</v>
      </c>
      <c r="F1117" s="55">
        <v>3</v>
      </c>
      <c r="G1117" s="55">
        <v>3</v>
      </c>
      <c r="H1117" s="55">
        <v>3</v>
      </c>
      <c r="I1117" s="55">
        <v>0.11</v>
      </c>
      <c r="J1117" s="55">
        <v>0.11</v>
      </c>
      <c r="K1117" s="55">
        <v>0.11</v>
      </c>
      <c r="L1117" s="55">
        <v>0</v>
      </c>
      <c r="M1117" s="54" t="str">
        <f t="shared" si="88"/>
        <v>0-6 Months</v>
      </c>
      <c r="N1117" s="54" t="str">
        <f t="shared" si="89"/>
        <v>12-18 Months</v>
      </c>
      <c r="O1117" s="54" t="s">
        <v>7</v>
      </c>
      <c r="P1117" s="54">
        <f t="shared" si="85"/>
        <v>0</v>
      </c>
      <c r="Q1117">
        <f t="shared" si="86"/>
        <v>0</v>
      </c>
      <c r="R1117">
        <f t="shared" si="87"/>
        <v>0</v>
      </c>
    </row>
    <row r="1118" spans="1:18" x14ac:dyDescent="0.2">
      <c r="A1118" s="54">
        <v>302704</v>
      </c>
      <c r="B1118" s="54" t="s">
        <v>1059</v>
      </c>
      <c r="C1118" s="55">
        <v>27</v>
      </c>
      <c r="D1118" s="55">
        <v>27</v>
      </c>
      <c r="E1118" s="55">
        <v>1</v>
      </c>
      <c r="F1118" s="55">
        <v>42</v>
      </c>
      <c r="G1118" s="55">
        <v>42</v>
      </c>
      <c r="H1118" s="55">
        <v>42</v>
      </c>
      <c r="I1118" s="55">
        <v>1.56</v>
      </c>
      <c r="J1118" s="55">
        <v>1.56</v>
      </c>
      <c r="K1118" s="55">
        <v>1.56</v>
      </c>
      <c r="L1118" s="55">
        <v>21</v>
      </c>
      <c r="M1118" s="54" t="str">
        <f t="shared" si="88"/>
        <v>0-6 Months</v>
      </c>
      <c r="N1118" s="54" t="str">
        <f t="shared" si="89"/>
        <v>12-18 Months</v>
      </c>
      <c r="O1118" s="54" t="s">
        <v>7</v>
      </c>
      <c r="P1118" s="54">
        <f t="shared" si="85"/>
        <v>27</v>
      </c>
      <c r="Q1118">
        <f t="shared" si="86"/>
        <v>0</v>
      </c>
      <c r="R1118">
        <f t="shared" si="87"/>
        <v>27</v>
      </c>
    </row>
    <row r="1119" spans="1:18" x14ac:dyDescent="0.2">
      <c r="A1119" s="54">
        <v>459920</v>
      </c>
      <c r="B1119" s="54" t="s">
        <v>1058</v>
      </c>
      <c r="C1119" s="55">
        <v>27</v>
      </c>
      <c r="D1119" s="55">
        <v>37</v>
      </c>
      <c r="E1119" s="55">
        <v>1</v>
      </c>
      <c r="F1119" s="55">
        <v>0</v>
      </c>
      <c r="G1119" s="55">
        <v>0</v>
      </c>
      <c r="H1119" s="55">
        <v>0</v>
      </c>
      <c r="I1119" s="55">
        <v>0</v>
      </c>
      <c r="J1119" s="55">
        <v>0</v>
      </c>
      <c r="K1119" s="55">
        <v>0</v>
      </c>
      <c r="L1119" s="55">
        <v>0</v>
      </c>
      <c r="M1119" s="54" t="str">
        <f t="shared" si="88"/>
        <v>0-6 Months</v>
      </c>
      <c r="N1119" s="54" t="str">
        <f t="shared" si="89"/>
        <v>12-18 Months</v>
      </c>
      <c r="O1119" s="54" t="s">
        <v>7</v>
      </c>
      <c r="P1119" s="54">
        <f t="shared" si="85"/>
        <v>0</v>
      </c>
      <c r="Q1119">
        <f t="shared" si="86"/>
        <v>0</v>
      </c>
      <c r="R1119">
        <f t="shared" si="87"/>
        <v>0</v>
      </c>
    </row>
    <row r="1120" spans="1:18" x14ac:dyDescent="0.2">
      <c r="A1120" s="54">
        <v>460848</v>
      </c>
      <c r="B1120" s="54" t="s">
        <v>1065</v>
      </c>
      <c r="C1120" s="55">
        <v>28</v>
      </c>
      <c r="D1120" s="55">
        <v>28</v>
      </c>
      <c r="E1120" s="55">
        <v>1</v>
      </c>
      <c r="F1120" s="55">
        <v>53</v>
      </c>
      <c r="G1120" s="55">
        <v>53</v>
      </c>
      <c r="H1120" s="55">
        <v>53</v>
      </c>
      <c r="I1120" s="55">
        <v>1.89</v>
      </c>
      <c r="J1120" s="55">
        <v>1.89</v>
      </c>
      <c r="K1120" s="55">
        <v>1.89</v>
      </c>
      <c r="L1120" s="55">
        <v>45</v>
      </c>
      <c r="M1120" s="54" t="str">
        <f t="shared" si="88"/>
        <v>0-6 Months</v>
      </c>
      <c r="N1120" s="54" t="str">
        <f t="shared" si="89"/>
        <v>12-18 Months</v>
      </c>
      <c r="O1120" s="54" t="s">
        <v>7</v>
      </c>
      <c r="P1120" s="54">
        <f t="shared" si="85"/>
        <v>28</v>
      </c>
      <c r="Q1120">
        <f t="shared" si="86"/>
        <v>0</v>
      </c>
      <c r="R1120">
        <f t="shared" si="87"/>
        <v>28</v>
      </c>
    </row>
    <row r="1121" spans="1:18" x14ac:dyDescent="0.2">
      <c r="A1121" s="54">
        <v>106964</v>
      </c>
      <c r="B1121" s="54" t="s">
        <v>1075</v>
      </c>
      <c r="C1121" s="55">
        <v>30</v>
      </c>
      <c r="D1121" s="55">
        <v>30</v>
      </c>
      <c r="E1121" s="55">
        <v>1</v>
      </c>
      <c r="F1121" s="55">
        <v>0</v>
      </c>
      <c r="G1121" s="55">
        <v>0</v>
      </c>
      <c r="H1121" s="55">
        <v>0</v>
      </c>
      <c r="I1121" s="55">
        <v>0</v>
      </c>
      <c r="J1121" s="55">
        <v>0</v>
      </c>
      <c r="K1121" s="55">
        <v>0</v>
      </c>
      <c r="L1121" s="55">
        <v>0</v>
      </c>
      <c r="M1121" s="54" t="str">
        <f t="shared" si="88"/>
        <v>0-6 Months</v>
      </c>
      <c r="N1121" s="54" t="str">
        <f t="shared" si="89"/>
        <v>12-18 Months</v>
      </c>
      <c r="O1121" s="54" t="s">
        <v>7</v>
      </c>
      <c r="P1121" s="54">
        <f t="shared" si="85"/>
        <v>0</v>
      </c>
      <c r="Q1121">
        <f t="shared" si="86"/>
        <v>0</v>
      </c>
      <c r="R1121">
        <f t="shared" si="87"/>
        <v>0</v>
      </c>
    </row>
    <row r="1122" spans="1:18" x14ac:dyDescent="0.2">
      <c r="A1122" s="54">
        <v>110634</v>
      </c>
      <c r="B1122" s="54" t="s">
        <v>1077</v>
      </c>
      <c r="C1122" s="55">
        <v>30</v>
      </c>
      <c r="D1122" s="55">
        <v>106</v>
      </c>
      <c r="E1122" s="55">
        <v>1</v>
      </c>
      <c r="F1122" s="55">
        <v>4</v>
      </c>
      <c r="G1122" s="55">
        <v>4</v>
      </c>
      <c r="H1122" s="55">
        <v>4</v>
      </c>
      <c r="I1122" s="55">
        <v>0.04</v>
      </c>
      <c r="J1122" s="55">
        <v>0.04</v>
      </c>
      <c r="K1122" s="55">
        <v>0.04</v>
      </c>
      <c r="L1122" s="55">
        <v>0</v>
      </c>
      <c r="M1122" s="54" t="str">
        <f t="shared" si="88"/>
        <v>0-6 Months</v>
      </c>
      <c r="N1122" s="54" t="str">
        <f t="shared" si="89"/>
        <v>12-18 Months</v>
      </c>
      <c r="O1122" s="54" t="s">
        <v>6</v>
      </c>
      <c r="P1122" s="54">
        <f t="shared" si="85"/>
        <v>0</v>
      </c>
      <c r="Q1122">
        <f t="shared" si="86"/>
        <v>0</v>
      </c>
      <c r="R1122">
        <f t="shared" si="87"/>
        <v>0</v>
      </c>
    </row>
    <row r="1123" spans="1:18" x14ac:dyDescent="0.2">
      <c r="A1123" s="54">
        <v>134271</v>
      </c>
      <c r="B1123" s="54" t="s">
        <v>1078</v>
      </c>
      <c r="C1123" s="55">
        <v>30</v>
      </c>
      <c r="D1123" s="55">
        <v>15</v>
      </c>
      <c r="E1123" s="55">
        <v>1</v>
      </c>
      <c r="F1123" s="55">
        <v>13</v>
      </c>
      <c r="G1123" s="55">
        <v>13</v>
      </c>
      <c r="H1123" s="55">
        <v>13</v>
      </c>
      <c r="I1123" s="55">
        <v>0.87</v>
      </c>
      <c r="J1123" s="55">
        <v>0.87</v>
      </c>
      <c r="K1123" s="55">
        <v>0.87</v>
      </c>
      <c r="L1123" s="55">
        <v>0</v>
      </c>
      <c r="M1123" s="54" t="str">
        <f t="shared" si="88"/>
        <v>0-6 Months</v>
      </c>
      <c r="N1123" s="54" t="str">
        <f t="shared" si="89"/>
        <v>12-18 Months</v>
      </c>
      <c r="O1123" s="54" t="s">
        <v>7</v>
      </c>
      <c r="P1123" s="54">
        <f t="shared" si="85"/>
        <v>30</v>
      </c>
      <c r="Q1123">
        <f t="shared" si="86"/>
        <v>0</v>
      </c>
      <c r="R1123">
        <f t="shared" si="87"/>
        <v>30</v>
      </c>
    </row>
    <row r="1124" spans="1:18" x14ac:dyDescent="0.2">
      <c r="A1124" s="54">
        <v>468613</v>
      </c>
      <c r="B1124" s="54" t="s">
        <v>1076</v>
      </c>
      <c r="C1124" s="55">
        <v>30</v>
      </c>
      <c r="D1124" s="55">
        <v>30</v>
      </c>
      <c r="E1124" s="55">
        <v>1</v>
      </c>
      <c r="F1124" s="55">
        <v>0</v>
      </c>
      <c r="G1124" s="55">
        <v>0</v>
      </c>
      <c r="H1124" s="55">
        <v>0</v>
      </c>
      <c r="I1124" s="55">
        <v>0</v>
      </c>
      <c r="J1124" s="55">
        <v>0</v>
      </c>
      <c r="K1124" s="55">
        <v>0</v>
      </c>
      <c r="L1124" s="55">
        <v>0</v>
      </c>
      <c r="M1124" s="54" t="str">
        <f t="shared" si="88"/>
        <v>0-6 Months</v>
      </c>
      <c r="N1124" s="54" t="str">
        <f t="shared" si="89"/>
        <v>12-18 Months</v>
      </c>
      <c r="O1124" s="54" t="s">
        <v>7</v>
      </c>
      <c r="P1124" s="54">
        <f t="shared" si="85"/>
        <v>0</v>
      </c>
      <c r="Q1124">
        <f t="shared" si="86"/>
        <v>0</v>
      </c>
      <c r="R1124">
        <f t="shared" si="87"/>
        <v>0</v>
      </c>
    </row>
    <row r="1125" spans="1:18" x14ac:dyDescent="0.2">
      <c r="A1125" s="54">
        <v>117129</v>
      </c>
      <c r="B1125" s="54" t="s">
        <v>1086</v>
      </c>
      <c r="C1125" s="55">
        <v>31</v>
      </c>
      <c r="D1125" s="55">
        <v>31</v>
      </c>
      <c r="E1125" s="55">
        <v>1</v>
      </c>
      <c r="F1125" s="55">
        <v>100</v>
      </c>
      <c r="G1125" s="55">
        <v>100</v>
      </c>
      <c r="H1125" s="55">
        <v>100</v>
      </c>
      <c r="I1125" s="55">
        <v>3.23</v>
      </c>
      <c r="J1125" s="55">
        <v>3.23</v>
      </c>
      <c r="K1125" s="55">
        <v>3.23</v>
      </c>
      <c r="L1125" s="55">
        <v>0</v>
      </c>
      <c r="M1125" s="54" t="str">
        <f t="shared" si="88"/>
        <v>0-6 Months</v>
      </c>
      <c r="N1125" s="54" t="str">
        <f t="shared" si="89"/>
        <v>12-18 Months</v>
      </c>
      <c r="O1125" s="54" t="s">
        <v>7</v>
      </c>
      <c r="P1125" s="54">
        <f t="shared" si="85"/>
        <v>31</v>
      </c>
      <c r="Q1125">
        <f t="shared" si="86"/>
        <v>31</v>
      </c>
      <c r="R1125">
        <f t="shared" si="87"/>
        <v>31</v>
      </c>
    </row>
    <row r="1126" spans="1:18" x14ac:dyDescent="0.2">
      <c r="A1126" s="54">
        <v>461052</v>
      </c>
      <c r="B1126" s="54" t="s">
        <v>1087</v>
      </c>
      <c r="C1126" s="55">
        <v>31</v>
      </c>
      <c r="D1126" s="55">
        <v>35</v>
      </c>
      <c r="E1126" s="55">
        <v>1</v>
      </c>
      <c r="F1126" s="55">
        <v>0</v>
      </c>
      <c r="G1126" s="55">
        <v>0</v>
      </c>
      <c r="H1126" s="55">
        <v>0</v>
      </c>
      <c r="I1126" s="55">
        <v>0</v>
      </c>
      <c r="J1126" s="55">
        <v>0</v>
      </c>
      <c r="K1126" s="55">
        <v>0</v>
      </c>
      <c r="L1126" s="55">
        <v>0</v>
      </c>
      <c r="M1126" s="54" t="str">
        <f t="shared" si="88"/>
        <v>0-6 Months</v>
      </c>
      <c r="N1126" s="54" t="str">
        <f t="shared" si="89"/>
        <v>12-18 Months</v>
      </c>
      <c r="O1126" s="54" t="s">
        <v>7</v>
      </c>
      <c r="P1126" s="54">
        <f t="shared" si="85"/>
        <v>0</v>
      </c>
      <c r="Q1126">
        <f t="shared" si="86"/>
        <v>0</v>
      </c>
      <c r="R1126">
        <f t="shared" si="87"/>
        <v>0</v>
      </c>
    </row>
    <row r="1127" spans="1:18" x14ac:dyDescent="0.2">
      <c r="A1127" s="54">
        <v>164827</v>
      </c>
      <c r="B1127" s="54" t="s">
        <v>1097</v>
      </c>
      <c r="C1127" s="55">
        <v>33</v>
      </c>
      <c r="D1127" s="55">
        <v>30</v>
      </c>
      <c r="E1127" s="55">
        <v>1</v>
      </c>
      <c r="F1127" s="55">
        <v>17</v>
      </c>
      <c r="G1127" s="55">
        <v>17</v>
      </c>
      <c r="H1127" s="55">
        <v>17</v>
      </c>
      <c r="I1127" s="55">
        <v>0.56999999999999995</v>
      </c>
      <c r="J1127" s="55">
        <v>0.56999999999999995</v>
      </c>
      <c r="K1127" s="55">
        <v>0.56999999999999995</v>
      </c>
      <c r="L1127" s="55">
        <v>0</v>
      </c>
      <c r="M1127" s="54" t="str">
        <f t="shared" si="88"/>
        <v>0-6 Months</v>
      </c>
      <c r="N1127" s="54" t="str">
        <f t="shared" si="89"/>
        <v>12-18 Months</v>
      </c>
      <c r="O1127" s="54" t="s">
        <v>7</v>
      </c>
      <c r="P1127" s="54">
        <f t="shared" si="85"/>
        <v>0</v>
      </c>
      <c r="Q1127">
        <f t="shared" si="86"/>
        <v>0</v>
      </c>
      <c r="R1127">
        <f t="shared" si="87"/>
        <v>0</v>
      </c>
    </row>
    <row r="1128" spans="1:18" x14ac:dyDescent="0.2">
      <c r="A1128" s="54">
        <v>447257</v>
      </c>
      <c r="B1128" s="54" t="s">
        <v>1106</v>
      </c>
      <c r="C1128" s="55">
        <v>35</v>
      </c>
      <c r="D1128" s="55">
        <v>38</v>
      </c>
      <c r="E1128" s="55">
        <v>1</v>
      </c>
      <c r="F1128" s="55">
        <v>18</v>
      </c>
      <c r="G1128" s="55">
        <v>18</v>
      </c>
      <c r="H1128" s="55">
        <v>18</v>
      </c>
      <c r="I1128" s="55">
        <v>0.47</v>
      </c>
      <c r="J1128" s="55">
        <v>0.47</v>
      </c>
      <c r="K1128" s="55">
        <v>0.47</v>
      </c>
      <c r="L1128" s="55">
        <v>0</v>
      </c>
      <c r="M1128" s="54" t="str">
        <f t="shared" si="88"/>
        <v>0-6 Months</v>
      </c>
      <c r="N1128" s="54" t="str">
        <f t="shared" si="89"/>
        <v>12-18 Months</v>
      </c>
      <c r="O1128" s="54" t="s">
        <v>7</v>
      </c>
      <c r="P1128" s="54">
        <f t="shared" si="85"/>
        <v>0</v>
      </c>
      <c r="Q1128">
        <f t="shared" si="86"/>
        <v>0</v>
      </c>
      <c r="R1128">
        <f t="shared" si="87"/>
        <v>0</v>
      </c>
    </row>
    <row r="1129" spans="1:18" x14ac:dyDescent="0.2">
      <c r="A1129" s="54">
        <v>455491</v>
      </c>
      <c r="B1129" s="54" t="s">
        <v>1113</v>
      </c>
      <c r="C1129" s="55">
        <v>36</v>
      </c>
      <c r="D1129" s="55">
        <v>36</v>
      </c>
      <c r="E1129" s="55">
        <v>1</v>
      </c>
      <c r="F1129" s="55">
        <v>0</v>
      </c>
      <c r="G1129" s="55">
        <v>0</v>
      </c>
      <c r="H1129" s="55">
        <v>0</v>
      </c>
      <c r="I1129" s="55">
        <v>0</v>
      </c>
      <c r="J1129" s="55">
        <v>0</v>
      </c>
      <c r="K1129" s="55">
        <v>0</v>
      </c>
      <c r="L1129" s="55">
        <v>0</v>
      </c>
      <c r="M1129" s="54" t="str">
        <f t="shared" si="88"/>
        <v>0-6 Months</v>
      </c>
      <c r="N1129" s="54" t="str">
        <f t="shared" si="89"/>
        <v>12-18 Months</v>
      </c>
      <c r="O1129" s="54" t="s">
        <v>7</v>
      </c>
      <c r="P1129" s="54">
        <f t="shared" si="85"/>
        <v>0</v>
      </c>
      <c r="Q1129">
        <f t="shared" si="86"/>
        <v>0</v>
      </c>
      <c r="R1129">
        <f t="shared" si="87"/>
        <v>0</v>
      </c>
    </row>
    <row r="1130" spans="1:18" x14ac:dyDescent="0.2">
      <c r="A1130" s="54">
        <v>106409</v>
      </c>
      <c r="B1130" s="54" t="s">
        <v>1117</v>
      </c>
      <c r="C1130" s="55">
        <v>37</v>
      </c>
      <c r="D1130" s="55">
        <v>37</v>
      </c>
      <c r="E1130" s="55">
        <v>1</v>
      </c>
      <c r="F1130" s="55">
        <v>19</v>
      </c>
      <c r="G1130" s="55">
        <v>19</v>
      </c>
      <c r="H1130" s="55">
        <v>19</v>
      </c>
      <c r="I1130" s="55">
        <v>0.51</v>
      </c>
      <c r="J1130" s="55">
        <v>0.51</v>
      </c>
      <c r="K1130" s="55">
        <v>0.51</v>
      </c>
      <c r="L1130" s="55">
        <v>0</v>
      </c>
      <c r="M1130" s="54" t="str">
        <f t="shared" si="88"/>
        <v>0-6 Months</v>
      </c>
      <c r="N1130" s="54" t="str">
        <f t="shared" si="89"/>
        <v>12-18 Months</v>
      </c>
      <c r="O1130" s="54" t="s">
        <v>7</v>
      </c>
      <c r="P1130" s="54">
        <f t="shared" si="85"/>
        <v>0</v>
      </c>
      <c r="Q1130">
        <f t="shared" si="86"/>
        <v>0</v>
      </c>
      <c r="R1130">
        <f t="shared" si="87"/>
        <v>0</v>
      </c>
    </row>
    <row r="1131" spans="1:18" x14ac:dyDescent="0.2">
      <c r="A1131" s="54">
        <v>194782</v>
      </c>
      <c r="B1131" s="54" t="s">
        <v>1119</v>
      </c>
      <c r="C1131" s="55">
        <v>38</v>
      </c>
      <c r="D1131" s="55">
        <v>38</v>
      </c>
      <c r="E1131" s="55">
        <v>1</v>
      </c>
      <c r="F1131" s="55">
        <v>0</v>
      </c>
      <c r="G1131" s="55">
        <v>0</v>
      </c>
      <c r="H1131" s="55">
        <v>0</v>
      </c>
      <c r="I1131" s="55">
        <v>0</v>
      </c>
      <c r="J1131" s="55">
        <v>0</v>
      </c>
      <c r="K1131" s="55">
        <v>0</v>
      </c>
      <c r="L1131" s="55">
        <v>0</v>
      </c>
      <c r="M1131" s="54" t="str">
        <f t="shared" si="88"/>
        <v>0-6 Months</v>
      </c>
      <c r="N1131" s="54" t="str">
        <f t="shared" si="89"/>
        <v>12-18 Months</v>
      </c>
      <c r="O1131" s="54" t="s">
        <v>7</v>
      </c>
      <c r="P1131" s="54">
        <f t="shared" si="85"/>
        <v>0</v>
      </c>
      <c r="Q1131">
        <f t="shared" si="86"/>
        <v>0</v>
      </c>
      <c r="R1131">
        <f t="shared" si="87"/>
        <v>0</v>
      </c>
    </row>
    <row r="1132" spans="1:18" x14ac:dyDescent="0.2">
      <c r="A1132" s="54">
        <v>305674</v>
      </c>
      <c r="B1132" s="54" t="s">
        <v>1122</v>
      </c>
      <c r="C1132" s="55">
        <v>39</v>
      </c>
      <c r="D1132" s="55">
        <v>41</v>
      </c>
      <c r="E1132" s="55">
        <v>1</v>
      </c>
      <c r="F1132" s="55">
        <v>0</v>
      </c>
      <c r="G1132" s="55">
        <v>0</v>
      </c>
      <c r="H1132" s="55">
        <v>0</v>
      </c>
      <c r="I1132" s="55">
        <v>0</v>
      </c>
      <c r="J1132" s="55">
        <v>0</v>
      </c>
      <c r="K1132" s="55">
        <v>0</v>
      </c>
      <c r="L1132" s="55">
        <v>0</v>
      </c>
      <c r="M1132" s="54" t="str">
        <f t="shared" si="88"/>
        <v>0-6 Months</v>
      </c>
      <c r="N1132" s="54" t="str">
        <f t="shared" si="89"/>
        <v>12-18 Months</v>
      </c>
      <c r="O1132" s="54" t="s">
        <v>7</v>
      </c>
      <c r="P1132" s="54">
        <f t="shared" si="85"/>
        <v>0</v>
      </c>
      <c r="Q1132">
        <f t="shared" si="86"/>
        <v>0</v>
      </c>
      <c r="R1132">
        <f t="shared" si="87"/>
        <v>0</v>
      </c>
    </row>
    <row r="1133" spans="1:18" x14ac:dyDescent="0.2">
      <c r="A1133" s="54">
        <v>108381</v>
      </c>
      <c r="B1133" s="54" t="s">
        <v>1126</v>
      </c>
      <c r="C1133" s="55">
        <v>40</v>
      </c>
      <c r="D1133" s="55">
        <v>40</v>
      </c>
      <c r="E1133" s="55">
        <v>1</v>
      </c>
      <c r="F1133" s="55">
        <v>0</v>
      </c>
      <c r="G1133" s="55">
        <v>0</v>
      </c>
      <c r="H1133" s="55">
        <v>0</v>
      </c>
      <c r="I1133" s="55">
        <v>0</v>
      </c>
      <c r="J1133" s="55">
        <v>0</v>
      </c>
      <c r="K1133" s="55">
        <v>0</v>
      </c>
      <c r="L1133" s="55">
        <v>0</v>
      </c>
      <c r="M1133" s="54" t="str">
        <f t="shared" si="88"/>
        <v>0-6 Months</v>
      </c>
      <c r="N1133" s="54" t="str">
        <f t="shared" si="89"/>
        <v>12-18 Months</v>
      </c>
      <c r="O1133" s="54" t="s">
        <v>7</v>
      </c>
      <c r="P1133" s="54">
        <f t="shared" si="85"/>
        <v>0</v>
      </c>
      <c r="Q1133">
        <f t="shared" si="86"/>
        <v>0</v>
      </c>
      <c r="R1133">
        <f t="shared" si="87"/>
        <v>0</v>
      </c>
    </row>
    <row r="1134" spans="1:18" x14ac:dyDescent="0.2">
      <c r="A1134" s="54">
        <v>466395</v>
      </c>
      <c r="B1134" s="54" t="s">
        <v>1136</v>
      </c>
      <c r="C1134" s="55">
        <v>45</v>
      </c>
      <c r="D1134" s="55">
        <v>45</v>
      </c>
      <c r="E1134" s="55">
        <v>1</v>
      </c>
      <c r="F1134" s="55">
        <v>1</v>
      </c>
      <c r="G1134" s="55">
        <v>1</v>
      </c>
      <c r="H1134" s="55">
        <v>1</v>
      </c>
      <c r="I1134" s="55">
        <v>0.02</v>
      </c>
      <c r="J1134" s="55">
        <v>0.02</v>
      </c>
      <c r="K1134" s="55">
        <v>0.02</v>
      </c>
      <c r="L1134" s="55">
        <v>0</v>
      </c>
      <c r="M1134" s="54" t="str">
        <f t="shared" si="88"/>
        <v>0-6 Months</v>
      </c>
      <c r="N1134" s="54" t="str">
        <f t="shared" si="89"/>
        <v>12-18 Months</v>
      </c>
      <c r="O1134" s="54" t="s">
        <v>7</v>
      </c>
      <c r="P1134" s="54">
        <f t="shared" si="85"/>
        <v>0</v>
      </c>
      <c r="Q1134">
        <f t="shared" si="86"/>
        <v>0</v>
      </c>
      <c r="R1134">
        <f t="shared" si="87"/>
        <v>0</v>
      </c>
    </row>
    <row r="1135" spans="1:18" x14ac:dyDescent="0.2">
      <c r="A1135" s="54">
        <v>158401</v>
      </c>
      <c r="B1135" s="54" t="s">
        <v>1139</v>
      </c>
      <c r="C1135" s="55">
        <v>47</v>
      </c>
      <c r="D1135" s="55">
        <v>47</v>
      </c>
      <c r="E1135" s="55">
        <v>1</v>
      </c>
      <c r="F1135" s="55">
        <v>155</v>
      </c>
      <c r="G1135" s="55">
        <v>155</v>
      </c>
      <c r="H1135" s="55">
        <v>155</v>
      </c>
      <c r="I1135" s="55">
        <v>3.3</v>
      </c>
      <c r="J1135" s="55">
        <v>3.3</v>
      </c>
      <c r="K1135" s="55">
        <v>3.3</v>
      </c>
      <c r="L1135" s="55">
        <v>0</v>
      </c>
      <c r="M1135" s="54" t="str">
        <f t="shared" si="88"/>
        <v>0-6 Months</v>
      </c>
      <c r="N1135" s="54" t="str">
        <f t="shared" si="89"/>
        <v>12-18 Months</v>
      </c>
      <c r="O1135" s="54" t="s">
        <v>7</v>
      </c>
      <c r="P1135" s="54">
        <f t="shared" si="85"/>
        <v>47</v>
      </c>
      <c r="Q1135">
        <f t="shared" si="86"/>
        <v>47</v>
      </c>
      <c r="R1135">
        <f t="shared" si="87"/>
        <v>47</v>
      </c>
    </row>
    <row r="1136" spans="1:18" x14ac:dyDescent="0.2">
      <c r="A1136" s="54">
        <v>110631</v>
      </c>
      <c r="B1136" s="54" t="s">
        <v>1148</v>
      </c>
      <c r="C1136" s="55">
        <v>52</v>
      </c>
      <c r="D1136" s="55">
        <v>30</v>
      </c>
      <c r="E1136" s="55">
        <v>1</v>
      </c>
      <c r="F1136" s="55">
        <v>0</v>
      </c>
      <c r="G1136" s="55">
        <v>0</v>
      </c>
      <c r="H1136" s="55">
        <v>0</v>
      </c>
      <c r="I1136" s="55">
        <v>0</v>
      </c>
      <c r="J1136" s="55">
        <v>0</v>
      </c>
      <c r="K1136" s="55">
        <v>0</v>
      </c>
      <c r="L1136" s="55">
        <v>0</v>
      </c>
      <c r="M1136" s="54" t="str">
        <f t="shared" si="88"/>
        <v>0-6 Months</v>
      </c>
      <c r="N1136" s="54" t="str">
        <f t="shared" si="89"/>
        <v>12-18 Months</v>
      </c>
      <c r="O1136" s="54" t="s">
        <v>7</v>
      </c>
      <c r="P1136" s="54">
        <f t="shared" si="85"/>
        <v>0</v>
      </c>
      <c r="Q1136">
        <f t="shared" si="86"/>
        <v>0</v>
      </c>
      <c r="R1136">
        <f t="shared" si="87"/>
        <v>0</v>
      </c>
    </row>
    <row r="1137" spans="1:18" x14ac:dyDescent="0.2">
      <c r="A1137" s="54">
        <v>109930</v>
      </c>
      <c r="B1137" s="54" t="s">
        <v>1157</v>
      </c>
      <c r="C1137" s="55">
        <v>55</v>
      </c>
      <c r="D1137" s="55">
        <v>70</v>
      </c>
      <c r="E1137" s="55">
        <v>1</v>
      </c>
      <c r="F1137" s="55">
        <v>46</v>
      </c>
      <c r="G1137" s="55">
        <v>46</v>
      </c>
      <c r="H1137" s="55">
        <v>46</v>
      </c>
      <c r="I1137" s="55">
        <v>0.66</v>
      </c>
      <c r="J1137" s="55">
        <v>0.66</v>
      </c>
      <c r="K1137" s="55">
        <v>0.66</v>
      </c>
      <c r="L1137" s="55">
        <v>65</v>
      </c>
      <c r="M1137" s="54" t="str">
        <f t="shared" si="88"/>
        <v>0-6 Months</v>
      </c>
      <c r="N1137" s="54" t="str">
        <f t="shared" si="89"/>
        <v>12-18 Months</v>
      </c>
      <c r="O1137" s="54" t="s">
        <v>7</v>
      </c>
      <c r="P1137" s="54">
        <f t="shared" si="85"/>
        <v>0</v>
      </c>
      <c r="Q1137">
        <f t="shared" si="86"/>
        <v>0</v>
      </c>
      <c r="R1137">
        <f t="shared" si="87"/>
        <v>0</v>
      </c>
    </row>
    <row r="1138" spans="1:18" x14ac:dyDescent="0.2">
      <c r="A1138" s="54">
        <v>109037</v>
      </c>
      <c r="B1138" s="54" t="s">
        <v>1163</v>
      </c>
      <c r="C1138" s="55">
        <v>56</v>
      </c>
      <c r="D1138" s="55">
        <v>115</v>
      </c>
      <c r="E1138" s="55">
        <v>1</v>
      </c>
      <c r="F1138" s="55">
        <v>0</v>
      </c>
      <c r="G1138" s="55">
        <v>0</v>
      </c>
      <c r="H1138" s="55">
        <v>0</v>
      </c>
      <c r="I1138" s="55">
        <v>0</v>
      </c>
      <c r="J1138" s="55">
        <v>0</v>
      </c>
      <c r="K1138" s="55">
        <v>0</v>
      </c>
      <c r="L1138" s="55">
        <v>0</v>
      </c>
      <c r="M1138" s="54" t="str">
        <f t="shared" si="88"/>
        <v>0-6 Months</v>
      </c>
      <c r="N1138" s="54" t="str">
        <f t="shared" si="89"/>
        <v>12-18 Months</v>
      </c>
      <c r="O1138" s="54" t="s">
        <v>6</v>
      </c>
      <c r="P1138" s="54">
        <f t="shared" si="85"/>
        <v>0</v>
      </c>
      <c r="Q1138">
        <f t="shared" si="86"/>
        <v>0</v>
      </c>
      <c r="R1138">
        <f t="shared" si="87"/>
        <v>0</v>
      </c>
    </row>
    <row r="1139" spans="1:18" x14ac:dyDescent="0.2">
      <c r="A1139" s="54">
        <v>108696</v>
      </c>
      <c r="B1139" s="54" t="s">
        <v>1173</v>
      </c>
      <c r="C1139" s="55">
        <v>65</v>
      </c>
      <c r="D1139" s="55">
        <v>48</v>
      </c>
      <c r="E1139" s="55">
        <v>1</v>
      </c>
      <c r="F1139" s="55">
        <v>0</v>
      </c>
      <c r="G1139" s="55">
        <v>0</v>
      </c>
      <c r="H1139" s="55">
        <v>0</v>
      </c>
      <c r="I1139" s="55">
        <v>0</v>
      </c>
      <c r="J1139" s="55">
        <v>0</v>
      </c>
      <c r="K1139" s="55">
        <v>0</v>
      </c>
      <c r="L1139" s="55">
        <v>0</v>
      </c>
      <c r="M1139" s="54" t="str">
        <f t="shared" si="88"/>
        <v>0-6 Months</v>
      </c>
      <c r="N1139" s="54" t="str">
        <f t="shared" si="89"/>
        <v>12-18 Months</v>
      </c>
      <c r="O1139" s="54" t="s">
        <v>7</v>
      </c>
      <c r="P1139" s="54">
        <f t="shared" si="85"/>
        <v>0</v>
      </c>
      <c r="Q1139">
        <f t="shared" si="86"/>
        <v>0</v>
      </c>
      <c r="R1139">
        <f t="shared" si="87"/>
        <v>0</v>
      </c>
    </row>
    <row r="1140" spans="1:18" x14ac:dyDescent="0.2">
      <c r="A1140" s="54">
        <v>121316</v>
      </c>
      <c r="B1140" s="54" t="s">
        <v>1175</v>
      </c>
      <c r="C1140" s="55">
        <v>70</v>
      </c>
      <c r="D1140" s="55">
        <v>76</v>
      </c>
      <c r="E1140" s="55">
        <v>1</v>
      </c>
      <c r="F1140" s="55">
        <v>2</v>
      </c>
      <c r="G1140" s="55">
        <v>2</v>
      </c>
      <c r="H1140" s="55">
        <v>2</v>
      </c>
      <c r="I1140" s="55">
        <v>0.03</v>
      </c>
      <c r="J1140" s="55">
        <v>0.03</v>
      </c>
      <c r="K1140" s="55">
        <v>0.03</v>
      </c>
      <c r="L1140" s="55">
        <v>0</v>
      </c>
      <c r="M1140" s="54" t="str">
        <f t="shared" si="88"/>
        <v>0-6 Months</v>
      </c>
      <c r="N1140" s="54" t="str">
        <f t="shared" si="89"/>
        <v>12-18 Months</v>
      </c>
      <c r="O1140" s="54" t="s">
        <v>7</v>
      </c>
      <c r="P1140" s="54">
        <f t="shared" si="85"/>
        <v>0</v>
      </c>
      <c r="Q1140">
        <f t="shared" si="86"/>
        <v>0</v>
      </c>
      <c r="R1140">
        <f t="shared" si="87"/>
        <v>0</v>
      </c>
    </row>
    <row r="1141" spans="1:18" x14ac:dyDescent="0.2">
      <c r="A1141" s="54">
        <v>328301</v>
      </c>
      <c r="B1141" s="54" t="s">
        <v>1182</v>
      </c>
      <c r="C1141" s="55">
        <v>72</v>
      </c>
      <c r="D1141" s="55">
        <v>72</v>
      </c>
      <c r="E1141" s="55">
        <v>1</v>
      </c>
      <c r="F1141" s="55">
        <v>0</v>
      </c>
      <c r="G1141" s="55">
        <v>0</v>
      </c>
      <c r="H1141" s="55">
        <v>0</v>
      </c>
      <c r="I1141" s="55">
        <v>0</v>
      </c>
      <c r="J1141" s="55">
        <v>0</v>
      </c>
      <c r="K1141" s="55">
        <v>0</v>
      </c>
      <c r="L1141" s="55">
        <v>0</v>
      </c>
      <c r="M1141" s="54" t="str">
        <f t="shared" si="88"/>
        <v>0-6 Months</v>
      </c>
      <c r="N1141" s="54" t="str">
        <f t="shared" si="89"/>
        <v>12-18 Months</v>
      </c>
      <c r="O1141" s="54" t="s">
        <v>7</v>
      </c>
      <c r="P1141" s="54">
        <f t="shared" si="85"/>
        <v>0</v>
      </c>
      <c r="Q1141">
        <f t="shared" si="86"/>
        <v>0</v>
      </c>
      <c r="R1141">
        <f t="shared" si="87"/>
        <v>0</v>
      </c>
    </row>
    <row r="1142" spans="1:18" x14ac:dyDescent="0.2">
      <c r="A1142" s="54">
        <v>106879</v>
      </c>
      <c r="B1142" s="54" t="s">
        <v>1185</v>
      </c>
      <c r="C1142" s="55">
        <v>73</v>
      </c>
      <c r="D1142" s="55">
        <v>76</v>
      </c>
      <c r="E1142" s="55">
        <v>1</v>
      </c>
      <c r="F1142" s="55">
        <v>36</v>
      </c>
      <c r="G1142" s="55">
        <v>36</v>
      </c>
      <c r="H1142" s="55">
        <v>36</v>
      </c>
      <c r="I1142" s="55">
        <v>0.47</v>
      </c>
      <c r="J1142" s="55">
        <v>0.47</v>
      </c>
      <c r="K1142" s="55">
        <v>0.47</v>
      </c>
      <c r="L1142" s="55">
        <v>127</v>
      </c>
      <c r="M1142" s="54" t="str">
        <f t="shared" si="88"/>
        <v>0-6 Months</v>
      </c>
      <c r="N1142" s="54" t="str">
        <f t="shared" si="89"/>
        <v>12-18 Months</v>
      </c>
      <c r="O1142" s="54" t="s">
        <v>7</v>
      </c>
      <c r="P1142" s="54">
        <f t="shared" si="85"/>
        <v>0</v>
      </c>
      <c r="Q1142">
        <f t="shared" si="86"/>
        <v>0</v>
      </c>
      <c r="R1142">
        <f t="shared" si="87"/>
        <v>0</v>
      </c>
    </row>
    <row r="1143" spans="1:18" x14ac:dyDescent="0.2">
      <c r="A1143" s="54">
        <v>139047</v>
      </c>
      <c r="B1143" s="54" t="s">
        <v>1189</v>
      </c>
      <c r="C1143" s="55">
        <v>75</v>
      </c>
      <c r="D1143" s="55">
        <v>68</v>
      </c>
      <c r="E1143" s="55">
        <v>1</v>
      </c>
      <c r="F1143" s="55">
        <v>165</v>
      </c>
      <c r="G1143" s="55">
        <v>47</v>
      </c>
      <c r="H1143" s="55">
        <v>47</v>
      </c>
      <c r="I1143" s="55">
        <v>2.4300000000000002</v>
      </c>
      <c r="J1143" s="55">
        <v>0.69</v>
      </c>
      <c r="K1143" s="55">
        <v>0.69</v>
      </c>
      <c r="L1143" s="55">
        <v>0</v>
      </c>
      <c r="M1143" s="54" t="str">
        <f t="shared" si="88"/>
        <v>0-6 Months</v>
      </c>
      <c r="N1143" s="54" t="str">
        <f t="shared" si="89"/>
        <v>12-18 Months</v>
      </c>
      <c r="O1143" s="54" t="s">
        <v>7</v>
      </c>
      <c r="P1143" s="54">
        <f t="shared" si="85"/>
        <v>75</v>
      </c>
      <c r="Q1143">
        <f t="shared" si="86"/>
        <v>75</v>
      </c>
      <c r="R1143">
        <f t="shared" si="87"/>
        <v>0</v>
      </c>
    </row>
    <row r="1144" spans="1:18" x14ac:dyDescent="0.2">
      <c r="A1144" s="54">
        <v>487475</v>
      </c>
      <c r="B1144" s="54" t="s">
        <v>1188</v>
      </c>
      <c r="C1144" s="55">
        <v>75</v>
      </c>
      <c r="D1144" s="55">
        <v>75</v>
      </c>
      <c r="E1144" s="55">
        <v>1</v>
      </c>
      <c r="F1144" s="55">
        <v>0</v>
      </c>
      <c r="G1144" s="55">
        <v>0</v>
      </c>
      <c r="H1144" s="55">
        <v>0</v>
      </c>
      <c r="I1144" s="55">
        <v>0</v>
      </c>
      <c r="J1144" s="55">
        <v>0</v>
      </c>
      <c r="K1144" s="55">
        <v>0</v>
      </c>
      <c r="L1144" s="55">
        <v>0</v>
      </c>
      <c r="M1144" s="54" t="str">
        <f t="shared" si="88"/>
        <v>0-6 Months</v>
      </c>
      <c r="N1144" s="54" t="str">
        <f t="shared" si="89"/>
        <v>12-18 Months</v>
      </c>
      <c r="O1144" s="54" t="s">
        <v>7</v>
      </c>
      <c r="P1144" s="54">
        <f t="shared" si="85"/>
        <v>0</v>
      </c>
      <c r="Q1144">
        <f t="shared" si="86"/>
        <v>0</v>
      </c>
      <c r="R1144">
        <f t="shared" si="87"/>
        <v>0</v>
      </c>
    </row>
    <row r="1145" spans="1:18" x14ac:dyDescent="0.2">
      <c r="A1145" s="54">
        <v>312157</v>
      </c>
      <c r="B1145" s="54" t="s">
        <v>1192</v>
      </c>
      <c r="C1145" s="55">
        <v>80</v>
      </c>
      <c r="D1145" s="55">
        <v>80</v>
      </c>
      <c r="E1145" s="55">
        <v>1</v>
      </c>
      <c r="F1145" s="55">
        <v>0</v>
      </c>
      <c r="G1145" s="55">
        <v>0</v>
      </c>
      <c r="H1145" s="55">
        <v>0</v>
      </c>
      <c r="I1145" s="55">
        <v>0</v>
      </c>
      <c r="J1145" s="55">
        <v>0</v>
      </c>
      <c r="K1145" s="55">
        <v>0</v>
      </c>
      <c r="L1145" s="55">
        <v>0</v>
      </c>
      <c r="M1145" s="54" t="str">
        <f t="shared" si="88"/>
        <v>0-6 Months</v>
      </c>
      <c r="N1145" s="54" t="str">
        <f t="shared" si="89"/>
        <v>12-18 Months</v>
      </c>
      <c r="O1145" s="54" t="s">
        <v>7</v>
      </c>
      <c r="P1145" s="54">
        <f t="shared" si="85"/>
        <v>0</v>
      </c>
      <c r="Q1145">
        <f t="shared" si="86"/>
        <v>0</v>
      </c>
      <c r="R1145">
        <f t="shared" si="87"/>
        <v>0</v>
      </c>
    </row>
    <row r="1146" spans="1:18" x14ac:dyDescent="0.2">
      <c r="A1146" s="54">
        <v>107991</v>
      </c>
      <c r="B1146" s="54" t="s">
        <v>1215</v>
      </c>
      <c r="C1146" s="55">
        <v>101</v>
      </c>
      <c r="D1146" s="55">
        <v>100</v>
      </c>
      <c r="E1146" s="55">
        <v>1</v>
      </c>
      <c r="F1146" s="55">
        <v>0</v>
      </c>
      <c r="G1146" s="55">
        <v>0</v>
      </c>
      <c r="H1146" s="55">
        <v>0</v>
      </c>
      <c r="I1146" s="55">
        <v>0</v>
      </c>
      <c r="J1146" s="55">
        <v>0</v>
      </c>
      <c r="K1146" s="55">
        <v>0</v>
      </c>
      <c r="L1146" s="55">
        <v>0</v>
      </c>
      <c r="M1146" s="54" t="str">
        <f t="shared" si="88"/>
        <v>0-6 Months</v>
      </c>
      <c r="N1146" s="54" t="str">
        <f t="shared" si="89"/>
        <v>12-18 Months</v>
      </c>
      <c r="O1146" s="54" t="s">
        <v>6</v>
      </c>
      <c r="P1146" s="54">
        <f t="shared" si="85"/>
        <v>0</v>
      </c>
      <c r="Q1146">
        <f t="shared" si="86"/>
        <v>0</v>
      </c>
      <c r="R1146">
        <f t="shared" si="87"/>
        <v>0</v>
      </c>
    </row>
    <row r="1147" spans="1:18" x14ac:dyDescent="0.2">
      <c r="A1147" s="54">
        <v>108523</v>
      </c>
      <c r="B1147" s="54" t="s">
        <v>1218</v>
      </c>
      <c r="C1147" s="55">
        <v>105</v>
      </c>
      <c r="D1147" s="55">
        <v>85</v>
      </c>
      <c r="E1147" s="55">
        <v>1</v>
      </c>
      <c r="F1147" s="55">
        <v>1</v>
      </c>
      <c r="G1147" s="55">
        <v>1</v>
      </c>
      <c r="H1147" s="55">
        <v>1</v>
      </c>
      <c r="I1147" s="55">
        <v>0.01</v>
      </c>
      <c r="J1147" s="55">
        <v>0.01</v>
      </c>
      <c r="K1147" s="55">
        <v>0.01</v>
      </c>
      <c r="L1147" s="55">
        <v>0</v>
      </c>
      <c r="M1147" s="54" t="str">
        <f t="shared" si="88"/>
        <v>0-6 Months</v>
      </c>
      <c r="N1147" s="54" t="str">
        <f t="shared" si="89"/>
        <v>12-18 Months</v>
      </c>
      <c r="O1147" s="54" t="s">
        <v>7</v>
      </c>
      <c r="P1147" s="54">
        <f t="shared" si="85"/>
        <v>0</v>
      </c>
      <c r="Q1147">
        <f t="shared" si="86"/>
        <v>0</v>
      </c>
      <c r="R1147">
        <f t="shared" si="87"/>
        <v>0</v>
      </c>
    </row>
    <row r="1148" spans="1:18" x14ac:dyDescent="0.2">
      <c r="A1148" s="54">
        <v>115272</v>
      </c>
      <c r="B1148" s="54" t="s">
        <v>1222</v>
      </c>
      <c r="C1148" s="55">
        <v>109</v>
      </c>
      <c r="D1148" s="55">
        <v>102</v>
      </c>
      <c r="E1148" s="55">
        <v>1</v>
      </c>
      <c r="F1148" s="55">
        <v>0</v>
      </c>
      <c r="G1148" s="55">
        <v>0</v>
      </c>
      <c r="H1148" s="55">
        <v>0</v>
      </c>
      <c r="I1148" s="55">
        <v>0</v>
      </c>
      <c r="J1148" s="55">
        <v>0</v>
      </c>
      <c r="K1148" s="55">
        <v>0</v>
      </c>
      <c r="L1148" s="55">
        <v>0</v>
      </c>
      <c r="M1148" s="54" t="str">
        <f t="shared" si="88"/>
        <v>0-6 Months</v>
      </c>
      <c r="N1148" s="54" t="str">
        <f t="shared" si="89"/>
        <v>12-18 Months</v>
      </c>
      <c r="O1148" s="54" t="s">
        <v>6</v>
      </c>
      <c r="P1148" s="54">
        <f t="shared" si="85"/>
        <v>0</v>
      </c>
      <c r="Q1148">
        <f t="shared" si="86"/>
        <v>0</v>
      </c>
      <c r="R1148">
        <f t="shared" si="87"/>
        <v>0</v>
      </c>
    </row>
    <row r="1149" spans="1:18" x14ac:dyDescent="0.2">
      <c r="A1149" s="54">
        <v>466325</v>
      </c>
      <c r="B1149" s="54" t="s">
        <v>1227</v>
      </c>
      <c r="C1149" s="55">
        <v>115</v>
      </c>
      <c r="D1149" s="55">
        <v>115</v>
      </c>
      <c r="E1149" s="55">
        <v>1</v>
      </c>
      <c r="F1149" s="55">
        <v>0</v>
      </c>
      <c r="G1149" s="55">
        <v>0</v>
      </c>
      <c r="H1149" s="55">
        <v>0</v>
      </c>
      <c r="I1149" s="55">
        <v>0</v>
      </c>
      <c r="J1149" s="55">
        <v>0</v>
      </c>
      <c r="K1149" s="55">
        <v>0</v>
      </c>
      <c r="L1149" s="55">
        <v>0</v>
      </c>
      <c r="M1149" s="54" t="str">
        <f t="shared" si="88"/>
        <v>0-6 Months</v>
      </c>
      <c r="N1149" s="54" t="str">
        <f t="shared" si="89"/>
        <v>12-18 Months</v>
      </c>
      <c r="O1149" s="54" t="s">
        <v>6</v>
      </c>
      <c r="P1149" s="54">
        <f t="shared" si="85"/>
        <v>0</v>
      </c>
      <c r="Q1149">
        <f t="shared" si="86"/>
        <v>0</v>
      </c>
      <c r="R1149">
        <f t="shared" si="87"/>
        <v>0</v>
      </c>
    </row>
    <row r="1150" spans="1:18" x14ac:dyDescent="0.2">
      <c r="A1150" s="54">
        <v>114568</v>
      </c>
      <c r="B1150" s="54" t="s">
        <v>1229</v>
      </c>
      <c r="C1150" s="55">
        <v>118</v>
      </c>
      <c r="D1150" s="55">
        <v>100</v>
      </c>
      <c r="E1150" s="55">
        <v>1</v>
      </c>
      <c r="F1150" s="55">
        <v>17</v>
      </c>
      <c r="G1150" s="55">
        <v>17</v>
      </c>
      <c r="H1150" s="55">
        <v>17</v>
      </c>
      <c r="I1150" s="55">
        <v>0.17</v>
      </c>
      <c r="J1150" s="55">
        <v>0.17</v>
      </c>
      <c r="K1150" s="55">
        <v>0.17</v>
      </c>
      <c r="L1150" s="55">
        <v>18</v>
      </c>
      <c r="M1150" s="54" t="str">
        <f t="shared" si="88"/>
        <v>0-6 Months</v>
      </c>
      <c r="N1150" s="54" t="str">
        <f t="shared" si="89"/>
        <v>12-18 Months</v>
      </c>
      <c r="O1150" s="54" t="s">
        <v>6</v>
      </c>
      <c r="P1150" s="54">
        <f t="shared" si="85"/>
        <v>0</v>
      </c>
      <c r="Q1150">
        <f t="shared" si="86"/>
        <v>0</v>
      </c>
      <c r="R1150">
        <f t="shared" si="87"/>
        <v>0</v>
      </c>
    </row>
    <row r="1151" spans="1:18" x14ac:dyDescent="0.2">
      <c r="A1151" s="54">
        <v>214275</v>
      </c>
      <c r="B1151" s="54" t="s">
        <v>1234</v>
      </c>
      <c r="C1151" s="55">
        <v>124</v>
      </c>
      <c r="D1151" s="55">
        <v>105</v>
      </c>
      <c r="E1151" s="55">
        <v>1</v>
      </c>
      <c r="F1151" s="55">
        <v>89</v>
      </c>
      <c r="G1151" s="55">
        <v>80</v>
      </c>
      <c r="H1151" s="55">
        <v>80</v>
      </c>
      <c r="I1151" s="55">
        <v>0.85</v>
      </c>
      <c r="J1151" s="55">
        <v>0.76</v>
      </c>
      <c r="K1151" s="55">
        <v>0.76</v>
      </c>
      <c r="L1151" s="55">
        <v>3</v>
      </c>
      <c r="M1151" s="54" t="str">
        <f t="shared" si="88"/>
        <v>0-6 Months</v>
      </c>
      <c r="N1151" s="54" t="str">
        <f t="shared" si="89"/>
        <v>12-18 Months</v>
      </c>
      <c r="O1151" s="54" t="s">
        <v>6</v>
      </c>
      <c r="P1151" s="54">
        <f t="shared" si="85"/>
        <v>124</v>
      </c>
      <c r="Q1151">
        <f t="shared" si="86"/>
        <v>0</v>
      </c>
      <c r="R1151">
        <f t="shared" si="87"/>
        <v>124</v>
      </c>
    </row>
    <row r="1152" spans="1:18" x14ac:dyDescent="0.2">
      <c r="A1152" s="54">
        <v>109468</v>
      </c>
      <c r="B1152" s="54" t="s">
        <v>1240</v>
      </c>
      <c r="C1152" s="55">
        <v>126</v>
      </c>
      <c r="D1152" s="55">
        <v>75</v>
      </c>
      <c r="E1152" s="55">
        <v>1</v>
      </c>
      <c r="F1152" s="55">
        <v>4</v>
      </c>
      <c r="G1152" s="55">
        <v>4</v>
      </c>
      <c r="H1152" s="55">
        <v>4</v>
      </c>
      <c r="I1152" s="55">
        <v>0.05</v>
      </c>
      <c r="J1152" s="55">
        <v>0.05</v>
      </c>
      <c r="K1152" s="55">
        <v>0.05</v>
      </c>
      <c r="L1152" s="55">
        <v>1</v>
      </c>
      <c r="M1152" s="54" t="str">
        <f t="shared" si="88"/>
        <v>0-6 Months</v>
      </c>
      <c r="N1152" s="54" t="str">
        <f t="shared" si="89"/>
        <v>12-18 Months</v>
      </c>
      <c r="O1152" s="54" t="s">
        <v>7</v>
      </c>
      <c r="P1152" s="54">
        <f t="shared" si="85"/>
        <v>0</v>
      </c>
      <c r="Q1152">
        <f t="shared" si="86"/>
        <v>0</v>
      </c>
      <c r="R1152">
        <f t="shared" si="87"/>
        <v>0</v>
      </c>
    </row>
    <row r="1153" spans="1:18" x14ac:dyDescent="0.2">
      <c r="A1153" s="54">
        <v>147404</v>
      </c>
      <c r="B1153" s="54" t="s">
        <v>1243</v>
      </c>
      <c r="C1153" s="55">
        <v>132</v>
      </c>
      <c r="D1153" s="55">
        <v>120</v>
      </c>
      <c r="E1153" s="55">
        <v>1</v>
      </c>
      <c r="F1153" s="55">
        <v>0</v>
      </c>
      <c r="G1153" s="55">
        <v>0</v>
      </c>
      <c r="H1153" s="55">
        <v>0</v>
      </c>
      <c r="I1153" s="55">
        <v>0</v>
      </c>
      <c r="J1153" s="55">
        <v>0</v>
      </c>
      <c r="K1153" s="55">
        <v>0</v>
      </c>
      <c r="L1153" s="55">
        <v>0</v>
      </c>
      <c r="M1153" s="54" t="str">
        <f t="shared" si="88"/>
        <v>0-6 Months</v>
      </c>
      <c r="N1153" s="54" t="str">
        <f t="shared" si="89"/>
        <v>12-18 Months</v>
      </c>
      <c r="O1153" s="54" t="s">
        <v>6</v>
      </c>
      <c r="P1153" s="54">
        <f t="shared" si="85"/>
        <v>0</v>
      </c>
      <c r="Q1153">
        <f t="shared" si="86"/>
        <v>0</v>
      </c>
      <c r="R1153">
        <f t="shared" si="87"/>
        <v>0</v>
      </c>
    </row>
    <row r="1154" spans="1:18" x14ac:dyDescent="0.2">
      <c r="A1154" s="54">
        <v>120026</v>
      </c>
      <c r="B1154" s="54" t="s">
        <v>1244</v>
      </c>
      <c r="C1154" s="55">
        <v>135</v>
      </c>
      <c r="D1154" s="55">
        <v>126</v>
      </c>
      <c r="E1154" s="55">
        <v>1</v>
      </c>
      <c r="F1154" s="55">
        <v>48</v>
      </c>
      <c r="G1154" s="55">
        <v>48</v>
      </c>
      <c r="H1154" s="55">
        <v>48</v>
      </c>
      <c r="I1154" s="55">
        <v>0.38</v>
      </c>
      <c r="J1154" s="55">
        <v>0.38</v>
      </c>
      <c r="K1154" s="55">
        <v>0.38</v>
      </c>
      <c r="L1154" s="55">
        <v>39</v>
      </c>
      <c r="M1154" s="54" t="str">
        <f t="shared" si="88"/>
        <v>0-6 Months</v>
      </c>
      <c r="N1154" s="54" t="str">
        <f t="shared" si="89"/>
        <v>12-18 Months</v>
      </c>
      <c r="O1154" s="54" t="s">
        <v>6</v>
      </c>
      <c r="P1154" s="54">
        <f t="shared" ref="P1154:P1217" si="90">IF(I1154&gt;=2, C1154, IF(J1154&gt;=0.75, C1154, 0))</f>
        <v>0</v>
      </c>
      <c r="Q1154">
        <f t="shared" ref="Q1154:Q1217" si="91">IF(I1154&gt;=2, C1154, IF(AND(J1154&gt;=0.75, D1154&gt;=550), C1154, 0))</f>
        <v>0</v>
      </c>
      <c r="R1154">
        <f t="shared" ref="R1154:R1217" si="92">IF(J1154&gt;=0.75, C1154, 0)</f>
        <v>0</v>
      </c>
    </row>
    <row r="1155" spans="1:18" x14ac:dyDescent="0.2">
      <c r="A1155" s="54">
        <v>108655</v>
      </c>
      <c r="B1155" s="54" t="s">
        <v>1253</v>
      </c>
      <c r="C1155" s="55">
        <v>141</v>
      </c>
      <c r="D1155" s="55">
        <v>180</v>
      </c>
      <c r="E1155" s="55">
        <v>1</v>
      </c>
      <c r="F1155" s="55">
        <v>26</v>
      </c>
      <c r="G1155" s="55">
        <v>26</v>
      </c>
      <c r="H1155" s="55">
        <v>26</v>
      </c>
      <c r="I1155" s="55">
        <v>0.14000000000000001</v>
      </c>
      <c r="J1155" s="55">
        <v>0.14000000000000001</v>
      </c>
      <c r="K1155" s="55">
        <v>0.14000000000000001</v>
      </c>
      <c r="L1155" s="55">
        <v>55</v>
      </c>
      <c r="M1155" s="54" t="str">
        <f t="shared" ref="M1155:M1218" si="93">IF(E1155&lt;6,"0-6 Months", IF(E1155&lt;13, "6-12 Months", IF(E1155&lt;19, "12-24 Months", IF(E1155&lt;25, "12-24 Months", "24+ Months"))))</f>
        <v>0-6 Months</v>
      </c>
      <c r="N1155" s="54" t="str">
        <f t="shared" ref="N1155:N1218" si="94">IF(E1155&lt;6,"12-18 Months", IF(E1155&lt;13, "18-24 Months", "24+ Months"))</f>
        <v>12-18 Months</v>
      </c>
      <c r="O1155" s="54" t="s">
        <v>6</v>
      </c>
      <c r="P1155" s="54">
        <f t="shared" si="90"/>
        <v>0</v>
      </c>
      <c r="Q1155">
        <f t="shared" si="91"/>
        <v>0</v>
      </c>
      <c r="R1155">
        <f t="shared" si="92"/>
        <v>0</v>
      </c>
    </row>
    <row r="1156" spans="1:18" x14ac:dyDescent="0.2">
      <c r="A1156" s="54">
        <v>108339</v>
      </c>
      <c r="B1156" s="54" t="s">
        <v>1265</v>
      </c>
      <c r="C1156" s="55">
        <v>168</v>
      </c>
      <c r="D1156" s="55">
        <v>112</v>
      </c>
      <c r="E1156" s="55">
        <v>1</v>
      </c>
      <c r="F1156" s="55">
        <v>0</v>
      </c>
      <c r="G1156" s="55">
        <v>0</v>
      </c>
      <c r="H1156" s="55">
        <v>0</v>
      </c>
      <c r="I1156" s="55">
        <v>0</v>
      </c>
      <c r="J1156" s="55">
        <v>0</v>
      </c>
      <c r="K1156" s="55">
        <v>0</v>
      </c>
      <c r="L1156" s="55">
        <v>0</v>
      </c>
      <c r="M1156" s="54" t="str">
        <f t="shared" si="93"/>
        <v>0-6 Months</v>
      </c>
      <c r="N1156" s="54" t="str">
        <f t="shared" si="94"/>
        <v>12-18 Months</v>
      </c>
      <c r="O1156" s="54" t="s">
        <v>6</v>
      </c>
      <c r="P1156" s="54">
        <f t="shared" si="90"/>
        <v>0</v>
      </c>
      <c r="Q1156">
        <f t="shared" si="91"/>
        <v>0</v>
      </c>
      <c r="R1156">
        <f t="shared" si="92"/>
        <v>0</v>
      </c>
    </row>
    <row r="1157" spans="1:18" x14ac:dyDescent="0.2">
      <c r="A1157" s="54">
        <v>484057</v>
      </c>
      <c r="B1157" s="54" t="s">
        <v>1266</v>
      </c>
      <c r="C1157" s="55">
        <v>171</v>
      </c>
      <c r="D1157" s="55">
        <v>155</v>
      </c>
      <c r="E1157" s="55">
        <v>1</v>
      </c>
      <c r="F1157" s="55">
        <v>15</v>
      </c>
      <c r="G1157" s="55">
        <v>15</v>
      </c>
      <c r="H1157" s="55">
        <v>15</v>
      </c>
      <c r="I1157" s="55">
        <v>0.1</v>
      </c>
      <c r="J1157" s="55">
        <v>0.1</v>
      </c>
      <c r="K1157" s="55">
        <v>0.1</v>
      </c>
      <c r="L1157" s="55">
        <v>13</v>
      </c>
      <c r="M1157" s="54" t="str">
        <f t="shared" si="93"/>
        <v>0-6 Months</v>
      </c>
      <c r="N1157" s="54" t="str">
        <f t="shared" si="94"/>
        <v>12-18 Months</v>
      </c>
      <c r="O1157" s="54" t="s">
        <v>6</v>
      </c>
      <c r="P1157" s="54">
        <f t="shared" si="90"/>
        <v>0</v>
      </c>
      <c r="Q1157">
        <f t="shared" si="91"/>
        <v>0</v>
      </c>
      <c r="R1157">
        <f t="shared" si="92"/>
        <v>0</v>
      </c>
    </row>
    <row r="1158" spans="1:18" x14ac:dyDescent="0.2">
      <c r="A1158" s="54">
        <v>156865</v>
      </c>
      <c r="B1158" s="54" t="s">
        <v>1271</v>
      </c>
      <c r="C1158" s="55">
        <v>190</v>
      </c>
      <c r="D1158" s="55">
        <v>159</v>
      </c>
      <c r="E1158" s="55">
        <v>1</v>
      </c>
      <c r="F1158" s="55">
        <v>3</v>
      </c>
      <c r="G1158" s="55">
        <v>3</v>
      </c>
      <c r="H1158" s="55">
        <v>3</v>
      </c>
      <c r="I1158" s="55">
        <v>0.02</v>
      </c>
      <c r="J1158" s="55">
        <v>0.02</v>
      </c>
      <c r="K1158" s="55">
        <v>0.02</v>
      </c>
      <c r="L1158" s="55">
        <v>0</v>
      </c>
      <c r="M1158" s="54" t="str">
        <f t="shared" si="93"/>
        <v>0-6 Months</v>
      </c>
      <c r="N1158" s="54" t="str">
        <f t="shared" si="94"/>
        <v>12-18 Months</v>
      </c>
      <c r="O1158" s="54" t="s">
        <v>6</v>
      </c>
      <c r="P1158" s="54">
        <f t="shared" si="90"/>
        <v>0</v>
      </c>
      <c r="Q1158">
        <f t="shared" si="91"/>
        <v>0</v>
      </c>
      <c r="R1158">
        <f t="shared" si="92"/>
        <v>0</v>
      </c>
    </row>
    <row r="1159" spans="1:18" x14ac:dyDescent="0.2">
      <c r="A1159" s="54">
        <v>198534</v>
      </c>
      <c r="B1159" s="54" t="s">
        <v>1274</v>
      </c>
      <c r="C1159" s="55">
        <v>215</v>
      </c>
      <c r="D1159" s="55">
        <v>180</v>
      </c>
      <c r="E1159" s="55">
        <v>1</v>
      </c>
      <c r="F1159" s="55">
        <v>0</v>
      </c>
      <c r="G1159" s="55">
        <v>0</v>
      </c>
      <c r="H1159" s="55">
        <v>0</v>
      </c>
      <c r="I1159" s="55">
        <v>0</v>
      </c>
      <c r="J1159" s="55">
        <v>0</v>
      </c>
      <c r="K1159" s="55">
        <v>0</v>
      </c>
      <c r="L1159" s="55">
        <v>0</v>
      </c>
      <c r="M1159" s="54" t="str">
        <f t="shared" si="93"/>
        <v>0-6 Months</v>
      </c>
      <c r="N1159" s="54" t="str">
        <f t="shared" si="94"/>
        <v>12-18 Months</v>
      </c>
      <c r="O1159" s="54" t="s">
        <v>6</v>
      </c>
      <c r="P1159" s="54">
        <f t="shared" si="90"/>
        <v>0</v>
      </c>
      <c r="Q1159">
        <f t="shared" si="91"/>
        <v>0</v>
      </c>
      <c r="R1159">
        <f t="shared" si="92"/>
        <v>0</v>
      </c>
    </row>
    <row r="1160" spans="1:18" x14ac:dyDescent="0.2">
      <c r="A1160" s="54">
        <v>361351</v>
      </c>
      <c r="B1160" s="54" t="s">
        <v>1277</v>
      </c>
      <c r="C1160" s="55">
        <v>228</v>
      </c>
      <c r="D1160" s="55">
        <v>201</v>
      </c>
      <c r="E1160" s="55">
        <v>1</v>
      </c>
      <c r="F1160" s="55">
        <v>0</v>
      </c>
      <c r="G1160" s="55">
        <v>0</v>
      </c>
      <c r="H1160" s="55">
        <v>0</v>
      </c>
      <c r="I1160" s="55">
        <v>0</v>
      </c>
      <c r="J1160" s="55">
        <v>0</v>
      </c>
      <c r="K1160" s="55">
        <v>0</v>
      </c>
      <c r="L1160" s="55">
        <v>0</v>
      </c>
      <c r="M1160" s="54" t="str">
        <f t="shared" si="93"/>
        <v>0-6 Months</v>
      </c>
      <c r="N1160" s="54" t="str">
        <f t="shared" si="94"/>
        <v>12-18 Months</v>
      </c>
      <c r="O1160" s="54" t="s">
        <v>6</v>
      </c>
      <c r="P1160" s="54">
        <f t="shared" si="90"/>
        <v>0</v>
      </c>
      <c r="Q1160">
        <f t="shared" si="91"/>
        <v>0</v>
      </c>
      <c r="R1160">
        <f t="shared" si="92"/>
        <v>0</v>
      </c>
    </row>
    <row r="1161" spans="1:18" x14ac:dyDescent="0.2">
      <c r="A1161" s="54">
        <v>112324</v>
      </c>
      <c r="B1161" s="54" t="s">
        <v>1284</v>
      </c>
      <c r="C1161" s="55">
        <v>357</v>
      </c>
      <c r="D1161" s="55">
        <v>565</v>
      </c>
      <c r="E1161" s="55">
        <v>1</v>
      </c>
      <c r="F1161" s="55">
        <v>0</v>
      </c>
      <c r="G1161" s="55">
        <v>0</v>
      </c>
      <c r="H1161" s="55">
        <v>0</v>
      </c>
      <c r="I1161" s="55">
        <v>0</v>
      </c>
      <c r="J1161" s="55">
        <v>0</v>
      </c>
      <c r="K1161" s="55">
        <v>0</v>
      </c>
      <c r="L1161" s="55">
        <v>0</v>
      </c>
      <c r="M1161" s="54" t="str">
        <f t="shared" si="93"/>
        <v>0-6 Months</v>
      </c>
      <c r="N1161" s="54" t="str">
        <f t="shared" si="94"/>
        <v>12-18 Months</v>
      </c>
      <c r="O1161" s="54" t="s">
        <v>5</v>
      </c>
      <c r="P1161" s="54">
        <f t="shared" si="90"/>
        <v>0</v>
      </c>
      <c r="Q1161">
        <f t="shared" si="91"/>
        <v>0</v>
      </c>
      <c r="R1161">
        <f t="shared" si="92"/>
        <v>0</v>
      </c>
    </row>
    <row r="1162" spans="1:18" x14ac:dyDescent="0.2">
      <c r="A1162" s="54">
        <v>465953</v>
      </c>
      <c r="B1162" s="54" t="s">
        <v>1291</v>
      </c>
      <c r="C1162" s="55">
        <v>456</v>
      </c>
      <c r="D1162" s="55">
        <v>411</v>
      </c>
      <c r="E1162" s="55">
        <v>1</v>
      </c>
      <c r="F1162" s="55">
        <v>0</v>
      </c>
      <c r="G1162" s="55">
        <v>0</v>
      </c>
      <c r="H1162" s="55">
        <v>0</v>
      </c>
      <c r="I1162" s="55">
        <v>0</v>
      </c>
      <c r="J1162" s="55">
        <v>0</v>
      </c>
      <c r="K1162" s="55">
        <v>0</v>
      </c>
      <c r="L1162" s="55">
        <v>0</v>
      </c>
      <c r="M1162" s="54" t="str">
        <f t="shared" si="93"/>
        <v>0-6 Months</v>
      </c>
      <c r="N1162" s="54" t="str">
        <f t="shared" si="94"/>
        <v>12-18 Months</v>
      </c>
      <c r="O1162" s="54" t="s">
        <v>6</v>
      </c>
      <c r="P1162" s="54">
        <f t="shared" si="90"/>
        <v>0</v>
      </c>
      <c r="Q1162">
        <f t="shared" si="91"/>
        <v>0</v>
      </c>
      <c r="R1162">
        <f t="shared" si="92"/>
        <v>0</v>
      </c>
    </row>
    <row r="1163" spans="1:18" x14ac:dyDescent="0.2">
      <c r="A1163" s="54">
        <v>458250</v>
      </c>
      <c r="B1163" s="54" t="s">
        <v>1297</v>
      </c>
      <c r="C1163" s="55">
        <v>630</v>
      </c>
      <c r="D1163" s="55">
        <v>2</v>
      </c>
      <c r="E1163" s="55">
        <v>1</v>
      </c>
      <c r="F1163" s="55">
        <v>0</v>
      </c>
      <c r="G1163" s="55">
        <v>0</v>
      </c>
      <c r="H1163" s="55">
        <v>0</v>
      </c>
      <c r="I1163" s="55">
        <v>0</v>
      </c>
      <c r="J1163" s="55">
        <v>0</v>
      </c>
      <c r="K1163" s="55">
        <v>0</v>
      </c>
      <c r="L1163" s="55">
        <v>0</v>
      </c>
      <c r="M1163" s="54" t="str">
        <f t="shared" si="93"/>
        <v>0-6 Months</v>
      </c>
      <c r="N1163" s="54" t="str">
        <f t="shared" si="94"/>
        <v>12-18 Months</v>
      </c>
      <c r="O1163" s="54" t="s">
        <v>7</v>
      </c>
      <c r="P1163" s="54">
        <f t="shared" si="90"/>
        <v>0</v>
      </c>
      <c r="Q1163">
        <f t="shared" si="91"/>
        <v>0</v>
      </c>
      <c r="R1163">
        <f t="shared" si="92"/>
        <v>0</v>
      </c>
    </row>
    <row r="1164" spans="1:18" x14ac:dyDescent="0.2">
      <c r="A1164" s="54">
        <v>107327</v>
      </c>
      <c r="B1164" s="54" t="s">
        <v>1325</v>
      </c>
      <c r="C1164" s="55">
        <v>0</v>
      </c>
      <c r="D1164" s="55">
        <v>35</v>
      </c>
      <c r="E1164" s="55">
        <v>0</v>
      </c>
      <c r="F1164" s="55">
        <v>0</v>
      </c>
      <c r="G1164" s="55">
        <v>0</v>
      </c>
      <c r="H1164" s="55">
        <v>0</v>
      </c>
      <c r="I1164" s="55">
        <v>0</v>
      </c>
      <c r="J1164" s="55">
        <v>0</v>
      </c>
      <c r="K1164" s="55">
        <v>0</v>
      </c>
      <c r="L1164" s="55">
        <v>0</v>
      </c>
      <c r="M1164" s="54" t="str">
        <f t="shared" si="93"/>
        <v>0-6 Months</v>
      </c>
      <c r="N1164" s="54" t="str">
        <f t="shared" si="94"/>
        <v>12-18 Months</v>
      </c>
      <c r="O1164" s="54" t="s">
        <v>7</v>
      </c>
      <c r="P1164" s="54">
        <f t="shared" si="90"/>
        <v>0</v>
      </c>
      <c r="Q1164">
        <f t="shared" si="91"/>
        <v>0</v>
      </c>
      <c r="R1164">
        <f t="shared" si="92"/>
        <v>0</v>
      </c>
    </row>
    <row r="1165" spans="1:18" x14ac:dyDescent="0.2">
      <c r="A1165" s="54">
        <v>108149</v>
      </c>
      <c r="B1165" s="54" t="s">
        <v>1329</v>
      </c>
      <c r="C1165" s="55">
        <v>0</v>
      </c>
      <c r="D1165" s="55">
        <v>11</v>
      </c>
      <c r="E1165" s="55">
        <v>0</v>
      </c>
      <c r="F1165" s="55">
        <v>0</v>
      </c>
      <c r="G1165" s="55">
        <v>0</v>
      </c>
      <c r="H1165" s="55">
        <v>0</v>
      </c>
      <c r="I1165" s="55">
        <v>0</v>
      </c>
      <c r="J1165" s="55">
        <v>0</v>
      </c>
      <c r="K1165" s="55">
        <v>0</v>
      </c>
      <c r="L1165" s="55">
        <v>0</v>
      </c>
      <c r="M1165" s="54" t="str">
        <f t="shared" si="93"/>
        <v>0-6 Months</v>
      </c>
      <c r="N1165" s="54" t="str">
        <f t="shared" si="94"/>
        <v>12-18 Months</v>
      </c>
      <c r="O1165" s="54" t="s">
        <v>7</v>
      </c>
      <c r="P1165" s="54">
        <f t="shared" si="90"/>
        <v>0</v>
      </c>
      <c r="Q1165">
        <f t="shared" si="91"/>
        <v>0</v>
      </c>
      <c r="R1165">
        <f t="shared" si="92"/>
        <v>0</v>
      </c>
    </row>
    <row r="1166" spans="1:18" x14ac:dyDescent="0.2">
      <c r="A1166" s="54">
        <v>108542</v>
      </c>
      <c r="B1166" s="54" t="s">
        <v>1356</v>
      </c>
      <c r="C1166" s="55">
        <v>0</v>
      </c>
      <c r="D1166" s="55">
        <v>23</v>
      </c>
      <c r="E1166" s="55">
        <v>0</v>
      </c>
      <c r="F1166" s="55">
        <v>0</v>
      </c>
      <c r="G1166" s="55">
        <v>0</v>
      </c>
      <c r="H1166" s="55">
        <v>0</v>
      </c>
      <c r="I1166" s="55">
        <v>0</v>
      </c>
      <c r="J1166" s="55">
        <v>0</v>
      </c>
      <c r="K1166" s="55">
        <v>0</v>
      </c>
      <c r="L1166" s="55">
        <v>0</v>
      </c>
      <c r="M1166" s="54" t="str">
        <f t="shared" si="93"/>
        <v>0-6 Months</v>
      </c>
      <c r="N1166" s="54" t="str">
        <f t="shared" si="94"/>
        <v>12-18 Months</v>
      </c>
      <c r="O1166" s="54" t="s">
        <v>7</v>
      </c>
      <c r="P1166" s="54">
        <f t="shared" si="90"/>
        <v>0</v>
      </c>
      <c r="Q1166">
        <f t="shared" si="91"/>
        <v>0</v>
      </c>
      <c r="R1166">
        <f t="shared" si="92"/>
        <v>0</v>
      </c>
    </row>
    <row r="1167" spans="1:18" x14ac:dyDescent="0.2">
      <c r="A1167" s="54">
        <v>108758</v>
      </c>
      <c r="B1167" s="54" t="s">
        <v>1320</v>
      </c>
      <c r="C1167" s="55">
        <v>0</v>
      </c>
      <c r="D1167" s="55">
        <v>6</v>
      </c>
      <c r="E1167" s="55">
        <v>0</v>
      </c>
      <c r="F1167" s="55">
        <v>0</v>
      </c>
      <c r="G1167" s="55">
        <v>0</v>
      </c>
      <c r="H1167" s="55">
        <v>0</v>
      </c>
      <c r="I1167" s="55">
        <v>0</v>
      </c>
      <c r="J1167" s="55">
        <v>0</v>
      </c>
      <c r="K1167" s="55">
        <v>0</v>
      </c>
      <c r="L1167" s="55">
        <v>0</v>
      </c>
      <c r="M1167" s="54" t="str">
        <f t="shared" si="93"/>
        <v>0-6 Months</v>
      </c>
      <c r="N1167" s="54" t="str">
        <f t="shared" si="94"/>
        <v>12-18 Months</v>
      </c>
      <c r="O1167" s="54" t="s">
        <v>7</v>
      </c>
      <c r="P1167" s="54">
        <f t="shared" si="90"/>
        <v>0</v>
      </c>
      <c r="Q1167">
        <f t="shared" si="91"/>
        <v>0</v>
      </c>
      <c r="R1167">
        <f t="shared" si="92"/>
        <v>0</v>
      </c>
    </row>
    <row r="1168" spans="1:18" x14ac:dyDescent="0.2">
      <c r="A1168" s="54">
        <v>109944</v>
      </c>
      <c r="B1168" s="54" t="s">
        <v>1357</v>
      </c>
      <c r="C1168" s="55">
        <v>0</v>
      </c>
      <c r="D1168" s="55">
        <v>25</v>
      </c>
      <c r="E1168" s="55">
        <v>0</v>
      </c>
      <c r="F1168" s="55">
        <v>0</v>
      </c>
      <c r="G1168" s="55">
        <v>0</v>
      </c>
      <c r="H1168" s="55">
        <v>0</v>
      </c>
      <c r="I1168" s="55">
        <v>0</v>
      </c>
      <c r="J1168" s="55">
        <v>0</v>
      </c>
      <c r="K1168" s="55">
        <v>0</v>
      </c>
      <c r="L1168" s="55">
        <v>0</v>
      </c>
      <c r="M1168" s="54" t="str">
        <f t="shared" si="93"/>
        <v>0-6 Months</v>
      </c>
      <c r="N1168" s="54" t="str">
        <f t="shared" si="94"/>
        <v>12-18 Months</v>
      </c>
      <c r="O1168" s="54" t="s">
        <v>7</v>
      </c>
      <c r="P1168" s="54">
        <f t="shared" si="90"/>
        <v>0</v>
      </c>
      <c r="Q1168">
        <f t="shared" si="91"/>
        <v>0</v>
      </c>
      <c r="R1168">
        <f t="shared" si="92"/>
        <v>0</v>
      </c>
    </row>
    <row r="1169" spans="1:18" x14ac:dyDescent="0.2">
      <c r="A1169" s="54">
        <v>110959</v>
      </c>
      <c r="B1169" s="54" t="s">
        <v>1316</v>
      </c>
      <c r="C1169" s="55">
        <v>0</v>
      </c>
      <c r="D1169" s="55">
        <v>25</v>
      </c>
      <c r="E1169" s="55">
        <v>0</v>
      </c>
      <c r="F1169" s="55">
        <v>0</v>
      </c>
      <c r="G1169" s="55">
        <v>0</v>
      </c>
      <c r="H1169" s="55">
        <v>0</v>
      </c>
      <c r="I1169" s="55">
        <v>0</v>
      </c>
      <c r="J1169" s="55">
        <v>0</v>
      </c>
      <c r="K1169" s="55">
        <v>0</v>
      </c>
      <c r="L1169" s="55">
        <v>0</v>
      </c>
      <c r="M1169" s="54" t="str">
        <f t="shared" si="93"/>
        <v>0-6 Months</v>
      </c>
      <c r="N1169" s="54" t="str">
        <f t="shared" si="94"/>
        <v>12-18 Months</v>
      </c>
      <c r="O1169" s="54" t="s">
        <v>7</v>
      </c>
      <c r="P1169" s="54">
        <f t="shared" si="90"/>
        <v>0</v>
      </c>
      <c r="Q1169">
        <f t="shared" si="91"/>
        <v>0</v>
      </c>
      <c r="R1169">
        <f t="shared" si="92"/>
        <v>0</v>
      </c>
    </row>
    <row r="1170" spans="1:18" x14ac:dyDescent="0.2">
      <c r="A1170" s="54">
        <v>112331</v>
      </c>
      <c r="B1170" s="54" t="s">
        <v>1345</v>
      </c>
      <c r="C1170" s="55">
        <v>0</v>
      </c>
      <c r="D1170" s="55">
        <v>15</v>
      </c>
      <c r="E1170" s="55">
        <v>0</v>
      </c>
      <c r="F1170" s="55">
        <v>0</v>
      </c>
      <c r="G1170" s="55">
        <v>0</v>
      </c>
      <c r="H1170" s="55">
        <v>0</v>
      </c>
      <c r="I1170" s="55">
        <v>0</v>
      </c>
      <c r="J1170" s="55">
        <v>0</v>
      </c>
      <c r="K1170" s="55">
        <v>0</v>
      </c>
      <c r="L1170" s="55">
        <v>0</v>
      </c>
      <c r="M1170" s="54" t="str">
        <f t="shared" si="93"/>
        <v>0-6 Months</v>
      </c>
      <c r="N1170" s="54" t="str">
        <f t="shared" si="94"/>
        <v>12-18 Months</v>
      </c>
      <c r="O1170" s="54" t="s">
        <v>7</v>
      </c>
      <c r="P1170" s="54">
        <f t="shared" si="90"/>
        <v>0</v>
      </c>
      <c r="Q1170">
        <f t="shared" si="91"/>
        <v>0</v>
      </c>
      <c r="R1170">
        <f t="shared" si="92"/>
        <v>0</v>
      </c>
    </row>
    <row r="1171" spans="1:18" x14ac:dyDescent="0.2">
      <c r="A1171" s="54">
        <v>112436</v>
      </c>
      <c r="B1171" s="54" t="s">
        <v>1315</v>
      </c>
      <c r="C1171" s="55">
        <v>0</v>
      </c>
      <c r="D1171" s="55">
        <v>52</v>
      </c>
      <c r="E1171" s="55">
        <v>0</v>
      </c>
      <c r="F1171" s="55">
        <v>46</v>
      </c>
      <c r="G1171" s="55">
        <v>46</v>
      </c>
      <c r="H1171" s="55">
        <v>46</v>
      </c>
      <c r="I1171" s="55">
        <v>0.88</v>
      </c>
      <c r="J1171" s="55">
        <v>0.88</v>
      </c>
      <c r="K1171" s="55">
        <v>0.88</v>
      </c>
      <c r="L1171" s="55">
        <v>63</v>
      </c>
      <c r="M1171" s="54" t="str">
        <f t="shared" si="93"/>
        <v>0-6 Months</v>
      </c>
      <c r="N1171" s="54" t="str">
        <f t="shared" si="94"/>
        <v>12-18 Months</v>
      </c>
      <c r="O1171" s="54" t="s">
        <v>7</v>
      </c>
      <c r="P1171" s="54">
        <f t="shared" si="90"/>
        <v>0</v>
      </c>
      <c r="Q1171">
        <f t="shared" si="91"/>
        <v>0</v>
      </c>
      <c r="R1171">
        <f t="shared" si="92"/>
        <v>0</v>
      </c>
    </row>
    <row r="1172" spans="1:18" x14ac:dyDescent="0.2">
      <c r="A1172" s="54">
        <v>114037</v>
      </c>
      <c r="B1172" s="54" t="s">
        <v>1339</v>
      </c>
      <c r="C1172" s="55">
        <v>0</v>
      </c>
      <c r="D1172" s="55">
        <v>38</v>
      </c>
      <c r="E1172" s="55">
        <v>0</v>
      </c>
      <c r="F1172" s="55">
        <v>0</v>
      </c>
      <c r="G1172" s="55">
        <v>0</v>
      </c>
      <c r="H1172" s="55">
        <v>0</v>
      </c>
      <c r="I1172" s="55">
        <v>0</v>
      </c>
      <c r="J1172" s="55">
        <v>0</v>
      </c>
      <c r="K1172" s="55">
        <v>0</v>
      </c>
      <c r="L1172" s="55">
        <v>0</v>
      </c>
      <c r="M1172" s="54" t="str">
        <f t="shared" si="93"/>
        <v>0-6 Months</v>
      </c>
      <c r="N1172" s="54" t="str">
        <f t="shared" si="94"/>
        <v>12-18 Months</v>
      </c>
      <c r="O1172" s="54" t="s">
        <v>7</v>
      </c>
      <c r="P1172" s="54">
        <f t="shared" si="90"/>
        <v>0</v>
      </c>
      <c r="Q1172">
        <f t="shared" si="91"/>
        <v>0</v>
      </c>
      <c r="R1172">
        <f t="shared" si="92"/>
        <v>0</v>
      </c>
    </row>
    <row r="1173" spans="1:18" x14ac:dyDescent="0.2">
      <c r="A1173" s="54">
        <v>128428</v>
      </c>
      <c r="B1173" s="54" t="s">
        <v>1346</v>
      </c>
      <c r="C1173" s="55">
        <v>0</v>
      </c>
      <c r="D1173" s="55">
        <v>135</v>
      </c>
      <c r="E1173" s="55">
        <v>0</v>
      </c>
      <c r="F1173" s="55">
        <v>0</v>
      </c>
      <c r="G1173" s="55">
        <v>0</v>
      </c>
      <c r="H1173" s="55">
        <v>0</v>
      </c>
      <c r="I1173" s="55">
        <v>0</v>
      </c>
      <c r="J1173" s="55">
        <v>0</v>
      </c>
      <c r="K1173" s="55">
        <v>0</v>
      </c>
      <c r="L1173" s="55">
        <v>0</v>
      </c>
      <c r="M1173" s="54" t="str">
        <f t="shared" si="93"/>
        <v>0-6 Months</v>
      </c>
      <c r="N1173" s="54" t="str">
        <f t="shared" si="94"/>
        <v>12-18 Months</v>
      </c>
      <c r="O1173" s="54" t="s">
        <v>6</v>
      </c>
      <c r="P1173" s="54">
        <f t="shared" si="90"/>
        <v>0</v>
      </c>
      <c r="Q1173">
        <f t="shared" si="91"/>
        <v>0</v>
      </c>
      <c r="R1173">
        <f t="shared" si="92"/>
        <v>0</v>
      </c>
    </row>
    <row r="1174" spans="1:18" x14ac:dyDescent="0.2">
      <c r="A1174" s="54">
        <v>144040</v>
      </c>
      <c r="B1174" s="54" t="s">
        <v>1343</v>
      </c>
      <c r="C1174" s="55">
        <v>0</v>
      </c>
      <c r="D1174" s="55">
        <v>53</v>
      </c>
      <c r="E1174" s="55">
        <v>0</v>
      </c>
      <c r="F1174" s="55">
        <v>38</v>
      </c>
      <c r="G1174" s="55">
        <v>38</v>
      </c>
      <c r="H1174" s="55">
        <v>38</v>
      </c>
      <c r="I1174" s="55">
        <v>0.72</v>
      </c>
      <c r="J1174" s="55">
        <v>0.72</v>
      </c>
      <c r="K1174" s="55">
        <v>0.72</v>
      </c>
      <c r="L1174" s="55">
        <v>8</v>
      </c>
      <c r="M1174" s="54" t="str">
        <f t="shared" si="93"/>
        <v>0-6 Months</v>
      </c>
      <c r="N1174" s="54" t="str">
        <f t="shared" si="94"/>
        <v>12-18 Months</v>
      </c>
      <c r="O1174" s="54" t="s">
        <v>7</v>
      </c>
      <c r="P1174" s="54">
        <f t="shared" si="90"/>
        <v>0</v>
      </c>
      <c r="Q1174">
        <f t="shared" si="91"/>
        <v>0</v>
      </c>
      <c r="R1174">
        <f t="shared" si="92"/>
        <v>0</v>
      </c>
    </row>
    <row r="1175" spans="1:18" x14ac:dyDescent="0.2">
      <c r="A1175" s="54">
        <v>157648</v>
      </c>
      <c r="B1175" s="54" t="s">
        <v>1319</v>
      </c>
      <c r="C1175" s="55">
        <v>0</v>
      </c>
      <c r="D1175" s="55">
        <v>4</v>
      </c>
      <c r="E1175" s="55">
        <v>0</v>
      </c>
      <c r="F1175" s="55">
        <v>2</v>
      </c>
      <c r="G1175" s="55">
        <v>2</v>
      </c>
      <c r="H1175" s="55">
        <v>2</v>
      </c>
      <c r="I1175" s="55">
        <v>0.5</v>
      </c>
      <c r="J1175" s="55">
        <v>0.5</v>
      </c>
      <c r="K1175" s="55">
        <v>0.5</v>
      </c>
      <c r="L1175" s="55">
        <v>0</v>
      </c>
      <c r="M1175" s="54" t="str">
        <f t="shared" si="93"/>
        <v>0-6 Months</v>
      </c>
      <c r="N1175" s="54" t="str">
        <f t="shared" si="94"/>
        <v>12-18 Months</v>
      </c>
      <c r="O1175" s="54" t="s">
        <v>7</v>
      </c>
      <c r="P1175" s="54">
        <f t="shared" si="90"/>
        <v>0</v>
      </c>
      <c r="Q1175">
        <f t="shared" si="91"/>
        <v>0</v>
      </c>
      <c r="R1175">
        <f t="shared" si="92"/>
        <v>0</v>
      </c>
    </row>
    <row r="1176" spans="1:18" x14ac:dyDescent="0.2">
      <c r="A1176" s="54">
        <v>159536</v>
      </c>
      <c r="B1176" s="54" t="s">
        <v>1322</v>
      </c>
      <c r="C1176" s="55">
        <v>0</v>
      </c>
      <c r="D1176" s="55">
        <v>60</v>
      </c>
      <c r="E1176" s="55">
        <v>0</v>
      </c>
      <c r="F1176" s="55">
        <v>0</v>
      </c>
      <c r="G1176" s="55">
        <v>0</v>
      </c>
      <c r="H1176" s="55">
        <v>0</v>
      </c>
      <c r="I1176" s="55">
        <v>0</v>
      </c>
      <c r="J1176" s="55">
        <v>0</v>
      </c>
      <c r="K1176" s="55">
        <v>0</v>
      </c>
      <c r="L1176" s="55">
        <v>0</v>
      </c>
      <c r="M1176" s="54" t="str">
        <f t="shared" si="93"/>
        <v>0-6 Months</v>
      </c>
      <c r="N1176" s="54" t="str">
        <f t="shared" si="94"/>
        <v>12-18 Months</v>
      </c>
      <c r="O1176" s="54" t="s">
        <v>7</v>
      </c>
      <c r="P1176" s="54">
        <f t="shared" si="90"/>
        <v>0</v>
      </c>
      <c r="Q1176">
        <f t="shared" si="91"/>
        <v>0</v>
      </c>
      <c r="R1176">
        <f t="shared" si="92"/>
        <v>0</v>
      </c>
    </row>
    <row r="1177" spans="1:18" x14ac:dyDescent="0.2">
      <c r="A1177" s="54">
        <v>182144</v>
      </c>
      <c r="B1177" s="54" t="s">
        <v>1341</v>
      </c>
      <c r="C1177" s="55">
        <v>0</v>
      </c>
      <c r="D1177" s="55">
        <v>20</v>
      </c>
      <c r="E1177" s="55">
        <v>0</v>
      </c>
      <c r="F1177" s="55">
        <v>1</v>
      </c>
      <c r="G1177" s="55">
        <v>1</v>
      </c>
      <c r="H1177" s="55">
        <v>1</v>
      </c>
      <c r="I1177" s="55">
        <v>0.05</v>
      </c>
      <c r="J1177" s="55">
        <v>0.05</v>
      </c>
      <c r="K1177" s="55">
        <v>0.05</v>
      </c>
      <c r="L1177" s="55">
        <v>0</v>
      </c>
      <c r="M1177" s="54" t="str">
        <f t="shared" si="93"/>
        <v>0-6 Months</v>
      </c>
      <c r="N1177" s="54" t="str">
        <f t="shared" si="94"/>
        <v>12-18 Months</v>
      </c>
      <c r="O1177" s="54" t="s">
        <v>7</v>
      </c>
      <c r="P1177" s="54">
        <f t="shared" si="90"/>
        <v>0</v>
      </c>
      <c r="Q1177">
        <f t="shared" si="91"/>
        <v>0</v>
      </c>
      <c r="R1177">
        <f t="shared" si="92"/>
        <v>0</v>
      </c>
    </row>
    <row r="1178" spans="1:18" x14ac:dyDescent="0.2">
      <c r="A1178" s="54">
        <v>184553</v>
      </c>
      <c r="B1178" s="54" t="s">
        <v>1323</v>
      </c>
      <c r="C1178" s="55">
        <v>0</v>
      </c>
      <c r="D1178" s="55">
        <v>14</v>
      </c>
      <c r="E1178" s="55">
        <v>0</v>
      </c>
      <c r="F1178" s="55">
        <v>0</v>
      </c>
      <c r="G1178" s="55">
        <v>0</v>
      </c>
      <c r="H1178" s="55">
        <v>0</v>
      </c>
      <c r="I1178" s="55">
        <v>0</v>
      </c>
      <c r="J1178" s="55">
        <v>0</v>
      </c>
      <c r="K1178" s="55">
        <v>0</v>
      </c>
      <c r="L1178" s="55">
        <v>0</v>
      </c>
      <c r="M1178" s="54" t="str">
        <f t="shared" si="93"/>
        <v>0-6 Months</v>
      </c>
      <c r="N1178" s="54" t="str">
        <f t="shared" si="94"/>
        <v>12-18 Months</v>
      </c>
      <c r="O1178" s="54" t="s">
        <v>7</v>
      </c>
      <c r="P1178" s="54">
        <f t="shared" si="90"/>
        <v>0</v>
      </c>
      <c r="Q1178">
        <f t="shared" si="91"/>
        <v>0</v>
      </c>
      <c r="R1178">
        <f t="shared" si="92"/>
        <v>0</v>
      </c>
    </row>
    <row r="1179" spans="1:18" x14ac:dyDescent="0.2">
      <c r="A1179" s="54">
        <v>193092</v>
      </c>
      <c r="B1179" s="54" t="s">
        <v>1351</v>
      </c>
      <c r="C1179" s="55">
        <v>0</v>
      </c>
      <c r="D1179" s="55">
        <v>8</v>
      </c>
      <c r="E1179" s="55">
        <v>0</v>
      </c>
      <c r="F1179" s="55">
        <v>13</v>
      </c>
      <c r="G1179" s="55">
        <v>13</v>
      </c>
      <c r="H1179" s="55">
        <v>13</v>
      </c>
      <c r="I1179" s="55">
        <v>1.63</v>
      </c>
      <c r="J1179" s="55">
        <v>1.63</v>
      </c>
      <c r="K1179" s="55">
        <v>1.63</v>
      </c>
      <c r="L1179" s="55">
        <v>0</v>
      </c>
      <c r="M1179" s="54" t="str">
        <f t="shared" si="93"/>
        <v>0-6 Months</v>
      </c>
      <c r="N1179" s="54" t="str">
        <f t="shared" si="94"/>
        <v>12-18 Months</v>
      </c>
      <c r="O1179" s="54" t="s">
        <v>7</v>
      </c>
      <c r="P1179" s="54">
        <f t="shared" si="90"/>
        <v>0</v>
      </c>
      <c r="Q1179">
        <f t="shared" si="91"/>
        <v>0</v>
      </c>
      <c r="R1179">
        <f t="shared" si="92"/>
        <v>0</v>
      </c>
    </row>
    <row r="1180" spans="1:18" x14ac:dyDescent="0.2">
      <c r="A1180" s="54">
        <v>194258</v>
      </c>
      <c r="B1180" s="54" t="s">
        <v>1332</v>
      </c>
      <c r="C1180" s="55">
        <v>0</v>
      </c>
      <c r="D1180" s="55">
        <v>20</v>
      </c>
      <c r="E1180" s="55">
        <v>0</v>
      </c>
      <c r="F1180" s="55">
        <v>5</v>
      </c>
      <c r="G1180" s="55">
        <v>5</v>
      </c>
      <c r="H1180" s="55">
        <v>5</v>
      </c>
      <c r="I1180" s="55">
        <v>0.25</v>
      </c>
      <c r="J1180" s="55">
        <v>0.25</v>
      </c>
      <c r="K1180" s="55">
        <v>0.25</v>
      </c>
      <c r="L1180" s="55">
        <v>0</v>
      </c>
      <c r="M1180" s="54" t="str">
        <f t="shared" si="93"/>
        <v>0-6 Months</v>
      </c>
      <c r="N1180" s="54" t="str">
        <f t="shared" si="94"/>
        <v>12-18 Months</v>
      </c>
      <c r="O1180" s="54" t="s">
        <v>7</v>
      </c>
      <c r="P1180" s="54">
        <f t="shared" si="90"/>
        <v>0</v>
      </c>
      <c r="Q1180">
        <f t="shared" si="91"/>
        <v>0</v>
      </c>
      <c r="R1180">
        <f t="shared" si="92"/>
        <v>0</v>
      </c>
    </row>
    <row r="1181" spans="1:18" x14ac:dyDescent="0.2">
      <c r="A1181" s="54">
        <v>197632</v>
      </c>
      <c r="B1181" s="54" t="s">
        <v>1352</v>
      </c>
      <c r="C1181" s="55">
        <v>0</v>
      </c>
      <c r="D1181" s="55">
        <v>15</v>
      </c>
      <c r="E1181" s="55">
        <v>0</v>
      </c>
      <c r="F1181" s="55">
        <v>0</v>
      </c>
      <c r="G1181" s="55">
        <v>0</v>
      </c>
      <c r="H1181" s="55">
        <v>0</v>
      </c>
      <c r="I1181" s="55">
        <v>0</v>
      </c>
      <c r="J1181" s="55">
        <v>0</v>
      </c>
      <c r="K1181" s="55">
        <v>0</v>
      </c>
      <c r="L1181" s="55">
        <v>0</v>
      </c>
      <c r="M1181" s="54" t="str">
        <f t="shared" si="93"/>
        <v>0-6 Months</v>
      </c>
      <c r="N1181" s="54" t="str">
        <f t="shared" si="94"/>
        <v>12-18 Months</v>
      </c>
      <c r="O1181" s="54" t="s">
        <v>7</v>
      </c>
      <c r="P1181" s="54">
        <f t="shared" si="90"/>
        <v>0</v>
      </c>
      <c r="Q1181">
        <f t="shared" si="91"/>
        <v>0</v>
      </c>
      <c r="R1181">
        <f t="shared" si="92"/>
        <v>0</v>
      </c>
    </row>
    <row r="1182" spans="1:18" x14ac:dyDescent="0.2">
      <c r="A1182" s="54">
        <v>205040</v>
      </c>
      <c r="B1182" s="54" t="s">
        <v>1359</v>
      </c>
      <c r="C1182" s="55">
        <v>0</v>
      </c>
      <c r="D1182" s="55">
        <v>4</v>
      </c>
      <c r="E1182" s="55">
        <v>0</v>
      </c>
      <c r="F1182" s="55">
        <v>0</v>
      </c>
      <c r="G1182" s="55">
        <v>0</v>
      </c>
      <c r="H1182" s="55">
        <v>0</v>
      </c>
      <c r="I1182" s="55">
        <v>0</v>
      </c>
      <c r="J1182" s="55">
        <v>0</v>
      </c>
      <c r="K1182" s="55">
        <v>0</v>
      </c>
      <c r="L1182" s="55">
        <v>0</v>
      </c>
      <c r="M1182" s="54" t="str">
        <f t="shared" si="93"/>
        <v>0-6 Months</v>
      </c>
      <c r="N1182" s="54" t="str">
        <f t="shared" si="94"/>
        <v>12-18 Months</v>
      </c>
      <c r="O1182" s="54" t="s">
        <v>7</v>
      </c>
      <c r="P1182" s="54">
        <f t="shared" si="90"/>
        <v>0</v>
      </c>
      <c r="Q1182">
        <f t="shared" si="91"/>
        <v>0</v>
      </c>
      <c r="R1182">
        <f t="shared" si="92"/>
        <v>0</v>
      </c>
    </row>
    <row r="1183" spans="1:18" x14ac:dyDescent="0.2">
      <c r="A1183" s="54">
        <v>216777</v>
      </c>
      <c r="B1183" s="54" t="s">
        <v>1317</v>
      </c>
      <c r="C1183" s="55">
        <v>0</v>
      </c>
      <c r="D1183" s="55">
        <v>15</v>
      </c>
      <c r="E1183" s="55">
        <v>0</v>
      </c>
      <c r="F1183" s="55">
        <v>54</v>
      </c>
      <c r="G1183" s="55">
        <v>54</v>
      </c>
      <c r="H1183" s="55">
        <v>54</v>
      </c>
      <c r="I1183" s="55">
        <v>3.6</v>
      </c>
      <c r="J1183" s="55">
        <v>3.6</v>
      </c>
      <c r="K1183" s="55">
        <v>3.6</v>
      </c>
      <c r="L1183" s="55">
        <v>0</v>
      </c>
      <c r="M1183" s="54" t="str">
        <f t="shared" si="93"/>
        <v>0-6 Months</v>
      </c>
      <c r="N1183" s="54" t="str">
        <f t="shared" si="94"/>
        <v>12-18 Months</v>
      </c>
      <c r="O1183" s="54" t="s">
        <v>7</v>
      </c>
      <c r="P1183" s="54">
        <f t="shared" si="90"/>
        <v>0</v>
      </c>
      <c r="Q1183">
        <f t="shared" si="91"/>
        <v>0</v>
      </c>
      <c r="R1183">
        <f t="shared" si="92"/>
        <v>0</v>
      </c>
    </row>
    <row r="1184" spans="1:18" x14ac:dyDescent="0.2">
      <c r="A1184" s="54">
        <v>224325</v>
      </c>
      <c r="B1184" s="54" t="s">
        <v>1333</v>
      </c>
      <c r="C1184" s="55">
        <v>0</v>
      </c>
      <c r="D1184" s="55">
        <v>5</v>
      </c>
      <c r="E1184" s="55">
        <v>0</v>
      </c>
      <c r="F1184" s="55">
        <v>0</v>
      </c>
      <c r="G1184" s="55">
        <v>0</v>
      </c>
      <c r="H1184" s="55">
        <v>0</v>
      </c>
      <c r="I1184" s="55">
        <v>0</v>
      </c>
      <c r="J1184" s="55">
        <v>0</v>
      </c>
      <c r="K1184" s="55">
        <v>0</v>
      </c>
      <c r="L1184" s="55">
        <v>0</v>
      </c>
      <c r="M1184" s="54" t="str">
        <f t="shared" si="93"/>
        <v>0-6 Months</v>
      </c>
      <c r="N1184" s="54" t="str">
        <f t="shared" si="94"/>
        <v>12-18 Months</v>
      </c>
      <c r="O1184" s="54" t="s">
        <v>7</v>
      </c>
      <c r="P1184" s="54">
        <f t="shared" si="90"/>
        <v>0</v>
      </c>
      <c r="Q1184">
        <f t="shared" si="91"/>
        <v>0</v>
      </c>
      <c r="R1184">
        <f t="shared" si="92"/>
        <v>0</v>
      </c>
    </row>
    <row r="1185" spans="1:18" x14ac:dyDescent="0.2">
      <c r="A1185" s="54">
        <v>228009</v>
      </c>
      <c r="B1185" s="54" t="s">
        <v>1326</v>
      </c>
      <c r="C1185" s="55">
        <v>0</v>
      </c>
      <c r="D1185" s="55">
        <v>7</v>
      </c>
      <c r="E1185" s="55">
        <v>0</v>
      </c>
      <c r="F1185" s="55">
        <v>0</v>
      </c>
      <c r="G1185" s="55">
        <v>0</v>
      </c>
      <c r="H1185" s="55">
        <v>0</v>
      </c>
      <c r="I1185" s="55">
        <v>0</v>
      </c>
      <c r="J1185" s="55">
        <v>0</v>
      </c>
      <c r="K1185" s="55">
        <v>0</v>
      </c>
      <c r="L1185" s="55">
        <v>0</v>
      </c>
      <c r="M1185" s="54" t="str">
        <f t="shared" si="93"/>
        <v>0-6 Months</v>
      </c>
      <c r="N1185" s="54" t="str">
        <f t="shared" si="94"/>
        <v>12-18 Months</v>
      </c>
      <c r="O1185" s="54" t="s">
        <v>7</v>
      </c>
      <c r="P1185" s="54">
        <f t="shared" si="90"/>
        <v>0</v>
      </c>
      <c r="Q1185">
        <f t="shared" si="91"/>
        <v>0</v>
      </c>
      <c r="R1185">
        <f t="shared" si="92"/>
        <v>0</v>
      </c>
    </row>
    <row r="1186" spans="1:18" x14ac:dyDescent="0.2">
      <c r="A1186" s="54">
        <v>316358</v>
      </c>
      <c r="B1186" s="54" t="s">
        <v>1358</v>
      </c>
      <c r="C1186" s="55">
        <v>0</v>
      </c>
      <c r="D1186" s="55">
        <v>20</v>
      </c>
      <c r="E1186" s="55">
        <v>0</v>
      </c>
      <c r="F1186" s="55">
        <v>0</v>
      </c>
      <c r="G1186" s="55">
        <v>0</v>
      </c>
      <c r="H1186" s="55">
        <v>0</v>
      </c>
      <c r="I1186" s="55">
        <v>0</v>
      </c>
      <c r="J1186" s="55">
        <v>0</v>
      </c>
      <c r="K1186" s="55">
        <v>0</v>
      </c>
      <c r="L1186" s="55">
        <v>0</v>
      </c>
      <c r="M1186" s="54" t="str">
        <f t="shared" si="93"/>
        <v>0-6 Months</v>
      </c>
      <c r="N1186" s="54" t="str">
        <f t="shared" si="94"/>
        <v>12-18 Months</v>
      </c>
      <c r="O1186" s="54" t="s">
        <v>7</v>
      </c>
      <c r="P1186" s="54">
        <f t="shared" si="90"/>
        <v>0</v>
      </c>
      <c r="Q1186">
        <f t="shared" si="91"/>
        <v>0</v>
      </c>
      <c r="R1186">
        <f t="shared" si="92"/>
        <v>0</v>
      </c>
    </row>
    <row r="1187" spans="1:18" x14ac:dyDescent="0.2">
      <c r="A1187" s="54">
        <v>318537</v>
      </c>
      <c r="B1187" s="54" t="s">
        <v>1331</v>
      </c>
      <c r="C1187" s="55">
        <v>0</v>
      </c>
      <c r="D1187" s="55">
        <v>8</v>
      </c>
      <c r="E1187" s="55">
        <v>0</v>
      </c>
      <c r="F1187" s="55">
        <v>11</v>
      </c>
      <c r="G1187" s="55">
        <v>11</v>
      </c>
      <c r="H1187" s="55">
        <v>11</v>
      </c>
      <c r="I1187" s="55">
        <v>1.38</v>
      </c>
      <c r="J1187" s="55">
        <v>1.38</v>
      </c>
      <c r="K1187" s="55">
        <v>1.38</v>
      </c>
      <c r="L1187" s="55">
        <v>46</v>
      </c>
      <c r="M1187" s="54" t="str">
        <f t="shared" si="93"/>
        <v>0-6 Months</v>
      </c>
      <c r="N1187" s="54" t="str">
        <f t="shared" si="94"/>
        <v>12-18 Months</v>
      </c>
      <c r="O1187" s="54" t="s">
        <v>7</v>
      </c>
      <c r="P1187" s="54">
        <f t="shared" si="90"/>
        <v>0</v>
      </c>
      <c r="Q1187">
        <f t="shared" si="91"/>
        <v>0</v>
      </c>
      <c r="R1187">
        <f t="shared" si="92"/>
        <v>0</v>
      </c>
    </row>
    <row r="1188" spans="1:18" x14ac:dyDescent="0.2">
      <c r="A1188" s="54">
        <v>319164</v>
      </c>
      <c r="B1188" s="54" t="s">
        <v>1334</v>
      </c>
      <c r="C1188" s="55">
        <v>0</v>
      </c>
      <c r="D1188" s="55">
        <v>25</v>
      </c>
      <c r="E1188" s="55">
        <v>0</v>
      </c>
      <c r="F1188" s="55">
        <v>0</v>
      </c>
      <c r="G1188" s="55">
        <v>0</v>
      </c>
      <c r="H1188" s="55">
        <v>0</v>
      </c>
      <c r="I1188" s="55">
        <v>0</v>
      </c>
      <c r="J1188" s="55">
        <v>0</v>
      </c>
      <c r="K1188" s="55">
        <v>0</v>
      </c>
      <c r="L1188" s="55">
        <v>0</v>
      </c>
      <c r="M1188" s="54" t="str">
        <f t="shared" si="93"/>
        <v>0-6 Months</v>
      </c>
      <c r="N1188" s="54" t="str">
        <f t="shared" si="94"/>
        <v>12-18 Months</v>
      </c>
      <c r="O1188" s="54" t="s">
        <v>7</v>
      </c>
      <c r="P1188" s="54">
        <f t="shared" si="90"/>
        <v>0</v>
      </c>
      <c r="Q1188">
        <f t="shared" si="91"/>
        <v>0</v>
      </c>
      <c r="R1188">
        <f t="shared" si="92"/>
        <v>0</v>
      </c>
    </row>
    <row r="1189" spans="1:18" x14ac:dyDescent="0.2">
      <c r="A1189" s="54">
        <v>324451</v>
      </c>
      <c r="B1189" s="54" t="s">
        <v>1353</v>
      </c>
      <c r="C1189" s="55">
        <v>0</v>
      </c>
      <c r="D1189" s="55">
        <v>6</v>
      </c>
      <c r="E1189" s="55">
        <v>0</v>
      </c>
      <c r="F1189" s="55">
        <v>0</v>
      </c>
      <c r="G1189" s="55">
        <v>0</v>
      </c>
      <c r="H1189" s="55">
        <v>0</v>
      </c>
      <c r="I1189" s="55">
        <v>0</v>
      </c>
      <c r="J1189" s="55">
        <v>0</v>
      </c>
      <c r="K1189" s="55">
        <v>0</v>
      </c>
      <c r="L1189" s="55">
        <v>0</v>
      </c>
      <c r="M1189" s="54" t="str">
        <f t="shared" si="93"/>
        <v>0-6 Months</v>
      </c>
      <c r="N1189" s="54" t="str">
        <f t="shared" si="94"/>
        <v>12-18 Months</v>
      </c>
      <c r="O1189" s="54" t="s">
        <v>7</v>
      </c>
      <c r="P1189" s="54">
        <f t="shared" si="90"/>
        <v>0</v>
      </c>
      <c r="Q1189">
        <f t="shared" si="91"/>
        <v>0</v>
      </c>
      <c r="R1189">
        <f t="shared" si="92"/>
        <v>0</v>
      </c>
    </row>
    <row r="1190" spans="1:18" x14ac:dyDescent="0.2">
      <c r="A1190" s="54">
        <v>327072</v>
      </c>
      <c r="B1190" s="54" t="s">
        <v>1348</v>
      </c>
      <c r="C1190" s="55">
        <v>0</v>
      </c>
      <c r="D1190" s="55">
        <v>15</v>
      </c>
      <c r="E1190" s="55">
        <v>0</v>
      </c>
      <c r="F1190" s="55">
        <v>0</v>
      </c>
      <c r="G1190" s="55">
        <v>0</v>
      </c>
      <c r="H1190" s="55">
        <v>0</v>
      </c>
      <c r="I1190" s="55">
        <v>0</v>
      </c>
      <c r="J1190" s="55">
        <v>0</v>
      </c>
      <c r="K1190" s="55">
        <v>0</v>
      </c>
      <c r="L1190" s="55">
        <v>0</v>
      </c>
      <c r="M1190" s="54" t="str">
        <f t="shared" si="93"/>
        <v>0-6 Months</v>
      </c>
      <c r="N1190" s="54" t="str">
        <f t="shared" si="94"/>
        <v>12-18 Months</v>
      </c>
      <c r="O1190" s="54" t="s">
        <v>7</v>
      </c>
      <c r="P1190" s="54">
        <f t="shared" si="90"/>
        <v>0</v>
      </c>
      <c r="Q1190">
        <f t="shared" si="91"/>
        <v>0</v>
      </c>
      <c r="R1190">
        <f t="shared" si="92"/>
        <v>0</v>
      </c>
    </row>
    <row r="1191" spans="1:18" x14ac:dyDescent="0.2">
      <c r="A1191" s="54">
        <v>445084</v>
      </c>
      <c r="B1191" s="54" t="s">
        <v>1330</v>
      </c>
      <c r="C1191" s="55">
        <v>0</v>
      </c>
      <c r="D1191" s="55">
        <v>12</v>
      </c>
      <c r="E1191" s="55">
        <v>0</v>
      </c>
      <c r="F1191" s="55">
        <v>0</v>
      </c>
      <c r="G1191" s="55">
        <v>0</v>
      </c>
      <c r="H1191" s="55">
        <v>0</v>
      </c>
      <c r="I1191" s="55">
        <v>0</v>
      </c>
      <c r="J1191" s="55">
        <v>0</v>
      </c>
      <c r="K1191" s="55">
        <v>0</v>
      </c>
      <c r="L1191" s="55">
        <v>0</v>
      </c>
      <c r="M1191" s="54" t="str">
        <f t="shared" si="93"/>
        <v>0-6 Months</v>
      </c>
      <c r="N1191" s="54" t="str">
        <f t="shared" si="94"/>
        <v>12-18 Months</v>
      </c>
      <c r="O1191" s="54" t="s">
        <v>7</v>
      </c>
      <c r="P1191" s="54">
        <f t="shared" si="90"/>
        <v>0</v>
      </c>
      <c r="Q1191">
        <f t="shared" si="91"/>
        <v>0</v>
      </c>
      <c r="R1191">
        <f t="shared" si="92"/>
        <v>0</v>
      </c>
    </row>
    <row r="1192" spans="1:18" x14ac:dyDescent="0.2">
      <c r="A1192" s="54">
        <v>451247</v>
      </c>
      <c r="B1192" s="54" t="s">
        <v>1354</v>
      </c>
      <c r="C1192" s="55">
        <v>0</v>
      </c>
      <c r="D1192" s="55">
        <v>9</v>
      </c>
      <c r="E1192" s="55">
        <v>0</v>
      </c>
      <c r="F1192" s="55">
        <v>0</v>
      </c>
      <c r="G1192" s="55">
        <v>0</v>
      </c>
      <c r="H1192" s="55">
        <v>0</v>
      </c>
      <c r="I1192" s="55">
        <v>0</v>
      </c>
      <c r="J1192" s="55">
        <v>0</v>
      </c>
      <c r="K1192" s="55">
        <v>0</v>
      </c>
      <c r="L1192" s="55">
        <v>0</v>
      </c>
      <c r="M1192" s="54" t="str">
        <f t="shared" si="93"/>
        <v>0-6 Months</v>
      </c>
      <c r="N1192" s="54" t="str">
        <f t="shared" si="94"/>
        <v>12-18 Months</v>
      </c>
      <c r="O1192" s="54" t="s">
        <v>7</v>
      </c>
      <c r="P1192" s="54">
        <f t="shared" si="90"/>
        <v>0</v>
      </c>
      <c r="Q1192">
        <f t="shared" si="91"/>
        <v>0</v>
      </c>
      <c r="R1192">
        <f t="shared" si="92"/>
        <v>0</v>
      </c>
    </row>
    <row r="1193" spans="1:18" x14ac:dyDescent="0.2">
      <c r="A1193" s="54">
        <v>462480</v>
      </c>
      <c r="B1193" s="54" t="s">
        <v>1321</v>
      </c>
      <c r="C1193" s="55">
        <v>0</v>
      </c>
      <c r="D1193" s="55">
        <v>20</v>
      </c>
      <c r="E1193" s="55">
        <v>0</v>
      </c>
      <c r="F1193" s="55">
        <v>0</v>
      </c>
      <c r="G1193" s="55">
        <v>0</v>
      </c>
      <c r="H1193" s="55">
        <v>0</v>
      </c>
      <c r="I1193" s="55">
        <v>0</v>
      </c>
      <c r="J1193" s="55">
        <v>0</v>
      </c>
      <c r="K1193" s="55">
        <v>0</v>
      </c>
      <c r="L1193" s="55">
        <v>0</v>
      </c>
      <c r="M1193" s="54" t="str">
        <f t="shared" si="93"/>
        <v>0-6 Months</v>
      </c>
      <c r="N1193" s="54" t="str">
        <f t="shared" si="94"/>
        <v>12-18 Months</v>
      </c>
      <c r="O1193" s="54" t="s">
        <v>7</v>
      </c>
      <c r="P1193" s="54">
        <f t="shared" si="90"/>
        <v>0</v>
      </c>
      <c r="Q1193">
        <f t="shared" si="91"/>
        <v>0</v>
      </c>
      <c r="R1193">
        <f t="shared" si="92"/>
        <v>0</v>
      </c>
    </row>
    <row r="1194" spans="1:18" x14ac:dyDescent="0.2">
      <c r="A1194" s="54">
        <v>465596</v>
      </c>
      <c r="B1194" s="54" t="s">
        <v>1360</v>
      </c>
      <c r="C1194" s="55">
        <v>0</v>
      </c>
      <c r="D1194" s="55">
        <v>5</v>
      </c>
      <c r="E1194" s="55">
        <v>0</v>
      </c>
      <c r="F1194" s="55">
        <v>0</v>
      </c>
      <c r="G1194" s="55">
        <v>0</v>
      </c>
      <c r="H1194" s="55">
        <v>0</v>
      </c>
      <c r="I1194" s="55">
        <v>0</v>
      </c>
      <c r="J1194" s="55">
        <v>0</v>
      </c>
      <c r="K1194" s="55">
        <v>0</v>
      </c>
      <c r="L1194" s="55">
        <v>0</v>
      </c>
      <c r="M1194" s="54" t="str">
        <f t="shared" si="93"/>
        <v>0-6 Months</v>
      </c>
      <c r="N1194" s="54" t="str">
        <f t="shared" si="94"/>
        <v>12-18 Months</v>
      </c>
      <c r="O1194" s="54" t="s">
        <v>7</v>
      </c>
      <c r="P1194" s="54">
        <f t="shared" si="90"/>
        <v>0</v>
      </c>
      <c r="Q1194">
        <f t="shared" si="91"/>
        <v>0</v>
      </c>
      <c r="R1194">
        <f t="shared" si="92"/>
        <v>0</v>
      </c>
    </row>
    <row r="1195" spans="1:18" x14ac:dyDescent="0.2">
      <c r="A1195" s="54">
        <v>465793</v>
      </c>
      <c r="B1195" s="54" t="s">
        <v>1347</v>
      </c>
      <c r="C1195" s="55">
        <v>0</v>
      </c>
      <c r="D1195" s="55">
        <v>3</v>
      </c>
      <c r="E1195" s="55">
        <v>0</v>
      </c>
      <c r="F1195" s="55">
        <v>5</v>
      </c>
      <c r="G1195" s="55">
        <v>5</v>
      </c>
      <c r="H1195" s="55">
        <v>5</v>
      </c>
      <c r="I1195" s="55">
        <v>1.67</v>
      </c>
      <c r="J1195" s="55">
        <v>1.67</v>
      </c>
      <c r="K1195" s="55">
        <v>1.67</v>
      </c>
      <c r="L1195" s="55">
        <v>0</v>
      </c>
      <c r="M1195" s="54" t="str">
        <f t="shared" si="93"/>
        <v>0-6 Months</v>
      </c>
      <c r="N1195" s="54" t="str">
        <f t="shared" si="94"/>
        <v>12-18 Months</v>
      </c>
      <c r="O1195" s="54" t="s">
        <v>7</v>
      </c>
      <c r="P1195" s="54">
        <f t="shared" si="90"/>
        <v>0</v>
      </c>
      <c r="Q1195">
        <f t="shared" si="91"/>
        <v>0</v>
      </c>
      <c r="R1195">
        <f t="shared" si="92"/>
        <v>0</v>
      </c>
    </row>
    <row r="1196" spans="1:18" x14ac:dyDescent="0.2">
      <c r="A1196" s="54">
        <v>466403</v>
      </c>
      <c r="B1196" s="54" t="s">
        <v>1361</v>
      </c>
      <c r="C1196" s="55">
        <v>0</v>
      </c>
      <c r="D1196" s="55">
        <v>41</v>
      </c>
      <c r="E1196" s="55">
        <v>0</v>
      </c>
      <c r="F1196" s="55">
        <v>0</v>
      </c>
      <c r="G1196" s="55">
        <v>0</v>
      </c>
      <c r="H1196" s="55">
        <v>0</v>
      </c>
      <c r="I1196" s="55">
        <v>0</v>
      </c>
      <c r="J1196" s="55">
        <v>0</v>
      </c>
      <c r="K1196" s="55">
        <v>0</v>
      </c>
      <c r="L1196" s="55">
        <v>0</v>
      </c>
      <c r="M1196" s="54" t="str">
        <f t="shared" si="93"/>
        <v>0-6 Months</v>
      </c>
      <c r="N1196" s="54" t="str">
        <f t="shared" si="94"/>
        <v>12-18 Months</v>
      </c>
      <c r="O1196" s="54" t="s">
        <v>7</v>
      </c>
      <c r="P1196" s="54">
        <f t="shared" si="90"/>
        <v>0</v>
      </c>
      <c r="Q1196">
        <f t="shared" si="91"/>
        <v>0</v>
      </c>
      <c r="R1196">
        <f t="shared" si="92"/>
        <v>0</v>
      </c>
    </row>
    <row r="1197" spans="1:18" x14ac:dyDescent="0.2">
      <c r="A1197" s="54">
        <v>469102</v>
      </c>
      <c r="B1197" s="54" t="s">
        <v>1338</v>
      </c>
      <c r="C1197" s="55">
        <v>0</v>
      </c>
      <c r="D1197" s="55">
        <v>31</v>
      </c>
      <c r="E1197" s="55">
        <v>0</v>
      </c>
      <c r="F1197" s="55">
        <v>0</v>
      </c>
      <c r="G1197" s="55">
        <v>0</v>
      </c>
      <c r="H1197" s="55">
        <v>0</v>
      </c>
      <c r="I1197" s="55">
        <v>0</v>
      </c>
      <c r="J1197" s="55">
        <v>0</v>
      </c>
      <c r="K1197" s="55">
        <v>0</v>
      </c>
      <c r="L1197" s="55">
        <v>0</v>
      </c>
      <c r="M1197" s="54" t="str">
        <f t="shared" si="93"/>
        <v>0-6 Months</v>
      </c>
      <c r="N1197" s="54" t="str">
        <f t="shared" si="94"/>
        <v>12-18 Months</v>
      </c>
      <c r="O1197" s="54" t="s">
        <v>7</v>
      </c>
      <c r="P1197" s="54">
        <f t="shared" si="90"/>
        <v>0</v>
      </c>
      <c r="Q1197">
        <f t="shared" si="91"/>
        <v>0</v>
      </c>
      <c r="R1197">
        <f t="shared" si="92"/>
        <v>0</v>
      </c>
    </row>
    <row r="1198" spans="1:18" x14ac:dyDescent="0.2">
      <c r="A1198" s="54">
        <v>475795</v>
      </c>
      <c r="B1198" s="54" t="s">
        <v>1327</v>
      </c>
      <c r="C1198" s="55">
        <v>0</v>
      </c>
      <c r="D1198" s="55">
        <v>7</v>
      </c>
      <c r="E1198" s="55">
        <v>0</v>
      </c>
      <c r="F1198" s="55">
        <v>0</v>
      </c>
      <c r="G1198" s="55">
        <v>0</v>
      </c>
      <c r="H1198" s="55">
        <v>0</v>
      </c>
      <c r="I1198" s="55">
        <v>0</v>
      </c>
      <c r="J1198" s="55">
        <v>0</v>
      </c>
      <c r="K1198" s="55">
        <v>0</v>
      </c>
      <c r="L1198" s="55">
        <v>0</v>
      </c>
      <c r="M1198" s="54" t="str">
        <f t="shared" si="93"/>
        <v>0-6 Months</v>
      </c>
      <c r="N1198" s="54" t="str">
        <f t="shared" si="94"/>
        <v>12-18 Months</v>
      </c>
      <c r="O1198" s="54" t="s">
        <v>7</v>
      </c>
      <c r="P1198" s="54">
        <f t="shared" si="90"/>
        <v>0</v>
      </c>
      <c r="Q1198">
        <f t="shared" si="91"/>
        <v>0</v>
      </c>
      <c r="R1198">
        <f t="shared" si="92"/>
        <v>0</v>
      </c>
    </row>
    <row r="1199" spans="1:18" x14ac:dyDescent="0.2">
      <c r="A1199" s="54">
        <v>487359</v>
      </c>
      <c r="B1199" s="54" t="s">
        <v>1328</v>
      </c>
      <c r="C1199" s="55">
        <v>0</v>
      </c>
      <c r="D1199" s="55">
        <v>7</v>
      </c>
      <c r="E1199" s="55">
        <v>0</v>
      </c>
      <c r="F1199" s="55">
        <v>4</v>
      </c>
      <c r="G1199" s="55">
        <v>4</v>
      </c>
      <c r="H1199" s="55">
        <v>4</v>
      </c>
      <c r="I1199" s="55">
        <v>0.56999999999999995</v>
      </c>
      <c r="J1199" s="55">
        <v>0.56999999999999995</v>
      </c>
      <c r="K1199" s="55">
        <v>0.56999999999999995</v>
      </c>
      <c r="L1199" s="55">
        <v>4</v>
      </c>
      <c r="M1199" s="54" t="str">
        <f t="shared" si="93"/>
        <v>0-6 Months</v>
      </c>
      <c r="N1199" s="54" t="str">
        <f t="shared" si="94"/>
        <v>12-18 Months</v>
      </c>
      <c r="O1199" s="54" t="s">
        <v>7</v>
      </c>
      <c r="P1199" s="54">
        <f t="shared" si="90"/>
        <v>0</v>
      </c>
      <c r="Q1199">
        <f t="shared" si="91"/>
        <v>0</v>
      </c>
      <c r="R1199">
        <f t="shared" si="92"/>
        <v>0</v>
      </c>
    </row>
    <row r="1200" spans="1:18" x14ac:dyDescent="0.2">
      <c r="A1200" s="54">
        <v>488900</v>
      </c>
      <c r="B1200" s="54" t="s">
        <v>1318</v>
      </c>
      <c r="C1200" s="55">
        <v>0</v>
      </c>
      <c r="D1200" s="55">
        <v>16</v>
      </c>
      <c r="E1200" s="55">
        <v>0</v>
      </c>
      <c r="F1200" s="55">
        <v>0</v>
      </c>
      <c r="G1200" s="55">
        <v>0</v>
      </c>
      <c r="H1200" s="55">
        <v>0</v>
      </c>
      <c r="I1200" s="55">
        <v>0</v>
      </c>
      <c r="J1200" s="55">
        <v>0</v>
      </c>
      <c r="K1200" s="55">
        <v>0</v>
      </c>
      <c r="L1200" s="55">
        <v>0</v>
      </c>
      <c r="M1200" s="54" t="str">
        <f t="shared" si="93"/>
        <v>0-6 Months</v>
      </c>
      <c r="N1200" s="54" t="str">
        <f t="shared" si="94"/>
        <v>12-18 Months</v>
      </c>
      <c r="O1200" s="54" t="s">
        <v>7</v>
      </c>
      <c r="P1200" s="54">
        <f t="shared" si="90"/>
        <v>0</v>
      </c>
      <c r="Q1200">
        <f t="shared" si="91"/>
        <v>0</v>
      </c>
      <c r="R1200">
        <f t="shared" si="92"/>
        <v>0</v>
      </c>
    </row>
    <row r="1201" spans="1:18" x14ac:dyDescent="0.2">
      <c r="A1201" s="54">
        <v>494760</v>
      </c>
      <c r="B1201" s="54" t="s">
        <v>1337</v>
      </c>
      <c r="C1201" s="55">
        <v>0</v>
      </c>
      <c r="D1201" s="55">
        <v>75</v>
      </c>
      <c r="E1201" s="55">
        <v>0</v>
      </c>
      <c r="F1201" s="55">
        <v>0</v>
      </c>
      <c r="G1201" s="55">
        <v>0</v>
      </c>
      <c r="H1201" s="55">
        <v>0</v>
      </c>
      <c r="I1201" s="55">
        <v>0</v>
      </c>
      <c r="J1201" s="55">
        <v>0</v>
      </c>
      <c r="K1201" s="55">
        <v>0</v>
      </c>
      <c r="L1201" s="55">
        <v>0</v>
      </c>
      <c r="M1201" s="54" t="str">
        <f t="shared" si="93"/>
        <v>0-6 Months</v>
      </c>
      <c r="N1201" s="54" t="str">
        <f t="shared" si="94"/>
        <v>12-18 Months</v>
      </c>
      <c r="O1201" s="54" t="s">
        <v>7</v>
      </c>
      <c r="P1201" s="54">
        <f t="shared" si="90"/>
        <v>0</v>
      </c>
      <c r="Q1201">
        <f t="shared" si="91"/>
        <v>0</v>
      </c>
      <c r="R1201">
        <f t="shared" si="92"/>
        <v>0</v>
      </c>
    </row>
    <row r="1202" spans="1:18" x14ac:dyDescent="0.2">
      <c r="A1202" s="54">
        <v>501978</v>
      </c>
      <c r="B1202" s="54" t="s">
        <v>1340</v>
      </c>
      <c r="C1202" s="55">
        <v>0</v>
      </c>
      <c r="D1202" s="55">
        <v>5</v>
      </c>
      <c r="E1202" s="55">
        <v>0</v>
      </c>
      <c r="F1202" s="55">
        <v>0</v>
      </c>
      <c r="G1202" s="55">
        <v>0</v>
      </c>
      <c r="H1202" s="55">
        <v>0</v>
      </c>
      <c r="I1202" s="55">
        <v>0</v>
      </c>
      <c r="J1202" s="55">
        <v>0</v>
      </c>
      <c r="K1202" s="55">
        <v>0</v>
      </c>
      <c r="L1202" s="55">
        <v>0</v>
      </c>
      <c r="M1202" s="54" t="str">
        <f t="shared" si="93"/>
        <v>0-6 Months</v>
      </c>
      <c r="N1202" s="54" t="str">
        <f t="shared" si="94"/>
        <v>12-18 Months</v>
      </c>
      <c r="O1202" s="54" t="s">
        <v>7</v>
      </c>
      <c r="P1202" s="54">
        <f t="shared" si="90"/>
        <v>0</v>
      </c>
      <c r="Q1202">
        <f t="shared" si="91"/>
        <v>0</v>
      </c>
      <c r="R1202">
        <f t="shared" si="92"/>
        <v>0</v>
      </c>
    </row>
    <row r="1203" spans="1:18" x14ac:dyDescent="0.2">
      <c r="A1203" s="54">
        <v>507320</v>
      </c>
      <c r="B1203" s="54" t="s">
        <v>1350</v>
      </c>
      <c r="C1203" s="55">
        <v>0</v>
      </c>
      <c r="D1203" s="55">
        <v>2</v>
      </c>
      <c r="E1203" s="55">
        <v>0</v>
      </c>
      <c r="F1203" s="55">
        <v>0</v>
      </c>
      <c r="G1203" s="55">
        <v>0</v>
      </c>
      <c r="H1203" s="55">
        <v>0</v>
      </c>
      <c r="I1203" s="55">
        <v>0</v>
      </c>
      <c r="J1203" s="55">
        <v>0</v>
      </c>
      <c r="K1203" s="55">
        <v>0</v>
      </c>
      <c r="L1203" s="55">
        <v>0</v>
      </c>
      <c r="M1203" s="54" t="str">
        <f t="shared" si="93"/>
        <v>0-6 Months</v>
      </c>
      <c r="N1203" s="54" t="str">
        <f t="shared" si="94"/>
        <v>12-18 Months</v>
      </c>
      <c r="O1203" s="54" t="s">
        <v>7</v>
      </c>
      <c r="P1203" s="54">
        <f t="shared" si="90"/>
        <v>0</v>
      </c>
      <c r="Q1203">
        <f t="shared" si="91"/>
        <v>0</v>
      </c>
      <c r="R1203">
        <f t="shared" si="92"/>
        <v>0</v>
      </c>
    </row>
    <row r="1204" spans="1:18" x14ac:dyDescent="0.2">
      <c r="A1204" s="54">
        <v>513383</v>
      </c>
      <c r="B1204" s="54" t="s">
        <v>1314</v>
      </c>
      <c r="C1204" s="55">
        <v>0</v>
      </c>
      <c r="D1204" s="55">
        <v>12</v>
      </c>
      <c r="E1204" s="55">
        <v>0</v>
      </c>
      <c r="F1204" s="55">
        <v>0</v>
      </c>
      <c r="G1204" s="55">
        <v>0</v>
      </c>
      <c r="H1204" s="55">
        <v>0</v>
      </c>
      <c r="I1204" s="55">
        <v>0</v>
      </c>
      <c r="J1204" s="55">
        <v>0</v>
      </c>
      <c r="K1204" s="55">
        <v>0</v>
      </c>
      <c r="L1204" s="55">
        <v>0</v>
      </c>
      <c r="M1204" s="54" t="str">
        <f t="shared" si="93"/>
        <v>0-6 Months</v>
      </c>
      <c r="N1204" s="54" t="str">
        <f t="shared" si="94"/>
        <v>12-18 Months</v>
      </c>
      <c r="O1204" s="54" t="s">
        <v>7</v>
      </c>
      <c r="P1204" s="54">
        <f t="shared" si="90"/>
        <v>0</v>
      </c>
      <c r="Q1204">
        <f t="shared" si="91"/>
        <v>0</v>
      </c>
      <c r="R1204">
        <f t="shared" si="92"/>
        <v>0</v>
      </c>
    </row>
    <row r="1205" spans="1:18" x14ac:dyDescent="0.2">
      <c r="A1205" s="54">
        <v>514640</v>
      </c>
      <c r="B1205" s="54" t="s">
        <v>1342</v>
      </c>
      <c r="C1205" s="55">
        <v>0</v>
      </c>
      <c r="D1205" s="55">
        <v>12</v>
      </c>
      <c r="E1205" s="55">
        <v>0</v>
      </c>
      <c r="F1205" s="55">
        <v>0</v>
      </c>
      <c r="G1205" s="55">
        <v>0</v>
      </c>
      <c r="H1205" s="55">
        <v>0</v>
      </c>
      <c r="I1205" s="55">
        <v>0</v>
      </c>
      <c r="J1205" s="55">
        <v>0</v>
      </c>
      <c r="K1205" s="55">
        <v>0</v>
      </c>
      <c r="L1205" s="55">
        <v>0</v>
      </c>
      <c r="M1205" s="54" t="str">
        <f t="shared" si="93"/>
        <v>0-6 Months</v>
      </c>
      <c r="N1205" s="54" t="str">
        <f t="shared" si="94"/>
        <v>12-18 Months</v>
      </c>
      <c r="O1205" s="54" t="s">
        <v>7</v>
      </c>
      <c r="P1205" s="54">
        <f t="shared" si="90"/>
        <v>0</v>
      </c>
      <c r="Q1205">
        <f t="shared" si="91"/>
        <v>0</v>
      </c>
      <c r="R1205">
        <f t="shared" si="92"/>
        <v>0</v>
      </c>
    </row>
    <row r="1206" spans="1:18" x14ac:dyDescent="0.2">
      <c r="A1206" s="54">
        <v>515059</v>
      </c>
      <c r="B1206" s="54" t="s">
        <v>1324</v>
      </c>
      <c r="C1206" s="55">
        <v>0</v>
      </c>
      <c r="D1206" s="55">
        <v>7</v>
      </c>
      <c r="E1206" s="55">
        <v>0</v>
      </c>
      <c r="F1206" s="55">
        <v>1</v>
      </c>
      <c r="G1206" s="55">
        <v>1</v>
      </c>
      <c r="H1206" s="55">
        <v>1</v>
      </c>
      <c r="I1206" s="55">
        <v>0.14000000000000001</v>
      </c>
      <c r="J1206" s="55">
        <v>0.14000000000000001</v>
      </c>
      <c r="K1206" s="55">
        <v>0.14000000000000001</v>
      </c>
      <c r="L1206" s="55">
        <v>0</v>
      </c>
      <c r="M1206" s="54" t="str">
        <f t="shared" si="93"/>
        <v>0-6 Months</v>
      </c>
      <c r="N1206" s="54" t="str">
        <f t="shared" si="94"/>
        <v>12-18 Months</v>
      </c>
      <c r="O1206" s="54" t="s">
        <v>7</v>
      </c>
      <c r="P1206" s="54">
        <f t="shared" si="90"/>
        <v>0</v>
      </c>
      <c r="Q1206">
        <f t="shared" si="91"/>
        <v>0</v>
      </c>
      <c r="R1206">
        <f t="shared" si="92"/>
        <v>0</v>
      </c>
    </row>
    <row r="1207" spans="1:18" x14ac:dyDescent="0.2">
      <c r="A1207" s="54">
        <v>538448</v>
      </c>
      <c r="B1207" s="54" t="s">
        <v>1349</v>
      </c>
      <c r="C1207" s="55">
        <v>0</v>
      </c>
      <c r="D1207" s="55">
        <v>5</v>
      </c>
      <c r="E1207" s="55">
        <v>0</v>
      </c>
      <c r="F1207" s="55">
        <v>0</v>
      </c>
      <c r="G1207" s="55">
        <v>0</v>
      </c>
      <c r="H1207" s="55">
        <v>0</v>
      </c>
      <c r="I1207" s="55">
        <v>0</v>
      </c>
      <c r="J1207" s="55">
        <v>0</v>
      </c>
      <c r="K1207" s="55">
        <v>0</v>
      </c>
      <c r="L1207" s="55">
        <v>0</v>
      </c>
      <c r="M1207" s="54" t="str">
        <f t="shared" si="93"/>
        <v>0-6 Months</v>
      </c>
      <c r="N1207" s="54" t="str">
        <f t="shared" si="94"/>
        <v>12-18 Months</v>
      </c>
      <c r="O1207" s="54" t="s">
        <v>7</v>
      </c>
      <c r="P1207" s="54">
        <f t="shared" si="90"/>
        <v>0</v>
      </c>
      <c r="Q1207">
        <f t="shared" si="91"/>
        <v>0</v>
      </c>
      <c r="R1207">
        <f t="shared" si="92"/>
        <v>0</v>
      </c>
    </row>
    <row r="1208" spans="1:18" x14ac:dyDescent="0.2">
      <c r="A1208" s="54">
        <v>606973</v>
      </c>
      <c r="B1208" s="54" t="s">
        <v>1344</v>
      </c>
      <c r="C1208" s="55">
        <v>0</v>
      </c>
      <c r="D1208" s="55">
        <v>12</v>
      </c>
      <c r="E1208" s="55">
        <v>0</v>
      </c>
      <c r="F1208" s="55">
        <v>0</v>
      </c>
      <c r="G1208" s="55">
        <v>0</v>
      </c>
      <c r="H1208" s="55">
        <v>0</v>
      </c>
      <c r="I1208" s="55">
        <v>0</v>
      </c>
      <c r="J1208" s="55">
        <v>0</v>
      </c>
      <c r="K1208" s="55">
        <v>0</v>
      </c>
      <c r="L1208" s="55">
        <v>0</v>
      </c>
      <c r="M1208" s="54" t="str">
        <f t="shared" si="93"/>
        <v>0-6 Months</v>
      </c>
      <c r="N1208" s="54" t="str">
        <f t="shared" si="94"/>
        <v>12-18 Months</v>
      </c>
      <c r="O1208" s="54" t="s">
        <v>7</v>
      </c>
      <c r="P1208" s="54">
        <f t="shared" si="90"/>
        <v>0</v>
      </c>
      <c r="Q1208">
        <f t="shared" si="91"/>
        <v>0</v>
      </c>
      <c r="R1208">
        <f t="shared" si="92"/>
        <v>0</v>
      </c>
    </row>
    <row r="1209" spans="1:18" x14ac:dyDescent="0.2">
      <c r="A1209" s="54">
        <v>611350</v>
      </c>
      <c r="B1209" s="54" t="s">
        <v>1355</v>
      </c>
      <c r="C1209" s="55">
        <v>0</v>
      </c>
      <c r="D1209" s="55">
        <v>1</v>
      </c>
      <c r="E1209" s="55">
        <v>0</v>
      </c>
      <c r="F1209" s="55">
        <v>0</v>
      </c>
      <c r="G1209" s="55">
        <v>0</v>
      </c>
      <c r="H1209" s="55">
        <v>0</v>
      </c>
      <c r="I1209" s="55">
        <v>0</v>
      </c>
      <c r="J1209" s="55">
        <v>0</v>
      </c>
      <c r="K1209" s="55">
        <v>0</v>
      </c>
      <c r="L1209" s="55">
        <v>0</v>
      </c>
      <c r="M1209" s="54" t="str">
        <f t="shared" si="93"/>
        <v>0-6 Months</v>
      </c>
      <c r="N1209" s="54" t="str">
        <f t="shared" si="94"/>
        <v>12-18 Months</v>
      </c>
      <c r="O1209" s="54" t="s">
        <v>7</v>
      </c>
      <c r="P1209" s="54">
        <f t="shared" si="90"/>
        <v>0</v>
      </c>
      <c r="Q1209">
        <f t="shared" si="91"/>
        <v>0</v>
      </c>
      <c r="R1209">
        <f t="shared" si="92"/>
        <v>0</v>
      </c>
    </row>
    <row r="1210" spans="1:18" x14ac:dyDescent="0.2">
      <c r="A1210" s="54" t="s">
        <v>1336</v>
      </c>
      <c r="B1210" s="54" t="s">
        <v>1335</v>
      </c>
      <c r="C1210" s="55">
        <v>0</v>
      </c>
      <c r="D1210" s="55">
        <v>5</v>
      </c>
      <c r="E1210" s="55">
        <v>0</v>
      </c>
      <c r="F1210" s="55">
        <v>0</v>
      </c>
      <c r="G1210" s="55">
        <v>0</v>
      </c>
      <c r="H1210" s="55">
        <v>0</v>
      </c>
      <c r="I1210" s="55">
        <v>0</v>
      </c>
      <c r="J1210" s="55">
        <v>0</v>
      </c>
      <c r="K1210" s="55">
        <v>0</v>
      </c>
      <c r="L1210" s="55">
        <v>0</v>
      </c>
      <c r="M1210" s="54" t="str">
        <f t="shared" si="93"/>
        <v>0-6 Months</v>
      </c>
      <c r="N1210" s="54" t="str">
        <f t="shared" si="94"/>
        <v>12-18 Months</v>
      </c>
      <c r="O1210" s="54" t="s">
        <v>7</v>
      </c>
      <c r="P1210" s="54">
        <f t="shared" si="90"/>
        <v>0</v>
      </c>
      <c r="Q1210">
        <f t="shared" si="91"/>
        <v>0</v>
      </c>
      <c r="R1210">
        <f t="shared" si="92"/>
        <v>0</v>
      </c>
    </row>
    <row r="1211" spans="1:18" x14ac:dyDescent="0.2">
      <c r="A1211" s="54">
        <v>490173</v>
      </c>
      <c r="B1211" s="54" t="s">
        <v>711</v>
      </c>
      <c r="C1211" s="55">
        <v>1</v>
      </c>
      <c r="D1211" s="55">
        <v>17</v>
      </c>
      <c r="E1211" s="55">
        <v>0</v>
      </c>
      <c r="F1211" s="55">
        <v>0</v>
      </c>
      <c r="G1211" s="55">
        <v>0</v>
      </c>
      <c r="H1211" s="55">
        <v>0</v>
      </c>
      <c r="I1211" s="55">
        <v>0</v>
      </c>
      <c r="J1211" s="55">
        <v>0</v>
      </c>
      <c r="K1211" s="55">
        <v>0</v>
      </c>
      <c r="L1211" s="55">
        <v>0</v>
      </c>
      <c r="M1211" s="54" t="str">
        <f t="shared" si="93"/>
        <v>0-6 Months</v>
      </c>
      <c r="N1211" s="54" t="str">
        <f t="shared" si="94"/>
        <v>12-18 Months</v>
      </c>
      <c r="O1211" s="54" t="s">
        <v>7</v>
      </c>
      <c r="P1211" s="54">
        <f t="shared" si="90"/>
        <v>0</v>
      </c>
      <c r="Q1211">
        <f t="shared" si="91"/>
        <v>0</v>
      </c>
      <c r="R1211">
        <f t="shared" si="92"/>
        <v>0</v>
      </c>
    </row>
    <row r="1212" spans="1:18" x14ac:dyDescent="0.2">
      <c r="A1212" s="54">
        <v>113258</v>
      </c>
      <c r="B1212" s="54" t="s">
        <v>739</v>
      </c>
      <c r="C1212" s="55">
        <v>2</v>
      </c>
      <c r="D1212" s="55">
        <v>2</v>
      </c>
      <c r="E1212" s="55">
        <v>0</v>
      </c>
      <c r="F1212" s="55">
        <v>0</v>
      </c>
      <c r="G1212" s="55">
        <v>0</v>
      </c>
      <c r="H1212" s="55">
        <v>0</v>
      </c>
      <c r="I1212" s="55">
        <v>0</v>
      </c>
      <c r="J1212" s="55">
        <v>0</v>
      </c>
      <c r="K1212" s="55">
        <v>0</v>
      </c>
      <c r="L1212" s="55">
        <v>0</v>
      </c>
      <c r="M1212" s="54" t="str">
        <f t="shared" si="93"/>
        <v>0-6 Months</v>
      </c>
      <c r="N1212" s="54" t="str">
        <f t="shared" si="94"/>
        <v>12-18 Months</v>
      </c>
      <c r="O1212" s="54" t="s">
        <v>7</v>
      </c>
      <c r="P1212" s="54">
        <f t="shared" si="90"/>
        <v>0</v>
      </c>
      <c r="Q1212">
        <f t="shared" si="91"/>
        <v>0</v>
      </c>
      <c r="R1212">
        <f t="shared" si="92"/>
        <v>0</v>
      </c>
    </row>
    <row r="1213" spans="1:18" x14ac:dyDescent="0.2">
      <c r="A1213" s="54">
        <v>115241</v>
      </c>
      <c r="B1213" s="54" t="s">
        <v>738</v>
      </c>
      <c r="C1213" s="55">
        <v>2</v>
      </c>
      <c r="D1213" s="55">
        <v>40</v>
      </c>
      <c r="E1213" s="55">
        <v>0</v>
      </c>
      <c r="F1213" s="55">
        <v>0</v>
      </c>
      <c r="G1213" s="55">
        <v>0</v>
      </c>
      <c r="H1213" s="55">
        <v>0</v>
      </c>
      <c r="I1213" s="55">
        <v>0</v>
      </c>
      <c r="J1213" s="55">
        <v>0</v>
      </c>
      <c r="K1213" s="55">
        <v>0</v>
      </c>
      <c r="L1213" s="55">
        <v>1</v>
      </c>
      <c r="M1213" s="54" t="str">
        <f t="shared" si="93"/>
        <v>0-6 Months</v>
      </c>
      <c r="N1213" s="54" t="str">
        <f t="shared" si="94"/>
        <v>12-18 Months</v>
      </c>
      <c r="O1213" s="54" t="s">
        <v>7</v>
      </c>
      <c r="P1213" s="54">
        <f t="shared" si="90"/>
        <v>0</v>
      </c>
      <c r="Q1213">
        <f t="shared" si="91"/>
        <v>0</v>
      </c>
      <c r="R1213">
        <f t="shared" si="92"/>
        <v>0</v>
      </c>
    </row>
    <row r="1214" spans="1:18" x14ac:dyDescent="0.2">
      <c r="A1214" s="54">
        <v>488120</v>
      </c>
      <c r="B1214" s="54" t="s">
        <v>737</v>
      </c>
      <c r="C1214" s="55">
        <v>2</v>
      </c>
      <c r="D1214" s="55">
        <v>2</v>
      </c>
      <c r="E1214" s="55">
        <v>0</v>
      </c>
      <c r="F1214" s="55">
        <v>6</v>
      </c>
      <c r="G1214" s="55">
        <v>6</v>
      </c>
      <c r="H1214" s="55">
        <v>6</v>
      </c>
      <c r="I1214" s="55">
        <v>3</v>
      </c>
      <c r="J1214" s="55">
        <v>3</v>
      </c>
      <c r="K1214" s="55">
        <v>3</v>
      </c>
      <c r="L1214" s="55">
        <v>0</v>
      </c>
      <c r="M1214" s="54" t="str">
        <f t="shared" si="93"/>
        <v>0-6 Months</v>
      </c>
      <c r="N1214" s="54" t="str">
        <f t="shared" si="94"/>
        <v>12-18 Months</v>
      </c>
      <c r="O1214" s="54" t="s">
        <v>7</v>
      </c>
      <c r="P1214" s="54">
        <f t="shared" si="90"/>
        <v>2</v>
      </c>
      <c r="Q1214">
        <f t="shared" si="91"/>
        <v>2</v>
      </c>
      <c r="R1214">
        <f t="shared" si="92"/>
        <v>2</v>
      </c>
    </row>
    <row r="1215" spans="1:18" x14ac:dyDescent="0.2">
      <c r="A1215" s="54">
        <v>107453</v>
      </c>
      <c r="B1215" s="54" t="s">
        <v>760</v>
      </c>
      <c r="C1215" s="55">
        <v>3</v>
      </c>
      <c r="D1215" s="55">
        <v>34</v>
      </c>
      <c r="E1215" s="55">
        <v>0</v>
      </c>
      <c r="F1215" s="55">
        <v>0</v>
      </c>
      <c r="G1215" s="55">
        <v>0</v>
      </c>
      <c r="H1215" s="55">
        <v>0</v>
      </c>
      <c r="I1215" s="55">
        <v>0</v>
      </c>
      <c r="J1215" s="55">
        <v>0</v>
      </c>
      <c r="K1215" s="55">
        <v>0</v>
      </c>
      <c r="L1215" s="55">
        <v>0</v>
      </c>
      <c r="M1215" s="54" t="str">
        <f t="shared" si="93"/>
        <v>0-6 Months</v>
      </c>
      <c r="N1215" s="54" t="str">
        <f t="shared" si="94"/>
        <v>12-18 Months</v>
      </c>
      <c r="O1215" s="54" t="s">
        <v>7</v>
      </c>
      <c r="P1215" s="54">
        <f t="shared" si="90"/>
        <v>0</v>
      </c>
      <c r="Q1215">
        <f t="shared" si="91"/>
        <v>0</v>
      </c>
      <c r="R1215">
        <f t="shared" si="92"/>
        <v>0</v>
      </c>
    </row>
    <row r="1216" spans="1:18" x14ac:dyDescent="0.2">
      <c r="A1216" s="54">
        <v>427790</v>
      </c>
      <c r="B1216" s="54" t="s">
        <v>761</v>
      </c>
      <c r="C1216" s="55">
        <v>3</v>
      </c>
      <c r="D1216" s="55">
        <v>39</v>
      </c>
      <c r="E1216" s="55">
        <v>0</v>
      </c>
      <c r="F1216" s="55">
        <v>30</v>
      </c>
      <c r="G1216" s="55">
        <v>7</v>
      </c>
      <c r="H1216" s="55">
        <v>0</v>
      </c>
      <c r="I1216" s="55">
        <v>0.77</v>
      </c>
      <c r="J1216" s="55">
        <v>0.18</v>
      </c>
      <c r="K1216" s="55">
        <v>0</v>
      </c>
      <c r="L1216" s="55">
        <v>1</v>
      </c>
      <c r="M1216" s="54" t="str">
        <f t="shared" si="93"/>
        <v>0-6 Months</v>
      </c>
      <c r="N1216" s="54" t="str">
        <f t="shared" si="94"/>
        <v>12-18 Months</v>
      </c>
      <c r="O1216" s="54" t="s">
        <v>7</v>
      </c>
      <c r="P1216" s="54">
        <f t="shared" si="90"/>
        <v>0</v>
      </c>
      <c r="Q1216">
        <f t="shared" si="91"/>
        <v>0</v>
      </c>
      <c r="R1216">
        <f t="shared" si="92"/>
        <v>0</v>
      </c>
    </row>
    <row r="1217" spans="1:18" x14ac:dyDescent="0.2">
      <c r="A1217" s="54">
        <v>107747</v>
      </c>
      <c r="B1217" s="54" t="s">
        <v>780</v>
      </c>
      <c r="C1217" s="55">
        <v>4</v>
      </c>
      <c r="D1217" s="55">
        <v>40</v>
      </c>
      <c r="E1217" s="55">
        <v>0</v>
      </c>
      <c r="F1217" s="55">
        <v>0</v>
      </c>
      <c r="G1217" s="55">
        <v>0</v>
      </c>
      <c r="H1217" s="55">
        <v>0</v>
      </c>
      <c r="I1217" s="55">
        <v>0</v>
      </c>
      <c r="J1217" s="55">
        <v>0</v>
      </c>
      <c r="K1217" s="55">
        <v>0</v>
      </c>
      <c r="L1217" s="55">
        <v>0</v>
      </c>
      <c r="M1217" s="54" t="str">
        <f t="shared" si="93"/>
        <v>0-6 Months</v>
      </c>
      <c r="N1217" s="54" t="str">
        <f t="shared" si="94"/>
        <v>12-18 Months</v>
      </c>
      <c r="O1217" s="54" t="s">
        <v>7</v>
      </c>
      <c r="P1217" s="54">
        <f t="shared" si="90"/>
        <v>0</v>
      </c>
      <c r="Q1217">
        <f t="shared" si="91"/>
        <v>0</v>
      </c>
      <c r="R1217">
        <f t="shared" si="92"/>
        <v>0</v>
      </c>
    </row>
    <row r="1218" spans="1:18" x14ac:dyDescent="0.2">
      <c r="A1218" s="54">
        <v>141533</v>
      </c>
      <c r="B1218" s="54" t="s">
        <v>777</v>
      </c>
      <c r="C1218" s="55">
        <v>4</v>
      </c>
      <c r="D1218" s="55">
        <v>57</v>
      </c>
      <c r="E1218" s="55">
        <v>0</v>
      </c>
      <c r="F1218" s="55">
        <v>0</v>
      </c>
      <c r="G1218" s="55">
        <v>0</v>
      </c>
      <c r="H1218" s="55">
        <v>0</v>
      </c>
      <c r="I1218" s="55">
        <v>0</v>
      </c>
      <c r="J1218" s="55">
        <v>0</v>
      </c>
      <c r="K1218" s="55">
        <v>0</v>
      </c>
      <c r="L1218" s="55">
        <v>0</v>
      </c>
      <c r="M1218" s="54" t="str">
        <f t="shared" si="93"/>
        <v>0-6 Months</v>
      </c>
      <c r="N1218" s="54" t="str">
        <f t="shared" si="94"/>
        <v>12-18 Months</v>
      </c>
      <c r="O1218" s="54" t="s">
        <v>7</v>
      </c>
      <c r="P1218" s="54">
        <f t="shared" ref="P1218:P1282" si="95">IF(I1218&gt;=2, C1218, IF(J1218&gt;=0.75, C1218, 0))</f>
        <v>0</v>
      </c>
      <c r="Q1218">
        <f t="shared" ref="Q1218:Q1282" si="96">IF(I1218&gt;=2, C1218, IF(AND(J1218&gt;=0.75, D1218&gt;=550), C1218, 0))</f>
        <v>0</v>
      </c>
      <c r="R1218">
        <f t="shared" ref="R1218:R1282" si="97">IF(J1218&gt;=0.75, C1218, 0)</f>
        <v>0</v>
      </c>
    </row>
    <row r="1219" spans="1:18" x14ac:dyDescent="0.2">
      <c r="A1219" s="54">
        <v>221765</v>
      </c>
      <c r="B1219" s="54" t="s">
        <v>778</v>
      </c>
      <c r="C1219" s="55">
        <v>4</v>
      </c>
      <c r="D1219" s="55">
        <v>4</v>
      </c>
      <c r="E1219" s="55">
        <v>0</v>
      </c>
      <c r="F1219" s="55">
        <v>0</v>
      </c>
      <c r="G1219" s="55">
        <v>0</v>
      </c>
      <c r="H1219" s="55">
        <v>0</v>
      </c>
      <c r="I1219" s="55">
        <v>0</v>
      </c>
      <c r="J1219" s="55">
        <v>0</v>
      </c>
      <c r="K1219" s="55">
        <v>0</v>
      </c>
      <c r="L1219" s="55">
        <v>0</v>
      </c>
      <c r="M1219" s="54" t="str">
        <f t="shared" ref="M1219:M1282" si="98">IF(E1219&lt;6,"0-6 Months", IF(E1219&lt;13, "6-12 Months", IF(E1219&lt;19, "12-24 Months", IF(E1219&lt;25, "12-24 Months", "24+ Months"))))</f>
        <v>0-6 Months</v>
      </c>
      <c r="N1219" s="54" t="str">
        <f t="shared" ref="N1219:N1282" si="99">IF(E1219&lt;6,"12-18 Months", IF(E1219&lt;13, "18-24 Months", "24+ Months"))</f>
        <v>12-18 Months</v>
      </c>
      <c r="O1219" s="54" t="s">
        <v>7</v>
      </c>
      <c r="P1219" s="54">
        <f t="shared" si="95"/>
        <v>0</v>
      </c>
      <c r="Q1219">
        <f t="shared" si="96"/>
        <v>0</v>
      </c>
      <c r="R1219">
        <f t="shared" si="97"/>
        <v>0</v>
      </c>
    </row>
    <row r="1220" spans="1:18" x14ac:dyDescent="0.2">
      <c r="A1220" s="54">
        <v>316775</v>
      </c>
      <c r="B1220" s="54" t="s">
        <v>776</v>
      </c>
      <c r="C1220" s="55">
        <v>4</v>
      </c>
      <c r="D1220" s="55">
        <v>160</v>
      </c>
      <c r="E1220" s="55">
        <v>0</v>
      </c>
      <c r="F1220" s="55">
        <v>0</v>
      </c>
      <c r="G1220" s="55">
        <v>0</v>
      </c>
      <c r="H1220" s="55">
        <v>0</v>
      </c>
      <c r="I1220" s="55">
        <v>0</v>
      </c>
      <c r="J1220" s="55">
        <v>0</v>
      </c>
      <c r="K1220" s="55">
        <v>0</v>
      </c>
      <c r="L1220" s="55">
        <v>0</v>
      </c>
      <c r="M1220" s="54" t="str">
        <f t="shared" si="98"/>
        <v>0-6 Months</v>
      </c>
      <c r="N1220" s="54" t="str">
        <f t="shared" si="99"/>
        <v>12-18 Months</v>
      </c>
      <c r="O1220" s="54" t="s">
        <v>6</v>
      </c>
      <c r="P1220" s="54">
        <f t="shared" si="95"/>
        <v>0</v>
      </c>
      <c r="Q1220">
        <f t="shared" si="96"/>
        <v>0</v>
      </c>
      <c r="R1220">
        <f t="shared" si="97"/>
        <v>0</v>
      </c>
    </row>
    <row r="1221" spans="1:18" x14ac:dyDescent="0.2">
      <c r="A1221" s="54">
        <v>443479</v>
      </c>
      <c r="B1221" s="54" t="s">
        <v>779</v>
      </c>
      <c r="C1221" s="55">
        <v>4</v>
      </c>
      <c r="D1221" s="55">
        <v>3</v>
      </c>
      <c r="E1221" s="55">
        <v>0</v>
      </c>
      <c r="F1221" s="55">
        <v>0</v>
      </c>
      <c r="G1221" s="55">
        <v>0</v>
      </c>
      <c r="H1221" s="55">
        <v>0</v>
      </c>
      <c r="I1221" s="55">
        <v>0</v>
      </c>
      <c r="J1221" s="55">
        <v>0</v>
      </c>
      <c r="K1221" s="55">
        <v>0</v>
      </c>
      <c r="L1221" s="55">
        <v>0</v>
      </c>
      <c r="M1221" s="54" t="str">
        <f t="shared" si="98"/>
        <v>0-6 Months</v>
      </c>
      <c r="N1221" s="54" t="str">
        <f t="shared" si="99"/>
        <v>12-18 Months</v>
      </c>
      <c r="O1221" s="54" t="s">
        <v>7</v>
      </c>
      <c r="P1221" s="54">
        <f t="shared" si="95"/>
        <v>0</v>
      </c>
      <c r="Q1221">
        <f t="shared" si="96"/>
        <v>0</v>
      </c>
      <c r="R1221">
        <f t="shared" si="97"/>
        <v>0</v>
      </c>
    </row>
    <row r="1222" spans="1:18" x14ac:dyDescent="0.2">
      <c r="A1222" s="54">
        <v>135021</v>
      </c>
      <c r="B1222" s="54" t="s">
        <v>801</v>
      </c>
      <c r="C1222" s="55">
        <v>5</v>
      </c>
      <c r="D1222" s="55">
        <v>6</v>
      </c>
      <c r="E1222" s="55">
        <v>0</v>
      </c>
      <c r="F1222" s="55">
        <v>10</v>
      </c>
      <c r="G1222" s="55">
        <v>10</v>
      </c>
      <c r="H1222" s="55">
        <v>10</v>
      </c>
      <c r="I1222" s="55">
        <v>1.67</v>
      </c>
      <c r="J1222" s="55">
        <v>1.67</v>
      </c>
      <c r="K1222" s="55">
        <v>1.67</v>
      </c>
      <c r="L1222" s="55">
        <v>0</v>
      </c>
      <c r="M1222" s="54" t="str">
        <f t="shared" si="98"/>
        <v>0-6 Months</v>
      </c>
      <c r="N1222" s="54" t="str">
        <f t="shared" si="99"/>
        <v>12-18 Months</v>
      </c>
      <c r="O1222" s="54" t="s">
        <v>7</v>
      </c>
      <c r="P1222" s="54">
        <f t="shared" si="95"/>
        <v>5</v>
      </c>
      <c r="Q1222">
        <f t="shared" si="96"/>
        <v>0</v>
      </c>
      <c r="R1222">
        <f t="shared" si="97"/>
        <v>5</v>
      </c>
    </row>
    <row r="1223" spans="1:18" x14ac:dyDescent="0.2">
      <c r="A1223" s="54">
        <v>163159</v>
      </c>
      <c r="B1223" s="54" t="s">
        <v>800</v>
      </c>
      <c r="C1223" s="55">
        <v>5</v>
      </c>
      <c r="D1223" s="55">
        <v>92</v>
      </c>
      <c r="E1223" s="55">
        <v>0</v>
      </c>
      <c r="F1223" s="55">
        <v>0</v>
      </c>
      <c r="G1223" s="55">
        <v>0</v>
      </c>
      <c r="H1223" s="55">
        <v>0</v>
      </c>
      <c r="I1223" s="55">
        <v>0</v>
      </c>
      <c r="J1223" s="55">
        <v>0</v>
      </c>
      <c r="K1223" s="55">
        <v>0</v>
      </c>
      <c r="L1223" s="55">
        <v>0</v>
      </c>
      <c r="M1223" s="54" t="str">
        <f t="shared" si="98"/>
        <v>0-6 Months</v>
      </c>
      <c r="N1223" s="54" t="str">
        <f t="shared" si="99"/>
        <v>12-18 Months</v>
      </c>
      <c r="O1223" s="54" t="s">
        <v>7</v>
      </c>
      <c r="P1223" s="54">
        <f t="shared" si="95"/>
        <v>0</v>
      </c>
      <c r="Q1223">
        <f t="shared" si="96"/>
        <v>0</v>
      </c>
      <c r="R1223">
        <f t="shared" si="97"/>
        <v>0</v>
      </c>
    </row>
    <row r="1224" spans="1:18" x14ac:dyDescent="0.2">
      <c r="A1224" s="54">
        <v>313885</v>
      </c>
      <c r="B1224" s="54" t="s">
        <v>802</v>
      </c>
      <c r="C1224" s="55">
        <v>5</v>
      </c>
      <c r="D1224" s="55">
        <v>3</v>
      </c>
      <c r="E1224" s="55">
        <v>0</v>
      </c>
      <c r="F1224" s="55">
        <v>0</v>
      </c>
      <c r="G1224" s="55">
        <v>0</v>
      </c>
      <c r="H1224" s="55">
        <v>0</v>
      </c>
      <c r="I1224" s="55">
        <v>0</v>
      </c>
      <c r="J1224" s="55">
        <v>0</v>
      </c>
      <c r="K1224" s="55">
        <v>0</v>
      </c>
      <c r="L1224" s="55">
        <v>0</v>
      </c>
      <c r="M1224" s="54" t="str">
        <f t="shared" si="98"/>
        <v>0-6 Months</v>
      </c>
      <c r="N1224" s="54" t="str">
        <f t="shared" si="99"/>
        <v>12-18 Months</v>
      </c>
      <c r="O1224" s="54" t="s">
        <v>7</v>
      </c>
      <c r="P1224" s="54">
        <f t="shared" si="95"/>
        <v>0</v>
      </c>
      <c r="Q1224">
        <f t="shared" si="96"/>
        <v>0</v>
      </c>
      <c r="R1224">
        <f t="shared" si="97"/>
        <v>0</v>
      </c>
    </row>
    <row r="1225" spans="1:18" x14ac:dyDescent="0.2">
      <c r="A1225" s="54">
        <v>164979</v>
      </c>
      <c r="B1225" s="54" t="s">
        <v>820</v>
      </c>
      <c r="C1225" s="55">
        <v>6</v>
      </c>
      <c r="D1225" s="55">
        <v>25</v>
      </c>
      <c r="E1225" s="55">
        <v>0</v>
      </c>
      <c r="F1225" s="55">
        <v>0</v>
      </c>
      <c r="G1225" s="55">
        <v>0</v>
      </c>
      <c r="H1225" s="55">
        <v>0</v>
      </c>
      <c r="I1225" s="55">
        <v>0</v>
      </c>
      <c r="J1225" s="55">
        <v>0</v>
      </c>
      <c r="K1225" s="55">
        <v>0</v>
      </c>
      <c r="L1225" s="55">
        <v>0</v>
      </c>
      <c r="M1225" s="54" t="str">
        <f t="shared" si="98"/>
        <v>0-6 Months</v>
      </c>
      <c r="N1225" s="54" t="str">
        <f t="shared" si="99"/>
        <v>12-18 Months</v>
      </c>
      <c r="O1225" s="54" t="s">
        <v>7</v>
      </c>
      <c r="P1225" s="54">
        <f t="shared" si="95"/>
        <v>0</v>
      </c>
      <c r="Q1225">
        <f t="shared" si="96"/>
        <v>0</v>
      </c>
      <c r="R1225">
        <f t="shared" si="97"/>
        <v>0</v>
      </c>
    </row>
    <row r="1226" spans="1:18" x14ac:dyDescent="0.2">
      <c r="A1226" s="54">
        <v>302284</v>
      </c>
      <c r="B1226" s="54" t="s">
        <v>821</v>
      </c>
      <c r="C1226" s="55">
        <v>6</v>
      </c>
      <c r="D1226" s="55">
        <v>9</v>
      </c>
      <c r="E1226" s="55">
        <v>0</v>
      </c>
      <c r="F1226" s="55">
        <v>0</v>
      </c>
      <c r="G1226" s="55">
        <v>0</v>
      </c>
      <c r="H1226" s="55">
        <v>0</v>
      </c>
      <c r="I1226" s="55">
        <v>0</v>
      </c>
      <c r="J1226" s="55">
        <v>0</v>
      </c>
      <c r="K1226" s="55">
        <v>0</v>
      </c>
      <c r="L1226" s="55">
        <v>0</v>
      </c>
      <c r="M1226" s="54" t="str">
        <f t="shared" si="98"/>
        <v>0-6 Months</v>
      </c>
      <c r="N1226" s="54" t="str">
        <f t="shared" si="99"/>
        <v>12-18 Months</v>
      </c>
      <c r="O1226" s="54" t="s">
        <v>7</v>
      </c>
      <c r="P1226" s="54">
        <f t="shared" si="95"/>
        <v>0</v>
      </c>
      <c r="Q1226">
        <f t="shared" si="96"/>
        <v>0</v>
      </c>
      <c r="R1226">
        <f t="shared" si="97"/>
        <v>0</v>
      </c>
    </row>
    <row r="1227" spans="1:18" x14ac:dyDescent="0.2">
      <c r="A1227" s="54">
        <v>513509</v>
      </c>
      <c r="B1227" s="54" t="s">
        <v>833</v>
      </c>
      <c r="C1227" s="55">
        <v>7</v>
      </c>
      <c r="D1227" s="55">
        <v>10</v>
      </c>
      <c r="E1227" s="55">
        <v>0</v>
      </c>
      <c r="F1227" s="55">
        <v>0</v>
      </c>
      <c r="G1227" s="55">
        <v>0</v>
      </c>
      <c r="H1227" s="55">
        <v>0</v>
      </c>
      <c r="I1227" s="55">
        <v>0</v>
      </c>
      <c r="J1227" s="55">
        <v>0</v>
      </c>
      <c r="K1227" s="55">
        <v>0</v>
      </c>
      <c r="L1227" s="55">
        <v>0</v>
      </c>
      <c r="M1227" s="54" t="str">
        <f t="shared" si="98"/>
        <v>0-6 Months</v>
      </c>
      <c r="N1227" s="54" t="str">
        <f t="shared" si="99"/>
        <v>12-18 Months</v>
      </c>
      <c r="O1227" s="54" t="s">
        <v>7</v>
      </c>
      <c r="P1227" s="54">
        <f t="shared" si="95"/>
        <v>0</v>
      </c>
      <c r="Q1227">
        <f t="shared" si="96"/>
        <v>0</v>
      </c>
      <c r="R1227">
        <f t="shared" si="97"/>
        <v>0</v>
      </c>
    </row>
    <row r="1228" spans="1:18" x14ac:dyDescent="0.2">
      <c r="A1228" s="54">
        <v>113133</v>
      </c>
      <c r="B1228" s="54" t="s">
        <v>893</v>
      </c>
      <c r="C1228" s="55">
        <v>10</v>
      </c>
      <c r="D1228" s="55">
        <v>12</v>
      </c>
      <c r="E1228" s="55">
        <v>0</v>
      </c>
      <c r="F1228" s="55">
        <v>0</v>
      </c>
      <c r="G1228" s="55">
        <v>0</v>
      </c>
      <c r="H1228" s="55">
        <v>0</v>
      </c>
      <c r="I1228" s="55">
        <v>0</v>
      </c>
      <c r="J1228" s="55">
        <v>0</v>
      </c>
      <c r="K1228" s="55">
        <v>0</v>
      </c>
      <c r="L1228" s="55">
        <v>0</v>
      </c>
      <c r="M1228" s="54" t="str">
        <f t="shared" si="98"/>
        <v>0-6 Months</v>
      </c>
      <c r="N1228" s="54" t="str">
        <f t="shared" si="99"/>
        <v>12-18 Months</v>
      </c>
      <c r="O1228" s="54" t="s">
        <v>7</v>
      </c>
      <c r="P1228" s="54">
        <f t="shared" si="95"/>
        <v>0</v>
      </c>
      <c r="Q1228">
        <f t="shared" si="96"/>
        <v>0</v>
      </c>
      <c r="R1228">
        <f t="shared" si="97"/>
        <v>0</v>
      </c>
    </row>
    <row r="1229" spans="1:18" x14ac:dyDescent="0.2">
      <c r="A1229" s="54">
        <v>144671</v>
      </c>
      <c r="B1229" s="54" t="s">
        <v>894</v>
      </c>
      <c r="C1229" s="55">
        <v>10</v>
      </c>
      <c r="D1229" s="55">
        <v>7</v>
      </c>
      <c r="E1229" s="55">
        <v>0</v>
      </c>
      <c r="F1229" s="55">
        <v>0</v>
      </c>
      <c r="G1229" s="55">
        <v>0</v>
      </c>
      <c r="H1229" s="55">
        <v>0</v>
      </c>
      <c r="I1229" s="55">
        <v>0</v>
      </c>
      <c r="J1229" s="55">
        <v>0</v>
      </c>
      <c r="K1229" s="55">
        <v>0</v>
      </c>
      <c r="L1229" s="55">
        <v>0</v>
      </c>
      <c r="M1229" s="54" t="str">
        <f t="shared" si="98"/>
        <v>0-6 Months</v>
      </c>
      <c r="N1229" s="54" t="str">
        <f t="shared" si="99"/>
        <v>12-18 Months</v>
      </c>
      <c r="O1229" s="54" t="s">
        <v>7</v>
      </c>
      <c r="P1229" s="54">
        <f t="shared" si="95"/>
        <v>0</v>
      </c>
      <c r="Q1229">
        <f t="shared" si="96"/>
        <v>0</v>
      </c>
      <c r="R1229">
        <f t="shared" si="97"/>
        <v>0</v>
      </c>
    </row>
    <row r="1230" spans="1:18" x14ac:dyDescent="0.2">
      <c r="A1230" s="54">
        <v>232200</v>
      </c>
      <c r="B1230" s="54" t="s">
        <v>895</v>
      </c>
      <c r="C1230" s="55">
        <v>10</v>
      </c>
      <c r="D1230" s="55">
        <v>16</v>
      </c>
      <c r="E1230" s="55">
        <v>0</v>
      </c>
      <c r="F1230" s="55">
        <v>0</v>
      </c>
      <c r="G1230" s="55">
        <v>0</v>
      </c>
      <c r="H1230" s="55">
        <v>0</v>
      </c>
      <c r="I1230" s="55">
        <v>0</v>
      </c>
      <c r="J1230" s="55">
        <v>0</v>
      </c>
      <c r="K1230" s="55">
        <v>0</v>
      </c>
      <c r="L1230" s="55">
        <v>0</v>
      </c>
      <c r="M1230" s="54" t="str">
        <f t="shared" si="98"/>
        <v>0-6 Months</v>
      </c>
      <c r="N1230" s="54" t="str">
        <f t="shared" si="99"/>
        <v>12-18 Months</v>
      </c>
      <c r="O1230" s="54" t="s">
        <v>7</v>
      </c>
      <c r="P1230" s="54">
        <f t="shared" si="95"/>
        <v>0</v>
      </c>
      <c r="Q1230">
        <f t="shared" si="96"/>
        <v>0</v>
      </c>
      <c r="R1230">
        <f t="shared" si="97"/>
        <v>0</v>
      </c>
    </row>
    <row r="1231" spans="1:18" x14ac:dyDescent="0.2">
      <c r="A1231" s="54">
        <v>456321</v>
      </c>
      <c r="B1231" s="54" t="s">
        <v>903</v>
      </c>
      <c r="C1231" s="55">
        <v>11</v>
      </c>
      <c r="D1231" s="55">
        <v>10</v>
      </c>
      <c r="E1231" s="55">
        <v>0</v>
      </c>
      <c r="F1231" s="55">
        <v>0</v>
      </c>
      <c r="G1231" s="55">
        <v>0</v>
      </c>
      <c r="H1231" s="55">
        <v>0</v>
      </c>
      <c r="I1231" s="55">
        <v>0</v>
      </c>
      <c r="J1231" s="55">
        <v>0</v>
      </c>
      <c r="K1231" s="55">
        <v>0</v>
      </c>
      <c r="L1231" s="55">
        <v>0</v>
      </c>
      <c r="M1231" s="54" t="str">
        <f t="shared" si="98"/>
        <v>0-6 Months</v>
      </c>
      <c r="N1231" s="54" t="str">
        <f t="shared" si="99"/>
        <v>12-18 Months</v>
      </c>
      <c r="O1231" s="54" t="s">
        <v>7</v>
      </c>
      <c r="P1231" s="54">
        <f t="shared" si="95"/>
        <v>0</v>
      </c>
      <c r="Q1231">
        <f t="shared" si="96"/>
        <v>0</v>
      </c>
      <c r="R1231">
        <f t="shared" si="97"/>
        <v>0</v>
      </c>
    </row>
    <row r="1232" spans="1:18" x14ac:dyDescent="0.2">
      <c r="A1232" s="54">
        <v>485006</v>
      </c>
      <c r="B1232" s="54" t="s">
        <v>904</v>
      </c>
      <c r="C1232" s="55">
        <v>11</v>
      </c>
      <c r="D1232" s="55">
        <v>20</v>
      </c>
      <c r="E1232" s="55">
        <v>0</v>
      </c>
      <c r="F1232" s="55">
        <v>0</v>
      </c>
      <c r="G1232" s="55">
        <v>0</v>
      </c>
      <c r="H1232" s="55">
        <v>0</v>
      </c>
      <c r="I1232" s="55">
        <v>0</v>
      </c>
      <c r="J1232" s="55">
        <v>0</v>
      </c>
      <c r="K1232" s="55">
        <v>0</v>
      </c>
      <c r="L1232" s="55">
        <v>0</v>
      </c>
      <c r="M1232" s="54" t="str">
        <f t="shared" si="98"/>
        <v>0-6 Months</v>
      </c>
      <c r="N1232" s="54" t="str">
        <f t="shared" si="99"/>
        <v>12-18 Months</v>
      </c>
      <c r="O1232" s="54" t="s">
        <v>7</v>
      </c>
      <c r="P1232" s="54">
        <f t="shared" si="95"/>
        <v>0</v>
      </c>
      <c r="Q1232">
        <f t="shared" si="96"/>
        <v>0</v>
      </c>
      <c r="R1232">
        <f t="shared" si="97"/>
        <v>0</v>
      </c>
    </row>
    <row r="1233" spans="1:18" x14ac:dyDescent="0.2">
      <c r="A1233" s="54">
        <v>107871</v>
      </c>
      <c r="B1233" s="54" t="s">
        <v>915</v>
      </c>
      <c r="C1233" s="55">
        <v>12</v>
      </c>
      <c r="D1233" s="55">
        <v>20</v>
      </c>
      <c r="E1233" s="55">
        <v>0</v>
      </c>
      <c r="F1233" s="55">
        <v>7</v>
      </c>
      <c r="G1233" s="55">
        <v>7</v>
      </c>
      <c r="H1233" s="55">
        <v>7</v>
      </c>
      <c r="I1233" s="55">
        <v>0.35</v>
      </c>
      <c r="J1233" s="55">
        <v>0.35</v>
      </c>
      <c r="K1233" s="55">
        <v>0.35</v>
      </c>
      <c r="L1233" s="55">
        <v>0</v>
      </c>
      <c r="M1233" s="54" t="str">
        <f t="shared" si="98"/>
        <v>0-6 Months</v>
      </c>
      <c r="N1233" s="54" t="str">
        <f t="shared" si="99"/>
        <v>12-18 Months</v>
      </c>
      <c r="O1233" s="54" t="s">
        <v>7</v>
      </c>
      <c r="P1233" s="54">
        <f t="shared" si="95"/>
        <v>0</v>
      </c>
      <c r="Q1233">
        <f t="shared" si="96"/>
        <v>0</v>
      </c>
      <c r="R1233">
        <f t="shared" si="97"/>
        <v>0</v>
      </c>
    </row>
    <row r="1234" spans="1:18" x14ac:dyDescent="0.2">
      <c r="A1234" s="54">
        <v>112563</v>
      </c>
      <c r="B1234" s="54" t="s">
        <v>914</v>
      </c>
      <c r="C1234" s="55">
        <v>12</v>
      </c>
      <c r="D1234" s="55">
        <v>23</v>
      </c>
      <c r="E1234" s="55">
        <v>0</v>
      </c>
      <c r="F1234" s="55">
        <v>0</v>
      </c>
      <c r="G1234" s="55">
        <v>0</v>
      </c>
      <c r="H1234" s="55">
        <v>0</v>
      </c>
      <c r="I1234" s="55">
        <v>0</v>
      </c>
      <c r="J1234" s="55">
        <v>0</v>
      </c>
      <c r="K1234" s="55">
        <v>0</v>
      </c>
      <c r="L1234" s="55">
        <v>0</v>
      </c>
      <c r="M1234" s="54" t="str">
        <f t="shared" si="98"/>
        <v>0-6 Months</v>
      </c>
      <c r="N1234" s="54" t="str">
        <f t="shared" si="99"/>
        <v>12-18 Months</v>
      </c>
      <c r="O1234" s="54" t="s">
        <v>7</v>
      </c>
      <c r="P1234" s="54">
        <f t="shared" si="95"/>
        <v>0</v>
      </c>
      <c r="Q1234">
        <f t="shared" si="96"/>
        <v>0</v>
      </c>
      <c r="R1234">
        <f t="shared" si="97"/>
        <v>0</v>
      </c>
    </row>
    <row r="1235" spans="1:18" x14ac:dyDescent="0.2">
      <c r="A1235" s="54">
        <v>115373</v>
      </c>
      <c r="B1235" s="54" t="s">
        <v>916</v>
      </c>
      <c r="C1235" s="55">
        <v>12</v>
      </c>
      <c r="D1235" s="55">
        <v>13</v>
      </c>
      <c r="E1235" s="55">
        <v>0</v>
      </c>
      <c r="F1235" s="55">
        <v>0</v>
      </c>
      <c r="G1235" s="55">
        <v>0</v>
      </c>
      <c r="H1235" s="55">
        <v>0</v>
      </c>
      <c r="I1235" s="55">
        <v>0</v>
      </c>
      <c r="J1235" s="55">
        <v>0</v>
      </c>
      <c r="K1235" s="55">
        <v>0</v>
      </c>
      <c r="L1235" s="55">
        <v>0</v>
      </c>
      <c r="M1235" s="54" t="str">
        <f t="shared" si="98"/>
        <v>0-6 Months</v>
      </c>
      <c r="N1235" s="54" t="str">
        <f t="shared" si="99"/>
        <v>12-18 Months</v>
      </c>
      <c r="O1235" s="54" t="s">
        <v>7</v>
      </c>
      <c r="P1235" s="54">
        <f t="shared" si="95"/>
        <v>0</v>
      </c>
      <c r="Q1235">
        <f t="shared" si="96"/>
        <v>0</v>
      </c>
      <c r="R1235">
        <f t="shared" si="97"/>
        <v>0</v>
      </c>
    </row>
    <row r="1236" spans="1:18" x14ac:dyDescent="0.2">
      <c r="A1236" s="54">
        <v>109720</v>
      </c>
      <c r="B1236" s="54" t="s">
        <v>930</v>
      </c>
      <c r="C1236" s="55">
        <v>13</v>
      </c>
      <c r="D1236" s="55">
        <v>12</v>
      </c>
      <c r="E1236" s="55">
        <v>0</v>
      </c>
      <c r="F1236" s="55">
        <v>3</v>
      </c>
      <c r="G1236" s="55">
        <v>3</v>
      </c>
      <c r="H1236" s="55">
        <v>3</v>
      </c>
      <c r="I1236" s="55">
        <v>0.25</v>
      </c>
      <c r="J1236" s="55">
        <v>0.25</v>
      </c>
      <c r="K1236" s="55">
        <v>0.25</v>
      </c>
      <c r="L1236" s="55">
        <v>0</v>
      </c>
      <c r="M1236" s="54" t="str">
        <f t="shared" si="98"/>
        <v>0-6 Months</v>
      </c>
      <c r="N1236" s="54" t="str">
        <f t="shared" si="99"/>
        <v>12-18 Months</v>
      </c>
      <c r="O1236" s="54" t="s">
        <v>7</v>
      </c>
      <c r="P1236" s="54">
        <f t="shared" si="95"/>
        <v>0</v>
      </c>
      <c r="Q1236">
        <f t="shared" si="96"/>
        <v>0</v>
      </c>
      <c r="R1236">
        <f t="shared" si="97"/>
        <v>0</v>
      </c>
    </row>
    <row r="1237" spans="1:18" x14ac:dyDescent="0.2">
      <c r="A1237" s="54">
        <v>109017</v>
      </c>
      <c r="B1237" s="54" t="s">
        <v>946</v>
      </c>
      <c r="C1237" s="55">
        <v>14</v>
      </c>
      <c r="D1237" s="55">
        <v>15</v>
      </c>
      <c r="E1237" s="55">
        <v>0</v>
      </c>
      <c r="F1237" s="55">
        <v>16</v>
      </c>
      <c r="G1237" s="55">
        <v>16</v>
      </c>
      <c r="H1237" s="55">
        <v>16</v>
      </c>
      <c r="I1237" s="55">
        <v>1.07</v>
      </c>
      <c r="J1237" s="55">
        <v>1.07</v>
      </c>
      <c r="K1237" s="55">
        <v>1.07</v>
      </c>
      <c r="L1237" s="55">
        <v>0</v>
      </c>
      <c r="M1237" s="54" t="str">
        <f t="shared" si="98"/>
        <v>0-6 Months</v>
      </c>
      <c r="N1237" s="54" t="str">
        <f t="shared" si="99"/>
        <v>12-18 Months</v>
      </c>
      <c r="O1237" s="54" t="s">
        <v>7</v>
      </c>
      <c r="P1237" s="54">
        <f t="shared" si="95"/>
        <v>14</v>
      </c>
      <c r="Q1237">
        <f t="shared" si="96"/>
        <v>0</v>
      </c>
      <c r="R1237">
        <f t="shared" si="97"/>
        <v>14</v>
      </c>
    </row>
    <row r="1238" spans="1:18" x14ac:dyDescent="0.2">
      <c r="A1238" s="54">
        <v>110423</v>
      </c>
      <c r="B1238" s="54" t="s">
        <v>948</v>
      </c>
      <c r="C1238" s="55">
        <v>14</v>
      </c>
      <c r="D1238" s="55">
        <v>62</v>
      </c>
      <c r="E1238" s="55">
        <v>0</v>
      </c>
      <c r="F1238" s="55">
        <v>3</v>
      </c>
      <c r="G1238" s="55">
        <v>3</v>
      </c>
      <c r="H1238" s="55">
        <v>3</v>
      </c>
      <c r="I1238" s="55">
        <v>0.05</v>
      </c>
      <c r="J1238" s="55">
        <v>0.05</v>
      </c>
      <c r="K1238" s="55">
        <v>0.05</v>
      </c>
      <c r="L1238" s="55">
        <v>0</v>
      </c>
      <c r="M1238" s="54" t="str">
        <f t="shared" si="98"/>
        <v>0-6 Months</v>
      </c>
      <c r="N1238" s="54" t="str">
        <f t="shared" si="99"/>
        <v>12-18 Months</v>
      </c>
      <c r="O1238" s="54" t="s">
        <v>7</v>
      </c>
      <c r="P1238" s="54">
        <f t="shared" si="95"/>
        <v>0</v>
      </c>
      <c r="Q1238">
        <f t="shared" si="96"/>
        <v>0</v>
      </c>
      <c r="R1238">
        <f t="shared" si="97"/>
        <v>0</v>
      </c>
    </row>
    <row r="1239" spans="1:18" x14ac:dyDescent="0.2">
      <c r="A1239" s="54">
        <v>515418</v>
      </c>
      <c r="B1239" s="54" t="s">
        <v>947</v>
      </c>
      <c r="C1239" s="55">
        <v>14</v>
      </c>
      <c r="D1239" s="55">
        <v>8</v>
      </c>
      <c r="E1239" s="55">
        <v>0</v>
      </c>
      <c r="F1239" s="55">
        <v>0</v>
      </c>
      <c r="G1239" s="55">
        <v>0</v>
      </c>
      <c r="H1239" s="55">
        <v>0</v>
      </c>
      <c r="I1239" s="55">
        <v>0</v>
      </c>
      <c r="J1239" s="55">
        <v>0</v>
      </c>
      <c r="K1239" s="55">
        <v>0</v>
      </c>
      <c r="L1239" s="55">
        <v>0</v>
      </c>
      <c r="M1239" s="54" t="str">
        <f t="shared" si="98"/>
        <v>0-6 Months</v>
      </c>
      <c r="N1239" s="54" t="str">
        <f t="shared" si="99"/>
        <v>12-18 Months</v>
      </c>
      <c r="O1239" s="54" t="s">
        <v>7</v>
      </c>
      <c r="P1239" s="54">
        <f t="shared" si="95"/>
        <v>0</v>
      </c>
      <c r="Q1239">
        <f t="shared" si="96"/>
        <v>0</v>
      </c>
      <c r="R1239">
        <f t="shared" si="97"/>
        <v>0</v>
      </c>
    </row>
    <row r="1240" spans="1:18" x14ac:dyDescent="0.2">
      <c r="A1240" s="54">
        <v>145550</v>
      </c>
      <c r="B1240" s="54" t="s">
        <v>964</v>
      </c>
      <c r="C1240" s="55">
        <v>15</v>
      </c>
      <c r="D1240" s="55">
        <v>7</v>
      </c>
      <c r="E1240" s="55">
        <v>0</v>
      </c>
      <c r="F1240" s="55">
        <v>0</v>
      </c>
      <c r="G1240" s="55">
        <v>0</v>
      </c>
      <c r="H1240" s="55">
        <v>0</v>
      </c>
      <c r="I1240" s="55">
        <v>0</v>
      </c>
      <c r="J1240" s="55">
        <v>0</v>
      </c>
      <c r="K1240" s="55">
        <v>0</v>
      </c>
      <c r="L1240" s="55">
        <v>0</v>
      </c>
      <c r="M1240" s="54" t="str">
        <f t="shared" si="98"/>
        <v>0-6 Months</v>
      </c>
      <c r="N1240" s="54" t="str">
        <f t="shared" si="99"/>
        <v>12-18 Months</v>
      </c>
      <c r="O1240" s="54" t="s">
        <v>7</v>
      </c>
      <c r="P1240" s="54">
        <f t="shared" si="95"/>
        <v>0</v>
      </c>
      <c r="Q1240">
        <f t="shared" si="96"/>
        <v>0</v>
      </c>
      <c r="R1240">
        <f t="shared" si="97"/>
        <v>0</v>
      </c>
    </row>
    <row r="1241" spans="1:18" x14ac:dyDescent="0.2">
      <c r="A1241" s="54">
        <v>155353</v>
      </c>
      <c r="B1241" s="54" t="s">
        <v>965</v>
      </c>
      <c r="C1241" s="55">
        <v>15</v>
      </c>
      <c r="D1241" s="55">
        <v>15</v>
      </c>
      <c r="E1241" s="55">
        <v>0</v>
      </c>
      <c r="F1241" s="55">
        <v>0</v>
      </c>
      <c r="G1241" s="55">
        <v>0</v>
      </c>
      <c r="H1241" s="55">
        <v>0</v>
      </c>
      <c r="I1241" s="55">
        <v>0</v>
      </c>
      <c r="J1241" s="55">
        <v>0</v>
      </c>
      <c r="K1241" s="55">
        <v>0</v>
      </c>
      <c r="L1241" s="55">
        <v>0</v>
      </c>
      <c r="M1241" s="54" t="str">
        <f t="shared" si="98"/>
        <v>0-6 Months</v>
      </c>
      <c r="N1241" s="54" t="str">
        <f t="shared" si="99"/>
        <v>12-18 Months</v>
      </c>
      <c r="O1241" s="54" t="s">
        <v>7</v>
      </c>
      <c r="P1241" s="54">
        <f t="shared" si="95"/>
        <v>0</v>
      </c>
      <c r="Q1241">
        <f t="shared" si="96"/>
        <v>0</v>
      </c>
      <c r="R1241">
        <f t="shared" si="97"/>
        <v>0</v>
      </c>
    </row>
    <row r="1242" spans="1:18" x14ac:dyDescent="0.2">
      <c r="A1242" s="54">
        <v>208421</v>
      </c>
      <c r="B1242" s="54" t="s">
        <v>963</v>
      </c>
      <c r="C1242" s="55">
        <v>15</v>
      </c>
      <c r="D1242" s="55">
        <v>13</v>
      </c>
      <c r="E1242" s="55">
        <v>0</v>
      </c>
      <c r="F1242" s="55">
        <v>0</v>
      </c>
      <c r="G1242" s="55">
        <v>0</v>
      </c>
      <c r="H1242" s="55">
        <v>0</v>
      </c>
      <c r="I1242" s="55">
        <v>0</v>
      </c>
      <c r="J1242" s="55">
        <v>0</v>
      </c>
      <c r="K1242" s="55">
        <v>0</v>
      </c>
      <c r="L1242" s="55">
        <v>0</v>
      </c>
      <c r="M1242" s="54" t="str">
        <f t="shared" si="98"/>
        <v>0-6 Months</v>
      </c>
      <c r="N1242" s="54" t="str">
        <f t="shared" si="99"/>
        <v>12-18 Months</v>
      </c>
      <c r="O1242" s="54" t="s">
        <v>7</v>
      </c>
      <c r="P1242" s="54">
        <f t="shared" si="95"/>
        <v>0</v>
      </c>
      <c r="Q1242">
        <f t="shared" si="96"/>
        <v>0</v>
      </c>
      <c r="R1242">
        <f t="shared" si="97"/>
        <v>0</v>
      </c>
    </row>
    <row r="1243" spans="1:18" x14ac:dyDescent="0.2">
      <c r="A1243" s="54">
        <v>327518</v>
      </c>
      <c r="B1243" s="54" t="s">
        <v>962</v>
      </c>
      <c r="C1243" s="55">
        <v>15</v>
      </c>
      <c r="D1243" s="55">
        <v>16</v>
      </c>
      <c r="E1243" s="55">
        <v>0</v>
      </c>
      <c r="F1243" s="55">
        <v>0</v>
      </c>
      <c r="G1243" s="55">
        <v>0</v>
      </c>
      <c r="H1243" s="55">
        <v>0</v>
      </c>
      <c r="I1243" s="55">
        <v>0</v>
      </c>
      <c r="J1243" s="55">
        <v>0</v>
      </c>
      <c r="K1243" s="55">
        <v>0</v>
      </c>
      <c r="L1243" s="55">
        <v>0</v>
      </c>
      <c r="M1243" s="54" t="str">
        <f t="shared" si="98"/>
        <v>0-6 Months</v>
      </c>
      <c r="N1243" s="54" t="str">
        <f t="shared" si="99"/>
        <v>12-18 Months</v>
      </c>
      <c r="O1243" s="54" t="s">
        <v>7</v>
      </c>
      <c r="P1243" s="54">
        <f t="shared" si="95"/>
        <v>0</v>
      </c>
      <c r="Q1243">
        <f t="shared" si="96"/>
        <v>0</v>
      </c>
      <c r="R1243">
        <f t="shared" si="97"/>
        <v>0</v>
      </c>
    </row>
    <row r="1244" spans="1:18" x14ac:dyDescent="0.2">
      <c r="A1244" s="54">
        <v>107984</v>
      </c>
      <c r="B1244" s="54" t="s">
        <v>999</v>
      </c>
      <c r="C1244" s="55">
        <v>18</v>
      </c>
      <c r="D1244" s="55">
        <v>18</v>
      </c>
      <c r="E1244" s="55">
        <v>0</v>
      </c>
      <c r="F1244" s="55">
        <v>8</v>
      </c>
      <c r="G1244" s="55">
        <v>8</v>
      </c>
      <c r="H1244" s="55">
        <v>8</v>
      </c>
      <c r="I1244" s="55">
        <v>0.44</v>
      </c>
      <c r="J1244" s="55">
        <v>0.44</v>
      </c>
      <c r="K1244" s="55">
        <v>0.44</v>
      </c>
      <c r="L1244" s="55">
        <v>0</v>
      </c>
      <c r="M1244" s="54" t="str">
        <f t="shared" si="98"/>
        <v>0-6 Months</v>
      </c>
      <c r="N1244" s="54" t="str">
        <f t="shared" si="99"/>
        <v>12-18 Months</v>
      </c>
      <c r="O1244" s="54" t="s">
        <v>7</v>
      </c>
      <c r="P1244" s="54">
        <f t="shared" si="95"/>
        <v>0</v>
      </c>
      <c r="Q1244">
        <f t="shared" si="96"/>
        <v>0</v>
      </c>
      <c r="R1244">
        <f t="shared" si="97"/>
        <v>0</v>
      </c>
    </row>
    <row r="1245" spans="1:18" x14ac:dyDescent="0.2">
      <c r="A1245" s="54">
        <v>129050</v>
      </c>
      <c r="B1245" s="54" t="s">
        <v>997</v>
      </c>
      <c r="C1245" s="55">
        <v>18</v>
      </c>
      <c r="D1245" s="55">
        <v>19</v>
      </c>
      <c r="E1245" s="55">
        <v>0</v>
      </c>
      <c r="F1245" s="55">
        <v>0</v>
      </c>
      <c r="G1245" s="55">
        <v>0</v>
      </c>
      <c r="H1245" s="55">
        <v>0</v>
      </c>
      <c r="I1245" s="55">
        <v>0</v>
      </c>
      <c r="J1245" s="55">
        <v>0</v>
      </c>
      <c r="K1245" s="55">
        <v>0</v>
      </c>
      <c r="L1245" s="55">
        <v>0</v>
      </c>
      <c r="M1245" s="54" t="str">
        <f t="shared" si="98"/>
        <v>0-6 Months</v>
      </c>
      <c r="N1245" s="54" t="str">
        <f t="shared" si="99"/>
        <v>12-18 Months</v>
      </c>
      <c r="O1245" s="54" t="s">
        <v>7</v>
      </c>
      <c r="P1245" s="54">
        <f t="shared" si="95"/>
        <v>0</v>
      </c>
      <c r="Q1245">
        <f t="shared" si="96"/>
        <v>0</v>
      </c>
      <c r="R1245">
        <f t="shared" si="97"/>
        <v>0</v>
      </c>
    </row>
    <row r="1246" spans="1:18" x14ac:dyDescent="0.2">
      <c r="A1246" s="54">
        <v>443871</v>
      </c>
      <c r="B1246" s="54" t="s">
        <v>998</v>
      </c>
      <c r="C1246" s="55">
        <v>18</v>
      </c>
      <c r="D1246" s="55">
        <v>18</v>
      </c>
      <c r="E1246" s="55">
        <v>0</v>
      </c>
      <c r="F1246" s="55">
        <v>0</v>
      </c>
      <c r="G1246" s="55">
        <v>0</v>
      </c>
      <c r="H1246" s="55">
        <v>0</v>
      </c>
      <c r="I1246" s="55">
        <v>0</v>
      </c>
      <c r="J1246" s="55">
        <v>0</v>
      </c>
      <c r="K1246" s="55">
        <v>0</v>
      </c>
      <c r="L1246" s="55">
        <v>4</v>
      </c>
      <c r="M1246" s="54" t="str">
        <f t="shared" si="98"/>
        <v>0-6 Months</v>
      </c>
      <c r="N1246" s="54" t="str">
        <f t="shared" si="99"/>
        <v>12-18 Months</v>
      </c>
      <c r="O1246" s="54" t="s">
        <v>7</v>
      </c>
      <c r="P1246" s="54">
        <f t="shared" si="95"/>
        <v>0</v>
      </c>
      <c r="Q1246">
        <f t="shared" si="96"/>
        <v>0</v>
      </c>
      <c r="R1246">
        <f t="shared" si="97"/>
        <v>0</v>
      </c>
    </row>
    <row r="1247" spans="1:18" x14ac:dyDescent="0.2">
      <c r="A1247" s="54">
        <v>185240</v>
      </c>
      <c r="B1247" s="54" t="s">
        <v>1004</v>
      </c>
      <c r="C1247" s="55">
        <v>19</v>
      </c>
      <c r="D1247" s="55">
        <v>20</v>
      </c>
      <c r="E1247" s="55">
        <v>0</v>
      </c>
      <c r="F1247" s="55">
        <v>0</v>
      </c>
      <c r="G1247" s="55">
        <v>0</v>
      </c>
      <c r="H1247" s="55">
        <v>0</v>
      </c>
      <c r="I1247" s="55">
        <v>0</v>
      </c>
      <c r="J1247" s="55">
        <v>0</v>
      </c>
      <c r="K1247" s="55">
        <v>0</v>
      </c>
      <c r="L1247" s="55">
        <v>0</v>
      </c>
      <c r="M1247" s="54" t="str">
        <f t="shared" si="98"/>
        <v>0-6 Months</v>
      </c>
      <c r="N1247" s="54" t="str">
        <f t="shared" si="99"/>
        <v>12-18 Months</v>
      </c>
      <c r="O1247" s="54" t="s">
        <v>7</v>
      </c>
      <c r="P1247" s="54">
        <f t="shared" si="95"/>
        <v>0</v>
      </c>
      <c r="Q1247">
        <f t="shared" si="96"/>
        <v>0</v>
      </c>
      <c r="R1247">
        <f t="shared" si="97"/>
        <v>0</v>
      </c>
    </row>
    <row r="1248" spans="1:18" x14ac:dyDescent="0.2">
      <c r="A1248" s="54">
        <v>200469</v>
      </c>
      <c r="B1248" s="54" t="s">
        <v>1003</v>
      </c>
      <c r="C1248" s="55">
        <v>19</v>
      </c>
      <c r="D1248" s="55">
        <v>10</v>
      </c>
      <c r="E1248" s="55">
        <v>0</v>
      </c>
      <c r="F1248" s="55">
        <v>8</v>
      </c>
      <c r="G1248" s="55">
        <v>8</v>
      </c>
      <c r="H1248" s="55">
        <v>8</v>
      </c>
      <c r="I1248" s="55">
        <v>0.8</v>
      </c>
      <c r="J1248" s="55">
        <v>0.8</v>
      </c>
      <c r="K1248" s="55">
        <v>0.8</v>
      </c>
      <c r="L1248" s="55">
        <v>0</v>
      </c>
      <c r="M1248" s="54" t="str">
        <f t="shared" si="98"/>
        <v>0-6 Months</v>
      </c>
      <c r="N1248" s="54" t="str">
        <f t="shared" si="99"/>
        <v>12-18 Months</v>
      </c>
      <c r="O1248" s="54" t="s">
        <v>7</v>
      </c>
      <c r="P1248" s="54">
        <f t="shared" si="95"/>
        <v>19</v>
      </c>
      <c r="Q1248">
        <f t="shared" si="96"/>
        <v>0</v>
      </c>
      <c r="R1248">
        <f t="shared" si="97"/>
        <v>19</v>
      </c>
    </row>
    <row r="1249" spans="1:18" x14ac:dyDescent="0.2">
      <c r="A1249" s="54">
        <v>448619</v>
      </c>
      <c r="B1249" s="54" t="s">
        <v>1018</v>
      </c>
      <c r="C1249" s="55">
        <v>20</v>
      </c>
      <c r="D1249" s="55">
        <v>22</v>
      </c>
      <c r="E1249" s="55">
        <v>0</v>
      </c>
      <c r="F1249" s="55">
        <v>0</v>
      </c>
      <c r="G1249" s="55">
        <v>0</v>
      </c>
      <c r="H1249" s="55">
        <v>0</v>
      </c>
      <c r="I1249" s="55">
        <v>0</v>
      </c>
      <c r="J1249" s="55">
        <v>0</v>
      </c>
      <c r="K1249" s="55">
        <v>0</v>
      </c>
      <c r="L1249" s="55">
        <v>0</v>
      </c>
      <c r="M1249" s="54" t="str">
        <f t="shared" si="98"/>
        <v>0-6 Months</v>
      </c>
      <c r="N1249" s="54" t="str">
        <f t="shared" si="99"/>
        <v>12-18 Months</v>
      </c>
      <c r="O1249" s="54" t="s">
        <v>7</v>
      </c>
      <c r="P1249" s="54">
        <f t="shared" si="95"/>
        <v>0</v>
      </c>
      <c r="Q1249">
        <f t="shared" si="96"/>
        <v>0</v>
      </c>
      <c r="R1249">
        <f t="shared" si="97"/>
        <v>0</v>
      </c>
    </row>
    <row r="1250" spans="1:18" x14ac:dyDescent="0.2">
      <c r="A1250" s="54">
        <v>311124</v>
      </c>
      <c r="B1250" s="54" t="s">
        <v>1031</v>
      </c>
      <c r="C1250" s="55">
        <v>22</v>
      </c>
      <c r="D1250" s="55">
        <v>20</v>
      </c>
      <c r="E1250" s="55">
        <v>0</v>
      </c>
      <c r="F1250" s="55">
        <v>0</v>
      </c>
      <c r="G1250" s="55">
        <v>0</v>
      </c>
      <c r="H1250" s="55">
        <v>0</v>
      </c>
      <c r="I1250" s="55">
        <v>0</v>
      </c>
      <c r="J1250" s="55">
        <v>0</v>
      </c>
      <c r="K1250" s="55">
        <v>0</v>
      </c>
      <c r="L1250" s="55">
        <v>0</v>
      </c>
      <c r="M1250" s="54" t="str">
        <f t="shared" si="98"/>
        <v>0-6 Months</v>
      </c>
      <c r="N1250" s="54" t="str">
        <f t="shared" si="99"/>
        <v>12-18 Months</v>
      </c>
      <c r="O1250" s="54" t="s">
        <v>7</v>
      </c>
      <c r="P1250" s="54">
        <f t="shared" si="95"/>
        <v>0</v>
      </c>
      <c r="Q1250">
        <f t="shared" si="96"/>
        <v>0</v>
      </c>
      <c r="R1250">
        <f t="shared" si="97"/>
        <v>0</v>
      </c>
    </row>
    <row r="1251" spans="1:18" x14ac:dyDescent="0.2">
      <c r="A1251" s="54">
        <v>516051</v>
      </c>
      <c r="B1251" s="54" t="s">
        <v>1032</v>
      </c>
      <c r="C1251" s="55">
        <v>22</v>
      </c>
      <c r="D1251" s="55">
        <v>22</v>
      </c>
      <c r="E1251" s="55">
        <v>0</v>
      </c>
      <c r="F1251" s="55">
        <v>0</v>
      </c>
      <c r="G1251" s="55">
        <v>0</v>
      </c>
      <c r="H1251" s="55">
        <v>0</v>
      </c>
      <c r="I1251" s="55">
        <v>0</v>
      </c>
      <c r="J1251" s="55">
        <v>0</v>
      </c>
      <c r="K1251" s="55">
        <v>0</v>
      </c>
      <c r="L1251" s="55">
        <v>0</v>
      </c>
      <c r="M1251" s="54" t="str">
        <f t="shared" si="98"/>
        <v>0-6 Months</v>
      </c>
      <c r="N1251" s="54" t="str">
        <f t="shared" si="99"/>
        <v>12-18 Months</v>
      </c>
      <c r="O1251" s="54" t="s">
        <v>7</v>
      </c>
      <c r="P1251" s="54">
        <f t="shared" si="95"/>
        <v>0</v>
      </c>
      <c r="Q1251">
        <f t="shared" si="96"/>
        <v>0</v>
      </c>
      <c r="R1251">
        <f t="shared" si="97"/>
        <v>0</v>
      </c>
    </row>
    <row r="1252" spans="1:18" x14ac:dyDescent="0.2">
      <c r="A1252" s="54">
        <v>105459</v>
      </c>
      <c r="B1252" s="54" t="s">
        <v>1038</v>
      </c>
      <c r="C1252" s="55">
        <v>23</v>
      </c>
      <c r="D1252" s="55">
        <v>21</v>
      </c>
      <c r="E1252" s="55">
        <v>0</v>
      </c>
      <c r="F1252" s="55">
        <v>0</v>
      </c>
      <c r="G1252" s="55">
        <v>0</v>
      </c>
      <c r="H1252" s="55">
        <v>0</v>
      </c>
      <c r="I1252" s="55">
        <v>0</v>
      </c>
      <c r="J1252" s="55">
        <v>0</v>
      </c>
      <c r="K1252" s="55">
        <v>0</v>
      </c>
      <c r="L1252" s="55">
        <v>0</v>
      </c>
      <c r="M1252" s="54" t="str">
        <f t="shared" si="98"/>
        <v>0-6 Months</v>
      </c>
      <c r="N1252" s="54" t="str">
        <f t="shared" si="99"/>
        <v>12-18 Months</v>
      </c>
      <c r="O1252" s="54" t="s">
        <v>7</v>
      </c>
      <c r="P1252" s="54">
        <f t="shared" si="95"/>
        <v>0</v>
      </c>
      <c r="Q1252">
        <f t="shared" si="96"/>
        <v>0</v>
      </c>
      <c r="R1252">
        <f t="shared" si="97"/>
        <v>0</v>
      </c>
    </row>
    <row r="1253" spans="1:18" x14ac:dyDescent="0.2">
      <c r="A1253" s="54">
        <v>115574</v>
      </c>
      <c r="B1253" s="54" t="s">
        <v>1051</v>
      </c>
      <c r="C1253" s="55">
        <v>25</v>
      </c>
      <c r="D1253" s="55">
        <v>15</v>
      </c>
      <c r="E1253" s="55">
        <v>0</v>
      </c>
      <c r="F1253" s="55">
        <v>0</v>
      </c>
      <c r="G1253" s="55">
        <v>0</v>
      </c>
      <c r="H1253" s="55">
        <v>0</v>
      </c>
      <c r="I1253" s="55">
        <v>0</v>
      </c>
      <c r="J1253" s="55">
        <v>0</v>
      </c>
      <c r="K1253" s="55">
        <v>0</v>
      </c>
      <c r="L1253" s="55">
        <v>0</v>
      </c>
      <c r="M1253" s="54" t="str">
        <f t="shared" si="98"/>
        <v>0-6 Months</v>
      </c>
      <c r="N1253" s="54" t="str">
        <f t="shared" si="99"/>
        <v>12-18 Months</v>
      </c>
      <c r="O1253" s="54" t="s">
        <v>7</v>
      </c>
      <c r="P1253" s="54">
        <f t="shared" si="95"/>
        <v>0</v>
      </c>
      <c r="Q1253">
        <f t="shared" si="96"/>
        <v>0</v>
      </c>
      <c r="R1253">
        <f t="shared" si="97"/>
        <v>0</v>
      </c>
    </row>
    <row r="1254" spans="1:18" x14ac:dyDescent="0.2">
      <c r="A1254" s="54">
        <v>465880</v>
      </c>
      <c r="B1254" s="54" t="s">
        <v>1052</v>
      </c>
      <c r="C1254" s="55">
        <v>25</v>
      </c>
      <c r="D1254" s="55">
        <v>20</v>
      </c>
      <c r="E1254" s="55">
        <v>0</v>
      </c>
      <c r="F1254" s="55">
        <v>0</v>
      </c>
      <c r="G1254" s="55">
        <v>0</v>
      </c>
      <c r="H1254" s="55">
        <v>0</v>
      </c>
      <c r="I1254" s="55">
        <v>0</v>
      </c>
      <c r="J1254" s="55">
        <v>0</v>
      </c>
      <c r="K1254" s="55">
        <v>0</v>
      </c>
      <c r="L1254" s="55">
        <v>0</v>
      </c>
      <c r="M1254" s="54" t="str">
        <f t="shared" si="98"/>
        <v>0-6 Months</v>
      </c>
      <c r="N1254" s="54" t="str">
        <f t="shared" si="99"/>
        <v>12-18 Months</v>
      </c>
      <c r="O1254" s="54" t="s">
        <v>7</v>
      </c>
      <c r="P1254" s="54">
        <f t="shared" si="95"/>
        <v>0</v>
      </c>
      <c r="Q1254">
        <f t="shared" si="96"/>
        <v>0</v>
      </c>
      <c r="R1254">
        <f t="shared" si="97"/>
        <v>0</v>
      </c>
    </row>
    <row r="1255" spans="1:18" x14ac:dyDescent="0.2">
      <c r="A1255" s="54">
        <v>193151</v>
      </c>
      <c r="B1255" s="54" t="s">
        <v>1064</v>
      </c>
      <c r="C1255" s="55">
        <v>27</v>
      </c>
      <c r="D1255" s="55">
        <v>41</v>
      </c>
      <c r="E1255" s="55">
        <v>0</v>
      </c>
      <c r="F1255" s="55">
        <v>0</v>
      </c>
      <c r="G1255" s="55">
        <v>0</v>
      </c>
      <c r="H1255" s="55">
        <v>0</v>
      </c>
      <c r="I1255" s="55">
        <v>0</v>
      </c>
      <c r="J1255" s="55">
        <v>0</v>
      </c>
      <c r="K1255" s="55">
        <v>0</v>
      </c>
      <c r="L1255" s="55">
        <v>0</v>
      </c>
      <c r="M1255" s="54" t="str">
        <f t="shared" si="98"/>
        <v>0-6 Months</v>
      </c>
      <c r="N1255" s="54" t="str">
        <f t="shared" si="99"/>
        <v>12-18 Months</v>
      </c>
      <c r="O1255" s="54" t="s">
        <v>7</v>
      </c>
      <c r="P1255" s="54">
        <f t="shared" si="95"/>
        <v>0</v>
      </c>
      <c r="Q1255">
        <f t="shared" si="96"/>
        <v>0</v>
      </c>
      <c r="R1255">
        <f t="shared" si="97"/>
        <v>0</v>
      </c>
    </row>
    <row r="1256" spans="1:18" x14ac:dyDescent="0.2">
      <c r="A1256" s="54">
        <v>230170</v>
      </c>
      <c r="B1256" s="54" t="s">
        <v>1063</v>
      </c>
      <c r="C1256" s="55">
        <v>27</v>
      </c>
      <c r="D1256" s="55">
        <v>19</v>
      </c>
      <c r="E1256" s="55">
        <v>0</v>
      </c>
      <c r="F1256" s="55">
        <v>0</v>
      </c>
      <c r="G1256" s="55">
        <v>0</v>
      </c>
      <c r="H1256" s="55">
        <v>0</v>
      </c>
      <c r="I1256" s="55">
        <v>0</v>
      </c>
      <c r="J1256" s="55">
        <v>0</v>
      </c>
      <c r="K1256" s="55">
        <v>0</v>
      </c>
      <c r="L1256" s="55">
        <v>0</v>
      </c>
      <c r="M1256" s="54" t="str">
        <f t="shared" si="98"/>
        <v>0-6 Months</v>
      </c>
      <c r="N1256" s="54" t="str">
        <f t="shared" si="99"/>
        <v>12-18 Months</v>
      </c>
      <c r="O1256" s="54" t="s">
        <v>7</v>
      </c>
      <c r="P1256" s="54">
        <f t="shared" si="95"/>
        <v>0</v>
      </c>
      <c r="Q1256">
        <f t="shared" si="96"/>
        <v>0</v>
      </c>
      <c r="R1256">
        <f t="shared" si="97"/>
        <v>0</v>
      </c>
    </row>
    <row r="1257" spans="1:18" x14ac:dyDescent="0.2">
      <c r="A1257" s="54">
        <v>108763</v>
      </c>
      <c r="B1257" s="54" t="s">
        <v>1074</v>
      </c>
      <c r="C1257" s="55">
        <v>29</v>
      </c>
      <c r="D1257" s="55">
        <v>35</v>
      </c>
      <c r="E1257" s="55">
        <v>0</v>
      </c>
      <c r="F1257" s="55">
        <v>23</v>
      </c>
      <c r="G1257" s="55">
        <v>23</v>
      </c>
      <c r="H1257" s="55">
        <v>23</v>
      </c>
      <c r="I1257" s="55">
        <v>0.66</v>
      </c>
      <c r="J1257" s="55">
        <v>0.66</v>
      </c>
      <c r="K1257" s="55">
        <v>0.66</v>
      </c>
      <c r="L1257" s="55">
        <v>22</v>
      </c>
      <c r="M1257" s="54" t="str">
        <f t="shared" si="98"/>
        <v>0-6 Months</v>
      </c>
      <c r="N1257" s="54" t="str">
        <f t="shared" si="99"/>
        <v>12-18 Months</v>
      </c>
      <c r="O1257" s="54" t="s">
        <v>7</v>
      </c>
      <c r="P1257" s="54">
        <f t="shared" si="95"/>
        <v>0</v>
      </c>
      <c r="Q1257">
        <f t="shared" si="96"/>
        <v>0</v>
      </c>
      <c r="R1257">
        <f t="shared" si="97"/>
        <v>0</v>
      </c>
    </row>
    <row r="1258" spans="1:18" x14ac:dyDescent="0.2">
      <c r="A1258" s="54">
        <v>132109</v>
      </c>
      <c r="B1258" s="54" t="s">
        <v>1073</v>
      </c>
      <c r="C1258" s="55">
        <v>29</v>
      </c>
      <c r="D1258" s="55">
        <v>19</v>
      </c>
      <c r="E1258" s="55">
        <v>0</v>
      </c>
      <c r="F1258" s="55">
        <v>0</v>
      </c>
      <c r="G1258" s="55">
        <v>0</v>
      </c>
      <c r="H1258" s="55">
        <v>0</v>
      </c>
      <c r="I1258" s="55">
        <v>0</v>
      </c>
      <c r="J1258" s="55">
        <v>0</v>
      </c>
      <c r="K1258" s="55">
        <v>0</v>
      </c>
      <c r="L1258" s="55">
        <v>0</v>
      </c>
      <c r="M1258" s="54" t="str">
        <f t="shared" si="98"/>
        <v>0-6 Months</v>
      </c>
      <c r="N1258" s="54" t="str">
        <f t="shared" si="99"/>
        <v>12-18 Months</v>
      </c>
      <c r="O1258" s="54" t="s">
        <v>7</v>
      </c>
      <c r="P1258" s="54">
        <f t="shared" si="95"/>
        <v>0</v>
      </c>
      <c r="Q1258">
        <f t="shared" si="96"/>
        <v>0</v>
      </c>
      <c r="R1258">
        <f t="shared" si="97"/>
        <v>0</v>
      </c>
    </row>
    <row r="1259" spans="1:18" x14ac:dyDescent="0.2">
      <c r="A1259" s="54">
        <v>515229</v>
      </c>
      <c r="B1259" s="54" t="s">
        <v>1072</v>
      </c>
      <c r="C1259" s="55">
        <v>29</v>
      </c>
      <c r="D1259" s="55">
        <v>31</v>
      </c>
      <c r="E1259" s="55">
        <v>0</v>
      </c>
      <c r="F1259" s="55">
        <v>0</v>
      </c>
      <c r="G1259" s="55">
        <v>0</v>
      </c>
      <c r="H1259" s="55">
        <v>0</v>
      </c>
      <c r="I1259" s="55">
        <v>0</v>
      </c>
      <c r="J1259" s="55">
        <v>0</v>
      </c>
      <c r="K1259" s="55">
        <v>0</v>
      </c>
      <c r="L1259" s="55">
        <v>0</v>
      </c>
      <c r="M1259" s="54" t="str">
        <f t="shared" si="98"/>
        <v>0-6 Months</v>
      </c>
      <c r="N1259" s="54" t="str">
        <f t="shared" si="99"/>
        <v>12-18 Months</v>
      </c>
      <c r="O1259" s="54" t="s">
        <v>7</v>
      </c>
      <c r="P1259" s="54">
        <f t="shared" si="95"/>
        <v>0</v>
      </c>
      <c r="Q1259">
        <f t="shared" si="96"/>
        <v>0</v>
      </c>
      <c r="R1259">
        <f t="shared" si="97"/>
        <v>0</v>
      </c>
    </row>
    <row r="1260" spans="1:18" x14ac:dyDescent="0.2">
      <c r="A1260" s="54">
        <v>108982</v>
      </c>
      <c r="B1260" s="54" t="s">
        <v>1084</v>
      </c>
      <c r="C1260" s="55">
        <v>30</v>
      </c>
      <c r="D1260" s="55">
        <v>14</v>
      </c>
      <c r="E1260" s="55">
        <v>0</v>
      </c>
      <c r="F1260" s="55">
        <v>21</v>
      </c>
      <c r="G1260" s="55">
        <v>21</v>
      </c>
      <c r="H1260" s="55">
        <v>21</v>
      </c>
      <c r="I1260" s="55">
        <v>1.5</v>
      </c>
      <c r="J1260" s="55">
        <v>1.5</v>
      </c>
      <c r="K1260" s="55">
        <v>1.5</v>
      </c>
      <c r="L1260" s="55">
        <v>0</v>
      </c>
      <c r="M1260" s="54" t="str">
        <f t="shared" si="98"/>
        <v>0-6 Months</v>
      </c>
      <c r="N1260" s="54" t="str">
        <f t="shared" si="99"/>
        <v>12-18 Months</v>
      </c>
      <c r="O1260" s="54" t="s">
        <v>7</v>
      </c>
      <c r="P1260" s="54">
        <f t="shared" si="95"/>
        <v>30</v>
      </c>
      <c r="Q1260">
        <f t="shared" si="96"/>
        <v>0</v>
      </c>
      <c r="R1260">
        <f t="shared" si="97"/>
        <v>30</v>
      </c>
    </row>
    <row r="1261" spans="1:18" x14ac:dyDescent="0.2">
      <c r="A1261" s="54">
        <v>467901</v>
      </c>
      <c r="B1261" s="54" t="s">
        <v>1085</v>
      </c>
      <c r="C1261" s="55">
        <v>30</v>
      </c>
      <c r="D1261" s="55">
        <v>40</v>
      </c>
      <c r="E1261" s="55">
        <v>0</v>
      </c>
      <c r="F1261" s="55">
        <v>0</v>
      </c>
      <c r="G1261" s="55">
        <v>0</v>
      </c>
      <c r="H1261" s="55">
        <v>0</v>
      </c>
      <c r="I1261" s="55">
        <v>0</v>
      </c>
      <c r="J1261" s="55">
        <v>0</v>
      </c>
      <c r="K1261" s="55">
        <v>0</v>
      </c>
      <c r="L1261" s="55">
        <v>0</v>
      </c>
      <c r="M1261" s="54" t="str">
        <f t="shared" si="98"/>
        <v>0-6 Months</v>
      </c>
      <c r="N1261" s="54" t="str">
        <f t="shared" si="99"/>
        <v>12-18 Months</v>
      </c>
      <c r="O1261" s="54" t="s">
        <v>7</v>
      </c>
      <c r="P1261" s="54">
        <f t="shared" si="95"/>
        <v>0</v>
      </c>
      <c r="Q1261">
        <f t="shared" si="96"/>
        <v>0</v>
      </c>
      <c r="R1261">
        <f t="shared" si="97"/>
        <v>0</v>
      </c>
    </row>
    <row r="1262" spans="1:18" x14ac:dyDescent="0.2">
      <c r="A1262" s="54">
        <v>108939</v>
      </c>
      <c r="B1262" s="54" t="s">
        <v>1090</v>
      </c>
      <c r="C1262" s="55">
        <v>31</v>
      </c>
      <c r="D1262" s="55">
        <v>20</v>
      </c>
      <c r="E1262" s="55">
        <v>0</v>
      </c>
      <c r="F1262" s="55">
        <v>0</v>
      </c>
      <c r="G1262" s="55">
        <v>0</v>
      </c>
      <c r="H1262" s="55">
        <v>0</v>
      </c>
      <c r="I1262" s="55">
        <v>0</v>
      </c>
      <c r="J1262" s="55">
        <v>0</v>
      </c>
      <c r="K1262" s="55">
        <v>0</v>
      </c>
      <c r="L1262" s="55">
        <v>0</v>
      </c>
      <c r="M1262" s="54" t="str">
        <f t="shared" si="98"/>
        <v>0-6 Months</v>
      </c>
      <c r="N1262" s="54" t="str">
        <f t="shared" si="99"/>
        <v>12-18 Months</v>
      </c>
      <c r="O1262" s="54" t="s">
        <v>7</v>
      </c>
      <c r="P1262" s="54">
        <f t="shared" si="95"/>
        <v>0</v>
      </c>
      <c r="Q1262">
        <f t="shared" si="96"/>
        <v>0</v>
      </c>
      <c r="R1262">
        <f t="shared" si="97"/>
        <v>0</v>
      </c>
    </row>
    <row r="1263" spans="1:18" x14ac:dyDescent="0.2">
      <c r="A1263" s="54">
        <v>460944</v>
      </c>
      <c r="B1263" s="54" t="s">
        <v>1096</v>
      </c>
      <c r="C1263" s="55">
        <v>32</v>
      </c>
      <c r="D1263" s="55">
        <v>25</v>
      </c>
      <c r="E1263" s="55">
        <v>0</v>
      </c>
      <c r="F1263" s="55">
        <v>0</v>
      </c>
      <c r="G1263" s="55">
        <v>0</v>
      </c>
      <c r="H1263" s="55">
        <v>0</v>
      </c>
      <c r="I1263" s="55">
        <v>0</v>
      </c>
      <c r="J1263" s="55">
        <v>0</v>
      </c>
      <c r="K1263" s="55">
        <v>0</v>
      </c>
      <c r="L1263" s="55">
        <v>0</v>
      </c>
      <c r="M1263" s="54" t="str">
        <f t="shared" si="98"/>
        <v>0-6 Months</v>
      </c>
      <c r="N1263" s="54" t="str">
        <f t="shared" si="99"/>
        <v>12-18 Months</v>
      </c>
      <c r="O1263" s="54" t="s">
        <v>7</v>
      </c>
      <c r="P1263" s="54">
        <f t="shared" si="95"/>
        <v>0</v>
      </c>
      <c r="Q1263">
        <f t="shared" si="96"/>
        <v>0</v>
      </c>
      <c r="R1263">
        <f t="shared" si="97"/>
        <v>0</v>
      </c>
    </row>
    <row r="1264" spans="1:18" x14ac:dyDescent="0.2">
      <c r="A1264" s="54">
        <v>270751</v>
      </c>
      <c r="B1264" s="54" t="s">
        <v>1112</v>
      </c>
      <c r="C1264" s="55">
        <v>35</v>
      </c>
      <c r="D1264" s="55">
        <v>48</v>
      </c>
      <c r="E1264" s="55">
        <v>0</v>
      </c>
      <c r="F1264" s="55">
        <v>0</v>
      </c>
      <c r="G1264" s="55">
        <v>0</v>
      </c>
      <c r="H1264" s="55">
        <v>0</v>
      </c>
      <c r="I1264" s="55">
        <v>0</v>
      </c>
      <c r="J1264" s="55">
        <v>0</v>
      </c>
      <c r="K1264" s="55">
        <v>0</v>
      </c>
      <c r="L1264" s="55">
        <v>0</v>
      </c>
      <c r="M1264" s="54" t="str">
        <f t="shared" si="98"/>
        <v>0-6 Months</v>
      </c>
      <c r="N1264" s="54" t="str">
        <f t="shared" si="99"/>
        <v>12-18 Months</v>
      </c>
      <c r="O1264" s="54" t="s">
        <v>7</v>
      </c>
      <c r="P1264" s="54">
        <f t="shared" si="95"/>
        <v>0</v>
      </c>
      <c r="Q1264">
        <f t="shared" si="96"/>
        <v>0</v>
      </c>
      <c r="R1264">
        <f t="shared" si="97"/>
        <v>0</v>
      </c>
    </row>
    <row r="1265" spans="1:18" x14ac:dyDescent="0.2">
      <c r="A1265" s="54">
        <v>478901</v>
      </c>
      <c r="B1265" s="54" t="s">
        <v>1130</v>
      </c>
      <c r="C1265" s="55">
        <v>40</v>
      </c>
      <c r="D1265" s="55">
        <v>44</v>
      </c>
      <c r="E1265" s="55">
        <v>0</v>
      </c>
      <c r="F1265" s="55">
        <v>0</v>
      </c>
      <c r="G1265" s="55">
        <v>0</v>
      </c>
      <c r="H1265" s="55">
        <v>0</v>
      </c>
      <c r="I1265" s="55">
        <v>0</v>
      </c>
      <c r="J1265" s="55">
        <v>0</v>
      </c>
      <c r="K1265" s="55">
        <v>0</v>
      </c>
      <c r="L1265" s="55">
        <v>0</v>
      </c>
      <c r="M1265" s="54" t="str">
        <f t="shared" si="98"/>
        <v>0-6 Months</v>
      </c>
      <c r="N1265" s="54" t="str">
        <f t="shared" si="99"/>
        <v>12-18 Months</v>
      </c>
      <c r="O1265" s="54" t="s">
        <v>7</v>
      </c>
      <c r="P1265" s="54">
        <f t="shared" si="95"/>
        <v>0</v>
      </c>
      <c r="Q1265">
        <f t="shared" si="96"/>
        <v>0</v>
      </c>
      <c r="R1265">
        <f t="shared" si="97"/>
        <v>0</v>
      </c>
    </row>
    <row r="1266" spans="1:18" x14ac:dyDescent="0.2">
      <c r="A1266" s="54">
        <v>125270</v>
      </c>
      <c r="B1266" s="54" t="s">
        <v>1132</v>
      </c>
      <c r="C1266" s="55">
        <v>41</v>
      </c>
      <c r="D1266" s="55">
        <v>40</v>
      </c>
      <c r="E1266" s="55">
        <v>0</v>
      </c>
      <c r="F1266" s="55">
        <v>0</v>
      </c>
      <c r="G1266" s="55">
        <v>0</v>
      </c>
      <c r="H1266" s="55">
        <v>0</v>
      </c>
      <c r="I1266" s="55">
        <v>0</v>
      </c>
      <c r="J1266" s="55">
        <v>0</v>
      </c>
      <c r="K1266" s="55">
        <v>0</v>
      </c>
      <c r="L1266" s="55">
        <v>0</v>
      </c>
      <c r="M1266" s="54" t="str">
        <f t="shared" si="98"/>
        <v>0-6 Months</v>
      </c>
      <c r="N1266" s="54" t="str">
        <f t="shared" si="99"/>
        <v>12-18 Months</v>
      </c>
      <c r="O1266" s="54" t="s">
        <v>7</v>
      </c>
      <c r="P1266" s="54">
        <f t="shared" si="95"/>
        <v>0</v>
      </c>
      <c r="Q1266">
        <f t="shared" si="96"/>
        <v>0</v>
      </c>
      <c r="R1266">
        <f t="shared" si="97"/>
        <v>0</v>
      </c>
    </row>
    <row r="1267" spans="1:18" x14ac:dyDescent="0.2">
      <c r="A1267" s="54">
        <v>107781</v>
      </c>
      <c r="B1267" s="54" t="s">
        <v>1135</v>
      </c>
      <c r="C1267" s="55">
        <v>43</v>
      </c>
      <c r="D1267" s="55">
        <v>60</v>
      </c>
      <c r="E1267" s="55">
        <v>0</v>
      </c>
      <c r="F1267" s="55">
        <v>0</v>
      </c>
      <c r="G1267" s="55">
        <v>0</v>
      </c>
      <c r="H1267" s="55">
        <v>0</v>
      </c>
      <c r="I1267" s="55">
        <v>0</v>
      </c>
      <c r="J1267" s="55">
        <v>0</v>
      </c>
      <c r="K1267" s="55">
        <v>0</v>
      </c>
      <c r="L1267" s="55">
        <v>0</v>
      </c>
      <c r="M1267" s="54" t="str">
        <f t="shared" si="98"/>
        <v>0-6 Months</v>
      </c>
      <c r="N1267" s="54" t="str">
        <f t="shared" si="99"/>
        <v>12-18 Months</v>
      </c>
      <c r="O1267" s="54" t="s">
        <v>7</v>
      </c>
      <c r="P1267" s="54">
        <f t="shared" si="95"/>
        <v>0</v>
      </c>
      <c r="Q1267">
        <f t="shared" si="96"/>
        <v>0</v>
      </c>
      <c r="R1267">
        <f t="shared" si="97"/>
        <v>0</v>
      </c>
    </row>
    <row r="1268" spans="1:18" x14ac:dyDescent="0.2">
      <c r="A1268" s="54">
        <v>108344</v>
      </c>
      <c r="B1268" s="54" t="s">
        <v>1138</v>
      </c>
      <c r="C1268" s="55">
        <v>46</v>
      </c>
      <c r="D1268" s="55">
        <v>45</v>
      </c>
      <c r="E1268" s="55">
        <v>0</v>
      </c>
      <c r="F1268" s="55">
        <v>0</v>
      </c>
      <c r="G1268" s="55">
        <v>0</v>
      </c>
      <c r="H1268" s="55">
        <v>0</v>
      </c>
      <c r="I1268" s="55">
        <v>0</v>
      </c>
      <c r="J1268" s="55">
        <v>0</v>
      </c>
      <c r="K1268" s="55">
        <v>0</v>
      </c>
      <c r="L1268" s="55">
        <v>0</v>
      </c>
      <c r="M1268" s="54" t="str">
        <f t="shared" si="98"/>
        <v>0-6 Months</v>
      </c>
      <c r="N1268" s="54" t="str">
        <f t="shared" si="99"/>
        <v>12-18 Months</v>
      </c>
      <c r="O1268" s="54" t="s">
        <v>7</v>
      </c>
      <c r="P1268" s="54">
        <f t="shared" si="95"/>
        <v>0</v>
      </c>
      <c r="Q1268">
        <f t="shared" si="96"/>
        <v>0</v>
      </c>
      <c r="R1268">
        <f t="shared" si="97"/>
        <v>0</v>
      </c>
    </row>
    <row r="1269" spans="1:18" x14ac:dyDescent="0.2">
      <c r="A1269" s="54">
        <v>108752</v>
      </c>
      <c r="B1269" s="54" t="s">
        <v>1147</v>
      </c>
      <c r="C1269" s="55">
        <v>51</v>
      </c>
      <c r="D1269" s="55">
        <v>50</v>
      </c>
      <c r="E1269" s="55">
        <v>0</v>
      </c>
      <c r="F1269" s="55">
        <v>30</v>
      </c>
      <c r="G1269" s="55">
        <v>30</v>
      </c>
      <c r="H1269" s="55">
        <v>30</v>
      </c>
      <c r="I1269" s="55">
        <v>0.6</v>
      </c>
      <c r="J1269" s="55">
        <v>0.6</v>
      </c>
      <c r="K1269" s="55">
        <v>0.6</v>
      </c>
      <c r="L1269" s="55">
        <v>4</v>
      </c>
      <c r="M1269" s="54" t="str">
        <f t="shared" si="98"/>
        <v>0-6 Months</v>
      </c>
      <c r="N1269" s="54" t="str">
        <f t="shared" si="99"/>
        <v>12-18 Months</v>
      </c>
      <c r="O1269" s="54" t="s">
        <v>7</v>
      </c>
      <c r="P1269" s="54">
        <f t="shared" si="95"/>
        <v>0</v>
      </c>
      <c r="Q1269">
        <f t="shared" si="96"/>
        <v>0</v>
      </c>
      <c r="R1269">
        <f t="shared" si="97"/>
        <v>0</v>
      </c>
    </row>
    <row r="1270" spans="1:18" x14ac:dyDescent="0.2">
      <c r="A1270" s="54" t="s">
        <v>1153</v>
      </c>
      <c r="B1270" s="54" t="s">
        <v>1152</v>
      </c>
      <c r="C1270" s="55">
        <v>52</v>
      </c>
      <c r="D1270" s="55">
        <v>3</v>
      </c>
      <c r="E1270" s="55">
        <v>0</v>
      </c>
      <c r="F1270" s="55">
        <v>0</v>
      </c>
      <c r="G1270" s="55">
        <v>0</v>
      </c>
      <c r="H1270" s="55">
        <v>0</v>
      </c>
      <c r="I1270" s="55">
        <v>0</v>
      </c>
      <c r="J1270" s="55">
        <v>0</v>
      </c>
      <c r="K1270" s="55">
        <v>0</v>
      </c>
      <c r="L1270" s="55">
        <v>0</v>
      </c>
      <c r="M1270" s="54" t="str">
        <f t="shared" si="98"/>
        <v>0-6 Months</v>
      </c>
      <c r="N1270" s="54" t="str">
        <f t="shared" si="99"/>
        <v>12-18 Months</v>
      </c>
      <c r="O1270" s="54" t="s">
        <v>7</v>
      </c>
      <c r="P1270" s="54">
        <f t="shared" si="95"/>
        <v>0</v>
      </c>
      <c r="Q1270">
        <f t="shared" si="96"/>
        <v>0</v>
      </c>
      <c r="R1270">
        <f t="shared" si="97"/>
        <v>0</v>
      </c>
    </row>
    <row r="1271" spans="1:18" x14ac:dyDescent="0.2">
      <c r="A1271" s="54">
        <v>328235</v>
      </c>
      <c r="B1271" s="54" t="s">
        <v>1156</v>
      </c>
      <c r="C1271" s="55">
        <v>54</v>
      </c>
      <c r="D1271" s="55">
        <v>40</v>
      </c>
      <c r="E1271" s="55">
        <v>0</v>
      </c>
      <c r="F1271" s="55">
        <v>0</v>
      </c>
      <c r="G1271" s="55">
        <v>0</v>
      </c>
      <c r="H1271" s="55">
        <v>0</v>
      </c>
      <c r="I1271" s="55">
        <v>0</v>
      </c>
      <c r="J1271" s="55">
        <v>0</v>
      </c>
      <c r="K1271" s="55">
        <v>0</v>
      </c>
      <c r="L1271" s="55">
        <v>0</v>
      </c>
      <c r="M1271" s="54" t="str">
        <f t="shared" si="98"/>
        <v>0-6 Months</v>
      </c>
      <c r="N1271" s="54" t="str">
        <f t="shared" si="99"/>
        <v>12-18 Months</v>
      </c>
      <c r="O1271" s="54" t="s">
        <v>7</v>
      </c>
      <c r="P1271" s="54">
        <f t="shared" si="95"/>
        <v>0</v>
      </c>
      <c r="Q1271">
        <f t="shared" si="96"/>
        <v>0</v>
      </c>
      <c r="R1271">
        <f t="shared" si="97"/>
        <v>0</v>
      </c>
    </row>
    <row r="1272" spans="1:18" x14ac:dyDescent="0.2">
      <c r="A1272" s="54">
        <v>109356</v>
      </c>
      <c r="B1272" s="54" t="s">
        <v>1172</v>
      </c>
      <c r="C1272" s="55">
        <v>64</v>
      </c>
      <c r="D1272" s="55">
        <v>67</v>
      </c>
      <c r="E1272" s="55">
        <v>0</v>
      </c>
      <c r="F1272" s="55">
        <v>24</v>
      </c>
      <c r="G1272" s="55">
        <v>24</v>
      </c>
      <c r="H1272" s="55">
        <v>24</v>
      </c>
      <c r="I1272" s="55">
        <v>0.36</v>
      </c>
      <c r="J1272" s="55">
        <v>0.36</v>
      </c>
      <c r="K1272" s="55">
        <v>0.36</v>
      </c>
      <c r="L1272" s="55">
        <v>37</v>
      </c>
      <c r="M1272" s="54" t="str">
        <f t="shared" si="98"/>
        <v>0-6 Months</v>
      </c>
      <c r="N1272" s="54" t="str">
        <f t="shared" si="99"/>
        <v>12-18 Months</v>
      </c>
      <c r="O1272" s="54" t="s">
        <v>7</v>
      </c>
      <c r="P1272" s="54">
        <f t="shared" si="95"/>
        <v>0</v>
      </c>
      <c r="Q1272">
        <f t="shared" si="96"/>
        <v>0</v>
      </c>
      <c r="R1272">
        <f t="shared" si="97"/>
        <v>0</v>
      </c>
    </row>
    <row r="1273" spans="1:18" x14ac:dyDescent="0.2">
      <c r="A1273" s="54">
        <v>107207</v>
      </c>
      <c r="B1273" s="54" t="s">
        <v>1186</v>
      </c>
      <c r="C1273" s="55">
        <v>73</v>
      </c>
      <c r="D1273" s="55">
        <v>20</v>
      </c>
      <c r="E1273" s="55">
        <v>0</v>
      </c>
      <c r="F1273" s="55">
        <v>0</v>
      </c>
      <c r="G1273" s="55">
        <v>0</v>
      </c>
      <c r="H1273" s="55">
        <v>0</v>
      </c>
      <c r="I1273" s="55">
        <v>0</v>
      </c>
      <c r="J1273" s="55">
        <v>0</v>
      </c>
      <c r="K1273" s="55">
        <v>0</v>
      </c>
      <c r="L1273" s="55">
        <v>0</v>
      </c>
      <c r="M1273" s="54" t="str">
        <f t="shared" si="98"/>
        <v>0-6 Months</v>
      </c>
      <c r="N1273" s="54" t="str">
        <f t="shared" si="99"/>
        <v>12-18 Months</v>
      </c>
      <c r="O1273" s="54" t="s">
        <v>7</v>
      </c>
      <c r="P1273" s="54">
        <f t="shared" si="95"/>
        <v>0</v>
      </c>
      <c r="Q1273">
        <f t="shared" si="96"/>
        <v>0</v>
      </c>
      <c r="R1273">
        <f t="shared" si="97"/>
        <v>0</v>
      </c>
    </row>
    <row r="1274" spans="1:18" x14ac:dyDescent="0.2">
      <c r="A1274" s="54" t="s">
        <v>1202</v>
      </c>
      <c r="B1274" s="54" t="s">
        <v>1201</v>
      </c>
      <c r="C1274" s="55">
        <v>88</v>
      </c>
      <c r="D1274" s="55">
        <v>75</v>
      </c>
      <c r="E1274" s="55">
        <v>0</v>
      </c>
      <c r="F1274" s="55">
        <v>0</v>
      </c>
      <c r="G1274" s="55">
        <v>0</v>
      </c>
      <c r="H1274" s="55">
        <v>0</v>
      </c>
      <c r="I1274" s="55">
        <v>0</v>
      </c>
      <c r="J1274" s="55">
        <v>0</v>
      </c>
      <c r="K1274" s="55">
        <v>0</v>
      </c>
      <c r="L1274" s="55">
        <v>0</v>
      </c>
      <c r="M1274" s="54" t="str">
        <f t="shared" si="98"/>
        <v>0-6 Months</v>
      </c>
      <c r="N1274" s="54" t="str">
        <f t="shared" si="99"/>
        <v>12-18 Months</v>
      </c>
      <c r="O1274" s="54" t="s">
        <v>7</v>
      </c>
      <c r="P1274" s="54">
        <f t="shared" si="95"/>
        <v>0</v>
      </c>
      <c r="Q1274">
        <f t="shared" si="96"/>
        <v>0</v>
      </c>
      <c r="R1274">
        <f t="shared" si="97"/>
        <v>0</v>
      </c>
    </row>
    <row r="1275" spans="1:18" x14ac:dyDescent="0.2">
      <c r="A1275" s="54">
        <v>122797</v>
      </c>
      <c r="B1275" s="54" t="s">
        <v>1224</v>
      </c>
      <c r="C1275" s="55">
        <v>112</v>
      </c>
      <c r="D1275" s="55">
        <v>86</v>
      </c>
      <c r="E1275" s="55">
        <v>0</v>
      </c>
      <c r="F1275" s="55">
        <v>0</v>
      </c>
      <c r="G1275" s="55">
        <v>0</v>
      </c>
      <c r="H1275" s="55">
        <v>0</v>
      </c>
      <c r="I1275" s="55">
        <v>0</v>
      </c>
      <c r="J1275" s="55">
        <v>0</v>
      </c>
      <c r="K1275" s="55">
        <v>0</v>
      </c>
      <c r="L1275" s="55">
        <v>0</v>
      </c>
      <c r="M1275" s="54" t="str">
        <f t="shared" si="98"/>
        <v>0-6 Months</v>
      </c>
      <c r="N1275" s="54" t="str">
        <f t="shared" si="99"/>
        <v>12-18 Months</v>
      </c>
      <c r="O1275" s="54" t="s">
        <v>7</v>
      </c>
      <c r="P1275" s="54">
        <f t="shared" si="95"/>
        <v>0</v>
      </c>
      <c r="Q1275">
        <f t="shared" si="96"/>
        <v>0</v>
      </c>
      <c r="R1275">
        <f t="shared" si="97"/>
        <v>0</v>
      </c>
    </row>
    <row r="1276" spans="1:18" x14ac:dyDescent="0.2">
      <c r="A1276" s="54">
        <v>109566</v>
      </c>
      <c r="B1276" s="54" t="s">
        <v>1226</v>
      </c>
      <c r="C1276" s="55">
        <v>114</v>
      </c>
      <c r="D1276" s="55">
        <v>93</v>
      </c>
      <c r="E1276" s="55">
        <v>0</v>
      </c>
      <c r="F1276" s="55">
        <v>0</v>
      </c>
      <c r="G1276" s="55">
        <v>0</v>
      </c>
      <c r="H1276" s="55">
        <v>0</v>
      </c>
      <c r="I1276" s="55">
        <v>0</v>
      </c>
      <c r="J1276" s="55">
        <v>0</v>
      </c>
      <c r="K1276" s="55">
        <v>0</v>
      </c>
      <c r="L1276" s="55">
        <v>0</v>
      </c>
      <c r="M1276" s="54" t="str">
        <f t="shared" si="98"/>
        <v>0-6 Months</v>
      </c>
      <c r="N1276" s="54" t="str">
        <f t="shared" si="99"/>
        <v>12-18 Months</v>
      </c>
      <c r="O1276" s="54" t="s">
        <v>7</v>
      </c>
      <c r="P1276" s="54">
        <f t="shared" si="95"/>
        <v>0</v>
      </c>
      <c r="Q1276">
        <f t="shared" si="96"/>
        <v>0</v>
      </c>
      <c r="R1276">
        <f t="shared" si="97"/>
        <v>0</v>
      </c>
    </row>
    <row r="1277" spans="1:18" x14ac:dyDescent="0.2">
      <c r="A1277" s="54">
        <v>125123</v>
      </c>
      <c r="B1277" s="54" t="s">
        <v>1230</v>
      </c>
      <c r="C1277" s="55">
        <v>119</v>
      </c>
      <c r="D1277" s="55">
        <v>135</v>
      </c>
      <c r="E1277" s="55">
        <v>0</v>
      </c>
      <c r="F1277" s="55">
        <v>0</v>
      </c>
      <c r="G1277" s="55">
        <v>0</v>
      </c>
      <c r="H1277" s="55">
        <v>0</v>
      </c>
      <c r="I1277" s="55">
        <v>0</v>
      </c>
      <c r="J1277" s="55">
        <v>0</v>
      </c>
      <c r="K1277" s="55">
        <v>0</v>
      </c>
      <c r="L1277" s="55">
        <v>0</v>
      </c>
      <c r="M1277" s="54" t="str">
        <f t="shared" si="98"/>
        <v>0-6 Months</v>
      </c>
      <c r="N1277" s="54" t="str">
        <f t="shared" si="99"/>
        <v>12-18 Months</v>
      </c>
      <c r="O1277" s="54" t="s">
        <v>6</v>
      </c>
      <c r="P1277" s="54">
        <f t="shared" si="95"/>
        <v>0</v>
      </c>
      <c r="Q1277">
        <f t="shared" si="96"/>
        <v>0</v>
      </c>
      <c r="R1277">
        <f t="shared" si="97"/>
        <v>0</v>
      </c>
    </row>
    <row r="1278" spans="1:18" x14ac:dyDescent="0.2">
      <c r="A1278" s="54">
        <v>105690</v>
      </c>
      <c r="B1278" s="54" t="s">
        <v>1252</v>
      </c>
      <c r="C1278" s="55">
        <v>140</v>
      </c>
      <c r="D1278" s="55">
        <v>100</v>
      </c>
      <c r="E1278" s="55">
        <v>0</v>
      </c>
      <c r="F1278" s="55">
        <v>3</v>
      </c>
      <c r="G1278" s="55">
        <v>3</v>
      </c>
      <c r="H1278" s="55">
        <v>3</v>
      </c>
      <c r="I1278" s="55">
        <v>0.03</v>
      </c>
      <c r="J1278" s="55">
        <v>0.03</v>
      </c>
      <c r="K1278" s="55">
        <v>0.03</v>
      </c>
      <c r="L1278" s="55">
        <v>0</v>
      </c>
      <c r="M1278" s="54" t="str">
        <f t="shared" si="98"/>
        <v>0-6 Months</v>
      </c>
      <c r="N1278" s="54" t="str">
        <f t="shared" si="99"/>
        <v>12-18 Months</v>
      </c>
      <c r="O1278" s="54" t="s">
        <v>6</v>
      </c>
      <c r="P1278" s="54">
        <f t="shared" si="95"/>
        <v>0</v>
      </c>
      <c r="Q1278">
        <f t="shared" si="96"/>
        <v>0</v>
      </c>
      <c r="R1278">
        <f t="shared" si="97"/>
        <v>0</v>
      </c>
    </row>
    <row r="1279" spans="1:18" x14ac:dyDescent="0.2">
      <c r="A1279" s="54">
        <v>110842</v>
      </c>
      <c r="B1279" s="54" t="s">
        <v>1256</v>
      </c>
      <c r="C1279" s="55">
        <v>152</v>
      </c>
      <c r="D1279" s="55">
        <v>133</v>
      </c>
      <c r="E1279" s="55">
        <v>0</v>
      </c>
      <c r="F1279" s="55">
        <v>0</v>
      </c>
      <c r="G1279" s="55">
        <v>0</v>
      </c>
      <c r="H1279" s="55">
        <v>0</v>
      </c>
      <c r="I1279" s="55">
        <v>0</v>
      </c>
      <c r="J1279" s="55">
        <v>0</v>
      </c>
      <c r="K1279" s="55">
        <v>0</v>
      </c>
      <c r="L1279" s="55">
        <v>0</v>
      </c>
      <c r="M1279" s="54" t="str">
        <f t="shared" si="98"/>
        <v>0-6 Months</v>
      </c>
      <c r="N1279" s="54" t="str">
        <f t="shared" si="99"/>
        <v>12-18 Months</v>
      </c>
      <c r="O1279" s="54" t="s">
        <v>6</v>
      </c>
      <c r="P1279" s="54">
        <f t="shared" si="95"/>
        <v>0</v>
      </c>
      <c r="Q1279">
        <f t="shared" si="96"/>
        <v>0</v>
      </c>
      <c r="R1279">
        <f t="shared" si="97"/>
        <v>0</v>
      </c>
    </row>
    <row r="1280" spans="1:18" x14ac:dyDescent="0.2">
      <c r="A1280" s="54">
        <v>305520</v>
      </c>
      <c r="B1280" s="54" t="s">
        <v>1276</v>
      </c>
      <c r="C1280" s="55">
        <v>225</v>
      </c>
      <c r="D1280" s="55">
        <v>1</v>
      </c>
      <c r="E1280" s="55">
        <v>0</v>
      </c>
      <c r="F1280" s="55">
        <v>2</v>
      </c>
      <c r="G1280" s="55">
        <v>2</v>
      </c>
      <c r="H1280" s="55">
        <v>2</v>
      </c>
      <c r="I1280" s="55">
        <v>2</v>
      </c>
      <c r="J1280" s="55">
        <v>2</v>
      </c>
      <c r="K1280" s="55">
        <v>2</v>
      </c>
      <c r="L1280" s="55">
        <v>1</v>
      </c>
      <c r="M1280" s="54" t="str">
        <f t="shared" si="98"/>
        <v>0-6 Months</v>
      </c>
      <c r="N1280" s="54" t="str">
        <f t="shared" si="99"/>
        <v>12-18 Months</v>
      </c>
      <c r="O1280" s="54" t="s">
        <v>7</v>
      </c>
      <c r="P1280" s="54">
        <f t="shared" si="95"/>
        <v>225</v>
      </c>
      <c r="Q1280">
        <f t="shared" si="96"/>
        <v>225</v>
      </c>
      <c r="R1280">
        <f t="shared" si="97"/>
        <v>225</v>
      </c>
    </row>
    <row r="1281" spans="1:18" x14ac:dyDescent="0.2">
      <c r="A1281" s="54">
        <v>116150</v>
      </c>
      <c r="B1281" s="54" t="s">
        <v>1287</v>
      </c>
      <c r="C1281" s="55">
        <v>381</v>
      </c>
      <c r="D1281" s="55">
        <v>300</v>
      </c>
      <c r="E1281" s="55">
        <v>0</v>
      </c>
      <c r="F1281" s="55">
        <v>30</v>
      </c>
      <c r="G1281" s="55">
        <v>30</v>
      </c>
      <c r="H1281" s="55">
        <v>30</v>
      </c>
      <c r="I1281" s="55">
        <v>0.1</v>
      </c>
      <c r="J1281" s="55">
        <v>0.1</v>
      </c>
      <c r="K1281" s="55">
        <v>0.1</v>
      </c>
      <c r="L1281" s="55">
        <v>0</v>
      </c>
      <c r="M1281" s="54" t="str">
        <f t="shared" si="98"/>
        <v>0-6 Months</v>
      </c>
      <c r="N1281" s="54" t="str">
        <f t="shared" si="99"/>
        <v>12-18 Months</v>
      </c>
      <c r="O1281" s="54" t="s">
        <v>6</v>
      </c>
      <c r="P1281" s="54">
        <f t="shared" si="95"/>
        <v>0</v>
      </c>
      <c r="Q1281">
        <f t="shared" si="96"/>
        <v>0</v>
      </c>
      <c r="R1281">
        <f t="shared" si="97"/>
        <v>0</v>
      </c>
    </row>
    <row r="1282" spans="1:18" x14ac:dyDescent="0.2">
      <c r="A1282" s="54">
        <v>107593</v>
      </c>
      <c r="B1282" s="54" t="s">
        <v>1292</v>
      </c>
      <c r="C1282" s="55">
        <v>476</v>
      </c>
      <c r="D1282" s="55">
        <v>375</v>
      </c>
      <c r="E1282" s="55">
        <v>0</v>
      </c>
      <c r="F1282" s="55">
        <v>113</v>
      </c>
      <c r="G1282" s="55">
        <v>113</v>
      </c>
      <c r="H1282" s="55">
        <v>113</v>
      </c>
      <c r="I1282" s="55">
        <v>0.3</v>
      </c>
      <c r="J1282" s="55">
        <v>0.3</v>
      </c>
      <c r="K1282" s="55">
        <v>0.3</v>
      </c>
      <c r="L1282" s="55">
        <v>6</v>
      </c>
      <c r="M1282" s="54" t="str">
        <f t="shared" si="98"/>
        <v>0-6 Months</v>
      </c>
      <c r="N1282" s="54" t="str">
        <f t="shared" si="99"/>
        <v>12-18 Months</v>
      </c>
      <c r="O1282" s="54" t="s">
        <v>6</v>
      </c>
      <c r="P1282" s="54">
        <f t="shared" si="95"/>
        <v>0</v>
      </c>
      <c r="Q1282">
        <f t="shared" si="96"/>
        <v>0</v>
      </c>
      <c r="R1282">
        <f t="shared" si="97"/>
        <v>0</v>
      </c>
    </row>
  </sheetData>
  <autoFilter ref="A1:R1282" xr:uid="{00000000-0001-0000-0000-000000000000}">
    <sortState xmlns:xlrd2="http://schemas.microsoft.com/office/spreadsheetml/2017/richdata2" ref="A2:R1282">
      <sortCondition descending="1" ref="E1:E1282"/>
    </sortState>
  </autoFilter>
  <conditionalFormatting sqref="F2:F1282">
    <cfRule type="cellIs" dxfId="18" priority="6" operator="greaterThanOrEqual">
      <formula>1000</formula>
    </cfRule>
  </conditionalFormatting>
  <conditionalFormatting sqref="G2:G1282">
    <cfRule type="cellIs" dxfId="17" priority="5" operator="greaterThanOrEqual">
      <formula>500</formula>
    </cfRule>
  </conditionalFormatting>
  <conditionalFormatting sqref="H2:H1282">
    <cfRule type="cellIs" dxfId="16" priority="4" operator="greaterThanOrEqual">
      <formula>300</formula>
    </cfRule>
  </conditionalFormatting>
  <conditionalFormatting sqref="I2:I1282">
    <cfRule type="cellIs" dxfId="15" priority="2" operator="lessThan">
      <formula>2</formula>
    </cfRule>
    <cfRule type="cellIs" dxfId="14" priority="3" operator="greaterThanOrEqual">
      <formula>2</formula>
    </cfRule>
  </conditionalFormatting>
  <conditionalFormatting sqref="J2:J1282">
    <cfRule type="cellIs" dxfId="13" priority="1" operator="greaterThanOrEqual">
      <formula>0.75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284"/>
  <sheetViews>
    <sheetView workbookViewId="0">
      <pane xSplit="2" ySplit="8" topLeftCell="C619" activePane="bottomRight" state="frozen"/>
      <selection pane="topRight" activeCell="C1" sqref="C1"/>
      <selection pane="bottomLeft" activeCell="A9" sqref="A9"/>
      <selection pane="bottomRight" activeCell="C620" sqref="C620"/>
    </sheetView>
  </sheetViews>
  <sheetFormatPr baseColWidth="10" defaultColWidth="8.83203125" defaultRowHeight="15" x14ac:dyDescent="0.2"/>
  <cols>
    <col min="1" max="1" width="10.33203125" bestFit="1" customWidth="1"/>
    <col min="2" max="2" width="44.1640625" bestFit="1" customWidth="1"/>
    <col min="3" max="3" width="9.83203125" style="2" bestFit="1" customWidth="1"/>
    <col min="4" max="4" width="10.6640625" style="2" bestFit="1" customWidth="1"/>
    <col min="5" max="5" width="14.5" style="2" bestFit="1" customWidth="1"/>
    <col min="6" max="6" width="18.6640625" style="2" bestFit="1" customWidth="1"/>
    <col min="7" max="9" width="17.6640625" style="2" bestFit="1" customWidth="1"/>
    <col min="10" max="11" width="16.6640625" style="2" bestFit="1" customWidth="1"/>
    <col min="12" max="12" width="21.83203125" style="2" bestFit="1" customWidth="1"/>
    <col min="13" max="13" width="13.5" bestFit="1" customWidth="1"/>
    <col min="14" max="14" width="13.5" customWidth="1"/>
    <col min="16" max="16" width="15.5" bestFit="1" customWidth="1"/>
  </cols>
  <sheetData>
    <row r="1" spans="1:19" x14ac:dyDescent="0.2">
      <c r="A1" s="79" t="s">
        <v>57</v>
      </c>
      <c r="B1" s="80" t="s">
        <v>56</v>
      </c>
      <c r="C1" s="81" t="s">
        <v>58</v>
      </c>
      <c r="D1" s="81" t="s">
        <v>59</v>
      </c>
      <c r="E1" s="81" t="s">
        <v>60</v>
      </c>
      <c r="F1" s="81" t="s">
        <v>1389</v>
      </c>
      <c r="G1" s="81" t="s">
        <v>1390</v>
      </c>
      <c r="H1" s="81" t="s">
        <v>1391</v>
      </c>
      <c r="I1" s="81" t="s">
        <v>1392</v>
      </c>
      <c r="J1" s="81" t="s">
        <v>1393</v>
      </c>
      <c r="K1" s="81" t="s">
        <v>1394</v>
      </c>
      <c r="L1" s="81" t="s">
        <v>1395</v>
      </c>
      <c r="M1" s="82" t="s">
        <v>29</v>
      </c>
      <c r="N1" s="82" t="s">
        <v>1396</v>
      </c>
      <c r="O1" s="82" t="s">
        <v>1</v>
      </c>
      <c r="P1" s="82" t="s">
        <v>1397</v>
      </c>
      <c r="Q1" s="82" t="s">
        <v>1398</v>
      </c>
      <c r="R1" s="3" t="s">
        <v>1399</v>
      </c>
    </row>
    <row r="2" spans="1:19" x14ac:dyDescent="0.2">
      <c r="A2" s="54">
        <v>100239</v>
      </c>
      <c r="B2" s="54" t="s">
        <v>310</v>
      </c>
      <c r="C2" s="55">
        <v>100</v>
      </c>
      <c r="D2" s="55">
        <v>100</v>
      </c>
      <c r="E2" s="55">
        <v>11</v>
      </c>
      <c r="F2" s="55">
        <v>133</v>
      </c>
      <c r="G2" s="55">
        <v>0</v>
      </c>
      <c r="H2" s="55">
        <v>0</v>
      </c>
      <c r="I2" s="55">
        <v>1.33</v>
      </c>
      <c r="J2" s="55">
        <v>0</v>
      </c>
      <c r="K2" s="55">
        <v>0</v>
      </c>
      <c r="L2" s="55">
        <v>0</v>
      </c>
      <c r="M2" s="54" t="s">
        <v>43</v>
      </c>
      <c r="N2" s="54" t="s">
        <v>1400</v>
      </c>
      <c r="O2" s="54" t="s">
        <v>6</v>
      </c>
      <c r="P2" s="54">
        <f t="shared" ref="P2:P65" si="0">IF(I2&gt;=2, C2, IF(J2&gt;=0.75, C2, 0))</f>
        <v>0</v>
      </c>
      <c r="Q2">
        <f t="shared" ref="Q2:Q65" si="1">IF(I2&gt;=2, C2, IF(AND(J2&gt;=0.75, D2&gt;=550), C2, 0))</f>
        <v>0</v>
      </c>
      <c r="R2">
        <f t="shared" ref="R2:R65" si="2">IF(J2&gt;=0.75, C2, 0)</f>
        <v>0</v>
      </c>
      <c r="S2" t="b">
        <f>IF(A2=A3,TRUE,FALSE)</f>
        <v>0</v>
      </c>
    </row>
    <row r="3" spans="1:19" x14ac:dyDescent="0.2">
      <c r="A3" s="54">
        <v>105331</v>
      </c>
      <c r="B3" s="54" t="s">
        <v>542</v>
      </c>
      <c r="C3" s="55">
        <v>480</v>
      </c>
      <c r="D3" s="55">
        <v>487</v>
      </c>
      <c r="E3" s="55">
        <v>40</v>
      </c>
      <c r="F3" s="55">
        <v>6</v>
      </c>
      <c r="G3" s="55">
        <v>0</v>
      </c>
      <c r="H3" s="55">
        <v>0</v>
      </c>
      <c r="I3" s="55">
        <v>0.01</v>
      </c>
      <c r="J3" s="55">
        <v>0</v>
      </c>
      <c r="K3" s="55">
        <v>0</v>
      </c>
      <c r="L3" s="55">
        <v>0</v>
      </c>
      <c r="M3" s="54" t="s">
        <v>47</v>
      </c>
      <c r="N3" s="54" t="s">
        <v>47</v>
      </c>
      <c r="O3" s="54" t="s">
        <v>6</v>
      </c>
      <c r="P3" s="54">
        <f t="shared" si="0"/>
        <v>0</v>
      </c>
      <c r="Q3">
        <f t="shared" si="1"/>
        <v>0</v>
      </c>
      <c r="R3">
        <f t="shared" si="2"/>
        <v>0</v>
      </c>
      <c r="S3" t="b">
        <f t="shared" ref="S3:S66" si="3">IF(A3=A4,TRUE,FALSE)</f>
        <v>0</v>
      </c>
    </row>
    <row r="4" spans="1:19" x14ac:dyDescent="0.2">
      <c r="A4" s="54">
        <v>105389</v>
      </c>
      <c r="B4" s="54" t="s">
        <v>553</v>
      </c>
      <c r="C4" s="55">
        <v>111</v>
      </c>
      <c r="D4" s="55">
        <v>92</v>
      </c>
      <c r="E4" s="55">
        <v>48</v>
      </c>
      <c r="F4" s="55">
        <v>14</v>
      </c>
      <c r="G4" s="55">
        <v>8</v>
      </c>
      <c r="H4" s="55">
        <v>6</v>
      </c>
      <c r="I4" s="55">
        <v>0.15</v>
      </c>
      <c r="J4" s="55">
        <v>0.09</v>
      </c>
      <c r="K4" s="55">
        <v>7.0000000000000007E-2</v>
      </c>
      <c r="L4" s="55">
        <v>5</v>
      </c>
      <c r="M4" s="54" t="s">
        <v>47</v>
      </c>
      <c r="N4" s="54" t="s">
        <v>47</v>
      </c>
      <c r="O4" s="54" t="s">
        <v>7</v>
      </c>
      <c r="P4" s="54">
        <f t="shared" si="0"/>
        <v>0</v>
      </c>
      <c r="Q4">
        <f t="shared" si="1"/>
        <v>0</v>
      </c>
      <c r="R4">
        <f t="shared" si="2"/>
        <v>0</v>
      </c>
      <c r="S4" t="b">
        <f t="shared" si="3"/>
        <v>0</v>
      </c>
    </row>
    <row r="5" spans="1:19" x14ac:dyDescent="0.2">
      <c r="A5" s="54">
        <v>105459</v>
      </c>
      <c r="B5" s="54" t="s">
        <v>1038</v>
      </c>
      <c r="C5" s="55">
        <v>23</v>
      </c>
      <c r="D5" s="55">
        <v>21</v>
      </c>
      <c r="E5" s="55">
        <v>0</v>
      </c>
      <c r="F5" s="55">
        <v>0</v>
      </c>
      <c r="G5" s="55">
        <v>0</v>
      </c>
      <c r="H5" s="55">
        <v>0</v>
      </c>
      <c r="I5" s="55">
        <v>0</v>
      </c>
      <c r="J5" s="55">
        <v>0</v>
      </c>
      <c r="K5" s="55">
        <v>0</v>
      </c>
      <c r="L5" s="55">
        <v>0</v>
      </c>
      <c r="M5" s="54" t="s">
        <v>30</v>
      </c>
      <c r="N5" s="54" t="s">
        <v>1401</v>
      </c>
      <c r="O5" s="54" t="s">
        <v>7</v>
      </c>
      <c r="P5" s="54">
        <f t="shared" si="0"/>
        <v>0</v>
      </c>
      <c r="Q5">
        <f t="shared" si="1"/>
        <v>0</v>
      </c>
      <c r="R5">
        <f t="shared" si="2"/>
        <v>0</v>
      </c>
      <c r="S5" t="b">
        <f t="shared" si="3"/>
        <v>0</v>
      </c>
    </row>
    <row r="6" spans="1:19" x14ac:dyDescent="0.2">
      <c r="A6" s="54">
        <v>105469</v>
      </c>
      <c r="B6" s="54" t="s">
        <v>81</v>
      </c>
      <c r="C6" s="55">
        <v>950</v>
      </c>
      <c r="D6" s="55">
        <v>1000</v>
      </c>
      <c r="E6" s="55">
        <v>10</v>
      </c>
      <c r="F6" s="55">
        <v>5114</v>
      </c>
      <c r="G6" s="55">
        <v>664</v>
      </c>
      <c r="H6" s="55">
        <v>211</v>
      </c>
      <c r="I6" s="55">
        <v>5.1100000000000003</v>
      </c>
      <c r="J6" s="55">
        <v>0.66</v>
      </c>
      <c r="K6" s="55">
        <v>0.21</v>
      </c>
      <c r="L6" s="55">
        <v>20</v>
      </c>
      <c r="M6" s="54" t="s">
        <v>43</v>
      </c>
      <c r="N6" s="54" t="s">
        <v>1400</v>
      </c>
      <c r="O6" s="54" t="s">
        <v>5</v>
      </c>
      <c r="P6" s="54">
        <f t="shared" si="0"/>
        <v>950</v>
      </c>
      <c r="Q6">
        <f t="shared" si="1"/>
        <v>950</v>
      </c>
      <c r="R6">
        <f t="shared" si="2"/>
        <v>0</v>
      </c>
      <c r="S6" t="b">
        <f t="shared" si="3"/>
        <v>0</v>
      </c>
    </row>
    <row r="7" spans="1:19" x14ac:dyDescent="0.2">
      <c r="A7" s="54">
        <v>105506</v>
      </c>
      <c r="B7" s="54" t="s">
        <v>239</v>
      </c>
      <c r="C7" s="55">
        <v>394</v>
      </c>
      <c r="D7" s="55">
        <v>364</v>
      </c>
      <c r="E7" s="55">
        <v>13</v>
      </c>
      <c r="F7" s="55">
        <v>201</v>
      </c>
      <c r="G7" s="55">
        <v>116</v>
      </c>
      <c r="H7" s="55">
        <v>52</v>
      </c>
      <c r="I7" s="55">
        <v>0.55000000000000004</v>
      </c>
      <c r="J7" s="55">
        <v>0.32</v>
      </c>
      <c r="K7" s="55">
        <v>0.14000000000000001</v>
      </c>
      <c r="L7" s="55">
        <v>38</v>
      </c>
      <c r="M7" s="54" t="s">
        <v>45</v>
      </c>
      <c r="N7" s="54" t="s">
        <v>47</v>
      </c>
      <c r="O7" s="54" t="s">
        <v>6</v>
      </c>
      <c r="P7" s="54">
        <f t="shared" si="0"/>
        <v>0</v>
      </c>
      <c r="Q7">
        <f t="shared" si="1"/>
        <v>0</v>
      </c>
      <c r="R7">
        <f t="shared" si="2"/>
        <v>0</v>
      </c>
      <c r="S7" t="b">
        <f t="shared" si="3"/>
        <v>0</v>
      </c>
    </row>
    <row r="8" spans="1:19" x14ac:dyDescent="0.2">
      <c r="A8" s="54">
        <v>105516</v>
      </c>
      <c r="B8" s="54" t="s">
        <v>170</v>
      </c>
      <c r="C8" s="55">
        <v>1079</v>
      </c>
      <c r="D8" s="55">
        <v>720</v>
      </c>
      <c r="E8" s="55">
        <v>16</v>
      </c>
      <c r="F8" s="55">
        <v>762</v>
      </c>
      <c r="G8" s="55">
        <v>623</v>
      </c>
      <c r="H8" s="55">
        <v>538</v>
      </c>
      <c r="I8" s="55">
        <v>1.06</v>
      </c>
      <c r="J8" s="55">
        <v>0.87</v>
      </c>
      <c r="K8" s="55">
        <v>0.75</v>
      </c>
      <c r="L8" s="55">
        <v>8</v>
      </c>
      <c r="M8" s="54" t="s">
        <v>45</v>
      </c>
      <c r="N8" s="54" t="s">
        <v>47</v>
      </c>
      <c r="O8" s="54" t="s">
        <v>5</v>
      </c>
      <c r="P8" s="54">
        <f t="shared" si="0"/>
        <v>1079</v>
      </c>
      <c r="Q8">
        <f t="shared" si="1"/>
        <v>1079</v>
      </c>
      <c r="R8">
        <f t="shared" si="2"/>
        <v>1079</v>
      </c>
      <c r="S8" t="b">
        <f t="shared" si="3"/>
        <v>0</v>
      </c>
    </row>
    <row r="9" spans="1:19" x14ac:dyDescent="0.2">
      <c r="A9" s="54">
        <v>105678</v>
      </c>
      <c r="B9" s="54" t="s">
        <v>358</v>
      </c>
      <c r="C9" s="55">
        <v>90</v>
      </c>
      <c r="D9" s="55">
        <v>115</v>
      </c>
      <c r="E9" s="55">
        <v>42</v>
      </c>
      <c r="F9" s="55">
        <v>265</v>
      </c>
      <c r="G9" s="55">
        <v>63</v>
      </c>
      <c r="H9" s="55">
        <v>58</v>
      </c>
      <c r="I9" s="55">
        <v>2.2999999999999998</v>
      </c>
      <c r="J9" s="55">
        <v>0.55000000000000004</v>
      </c>
      <c r="K9" s="55">
        <v>0.5</v>
      </c>
      <c r="L9" s="55">
        <v>256</v>
      </c>
      <c r="M9" s="54" t="s">
        <v>47</v>
      </c>
      <c r="N9" s="54" t="s">
        <v>47</v>
      </c>
      <c r="O9" s="54" t="s">
        <v>6</v>
      </c>
      <c r="P9" s="54">
        <f t="shared" si="0"/>
        <v>90</v>
      </c>
      <c r="Q9">
        <f t="shared" si="1"/>
        <v>90</v>
      </c>
      <c r="R9">
        <f t="shared" si="2"/>
        <v>0</v>
      </c>
      <c r="S9" t="b">
        <f t="shared" si="3"/>
        <v>0</v>
      </c>
    </row>
    <row r="10" spans="1:19" x14ac:dyDescent="0.2">
      <c r="A10" s="54">
        <v>105690</v>
      </c>
      <c r="B10" s="54" t="s">
        <v>1252</v>
      </c>
      <c r="C10" s="55">
        <v>140</v>
      </c>
      <c r="D10" s="55">
        <v>100</v>
      </c>
      <c r="E10" s="55">
        <v>0</v>
      </c>
      <c r="F10" s="55">
        <v>3</v>
      </c>
      <c r="G10" s="55">
        <v>3</v>
      </c>
      <c r="H10" s="55">
        <v>3</v>
      </c>
      <c r="I10" s="55">
        <v>0.03</v>
      </c>
      <c r="J10" s="55">
        <v>0.03</v>
      </c>
      <c r="K10" s="55">
        <v>0.03</v>
      </c>
      <c r="L10" s="55">
        <v>0</v>
      </c>
      <c r="M10" s="54" t="s">
        <v>30</v>
      </c>
      <c r="N10" s="54" t="s">
        <v>1401</v>
      </c>
      <c r="O10" s="54" t="s">
        <v>6</v>
      </c>
      <c r="P10" s="54">
        <f t="shared" si="0"/>
        <v>0</v>
      </c>
      <c r="Q10">
        <f t="shared" si="1"/>
        <v>0</v>
      </c>
      <c r="R10">
        <f t="shared" si="2"/>
        <v>0</v>
      </c>
      <c r="S10" t="b">
        <f t="shared" si="3"/>
        <v>0</v>
      </c>
    </row>
    <row r="11" spans="1:19" x14ac:dyDescent="0.2">
      <c r="A11" s="54">
        <v>105702</v>
      </c>
      <c r="B11" s="54" t="s">
        <v>135</v>
      </c>
      <c r="C11" s="55">
        <v>928</v>
      </c>
      <c r="D11" s="55">
        <v>1000</v>
      </c>
      <c r="E11" s="55">
        <v>11</v>
      </c>
      <c r="F11" s="55">
        <v>1795</v>
      </c>
      <c r="G11" s="55">
        <v>1068</v>
      </c>
      <c r="H11" s="55">
        <v>99</v>
      </c>
      <c r="I11" s="55">
        <v>1.8</v>
      </c>
      <c r="J11" s="55">
        <v>1.07</v>
      </c>
      <c r="K11" s="55">
        <v>0.1</v>
      </c>
      <c r="L11" s="55">
        <v>63</v>
      </c>
      <c r="M11" s="54" t="s">
        <v>43</v>
      </c>
      <c r="N11" s="54" t="s">
        <v>1400</v>
      </c>
      <c r="O11" s="54" t="s">
        <v>5</v>
      </c>
      <c r="P11" s="54">
        <f t="shared" si="0"/>
        <v>928</v>
      </c>
      <c r="Q11">
        <f t="shared" si="1"/>
        <v>928</v>
      </c>
      <c r="R11">
        <f t="shared" si="2"/>
        <v>928</v>
      </c>
      <c r="S11" t="b">
        <f t="shared" si="3"/>
        <v>0</v>
      </c>
    </row>
    <row r="12" spans="1:19" x14ac:dyDescent="0.2">
      <c r="A12" s="54">
        <v>105703</v>
      </c>
      <c r="B12" s="54" t="s">
        <v>1181</v>
      </c>
      <c r="C12" s="55">
        <v>71</v>
      </c>
      <c r="D12" s="55">
        <v>100</v>
      </c>
      <c r="E12" s="55">
        <v>2</v>
      </c>
      <c r="F12" s="55">
        <v>0</v>
      </c>
      <c r="G12" s="55">
        <v>0</v>
      </c>
      <c r="H12" s="55">
        <v>0</v>
      </c>
      <c r="I12" s="55">
        <v>0</v>
      </c>
      <c r="J12" s="55">
        <v>0</v>
      </c>
      <c r="K12" s="55">
        <v>0</v>
      </c>
      <c r="L12" s="55">
        <v>0</v>
      </c>
      <c r="M12" s="54" t="s">
        <v>30</v>
      </c>
      <c r="N12" s="54" t="s">
        <v>1401</v>
      </c>
      <c r="O12" s="54" t="s">
        <v>6</v>
      </c>
      <c r="P12" s="54">
        <f t="shared" si="0"/>
        <v>0</v>
      </c>
      <c r="Q12">
        <f t="shared" si="1"/>
        <v>0</v>
      </c>
      <c r="R12">
        <f t="shared" si="2"/>
        <v>0</v>
      </c>
      <c r="S12" t="b">
        <f t="shared" si="3"/>
        <v>0</v>
      </c>
    </row>
    <row r="13" spans="1:19" x14ac:dyDescent="0.2">
      <c r="A13" s="54">
        <v>105706</v>
      </c>
      <c r="B13" s="54" t="s">
        <v>370</v>
      </c>
      <c r="C13" s="55">
        <v>760</v>
      </c>
      <c r="D13" s="55">
        <v>778</v>
      </c>
      <c r="E13" s="55">
        <v>34</v>
      </c>
      <c r="F13" s="55">
        <v>66</v>
      </c>
      <c r="G13" s="55">
        <v>26</v>
      </c>
      <c r="H13" s="55">
        <v>20</v>
      </c>
      <c r="I13" s="55">
        <v>0.08</v>
      </c>
      <c r="J13" s="55">
        <v>0.03</v>
      </c>
      <c r="K13" s="55">
        <v>0.03</v>
      </c>
      <c r="L13" s="55">
        <v>807</v>
      </c>
      <c r="M13" s="54" t="s">
        <v>47</v>
      </c>
      <c r="N13" s="54" t="s">
        <v>47</v>
      </c>
      <c r="O13" s="54" t="s">
        <v>5</v>
      </c>
      <c r="P13" s="54">
        <f t="shared" si="0"/>
        <v>0</v>
      </c>
      <c r="Q13">
        <f t="shared" si="1"/>
        <v>0</v>
      </c>
      <c r="R13">
        <f t="shared" si="2"/>
        <v>0</v>
      </c>
      <c r="S13" t="b">
        <f t="shared" si="3"/>
        <v>0</v>
      </c>
    </row>
    <row r="14" spans="1:19" x14ac:dyDescent="0.2">
      <c r="A14" s="54">
        <v>105721</v>
      </c>
      <c r="B14" s="54" t="s">
        <v>438</v>
      </c>
      <c r="C14" s="55">
        <v>142</v>
      </c>
      <c r="D14" s="55">
        <v>132</v>
      </c>
      <c r="E14" s="55">
        <v>36</v>
      </c>
      <c r="F14" s="55">
        <v>18</v>
      </c>
      <c r="G14" s="55">
        <v>9</v>
      </c>
      <c r="H14" s="55">
        <v>9</v>
      </c>
      <c r="I14" s="55">
        <v>0.14000000000000001</v>
      </c>
      <c r="J14" s="55">
        <v>7.0000000000000007E-2</v>
      </c>
      <c r="K14" s="55">
        <v>7.0000000000000007E-2</v>
      </c>
      <c r="L14" s="55">
        <v>51</v>
      </c>
      <c r="M14" s="54" t="s">
        <v>47</v>
      </c>
      <c r="N14" s="54" t="s">
        <v>47</v>
      </c>
      <c r="O14" s="54" t="s">
        <v>6</v>
      </c>
      <c r="P14" s="54">
        <f t="shared" si="0"/>
        <v>0</v>
      </c>
      <c r="Q14">
        <f t="shared" si="1"/>
        <v>0</v>
      </c>
      <c r="R14">
        <f t="shared" si="2"/>
        <v>0</v>
      </c>
      <c r="S14" t="b">
        <f t="shared" si="3"/>
        <v>0</v>
      </c>
    </row>
    <row r="15" spans="1:19" x14ac:dyDescent="0.2">
      <c r="A15" s="54">
        <v>105730</v>
      </c>
      <c r="B15" s="54" t="s">
        <v>955</v>
      </c>
      <c r="C15" s="55">
        <v>15</v>
      </c>
      <c r="D15" s="55">
        <v>23</v>
      </c>
      <c r="E15" s="55">
        <v>2</v>
      </c>
      <c r="F15" s="55">
        <v>5</v>
      </c>
      <c r="G15" s="55">
        <v>5</v>
      </c>
      <c r="H15" s="55">
        <v>5</v>
      </c>
      <c r="I15" s="55">
        <v>0.22</v>
      </c>
      <c r="J15" s="55">
        <v>0.22</v>
      </c>
      <c r="K15" s="55">
        <v>0.22</v>
      </c>
      <c r="L15" s="55">
        <v>0</v>
      </c>
      <c r="M15" s="54" t="s">
        <v>30</v>
      </c>
      <c r="N15" s="54" t="s">
        <v>1401</v>
      </c>
      <c r="O15" s="54" t="s">
        <v>7</v>
      </c>
      <c r="P15" s="54">
        <f t="shared" si="0"/>
        <v>0</v>
      </c>
      <c r="Q15">
        <f t="shared" si="1"/>
        <v>0</v>
      </c>
      <c r="R15">
        <f t="shared" si="2"/>
        <v>0</v>
      </c>
      <c r="S15" t="b">
        <f t="shared" si="3"/>
        <v>0</v>
      </c>
    </row>
    <row r="16" spans="1:19" x14ac:dyDescent="0.2">
      <c r="A16" s="54">
        <v>105751</v>
      </c>
      <c r="B16" s="54" t="s">
        <v>186</v>
      </c>
      <c r="C16" s="55">
        <v>248</v>
      </c>
      <c r="D16" s="55">
        <v>205</v>
      </c>
      <c r="E16" s="55">
        <v>10</v>
      </c>
      <c r="F16" s="55">
        <v>478</v>
      </c>
      <c r="G16" s="55">
        <v>204</v>
      </c>
      <c r="H16" s="55">
        <v>104</v>
      </c>
      <c r="I16" s="55">
        <v>2.33</v>
      </c>
      <c r="J16" s="55">
        <v>1</v>
      </c>
      <c r="K16" s="55">
        <v>0.51</v>
      </c>
      <c r="L16" s="55">
        <v>39</v>
      </c>
      <c r="M16" s="54" t="s">
        <v>43</v>
      </c>
      <c r="N16" s="54" t="s">
        <v>1400</v>
      </c>
      <c r="O16" s="54" t="s">
        <v>6</v>
      </c>
      <c r="P16" s="54">
        <f t="shared" si="0"/>
        <v>248</v>
      </c>
      <c r="Q16">
        <f t="shared" si="1"/>
        <v>248</v>
      </c>
      <c r="R16">
        <f t="shared" si="2"/>
        <v>248</v>
      </c>
      <c r="S16" t="b">
        <f t="shared" si="3"/>
        <v>0</v>
      </c>
    </row>
    <row r="17" spans="1:19" x14ac:dyDescent="0.2">
      <c r="A17" s="54">
        <v>105754</v>
      </c>
      <c r="B17" s="54" t="s">
        <v>676</v>
      </c>
      <c r="C17" s="55">
        <v>228</v>
      </c>
      <c r="D17" s="55">
        <v>166</v>
      </c>
      <c r="E17" s="55">
        <v>21</v>
      </c>
      <c r="F17" s="55">
        <v>0</v>
      </c>
      <c r="G17" s="55">
        <v>0</v>
      </c>
      <c r="H17" s="55">
        <v>0</v>
      </c>
      <c r="I17" s="55">
        <v>0</v>
      </c>
      <c r="J17" s="55">
        <v>0</v>
      </c>
      <c r="K17" s="55">
        <v>0</v>
      </c>
      <c r="L17" s="55">
        <v>0</v>
      </c>
      <c r="M17" s="54" t="s">
        <v>45</v>
      </c>
      <c r="N17" s="54" t="s">
        <v>47</v>
      </c>
      <c r="O17" s="54" t="s">
        <v>6</v>
      </c>
      <c r="P17" s="54">
        <f t="shared" si="0"/>
        <v>0</v>
      </c>
      <c r="Q17">
        <f t="shared" si="1"/>
        <v>0</v>
      </c>
      <c r="R17">
        <f t="shared" si="2"/>
        <v>0</v>
      </c>
      <c r="S17" t="b">
        <f t="shared" si="3"/>
        <v>0</v>
      </c>
    </row>
    <row r="18" spans="1:19" x14ac:dyDescent="0.2">
      <c r="A18" s="54">
        <v>105756</v>
      </c>
      <c r="B18" s="54" t="s">
        <v>258</v>
      </c>
      <c r="C18" s="55">
        <v>195</v>
      </c>
      <c r="D18" s="55">
        <v>271</v>
      </c>
      <c r="E18" s="55">
        <v>9</v>
      </c>
      <c r="F18" s="55">
        <v>206</v>
      </c>
      <c r="G18" s="55">
        <v>151</v>
      </c>
      <c r="H18" s="55">
        <v>104</v>
      </c>
      <c r="I18" s="55">
        <v>0.76</v>
      </c>
      <c r="J18" s="55">
        <v>0.56000000000000005</v>
      </c>
      <c r="K18" s="55">
        <v>0.38</v>
      </c>
      <c r="L18" s="55">
        <v>130</v>
      </c>
      <c r="M18" s="54" t="s">
        <v>43</v>
      </c>
      <c r="N18" s="54" t="s">
        <v>1400</v>
      </c>
      <c r="O18" s="54" t="s">
        <v>6</v>
      </c>
      <c r="P18" s="54">
        <f t="shared" si="0"/>
        <v>0</v>
      </c>
      <c r="Q18">
        <f t="shared" si="1"/>
        <v>0</v>
      </c>
      <c r="R18">
        <f t="shared" si="2"/>
        <v>0</v>
      </c>
      <c r="S18" t="b">
        <f t="shared" si="3"/>
        <v>0</v>
      </c>
    </row>
    <row r="19" spans="1:19" x14ac:dyDescent="0.2">
      <c r="A19" s="54">
        <v>105779</v>
      </c>
      <c r="B19" s="54" t="s">
        <v>260</v>
      </c>
      <c r="C19" s="55">
        <v>446</v>
      </c>
      <c r="D19" s="55">
        <v>268</v>
      </c>
      <c r="E19" s="55">
        <v>18</v>
      </c>
      <c r="F19" s="55">
        <v>144</v>
      </c>
      <c r="G19" s="55">
        <v>17</v>
      </c>
      <c r="H19" s="55">
        <v>4</v>
      </c>
      <c r="I19" s="55">
        <v>0.54</v>
      </c>
      <c r="J19" s="55">
        <v>0.06</v>
      </c>
      <c r="K19" s="55">
        <v>0.01</v>
      </c>
      <c r="L19" s="55">
        <v>9</v>
      </c>
      <c r="M19" s="54" t="s">
        <v>45</v>
      </c>
      <c r="N19" s="54" t="s">
        <v>47</v>
      </c>
      <c r="O19" s="54" t="s">
        <v>6</v>
      </c>
      <c r="P19" s="54">
        <f t="shared" si="0"/>
        <v>0</v>
      </c>
      <c r="Q19">
        <f t="shared" si="1"/>
        <v>0</v>
      </c>
      <c r="R19">
        <f t="shared" si="2"/>
        <v>0</v>
      </c>
      <c r="S19" t="b">
        <f t="shared" si="3"/>
        <v>0</v>
      </c>
    </row>
    <row r="20" spans="1:19" x14ac:dyDescent="0.2">
      <c r="A20" s="54">
        <v>105780</v>
      </c>
      <c r="B20" s="54" t="s">
        <v>159</v>
      </c>
      <c r="C20" s="55">
        <v>120</v>
      </c>
      <c r="D20" s="55">
        <v>156</v>
      </c>
      <c r="E20" s="55">
        <v>7</v>
      </c>
      <c r="F20" s="55">
        <v>427</v>
      </c>
      <c r="G20" s="55">
        <v>427</v>
      </c>
      <c r="H20" s="55">
        <v>325</v>
      </c>
      <c r="I20" s="55">
        <v>2.74</v>
      </c>
      <c r="J20" s="55">
        <v>2.74</v>
      </c>
      <c r="K20" s="55">
        <v>2.08</v>
      </c>
      <c r="L20" s="55">
        <v>22</v>
      </c>
      <c r="M20" s="54" t="s">
        <v>43</v>
      </c>
      <c r="N20" s="54" t="s">
        <v>1400</v>
      </c>
      <c r="O20" s="54" t="s">
        <v>6</v>
      </c>
      <c r="P20" s="54">
        <f t="shared" si="0"/>
        <v>120</v>
      </c>
      <c r="Q20">
        <f t="shared" si="1"/>
        <v>120</v>
      </c>
      <c r="R20">
        <f t="shared" si="2"/>
        <v>120</v>
      </c>
      <c r="S20" t="b">
        <f t="shared" si="3"/>
        <v>0</v>
      </c>
    </row>
    <row r="21" spans="1:19" x14ac:dyDescent="0.2">
      <c r="A21" s="54">
        <v>105785</v>
      </c>
      <c r="B21" s="54" t="s">
        <v>75</v>
      </c>
      <c r="C21" s="55">
        <v>1993</v>
      </c>
      <c r="D21" s="55">
        <v>3486</v>
      </c>
      <c r="E21" s="55">
        <v>45</v>
      </c>
      <c r="F21" s="55">
        <v>4534</v>
      </c>
      <c r="G21" s="55">
        <v>4054</v>
      </c>
      <c r="H21" s="55">
        <v>2890</v>
      </c>
      <c r="I21" s="55">
        <v>1.3</v>
      </c>
      <c r="J21" s="55">
        <v>1.1599999999999999</v>
      </c>
      <c r="K21" s="55">
        <v>0.83</v>
      </c>
      <c r="L21" s="55">
        <v>114</v>
      </c>
      <c r="M21" s="54" t="s">
        <v>47</v>
      </c>
      <c r="N21" s="54" t="s">
        <v>47</v>
      </c>
      <c r="O21" s="54" t="s">
        <v>5</v>
      </c>
      <c r="P21" s="54">
        <f t="shared" si="0"/>
        <v>1993</v>
      </c>
      <c r="Q21">
        <f t="shared" si="1"/>
        <v>1993</v>
      </c>
      <c r="R21">
        <f t="shared" si="2"/>
        <v>1993</v>
      </c>
      <c r="S21" t="b">
        <f t="shared" si="3"/>
        <v>0</v>
      </c>
    </row>
    <row r="22" spans="1:19" x14ac:dyDescent="0.2">
      <c r="A22" s="54">
        <v>105904</v>
      </c>
      <c r="B22" s="54" t="s">
        <v>256</v>
      </c>
      <c r="C22" s="55">
        <v>45</v>
      </c>
      <c r="D22" s="55">
        <v>46</v>
      </c>
      <c r="E22" s="55">
        <v>7</v>
      </c>
      <c r="F22" s="55">
        <v>182</v>
      </c>
      <c r="G22" s="55">
        <v>182</v>
      </c>
      <c r="H22" s="55">
        <v>161</v>
      </c>
      <c r="I22" s="55">
        <v>3.96</v>
      </c>
      <c r="J22" s="55">
        <v>3.96</v>
      </c>
      <c r="K22" s="55">
        <v>3.5</v>
      </c>
      <c r="L22" s="55">
        <v>39</v>
      </c>
      <c r="M22" s="54" t="s">
        <v>43</v>
      </c>
      <c r="N22" s="54" t="s">
        <v>1400</v>
      </c>
      <c r="O22" s="54" t="s">
        <v>7</v>
      </c>
      <c r="P22" s="54">
        <f t="shared" si="0"/>
        <v>45</v>
      </c>
      <c r="Q22">
        <f t="shared" si="1"/>
        <v>45</v>
      </c>
      <c r="R22">
        <f t="shared" si="2"/>
        <v>45</v>
      </c>
      <c r="S22" t="b">
        <f t="shared" si="3"/>
        <v>0</v>
      </c>
    </row>
    <row r="23" spans="1:19" x14ac:dyDescent="0.2">
      <c r="A23" s="54">
        <v>106000</v>
      </c>
      <c r="B23" s="54" t="s">
        <v>261</v>
      </c>
      <c r="C23" s="55">
        <v>1800</v>
      </c>
      <c r="D23" s="55">
        <v>2337</v>
      </c>
      <c r="E23" s="55">
        <v>33</v>
      </c>
      <c r="F23" s="55">
        <v>277</v>
      </c>
      <c r="G23" s="55">
        <v>164</v>
      </c>
      <c r="H23" s="55">
        <v>134</v>
      </c>
      <c r="I23" s="55">
        <v>0.12</v>
      </c>
      <c r="J23" s="55">
        <v>7.0000000000000007E-2</v>
      </c>
      <c r="K23" s="55">
        <v>0.06</v>
      </c>
      <c r="L23" s="55">
        <v>0</v>
      </c>
      <c r="M23" s="54" t="s">
        <v>47</v>
      </c>
      <c r="N23" s="54" t="s">
        <v>47</v>
      </c>
      <c r="O23" s="54" t="s">
        <v>5</v>
      </c>
      <c r="P23" s="54">
        <f t="shared" si="0"/>
        <v>0</v>
      </c>
      <c r="Q23">
        <f t="shared" si="1"/>
        <v>0</v>
      </c>
      <c r="R23">
        <f t="shared" si="2"/>
        <v>0</v>
      </c>
      <c r="S23" t="b">
        <f t="shared" si="3"/>
        <v>0</v>
      </c>
    </row>
    <row r="24" spans="1:19" x14ac:dyDescent="0.2">
      <c r="A24" s="54">
        <v>106051</v>
      </c>
      <c r="B24" s="54" t="s">
        <v>906</v>
      </c>
      <c r="C24" s="55">
        <v>12</v>
      </c>
      <c r="D24" s="55">
        <v>11</v>
      </c>
      <c r="E24" s="55">
        <v>1</v>
      </c>
      <c r="F24" s="55">
        <v>23</v>
      </c>
      <c r="G24" s="55">
        <v>23</v>
      </c>
      <c r="H24" s="55">
        <v>23</v>
      </c>
      <c r="I24" s="55">
        <v>2.09</v>
      </c>
      <c r="J24" s="55">
        <v>2.09</v>
      </c>
      <c r="K24" s="55">
        <v>2.09</v>
      </c>
      <c r="L24" s="55">
        <v>0</v>
      </c>
      <c r="M24" s="54" t="s">
        <v>30</v>
      </c>
      <c r="N24" s="54" t="s">
        <v>1401</v>
      </c>
      <c r="O24" s="54" t="s">
        <v>7</v>
      </c>
      <c r="P24" s="54">
        <f t="shared" si="0"/>
        <v>12</v>
      </c>
      <c r="Q24">
        <f t="shared" si="1"/>
        <v>12</v>
      </c>
      <c r="R24">
        <f t="shared" si="2"/>
        <v>12</v>
      </c>
      <c r="S24" t="b">
        <f t="shared" si="3"/>
        <v>0</v>
      </c>
    </row>
    <row r="25" spans="1:19" x14ac:dyDescent="0.2">
      <c r="A25" s="54">
        <v>106135</v>
      </c>
      <c r="B25" s="54" t="s">
        <v>217</v>
      </c>
      <c r="C25" s="55">
        <v>92</v>
      </c>
      <c r="D25" s="55">
        <v>145</v>
      </c>
      <c r="E25" s="55">
        <v>11</v>
      </c>
      <c r="F25" s="55">
        <v>417</v>
      </c>
      <c r="G25" s="55">
        <v>375</v>
      </c>
      <c r="H25" s="55">
        <v>23</v>
      </c>
      <c r="I25" s="55">
        <v>2.88</v>
      </c>
      <c r="J25" s="55">
        <v>2.59</v>
      </c>
      <c r="K25" s="55">
        <v>0.16</v>
      </c>
      <c r="L25" s="55">
        <v>4</v>
      </c>
      <c r="M25" s="54" t="s">
        <v>43</v>
      </c>
      <c r="N25" s="54" t="s">
        <v>1400</v>
      </c>
      <c r="O25" s="54" t="s">
        <v>6</v>
      </c>
      <c r="P25" s="54">
        <f t="shared" si="0"/>
        <v>92</v>
      </c>
      <c r="Q25">
        <f t="shared" si="1"/>
        <v>92</v>
      </c>
      <c r="R25">
        <f t="shared" si="2"/>
        <v>92</v>
      </c>
      <c r="S25" t="b">
        <f t="shared" si="3"/>
        <v>0</v>
      </c>
    </row>
    <row r="26" spans="1:19" x14ac:dyDescent="0.2">
      <c r="A26" s="54">
        <v>106139</v>
      </c>
      <c r="B26" s="54" t="s">
        <v>655</v>
      </c>
      <c r="C26" s="55">
        <v>50</v>
      </c>
      <c r="D26" s="55">
        <v>92</v>
      </c>
      <c r="E26" s="55">
        <v>6</v>
      </c>
      <c r="F26" s="55">
        <v>0</v>
      </c>
      <c r="G26" s="55">
        <v>0</v>
      </c>
      <c r="H26" s="55">
        <v>0</v>
      </c>
      <c r="I26" s="55">
        <v>0</v>
      </c>
      <c r="J26" s="55">
        <v>0</v>
      </c>
      <c r="K26" s="55">
        <v>0</v>
      </c>
      <c r="L26" s="55">
        <v>0</v>
      </c>
      <c r="M26" s="54" t="s">
        <v>43</v>
      </c>
      <c r="N26" s="54" t="s">
        <v>1400</v>
      </c>
      <c r="O26" s="54" t="s">
        <v>7</v>
      </c>
      <c r="P26" s="54">
        <f t="shared" si="0"/>
        <v>0</v>
      </c>
      <c r="Q26">
        <f t="shared" si="1"/>
        <v>0</v>
      </c>
      <c r="R26">
        <f t="shared" si="2"/>
        <v>0</v>
      </c>
      <c r="S26" t="b">
        <f t="shared" si="3"/>
        <v>0</v>
      </c>
    </row>
    <row r="27" spans="1:19" x14ac:dyDescent="0.2">
      <c r="A27" s="54">
        <v>106155</v>
      </c>
      <c r="B27" s="54" t="s">
        <v>351</v>
      </c>
      <c r="C27" s="55">
        <v>3183</v>
      </c>
      <c r="D27" s="55">
        <v>2850</v>
      </c>
      <c r="E27" s="55">
        <v>22</v>
      </c>
      <c r="F27" s="55">
        <v>1210</v>
      </c>
      <c r="G27" s="55">
        <v>987</v>
      </c>
      <c r="H27" s="55">
        <v>0</v>
      </c>
      <c r="I27" s="55">
        <v>0.42</v>
      </c>
      <c r="J27" s="55">
        <v>0.35</v>
      </c>
      <c r="K27" s="55">
        <v>0</v>
      </c>
      <c r="L27" s="55">
        <v>0</v>
      </c>
      <c r="M27" s="54" t="s">
        <v>45</v>
      </c>
      <c r="N27" s="54" t="s">
        <v>47</v>
      </c>
      <c r="O27" s="54" t="s">
        <v>5</v>
      </c>
      <c r="P27" s="54">
        <f t="shared" si="0"/>
        <v>0</v>
      </c>
      <c r="Q27">
        <f t="shared" si="1"/>
        <v>0</v>
      </c>
      <c r="R27">
        <f t="shared" si="2"/>
        <v>0</v>
      </c>
      <c r="S27" t="b">
        <f t="shared" si="3"/>
        <v>0</v>
      </c>
    </row>
    <row r="28" spans="1:19" x14ac:dyDescent="0.2">
      <c r="A28" s="54">
        <v>106169</v>
      </c>
      <c r="B28" s="54" t="s">
        <v>509</v>
      </c>
      <c r="C28" s="55">
        <v>1</v>
      </c>
      <c r="D28" s="55">
        <v>20</v>
      </c>
      <c r="E28" s="55">
        <v>26</v>
      </c>
      <c r="F28" s="55">
        <v>16</v>
      </c>
      <c r="G28" s="55">
        <v>0</v>
      </c>
      <c r="H28" s="55">
        <v>0</v>
      </c>
      <c r="I28" s="55">
        <v>0.8</v>
      </c>
      <c r="J28" s="55">
        <v>0</v>
      </c>
      <c r="K28" s="55">
        <v>0</v>
      </c>
      <c r="L28" s="55">
        <v>0</v>
      </c>
      <c r="M28" s="54" t="s">
        <v>47</v>
      </c>
      <c r="N28" s="54" t="s">
        <v>47</v>
      </c>
      <c r="O28" s="54" t="s">
        <v>7</v>
      </c>
      <c r="P28" s="54">
        <f t="shared" si="0"/>
        <v>0</v>
      </c>
      <c r="Q28">
        <f t="shared" si="1"/>
        <v>0</v>
      </c>
      <c r="R28">
        <f t="shared" si="2"/>
        <v>0</v>
      </c>
      <c r="S28" t="b">
        <f t="shared" si="3"/>
        <v>0</v>
      </c>
    </row>
    <row r="29" spans="1:19" x14ac:dyDescent="0.2">
      <c r="A29" s="54">
        <v>106197</v>
      </c>
      <c r="B29" s="54" t="s">
        <v>546</v>
      </c>
      <c r="C29" s="55">
        <v>100</v>
      </c>
      <c r="D29" s="55">
        <v>100</v>
      </c>
      <c r="E29" s="55">
        <v>11</v>
      </c>
      <c r="F29" s="55">
        <v>9</v>
      </c>
      <c r="G29" s="55">
        <v>9</v>
      </c>
      <c r="H29" s="55">
        <v>9</v>
      </c>
      <c r="I29" s="55">
        <v>0.09</v>
      </c>
      <c r="J29" s="55">
        <v>0.09</v>
      </c>
      <c r="K29" s="55">
        <v>0.09</v>
      </c>
      <c r="L29" s="55">
        <v>14</v>
      </c>
      <c r="M29" s="54" t="s">
        <v>43</v>
      </c>
      <c r="N29" s="54" t="s">
        <v>1400</v>
      </c>
      <c r="O29" s="54" t="s">
        <v>6</v>
      </c>
      <c r="P29" s="54">
        <f t="shared" si="0"/>
        <v>0</v>
      </c>
      <c r="Q29">
        <f t="shared" si="1"/>
        <v>0</v>
      </c>
      <c r="R29">
        <f t="shared" si="2"/>
        <v>0</v>
      </c>
      <c r="S29" t="b">
        <f t="shared" si="3"/>
        <v>0</v>
      </c>
    </row>
    <row r="30" spans="1:19" x14ac:dyDescent="0.2">
      <c r="A30" s="54">
        <v>106199</v>
      </c>
      <c r="B30" s="54" t="s">
        <v>587</v>
      </c>
      <c r="C30" s="55">
        <v>109</v>
      </c>
      <c r="D30" s="55">
        <v>62</v>
      </c>
      <c r="E30" s="55">
        <v>34</v>
      </c>
      <c r="F30" s="55">
        <v>11</v>
      </c>
      <c r="G30" s="55">
        <v>11</v>
      </c>
      <c r="H30" s="55">
        <v>7</v>
      </c>
      <c r="I30" s="55">
        <v>0.18</v>
      </c>
      <c r="J30" s="55">
        <v>0.18</v>
      </c>
      <c r="K30" s="55">
        <v>0.11</v>
      </c>
      <c r="L30" s="55">
        <v>2</v>
      </c>
      <c r="M30" s="54" t="s">
        <v>47</v>
      </c>
      <c r="N30" s="54" t="s">
        <v>47</v>
      </c>
      <c r="O30" s="54" t="s">
        <v>7</v>
      </c>
      <c r="P30" s="54">
        <f t="shared" si="0"/>
        <v>0</v>
      </c>
      <c r="Q30">
        <f t="shared" si="1"/>
        <v>0</v>
      </c>
      <c r="R30">
        <f t="shared" si="2"/>
        <v>0</v>
      </c>
      <c r="S30" t="b">
        <f t="shared" si="3"/>
        <v>0</v>
      </c>
    </row>
    <row r="31" spans="1:19" x14ac:dyDescent="0.2">
      <c r="A31" s="54">
        <v>106262</v>
      </c>
      <c r="B31" s="54" t="s">
        <v>1207</v>
      </c>
      <c r="C31" s="55">
        <v>96</v>
      </c>
      <c r="D31" s="55">
        <v>82</v>
      </c>
      <c r="E31" s="55">
        <v>4</v>
      </c>
      <c r="F31" s="55">
        <v>1</v>
      </c>
      <c r="G31" s="55">
        <v>1</v>
      </c>
      <c r="H31" s="55">
        <v>0</v>
      </c>
      <c r="I31" s="55">
        <v>0.01</v>
      </c>
      <c r="J31" s="55">
        <v>0.01</v>
      </c>
      <c r="K31" s="55">
        <v>0</v>
      </c>
      <c r="L31" s="55">
        <v>1</v>
      </c>
      <c r="M31" s="54" t="s">
        <v>30</v>
      </c>
      <c r="N31" s="54" t="s">
        <v>1401</v>
      </c>
      <c r="O31" s="54" t="s">
        <v>7</v>
      </c>
      <c r="P31" s="54">
        <f t="shared" si="0"/>
        <v>0</v>
      </c>
      <c r="Q31">
        <f t="shared" si="1"/>
        <v>0</v>
      </c>
      <c r="R31">
        <f t="shared" si="2"/>
        <v>0</v>
      </c>
      <c r="S31" t="b">
        <f t="shared" si="3"/>
        <v>0</v>
      </c>
    </row>
    <row r="32" spans="1:19" x14ac:dyDescent="0.2">
      <c r="A32" s="54">
        <v>106273</v>
      </c>
      <c r="B32" s="54" t="s">
        <v>167</v>
      </c>
      <c r="C32" s="55">
        <v>0</v>
      </c>
      <c r="D32" s="55">
        <v>30</v>
      </c>
      <c r="E32" s="55">
        <v>20</v>
      </c>
      <c r="F32" s="55">
        <v>190</v>
      </c>
      <c r="G32" s="55">
        <v>99</v>
      </c>
      <c r="H32" s="55">
        <v>68</v>
      </c>
      <c r="I32" s="55">
        <v>6.33</v>
      </c>
      <c r="J32" s="55">
        <v>3.3</v>
      </c>
      <c r="K32" s="55">
        <v>2.27</v>
      </c>
      <c r="L32" s="55">
        <v>2</v>
      </c>
      <c r="M32" s="54" t="s">
        <v>45</v>
      </c>
      <c r="N32" s="54" t="s">
        <v>47</v>
      </c>
      <c r="O32" s="54" t="s">
        <v>7</v>
      </c>
      <c r="P32" s="54">
        <f t="shared" si="0"/>
        <v>0</v>
      </c>
      <c r="Q32">
        <f t="shared" si="1"/>
        <v>0</v>
      </c>
      <c r="R32">
        <f t="shared" si="2"/>
        <v>0</v>
      </c>
      <c r="S32" t="b">
        <f t="shared" si="3"/>
        <v>0</v>
      </c>
    </row>
    <row r="33" spans="1:19" x14ac:dyDescent="0.2">
      <c r="A33" s="54">
        <v>106281</v>
      </c>
      <c r="B33" s="54" t="s">
        <v>1286</v>
      </c>
      <c r="C33" s="55">
        <v>373</v>
      </c>
      <c r="D33" s="55">
        <v>200</v>
      </c>
      <c r="E33" s="55">
        <v>5</v>
      </c>
      <c r="F33" s="55">
        <v>302</v>
      </c>
      <c r="G33" s="55">
        <v>291</v>
      </c>
      <c r="H33" s="55">
        <v>3</v>
      </c>
      <c r="I33" s="55">
        <v>1.51</v>
      </c>
      <c r="J33" s="55">
        <v>1.46</v>
      </c>
      <c r="K33" s="55">
        <v>0.02</v>
      </c>
      <c r="L33" s="55">
        <v>25</v>
      </c>
      <c r="M33" s="54" t="s">
        <v>30</v>
      </c>
      <c r="N33" s="54" t="s">
        <v>1401</v>
      </c>
      <c r="O33" s="54" t="s">
        <v>6</v>
      </c>
      <c r="P33" s="54">
        <f t="shared" si="0"/>
        <v>373</v>
      </c>
      <c r="Q33">
        <f t="shared" si="1"/>
        <v>0</v>
      </c>
      <c r="R33">
        <f t="shared" si="2"/>
        <v>373</v>
      </c>
      <c r="S33" t="b">
        <f t="shared" si="3"/>
        <v>0</v>
      </c>
    </row>
    <row r="34" spans="1:19" x14ac:dyDescent="0.2">
      <c r="A34" s="54">
        <v>106297</v>
      </c>
      <c r="B34" s="54" t="s">
        <v>240</v>
      </c>
      <c r="C34" s="55">
        <v>296</v>
      </c>
      <c r="D34" s="55">
        <v>235</v>
      </c>
      <c r="E34" s="55">
        <v>21</v>
      </c>
      <c r="F34" s="55">
        <v>523</v>
      </c>
      <c r="G34" s="55">
        <v>26</v>
      </c>
      <c r="H34" s="55">
        <v>0</v>
      </c>
      <c r="I34" s="55">
        <v>2.23</v>
      </c>
      <c r="J34" s="55">
        <v>0.11</v>
      </c>
      <c r="K34" s="55">
        <v>0</v>
      </c>
      <c r="L34" s="55">
        <v>136</v>
      </c>
      <c r="M34" s="54" t="s">
        <v>45</v>
      </c>
      <c r="N34" s="54" t="s">
        <v>47</v>
      </c>
      <c r="O34" s="54" t="s">
        <v>6</v>
      </c>
      <c r="P34" s="54">
        <f t="shared" si="0"/>
        <v>296</v>
      </c>
      <c r="Q34">
        <f t="shared" si="1"/>
        <v>296</v>
      </c>
      <c r="R34">
        <f t="shared" si="2"/>
        <v>0</v>
      </c>
      <c r="S34" t="b">
        <f t="shared" si="3"/>
        <v>0</v>
      </c>
    </row>
    <row r="35" spans="1:19" x14ac:dyDescent="0.2">
      <c r="A35" s="54">
        <v>106304</v>
      </c>
      <c r="B35" s="54" t="s">
        <v>252</v>
      </c>
      <c r="C35" s="55">
        <v>6053</v>
      </c>
      <c r="D35" s="55">
        <v>3197</v>
      </c>
      <c r="E35" s="55">
        <v>19</v>
      </c>
      <c r="F35" s="55">
        <v>372</v>
      </c>
      <c r="G35" s="55">
        <v>47</v>
      </c>
      <c r="H35" s="55">
        <v>24</v>
      </c>
      <c r="I35" s="55">
        <v>0.12</v>
      </c>
      <c r="J35" s="55">
        <v>0.01</v>
      </c>
      <c r="K35" s="55">
        <v>0.01</v>
      </c>
      <c r="L35" s="55">
        <v>108</v>
      </c>
      <c r="M35" s="54" t="s">
        <v>45</v>
      </c>
      <c r="N35" s="54" t="s">
        <v>47</v>
      </c>
      <c r="O35" s="54" t="s">
        <v>5</v>
      </c>
      <c r="P35" s="54">
        <f t="shared" si="0"/>
        <v>0</v>
      </c>
      <c r="Q35">
        <f t="shared" si="1"/>
        <v>0</v>
      </c>
      <c r="R35">
        <f t="shared" si="2"/>
        <v>0</v>
      </c>
      <c r="S35" t="b">
        <f t="shared" si="3"/>
        <v>0</v>
      </c>
    </row>
    <row r="36" spans="1:19" x14ac:dyDescent="0.2">
      <c r="A36" s="54">
        <v>106338</v>
      </c>
      <c r="B36" s="54" t="s">
        <v>1300</v>
      </c>
      <c r="C36" s="55">
        <v>895</v>
      </c>
      <c r="D36" s="55">
        <v>750</v>
      </c>
      <c r="E36" s="55">
        <v>5</v>
      </c>
      <c r="F36" s="55">
        <v>1657</v>
      </c>
      <c r="G36" s="55">
        <v>1657</v>
      </c>
      <c r="H36" s="55">
        <v>1014</v>
      </c>
      <c r="I36" s="55">
        <v>2.21</v>
      </c>
      <c r="J36" s="55">
        <v>2.21</v>
      </c>
      <c r="K36" s="55">
        <v>1.35</v>
      </c>
      <c r="L36" s="55">
        <v>212</v>
      </c>
      <c r="M36" s="54" t="s">
        <v>30</v>
      </c>
      <c r="N36" s="54" t="s">
        <v>1401</v>
      </c>
      <c r="O36" s="54" t="s">
        <v>5</v>
      </c>
      <c r="P36" s="54">
        <f t="shared" si="0"/>
        <v>895</v>
      </c>
      <c r="Q36">
        <f t="shared" si="1"/>
        <v>895</v>
      </c>
      <c r="R36">
        <f t="shared" si="2"/>
        <v>895</v>
      </c>
      <c r="S36" t="b">
        <f t="shared" si="3"/>
        <v>0</v>
      </c>
    </row>
    <row r="37" spans="1:19" x14ac:dyDescent="0.2">
      <c r="A37" s="54">
        <v>106340</v>
      </c>
      <c r="B37" s="54" t="s">
        <v>740</v>
      </c>
      <c r="C37" s="55">
        <v>3</v>
      </c>
      <c r="D37" s="55">
        <v>86</v>
      </c>
      <c r="E37" s="55">
        <v>1</v>
      </c>
      <c r="F37" s="55">
        <v>20</v>
      </c>
      <c r="G37" s="55">
        <v>20</v>
      </c>
      <c r="H37" s="55">
        <v>20</v>
      </c>
      <c r="I37" s="55">
        <v>0.23</v>
      </c>
      <c r="J37" s="55">
        <v>0.23</v>
      </c>
      <c r="K37" s="55">
        <v>0.23</v>
      </c>
      <c r="L37" s="55">
        <v>0</v>
      </c>
      <c r="M37" s="54" t="s">
        <v>30</v>
      </c>
      <c r="N37" s="54" t="s">
        <v>1401</v>
      </c>
      <c r="O37" s="54" t="s">
        <v>7</v>
      </c>
      <c r="P37" s="54">
        <f t="shared" si="0"/>
        <v>0</v>
      </c>
      <c r="Q37">
        <f t="shared" si="1"/>
        <v>0</v>
      </c>
      <c r="R37">
        <f t="shared" si="2"/>
        <v>0</v>
      </c>
      <c r="S37" t="b">
        <f t="shared" si="3"/>
        <v>0</v>
      </c>
    </row>
    <row r="38" spans="1:19" x14ac:dyDescent="0.2">
      <c r="A38" s="54">
        <v>106346</v>
      </c>
      <c r="B38" s="54" t="s">
        <v>262</v>
      </c>
      <c r="C38" s="55">
        <v>1340</v>
      </c>
      <c r="D38" s="55">
        <v>1200</v>
      </c>
      <c r="E38" s="55">
        <v>47</v>
      </c>
      <c r="F38" s="55">
        <v>644</v>
      </c>
      <c r="G38" s="55">
        <v>33</v>
      </c>
      <c r="H38" s="55">
        <v>11</v>
      </c>
      <c r="I38" s="55">
        <v>0.54</v>
      </c>
      <c r="J38" s="55">
        <v>0.03</v>
      </c>
      <c r="K38" s="55">
        <v>0.01</v>
      </c>
      <c r="L38" s="55">
        <v>17</v>
      </c>
      <c r="M38" s="54" t="s">
        <v>47</v>
      </c>
      <c r="N38" s="54" t="s">
        <v>47</v>
      </c>
      <c r="O38" s="54" t="s">
        <v>5</v>
      </c>
      <c r="P38" s="54">
        <f t="shared" si="0"/>
        <v>0</v>
      </c>
      <c r="Q38">
        <f t="shared" si="1"/>
        <v>0</v>
      </c>
      <c r="R38">
        <f t="shared" si="2"/>
        <v>0</v>
      </c>
      <c r="S38" t="b">
        <f t="shared" si="3"/>
        <v>0</v>
      </c>
    </row>
    <row r="39" spans="1:19" x14ac:dyDescent="0.2">
      <c r="A39" s="54">
        <v>106372</v>
      </c>
      <c r="B39" s="54" t="s">
        <v>74</v>
      </c>
      <c r="C39" s="55">
        <v>650</v>
      </c>
      <c r="D39" s="55">
        <v>600</v>
      </c>
      <c r="E39" s="55">
        <v>9</v>
      </c>
      <c r="F39" s="55">
        <v>2895</v>
      </c>
      <c r="G39" s="55">
        <v>2291</v>
      </c>
      <c r="H39" s="55">
        <v>136</v>
      </c>
      <c r="I39" s="55">
        <v>4.83</v>
      </c>
      <c r="J39" s="55">
        <v>3.82</v>
      </c>
      <c r="K39" s="55">
        <v>0.23</v>
      </c>
      <c r="L39" s="55">
        <v>1</v>
      </c>
      <c r="M39" s="54" t="s">
        <v>43</v>
      </c>
      <c r="N39" s="54" t="s">
        <v>1400</v>
      </c>
      <c r="O39" s="54" t="s">
        <v>5</v>
      </c>
      <c r="P39" s="54">
        <f t="shared" si="0"/>
        <v>650</v>
      </c>
      <c r="Q39">
        <f t="shared" si="1"/>
        <v>650</v>
      </c>
      <c r="R39">
        <f t="shared" si="2"/>
        <v>650</v>
      </c>
      <c r="S39" t="b">
        <f t="shared" si="3"/>
        <v>0</v>
      </c>
    </row>
    <row r="40" spans="1:19" x14ac:dyDescent="0.2">
      <c r="A40" s="54">
        <v>106394</v>
      </c>
      <c r="B40" s="54" t="s">
        <v>747</v>
      </c>
      <c r="C40" s="55">
        <v>3</v>
      </c>
      <c r="D40" s="55">
        <v>142</v>
      </c>
      <c r="E40" s="55">
        <v>2</v>
      </c>
      <c r="F40" s="55">
        <v>28</v>
      </c>
      <c r="G40" s="55">
        <v>28</v>
      </c>
      <c r="H40" s="55">
        <v>28</v>
      </c>
      <c r="I40" s="55">
        <v>0.2</v>
      </c>
      <c r="J40" s="55">
        <v>0.2</v>
      </c>
      <c r="K40" s="55">
        <v>0.2</v>
      </c>
      <c r="L40" s="55">
        <v>3</v>
      </c>
      <c r="M40" s="54" t="s">
        <v>30</v>
      </c>
      <c r="N40" s="54" t="s">
        <v>1401</v>
      </c>
      <c r="O40" s="54" t="s">
        <v>6</v>
      </c>
      <c r="P40" s="54">
        <f t="shared" si="0"/>
        <v>0</v>
      </c>
      <c r="Q40">
        <f t="shared" si="1"/>
        <v>0</v>
      </c>
      <c r="R40">
        <f t="shared" si="2"/>
        <v>0</v>
      </c>
      <c r="S40" t="b">
        <f t="shared" si="3"/>
        <v>0</v>
      </c>
    </row>
    <row r="41" spans="1:19" x14ac:dyDescent="0.2">
      <c r="A41" s="54">
        <v>106409</v>
      </c>
      <c r="B41" s="54" t="s">
        <v>1117</v>
      </c>
      <c r="C41" s="55">
        <v>37</v>
      </c>
      <c r="D41" s="55">
        <v>37</v>
      </c>
      <c r="E41" s="55">
        <v>1</v>
      </c>
      <c r="F41" s="55">
        <v>19</v>
      </c>
      <c r="G41" s="55">
        <v>19</v>
      </c>
      <c r="H41" s="55">
        <v>19</v>
      </c>
      <c r="I41" s="55">
        <v>0.51</v>
      </c>
      <c r="J41" s="55">
        <v>0.51</v>
      </c>
      <c r="K41" s="55">
        <v>0.51</v>
      </c>
      <c r="L41" s="55">
        <v>0</v>
      </c>
      <c r="M41" s="54" t="s">
        <v>30</v>
      </c>
      <c r="N41" s="54" t="s">
        <v>1401</v>
      </c>
      <c r="O41" s="54" t="s">
        <v>7</v>
      </c>
      <c r="P41" s="54">
        <f t="shared" si="0"/>
        <v>0</v>
      </c>
      <c r="Q41">
        <f t="shared" si="1"/>
        <v>0</v>
      </c>
      <c r="R41">
        <f t="shared" si="2"/>
        <v>0</v>
      </c>
      <c r="S41" t="b">
        <f t="shared" si="3"/>
        <v>0</v>
      </c>
    </row>
    <row r="42" spans="1:19" x14ac:dyDescent="0.2">
      <c r="A42" s="54">
        <v>106418</v>
      </c>
      <c r="B42" s="54" t="s">
        <v>691</v>
      </c>
      <c r="C42" s="55">
        <v>1</v>
      </c>
      <c r="D42" s="55">
        <v>55</v>
      </c>
      <c r="E42" s="55">
        <v>2</v>
      </c>
      <c r="F42" s="55">
        <v>13</v>
      </c>
      <c r="G42" s="55">
        <v>13</v>
      </c>
      <c r="H42" s="55">
        <v>13</v>
      </c>
      <c r="I42" s="55">
        <v>0.24</v>
      </c>
      <c r="J42" s="55">
        <v>0.24</v>
      </c>
      <c r="K42" s="55">
        <v>0.24</v>
      </c>
      <c r="L42" s="55">
        <v>6</v>
      </c>
      <c r="M42" s="54" t="s">
        <v>30</v>
      </c>
      <c r="N42" s="54" t="s">
        <v>1401</v>
      </c>
      <c r="O42" s="54" t="s">
        <v>7</v>
      </c>
      <c r="P42" s="54">
        <f t="shared" si="0"/>
        <v>0</v>
      </c>
      <c r="Q42">
        <f t="shared" si="1"/>
        <v>0</v>
      </c>
      <c r="R42">
        <f t="shared" si="2"/>
        <v>0</v>
      </c>
      <c r="S42" t="b">
        <f t="shared" si="3"/>
        <v>0</v>
      </c>
    </row>
    <row r="43" spans="1:19" x14ac:dyDescent="0.2">
      <c r="A43" s="54">
        <v>106436</v>
      </c>
      <c r="B43" s="54" t="s">
        <v>699</v>
      </c>
      <c r="C43" s="55">
        <v>1</v>
      </c>
      <c r="D43" s="55">
        <v>41</v>
      </c>
      <c r="E43" s="55">
        <v>3</v>
      </c>
      <c r="F43" s="55">
        <v>64</v>
      </c>
      <c r="G43" s="55">
        <v>59</v>
      </c>
      <c r="H43" s="55">
        <v>59</v>
      </c>
      <c r="I43" s="55">
        <v>1.56</v>
      </c>
      <c r="J43" s="55">
        <v>1.44</v>
      </c>
      <c r="K43" s="55">
        <v>1.44</v>
      </c>
      <c r="L43" s="55">
        <v>0</v>
      </c>
      <c r="M43" s="54" t="s">
        <v>30</v>
      </c>
      <c r="N43" s="54" t="s">
        <v>1401</v>
      </c>
      <c r="O43" s="54" t="s">
        <v>7</v>
      </c>
      <c r="P43" s="54">
        <f t="shared" si="0"/>
        <v>1</v>
      </c>
      <c r="Q43">
        <f t="shared" si="1"/>
        <v>0</v>
      </c>
      <c r="R43">
        <f t="shared" si="2"/>
        <v>1</v>
      </c>
      <c r="S43" t="b">
        <f t="shared" si="3"/>
        <v>0</v>
      </c>
    </row>
    <row r="44" spans="1:19" x14ac:dyDescent="0.2">
      <c r="A44" s="54">
        <v>106446</v>
      </c>
      <c r="B44" s="54" t="s">
        <v>992</v>
      </c>
      <c r="C44" s="55">
        <v>18</v>
      </c>
      <c r="D44" s="55">
        <v>16</v>
      </c>
      <c r="E44" s="55">
        <v>2</v>
      </c>
      <c r="F44" s="55">
        <v>81</v>
      </c>
      <c r="G44" s="55">
        <v>81</v>
      </c>
      <c r="H44" s="55">
        <v>81</v>
      </c>
      <c r="I44" s="55">
        <v>5.0599999999999996</v>
      </c>
      <c r="J44" s="55">
        <v>5.0599999999999996</v>
      </c>
      <c r="K44" s="55">
        <v>5.0599999999999996</v>
      </c>
      <c r="L44" s="55">
        <v>17</v>
      </c>
      <c r="M44" s="54" t="s">
        <v>30</v>
      </c>
      <c r="N44" s="54" t="s">
        <v>1401</v>
      </c>
      <c r="O44" s="54" t="s">
        <v>7</v>
      </c>
      <c r="P44" s="54">
        <f t="shared" si="0"/>
        <v>18</v>
      </c>
      <c r="Q44">
        <f t="shared" si="1"/>
        <v>18</v>
      </c>
      <c r="R44">
        <f t="shared" si="2"/>
        <v>18</v>
      </c>
      <c r="S44" t="b">
        <f t="shared" si="3"/>
        <v>0</v>
      </c>
    </row>
    <row r="45" spans="1:19" x14ac:dyDescent="0.2">
      <c r="A45" s="54">
        <v>106477</v>
      </c>
      <c r="B45" s="54" t="s">
        <v>476</v>
      </c>
      <c r="C45" s="55">
        <v>158</v>
      </c>
      <c r="D45" s="55">
        <v>156</v>
      </c>
      <c r="E45" s="55">
        <v>45</v>
      </c>
      <c r="F45" s="55">
        <v>29</v>
      </c>
      <c r="G45" s="55">
        <v>27</v>
      </c>
      <c r="H45" s="55">
        <v>27</v>
      </c>
      <c r="I45" s="55">
        <v>0.19</v>
      </c>
      <c r="J45" s="55">
        <v>0.17</v>
      </c>
      <c r="K45" s="55">
        <v>0.17</v>
      </c>
      <c r="L45" s="55">
        <v>0</v>
      </c>
      <c r="M45" s="54" t="s">
        <v>47</v>
      </c>
      <c r="N45" s="54" t="s">
        <v>47</v>
      </c>
      <c r="O45" s="54" t="s">
        <v>6</v>
      </c>
      <c r="P45" s="54">
        <f t="shared" si="0"/>
        <v>0</v>
      </c>
      <c r="Q45">
        <f t="shared" si="1"/>
        <v>0</v>
      </c>
      <c r="R45">
        <f t="shared" si="2"/>
        <v>0</v>
      </c>
      <c r="S45" t="b">
        <f t="shared" si="3"/>
        <v>0</v>
      </c>
    </row>
    <row r="46" spans="1:19" x14ac:dyDescent="0.2">
      <c r="A46" s="54">
        <v>106478</v>
      </c>
      <c r="B46" s="54" t="s">
        <v>181</v>
      </c>
      <c r="C46" s="55">
        <v>1286</v>
      </c>
      <c r="D46" s="55">
        <v>800</v>
      </c>
      <c r="E46" s="55">
        <v>16</v>
      </c>
      <c r="F46" s="55">
        <v>371</v>
      </c>
      <c r="G46" s="55">
        <v>356</v>
      </c>
      <c r="H46" s="55">
        <v>56</v>
      </c>
      <c r="I46" s="55">
        <v>0.46</v>
      </c>
      <c r="J46" s="55">
        <v>0.45</v>
      </c>
      <c r="K46" s="55">
        <v>7.0000000000000007E-2</v>
      </c>
      <c r="L46" s="55">
        <v>269</v>
      </c>
      <c r="M46" s="54" t="s">
        <v>45</v>
      </c>
      <c r="N46" s="54" t="s">
        <v>47</v>
      </c>
      <c r="O46" s="54" t="s">
        <v>5</v>
      </c>
      <c r="P46" s="54">
        <f t="shared" si="0"/>
        <v>0</v>
      </c>
      <c r="Q46">
        <f t="shared" si="1"/>
        <v>0</v>
      </c>
      <c r="R46">
        <f t="shared" si="2"/>
        <v>0</v>
      </c>
      <c r="S46" t="b">
        <f t="shared" si="3"/>
        <v>0</v>
      </c>
    </row>
    <row r="47" spans="1:19" x14ac:dyDescent="0.2">
      <c r="A47" s="54">
        <v>106509</v>
      </c>
      <c r="B47" s="54" t="s">
        <v>559</v>
      </c>
      <c r="C47" s="55">
        <v>341</v>
      </c>
      <c r="D47" s="55">
        <v>330</v>
      </c>
      <c r="E47" s="55">
        <v>33</v>
      </c>
      <c r="F47" s="55">
        <v>9</v>
      </c>
      <c r="G47" s="55">
        <v>10</v>
      </c>
      <c r="H47" s="55">
        <v>10</v>
      </c>
      <c r="I47" s="55">
        <v>0.03</v>
      </c>
      <c r="J47" s="55">
        <v>0.03</v>
      </c>
      <c r="K47" s="55">
        <v>0.03</v>
      </c>
      <c r="L47" s="55">
        <v>0</v>
      </c>
      <c r="M47" s="54" t="s">
        <v>47</v>
      </c>
      <c r="N47" s="54" t="s">
        <v>47</v>
      </c>
      <c r="O47" s="54" t="s">
        <v>6</v>
      </c>
      <c r="P47" s="54">
        <f t="shared" si="0"/>
        <v>0</v>
      </c>
      <c r="Q47">
        <f t="shared" si="1"/>
        <v>0</v>
      </c>
      <c r="R47">
        <f t="shared" si="2"/>
        <v>0</v>
      </c>
      <c r="S47" t="b">
        <f t="shared" si="3"/>
        <v>0</v>
      </c>
    </row>
    <row r="48" spans="1:19" x14ac:dyDescent="0.2">
      <c r="A48" s="54">
        <v>106516</v>
      </c>
      <c r="B48" s="54" t="s">
        <v>278</v>
      </c>
      <c r="C48" s="55">
        <v>101</v>
      </c>
      <c r="D48" s="55">
        <v>80</v>
      </c>
      <c r="E48" s="55">
        <v>26</v>
      </c>
      <c r="F48" s="55">
        <v>167</v>
      </c>
      <c r="G48" s="55">
        <v>33</v>
      </c>
      <c r="H48" s="55">
        <v>29</v>
      </c>
      <c r="I48" s="55">
        <v>2.09</v>
      </c>
      <c r="J48" s="55">
        <v>0.41</v>
      </c>
      <c r="K48" s="55">
        <v>0.36</v>
      </c>
      <c r="L48" s="55">
        <v>57</v>
      </c>
      <c r="M48" s="54" t="s">
        <v>47</v>
      </c>
      <c r="N48" s="54" t="s">
        <v>47</v>
      </c>
      <c r="O48" s="54" t="s">
        <v>7</v>
      </c>
      <c r="P48" s="54">
        <f t="shared" si="0"/>
        <v>101</v>
      </c>
      <c r="Q48">
        <f t="shared" si="1"/>
        <v>101</v>
      </c>
      <c r="R48">
        <f t="shared" si="2"/>
        <v>0</v>
      </c>
      <c r="S48" t="b">
        <f t="shared" si="3"/>
        <v>0</v>
      </c>
    </row>
    <row r="49" spans="1:19" x14ac:dyDescent="0.2">
      <c r="A49" s="54">
        <v>106522</v>
      </c>
      <c r="B49" s="54" t="s">
        <v>72</v>
      </c>
      <c r="C49" s="55">
        <v>690</v>
      </c>
      <c r="D49" s="55">
        <v>626</v>
      </c>
      <c r="E49" s="55">
        <v>7</v>
      </c>
      <c r="F49" s="55">
        <v>1780</v>
      </c>
      <c r="G49" s="55">
        <v>1780</v>
      </c>
      <c r="H49" s="55">
        <v>612</v>
      </c>
      <c r="I49" s="55">
        <v>2.84</v>
      </c>
      <c r="J49" s="55">
        <v>2.84</v>
      </c>
      <c r="K49" s="55">
        <v>0.98</v>
      </c>
      <c r="L49" s="55">
        <v>121</v>
      </c>
      <c r="M49" s="54" t="s">
        <v>43</v>
      </c>
      <c r="N49" s="54" t="s">
        <v>1400</v>
      </c>
      <c r="O49" s="54" t="s">
        <v>5</v>
      </c>
      <c r="P49" s="54">
        <f t="shared" si="0"/>
        <v>690</v>
      </c>
      <c r="Q49">
        <f t="shared" si="1"/>
        <v>690</v>
      </c>
      <c r="R49">
        <f t="shared" si="2"/>
        <v>690</v>
      </c>
      <c r="S49" t="b">
        <f t="shared" si="3"/>
        <v>0</v>
      </c>
    </row>
    <row r="50" spans="1:19" x14ac:dyDescent="0.2">
      <c r="A50" s="54">
        <v>106524</v>
      </c>
      <c r="B50" s="54" t="s">
        <v>93</v>
      </c>
      <c r="C50" s="55">
        <v>335</v>
      </c>
      <c r="D50" s="55">
        <v>329</v>
      </c>
      <c r="E50" s="55">
        <v>9</v>
      </c>
      <c r="F50" s="55">
        <v>1332</v>
      </c>
      <c r="G50" s="55">
        <v>217</v>
      </c>
      <c r="H50" s="55">
        <v>100</v>
      </c>
      <c r="I50" s="55">
        <v>4.05</v>
      </c>
      <c r="J50" s="55">
        <v>0.66</v>
      </c>
      <c r="K50" s="55">
        <v>0.3</v>
      </c>
      <c r="L50" s="55">
        <v>18</v>
      </c>
      <c r="M50" s="54" t="s">
        <v>43</v>
      </c>
      <c r="N50" s="54" t="s">
        <v>1400</v>
      </c>
      <c r="O50" s="54" t="s">
        <v>6</v>
      </c>
      <c r="P50" s="54">
        <f t="shared" si="0"/>
        <v>335</v>
      </c>
      <c r="Q50">
        <f t="shared" si="1"/>
        <v>335</v>
      </c>
      <c r="R50">
        <f t="shared" si="2"/>
        <v>0</v>
      </c>
      <c r="S50" t="b">
        <f t="shared" si="3"/>
        <v>0</v>
      </c>
    </row>
    <row r="51" spans="1:19" x14ac:dyDescent="0.2">
      <c r="A51" s="54">
        <v>106525</v>
      </c>
      <c r="B51" s="54" t="s">
        <v>863</v>
      </c>
      <c r="C51" s="55">
        <v>9</v>
      </c>
      <c r="D51" s="55">
        <v>9</v>
      </c>
      <c r="E51" s="55">
        <v>3</v>
      </c>
      <c r="F51" s="55">
        <v>6</v>
      </c>
      <c r="G51" s="55">
        <v>6</v>
      </c>
      <c r="H51" s="55">
        <v>6</v>
      </c>
      <c r="I51" s="55">
        <v>0.67</v>
      </c>
      <c r="J51" s="55">
        <v>0.67</v>
      </c>
      <c r="K51" s="55">
        <v>0.67</v>
      </c>
      <c r="L51" s="55">
        <v>5</v>
      </c>
      <c r="M51" s="54" t="s">
        <v>30</v>
      </c>
      <c r="N51" s="54" t="s">
        <v>1401</v>
      </c>
      <c r="O51" s="54" t="s">
        <v>7</v>
      </c>
      <c r="P51" s="54">
        <f t="shared" si="0"/>
        <v>0</v>
      </c>
      <c r="Q51">
        <f t="shared" si="1"/>
        <v>0</v>
      </c>
      <c r="R51">
        <f t="shared" si="2"/>
        <v>0</v>
      </c>
      <c r="S51" t="b">
        <f t="shared" si="3"/>
        <v>0</v>
      </c>
    </row>
    <row r="52" spans="1:19" x14ac:dyDescent="0.2">
      <c r="A52" s="54">
        <v>106528</v>
      </c>
      <c r="B52" s="54" t="s">
        <v>146</v>
      </c>
      <c r="C52" s="55">
        <v>120</v>
      </c>
      <c r="D52" s="55">
        <v>150</v>
      </c>
      <c r="E52" s="55">
        <v>7</v>
      </c>
      <c r="F52" s="55">
        <v>554</v>
      </c>
      <c r="G52" s="55">
        <v>529</v>
      </c>
      <c r="H52" s="55">
        <v>456</v>
      </c>
      <c r="I52" s="55">
        <v>3.69</v>
      </c>
      <c r="J52" s="55">
        <v>3.53</v>
      </c>
      <c r="K52" s="55">
        <v>3.04</v>
      </c>
      <c r="L52" s="55">
        <v>179</v>
      </c>
      <c r="M52" s="54" t="s">
        <v>43</v>
      </c>
      <c r="N52" s="54" t="s">
        <v>1400</v>
      </c>
      <c r="O52" s="54" t="s">
        <v>6</v>
      </c>
      <c r="P52" s="54">
        <f t="shared" si="0"/>
        <v>120</v>
      </c>
      <c r="Q52">
        <f t="shared" si="1"/>
        <v>120</v>
      </c>
      <c r="R52">
        <f t="shared" si="2"/>
        <v>120</v>
      </c>
      <c r="S52" t="b">
        <f t="shared" si="3"/>
        <v>0</v>
      </c>
    </row>
    <row r="53" spans="1:19" x14ac:dyDescent="0.2">
      <c r="A53" s="54">
        <v>106562</v>
      </c>
      <c r="B53" s="54" t="s">
        <v>662</v>
      </c>
      <c r="C53" s="55">
        <v>1800</v>
      </c>
      <c r="D53" s="55">
        <v>1200</v>
      </c>
      <c r="E53" s="55">
        <v>10</v>
      </c>
      <c r="F53" s="55">
        <v>0</v>
      </c>
      <c r="G53" s="55">
        <v>0</v>
      </c>
      <c r="H53" s="55">
        <v>0</v>
      </c>
      <c r="I53" s="55">
        <v>0</v>
      </c>
      <c r="J53" s="55">
        <v>0</v>
      </c>
      <c r="K53" s="55">
        <v>0</v>
      </c>
      <c r="L53" s="55">
        <v>0</v>
      </c>
      <c r="M53" s="54" t="s">
        <v>43</v>
      </c>
      <c r="N53" s="54" t="s">
        <v>1400</v>
      </c>
      <c r="O53" s="54" t="s">
        <v>5</v>
      </c>
      <c r="P53" s="54">
        <f t="shared" si="0"/>
        <v>0</v>
      </c>
      <c r="Q53">
        <f t="shared" si="1"/>
        <v>0</v>
      </c>
      <c r="R53">
        <f t="shared" si="2"/>
        <v>0</v>
      </c>
      <c r="S53" t="b">
        <f t="shared" si="3"/>
        <v>0</v>
      </c>
    </row>
    <row r="54" spans="1:19" x14ac:dyDescent="0.2">
      <c r="A54" s="54">
        <v>106566</v>
      </c>
      <c r="B54" s="54" t="s">
        <v>380</v>
      </c>
      <c r="C54" s="55">
        <v>88</v>
      </c>
      <c r="D54" s="55">
        <v>90</v>
      </c>
      <c r="E54" s="55">
        <v>45</v>
      </c>
      <c r="F54" s="55">
        <v>59</v>
      </c>
      <c r="G54" s="55">
        <v>0</v>
      </c>
      <c r="H54" s="55">
        <v>0</v>
      </c>
      <c r="I54" s="55">
        <v>0.66</v>
      </c>
      <c r="J54" s="55">
        <v>0</v>
      </c>
      <c r="K54" s="55">
        <v>0</v>
      </c>
      <c r="L54" s="55">
        <v>0</v>
      </c>
      <c r="M54" s="54" t="s">
        <v>47</v>
      </c>
      <c r="N54" s="54" t="s">
        <v>47</v>
      </c>
      <c r="O54" s="54" t="s">
        <v>7</v>
      </c>
      <c r="P54" s="54">
        <f t="shared" si="0"/>
        <v>0</v>
      </c>
      <c r="Q54">
        <f t="shared" si="1"/>
        <v>0</v>
      </c>
      <c r="R54">
        <f t="shared" si="2"/>
        <v>0</v>
      </c>
      <c r="S54" t="b">
        <f t="shared" si="3"/>
        <v>0</v>
      </c>
    </row>
    <row r="55" spans="1:19" x14ac:dyDescent="0.2">
      <c r="A55" s="54">
        <v>106569</v>
      </c>
      <c r="B55" s="54" t="s">
        <v>100</v>
      </c>
      <c r="C55" s="55">
        <v>407</v>
      </c>
      <c r="D55" s="55">
        <v>565</v>
      </c>
      <c r="E55" s="55">
        <v>45</v>
      </c>
      <c r="F55" s="55">
        <v>1091</v>
      </c>
      <c r="G55" s="55">
        <v>217</v>
      </c>
      <c r="H55" s="55">
        <v>0</v>
      </c>
      <c r="I55" s="55">
        <v>1.93</v>
      </c>
      <c r="J55" s="55">
        <v>0.38</v>
      </c>
      <c r="K55" s="55">
        <v>0</v>
      </c>
      <c r="L55" s="55">
        <v>89</v>
      </c>
      <c r="M55" s="54" t="s">
        <v>47</v>
      </c>
      <c r="N55" s="54" t="s">
        <v>47</v>
      </c>
      <c r="O55" s="54" t="s">
        <v>5</v>
      </c>
      <c r="P55" s="54">
        <f t="shared" si="0"/>
        <v>0</v>
      </c>
      <c r="Q55">
        <f t="shared" si="1"/>
        <v>0</v>
      </c>
      <c r="R55">
        <f t="shared" si="2"/>
        <v>0</v>
      </c>
      <c r="S55" t="b">
        <f t="shared" si="3"/>
        <v>0</v>
      </c>
    </row>
    <row r="56" spans="1:19" x14ac:dyDescent="0.2">
      <c r="A56" s="54">
        <v>106575</v>
      </c>
      <c r="B56" s="54" t="s">
        <v>644</v>
      </c>
      <c r="C56" s="55">
        <v>142</v>
      </c>
      <c r="D56" s="55">
        <v>166</v>
      </c>
      <c r="E56" s="55">
        <v>34</v>
      </c>
      <c r="F56" s="55">
        <v>0</v>
      </c>
      <c r="G56" s="55">
        <v>0</v>
      </c>
      <c r="H56" s="55">
        <v>0</v>
      </c>
      <c r="I56" s="55">
        <v>0</v>
      </c>
      <c r="J56" s="55">
        <v>0</v>
      </c>
      <c r="K56" s="55">
        <v>0</v>
      </c>
      <c r="L56" s="55">
        <v>0</v>
      </c>
      <c r="M56" s="54" t="s">
        <v>47</v>
      </c>
      <c r="N56" s="54" t="s">
        <v>47</v>
      </c>
      <c r="O56" s="54" t="s">
        <v>6</v>
      </c>
      <c r="P56" s="54">
        <f t="shared" si="0"/>
        <v>0</v>
      </c>
      <c r="Q56">
        <f t="shared" si="1"/>
        <v>0</v>
      </c>
      <c r="R56">
        <f t="shared" si="2"/>
        <v>0</v>
      </c>
      <c r="S56" t="b">
        <f t="shared" si="3"/>
        <v>0</v>
      </c>
    </row>
    <row r="57" spans="1:19" x14ac:dyDescent="0.2">
      <c r="A57" s="54">
        <v>106576</v>
      </c>
      <c r="B57" s="54" t="s">
        <v>1022</v>
      </c>
      <c r="C57" s="55">
        <v>21</v>
      </c>
      <c r="D57" s="55">
        <v>2</v>
      </c>
      <c r="E57" s="55">
        <v>5</v>
      </c>
      <c r="F57" s="55">
        <v>38</v>
      </c>
      <c r="G57" s="55">
        <v>38</v>
      </c>
      <c r="H57" s="55">
        <v>0</v>
      </c>
      <c r="I57" s="55">
        <v>19</v>
      </c>
      <c r="J57" s="55">
        <v>19</v>
      </c>
      <c r="K57" s="55">
        <v>0</v>
      </c>
      <c r="L57" s="55">
        <v>0</v>
      </c>
      <c r="M57" s="54" t="s">
        <v>30</v>
      </c>
      <c r="N57" s="54" t="s">
        <v>1401</v>
      </c>
      <c r="O57" s="54" t="s">
        <v>7</v>
      </c>
      <c r="P57" s="54">
        <f t="shared" si="0"/>
        <v>21</v>
      </c>
      <c r="Q57">
        <f t="shared" si="1"/>
        <v>21</v>
      </c>
      <c r="R57">
        <f t="shared" si="2"/>
        <v>21</v>
      </c>
      <c r="S57" t="b">
        <f t="shared" si="3"/>
        <v>0</v>
      </c>
    </row>
    <row r="58" spans="1:19" x14ac:dyDescent="0.2">
      <c r="A58" s="54">
        <v>106587</v>
      </c>
      <c r="B58" s="54" t="s">
        <v>158</v>
      </c>
      <c r="C58" s="55">
        <v>114</v>
      </c>
      <c r="D58" s="55">
        <v>112</v>
      </c>
      <c r="E58" s="55">
        <v>9</v>
      </c>
      <c r="F58" s="55">
        <v>449</v>
      </c>
      <c r="G58" s="55">
        <v>21</v>
      </c>
      <c r="H58" s="55">
        <v>0</v>
      </c>
      <c r="I58" s="55">
        <v>4.01</v>
      </c>
      <c r="J58" s="55">
        <v>0.19</v>
      </c>
      <c r="K58" s="55">
        <v>0</v>
      </c>
      <c r="L58" s="55">
        <v>0</v>
      </c>
      <c r="M58" s="54" t="s">
        <v>43</v>
      </c>
      <c r="N58" s="54" t="s">
        <v>1400</v>
      </c>
      <c r="O58" s="54" t="s">
        <v>6</v>
      </c>
      <c r="P58" s="54">
        <f t="shared" si="0"/>
        <v>114</v>
      </c>
      <c r="Q58">
        <f t="shared" si="1"/>
        <v>114</v>
      </c>
      <c r="R58">
        <f t="shared" si="2"/>
        <v>0</v>
      </c>
      <c r="S58" t="b">
        <f t="shared" si="3"/>
        <v>0</v>
      </c>
    </row>
    <row r="59" spans="1:19" x14ac:dyDescent="0.2">
      <c r="A59" s="54">
        <v>106590</v>
      </c>
      <c r="B59" s="54" t="s">
        <v>178</v>
      </c>
      <c r="C59" s="55">
        <v>150</v>
      </c>
      <c r="D59" s="55">
        <v>115</v>
      </c>
      <c r="E59" s="55">
        <v>49</v>
      </c>
      <c r="F59" s="55">
        <v>348</v>
      </c>
      <c r="G59" s="55">
        <v>322</v>
      </c>
      <c r="H59" s="55">
        <v>306</v>
      </c>
      <c r="I59" s="55">
        <v>3.03</v>
      </c>
      <c r="J59" s="55">
        <v>2.8</v>
      </c>
      <c r="K59" s="55">
        <v>2.66</v>
      </c>
      <c r="L59" s="55">
        <v>157</v>
      </c>
      <c r="M59" s="54" t="s">
        <v>47</v>
      </c>
      <c r="N59" s="54" t="s">
        <v>47</v>
      </c>
      <c r="O59" s="54" t="s">
        <v>6</v>
      </c>
      <c r="P59" s="54">
        <f t="shared" si="0"/>
        <v>150</v>
      </c>
      <c r="Q59">
        <f t="shared" si="1"/>
        <v>150</v>
      </c>
      <c r="R59">
        <f t="shared" si="2"/>
        <v>150</v>
      </c>
      <c r="S59" t="b">
        <f t="shared" si="3"/>
        <v>0</v>
      </c>
    </row>
    <row r="60" spans="1:19" x14ac:dyDescent="0.2">
      <c r="A60" s="54">
        <v>106603</v>
      </c>
      <c r="B60" s="54" t="s">
        <v>474</v>
      </c>
      <c r="C60" s="55">
        <v>378</v>
      </c>
      <c r="D60" s="55">
        <v>622</v>
      </c>
      <c r="E60" s="55">
        <v>25</v>
      </c>
      <c r="F60" s="55">
        <v>26</v>
      </c>
      <c r="G60" s="55">
        <v>26</v>
      </c>
      <c r="H60" s="55">
        <v>26</v>
      </c>
      <c r="I60" s="55">
        <v>0.04</v>
      </c>
      <c r="J60" s="55">
        <v>0.04</v>
      </c>
      <c r="K60" s="55">
        <v>0.04</v>
      </c>
      <c r="L60" s="55">
        <v>33</v>
      </c>
      <c r="M60" s="54" t="s">
        <v>47</v>
      </c>
      <c r="N60" s="54" t="s">
        <v>47</v>
      </c>
      <c r="O60" s="54" t="s">
        <v>5</v>
      </c>
      <c r="P60" s="54">
        <f t="shared" si="0"/>
        <v>0</v>
      </c>
      <c r="Q60">
        <f t="shared" si="1"/>
        <v>0</v>
      </c>
      <c r="R60">
        <f t="shared" si="2"/>
        <v>0</v>
      </c>
      <c r="S60" t="b">
        <f t="shared" si="3"/>
        <v>0</v>
      </c>
    </row>
    <row r="61" spans="1:19" x14ac:dyDescent="0.2">
      <c r="A61" s="54">
        <v>106616</v>
      </c>
      <c r="B61" s="54" t="s">
        <v>484</v>
      </c>
      <c r="C61" s="55">
        <v>4</v>
      </c>
      <c r="D61" s="55">
        <v>92</v>
      </c>
      <c r="E61" s="55">
        <v>30</v>
      </c>
      <c r="F61" s="55">
        <v>25</v>
      </c>
      <c r="G61" s="55">
        <v>1</v>
      </c>
      <c r="H61" s="55">
        <v>1</v>
      </c>
      <c r="I61" s="55">
        <v>0.27</v>
      </c>
      <c r="J61" s="55">
        <v>0.01</v>
      </c>
      <c r="K61" s="55">
        <v>0.01</v>
      </c>
      <c r="L61" s="55">
        <v>40</v>
      </c>
      <c r="M61" s="54" t="s">
        <v>47</v>
      </c>
      <c r="N61" s="54" t="s">
        <v>47</v>
      </c>
      <c r="O61" s="54" t="s">
        <v>7</v>
      </c>
      <c r="P61" s="54">
        <f t="shared" si="0"/>
        <v>0</v>
      </c>
      <c r="Q61">
        <f t="shared" si="1"/>
        <v>0</v>
      </c>
      <c r="R61">
        <f t="shared" si="2"/>
        <v>0</v>
      </c>
      <c r="S61" t="b">
        <f t="shared" si="3"/>
        <v>0</v>
      </c>
    </row>
    <row r="62" spans="1:19" x14ac:dyDescent="0.2">
      <c r="A62" s="54">
        <v>106627</v>
      </c>
      <c r="B62" s="54" t="s">
        <v>403</v>
      </c>
      <c r="C62" s="55">
        <v>80</v>
      </c>
      <c r="D62" s="55">
        <v>40</v>
      </c>
      <c r="E62" s="55">
        <v>11</v>
      </c>
      <c r="F62" s="55">
        <v>51</v>
      </c>
      <c r="G62" s="55">
        <v>34</v>
      </c>
      <c r="H62" s="55">
        <v>8</v>
      </c>
      <c r="I62" s="55">
        <v>1.28</v>
      </c>
      <c r="J62" s="55">
        <v>0.85</v>
      </c>
      <c r="K62" s="55">
        <v>0.2</v>
      </c>
      <c r="L62" s="55">
        <v>21</v>
      </c>
      <c r="M62" s="54" t="s">
        <v>43</v>
      </c>
      <c r="N62" s="54" t="s">
        <v>1400</v>
      </c>
      <c r="O62" s="54" t="s">
        <v>7</v>
      </c>
      <c r="P62" s="54">
        <f t="shared" si="0"/>
        <v>80</v>
      </c>
      <c r="Q62">
        <f t="shared" si="1"/>
        <v>0</v>
      </c>
      <c r="R62">
        <f t="shared" si="2"/>
        <v>80</v>
      </c>
      <c r="S62" t="b">
        <f t="shared" si="3"/>
        <v>0</v>
      </c>
    </row>
    <row r="63" spans="1:19" x14ac:dyDescent="0.2">
      <c r="A63" s="54">
        <v>106654</v>
      </c>
      <c r="B63" s="54" t="s">
        <v>1101</v>
      </c>
      <c r="C63" s="55">
        <v>33</v>
      </c>
      <c r="D63" s="55">
        <v>35</v>
      </c>
      <c r="E63" s="55">
        <v>4</v>
      </c>
      <c r="F63" s="55">
        <v>81</v>
      </c>
      <c r="G63" s="55">
        <v>69</v>
      </c>
      <c r="H63" s="55">
        <v>56</v>
      </c>
      <c r="I63" s="55">
        <v>2.31</v>
      </c>
      <c r="J63" s="55">
        <v>1.97</v>
      </c>
      <c r="K63" s="55">
        <v>1.6</v>
      </c>
      <c r="L63" s="55">
        <v>0</v>
      </c>
      <c r="M63" s="54" t="s">
        <v>30</v>
      </c>
      <c r="N63" s="54" t="s">
        <v>1401</v>
      </c>
      <c r="O63" s="54" t="s">
        <v>7</v>
      </c>
      <c r="P63" s="54">
        <f t="shared" si="0"/>
        <v>33</v>
      </c>
      <c r="Q63">
        <f t="shared" si="1"/>
        <v>33</v>
      </c>
      <c r="R63">
        <f t="shared" si="2"/>
        <v>33</v>
      </c>
      <c r="S63" t="b">
        <f t="shared" si="3"/>
        <v>0</v>
      </c>
    </row>
    <row r="64" spans="1:19" x14ac:dyDescent="0.2">
      <c r="A64" s="54">
        <v>106657</v>
      </c>
      <c r="B64" s="54" t="s">
        <v>1127</v>
      </c>
      <c r="C64" s="55">
        <v>40</v>
      </c>
      <c r="D64" s="55">
        <v>40</v>
      </c>
      <c r="E64" s="55">
        <v>3</v>
      </c>
      <c r="F64" s="55">
        <v>2</v>
      </c>
      <c r="G64" s="55">
        <v>2</v>
      </c>
      <c r="H64" s="55">
        <v>2</v>
      </c>
      <c r="I64" s="55">
        <v>0.05</v>
      </c>
      <c r="J64" s="55">
        <v>0.05</v>
      </c>
      <c r="K64" s="55">
        <v>0.05</v>
      </c>
      <c r="L64" s="55">
        <v>0</v>
      </c>
      <c r="M64" s="54" t="s">
        <v>30</v>
      </c>
      <c r="N64" s="54" t="s">
        <v>1401</v>
      </c>
      <c r="O64" s="54" t="s">
        <v>7</v>
      </c>
      <c r="P64" s="54">
        <f t="shared" si="0"/>
        <v>0</v>
      </c>
      <c r="Q64">
        <f t="shared" si="1"/>
        <v>0</v>
      </c>
      <c r="R64">
        <f t="shared" si="2"/>
        <v>0</v>
      </c>
      <c r="S64" t="b">
        <f t="shared" si="3"/>
        <v>0</v>
      </c>
    </row>
    <row r="65" spans="1:19" x14ac:dyDescent="0.2">
      <c r="A65" s="54">
        <v>106658</v>
      </c>
      <c r="B65" s="54" t="s">
        <v>197</v>
      </c>
      <c r="C65" s="55">
        <v>449</v>
      </c>
      <c r="D65" s="55">
        <v>490</v>
      </c>
      <c r="E65" s="55">
        <v>46</v>
      </c>
      <c r="F65" s="55">
        <v>255</v>
      </c>
      <c r="G65" s="55">
        <v>180</v>
      </c>
      <c r="H65" s="55">
        <v>4</v>
      </c>
      <c r="I65" s="55">
        <v>0.52</v>
      </c>
      <c r="J65" s="55">
        <v>0.37</v>
      </c>
      <c r="K65" s="55">
        <v>0.01</v>
      </c>
      <c r="L65" s="55">
        <v>96</v>
      </c>
      <c r="M65" s="54" t="s">
        <v>47</v>
      </c>
      <c r="N65" s="54" t="s">
        <v>47</v>
      </c>
      <c r="O65" s="54" t="s">
        <v>6</v>
      </c>
      <c r="P65" s="54">
        <f t="shared" si="0"/>
        <v>0</v>
      </c>
      <c r="Q65">
        <f t="shared" si="1"/>
        <v>0</v>
      </c>
      <c r="R65">
        <f t="shared" si="2"/>
        <v>0</v>
      </c>
      <c r="S65" t="b">
        <f t="shared" si="3"/>
        <v>0</v>
      </c>
    </row>
    <row r="66" spans="1:19" x14ac:dyDescent="0.2">
      <c r="A66" s="54">
        <v>106669</v>
      </c>
      <c r="B66" s="54" t="s">
        <v>110</v>
      </c>
      <c r="C66" s="55">
        <v>200</v>
      </c>
      <c r="D66" s="55">
        <v>83</v>
      </c>
      <c r="E66" s="55">
        <v>11</v>
      </c>
      <c r="F66" s="55">
        <v>958</v>
      </c>
      <c r="G66" s="55">
        <v>237</v>
      </c>
      <c r="H66" s="55">
        <v>181</v>
      </c>
      <c r="I66" s="55">
        <v>11.54</v>
      </c>
      <c r="J66" s="55">
        <v>2.86</v>
      </c>
      <c r="K66" s="55">
        <v>2.1800000000000002</v>
      </c>
      <c r="L66" s="55">
        <v>5</v>
      </c>
      <c r="M66" s="54" t="s">
        <v>43</v>
      </c>
      <c r="N66" s="54" t="s">
        <v>1400</v>
      </c>
      <c r="O66" s="54" t="s">
        <v>7</v>
      </c>
      <c r="P66" s="54">
        <f t="shared" ref="P66:P129" si="4">IF(I66&gt;=2, C66, IF(J66&gt;=0.75, C66, 0))</f>
        <v>200</v>
      </c>
      <c r="Q66">
        <f t="shared" ref="Q66:Q129" si="5">IF(I66&gt;=2, C66, IF(AND(J66&gt;=0.75, D66&gt;=550), C66, 0))</f>
        <v>200</v>
      </c>
      <c r="R66">
        <f t="shared" ref="R66:R129" si="6">IF(J66&gt;=0.75, C66, 0)</f>
        <v>200</v>
      </c>
      <c r="S66" t="b">
        <f t="shared" si="3"/>
        <v>0</v>
      </c>
    </row>
    <row r="67" spans="1:19" x14ac:dyDescent="0.2">
      <c r="A67" s="54">
        <v>106698</v>
      </c>
      <c r="B67" s="54" t="s">
        <v>113</v>
      </c>
      <c r="C67" s="55">
        <v>78</v>
      </c>
      <c r="D67" s="55">
        <v>169</v>
      </c>
      <c r="E67" s="55">
        <v>37</v>
      </c>
      <c r="F67" s="55">
        <v>915</v>
      </c>
      <c r="G67" s="55">
        <v>222</v>
      </c>
      <c r="H67" s="55">
        <v>23</v>
      </c>
      <c r="I67" s="55">
        <v>5.41</v>
      </c>
      <c r="J67" s="55">
        <v>1.31</v>
      </c>
      <c r="K67" s="55">
        <v>0.14000000000000001</v>
      </c>
      <c r="L67" s="55">
        <v>274</v>
      </c>
      <c r="M67" s="54" t="s">
        <v>47</v>
      </c>
      <c r="N67" s="54" t="s">
        <v>47</v>
      </c>
      <c r="O67" s="54" t="s">
        <v>6</v>
      </c>
      <c r="P67" s="54">
        <f t="shared" si="4"/>
        <v>78</v>
      </c>
      <c r="Q67">
        <f t="shared" si="5"/>
        <v>78</v>
      </c>
      <c r="R67">
        <f t="shared" si="6"/>
        <v>78</v>
      </c>
      <c r="S67" t="b">
        <f t="shared" ref="S67:S130" si="7">IF(A67=A68,TRUE,FALSE)</f>
        <v>0</v>
      </c>
    </row>
    <row r="68" spans="1:19" x14ac:dyDescent="0.2">
      <c r="A68" s="54">
        <v>106711</v>
      </c>
      <c r="B68" s="54" t="s">
        <v>126</v>
      </c>
      <c r="C68" s="55">
        <v>171</v>
      </c>
      <c r="D68" s="55">
        <v>270</v>
      </c>
      <c r="E68" s="55">
        <v>6</v>
      </c>
      <c r="F68" s="55">
        <v>525</v>
      </c>
      <c r="G68" s="55">
        <v>523</v>
      </c>
      <c r="H68" s="55">
        <v>65</v>
      </c>
      <c r="I68" s="55">
        <v>1.94</v>
      </c>
      <c r="J68" s="55">
        <v>1.94</v>
      </c>
      <c r="K68" s="55">
        <v>0.24</v>
      </c>
      <c r="L68" s="55">
        <v>4</v>
      </c>
      <c r="M68" s="54" t="s">
        <v>43</v>
      </c>
      <c r="N68" s="54" t="s">
        <v>1400</v>
      </c>
      <c r="O68" s="54" t="s">
        <v>6</v>
      </c>
      <c r="P68" s="54">
        <f t="shared" si="4"/>
        <v>171</v>
      </c>
      <c r="Q68">
        <f t="shared" si="5"/>
        <v>0</v>
      </c>
      <c r="R68">
        <f t="shared" si="6"/>
        <v>171</v>
      </c>
      <c r="S68" t="b">
        <f t="shared" si="7"/>
        <v>0</v>
      </c>
    </row>
    <row r="69" spans="1:19" x14ac:dyDescent="0.2">
      <c r="A69" s="54">
        <v>106715</v>
      </c>
      <c r="B69" s="54" t="s">
        <v>85</v>
      </c>
      <c r="C69" s="55">
        <v>186</v>
      </c>
      <c r="D69" s="55">
        <v>136</v>
      </c>
      <c r="E69" s="55">
        <v>19</v>
      </c>
      <c r="F69" s="55">
        <v>1070</v>
      </c>
      <c r="G69" s="55">
        <v>454</v>
      </c>
      <c r="H69" s="55">
        <v>0</v>
      </c>
      <c r="I69" s="55">
        <v>7.87</v>
      </c>
      <c r="J69" s="55">
        <v>3.34</v>
      </c>
      <c r="K69" s="55">
        <v>0</v>
      </c>
      <c r="L69" s="55">
        <v>378</v>
      </c>
      <c r="M69" s="54" t="s">
        <v>45</v>
      </c>
      <c r="N69" s="54" t="s">
        <v>47</v>
      </c>
      <c r="O69" s="54" t="s">
        <v>6</v>
      </c>
      <c r="P69" s="54">
        <f t="shared" si="4"/>
        <v>186</v>
      </c>
      <c r="Q69">
        <f t="shared" si="5"/>
        <v>186</v>
      </c>
      <c r="R69">
        <f t="shared" si="6"/>
        <v>186</v>
      </c>
      <c r="S69" t="b">
        <f t="shared" si="7"/>
        <v>0</v>
      </c>
    </row>
    <row r="70" spans="1:19" x14ac:dyDescent="0.2">
      <c r="A70" s="54">
        <v>106735</v>
      </c>
      <c r="B70" s="54" t="s">
        <v>336</v>
      </c>
      <c r="C70" s="55">
        <v>0</v>
      </c>
      <c r="D70" s="55">
        <v>65</v>
      </c>
      <c r="E70" s="55">
        <v>19</v>
      </c>
      <c r="F70" s="55">
        <v>32</v>
      </c>
      <c r="G70" s="55">
        <v>32</v>
      </c>
      <c r="H70" s="55">
        <v>15</v>
      </c>
      <c r="I70" s="55">
        <v>0.49</v>
      </c>
      <c r="J70" s="55">
        <v>0.49</v>
      </c>
      <c r="K70" s="55">
        <v>0.23</v>
      </c>
      <c r="L70" s="55">
        <v>1</v>
      </c>
      <c r="M70" s="54" t="s">
        <v>45</v>
      </c>
      <c r="N70" s="54" t="s">
        <v>47</v>
      </c>
      <c r="O70" s="54" t="s">
        <v>7</v>
      </c>
      <c r="P70" s="54">
        <f t="shared" si="4"/>
        <v>0</v>
      </c>
      <c r="Q70">
        <f t="shared" si="5"/>
        <v>0</v>
      </c>
      <c r="R70">
        <f t="shared" si="6"/>
        <v>0</v>
      </c>
      <c r="S70" t="b">
        <f t="shared" si="7"/>
        <v>0</v>
      </c>
    </row>
    <row r="71" spans="1:19" x14ac:dyDescent="0.2">
      <c r="A71" s="54">
        <v>106743</v>
      </c>
      <c r="B71" s="54" t="s">
        <v>504</v>
      </c>
      <c r="C71" s="55">
        <v>122</v>
      </c>
      <c r="D71" s="55">
        <v>125</v>
      </c>
      <c r="E71" s="55">
        <v>13</v>
      </c>
      <c r="F71" s="55">
        <v>18</v>
      </c>
      <c r="G71" s="55">
        <v>18</v>
      </c>
      <c r="H71" s="55">
        <v>0</v>
      </c>
      <c r="I71" s="55">
        <v>0.14000000000000001</v>
      </c>
      <c r="J71" s="55">
        <v>0.14000000000000001</v>
      </c>
      <c r="K71" s="55">
        <v>0</v>
      </c>
      <c r="L71" s="55">
        <v>0</v>
      </c>
      <c r="M71" s="54" t="s">
        <v>45</v>
      </c>
      <c r="N71" s="54" t="s">
        <v>47</v>
      </c>
      <c r="O71" s="54" t="s">
        <v>6</v>
      </c>
      <c r="P71" s="54">
        <f t="shared" si="4"/>
        <v>0</v>
      </c>
      <c r="Q71">
        <f t="shared" si="5"/>
        <v>0</v>
      </c>
      <c r="R71">
        <f t="shared" si="6"/>
        <v>0</v>
      </c>
      <c r="S71" t="b">
        <f t="shared" si="7"/>
        <v>0</v>
      </c>
    </row>
    <row r="72" spans="1:19" x14ac:dyDescent="0.2">
      <c r="A72" s="54">
        <v>106750</v>
      </c>
      <c r="B72" s="54" t="s">
        <v>234</v>
      </c>
      <c r="C72" s="55">
        <v>1</v>
      </c>
      <c r="D72" s="55">
        <v>37</v>
      </c>
      <c r="E72" s="55">
        <v>9</v>
      </c>
      <c r="F72" s="55">
        <v>205</v>
      </c>
      <c r="G72" s="55">
        <v>184</v>
      </c>
      <c r="H72" s="55">
        <v>0</v>
      </c>
      <c r="I72" s="55">
        <v>5.54</v>
      </c>
      <c r="J72" s="55">
        <v>4.97</v>
      </c>
      <c r="K72" s="55">
        <v>0</v>
      </c>
      <c r="L72" s="55">
        <v>3</v>
      </c>
      <c r="M72" s="54" t="s">
        <v>43</v>
      </c>
      <c r="N72" s="54" t="s">
        <v>1400</v>
      </c>
      <c r="O72" s="54" t="s">
        <v>7</v>
      </c>
      <c r="P72" s="54">
        <f t="shared" si="4"/>
        <v>1</v>
      </c>
      <c r="Q72">
        <f t="shared" si="5"/>
        <v>1</v>
      </c>
      <c r="R72">
        <f t="shared" si="6"/>
        <v>1</v>
      </c>
      <c r="S72" t="b">
        <f t="shared" si="7"/>
        <v>0</v>
      </c>
    </row>
    <row r="73" spans="1:19" x14ac:dyDescent="0.2">
      <c r="A73" s="54">
        <v>106752</v>
      </c>
      <c r="B73" s="54" t="s">
        <v>501</v>
      </c>
      <c r="C73" s="55">
        <v>55</v>
      </c>
      <c r="D73" s="55">
        <v>81</v>
      </c>
      <c r="E73" s="55">
        <v>13</v>
      </c>
      <c r="F73" s="55">
        <v>55</v>
      </c>
      <c r="G73" s="55">
        <v>55</v>
      </c>
      <c r="H73" s="55">
        <v>14</v>
      </c>
      <c r="I73" s="55">
        <v>0.68</v>
      </c>
      <c r="J73" s="55">
        <v>0.68</v>
      </c>
      <c r="K73" s="55">
        <v>0.17</v>
      </c>
      <c r="L73" s="55">
        <v>7</v>
      </c>
      <c r="M73" s="54" t="s">
        <v>45</v>
      </c>
      <c r="N73" s="54" t="s">
        <v>47</v>
      </c>
      <c r="O73" s="54" t="s">
        <v>7</v>
      </c>
      <c r="P73" s="54">
        <f t="shared" si="4"/>
        <v>0</v>
      </c>
      <c r="Q73">
        <f t="shared" si="5"/>
        <v>0</v>
      </c>
      <c r="R73">
        <f t="shared" si="6"/>
        <v>0</v>
      </c>
      <c r="S73" t="b">
        <f t="shared" si="7"/>
        <v>0</v>
      </c>
    </row>
    <row r="74" spans="1:19" x14ac:dyDescent="0.2">
      <c r="A74" s="54">
        <v>106753</v>
      </c>
      <c r="B74" s="54" t="s">
        <v>764</v>
      </c>
      <c r="C74" s="55">
        <v>4</v>
      </c>
      <c r="D74" s="55">
        <v>19</v>
      </c>
      <c r="E74" s="55">
        <v>1</v>
      </c>
      <c r="F74" s="55">
        <v>22</v>
      </c>
      <c r="G74" s="55">
        <v>22</v>
      </c>
      <c r="H74" s="55">
        <v>22</v>
      </c>
      <c r="I74" s="55">
        <v>1.1599999999999999</v>
      </c>
      <c r="J74" s="55">
        <v>1.1599999999999999</v>
      </c>
      <c r="K74" s="55">
        <v>1.1599999999999999</v>
      </c>
      <c r="L74" s="55">
        <v>0</v>
      </c>
      <c r="M74" s="54" t="s">
        <v>30</v>
      </c>
      <c r="N74" s="54" t="s">
        <v>1401</v>
      </c>
      <c r="O74" s="54" t="s">
        <v>7</v>
      </c>
      <c r="P74" s="54">
        <f t="shared" si="4"/>
        <v>4</v>
      </c>
      <c r="Q74">
        <f t="shared" si="5"/>
        <v>0</v>
      </c>
      <c r="R74">
        <f t="shared" si="6"/>
        <v>4</v>
      </c>
      <c r="S74" t="b">
        <f t="shared" si="7"/>
        <v>0</v>
      </c>
    </row>
    <row r="75" spans="1:19" x14ac:dyDescent="0.2">
      <c r="A75" s="54">
        <v>106774</v>
      </c>
      <c r="B75" s="54" t="s">
        <v>273</v>
      </c>
      <c r="C75" s="55">
        <v>1018</v>
      </c>
      <c r="D75" s="55">
        <v>998</v>
      </c>
      <c r="E75" s="55">
        <v>25</v>
      </c>
      <c r="F75" s="55">
        <v>189</v>
      </c>
      <c r="G75" s="55">
        <v>104</v>
      </c>
      <c r="H75" s="55">
        <v>73</v>
      </c>
      <c r="I75" s="55">
        <v>0.19</v>
      </c>
      <c r="J75" s="55">
        <v>0.1</v>
      </c>
      <c r="K75" s="55">
        <v>7.0000000000000007E-2</v>
      </c>
      <c r="L75" s="55">
        <v>85</v>
      </c>
      <c r="M75" s="54" t="s">
        <v>47</v>
      </c>
      <c r="N75" s="54" t="s">
        <v>47</v>
      </c>
      <c r="O75" s="54" t="s">
        <v>5</v>
      </c>
      <c r="P75" s="54">
        <f t="shared" si="4"/>
        <v>0</v>
      </c>
      <c r="Q75">
        <f t="shared" si="5"/>
        <v>0</v>
      </c>
      <c r="R75">
        <f t="shared" si="6"/>
        <v>0</v>
      </c>
      <c r="S75" t="b">
        <f t="shared" si="7"/>
        <v>0</v>
      </c>
    </row>
    <row r="76" spans="1:19" x14ac:dyDescent="0.2">
      <c r="A76" s="54">
        <v>106824</v>
      </c>
      <c r="B76" s="54" t="s">
        <v>775</v>
      </c>
      <c r="C76" s="55">
        <v>4</v>
      </c>
      <c r="D76" s="55">
        <v>57</v>
      </c>
      <c r="E76" s="55">
        <v>4</v>
      </c>
      <c r="F76" s="55">
        <v>0</v>
      </c>
      <c r="G76" s="55">
        <v>0</v>
      </c>
      <c r="H76" s="55">
        <v>0</v>
      </c>
      <c r="I76" s="55">
        <v>0</v>
      </c>
      <c r="J76" s="55">
        <v>0</v>
      </c>
      <c r="K76" s="55">
        <v>0</v>
      </c>
      <c r="L76" s="55">
        <v>0</v>
      </c>
      <c r="M76" s="54" t="s">
        <v>30</v>
      </c>
      <c r="N76" s="54" t="s">
        <v>1401</v>
      </c>
      <c r="O76" s="54" t="s">
        <v>7</v>
      </c>
      <c r="P76" s="54">
        <f t="shared" si="4"/>
        <v>0</v>
      </c>
      <c r="Q76">
        <f t="shared" si="5"/>
        <v>0</v>
      </c>
      <c r="R76">
        <f t="shared" si="6"/>
        <v>0</v>
      </c>
      <c r="S76" t="b">
        <f t="shared" si="7"/>
        <v>0</v>
      </c>
    </row>
    <row r="77" spans="1:19" x14ac:dyDescent="0.2">
      <c r="A77" s="54">
        <v>106841</v>
      </c>
      <c r="B77" s="54" t="s">
        <v>425</v>
      </c>
      <c r="C77" s="55">
        <v>20</v>
      </c>
      <c r="D77" s="55">
        <v>54</v>
      </c>
      <c r="E77" s="55">
        <v>10</v>
      </c>
      <c r="F77" s="55">
        <v>35</v>
      </c>
      <c r="G77" s="55">
        <v>1</v>
      </c>
      <c r="H77" s="55">
        <v>0</v>
      </c>
      <c r="I77" s="55">
        <v>0.65</v>
      </c>
      <c r="J77" s="55">
        <v>0.02</v>
      </c>
      <c r="K77" s="55">
        <v>0</v>
      </c>
      <c r="L77" s="55">
        <v>0</v>
      </c>
      <c r="M77" s="54" t="s">
        <v>43</v>
      </c>
      <c r="N77" s="54" t="s">
        <v>1400</v>
      </c>
      <c r="O77" s="54" t="s">
        <v>7</v>
      </c>
      <c r="P77" s="54">
        <f t="shared" si="4"/>
        <v>0</v>
      </c>
      <c r="Q77">
        <f t="shared" si="5"/>
        <v>0</v>
      </c>
      <c r="R77">
        <f t="shared" si="6"/>
        <v>0</v>
      </c>
      <c r="S77" t="b">
        <f t="shared" si="7"/>
        <v>0</v>
      </c>
    </row>
    <row r="78" spans="1:19" x14ac:dyDescent="0.2">
      <c r="A78" s="54">
        <v>106844</v>
      </c>
      <c r="B78" s="54" t="s">
        <v>642</v>
      </c>
      <c r="C78" s="55">
        <v>456</v>
      </c>
      <c r="D78" s="55">
        <v>193</v>
      </c>
      <c r="E78" s="55">
        <v>49</v>
      </c>
      <c r="F78" s="55">
        <v>0</v>
      </c>
      <c r="G78" s="55">
        <v>0</v>
      </c>
      <c r="H78" s="55">
        <v>0</v>
      </c>
      <c r="I78" s="55">
        <v>0</v>
      </c>
      <c r="J78" s="55">
        <v>0</v>
      </c>
      <c r="K78" s="55">
        <v>0</v>
      </c>
      <c r="L78" s="55">
        <v>5</v>
      </c>
      <c r="M78" s="54" t="s">
        <v>47</v>
      </c>
      <c r="N78" s="54" t="s">
        <v>47</v>
      </c>
      <c r="O78" s="54" t="s">
        <v>6</v>
      </c>
      <c r="P78" s="54">
        <f t="shared" si="4"/>
        <v>0</v>
      </c>
      <c r="Q78">
        <f t="shared" si="5"/>
        <v>0</v>
      </c>
      <c r="R78">
        <f t="shared" si="6"/>
        <v>0</v>
      </c>
      <c r="S78" t="b">
        <f t="shared" si="7"/>
        <v>0</v>
      </c>
    </row>
    <row r="79" spans="1:19" x14ac:dyDescent="0.2">
      <c r="A79" s="54">
        <v>106876</v>
      </c>
      <c r="B79" s="54" t="s">
        <v>390</v>
      </c>
      <c r="C79" s="55">
        <v>3</v>
      </c>
      <c r="D79" s="55">
        <v>48</v>
      </c>
      <c r="E79" s="55">
        <v>45</v>
      </c>
      <c r="F79" s="55">
        <v>36</v>
      </c>
      <c r="G79" s="55">
        <v>21</v>
      </c>
      <c r="H79" s="55">
        <v>10</v>
      </c>
      <c r="I79" s="55">
        <v>0.75</v>
      </c>
      <c r="J79" s="55">
        <v>0.44</v>
      </c>
      <c r="K79" s="55">
        <v>0.21</v>
      </c>
      <c r="L79" s="55">
        <v>4</v>
      </c>
      <c r="M79" s="54" t="s">
        <v>47</v>
      </c>
      <c r="N79" s="54" t="s">
        <v>47</v>
      </c>
      <c r="O79" s="54" t="s">
        <v>7</v>
      </c>
      <c r="P79" s="54">
        <f t="shared" si="4"/>
        <v>0</v>
      </c>
      <c r="Q79">
        <f t="shared" si="5"/>
        <v>0</v>
      </c>
      <c r="R79">
        <f t="shared" si="6"/>
        <v>0</v>
      </c>
      <c r="S79" t="b">
        <f t="shared" si="7"/>
        <v>0</v>
      </c>
    </row>
    <row r="80" spans="1:19" x14ac:dyDescent="0.2">
      <c r="A80" s="54">
        <v>106879</v>
      </c>
      <c r="B80" s="54" t="s">
        <v>1185</v>
      </c>
      <c r="C80" s="55">
        <v>73</v>
      </c>
      <c r="D80" s="55">
        <v>76</v>
      </c>
      <c r="E80" s="55">
        <v>1</v>
      </c>
      <c r="F80" s="55">
        <v>36</v>
      </c>
      <c r="G80" s="55">
        <v>36</v>
      </c>
      <c r="H80" s="55">
        <v>36</v>
      </c>
      <c r="I80" s="55">
        <v>0.47</v>
      </c>
      <c r="J80" s="55">
        <v>0.47</v>
      </c>
      <c r="K80" s="55">
        <v>0.47</v>
      </c>
      <c r="L80" s="55">
        <v>127</v>
      </c>
      <c r="M80" s="54" t="s">
        <v>30</v>
      </c>
      <c r="N80" s="54" t="s">
        <v>1401</v>
      </c>
      <c r="O80" s="54" t="s">
        <v>7</v>
      </c>
      <c r="P80" s="54">
        <f t="shared" si="4"/>
        <v>0</v>
      </c>
      <c r="Q80">
        <f t="shared" si="5"/>
        <v>0</v>
      </c>
      <c r="R80">
        <f t="shared" si="6"/>
        <v>0</v>
      </c>
      <c r="S80" t="b">
        <f t="shared" si="7"/>
        <v>0</v>
      </c>
    </row>
    <row r="81" spans="1:19" x14ac:dyDescent="0.2">
      <c r="A81" s="54">
        <v>106896</v>
      </c>
      <c r="B81" s="54" t="s">
        <v>227</v>
      </c>
      <c r="C81" s="55">
        <v>1515</v>
      </c>
      <c r="D81" s="55">
        <v>1210</v>
      </c>
      <c r="E81" s="55">
        <v>7</v>
      </c>
      <c r="F81" s="55">
        <v>221</v>
      </c>
      <c r="G81" s="55">
        <v>161</v>
      </c>
      <c r="H81" s="55">
        <v>1</v>
      </c>
      <c r="I81" s="55">
        <v>0.18</v>
      </c>
      <c r="J81" s="55">
        <v>0.13</v>
      </c>
      <c r="K81" s="55">
        <v>0</v>
      </c>
      <c r="L81" s="55">
        <v>93</v>
      </c>
      <c r="M81" s="54" t="s">
        <v>43</v>
      </c>
      <c r="N81" s="54" t="s">
        <v>1400</v>
      </c>
      <c r="O81" s="54" t="s">
        <v>5</v>
      </c>
      <c r="P81" s="54">
        <f t="shared" si="4"/>
        <v>0</v>
      </c>
      <c r="Q81">
        <f t="shared" si="5"/>
        <v>0</v>
      </c>
      <c r="R81">
        <f t="shared" si="6"/>
        <v>0</v>
      </c>
      <c r="S81" t="b">
        <f t="shared" si="7"/>
        <v>0</v>
      </c>
    </row>
    <row r="82" spans="1:19" x14ac:dyDescent="0.2">
      <c r="A82" s="54">
        <v>106916</v>
      </c>
      <c r="B82" s="54" t="s">
        <v>328</v>
      </c>
      <c r="C82" s="55">
        <v>533</v>
      </c>
      <c r="D82" s="55">
        <v>500</v>
      </c>
      <c r="E82" s="55">
        <v>34</v>
      </c>
      <c r="F82" s="55">
        <v>121</v>
      </c>
      <c r="G82" s="55">
        <v>58</v>
      </c>
      <c r="H82" s="55">
        <v>9</v>
      </c>
      <c r="I82" s="55">
        <v>0.24</v>
      </c>
      <c r="J82" s="55">
        <v>0.12</v>
      </c>
      <c r="K82" s="55">
        <v>0.02</v>
      </c>
      <c r="L82" s="55">
        <v>57</v>
      </c>
      <c r="M82" s="54" t="s">
        <v>47</v>
      </c>
      <c r="N82" s="54" t="s">
        <v>47</v>
      </c>
      <c r="O82" s="54" t="s">
        <v>6</v>
      </c>
      <c r="P82" s="54">
        <f t="shared" si="4"/>
        <v>0</v>
      </c>
      <c r="Q82">
        <f t="shared" si="5"/>
        <v>0</v>
      </c>
      <c r="R82">
        <f t="shared" si="6"/>
        <v>0</v>
      </c>
      <c r="S82" t="b">
        <f t="shared" si="7"/>
        <v>0</v>
      </c>
    </row>
    <row r="83" spans="1:19" x14ac:dyDescent="0.2">
      <c r="A83" s="54">
        <v>106938</v>
      </c>
      <c r="B83" s="54" t="s">
        <v>675</v>
      </c>
      <c r="C83" s="55">
        <v>5</v>
      </c>
      <c r="D83" s="55">
        <v>11</v>
      </c>
      <c r="E83" s="55">
        <v>6</v>
      </c>
      <c r="F83" s="55">
        <v>0</v>
      </c>
      <c r="G83" s="55">
        <v>0</v>
      </c>
      <c r="H83" s="55">
        <v>0</v>
      </c>
      <c r="I83" s="55">
        <v>0</v>
      </c>
      <c r="J83" s="55">
        <v>0</v>
      </c>
      <c r="K83" s="55">
        <v>0</v>
      </c>
      <c r="L83" s="55">
        <v>0</v>
      </c>
      <c r="M83" s="54" t="s">
        <v>43</v>
      </c>
      <c r="N83" s="54" t="s">
        <v>1400</v>
      </c>
      <c r="O83" s="54" t="s">
        <v>7</v>
      </c>
      <c r="P83" s="54">
        <f t="shared" si="4"/>
        <v>0</v>
      </c>
      <c r="Q83">
        <f t="shared" si="5"/>
        <v>0</v>
      </c>
      <c r="R83">
        <f t="shared" si="6"/>
        <v>0</v>
      </c>
      <c r="S83" t="b">
        <f t="shared" si="7"/>
        <v>0</v>
      </c>
    </row>
    <row r="84" spans="1:19" x14ac:dyDescent="0.2">
      <c r="A84" s="54">
        <v>106945</v>
      </c>
      <c r="B84" s="54" t="s">
        <v>1269</v>
      </c>
      <c r="C84" s="55">
        <v>184</v>
      </c>
      <c r="D84" s="55">
        <v>210</v>
      </c>
      <c r="E84" s="55">
        <v>3</v>
      </c>
      <c r="F84" s="55">
        <v>0</v>
      </c>
      <c r="G84" s="55">
        <v>0</v>
      </c>
      <c r="H84" s="55">
        <v>0</v>
      </c>
      <c r="I84" s="55">
        <v>0</v>
      </c>
      <c r="J84" s="55">
        <v>0</v>
      </c>
      <c r="K84" s="55">
        <v>0</v>
      </c>
      <c r="L84" s="55">
        <v>0</v>
      </c>
      <c r="M84" s="54" t="s">
        <v>30</v>
      </c>
      <c r="N84" s="54" t="s">
        <v>1401</v>
      </c>
      <c r="O84" s="54" t="s">
        <v>6</v>
      </c>
      <c r="P84" s="54">
        <f t="shared" si="4"/>
        <v>0</v>
      </c>
      <c r="Q84">
        <f t="shared" si="5"/>
        <v>0</v>
      </c>
      <c r="R84">
        <f t="shared" si="6"/>
        <v>0</v>
      </c>
      <c r="S84" t="b">
        <f t="shared" si="7"/>
        <v>0</v>
      </c>
    </row>
    <row r="85" spans="1:19" x14ac:dyDescent="0.2">
      <c r="A85" s="54">
        <v>106950</v>
      </c>
      <c r="B85" s="54" t="s">
        <v>464</v>
      </c>
      <c r="C85" s="55">
        <v>30</v>
      </c>
      <c r="D85" s="55">
        <v>35</v>
      </c>
      <c r="E85" s="55">
        <v>21</v>
      </c>
      <c r="F85" s="55">
        <v>35</v>
      </c>
      <c r="G85" s="55">
        <v>20</v>
      </c>
      <c r="H85" s="55">
        <v>8</v>
      </c>
      <c r="I85" s="55">
        <v>1</v>
      </c>
      <c r="J85" s="55">
        <v>0.56999999999999995</v>
      </c>
      <c r="K85" s="55">
        <v>0.23</v>
      </c>
      <c r="L85" s="55">
        <v>5</v>
      </c>
      <c r="M85" s="54" t="s">
        <v>45</v>
      </c>
      <c r="N85" s="54" t="s">
        <v>47</v>
      </c>
      <c r="O85" s="54" t="s">
        <v>7</v>
      </c>
      <c r="P85" s="54">
        <f t="shared" si="4"/>
        <v>0</v>
      </c>
      <c r="Q85">
        <f t="shared" si="5"/>
        <v>0</v>
      </c>
      <c r="R85">
        <f t="shared" si="6"/>
        <v>0</v>
      </c>
      <c r="S85" t="b">
        <f t="shared" si="7"/>
        <v>0</v>
      </c>
    </row>
    <row r="86" spans="1:19" x14ac:dyDescent="0.2">
      <c r="A86" s="54">
        <v>106964</v>
      </c>
      <c r="B86" s="54" t="s">
        <v>1075</v>
      </c>
      <c r="C86" s="55">
        <v>30</v>
      </c>
      <c r="D86" s="55">
        <v>30</v>
      </c>
      <c r="E86" s="55">
        <v>1</v>
      </c>
      <c r="F86" s="55">
        <v>0</v>
      </c>
      <c r="G86" s="55">
        <v>0</v>
      </c>
      <c r="H86" s="55">
        <v>0</v>
      </c>
      <c r="I86" s="55">
        <v>0</v>
      </c>
      <c r="J86" s="55">
        <v>0</v>
      </c>
      <c r="K86" s="55">
        <v>0</v>
      </c>
      <c r="L86" s="55">
        <v>0</v>
      </c>
      <c r="M86" s="54" t="s">
        <v>30</v>
      </c>
      <c r="N86" s="54" t="s">
        <v>1401</v>
      </c>
      <c r="O86" s="54" t="s">
        <v>7</v>
      </c>
      <c r="P86" s="54">
        <f t="shared" si="4"/>
        <v>0</v>
      </c>
      <c r="Q86">
        <f t="shared" si="5"/>
        <v>0</v>
      </c>
      <c r="R86">
        <f t="shared" si="6"/>
        <v>0</v>
      </c>
      <c r="S86" t="b">
        <f t="shared" si="7"/>
        <v>0</v>
      </c>
    </row>
    <row r="87" spans="1:19" x14ac:dyDescent="0.2">
      <c r="A87" s="54">
        <v>106976</v>
      </c>
      <c r="B87" s="54" t="s">
        <v>119</v>
      </c>
      <c r="C87" s="55">
        <v>350</v>
      </c>
      <c r="D87" s="55">
        <v>242</v>
      </c>
      <c r="E87" s="55">
        <v>7</v>
      </c>
      <c r="F87" s="55">
        <v>286</v>
      </c>
      <c r="G87" s="55">
        <v>13</v>
      </c>
      <c r="H87" s="55">
        <v>3</v>
      </c>
      <c r="I87" s="55">
        <v>1.18</v>
      </c>
      <c r="J87" s="55">
        <v>0.05</v>
      </c>
      <c r="K87" s="55">
        <v>0.01</v>
      </c>
      <c r="L87" s="55">
        <v>19</v>
      </c>
      <c r="M87" s="54" t="s">
        <v>43</v>
      </c>
      <c r="N87" s="54" t="s">
        <v>1400</v>
      </c>
      <c r="O87" s="54" t="s">
        <v>6</v>
      </c>
      <c r="P87" s="54">
        <f t="shared" si="4"/>
        <v>0</v>
      </c>
      <c r="Q87">
        <f t="shared" si="5"/>
        <v>0</v>
      </c>
      <c r="R87">
        <f t="shared" si="6"/>
        <v>0</v>
      </c>
      <c r="S87" t="b">
        <f t="shared" si="7"/>
        <v>0</v>
      </c>
    </row>
    <row r="88" spans="1:19" x14ac:dyDescent="0.2">
      <c r="A88" s="54">
        <v>106990</v>
      </c>
      <c r="B88" s="54" t="s">
        <v>289</v>
      </c>
      <c r="C88" s="55">
        <v>88</v>
      </c>
      <c r="D88" s="55">
        <v>84</v>
      </c>
      <c r="E88" s="55">
        <v>9</v>
      </c>
      <c r="F88" s="55">
        <v>76</v>
      </c>
      <c r="G88" s="55">
        <v>47</v>
      </c>
      <c r="H88" s="55">
        <v>0</v>
      </c>
      <c r="I88" s="55">
        <v>0.9</v>
      </c>
      <c r="J88" s="55">
        <v>0.56000000000000005</v>
      </c>
      <c r="K88" s="55">
        <v>0</v>
      </c>
      <c r="L88" s="55">
        <v>98</v>
      </c>
      <c r="M88" s="54" t="s">
        <v>43</v>
      </c>
      <c r="N88" s="54" t="s">
        <v>1400</v>
      </c>
      <c r="O88" s="54" t="s">
        <v>7</v>
      </c>
      <c r="P88" s="54">
        <f t="shared" si="4"/>
        <v>0</v>
      </c>
      <c r="Q88">
        <f t="shared" si="5"/>
        <v>0</v>
      </c>
      <c r="R88">
        <f t="shared" si="6"/>
        <v>0</v>
      </c>
      <c r="S88" t="b">
        <f t="shared" si="7"/>
        <v>0</v>
      </c>
    </row>
    <row r="89" spans="1:19" x14ac:dyDescent="0.2">
      <c r="A89" s="54">
        <v>107020</v>
      </c>
      <c r="B89" s="54" t="s">
        <v>1233</v>
      </c>
      <c r="C89" s="55">
        <v>123</v>
      </c>
      <c r="D89" s="55">
        <v>130</v>
      </c>
      <c r="E89" s="55">
        <v>5</v>
      </c>
      <c r="F89" s="55">
        <v>120</v>
      </c>
      <c r="G89" s="55">
        <v>120</v>
      </c>
      <c r="H89" s="55">
        <v>4</v>
      </c>
      <c r="I89" s="55">
        <v>0.92</v>
      </c>
      <c r="J89" s="55">
        <v>0.92</v>
      </c>
      <c r="K89" s="55">
        <v>0.03</v>
      </c>
      <c r="L89" s="55">
        <v>124</v>
      </c>
      <c r="M89" s="54" t="s">
        <v>30</v>
      </c>
      <c r="N89" s="54" t="s">
        <v>1401</v>
      </c>
      <c r="O89" s="54" t="s">
        <v>6</v>
      </c>
      <c r="P89" s="54">
        <f t="shared" si="4"/>
        <v>123</v>
      </c>
      <c r="Q89">
        <f t="shared" si="5"/>
        <v>0</v>
      </c>
      <c r="R89">
        <f t="shared" si="6"/>
        <v>123</v>
      </c>
      <c r="S89" t="b">
        <f t="shared" si="7"/>
        <v>0</v>
      </c>
    </row>
    <row r="90" spans="1:19" x14ac:dyDescent="0.2">
      <c r="A90" s="54">
        <v>107066</v>
      </c>
      <c r="B90" s="54" t="s">
        <v>1178</v>
      </c>
      <c r="C90" s="55">
        <v>70</v>
      </c>
      <c r="D90" s="55">
        <v>78</v>
      </c>
      <c r="E90" s="55">
        <v>4</v>
      </c>
      <c r="F90" s="55">
        <v>37</v>
      </c>
      <c r="G90" s="55">
        <v>34</v>
      </c>
      <c r="H90" s="55">
        <v>34</v>
      </c>
      <c r="I90" s="55">
        <v>0.47</v>
      </c>
      <c r="J90" s="55">
        <v>0.44</v>
      </c>
      <c r="K90" s="55">
        <v>0.44</v>
      </c>
      <c r="L90" s="55">
        <v>16</v>
      </c>
      <c r="M90" s="54" t="s">
        <v>30</v>
      </c>
      <c r="N90" s="54" t="s">
        <v>1401</v>
      </c>
      <c r="O90" s="54" t="s">
        <v>7</v>
      </c>
      <c r="P90" s="54">
        <f t="shared" si="4"/>
        <v>0</v>
      </c>
      <c r="Q90">
        <f t="shared" si="5"/>
        <v>0</v>
      </c>
      <c r="R90">
        <f t="shared" si="6"/>
        <v>0</v>
      </c>
      <c r="S90" t="b">
        <f t="shared" si="7"/>
        <v>0</v>
      </c>
    </row>
    <row r="91" spans="1:19" x14ac:dyDescent="0.2">
      <c r="A91" s="54">
        <v>107092</v>
      </c>
      <c r="B91" s="54" t="s">
        <v>69</v>
      </c>
      <c r="C91" s="55">
        <v>570</v>
      </c>
      <c r="D91" s="55">
        <v>790</v>
      </c>
      <c r="E91" s="55">
        <v>38</v>
      </c>
      <c r="F91" s="55">
        <v>1470</v>
      </c>
      <c r="G91" s="55">
        <v>1222</v>
      </c>
      <c r="H91" s="55">
        <v>86</v>
      </c>
      <c r="I91" s="55">
        <v>1.86</v>
      </c>
      <c r="J91" s="55">
        <v>1.55</v>
      </c>
      <c r="K91" s="55">
        <v>0.11</v>
      </c>
      <c r="L91" s="55">
        <v>11</v>
      </c>
      <c r="M91" s="54" t="s">
        <v>47</v>
      </c>
      <c r="N91" s="54" t="s">
        <v>47</v>
      </c>
      <c r="O91" s="54" t="s">
        <v>5</v>
      </c>
      <c r="P91" s="54">
        <f t="shared" si="4"/>
        <v>570</v>
      </c>
      <c r="Q91">
        <f t="shared" si="5"/>
        <v>570</v>
      </c>
      <c r="R91">
        <f t="shared" si="6"/>
        <v>570</v>
      </c>
      <c r="S91" t="b">
        <f t="shared" si="7"/>
        <v>0</v>
      </c>
    </row>
    <row r="92" spans="1:19" x14ac:dyDescent="0.2">
      <c r="A92" s="54">
        <v>107101</v>
      </c>
      <c r="B92" s="54" t="s">
        <v>1275</v>
      </c>
      <c r="C92" s="55">
        <v>220</v>
      </c>
      <c r="D92" s="55">
        <v>181</v>
      </c>
      <c r="E92" s="55">
        <v>3</v>
      </c>
      <c r="F92" s="55">
        <v>759</v>
      </c>
      <c r="G92" s="55">
        <v>759</v>
      </c>
      <c r="H92" s="55">
        <v>759</v>
      </c>
      <c r="I92" s="55">
        <v>4.1900000000000004</v>
      </c>
      <c r="J92" s="55">
        <v>4.1900000000000004</v>
      </c>
      <c r="K92" s="55">
        <v>4.1900000000000004</v>
      </c>
      <c r="L92" s="55">
        <v>235</v>
      </c>
      <c r="M92" s="54" t="s">
        <v>30</v>
      </c>
      <c r="N92" s="54" t="s">
        <v>1401</v>
      </c>
      <c r="O92" s="54" t="s">
        <v>6</v>
      </c>
      <c r="P92" s="54">
        <f t="shared" si="4"/>
        <v>220</v>
      </c>
      <c r="Q92">
        <f t="shared" si="5"/>
        <v>220</v>
      </c>
      <c r="R92">
        <f t="shared" si="6"/>
        <v>220</v>
      </c>
      <c r="S92" t="b">
        <f t="shared" si="7"/>
        <v>0</v>
      </c>
    </row>
    <row r="93" spans="1:19" x14ac:dyDescent="0.2">
      <c r="A93" s="54">
        <v>107124</v>
      </c>
      <c r="B93" s="54" t="s">
        <v>114</v>
      </c>
      <c r="C93" s="55">
        <v>327</v>
      </c>
      <c r="D93" s="55">
        <v>364</v>
      </c>
      <c r="E93" s="55">
        <v>34</v>
      </c>
      <c r="F93" s="55">
        <v>999</v>
      </c>
      <c r="G93" s="55">
        <v>335</v>
      </c>
      <c r="H93" s="55">
        <v>113</v>
      </c>
      <c r="I93" s="55">
        <v>2.74</v>
      </c>
      <c r="J93" s="55">
        <v>0.92</v>
      </c>
      <c r="K93" s="55">
        <v>0.31</v>
      </c>
      <c r="L93" s="55">
        <v>411</v>
      </c>
      <c r="M93" s="54" t="s">
        <v>47</v>
      </c>
      <c r="N93" s="54" t="s">
        <v>47</v>
      </c>
      <c r="O93" s="54" t="s">
        <v>6</v>
      </c>
      <c r="P93" s="54">
        <f t="shared" si="4"/>
        <v>327</v>
      </c>
      <c r="Q93">
        <f t="shared" si="5"/>
        <v>327</v>
      </c>
      <c r="R93">
        <f t="shared" si="6"/>
        <v>327</v>
      </c>
      <c r="S93" t="b">
        <f t="shared" si="7"/>
        <v>0</v>
      </c>
    </row>
    <row r="94" spans="1:19" x14ac:dyDescent="0.2">
      <c r="A94" s="54">
        <v>107126</v>
      </c>
      <c r="B94" s="54" t="s">
        <v>338</v>
      </c>
      <c r="C94" s="55">
        <v>129</v>
      </c>
      <c r="D94" s="55">
        <v>120</v>
      </c>
      <c r="E94" s="55">
        <v>36</v>
      </c>
      <c r="F94" s="55">
        <v>96</v>
      </c>
      <c r="G94" s="55">
        <v>83</v>
      </c>
      <c r="H94" s="55">
        <v>58</v>
      </c>
      <c r="I94" s="55">
        <v>0.8</v>
      </c>
      <c r="J94" s="55">
        <v>0.69</v>
      </c>
      <c r="K94" s="55">
        <v>0.48</v>
      </c>
      <c r="L94" s="55">
        <v>1</v>
      </c>
      <c r="M94" s="54" t="s">
        <v>47</v>
      </c>
      <c r="N94" s="54" t="s">
        <v>47</v>
      </c>
      <c r="O94" s="54" t="s">
        <v>6</v>
      </c>
      <c r="P94" s="54">
        <f t="shared" si="4"/>
        <v>0</v>
      </c>
      <c r="Q94">
        <f t="shared" si="5"/>
        <v>0</v>
      </c>
      <c r="R94">
        <f t="shared" si="6"/>
        <v>0</v>
      </c>
      <c r="S94" t="b">
        <f t="shared" si="7"/>
        <v>0</v>
      </c>
    </row>
    <row r="95" spans="1:19" x14ac:dyDescent="0.2">
      <c r="A95" s="54">
        <v>107137</v>
      </c>
      <c r="B95" s="54" t="s">
        <v>422</v>
      </c>
      <c r="C95" s="55">
        <v>255</v>
      </c>
      <c r="D95" s="55">
        <v>64</v>
      </c>
      <c r="E95" s="55">
        <v>12</v>
      </c>
      <c r="F95" s="55">
        <v>34</v>
      </c>
      <c r="G95" s="55">
        <v>26</v>
      </c>
      <c r="H95" s="55">
        <v>11</v>
      </c>
      <c r="I95" s="55">
        <v>0.53</v>
      </c>
      <c r="J95" s="55">
        <v>0.41</v>
      </c>
      <c r="K95" s="55">
        <v>0.17</v>
      </c>
      <c r="L95" s="55">
        <v>0</v>
      </c>
      <c r="M95" s="54" t="s">
        <v>43</v>
      </c>
      <c r="N95" s="54" t="s">
        <v>1400</v>
      </c>
      <c r="O95" s="54" t="s">
        <v>7</v>
      </c>
      <c r="P95" s="54">
        <f t="shared" si="4"/>
        <v>0</v>
      </c>
      <c r="Q95">
        <f t="shared" si="5"/>
        <v>0</v>
      </c>
      <c r="R95">
        <f t="shared" si="6"/>
        <v>0</v>
      </c>
      <c r="S95" t="b">
        <f t="shared" si="7"/>
        <v>0</v>
      </c>
    </row>
    <row r="96" spans="1:19" x14ac:dyDescent="0.2">
      <c r="A96" s="54">
        <v>107149</v>
      </c>
      <c r="B96" s="54" t="s">
        <v>1262</v>
      </c>
      <c r="C96" s="55">
        <v>162</v>
      </c>
      <c r="D96" s="55">
        <v>55</v>
      </c>
      <c r="E96" s="55">
        <v>3</v>
      </c>
      <c r="F96" s="55">
        <v>9</v>
      </c>
      <c r="G96" s="55">
        <v>9</v>
      </c>
      <c r="H96" s="55">
        <v>9</v>
      </c>
      <c r="I96" s="55">
        <v>0.16</v>
      </c>
      <c r="J96" s="55">
        <v>0.16</v>
      </c>
      <c r="K96" s="55">
        <v>0.16</v>
      </c>
      <c r="L96" s="55">
        <v>0</v>
      </c>
      <c r="M96" s="54" t="s">
        <v>30</v>
      </c>
      <c r="N96" s="54" t="s">
        <v>1401</v>
      </c>
      <c r="O96" s="54" t="s">
        <v>7</v>
      </c>
      <c r="P96" s="54">
        <f t="shared" si="4"/>
        <v>0</v>
      </c>
      <c r="Q96">
        <f t="shared" si="5"/>
        <v>0</v>
      </c>
      <c r="R96">
        <f t="shared" si="6"/>
        <v>0</v>
      </c>
      <c r="S96" t="b">
        <f t="shared" si="7"/>
        <v>0</v>
      </c>
    </row>
    <row r="97" spans="1:19" x14ac:dyDescent="0.2">
      <c r="A97" s="54">
        <v>107156</v>
      </c>
      <c r="B97" s="54" t="s">
        <v>346</v>
      </c>
      <c r="C97" s="55">
        <v>123</v>
      </c>
      <c r="D97" s="55">
        <v>123</v>
      </c>
      <c r="E97" s="55">
        <v>7</v>
      </c>
      <c r="F97" s="55">
        <v>116</v>
      </c>
      <c r="G97" s="55">
        <v>116</v>
      </c>
      <c r="H97" s="55">
        <v>5</v>
      </c>
      <c r="I97" s="55">
        <v>0.94</v>
      </c>
      <c r="J97" s="55">
        <v>0.94</v>
      </c>
      <c r="K97" s="55">
        <v>0.04</v>
      </c>
      <c r="L97" s="55">
        <v>30</v>
      </c>
      <c r="M97" s="54" t="s">
        <v>43</v>
      </c>
      <c r="N97" s="54" t="s">
        <v>1400</v>
      </c>
      <c r="O97" s="54" t="s">
        <v>6</v>
      </c>
      <c r="P97" s="54">
        <f t="shared" si="4"/>
        <v>123</v>
      </c>
      <c r="Q97">
        <f t="shared" si="5"/>
        <v>0</v>
      </c>
      <c r="R97">
        <f t="shared" si="6"/>
        <v>123</v>
      </c>
      <c r="S97" t="b">
        <f t="shared" si="7"/>
        <v>0</v>
      </c>
    </row>
    <row r="98" spans="1:19" x14ac:dyDescent="0.2">
      <c r="A98" s="54">
        <v>107157</v>
      </c>
      <c r="B98" s="54" t="s">
        <v>1296</v>
      </c>
      <c r="C98" s="55">
        <v>566</v>
      </c>
      <c r="D98" s="55">
        <v>480</v>
      </c>
      <c r="E98" s="55">
        <v>3</v>
      </c>
      <c r="F98" s="55">
        <v>39</v>
      </c>
      <c r="G98" s="55">
        <v>39</v>
      </c>
      <c r="H98" s="55">
        <v>36</v>
      </c>
      <c r="I98" s="55">
        <v>0.08</v>
      </c>
      <c r="J98" s="55">
        <v>0.08</v>
      </c>
      <c r="K98" s="55">
        <v>0.08</v>
      </c>
      <c r="L98" s="55">
        <v>13</v>
      </c>
      <c r="M98" s="54" t="s">
        <v>30</v>
      </c>
      <c r="N98" s="54" t="s">
        <v>1401</v>
      </c>
      <c r="O98" s="54" t="s">
        <v>6</v>
      </c>
      <c r="P98" s="54">
        <f t="shared" si="4"/>
        <v>0</v>
      </c>
      <c r="Q98">
        <f t="shared" si="5"/>
        <v>0</v>
      </c>
      <c r="R98">
        <f t="shared" si="6"/>
        <v>0</v>
      </c>
      <c r="S98" t="b">
        <f t="shared" si="7"/>
        <v>0</v>
      </c>
    </row>
    <row r="99" spans="1:19" x14ac:dyDescent="0.2">
      <c r="A99" s="54">
        <v>107160</v>
      </c>
      <c r="B99" s="54" t="s">
        <v>510</v>
      </c>
      <c r="C99" s="55">
        <v>50</v>
      </c>
      <c r="D99" s="55">
        <v>45</v>
      </c>
      <c r="E99" s="55">
        <v>14</v>
      </c>
      <c r="F99" s="55">
        <v>24</v>
      </c>
      <c r="G99" s="55">
        <v>16</v>
      </c>
      <c r="H99" s="55">
        <v>12</v>
      </c>
      <c r="I99" s="55">
        <v>0.53</v>
      </c>
      <c r="J99" s="55">
        <v>0.36</v>
      </c>
      <c r="K99" s="55">
        <v>0.27</v>
      </c>
      <c r="L99" s="55">
        <v>0</v>
      </c>
      <c r="M99" s="54" t="s">
        <v>45</v>
      </c>
      <c r="N99" s="54" t="s">
        <v>47</v>
      </c>
      <c r="O99" s="54" t="s">
        <v>7</v>
      </c>
      <c r="P99" s="54">
        <f t="shared" si="4"/>
        <v>0</v>
      </c>
      <c r="Q99">
        <f t="shared" si="5"/>
        <v>0</v>
      </c>
      <c r="R99">
        <f t="shared" si="6"/>
        <v>0</v>
      </c>
      <c r="S99" t="b">
        <f t="shared" si="7"/>
        <v>0</v>
      </c>
    </row>
    <row r="100" spans="1:19" x14ac:dyDescent="0.2">
      <c r="A100" s="54">
        <v>107174</v>
      </c>
      <c r="B100" s="54" t="s">
        <v>611</v>
      </c>
      <c r="C100" s="55">
        <v>34</v>
      </c>
      <c r="D100" s="55">
        <v>38</v>
      </c>
      <c r="E100" s="55">
        <v>38</v>
      </c>
      <c r="F100" s="55">
        <v>20</v>
      </c>
      <c r="G100" s="55">
        <v>1</v>
      </c>
      <c r="H100" s="55">
        <v>0</v>
      </c>
      <c r="I100" s="55">
        <v>0.53</v>
      </c>
      <c r="J100" s="55">
        <v>0.03</v>
      </c>
      <c r="K100" s="55">
        <v>0</v>
      </c>
      <c r="L100" s="55">
        <v>7</v>
      </c>
      <c r="M100" s="54" t="s">
        <v>47</v>
      </c>
      <c r="N100" s="54" t="s">
        <v>47</v>
      </c>
      <c r="O100" s="54" t="s">
        <v>7</v>
      </c>
      <c r="P100" s="54">
        <f t="shared" si="4"/>
        <v>0</v>
      </c>
      <c r="Q100">
        <f t="shared" si="5"/>
        <v>0</v>
      </c>
      <c r="R100">
        <f t="shared" si="6"/>
        <v>0</v>
      </c>
      <c r="S100" t="b">
        <f t="shared" si="7"/>
        <v>0</v>
      </c>
    </row>
    <row r="101" spans="1:19" x14ac:dyDescent="0.2">
      <c r="A101" s="54">
        <v>107189</v>
      </c>
      <c r="B101" s="54" t="s">
        <v>437</v>
      </c>
      <c r="C101" s="55">
        <v>16</v>
      </c>
      <c r="D101" s="55">
        <v>25</v>
      </c>
      <c r="E101" s="55">
        <v>11</v>
      </c>
      <c r="F101" s="55">
        <v>27</v>
      </c>
      <c r="G101" s="55">
        <v>21</v>
      </c>
      <c r="H101" s="55">
        <v>0</v>
      </c>
      <c r="I101" s="55">
        <v>1.08</v>
      </c>
      <c r="J101" s="55">
        <v>0.84</v>
      </c>
      <c r="K101" s="55">
        <v>0</v>
      </c>
      <c r="L101" s="55">
        <v>0</v>
      </c>
      <c r="M101" s="54" t="s">
        <v>43</v>
      </c>
      <c r="N101" s="54" t="s">
        <v>1400</v>
      </c>
      <c r="O101" s="54" t="s">
        <v>7</v>
      </c>
      <c r="P101" s="54">
        <f t="shared" si="4"/>
        <v>16</v>
      </c>
      <c r="Q101">
        <f t="shared" si="5"/>
        <v>0</v>
      </c>
      <c r="R101">
        <f t="shared" si="6"/>
        <v>16</v>
      </c>
      <c r="S101" t="b">
        <f t="shared" si="7"/>
        <v>0</v>
      </c>
    </row>
    <row r="102" spans="1:19" x14ac:dyDescent="0.2">
      <c r="A102" s="54">
        <v>107197</v>
      </c>
      <c r="B102" s="54" t="s">
        <v>297</v>
      </c>
      <c r="C102" s="55">
        <v>1202</v>
      </c>
      <c r="D102" s="55">
        <v>1202</v>
      </c>
      <c r="E102" s="55">
        <v>16</v>
      </c>
      <c r="F102" s="55">
        <v>237</v>
      </c>
      <c r="G102" s="55">
        <v>44</v>
      </c>
      <c r="H102" s="55">
        <v>13</v>
      </c>
      <c r="I102" s="55">
        <v>0.2</v>
      </c>
      <c r="J102" s="55">
        <v>0.04</v>
      </c>
      <c r="K102" s="55">
        <v>0.01</v>
      </c>
      <c r="L102" s="55">
        <v>64</v>
      </c>
      <c r="M102" s="54" t="s">
        <v>45</v>
      </c>
      <c r="N102" s="54" t="s">
        <v>47</v>
      </c>
      <c r="O102" s="54" t="s">
        <v>5</v>
      </c>
      <c r="P102" s="54">
        <f t="shared" si="4"/>
        <v>0</v>
      </c>
      <c r="Q102">
        <f t="shared" si="5"/>
        <v>0</v>
      </c>
      <c r="R102">
        <f t="shared" si="6"/>
        <v>0</v>
      </c>
      <c r="S102" t="b">
        <f t="shared" si="7"/>
        <v>0</v>
      </c>
    </row>
    <row r="103" spans="1:19" x14ac:dyDescent="0.2">
      <c r="A103" s="54">
        <v>107206</v>
      </c>
      <c r="B103" s="54" t="s">
        <v>203</v>
      </c>
      <c r="C103" s="55">
        <v>896</v>
      </c>
      <c r="D103" s="55">
        <v>859</v>
      </c>
      <c r="E103" s="55">
        <v>10</v>
      </c>
      <c r="F103" s="55">
        <v>657</v>
      </c>
      <c r="G103" s="55">
        <v>649</v>
      </c>
      <c r="H103" s="55">
        <v>594</v>
      </c>
      <c r="I103" s="55">
        <v>0.76</v>
      </c>
      <c r="J103" s="55">
        <v>0.76</v>
      </c>
      <c r="K103" s="55">
        <v>0.69</v>
      </c>
      <c r="L103" s="55">
        <v>46</v>
      </c>
      <c r="M103" s="54" t="s">
        <v>43</v>
      </c>
      <c r="N103" s="54" t="s">
        <v>1400</v>
      </c>
      <c r="O103" s="54" t="s">
        <v>5</v>
      </c>
      <c r="P103" s="54">
        <f t="shared" si="4"/>
        <v>896</v>
      </c>
      <c r="Q103">
        <f t="shared" si="5"/>
        <v>896</v>
      </c>
      <c r="R103">
        <f t="shared" si="6"/>
        <v>896</v>
      </c>
      <c r="S103" t="b">
        <f t="shared" si="7"/>
        <v>0</v>
      </c>
    </row>
    <row r="104" spans="1:19" x14ac:dyDescent="0.2">
      <c r="A104" s="54">
        <v>107207</v>
      </c>
      <c r="B104" s="54" t="s">
        <v>1186</v>
      </c>
      <c r="C104" s="55">
        <v>73</v>
      </c>
      <c r="D104" s="55">
        <v>20</v>
      </c>
      <c r="E104" s="55">
        <v>0</v>
      </c>
      <c r="F104" s="55">
        <v>0</v>
      </c>
      <c r="G104" s="55">
        <v>0</v>
      </c>
      <c r="H104" s="55">
        <v>0</v>
      </c>
      <c r="I104" s="55">
        <v>0</v>
      </c>
      <c r="J104" s="55">
        <v>0</v>
      </c>
      <c r="K104" s="55">
        <v>0</v>
      </c>
      <c r="L104" s="55">
        <v>0</v>
      </c>
      <c r="M104" s="54" t="s">
        <v>30</v>
      </c>
      <c r="N104" s="54" t="s">
        <v>1401</v>
      </c>
      <c r="O104" s="54" t="s">
        <v>7</v>
      </c>
      <c r="P104" s="54">
        <f t="shared" si="4"/>
        <v>0</v>
      </c>
      <c r="Q104">
        <f t="shared" si="5"/>
        <v>0</v>
      </c>
      <c r="R104">
        <f t="shared" si="6"/>
        <v>0</v>
      </c>
      <c r="S104" t="b">
        <f t="shared" si="7"/>
        <v>0</v>
      </c>
    </row>
    <row r="105" spans="1:19" x14ac:dyDescent="0.2">
      <c r="A105" s="54">
        <v>107214</v>
      </c>
      <c r="B105" s="54" t="s">
        <v>468</v>
      </c>
      <c r="C105" s="55">
        <v>7</v>
      </c>
      <c r="D105" s="55">
        <v>20</v>
      </c>
      <c r="E105" s="55">
        <v>9</v>
      </c>
      <c r="F105" s="55">
        <v>19</v>
      </c>
      <c r="G105" s="55">
        <v>7</v>
      </c>
      <c r="H105" s="55">
        <v>0</v>
      </c>
      <c r="I105" s="55">
        <v>0.95</v>
      </c>
      <c r="J105" s="55">
        <v>0.35</v>
      </c>
      <c r="K105" s="55">
        <v>0</v>
      </c>
      <c r="L105" s="55">
        <v>0</v>
      </c>
      <c r="M105" s="54" t="s">
        <v>43</v>
      </c>
      <c r="N105" s="54" t="s">
        <v>1400</v>
      </c>
      <c r="O105" s="54" t="s">
        <v>7</v>
      </c>
      <c r="P105" s="54">
        <f t="shared" si="4"/>
        <v>0</v>
      </c>
      <c r="Q105">
        <f t="shared" si="5"/>
        <v>0</v>
      </c>
      <c r="R105">
        <f t="shared" si="6"/>
        <v>0</v>
      </c>
      <c r="S105" t="b">
        <f t="shared" si="7"/>
        <v>0</v>
      </c>
    </row>
    <row r="106" spans="1:19" x14ac:dyDescent="0.2">
      <c r="A106" s="54">
        <v>107237</v>
      </c>
      <c r="B106" s="54" t="s">
        <v>1267</v>
      </c>
      <c r="C106" s="55">
        <v>171</v>
      </c>
      <c r="D106" s="55">
        <v>130</v>
      </c>
      <c r="E106" s="55">
        <v>3</v>
      </c>
      <c r="F106" s="55">
        <v>21</v>
      </c>
      <c r="G106" s="55">
        <v>21</v>
      </c>
      <c r="H106" s="55">
        <v>21</v>
      </c>
      <c r="I106" s="55">
        <v>0.16</v>
      </c>
      <c r="J106" s="55">
        <v>0.16</v>
      </c>
      <c r="K106" s="55">
        <v>0.16</v>
      </c>
      <c r="L106" s="55">
        <v>0</v>
      </c>
      <c r="M106" s="54" t="s">
        <v>30</v>
      </c>
      <c r="N106" s="54" t="s">
        <v>1401</v>
      </c>
      <c r="O106" s="54" t="s">
        <v>6</v>
      </c>
      <c r="P106" s="54">
        <f t="shared" si="4"/>
        <v>0</v>
      </c>
      <c r="Q106">
        <f t="shared" si="5"/>
        <v>0</v>
      </c>
      <c r="R106">
        <f t="shared" si="6"/>
        <v>0</v>
      </c>
      <c r="S106" t="b">
        <f t="shared" si="7"/>
        <v>0</v>
      </c>
    </row>
    <row r="107" spans="1:19" x14ac:dyDescent="0.2">
      <c r="A107" s="54">
        <v>107272</v>
      </c>
      <c r="B107" s="54" t="s">
        <v>101</v>
      </c>
      <c r="C107" s="55">
        <v>130</v>
      </c>
      <c r="D107" s="55">
        <v>240</v>
      </c>
      <c r="E107" s="55">
        <v>18</v>
      </c>
      <c r="F107" s="55">
        <v>599</v>
      </c>
      <c r="G107" s="55">
        <v>585</v>
      </c>
      <c r="H107" s="55">
        <v>166</v>
      </c>
      <c r="I107" s="55">
        <v>2.5</v>
      </c>
      <c r="J107" s="55">
        <v>2.44</v>
      </c>
      <c r="K107" s="55">
        <v>0.69</v>
      </c>
      <c r="L107" s="55">
        <v>9</v>
      </c>
      <c r="M107" s="54" t="s">
        <v>45</v>
      </c>
      <c r="N107" s="54" t="s">
        <v>47</v>
      </c>
      <c r="O107" s="54" t="s">
        <v>6</v>
      </c>
      <c r="P107" s="54">
        <f t="shared" si="4"/>
        <v>130</v>
      </c>
      <c r="Q107">
        <f t="shared" si="5"/>
        <v>130</v>
      </c>
      <c r="R107">
        <f t="shared" si="6"/>
        <v>130</v>
      </c>
      <c r="S107" t="b">
        <f t="shared" si="7"/>
        <v>0</v>
      </c>
    </row>
    <row r="108" spans="1:19" x14ac:dyDescent="0.2">
      <c r="A108" s="54">
        <v>107273</v>
      </c>
      <c r="B108" s="54" t="s">
        <v>1179</v>
      </c>
      <c r="C108" s="55">
        <v>70</v>
      </c>
      <c r="D108" s="55">
        <v>65</v>
      </c>
      <c r="E108" s="55">
        <v>4</v>
      </c>
      <c r="F108" s="55">
        <v>0</v>
      </c>
      <c r="G108" s="55">
        <v>0</v>
      </c>
      <c r="H108" s="55">
        <v>0</v>
      </c>
      <c r="I108" s="55">
        <v>0</v>
      </c>
      <c r="J108" s="55">
        <v>0</v>
      </c>
      <c r="K108" s="55">
        <v>0</v>
      </c>
      <c r="L108" s="55">
        <v>0</v>
      </c>
      <c r="M108" s="54" t="s">
        <v>30</v>
      </c>
      <c r="N108" s="54" t="s">
        <v>1401</v>
      </c>
      <c r="O108" s="54" t="s">
        <v>7</v>
      </c>
      <c r="P108" s="54">
        <f t="shared" si="4"/>
        <v>0</v>
      </c>
      <c r="Q108">
        <f t="shared" si="5"/>
        <v>0</v>
      </c>
      <c r="R108">
        <f t="shared" si="6"/>
        <v>0</v>
      </c>
      <c r="S108" t="b">
        <f t="shared" si="7"/>
        <v>0</v>
      </c>
    </row>
    <row r="109" spans="1:19" x14ac:dyDescent="0.2">
      <c r="A109" s="54">
        <v>107327</v>
      </c>
      <c r="B109" s="54" t="s">
        <v>1325</v>
      </c>
      <c r="C109" s="55">
        <v>0</v>
      </c>
      <c r="D109" s="55">
        <v>35</v>
      </c>
      <c r="E109" s="55">
        <v>0</v>
      </c>
      <c r="F109" s="55">
        <v>0</v>
      </c>
      <c r="G109" s="55">
        <v>0</v>
      </c>
      <c r="H109" s="55">
        <v>0</v>
      </c>
      <c r="I109" s="55">
        <v>0</v>
      </c>
      <c r="J109" s="55">
        <v>0</v>
      </c>
      <c r="K109" s="55">
        <v>0</v>
      </c>
      <c r="L109" s="55">
        <v>0</v>
      </c>
      <c r="M109" s="54" t="s">
        <v>30</v>
      </c>
      <c r="N109" s="54" t="s">
        <v>1401</v>
      </c>
      <c r="O109" s="54" t="s">
        <v>7</v>
      </c>
      <c r="P109" s="54">
        <f t="shared" si="4"/>
        <v>0</v>
      </c>
      <c r="Q109">
        <f t="shared" si="5"/>
        <v>0</v>
      </c>
      <c r="R109">
        <f t="shared" si="6"/>
        <v>0</v>
      </c>
      <c r="S109" t="b">
        <f t="shared" si="7"/>
        <v>0</v>
      </c>
    </row>
    <row r="110" spans="1:19" x14ac:dyDescent="0.2">
      <c r="A110" s="54">
        <v>107368</v>
      </c>
      <c r="B110" s="54" t="s">
        <v>1089</v>
      </c>
      <c r="C110" s="55">
        <v>31</v>
      </c>
      <c r="D110" s="55">
        <v>167</v>
      </c>
      <c r="E110" s="55">
        <v>5</v>
      </c>
      <c r="F110" s="55">
        <v>500</v>
      </c>
      <c r="G110" s="55">
        <v>500</v>
      </c>
      <c r="H110" s="55">
        <v>394</v>
      </c>
      <c r="I110" s="55">
        <v>2.99</v>
      </c>
      <c r="J110" s="55">
        <v>2.99</v>
      </c>
      <c r="K110" s="55">
        <v>2.36</v>
      </c>
      <c r="L110" s="55">
        <v>79</v>
      </c>
      <c r="M110" s="54" t="s">
        <v>30</v>
      </c>
      <c r="N110" s="54" t="s">
        <v>1401</v>
      </c>
      <c r="O110" s="54" t="s">
        <v>6</v>
      </c>
      <c r="P110" s="54">
        <f t="shared" si="4"/>
        <v>31</v>
      </c>
      <c r="Q110">
        <f t="shared" si="5"/>
        <v>31</v>
      </c>
      <c r="R110">
        <f t="shared" si="6"/>
        <v>31</v>
      </c>
      <c r="S110" t="b">
        <f t="shared" si="7"/>
        <v>0</v>
      </c>
    </row>
    <row r="111" spans="1:19" x14ac:dyDescent="0.2">
      <c r="A111" s="54">
        <v>107372</v>
      </c>
      <c r="B111" s="54" t="s">
        <v>414</v>
      </c>
      <c r="C111" s="55">
        <v>3</v>
      </c>
      <c r="D111" s="55">
        <v>65</v>
      </c>
      <c r="E111" s="55">
        <v>9</v>
      </c>
      <c r="F111" s="55">
        <v>43</v>
      </c>
      <c r="G111" s="55">
        <v>5</v>
      </c>
      <c r="H111" s="55">
        <v>0</v>
      </c>
      <c r="I111" s="55">
        <v>0.66</v>
      </c>
      <c r="J111" s="55">
        <v>0.08</v>
      </c>
      <c r="K111" s="55">
        <v>0</v>
      </c>
      <c r="L111" s="55">
        <v>0</v>
      </c>
      <c r="M111" s="54" t="s">
        <v>43</v>
      </c>
      <c r="N111" s="54" t="s">
        <v>1400</v>
      </c>
      <c r="O111" s="54" t="s">
        <v>7</v>
      </c>
      <c r="P111" s="54">
        <f t="shared" si="4"/>
        <v>0</v>
      </c>
      <c r="Q111">
        <f t="shared" si="5"/>
        <v>0</v>
      </c>
      <c r="R111">
        <f t="shared" si="6"/>
        <v>0</v>
      </c>
      <c r="S111" t="b">
        <f t="shared" si="7"/>
        <v>0</v>
      </c>
    </row>
    <row r="112" spans="1:19" x14ac:dyDescent="0.2">
      <c r="A112" s="54">
        <v>107396</v>
      </c>
      <c r="B112" s="54" t="s">
        <v>477</v>
      </c>
      <c r="C112" s="55">
        <v>106</v>
      </c>
      <c r="D112" s="55">
        <v>135</v>
      </c>
      <c r="E112" s="55">
        <v>50</v>
      </c>
      <c r="F112" s="55">
        <v>25</v>
      </c>
      <c r="G112" s="55">
        <v>25</v>
      </c>
      <c r="H112" s="55">
        <v>25</v>
      </c>
      <c r="I112" s="55">
        <v>0.19</v>
      </c>
      <c r="J112" s="55">
        <v>0.19</v>
      </c>
      <c r="K112" s="55">
        <v>0.19</v>
      </c>
      <c r="L112" s="55">
        <v>35</v>
      </c>
      <c r="M112" s="54" t="s">
        <v>47</v>
      </c>
      <c r="N112" s="54" t="s">
        <v>47</v>
      </c>
      <c r="O112" s="54" t="s">
        <v>6</v>
      </c>
      <c r="P112" s="54">
        <f t="shared" si="4"/>
        <v>0</v>
      </c>
      <c r="Q112">
        <f t="shared" si="5"/>
        <v>0</v>
      </c>
      <c r="R112">
        <f t="shared" si="6"/>
        <v>0</v>
      </c>
      <c r="S112" t="b">
        <f t="shared" si="7"/>
        <v>0</v>
      </c>
    </row>
    <row r="113" spans="1:19" x14ac:dyDescent="0.2">
      <c r="A113" s="54">
        <v>107397</v>
      </c>
      <c r="B113" s="54" t="s">
        <v>308</v>
      </c>
      <c r="C113" s="55">
        <v>673</v>
      </c>
      <c r="D113" s="55">
        <v>857</v>
      </c>
      <c r="E113" s="55">
        <v>37</v>
      </c>
      <c r="F113" s="55">
        <v>96</v>
      </c>
      <c r="G113" s="55">
        <v>19</v>
      </c>
      <c r="H113" s="55">
        <v>16</v>
      </c>
      <c r="I113" s="55">
        <v>0.11</v>
      </c>
      <c r="J113" s="55">
        <v>0.02</v>
      </c>
      <c r="K113" s="55">
        <v>0.02</v>
      </c>
      <c r="L113" s="55">
        <v>37</v>
      </c>
      <c r="M113" s="54" t="s">
        <v>47</v>
      </c>
      <c r="N113" s="54" t="s">
        <v>47</v>
      </c>
      <c r="O113" s="54" t="s">
        <v>5</v>
      </c>
      <c r="P113" s="54">
        <f t="shared" si="4"/>
        <v>0</v>
      </c>
      <c r="Q113">
        <f t="shared" si="5"/>
        <v>0</v>
      </c>
      <c r="R113">
        <f t="shared" si="6"/>
        <v>0</v>
      </c>
      <c r="S113" t="b">
        <f t="shared" si="7"/>
        <v>0</v>
      </c>
    </row>
    <row r="114" spans="1:19" x14ac:dyDescent="0.2">
      <c r="A114" s="54">
        <v>107430</v>
      </c>
      <c r="B114" s="54" t="s">
        <v>268</v>
      </c>
      <c r="C114" s="55">
        <v>7</v>
      </c>
      <c r="D114" s="55">
        <v>34</v>
      </c>
      <c r="E114" s="55">
        <v>9</v>
      </c>
      <c r="F114" s="55">
        <v>193</v>
      </c>
      <c r="G114" s="55">
        <v>133</v>
      </c>
      <c r="H114" s="55">
        <v>125</v>
      </c>
      <c r="I114" s="55">
        <v>5.68</v>
      </c>
      <c r="J114" s="55">
        <v>3.91</v>
      </c>
      <c r="K114" s="55">
        <v>3.68</v>
      </c>
      <c r="L114" s="55">
        <v>9</v>
      </c>
      <c r="M114" s="54" t="s">
        <v>43</v>
      </c>
      <c r="N114" s="54" t="s">
        <v>1400</v>
      </c>
      <c r="O114" s="54" t="s">
        <v>7</v>
      </c>
      <c r="P114" s="54">
        <f t="shared" si="4"/>
        <v>7</v>
      </c>
      <c r="Q114">
        <f t="shared" si="5"/>
        <v>7</v>
      </c>
      <c r="R114">
        <f t="shared" si="6"/>
        <v>7</v>
      </c>
      <c r="S114" t="b">
        <f t="shared" si="7"/>
        <v>0</v>
      </c>
    </row>
    <row r="115" spans="1:19" x14ac:dyDescent="0.2">
      <c r="A115" s="54">
        <v>107448</v>
      </c>
      <c r="B115" s="54" t="s">
        <v>1312</v>
      </c>
      <c r="C115" s="55">
        <v>0</v>
      </c>
      <c r="D115" s="55">
        <v>32</v>
      </c>
      <c r="E115" s="55">
        <v>5</v>
      </c>
      <c r="F115" s="55">
        <v>471</v>
      </c>
      <c r="G115" s="55">
        <v>471</v>
      </c>
      <c r="H115" s="55">
        <v>430</v>
      </c>
      <c r="I115" s="55">
        <v>14.72</v>
      </c>
      <c r="J115" s="55">
        <v>14.72</v>
      </c>
      <c r="K115" s="55">
        <v>13.44</v>
      </c>
      <c r="L115" s="55">
        <v>203</v>
      </c>
      <c r="M115" s="54" t="s">
        <v>30</v>
      </c>
      <c r="N115" s="54" t="s">
        <v>1401</v>
      </c>
      <c r="O115" s="54" t="s">
        <v>7</v>
      </c>
      <c r="P115" s="54">
        <f t="shared" si="4"/>
        <v>0</v>
      </c>
      <c r="Q115">
        <f t="shared" si="5"/>
        <v>0</v>
      </c>
      <c r="R115">
        <f t="shared" si="6"/>
        <v>0</v>
      </c>
      <c r="S115" t="b">
        <f t="shared" si="7"/>
        <v>0</v>
      </c>
    </row>
    <row r="116" spans="1:19" x14ac:dyDescent="0.2">
      <c r="A116" s="54">
        <v>107453</v>
      </c>
      <c r="B116" s="54" t="s">
        <v>760</v>
      </c>
      <c r="C116" s="55">
        <v>3</v>
      </c>
      <c r="D116" s="55">
        <v>34</v>
      </c>
      <c r="E116" s="55">
        <v>0</v>
      </c>
      <c r="F116" s="55">
        <v>0</v>
      </c>
      <c r="G116" s="55">
        <v>0</v>
      </c>
      <c r="H116" s="55">
        <v>0</v>
      </c>
      <c r="I116" s="55">
        <v>0</v>
      </c>
      <c r="J116" s="55">
        <v>0</v>
      </c>
      <c r="K116" s="55">
        <v>0</v>
      </c>
      <c r="L116" s="55">
        <v>0</v>
      </c>
      <c r="M116" s="54" t="s">
        <v>30</v>
      </c>
      <c r="N116" s="54" t="s">
        <v>1401</v>
      </c>
      <c r="O116" s="54" t="s">
        <v>7</v>
      </c>
      <c r="P116" s="54">
        <f t="shared" si="4"/>
        <v>0</v>
      </c>
      <c r="Q116">
        <f t="shared" si="5"/>
        <v>0</v>
      </c>
      <c r="R116">
        <f t="shared" si="6"/>
        <v>0</v>
      </c>
      <c r="S116" t="b">
        <f t="shared" si="7"/>
        <v>0</v>
      </c>
    </row>
    <row r="117" spans="1:19" x14ac:dyDescent="0.2">
      <c r="A117" s="54">
        <v>107455</v>
      </c>
      <c r="B117" s="54" t="s">
        <v>1223</v>
      </c>
      <c r="C117" s="55">
        <v>111</v>
      </c>
      <c r="D117" s="55">
        <v>151</v>
      </c>
      <c r="E117" s="55">
        <v>5</v>
      </c>
      <c r="F117" s="55">
        <v>60</v>
      </c>
      <c r="G117" s="55">
        <v>60</v>
      </c>
      <c r="H117" s="55">
        <v>59</v>
      </c>
      <c r="I117" s="55">
        <v>0.4</v>
      </c>
      <c r="J117" s="55">
        <v>0.4</v>
      </c>
      <c r="K117" s="55">
        <v>0.39</v>
      </c>
      <c r="L117" s="55">
        <v>0</v>
      </c>
      <c r="M117" s="54" t="s">
        <v>30</v>
      </c>
      <c r="N117" s="54" t="s">
        <v>1401</v>
      </c>
      <c r="O117" s="54" t="s">
        <v>6</v>
      </c>
      <c r="P117" s="54">
        <f t="shared" si="4"/>
        <v>0</v>
      </c>
      <c r="Q117">
        <f t="shared" si="5"/>
        <v>0</v>
      </c>
      <c r="R117">
        <f t="shared" si="6"/>
        <v>0</v>
      </c>
      <c r="S117" t="b">
        <f t="shared" si="7"/>
        <v>0</v>
      </c>
    </row>
    <row r="118" spans="1:19" x14ac:dyDescent="0.2">
      <c r="A118" s="54">
        <v>107593</v>
      </c>
      <c r="B118" s="54" t="s">
        <v>1292</v>
      </c>
      <c r="C118" s="55">
        <v>476</v>
      </c>
      <c r="D118" s="55">
        <v>375</v>
      </c>
      <c r="E118" s="55">
        <v>0</v>
      </c>
      <c r="F118" s="55">
        <v>113</v>
      </c>
      <c r="G118" s="55">
        <v>113</v>
      </c>
      <c r="H118" s="55">
        <v>113</v>
      </c>
      <c r="I118" s="55">
        <v>0.3</v>
      </c>
      <c r="J118" s="55">
        <v>0.3</v>
      </c>
      <c r="K118" s="55">
        <v>0.3</v>
      </c>
      <c r="L118" s="55">
        <v>6</v>
      </c>
      <c r="M118" s="54" t="s">
        <v>30</v>
      </c>
      <c r="N118" s="54" t="s">
        <v>1401</v>
      </c>
      <c r="O118" s="54" t="s">
        <v>6</v>
      </c>
      <c r="P118" s="54">
        <f t="shared" si="4"/>
        <v>0</v>
      </c>
      <c r="Q118">
        <f t="shared" si="5"/>
        <v>0</v>
      </c>
      <c r="R118">
        <f t="shared" si="6"/>
        <v>0</v>
      </c>
      <c r="S118" t="b">
        <f t="shared" si="7"/>
        <v>0</v>
      </c>
    </row>
    <row r="119" spans="1:19" x14ac:dyDescent="0.2">
      <c r="A119" s="54">
        <v>107619</v>
      </c>
      <c r="B119" s="54" t="s">
        <v>123</v>
      </c>
      <c r="C119" s="55">
        <v>255</v>
      </c>
      <c r="D119" s="55">
        <v>255</v>
      </c>
      <c r="E119" s="55">
        <v>13</v>
      </c>
      <c r="F119" s="55">
        <v>753</v>
      </c>
      <c r="G119" s="55">
        <v>454</v>
      </c>
      <c r="H119" s="55">
        <v>193</v>
      </c>
      <c r="I119" s="55">
        <v>2.95</v>
      </c>
      <c r="J119" s="55">
        <v>1.78</v>
      </c>
      <c r="K119" s="55">
        <v>0.76</v>
      </c>
      <c r="L119" s="55">
        <v>22</v>
      </c>
      <c r="M119" s="54" t="s">
        <v>45</v>
      </c>
      <c r="N119" s="54" t="s">
        <v>47</v>
      </c>
      <c r="O119" s="54" t="s">
        <v>6</v>
      </c>
      <c r="P119" s="54">
        <f t="shared" si="4"/>
        <v>255</v>
      </c>
      <c r="Q119">
        <f t="shared" si="5"/>
        <v>255</v>
      </c>
      <c r="R119">
        <f t="shared" si="6"/>
        <v>255</v>
      </c>
      <c r="S119" t="b">
        <f t="shared" si="7"/>
        <v>0</v>
      </c>
    </row>
    <row r="120" spans="1:19" x14ac:dyDescent="0.2">
      <c r="A120" s="54">
        <v>107741</v>
      </c>
      <c r="B120" s="54" t="s">
        <v>142</v>
      </c>
      <c r="C120" s="55">
        <v>1651</v>
      </c>
      <c r="D120" s="55">
        <v>1466</v>
      </c>
      <c r="E120" s="55">
        <v>6</v>
      </c>
      <c r="F120" s="55">
        <v>1514</v>
      </c>
      <c r="G120" s="55">
        <v>1514</v>
      </c>
      <c r="H120" s="55">
        <v>517</v>
      </c>
      <c r="I120" s="55">
        <v>1.03</v>
      </c>
      <c r="J120" s="55">
        <v>1.03</v>
      </c>
      <c r="K120" s="55">
        <v>0.35</v>
      </c>
      <c r="L120" s="55">
        <v>168</v>
      </c>
      <c r="M120" s="54" t="s">
        <v>43</v>
      </c>
      <c r="N120" s="54" t="s">
        <v>1400</v>
      </c>
      <c r="O120" s="54" t="s">
        <v>5</v>
      </c>
      <c r="P120" s="54">
        <f t="shared" si="4"/>
        <v>1651</v>
      </c>
      <c r="Q120">
        <f t="shared" si="5"/>
        <v>1651</v>
      </c>
      <c r="R120">
        <f t="shared" si="6"/>
        <v>1651</v>
      </c>
      <c r="S120" t="b">
        <f t="shared" si="7"/>
        <v>0</v>
      </c>
    </row>
    <row r="121" spans="1:19" x14ac:dyDescent="0.2">
      <c r="A121" s="54">
        <v>107747</v>
      </c>
      <c r="B121" s="54" t="s">
        <v>780</v>
      </c>
      <c r="C121" s="55">
        <v>4</v>
      </c>
      <c r="D121" s="55">
        <v>40</v>
      </c>
      <c r="E121" s="55">
        <v>0</v>
      </c>
      <c r="F121" s="55">
        <v>0</v>
      </c>
      <c r="G121" s="55">
        <v>0</v>
      </c>
      <c r="H121" s="55">
        <v>0</v>
      </c>
      <c r="I121" s="55">
        <v>0</v>
      </c>
      <c r="J121" s="55">
        <v>0</v>
      </c>
      <c r="K121" s="55">
        <v>0</v>
      </c>
      <c r="L121" s="55">
        <v>0</v>
      </c>
      <c r="M121" s="54" t="s">
        <v>30</v>
      </c>
      <c r="N121" s="54" t="s">
        <v>1401</v>
      </c>
      <c r="O121" s="54" t="s">
        <v>7</v>
      </c>
      <c r="P121" s="54">
        <f t="shared" si="4"/>
        <v>0</v>
      </c>
      <c r="Q121">
        <f t="shared" si="5"/>
        <v>0</v>
      </c>
      <c r="R121">
        <f t="shared" si="6"/>
        <v>0</v>
      </c>
      <c r="S121" t="b">
        <f t="shared" si="7"/>
        <v>0</v>
      </c>
    </row>
    <row r="122" spans="1:19" x14ac:dyDescent="0.2">
      <c r="A122" s="54">
        <v>107750</v>
      </c>
      <c r="B122" s="54" t="s">
        <v>103</v>
      </c>
      <c r="C122" s="55">
        <v>745</v>
      </c>
      <c r="D122" s="55">
        <v>715</v>
      </c>
      <c r="E122" s="55">
        <v>25</v>
      </c>
      <c r="F122" s="55">
        <v>2181</v>
      </c>
      <c r="G122" s="55">
        <v>119</v>
      </c>
      <c r="H122" s="55">
        <v>89</v>
      </c>
      <c r="I122" s="55">
        <v>3.05</v>
      </c>
      <c r="J122" s="55">
        <v>0.17</v>
      </c>
      <c r="K122" s="55">
        <v>0.12</v>
      </c>
      <c r="L122" s="55">
        <v>236</v>
      </c>
      <c r="M122" s="54" t="s">
        <v>47</v>
      </c>
      <c r="N122" s="54" t="s">
        <v>47</v>
      </c>
      <c r="O122" s="54" t="s">
        <v>5</v>
      </c>
      <c r="P122" s="54">
        <f t="shared" si="4"/>
        <v>745</v>
      </c>
      <c r="Q122">
        <f t="shared" si="5"/>
        <v>745</v>
      </c>
      <c r="R122">
        <f t="shared" si="6"/>
        <v>0</v>
      </c>
      <c r="S122" t="b">
        <f t="shared" si="7"/>
        <v>0</v>
      </c>
    </row>
    <row r="123" spans="1:19" x14ac:dyDescent="0.2">
      <c r="A123" s="54">
        <v>107758</v>
      </c>
      <c r="B123" s="54" t="s">
        <v>941</v>
      </c>
      <c r="C123" s="55">
        <v>14</v>
      </c>
      <c r="D123" s="55">
        <v>13</v>
      </c>
      <c r="E123" s="55">
        <v>3</v>
      </c>
      <c r="F123" s="55">
        <v>6</v>
      </c>
      <c r="G123" s="55">
        <v>1</v>
      </c>
      <c r="H123" s="55">
        <v>1</v>
      </c>
      <c r="I123" s="55">
        <v>0.46</v>
      </c>
      <c r="J123" s="55">
        <v>0.08</v>
      </c>
      <c r="K123" s="55">
        <v>0.08</v>
      </c>
      <c r="L123" s="55">
        <v>11</v>
      </c>
      <c r="M123" s="54" t="s">
        <v>30</v>
      </c>
      <c r="N123" s="54" t="s">
        <v>1401</v>
      </c>
      <c r="O123" s="54" t="s">
        <v>7</v>
      </c>
      <c r="P123" s="54">
        <f t="shared" si="4"/>
        <v>0</v>
      </c>
      <c r="Q123">
        <f t="shared" si="5"/>
        <v>0</v>
      </c>
      <c r="R123">
        <f t="shared" si="6"/>
        <v>0</v>
      </c>
      <c r="S123" t="b">
        <f t="shared" si="7"/>
        <v>0</v>
      </c>
    </row>
    <row r="124" spans="1:19" x14ac:dyDescent="0.2">
      <c r="A124" s="54">
        <v>107781</v>
      </c>
      <c r="B124" s="54" t="s">
        <v>1135</v>
      </c>
      <c r="C124" s="55">
        <v>43</v>
      </c>
      <c r="D124" s="55">
        <v>60</v>
      </c>
      <c r="E124" s="55">
        <v>0</v>
      </c>
      <c r="F124" s="55">
        <v>0</v>
      </c>
      <c r="G124" s="55">
        <v>0</v>
      </c>
      <c r="H124" s="55">
        <v>0</v>
      </c>
      <c r="I124" s="55">
        <v>0</v>
      </c>
      <c r="J124" s="55">
        <v>0</v>
      </c>
      <c r="K124" s="55">
        <v>0</v>
      </c>
      <c r="L124" s="55">
        <v>0</v>
      </c>
      <c r="M124" s="54" t="s">
        <v>30</v>
      </c>
      <c r="N124" s="54" t="s">
        <v>1401</v>
      </c>
      <c r="O124" s="54" t="s">
        <v>7</v>
      </c>
      <c r="P124" s="54">
        <f t="shared" si="4"/>
        <v>0</v>
      </c>
      <c r="Q124">
        <f t="shared" si="5"/>
        <v>0</v>
      </c>
      <c r="R124">
        <f t="shared" si="6"/>
        <v>0</v>
      </c>
      <c r="S124" t="b">
        <f t="shared" si="7"/>
        <v>0</v>
      </c>
    </row>
    <row r="125" spans="1:19" x14ac:dyDescent="0.2">
      <c r="A125" s="54">
        <v>107787</v>
      </c>
      <c r="B125" s="54" t="s">
        <v>411</v>
      </c>
      <c r="C125" s="55">
        <v>119</v>
      </c>
      <c r="D125" s="55">
        <v>287</v>
      </c>
      <c r="E125" s="55">
        <v>12</v>
      </c>
      <c r="F125" s="55">
        <v>99</v>
      </c>
      <c r="G125" s="55">
        <v>0</v>
      </c>
      <c r="H125" s="55">
        <v>0</v>
      </c>
      <c r="I125" s="55">
        <v>0.34</v>
      </c>
      <c r="J125" s="55">
        <v>0</v>
      </c>
      <c r="K125" s="55">
        <v>0</v>
      </c>
      <c r="L125" s="55">
        <v>0</v>
      </c>
      <c r="M125" s="54" t="s">
        <v>43</v>
      </c>
      <c r="N125" s="54" t="s">
        <v>1400</v>
      </c>
      <c r="O125" s="54" t="s">
        <v>6</v>
      </c>
      <c r="P125" s="54">
        <f t="shared" si="4"/>
        <v>0</v>
      </c>
      <c r="Q125">
        <f t="shared" si="5"/>
        <v>0</v>
      </c>
      <c r="R125">
        <f t="shared" si="6"/>
        <v>0</v>
      </c>
      <c r="S125" t="b">
        <f t="shared" si="7"/>
        <v>0</v>
      </c>
    </row>
    <row r="126" spans="1:19" x14ac:dyDescent="0.2">
      <c r="A126" s="54">
        <v>107794</v>
      </c>
      <c r="B126" s="54" t="s">
        <v>152</v>
      </c>
      <c r="C126" s="55">
        <v>250</v>
      </c>
      <c r="D126" s="55">
        <v>274</v>
      </c>
      <c r="E126" s="55">
        <v>25</v>
      </c>
      <c r="F126" s="55">
        <v>741</v>
      </c>
      <c r="G126" s="55">
        <v>433</v>
      </c>
      <c r="H126" s="55">
        <v>93</v>
      </c>
      <c r="I126" s="55">
        <v>2.7</v>
      </c>
      <c r="J126" s="55">
        <v>1.58</v>
      </c>
      <c r="K126" s="55">
        <v>0.34</v>
      </c>
      <c r="L126" s="55">
        <v>0</v>
      </c>
      <c r="M126" s="54" t="s">
        <v>47</v>
      </c>
      <c r="N126" s="54" t="s">
        <v>47</v>
      </c>
      <c r="O126" s="54" t="s">
        <v>6</v>
      </c>
      <c r="P126" s="54">
        <f t="shared" si="4"/>
        <v>250</v>
      </c>
      <c r="Q126">
        <f t="shared" si="5"/>
        <v>250</v>
      </c>
      <c r="R126">
        <f t="shared" si="6"/>
        <v>250</v>
      </c>
      <c r="S126" t="b">
        <f t="shared" si="7"/>
        <v>0</v>
      </c>
    </row>
    <row r="127" spans="1:19" x14ac:dyDescent="0.2">
      <c r="A127" s="54">
        <v>107824</v>
      </c>
      <c r="B127" s="54" t="s">
        <v>97</v>
      </c>
      <c r="C127" s="55">
        <v>565</v>
      </c>
      <c r="D127" s="55">
        <v>505</v>
      </c>
      <c r="E127" s="55">
        <v>10</v>
      </c>
      <c r="F127" s="55">
        <v>1367</v>
      </c>
      <c r="G127" s="55">
        <v>692</v>
      </c>
      <c r="H127" s="55">
        <v>103</v>
      </c>
      <c r="I127" s="55">
        <v>2.71</v>
      </c>
      <c r="J127" s="55">
        <v>1.37</v>
      </c>
      <c r="K127" s="55">
        <v>0.2</v>
      </c>
      <c r="L127" s="55">
        <v>23</v>
      </c>
      <c r="M127" s="54" t="s">
        <v>43</v>
      </c>
      <c r="N127" s="54" t="s">
        <v>1400</v>
      </c>
      <c r="O127" s="54" t="s">
        <v>6</v>
      </c>
      <c r="P127" s="54">
        <f t="shared" si="4"/>
        <v>565</v>
      </c>
      <c r="Q127">
        <f t="shared" si="5"/>
        <v>565</v>
      </c>
      <c r="R127">
        <f t="shared" si="6"/>
        <v>565</v>
      </c>
      <c r="S127" t="b">
        <f t="shared" si="7"/>
        <v>0</v>
      </c>
    </row>
    <row r="128" spans="1:19" x14ac:dyDescent="0.2">
      <c r="A128" s="54">
        <v>107826</v>
      </c>
      <c r="B128" s="54" t="s">
        <v>1044</v>
      </c>
      <c r="C128" s="55">
        <v>25</v>
      </c>
      <c r="D128" s="55">
        <v>1150</v>
      </c>
      <c r="E128" s="55">
        <v>3</v>
      </c>
      <c r="F128" s="55">
        <v>218</v>
      </c>
      <c r="G128" s="55">
        <v>218</v>
      </c>
      <c r="H128" s="55">
        <v>218</v>
      </c>
      <c r="I128" s="55">
        <v>0.19</v>
      </c>
      <c r="J128" s="55">
        <v>0.19</v>
      </c>
      <c r="K128" s="55">
        <v>0.19</v>
      </c>
      <c r="L128" s="55">
        <v>26</v>
      </c>
      <c r="M128" s="54" t="s">
        <v>30</v>
      </c>
      <c r="N128" s="54" t="s">
        <v>1401</v>
      </c>
      <c r="O128" s="54" t="s">
        <v>5</v>
      </c>
      <c r="P128" s="54">
        <f t="shared" si="4"/>
        <v>0</v>
      </c>
      <c r="Q128">
        <f t="shared" si="5"/>
        <v>0</v>
      </c>
      <c r="R128">
        <f t="shared" si="6"/>
        <v>0</v>
      </c>
      <c r="S128" t="b">
        <f t="shared" si="7"/>
        <v>0</v>
      </c>
    </row>
    <row r="129" spans="1:19" x14ac:dyDescent="0.2">
      <c r="A129" s="54">
        <v>107831</v>
      </c>
      <c r="B129" s="54" t="s">
        <v>1288</v>
      </c>
      <c r="C129" s="55">
        <v>402</v>
      </c>
      <c r="D129" s="55">
        <v>420</v>
      </c>
      <c r="E129" s="55">
        <v>5</v>
      </c>
      <c r="F129" s="55">
        <v>1133</v>
      </c>
      <c r="G129" s="55">
        <v>1127</v>
      </c>
      <c r="H129" s="55">
        <v>746</v>
      </c>
      <c r="I129" s="55">
        <v>2.7</v>
      </c>
      <c r="J129" s="55">
        <v>2.68</v>
      </c>
      <c r="K129" s="55">
        <v>1.78</v>
      </c>
      <c r="L129" s="55">
        <v>27</v>
      </c>
      <c r="M129" s="54" t="s">
        <v>30</v>
      </c>
      <c r="N129" s="54" t="s">
        <v>1401</v>
      </c>
      <c r="O129" s="54" t="s">
        <v>6</v>
      </c>
      <c r="P129" s="54">
        <f t="shared" si="4"/>
        <v>402</v>
      </c>
      <c r="Q129">
        <f t="shared" si="5"/>
        <v>402</v>
      </c>
      <c r="R129">
        <f t="shared" si="6"/>
        <v>402</v>
      </c>
      <c r="S129" t="b">
        <f t="shared" si="7"/>
        <v>0</v>
      </c>
    </row>
    <row r="130" spans="1:19" x14ac:dyDescent="0.2">
      <c r="A130" s="54">
        <v>107871</v>
      </c>
      <c r="B130" s="54" t="s">
        <v>915</v>
      </c>
      <c r="C130" s="55">
        <v>12</v>
      </c>
      <c r="D130" s="55">
        <v>20</v>
      </c>
      <c r="E130" s="55">
        <v>0</v>
      </c>
      <c r="F130" s="55">
        <v>7</v>
      </c>
      <c r="G130" s="55">
        <v>7</v>
      </c>
      <c r="H130" s="55">
        <v>7</v>
      </c>
      <c r="I130" s="55">
        <v>0.35</v>
      </c>
      <c r="J130" s="55">
        <v>0.35</v>
      </c>
      <c r="K130" s="55">
        <v>0.35</v>
      </c>
      <c r="L130" s="55">
        <v>0</v>
      </c>
      <c r="M130" s="54" t="s">
        <v>30</v>
      </c>
      <c r="N130" s="54" t="s">
        <v>1401</v>
      </c>
      <c r="O130" s="54" t="s">
        <v>7</v>
      </c>
      <c r="P130" s="54">
        <f t="shared" ref="P130:P193" si="8">IF(I130&gt;=2, C130, IF(J130&gt;=0.75, C130, 0))</f>
        <v>0</v>
      </c>
      <c r="Q130">
        <f t="shared" ref="Q130:Q193" si="9">IF(I130&gt;=2, C130, IF(AND(J130&gt;=0.75, D130&gt;=550), C130, 0))</f>
        <v>0</v>
      </c>
      <c r="R130">
        <f t="shared" ref="R130:R193" si="10">IF(J130&gt;=0.75, C130, 0)</f>
        <v>0</v>
      </c>
      <c r="S130" t="b">
        <f t="shared" si="7"/>
        <v>0</v>
      </c>
    </row>
    <row r="131" spans="1:19" x14ac:dyDescent="0.2">
      <c r="A131" s="54">
        <v>107887</v>
      </c>
      <c r="B131" s="54" t="s">
        <v>283</v>
      </c>
      <c r="C131" s="55">
        <v>2281</v>
      </c>
      <c r="D131" s="55">
        <v>2300</v>
      </c>
      <c r="E131" s="55">
        <v>27</v>
      </c>
      <c r="F131" s="55">
        <v>154</v>
      </c>
      <c r="G131" s="55">
        <v>125</v>
      </c>
      <c r="H131" s="55">
        <v>2</v>
      </c>
      <c r="I131" s="55">
        <v>7.0000000000000007E-2</v>
      </c>
      <c r="J131" s="55">
        <v>0.05</v>
      </c>
      <c r="K131" s="55">
        <v>0</v>
      </c>
      <c r="L131" s="55">
        <v>453</v>
      </c>
      <c r="M131" s="54" t="s">
        <v>47</v>
      </c>
      <c r="N131" s="54" t="s">
        <v>47</v>
      </c>
      <c r="O131" s="54" t="s">
        <v>5</v>
      </c>
      <c r="P131" s="54">
        <f t="shared" si="8"/>
        <v>0</v>
      </c>
      <c r="Q131">
        <f t="shared" si="9"/>
        <v>0</v>
      </c>
      <c r="R131">
        <f t="shared" si="10"/>
        <v>0</v>
      </c>
      <c r="S131" t="b">
        <f t="shared" ref="S131:S194" si="11">IF(A131=A132,TRUE,FALSE)</f>
        <v>0</v>
      </c>
    </row>
    <row r="132" spans="1:19" x14ac:dyDescent="0.2">
      <c r="A132" s="54">
        <v>107894</v>
      </c>
      <c r="B132" s="54" t="s">
        <v>1196</v>
      </c>
      <c r="C132" s="55">
        <v>82</v>
      </c>
      <c r="D132" s="55">
        <v>4</v>
      </c>
      <c r="E132" s="55">
        <v>2</v>
      </c>
      <c r="F132" s="55">
        <v>1</v>
      </c>
      <c r="G132" s="55">
        <v>1</v>
      </c>
      <c r="H132" s="55">
        <v>1</v>
      </c>
      <c r="I132" s="55">
        <v>0.25</v>
      </c>
      <c r="J132" s="55">
        <v>0.25</v>
      </c>
      <c r="K132" s="55">
        <v>0.25</v>
      </c>
      <c r="L132" s="55">
        <v>0</v>
      </c>
      <c r="M132" s="54" t="s">
        <v>30</v>
      </c>
      <c r="N132" s="54" t="s">
        <v>1401</v>
      </c>
      <c r="O132" s="54" t="s">
        <v>7</v>
      </c>
      <c r="P132" s="54">
        <f t="shared" si="8"/>
        <v>0</v>
      </c>
      <c r="Q132">
        <f t="shared" si="9"/>
        <v>0</v>
      </c>
      <c r="R132">
        <f t="shared" si="10"/>
        <v>0</v>
      </c>
      <c r="S132" t="b">
        <f t="shared" si="11"/>
        <v>0</v>
      </c>
    </row>
    <row r="133" spans="1:19" x14ac:dyDescent="0.2">
      <c r="A133" s="54">
        <v>107911</v>
      </c>
      <c r="B133" s="54" t="s">
        <v>599</v>
      </c>
      <c r="C133" s="55">
        <v>1312</v>
      </c>
      <c r="D133" s="55">
        <v>1215</v>
      </c>
      <c r="E133" s="55">
        <v>47</v>
      </c>
      <c r="F133" s="55">
        <v>2</v>
      </c>
      <c r="G133" s="55">
        <v>2</v>
      </c>
      <c r="H133" s="55">
        <v>0</v>
      </c>
      <c r="I133" s="55">
        <v>0</v>
      </c>
      <c r="J133" s="55">
        <v>0</v>
      </c>
      <c r="K133" s="55">
        <v>0</v>
      </c>
      <c r="L133" s="55">
        <v>0</v>
      </c>
      <c r="M133" s="54" t="s">
        <v>47</v>
      </c>
      <c r="N133" s="54" t="s">
        <v>47</v>
      </c>
      <c r="O133" s="54" t="s">
        <v>5</v>
      </c>
      <c r="P133" s="54">
        <f t="shared" si="8"/>
        <v>0</v>
      </c>
      <c r="Q133">
        <f t="shared" si="9"/>
        <v>0</v>
      </c>
      <c r="R133">
        <f t="shared" si="10"/>
        <v>0</v>
      </c>
      <c r="S133" t="b">
        <f t="shared" si="11"/>
        <v>0</v>
      </c>
    </row>
    <row r="134" spans="1:19" x14ac:dyDescent="0.2">
      <c r="A134" s="54">
        <v>107916</v>
      </c>
      <c r="B134" s="54" t="s">
        <v>896</v>
      </c>
      <c r="C134" s="55">
        <v>11</v>
      </c>
      <c r="D134" s="55">
        <v>8</v>
      </c>
      <c r="E134" s="55">
        <v>1</v>
      </c>
      <c r="F134" s="55">
        <v>0</v>
      </c>
      <c r="G134" s="55">
        <v>0</v>
      </c>
      <c r="H134" s="55">
        <v>0</v>
      </c>
      <c r="I134" s="55">
        <v>0</v>
      </c>
      <c r="J134" s="55">
        <v>0</v>
      </c>
      <c r="K134" s="55">
        <v>0</v>
      </c>
      <c r="L134" s="55">
        <v>0</v>
      </c>
      <c r="M134" s="54" t="s">
        <v>30</v>
      </c>
      <c r="N134" s="54" t="s">
        <v>1401</v>
      </c>
      <c r="O134" s="54" t="s">
        <v>7</v>
      </c>
      <c r="P134" s="54">
        <f t="shared" si="8"/>
        <v>0</v>
      </c>
      <c r="Q134">
        <f t="shared" si="9"/>
        <v>0</v>
      </c>
      <c r="R134">
        <f t="shared" si="10"/>
        <v>0</v>
      </c>
      <c r="S134" t="b">
        <f t="shared" si="11"/>
        <v>0</v>
      </c>
    </row>
    <row r="135" spans="1:19" x14ac:dyDescent="0.2">
      <c r="A135" s="54">
        <v>107918</v>
      </c>
      <c r="B135" s="54" t="s">
        <v>973</v>
      </c>
      <c r="C135" s="55">
        <v>16</v>
      </c>
      <c r="D135" s="55">
        <v>17</v>
      </c>
      <c r="E135" s="55">
        <v>2</v>
      </c>
      <c r="F135" s="55">
        <v>19</v>
      </c>
      <c r="G135" s="55">
        <v>19</v>
      </c>
      <c r="H135" s="55">
        <v>19</v>
      </c>
      <c r="I135" s="55">
        <v>1.1200000000000001</v>
      </c>
      <c r="J135" s="55">
        <v>1.1200000000000001</v>
      </c>
      <c r="K135" s="55">
        <v>1.1200000000000001</v>
      </c>
      <c r="L135" s="55">
        <v>0</v>
      </c>
      <c r="M135" s="54" t="s">
        <v>30</v>
      </c>
      <c r="N135" s="54" t="s">
        <v>1401</v>
      </c>
      <c r="O135" s="54" t="s">
        <v>7</v>
      </c>
      <c r="P135" s="54">
        <f t="shared" si="8"/>
        <v>16</v>
      </c>
      <c r="Q135">
        <f t="shared" si="9"/>
        <v>0</v>
      </c>
      <c r="R135">
        <f t="shared" si="10"/>
        <v>16</v>
      </c>
      <c r="S135" t="b">
        <f t="shared" si="11"/>
        <v>0</v>
      </c>
    </row>
    <row r="136" spans="1:19" x14ac:dyDescent="0.2">
      <c r="A136" s="54">
        <v>107920</v>
      </c>
      <c r="B136" s="54" t="s">
        <v>394</v>
      </c>
      <c r="C136" s="55">
        <v>150</v>
      </c>
      <c r="D136" s="55">
        <v>140</v>
      </c>
      <c r="E136" s="55">
        <v>9</v>
      </c>
      <c r="F136" s="55">
        <v>109</v>
      </c>
      <c r="G136" s="55">
        <v>109</v>
      </c>
      <c r="H136" s="55">
        <v>108</v>
      </c>
      <c r="I136" s="55">
        <v>0.78</v>
      </c>
      <c r="J136" s="55">
        <v>0.78</v>
      </c>
      <c r="K136" s="55">
        <v>0.77</v>
      </c>
      <c r="L136" s="55">
        <v>0</v>
      </c>
      <c r="M136" s="54" t="s">
        <v>43</v>
      </c>
      <c r="N136" s="54" t="s">
        <v>1400</v>
      </c>
      <c r="O136" s="54" t="s">
        <v>6</v>
      </c>
      <c r="P136" s="54">
        <f t="shared" si="8"/>
        <v>150</v>
      </c>
      <c r="Q136">
        <f t="shared" si="9"/>
        <v>0</v>
      </c>
      <c r="R136">
        <f t="shared" si="10"/>
        <v>150</v>
      </c>
      <c r="S136" t="b">
        <f t="shared" si="11"/>
        <v>0</v>
      </c>
    </row>
    <row r="137" spans="1:19" x14ac:dyDescent="0.2">
      <c r="A137" s="54">
        <v>107937</v>
      </c>
      <c r="B137" s="54" t="s">
        <v>442</v>
      </c>
      <c r="C137" s="55">
        <v>2</v>
      </c>
      <c r="D137" s="55">
        <v>5</v>
      </c>
      <c r="E137" s="55">
        <v>9</v>
      </c>
      <c r="F137" s="55">
        <v>32</v>
      </c>
      <c r="G137" s="55">
        <v>12</v>
      </c>
      <c r="H137" s="55">
        <v>3</v>
      </c>
      <c r="I137" s="55">
        <v>6.4</v>
      </c>
      <c r="J137" s="55">
        <v>2.4</v>
      </c>
      <c r="K137" s="55">
        <v>0.6</v>
      </c>
      <c r="L137" s="55">
        <v>0</v>
      </c>
      <c r="M137" s="54" t="s">
        <v>43</v>
      </c>
      <c r="N137" s="54" t="s">
        <v>1400</v>
      </c>
      <c r="O137" s="54" t="s">
        <v>7</v>
      </c>
      <c r="P137" s="54">
        <f t="shared" si="8"/>
        <v>2</v>
      </c>
      <c r="Q137">
        <f t="shared" si="9"/>
        <v>2</v>
      </c>
      <c r="R137">
        <f t="shared" si="10"/>
        <v>2</v>
      </c>
      <c r="S137" t="b">
        <f t="shared" si="11"/>
        <v>0</v>
      </c>
    </row>
    <row r="138" spans="1:19" x14ac:dyDescent="0.2">
      <c r="A138" s="54">
        <v>107969</v>
      </c>
      <c r="B138" s="54" t="s">
        <v>140</v>
      </c>
      <c r="C138" s="55">
        <v>7</v>
      </c>
      <c r="D138" s="55">
        <v>136</v>
      </c>
      <c r="E138" s="55">
        <v>9</v>
      </c>
      <c r="F138" s="55">
        <v>608</v>
      </c>
      <c r="G138" s="55">
        <v>95</v>
      </c>
      <c r="H138" s="55">
        <v>15</v>
      </c>
      <c r="I138" s="55">
        <v>4.47</v>
      </c>
      <c r="J138" s="55">
        <v>0.7</v>
      </c>
      <c r="K138" s="55">
        <v>0.11</v>
      </c>
      <c r="L138" s="55">
        <v>31</v>
      </c>
      <c r="M138" s="54" t="s">
        <v>43</v>
      </c>
      <c r="N138" s="54" t="s">
        <v>1400</v>
      </c>
      <c r="O138" s="54" t="s">
        <v>6</v>
      </c>
      <c r="P138" s="54">
        <f t="shared" si="8"/>
        <v>7</v>
      </c>
      <c r="Q138">
        <f t="shared" si="9"/>
        <v>7</v>
      </c>
      <c r="R138">
        <f t="shared" si="10"/>
        <v>0</v>
      </c>
      <c r="S138" t="b">
        <f t="shared" si="11"/>
        <v>0</v>
      </c>
    </row>
    <row r="139" spans="1:19" x14ac:dyDescent="0.2">
      <c r="A139" s="54">
        <v>107984</v>
      </c>
      <c r="B139" s="54" t="s">
        <v>999</v>
      </c>
      <c r="C139" s="55">
        <v>18</v>
      </c>
      <c r="D139" s="55">
        <v>18</v>
      </c>
      <c r="E139" s="55">
        <v>0</v>
      </c>
      <c r="F139" s="55">
        <v>8</v>
      </c>
      <c r="G139" s="55">
        <v>8</v>
      </c>
      <c r="H139" s="55">
        <v>8</v>
      </c>
      <c r="I139" s="55">
        <v>0.44</v>
      </c>
      <c r="J139" s="55">
        <v>0.44</v>
      </c>
      <c r="K139" s="55">
        <v>0.44</v>
      </c>
      <c r="L139" s="55">
        <v>0</v>
      </c>
      <c r="M139" s="54" t="s">
        <v>30</v>
      </c>
      <c r="N139" s="54" t="s">
        <v>1401</v>
      </c>
      <c r="O139" s="54" t="s">
        <v>7</v>
      </c>
      <c r="P139" s="54">
        <f t="shared" si="8"/>
        <v>0</v>
      </c>
      <c r="Q139">
        <f t="shared" si="9"/>
        <v>0</v>
      </c>
      <c r="R139">
        <f t="shared" si="10"/>
        <v>0</v>
      </c>
      <c r="S139" t="b">
        <f t="shared" si="11"/>
        <v>0</v>
      </c>
    </row>
    <row r="140" spans="1:19" x14ac:dyDescent="0.2">
      <c r="A140" s="54">
        <v>107989</v>
      </c>
      <c r="B140" s="54" t="s">
        <v>95</v>
      </c>
      <c r="C140" s="55">
        <v>236</v>
      </c>
      <c r="D140" s="55">
        <v>255</v>
      </c>
      <c r="E140" s="55">
        <v>10</v>
      </c>
      <c r="F140" s="55">
        <v>886</v>
      </c>
      <c r="G140" s="55">
        <v>344</v>
      </c>
      <c r="H140" s="55">
        <v>234</v>
      </c>
      <c r="I140" s="55">
        <v>3.47</v>
      </c>
      <c r="J140" s="55">
        <v>1.35</v>
      </c>
      <c r="K140" s="55">
        <v>0.92</v>
      </c>
      <c r="L140" s="55">
        <v>1</v>
      </c>
      <c r="M140" s="54" t="s">
        <v>43</v>
      </c>
      <c r="N140" s="54" t="s">
        <v>1400</v>
      </c>
      <c r="O140" s="54" t="s">
        <v>6</v>
      </c>
      <c r="P140" s="54">
        <f t="shared" si="8"/>
        <v>236</v>
      </c>
      <c r="Q140">
        <f t="shared" si="9"/>
        <v>236</v>
      </c>
      <c r="R140">
        <f t="shared" si="10"/>
        <v>236</v>
      </c>
      <c r="S140" t="b">
        <f t="shared" si="11"/>
        <v>0</v>
      </c>
    </row>
    <row r="141" spans="1:19" x14ac:dyDescent="0.2">
      <c r="A141" s="54">
        <v>107991</v>
      </c>
      <c r="B141" s="54" t="s">
        <v>1215</v>
      </c>
      <c r="C141" s="55">
        <v>101</v>
      </c>
      <c r="D141" s="55">
        <v>100</v>
      </c>
      <c r="E141" s="55">
        <v>1</v>
      </c>
      <c r="F141" s="55">
        <v>0</v>
      </c>
      <c r="G141" s="55">
        <v>0</v>
      </c>
      <c r="H141" s="55">
        <v>0</v>
      </c>
      <c r="I141" s="55">
        <v>0</v>
      </c>
      <c r="J141" s="55">
        <v>0</v>
      </c>
      <c r="K141" s="55">
        <v>0</v>
      </c>
      <c r="L141" s="55">
        <v>0</v>
      </c>
      <c r="M141" s="54" t="s">
        <v>30</v>
      </c>
      <c r="N141" s="54" t="s">
        <v>1401</v>
      </c>
      <c r="O141" s="54" t="s">
        <v>6</v>
      </c>
      <c r="P141" s="54">
        <f t="shared" si="8"/>
        <v>0</v>
      </c>
      <c r="Q141">
        <f t="shared" si="9"/>
        <v>0</v>
      </c>
      <c r="R141">
        <f t="shared" si="10"/>
        <v>0</v>
      </c>
      <c r="S141" t="b">
        <f t="shared" si="11"/>
        <v>0</v>
      </c>
    </row>
    <row r="142" spans="1:19" x14ac:dyDescent="0.2">
      <c r="A142" s="54">
        <v>107993</v>
      </c>
      <c r="B142" s="54" t="s">
        <v>162</v>
      </c>
      <c r="C142" s="55">
        <v>157</v>
      </c>
      <c r="D142" s="55">
        <v>151</v>
      </c>
      <c r="E142" s="55">
        <v>20</v>
      </c>
      <c r="F142" s="55">
        <v>523</v>
      </c>
      <c r="G142" s="55">
        <v>291</v>
      </c>
      <c r="H142" s="55">
        <v>290</v>
      </c>
      <c r="I142" s="55">
        <v>3.46</v>
      </c>
      <c r="J142" s="55">
        <v>1.93</v>
      </c>
      <c r="K142" s="55">
        <v>1.92</v>
      </c>
      <c r="L142" s="55">
        <v>7</v>
      </c>
      <c r="M142" s="54" t="s">
        <v>45</v>
      </c>
      <c r="N142" s="54" t="s">
        <v>47</v>
      </c>
      <c r="O142" s="54" t="s">
        <v>6</v>
      </c>
      <c r="P142" s="54">
        <f t="shared" si="8"/>
        <v>157</v>
      </c>
      <c r="Q142">
        <f t="shared" si="9"/>
        <v>157</v>
      </c>
      <c r="R142">
        <f t="shared" si="10"/>
        <v>157</v>
      </c>
      <c r="S142" t="b">
        <f t="shared" si="11"/>
        <v>0</v>
      </c>
    </row>
    <row r="143" spans="1:19" x14ac:dyDescent="0.2">
      <c r="A143" s="54">
        <v>108003</v>
      </c>
      <c r="B143" s="54" t="s">
        <v>342</v>
      </c>
      <c r="C143" s="55">
        <v>79</v>
      </c>
      <c r="D143" s="55">
        <v>75</v>
      </c>
      <c r="E143" s="55">
        <v>24</v>
      </c>
      <c r="F143" s="55">
        <v>72</v>
      </c>
      <c r="G143" s="55">
        <v>19</v>
      </c>
      <c r="H143" s="55">
        <v>16</v>
      </c>
      <c r="I143" s="55">
        <v>0.96</v>
      </c>
      <c r="J143" s="55">
        <v>0.25</v>
      </c>
      <c r="K143" s="55">
        <v>0.21</v>
      </c>
      <c r="L143" s="55">
        <v>0</v>
      </c>
      <c r="M143" s="54" t="s">
        <v>45</v>
      </c>
      <c r="N143" s="54" t="s">
        <v>47</v>
      </c>
      <c r="O143" s="54" t="s">
        <v>7</v>
      </c>
      <c r="P143" s="54">
        <f t="shared" si="8"/>
        <v>0</v>
      </c>
      <c r="Q143">
        <f t="shared" si="9"/>
        <v>0</v>
      </c>
      <c r="R143">
        <f t="shared" si="10"/>
        <v>0</v>
      </c>
      <c r="S143" t="b">
        <f t="shared" si="11"/>
        <v>0</v>
      </c>
    </row>
    <row r="144" spans="1:19" x14ac:dyDescent="0.2">
      <c r="A144" s="54">
        <v>108005</v>
      </c>
      <c r="B144" s="54" t="s">
        <v>1105</v>
      </c>
      <c r="C144" s="55">
        <v>34</v>
      </c>
      <c r="D144" s="55">
        <v>15</v>
      </c>
      <c r="E144" s="55">
        <v>3</v>
      </c>
      <c r="F144" s="55">
        <v>8</v>
      </c>
      <c r="G144" s="55">
        <v>8</v>
      </c>
      <c r="H144" s="55">
        <v>8</v>
      </c>
      <c r="I144" s="55">
        <v>0.53</v>
      </c>
      <c r="J144" s="55">
        <v>0.53</v>
      </c>
      <c r="K144" s="55">
        <v>0.53</v>
      </c>
      <c r="L144" s="55">
        <v>0</v>
      </c>
      <c r="M144" s="54" t="s">
        <v>30</v>
      </c>
      <c r="N144" s="54" t="s">
        <v>1401</v>
      </c>
      <c r="O144" s="54" t="s">
        <v>7</v>
      </c>
      <c r="P144" s="54">
        <f t="shared" si="8"/>
        <v>0</v>
      </c>
      <c r="Q144">
        <f t="shared" si="9"/>
        <v>0</v>
      </c>
      <c r="R144">
        <f t="shared" si="10"/>
        <v>0</v>
      </c>
      <c r="S144" t="b">
        <f t="shared" si="11"/>
        <v>0</v>
      </c>
    </row>
    <row r="145" spans="1:19" x14ac:dyDescent="0.2">
      <c r="A145" s="54">
        <v>108011</v>
      </c>
      <c r="B145" s="54" t="s">
        <v>315</v>
      </c>
      <c r="C145" s="55">
        <v>476</v>
      </c>
      <c r="D145" s="55">
        <v>464</v>
      </c>
      <c r="E145" s="55">
        <v>7</v>
      </c>
      <c r="F145" s="55">
        <v>222</v>
      </c>
      <c r="G145" s="55">
        <v>222</v>
      </c>
      <c r="H145" s="55">
        <v>172</v>
      </c>
      <c r="I145" s="55">
        <v>0.48</v>
      </c>
      <c r="J145" s="55">
        <v>0.48</v>
      </c>
      <c r="K145" s="55">
        <v>0.37</v>
      </c>
      <c r="L145" s="55">
        <v>3</v>
      </c>
      <c r="M145" s="54" t="s">
        <v>43</v>
      </c>
      <c r="N145" s="54" t="s">
        <v>1400</v>
      </c>
      <c r="O145" s="54" t="s">
        <v>6</v>
      </c>
      <c r="P145" s="54">
        <f t="shared" si="8"/>
        <v>0</v>
      </c>
      <c r="Q145">
        <f t="shared" si="9"/>
        <v>0</v>
      </c>
      <c r="R145">
        <f t="shared" si="10"/>
        <v>0</v>
      </c>
      <c r="S145" t="b">
        <f t="shared" si="11"/>
        <v>0</v>
      </c>
    </row>
    <row r="146" spans="1:19" x14ac:dyDescent="0.2">
      <c r="A146" s="54">
        <v>108014</v>
      </c>
      <c r="B146" s="54" t="s">
        <v>399</v>
      </c>
      <c r="C146" s="55">
        <v>157</v>
      </c>
      <c r="D146" s="55">
        <v>250</v>
      </c>
      <c r="E146" s="55">
        <v>49</v>
      </c>
      <c r="F146" s="55">
        <v>64</v>
      </c>
      <c r="G146" s="55">
        <v>59</v>
      </c>
      <c r="H146" s="55">
        <v>12</v>
      </c>
      <c r="I146" s="55">
        <v>0.26</v>
      </c>
      <c r="J146" s="55">
        <v>0.24</v>
      </c>
      <c r="K146" s="55">
        <v>0.05</v>
      </c>
      <c r="L146" s="55">
        <v>262</v>
      </c>
      <c r="M146" s="54" t="s">
        <v>47</v>
      </c>
      <c r="N146" s="54" t="s">
        <v>47</v>
      </c>
      <c r="O146" s="54" t="s">
        <v>6</v>
      </c>
      <c r="P146" s="54">
        <f t="shared" si="8"/>
        <v>0</v>
      </c>
      <c r="Q146">
        <f t="shared" si="9"/>
        <v>0</v>
      </c>
      <c r="R146">
        <f t="shared" si="10"/>
        <v>0</v>
      </c>
      <c r="S146" t="b">
        <f t="shared" si="11"/>
        <v>0</v>
      </c>
    </row>
    <row r="147" spans="1:19" x14ac:dyDescent="0.2">
      <c r="A147" s="54">
        <v>108015</v>
      </c>
      <c r="B147" s="54" t="s">
        <v>596</v>
      </c>
      <c r="C147" s="55">
        <v>775</v>
      </c>
      <c r="D147" s="55">
        <v>768</v>
      </c>
      <c r="E147" s="55">
        <v>28</v>
      </c>
      <c r="F147" s="55">
        <v>3</v>
      </c>
      <c r="G147" s="55">
        <v>3</v>
      </c>
      <c r="H147" s="55">
        <v>0</v>
      </c>
      <c r="I147" s="55">
        <v>0</v>
      </c>
      <c r="J147" s="55">
        <v>0</v>
      </c>
      <c r="K147" s="55">
        <v>0</v>
      </c>
      <c r="L147" s="55">
        <v>210</v>
      </c>
      <c r="M147" s="54" t="s">
        <v>47</v>
      </c>
      <c r="N147" s="54" t="s">
        <v>47</v>
      </c>
      <c r="O147" s="54" t="s">
        <v>5</v>
      </c>
      <c r="P147" s="54">
        <f t="shared" si="8"/>
        <v>0</v>
      </c>
      <c r="Q147">
        <f t="shared" si="9"/>
        <v>0</v>
      </c>
      <c r="R147">
        <f t="shared" si="10"/>
        <v>0</v>
      </c>
      <c r="S147" t="b">
        <f t="shared" si="11"/>
        <v>0</v>
      </c>
    </row>
    <row r="148" spans="1:19" x14ac:dyDescent="0.2">
      <c r="A148" s="54">
        <v>108041</v>
      </c>
      <c r="B148" s="54" t="s">
        <v>1205</v>
      </c>
      <c r="C148" s="55">
        <v>91</v>
      </c>
      <c r="D148" s="55">
        <v>77</v>
      </c>
      <c r="E148" s="55">
        <v>2</v>
      </c>
      <c r="F148" s="55">
        <v>76</v>
      </c>
      <c r="G148" s="55">
        <v>76</v>
      </c>
      <c r="H148" s="55">
        <v>76</v>
      </c>
      <c r="I148" s="55">
        <v>0.99</v>
      </c>
      <c r="J148" s="55">
        <v>0.99</v>
      </c>
      <c r="K148" s="55">
        <v>0.99</v>
      </c>
      <c r="L148" s="55">
        <v>38</v>
      </c>
      <c r="M148" s="54" t="s">
        <v>30</v>
      </c>
      <c r="N148" s="54" t="s">
        <v>1401</v>
      </c>
      <c r="O148" s="54" t="s">
        <v>7</v>
      </c>
      <c r="P148" s="54">
        <f t="shared" si="8"/>
        <v>91</v>
      </c>
      <c r="Q148">
        <f t="shared" si="9"/>
        <v>0</v>
      </c>
      <c r="R148">
        <f t="shared" si="10"/>
        <v>91</v>
      </c>
      <c r="S148" t="b">
        <f t="shared" si="11"/>
        <v>0</v>
      </c>
    </row>
    <row r="149" spans="1:19" x14ac:dyDescent="0.2">
      <c r="A149" s="54">
        <v>108043</v>
      </c>
      <c r="B149" s="54" t="s">
        <v>1199</v>
      </c>
      <c r="C149" s="55">
        <v>85</v>
      </c>
      <c r="D149" s="55">
        <v>79</v>
      </c>
      <c r="E149" s="55">
        <v>2</v>
      </c>
      <c r="F149" s="55">
        <v>40</v>
      </c>
      <c r="G149" s="55">
        <v>30</v>
      </c>
      <c r="H149" s="55">
        <v>30</v>
      </c>
      <c r="I149" s="55">
        <v>0.51</v>
      </c>
      <c r="J149" s="55">
        <v>0.38</v>
      </c>
      <c r="K149" s="55">
        <v>0.38</v>
      </c>
      <c r="L149" s="55">
        <v>10</v>
      </c>
      <c r="M149" s="54" t="s">
        <v>30</v>
      </c>
      <c r="N149" s="54" t="s">
        <v>1401</v>
      </c>
      <c r="O149" s="54" t="s">
        <v>7</v>
      </c>
      <c r="P149" s="54">
        <f t="shared" si="8"/>
        <v>0</v>
      </c>
      <c r="Q149">
        <f t="shared" si="9"/>
        <v>0</v>
      </c>
      <c r="R149">
        <f t="shared" si="10"/>
        <v>0</v>
      </c>
      <c r="S149" t="b">
        <f t="shared" si="11"/>
        <v>0</v>
      </c>
    </row>
    <row r="150" spans="1:19" x14ac:dyDescent="0.2">
      <c r="A150" s="54">
        <v>108050</v>
      </c>
      <c r="B150" s="54" t="s">
        <v>88</v>
      </c>
      <c r="C150" s="55">
        <v>1400</v>
      </c>
      <c r="D150" s="55">
        <v>1658</v>
      </c>
      <c r="E150" s="55">
        <v>44</v>
      </c>
      <c r="F150" s="55">
        <v>1517</v>
      </c>
      <c r="G150" s="55">
        <v>202</v>
      </c>
      <c r="H150" s="55">
        <v>72</v>
      </c>
      <c r="I150" s="55">
        <v>0.91</v>
      </c>
      <c r="J150" s="55">
        <v>0.12</v>
      </c>
      <c r="K150" s="55">
        <v>0.04</v>
      </c>
      <c r="L150" s="55">
        <v>169</v>
      </c>
      <c r="M150" s="54" t="s">
        <v>47</v>
      </c>
      <c r="N150" s="54" t="s">
        <v>47</v>
      </c>
      <c r="O150" s="54" t="s">
        <v>5</v>
      </c>
      <c r="P150" s="54">
        <f t="shared" si="8"/>
        <v>0</v>
      </c>
      <c r="Q150">
        <f t="shared" si="9"/>
        <v>0</v>
      </c>
      <c r="R150">
        <f t="shared" si="10"/>
        <v>0</v>
      </c>
      <c r="S150" t="b">
        <f t="shared" si="11"/>
        <v>0</v>
      </c>
    </row>
    <row r="151" spans="1:19" x14ac:dyDescent="0.2">
      <c r="A151" s="54">
        <v>108051</v>
      </c>
      <c r="B151" s="54" t="s">
        <v>1250</v>
      </c>
      <c r="C151" s="55">
        <v>140</v>
      </c>
      <c r="D151" s="55">
        <v>140</v>
      </c>
      <c r="E151" s="55">
        <v>4</v>
      </c>
      <c r="F151" s="55">
        <v>181</v>
      </c>
      <c r="G151" s="55">
        <v>181</v>
      </c>
      <c r="H151" s="55">
        <v>178</v>
      </c>
      <c r="I151" s="55">
        <v>1.29</v>
      </c>
      <c r="J151" s="55">
        <v>1.29</v>
      </c>
      <c r="K151" s="55">
        <v>1.27</v>
      </c>
      <c r="L151" s="55">
        <v>102</v>
      </c>
      <c r="M151" s="54" t="s">
        <v>30</v>
      </c>
      <c r="N151" s="54" t="s">
        <v>1401</v>
      </c>
      <c r="O151" s="54" t="s">
        <v>6</v>
      </c>
      <c r="P151" s="54">
        <f t="shared" si="8"/>
        <v>140</v>
      </c>
      <c r="Q151">
        <f t="shared" si="9"/>
        <v>0</v>
      </c>
      <c r="R151">
        <f t="shared" si="10"/>
        <v>140</v>
      </c>
      <c r="S151" t="b">
        <f t="shared" si="11"/>
        <v>0</v>
      </c>
    </row>
    <row r="152" spans="1:19" x14ac:dyDescent="0.2">
      <c r="A152" s="54">
        <v>108053</v>
      </c>
      <c r="B152" s="54" t="s">
        <v>77</v>
      </c>
      <c r="C152" s="55">
        <v>3</v>
      </c>
      <c r="D152" s="55">
        <v>243</v>
      </c>
      <c r="E152" s="55">
        <v>40</v>
      </c>
      <c r="F152" s="55">
        <v>2113</v>
      </c>
      <c r="G152" s="55">
        <v>1337</v>
      </c>
      <c r="H152" s="55">
        <v>1177</v>
      </c>
      <c r="I152" s="55">
        <v>8.6999999999999993</v>
      </c>
      <c r="J152" s="55">
        <v>5.5</v>
      </c>
      <c r="K152" s="55">
        <v>4.84</v>
      </c>
      <c r="L152" s="55">
        <v>3</v>
      </c>
      <c r="M152" s="54" t="s">
        <v>47</v>
      </c>
      <c r="N152" s="54" t="s">
        <v>47</v>
      </c>
      <c r="O152" s="54" t="s">
        <v>6</v>
      </c>
      <c r="P152" s="54">
        <f t="shared" si="8"/>
        <v>3</v>
      </c>
      <c r="Q152">
        <f t="shared" si="9"/>
        <v>3</v>
      </c>
      <c r="R152">
        <f t="shared" si="10"/>
        <v>3</v>
      </c>
      <c r="S152" t="b">
        <f t="shared" si="11"/>
        <v>0</v>
      </c>
    </row>
    <row r="153" spans="1:19" x14ac:dyDescent="0.2">
      <c r="A153" s="54">
        <v>108060</v>
      </c>
      <c r="B153" s="54" t="s">
        <v>420</v>
      </c>
      <c r="C153" s="55">
        <v>31</v>
      </c>
      <c r="D153" s="55">
        <v>45</v>
      </c>
      <c r="E153" s="55">
        <v>46</v>
      </c>
      <c r="F153" s="55">
        <v>64</v>
      </c>
      <c r="G153" s="55">
        <v>38</v>
      </c>
      <c r="H153" s="55">
        <v>0</v>
      </c>
      <c r="I153" s="55">
        <v>1.42</v>
      </c>
      <c r="J153" s="55">
        <v>0.84</v>
      </c>
      <c r="K153" s="55">
        <v>0</v>
      </c>
      <c r="L153" s="55">
        <v>97</v>
      </c>
      <c r="M153" s="54" t="s">
        <v>47</v>
      </c>
      <c r="N153" s="54" t="s">
        <v>47</v>
      </c>
      <c r="O153" s="54" t="s">
        <v>7</v>
      </c>
      <c r="P153" s="54">
        <f t="shared" si="8"/>
        <v>31</v>
      </c>
      <c r="Q153">
        <f t="shared" si="9"/>
        <v>0</v>
      </c>
      <c r="R153">
        <f t="shared" si="10"/>
        <v>31</v>
      </c>
      <c r="S153" t="b">
        <f t="shared" si="11"/>
        <v>0</v>
      </c>
    </row>
    <row r="154" spans="1:19" x14ac:dyDescent="0.2">
      <c r="A154" s="54">
        <v>108080</v>
      </c>
      <c r="B154" s="54" t="s">
        <v>169</v>
      </c>
      <c r="C154" s="55">
        <v>152</v>
      </c>
      <c r="D154" s="55">
        <v>120</v>
      </c>
      <c r="E154" s="55">
        <v>45</v>
      </c>
      <c r="F154" s="55">
        <v>258</v>
      </c>
      <c r="G154" s="55">
        <v>161</v>
      </c>
      <c r="H154" s="55">
        <v>123</v>
      </c>
      <c r="I154" s="55">
        <v>2.15</v>
      </c>
      <c r="J154" s="55">
        <v>1.34</v>
      </c>
      <c r="K154" s="55">
        <v>1.03</v>
      </c>
      <c r="L154" s="55">
        <v>46</v>
      </c>
      <c r="M154" s="54" t="s">
        <v>47</v>
      </c>
      <c r="N154" s="54" t="s">
        <v>47</v>
      </c>
      <c r="O154" s="54" t="s">
        <v>6</v>
      </c>
      <c r="P154" s="54">
        <f t="shared" si="8"/>
        <v>152</v>
      </c>
      <c r="Q154">
        <f t="shared" si="9"/>
        <v>152</v>
      </c>
      <c r="R154">
        <f t="shared" si="10"/>
        <v>152</v>
      </c>
      <c r="S154" t="b">
        <f t="shared" si="11"/>
        <v>0</v>
      </c>
    </row>
    <row r="155" spans="1:19" x14ac:dyDescent="0.2">
      <c r="A155" s="54">
        <v>108106</v>
      </c>
      <c r="B155" s="54" t="s">
        <v>314</v>
      </c>
      <c r="C155" s="55">
        <v>51</v>
      </c>
      <c r="D155" s="55">
        <v>35</v>
      </c>
      <c r="E155" s="55">
        <v>10</v>
      </c>
      <c r="F155" s="55">
        <v>96</v>
      </c>
      <c r="G155" s="55">
        <v>77</v>
      </c>
      <c r="H155" s="55">
        <v>25</v>
      </c>
      <c r="I155" s="55">
        <v>2.74</v>
      </c>
      <c r="J155" s="55">
        <v>2.2000000000000002</v>
      </c>
      <c r="K155" s="55">
        <v>0.71</v>
      </c>
      <c r="L155" s="55">
        <v>80</v>
      </c>
      <c r="M155" s="54" t="s">
        <v>43</v>
      </c>
      <c r="N155" s="54" t="s">
        <v>1400</v>
      </c>
      <c r="O155" s="54" t="s">
        <v>7</v>
      </c>
      <c r="P155" s="54">
        <f t="shared" si="8"/>
        <v>51</v>
      </c>
      <c r="Q155">
        <f t="shared" si="9"/>
        <v>51</v>
      </c>
      <c r="R155">
        <f t="shared" si="10"/>
        <v>51</v>
      </c>
      <c r="S155" t="b">
        <f t="shared" si="11"/>
        <v>0</v>
      </c>
    </row>
    <row r="156" spans="1:19" x14ac:dyDescent="0.2">
      <c r="A156" s="54">
        <v>108109</v>
      </c>
      <c r="B156" s="54" t="s">
        <v>259</v>
      </c>
      <c r="C156" s="55">
        <v>499</v>
      </c>
      <c r="D156" s="55">
        <v>470</v>
      </c>
      <c r="E156" s="55">
        <v>40</v>
      </c>
      <c r="F156" s="55">
        <v>142</v>
      </c>
      <c r="G156" s="55">
        <v>98</v>
      </c>
      <c r="H156" s="55">
        <v>56</v>
      </c>
      <c r="I156" s="55">
        <v>0.3</v>
      </c>
      <c r="J156" s="55">
        <v>0.21</v>
      </c>
      <c r="K156" s="55">
        <v>0.12</v>
      </c>
      <c r="L156" s="55">
        <v>7</v>
      </c>
      <c r="M156" s="54" t="s">
        <v>47</v>
      </c>
      <c r="N156" s="54" t="s">
        <v>47</v>
      </c>
      <c r="O156" s="54" t="s">
        <v>6</v>
      </c>
      <c r="P156" s="54">
        <f t="shared" si="8"/>
        <v>0</v>
      </c>
      <c r="Q156">
        <f t="shared" si="9"/>
        <v>0</v>
      </c>
      <c r="R156">
        <f t="shared" si="10"/>
        <v>0</v>
      </c>
      <c r="S156" t="b">
        <f t="shared" si="11"/>
        <v>0</v>
      </c>
    </row>
    <row r="157" spans="1:19" x14ac:dyDescent="0.2">
      <c r="A157" s="54">
        <v>108149</v>
      </c>
      <c r="B157" s="54" t="s">
        <v>1329</v>
      </c>
      <c r="C157" s="55">
        <v>0</v>
      </c>
      <c r="D157" s="55">
        <v>11</v>
      </c>
      <c r="E157" s="55">
        <v>0</v>
      </c>
      <c r="F157" s="55">
        <v>0</v>
      </c>
      <c r="G157" s="55">
        <v>0</v>
      </c>
      <c r="H157" s="55">
        <v>0</v>
      </c>
      <c r="I157" s="55">
        <v>0</v>
      </c>
      <c r="J157" s="55">
        <v>0</v>
      </c>
      <c r="K157" s="55">
        <v>0</v>
      </c>
      <c r="L157" s="55">
        <v>0</v>
      </c>
      <c r="M157" s="54" t="s">
        <v>30</v>
      </c>
      <c r="N157" s="54" t="s">
        <v>1401</v>
      </c>
      <c r="O157" s="54" t="s">
        <v>7</v>
      </c>
      <c r="P157" s="54">
        <f t="shared" si="8"/>
        <v>0</v>
      </c>
      <c r="Q157">
        <f t="shared" si="9"/>
        <v>0</v>
      </c>
      <c r="R157">
        <f t="shared" si="10"/>
        <v>0</v>
      </c>
      <c r="S157" t="b">
        <f t="shared" si="11"/>
        <v>0</v>
      </c>
    </row>
    <row r="158" spans="1:19" x14ac:dyDescent="0.2">
      <c r="A158" s="54">
        <v>108237</v>
      </c>
      <c r="B158" s="54" t="s">
        <v>195</v>
      </c>
      <c r="C158" s="55">
        <v>131</v>
      </c>
      <c r="D158" s="55">
        <v>111</v>
      </c>
      <c r="E158" s="55">
        <v>22</v>
      </c>
      <c r="F158" s="55">
        <v>445</v>
      </c>
      <c r="G158" s="55">
        <v>202</v>
      </c>
      <c r="H158" s="55">
        <v>74</v>
      </c>
      <c r="I158" s="55">
        <v>4.01</v>
      </c>
      <c r="J158" s="55">
        <v>1.82</v>
      </c>
      <c r="K158" s="55">
        <v>0.67</v>
      </c>
      <c r="L158" s="55">
        <v>70</v>
      </c>
      <c r="M158" s="54" t="s">
        <v>45</v>
      </c>
      <c r="N158" s="54" t="s">
        <v>47</v>
      </c>
      <c r="O158" s="54" t="s">
        <v>6</v>
      </c>
      <c r="P158" s="54">
        <f t="shared" si="8"/>
        <v>131</v>
      </c>
      <c r="Q158">
        <f t="shared" si="9"/>
        <v>131</v>
      </c>
      <c r="R158">
        <f t="shared" si="10"/>
        <v>131</v>
      </c>
      <c r="S158" t="b">
        <f t="shared" si="11"/>
        <v>0</v>
      </c>
    </row>
    <row r="159" spans="1:19" x14ac:dyDescent="0.2">
      <c r="A159" s="54">
        <v>108253</v>
      </c>
      <c r="B159" s="54" t="s">
        <v>1091</v>
      </c>
      <c r="C159" s="55">
        <v>32</v>
      </c>
      <c r="D159" s="55">
        <v>42</v>
      </c>
      <c r="E159" s="55">
        <v>2</v>
      </c>
      <c r="F159" s="55">
        <v>4</v>
      </c>
      <c r="G159" s="55">
        <v>4</v>
      </c>
      <c r="H159" s="55">
        <v>4</v>
      </c>
      <c r="I159" s="55">
        <v>0.1</v>
      </c>
      <c r="J159" s="55">
        <v>0.1</v>
      </c>
      <c r="K159" s="55">
        <v>0.1</v>
      </c>
      <c r="L159" s="55">
        <v>0</v>
      </c>
      <c r="M159" s="54" t="s">
        <v>30</v>
      </c>
      <c r="N159" s="54" t="s">
        <v>1401</v>
      </c>
      <c r="O159" s="54" t="s">
        <v>7</v>
      </c>
      <c r="P159" s="54">
        <f t="shared" si="8"/>
        <v>0</v>
      </c>
      <c r="Q159">
        <f t="shared" si="9"/>
        <v>0</v>
      </c>
      <c r="R159">
        <f t="shared" si="10"/>
        <v>0</v>
      </c>
      <c r="S159" t="b">
        <f t="shared" si="11"/>
        <v>0</v>
      </c>
    </row>
    <row r="160" spans="1:19" x14ac:dyDescent="0.2">
      <c r="A160" s="54">
        <v>108260</v>
      </c>
      <c r="B160" s="54" t="s">
        <v>473</v>
      </c>
      <c r="C160" s="55">
        <v>59</v>
      </c>
      <c r="D160" s="55">
        <v>60</v>
      </c>
      <c r="E160" s="55">
        <v>8</v>
      </c>
      <c r="F160" s="55">
        <v>27</v>
      </c>
      <c r="G160" s="55">
        <v>0</v>
      </c>
      <c r="H160" s="55">
        <v>0</v>
      </c>
      <c r="I160" s="55">
        <v>0.45</v>
      </c>
      <c r="J160" s="55">
        <v>0</v>
      </c>
      <c r="K160" s="55">
        <v>0</v>
      </c>
      <c r="L160" s="55">
        <v>0</v>
      </c>
      <c r="M160" s="54" t="s">
        <v>43</v>
      </c>
      <c r="N160" s="54" t="s">
        <v>1400</v>
      </c>
      <c r="O160" s="54" t="s">
        <v>7</v>
      </c>
      <c r="P160" s="54">
        <f t="shared" si="8"/>
        <v>0</v>
      </c>
      <c r="Q160">
        <f t="shared" si="9"/>
        <v>0</v>
      </c>
      <c r="R160">
        <f t="shared" si="10"/>
        <v>0</v>
      </c>
      <c r="S160" t="b">
        <f t="shared" si="11"/>
        <v>0</v>
      </c>
    </row>
    <row r="161" spans="1:19" x14ac:dyDescent="0.2">
      <c r="A161" s="54">
        <v>108263</v>
      </c>
      <c r="B161" s="54" t="s">
        <v>418</v>
      </c>
      <c r="C161" s="55">
        <v>0</v>
      </c>
      <c r="D161" s="55">
        <v>16</v>
      </c>
      <c r="E161" s="55">
        <v>13</v>
      </c>
      <c r="F161" s="55">
        <v>76</v>
      </c>
      <c r="G161" s="55">
        <v>48</v>
      </c>
      <c r="H161" s="55">
        <v>48</v>
      </c>
      <c r="I161" s="55">
        <v>4.75</v>
      </c>
      <c r="J161" s="55">
        <v>3</v>
      </c>
      <c r="K161" s="55">
        <v>3</v>
      </c>
      <c r="L161" s="55">
        <v>23</v>
      </c>
      <c r="M161" s="54" t="s">
        <v>45</v>
      </c>
      <c r="N161" s="54" t="s">
        <v>47</v>
      </c>
      <c r="O161" s="54" t="s">
        <v>7</v>
      </c>
      <c r="P161" s="54">
        <f t="shared" si="8"/>
        <v>0</v>
      </c>
      <c r="Q161">
        <f t="shared" si="9"/>
        <v>0</v>
      </c>
      <c r="R161">
        <f t="shared" si="10"/>
        <v>0</v>
      </c>
      <c r="S161" t="b">
        <f t="shared" si="11"/>
        <v>0</v>
      </c>
    </row>
    <row r="162" spans="1:19" x14ac:dyDescent="0.2">
      <c r="A162" s="54">
        <v>108276</v>
      </c>
      <c r="B162" s="54" t="s">
        <v>232</v>
      </c>
      <c r="C162" s="55">
        <v>38</v>
      </c>
      <c r="D162" s="55">
        <v>46</v>
      </c>
      <c r="E162" s="55">
        <v>46</v>
      </c>
      <c r="F162" s="55">
        <v>151</v>
      </c>
      <c r="G162" s="55">
        <v>55</v>
      </c>
      <c r="H162" s="55">
        <v>31</v>
      </c>
      <c r="I162" s="55">
        <v>3.28</v>
      </c>
      <c r="J162" s="55">
        <v>1.2</v>
      </c>
      <c r="K162" s="55">
        <v>0.67</v>
      </c>
      <c r="L162" s="55">
        <v>21</v>
      </c>
      <c r="M162" s="54" t="s">
        <v>47</v>
      </c>
      <c r="N162" s="54" t="s">
        <v>47</v>
      </c>
      <c r="O162" s="54" t="s">
        <v>7</v>
      </c>
      <c r="P162" s="54">
        <f t="shared" si="8"/>
        <v>38</v>
      </c>
      <c r="Q162">
        <f t="shared" si="9"/>
        <v>38</v>
      </c>
      <c r="R162">
        <f t="shared" si="10"/>
        <v>38</v>
      </c>
      <c r="S162" t="b">
        <f t="shared" si="11"/>
        <v>0</v>
      </c>
    </row>
    <row r="163" spans="1:19" x14ac:dyDescent="0.2">
      <c r="A163" s="54">
        <v>108283</v>
      </c>
      <c r="B163" s="54" t="s">
        <v>396</v>
      </c>
      <c r="C163" s="55">
        <v>0</v>
      </c>
      <c r="D163" s="55">
        <v>12</v>
      </c>
      <c r="E163" s="55">
        <v>12</v>
      </c>
      <c r="F163" s="55">
        <v>62</v>
      </c>
      <c r="G163" s="55">
        <v>8</v>
      </c>
      <c r="H163" s="55">
        <v>2</v>
      </c>
      <c r="I163" s="55">
        <v>5.17</v>
      </c>
      <c r="J163" s="55">
        <v>0.67</v>
      </c>
      <c r="K163" s="55">
        <v>0.17</v>
      </c>
      <c r="L163" s="55">
        <v>4</v>
      </c>
      <c r="M163" s="54" t="s">
        <v>43</v>
      </c>
      <c r="N163" s="54" t="s">
        <v>1400</v>
      </c>
      <c r="O163" s="54" t="s">
        <v>7</v>
      </c>
      <c r="P163" s="54">
        <f t="shared" si="8"/>
        <v>0</v>
      </c>
      <c r="Q163">
        <f t="shared" si="9"/>
        <v>0</v>
      </c>
      <c r="R163">
        <f t="shared" si="10"/>
        <v>0</v>
      </c>
      <c r="S163" t="b">
        <f t="shared" si="11"/>
        <v>0</v>
      </c>
    </row>
    <row r="164" spans="1:19" x14ac:dyDescent="0.2">
      <c r="A164" s="54">
        <v>108291</v>
      </c>
      <c r="B164" s="54" t="s">
        <v>993</v>
      </c>
      <c r="C164" s="55">
        <v>18</v>
      </c>
      <c r="D164" s="55">
        <v>18</v>
      </c>
      <c r="E164" s="55">
        <v>2</v>
      </c>
      <c r="F164" s="55">
        <v>57</v>
      </c>
      <c r="G164" s="55">
        <v>57</v>
      </c>
      <c r="H164" s="55">
        <v>57</v>
      </c>
      <c r="I164" s="55">
        <v>3.17</v>
      </c>
      <c r="J164" s="55">
        <v>3.17</v>
      </c>
      <c r="K164" s="55">
        <v>3.17</v>
      </c>
      <c r="L164" s="55">
        <v>149</v>
      </c>
      <c r="M164" s="54" t="s">
        <v>30</v>
      </c>
      <c r="N164" s="54" t="s">
        <v>1401</v>
      </c>
      <c r="O164" s="54" t="s">
        <v>7</v>
      </c>
      <c r="P164" s="54">
        <f t="shared" si="8"/>
        <v>18</v>
      </c>
      <c r="Q164">
        <f t="shared" si="9"/>
        <v>18</v>
      </c>
      <c r="R164">
        <f t="shared" si="10"/>
        <v>18</v>
      </c>
      <c r="S164" t="b">
        <f t="shared" si="11"/>
        <v>0</v>
      </c>
    </row>
    <row r="165" spans="1:19" x14ac:dyDescent="0.2">
      <c r="A165" s="54">
        <v>108333</v>
      </c>
      <c r="B165" s="54" t="s">
        <v>1060</v>
      </c>
      <c r="C165" s="55">
        <v>27</v>
      </c>
      <c r="D165" s="55">
        <v>27</v>
      </c>
      <c r="E165" s="55">
        <v>1</v>
      </c>
      <c r="F165" s="55">
        <v>3</v>
      </c>
      <c r="G165" s="55">
        <v>3</v>
      </c>
      <c r="H165" s="55">
        <v>3</v>
      </c>
      <c r="I165" s="55">
        <v>0.11</v>
      </c>
      <c r="J165" s="55">
        <v>0.11</v>
      </c>
      <c r="K165" s="55">
        <v>0.11</v>
      </c>
      <c r="L165" s="55">
        <v>0</v>
      </c>
      <c r="M165" s="54" t="s">
        <v>30</v>
      </c>
      <c r="N165" s="54" t="s">
        <v>1401</v>
      </c>
      <c r="O165" s="54" t="s">
        <v>7</v>
      </c>
      <c r="P165" s="54">
        <f t="shared" si="8"/>
        <v>0</v>
      </c>
      <c r="Q165">
        <f t="shared" si="9"/>
        <v>0</v>
      </c>
      <c r="R165">
        <f t="shared" si="10"/>
        <v>0</v>
      </c>
      <c r="S165" t="b">
        <f t="shared" si="11"/>
        <v>0</v>
      </c>
    </row>
    <row r="166" spans="1:19" x14ac:dyDescent="0.2">
      <c r="A166" s="54">
        <v>108339</v>
      </c>
      <c r="B166" s="54" t="s">
        <v>1265</v>
      </c>
      <c r="C166" s="55">
        <v>168</v>
      </c>
      <c r="D166" s="55">
        <v>112</v>
      </c>
      <c r="E166" s="55">
        <v>1</v>
      </c>
      <c r="F166" s="55">
        <v>0</v>
      </c>
      <c r="G166" s="55">
        <v>0</v>
      </c>
      <c r="H166" s="55">
        <v>0</v>
      </c>
      <c r="I166" s="55">
        <v>0</v>
      </c>
      <c r="J166" s="55">
        <v>0</v>
      </c>
      <c r="K166" s="55">
        <v>0</v>
      </c>
      <c r="L166" s="55">
        <v>0</v>
      </c>
      <c r="M166" s="54" t="s">
        <v>30</v>
      </c>
      <c r="N166" s="54" t="s">
        <v>1401</v>
      </c>
      <c r="O166" s="54" t="s">
        <v>6</v>
      </c>
      <c r="P166" s="54">
        <f t="shared" si="8"/>
        <v>0</v>
      </c>
      <c r="Q166">
        <f t="shared" si="9"/>
        <v>0</v>
      </c>
      <c r="R166">
        <f t="shared" si="10"/>
        <v>0</v>
      </c>
      <c r="S166" t="b">
        <f t="shared" si="11"/>
        <v>0</v>
      </c>
    </row>
    <row r="167" spans="1:19" x14ac:dyDescent="0.2">
      <c r="A167" s="54">
        <v>108344</v>
      </c>
      <c r="B167" s="54" t="s">
        <v>1138</v>
      </c>
      <c r="C167" s="55">
        <v>46</v>
      </c>
      <c r="D167" s="55">
        <v>45</v>
      </c>
      <c r="E167" s="55">
        <v>0</v>
      </c>
      <c r="F167" s="55">
        <v>0</v>
      </c>
      <c r="G167" s="55">
        <v>0</v>
      </c>
      <c r="H167" s="55">
        <v>0</v>
      </c>
      <c r="I167" s="55">
        <v>0</v>
      </c>
      <c r="J167" s="55">
        <v>0</v>
      </c>
      <c r="K167" s="55">
        <v>0</v>
      </c>
      <c r="L167" s="55">
        <v>0</v>
      </c>
      <c r="M167" s="54" t="s">
        <v>30</v>
      </c>
      <c r="N167" s="54" t="s">
        <v>1401</v>
      </c>
      <c r="O167" s="54" t="s">
        <v>7</v>
      </c>
      <c r="P167" s="54">
        <f t="shared" si="8"/>
        <v>0</v>
      </c>
      <c r="Q167">
        <f t="shared" si="9"/>
        <v>0</v>
      </c>
      <c r="R167">
        <f t="shared" si="10"/>
        <v>0</v>
      </c>
      <c r="S167" t="b">
        <f t="shared" si="11"/>
        <v>0</v>
      </c>
    </row>
    <row r="168" spans="1:19" x14ac:dyDescent="0.2">
      <c r="A168" s="54">
        <v>108354</v>
      </c>
      <c r="B168" s="54" t="s">
        <v>269</v>
      </c>
      <c r="C168" s="55">
        <v>35</v>
      </c>
      <c r="D168" s="55">
        <v>35</v>
      </c>
      <c r="E168" s="55">
        <v>10</v>
      </c>
      <c r="F168" s="55">
        <v>182</v>
      </c>
      <c r="G168" s="55">
        <v>18</v>
      </c>
      <c r="H168" s="55">
        <v>1</v>
      </c>
      <c r="I168" s="55">
        <v>5.2</v>
      </c>
      <c r="J168" s="55">
        <v>0.51</v>
      </c>
      <c r="K168" s="55">
        <v>0.03</v>
      </c>
      <c r="L168" s="55">
        <v>45</v>
      </c>
      <c r="M168" s="54" t="s">
        <v>43</v>
      </c>
      <c r="N168" s="54" t="s">
        <v>1400</v>
      </c>
      <c r="O168" s="54" t="s">
        <v>7</v>
      </c>
      <c r="P168" s="54">
        <f t="shared" si="8"/>
        <v>35</v>
      </c>
      <c r="Q168">
        <f t="shared" si="9"/>
        <v>35</v>
      </c>
      <c r="R168">
        <f t="shared" si="10"/>
        <v>0</v>
      </c>
      <c r="S168" t="b">
        <f t="shared" si="11"/>
        <v>0</v>
      </c>
    </row>
    <row r="169" spans="1:19" x14ac:dyDescent="0.2">
      <c r="A169" s="54">
        <v>108360</v>
      </c>
      <c r="B169" s="54" t="s">
        <v>487</v>
      </c>
      <c r="C169" s="55">
        <v>782</v>
      </c>
      <c r="D169" s="55">
        <v>800</v>
      </c>
      <c r="E169" s="55">
        <v>50</v>
      </c>
      <c r="F169" s="55">
        <v>36</v>
      </c>
      <c r="G169" s="55">
        <v>5</v>
      </c>
      <c r="H169" s="55">
        <v>1</v>
      </c>
      <c r="I169" s="55">
        <v>0.05</v>
      </c>
      <c r="J169" s="55">
        <v>0.01</v>
      </c>
      <c r="K169" s="55">
        <v>0</v>
      </c>
      <c r="L169" s="55">
        <v>72</v>
      </c>
      <c r="M169" s="54" t="s">
        <v>47</v>
      </c>
      <c r="N169" s="54" t="s">
        <v>47</v>
      </c>
      <c r="O169" s="54" t="s">
        <v>5</v>
      </c>
      <c r="P169" s="54">
        <f t="shared" si="8"/>
        <v>0</v>
      </c>
      <c r="Q169">
        <f t="shared" si="9"/>
        <v>0</v>
      </c>
      <c r="R169">
        <f t="shared" si="10"/>
        <v>0</v>
      </c>
      <c r="S169" t="b">
        <f t="shared" si="11"/>
        <v>0</v>
      </c>
    </row>
    <row r="170" spans="1:19" x14ac:dyDescent="0.2">
      <c r="A170" s="54">
        <v>108362</v>
      </c>
      <c r="B170" s="54" t="s">
        <v>574</v>
      </c>
      <c r="C170" s="55">
        <v>215</v>
      </c>
      <c r="D170" s="55">
        <v>290</v>
      </c>
      <c r="E170" s="55">
        <v>10</v>
      </c>
      <c r="F170" s="55">
        <v>6</v>
      </c>
      <c r="G170" s="55">
        <v>6</v>
      </c>
      <c r="H170" s="55">
        <v>5</v>
      </c>
      <c r="I170" s="55">
        <v>0.02</v>
      </c>
      <c r="J170" s="55">
        <v>0.02</v>
      </c>
      <c r="K170" s="55">
        <v>0.02</v>
      </c>
      <c r="L170" s="55">
        <v>5</v>
      </c>
      <c r="M170" s="54" t="s">
        <v>43</v>
      </c>
      <c r="N170" s="54" t="s">
        <v>1400</v>
      </c>
      <c r="O170" s="54" t="s">
        <v>6</v>
      </c>
      <c r="P170" s="54">
        <f t="shared" si="8"/>
        <v>0</v>
      </c>
      <c r="Q170">
        <f t="shared" si="9"/>
        <v>0</v>
      </c>
      <c r="R170">
        <f t="shared" si="10"/>
        <v>0</v>
      </c>
      <c r="S170" t="b">
        <f t="shared" si="11"/>
        <v>0</v>
      </c>
    </row>
    <row r="171" spans="1:19" x14ac:dyDescent="0.2">
      <c r="A171" s="54">
        <v>108379</v>
      </c>
      <c r="B171" s="54" t="s">
        <v>391</v>
      </c>
      <c r="C171" s="55">
        <v>461</v>
      </c>
      <c r="D171" s="55">
        <v>368</v>
      </c>
      <c r="E171" s="55">
        <v>13</v>
      </c>
      <c r="F171" s="55">
        <v>58</v>
      </c>
      <c r="G171" s="55">
        <v>58</v>
      </c>
      <c r="H171" s="55">
        <v>39</v>
      </c>
      <c r="I171" s="55">
        <v>0.16</v>
      </c>
      <c r="J171" s="55">
        <v>0.16</v>
      </c>
      <c r="K171" s="55">
        <v>0.11</v>
      </c>
      <c r="L171" s="55">
        <v>133</v>
      </c>
      <c r="M171" s="54" t="s">
        <v>45</v>
      </c>
      <c r="N171" s="54" t="s">
        <v>47</v>
      </c>
      <c r="O171" s="54" t="s">
        <v>6</v>
      </c>
      <c r="P171" s="54">
        <f t="shared" si="8"/>
        <v>0</v>
      </c>
      <c r="Q171">
        <f t="shared" si="9"/>
        <v>0</v>
      </c>
      <c r="R171">
        <f t="shared" si="10"/>
        <v>0</v>
      </c>
      <c r="S171" t="b">
        <f t="shared" si="11"/>
        <v>0</v>
      </c>
    </row>
    <row r="172" spans="1:19" x14ac:dyDescent="0.2">
      <c r="A172" s="54">
        <v>108380</v>
      </c>
      <c r="B172" s="54" t="s">
        <v>679</v>
      </c>
      <c r="C172" s="55">
        <v>1</v>
      </c>
      <c r="D172" s="55">
        <v>28</v>
      </c>
      <c r="E172" s="55">
        <v>34</v>
      </c>
      <c r="F172" s="55">
        <v>0</v>
      </c>
      <c r="G172" s="55">
        <v>0</v>
      </c>
      <c r="H172" s="55">
        <v>0</v>
      </c>
      <c r="I172" s="55">
        <v>0</v>
      </c>
      <c r="J172" s="55">
        <v>0</v>
      </c>
      <c r="K172" s="55">
        <v>0</v>
      </c>
      <c r="L172" s="55">
        <v>0</v>
      </c>
      <c r="M172" s="54" t="s">
        <v>47</v>
      </c>
      <c r="N172" s="54" t="s">
        <v>47</v>
      </c>
      <c r="O172" s="54" t="s">
        <v>7</v>
      </c>
      <c r="P172" s="54">
        <f t="shared" si="8"/>
        <v>0</v>
      </c>
      <c r="Q172">
        <f t="shared" si="9"/>
        <v>0</v>
      </c>
      <c r="R172">
        <f t="shared" si="10"/>
        <v>0</v>
      </c>
      <c r="S172" t="b">
        <f t="shared" si="11"/>
        <v>0</v>
      </c>
    </row>
    <row r="173" spans="1:19" x14ac:dyDescent="0.2">
      <c r="A173" s="54">
        <v>108381</v>
      </c>
      <c r="B173" s="54" t="s">
        <v>1126</v>
      </c>
      <c r="C173" s="55">
        <v>40</v>
      </c>
      <c r="D173" s="55">
        <v>40</v>
      </c>
      <c r="E173" s="55">
        <v>1</v>
      </c>
      <c r="F173" s="55">
        <v>0</v>
      </c>
      <c r="G173" s="55">
        <v>0</v>
      </c>
      <c r="H173" s="55">
        <v>0</v>
      </c>
      <c r="I173" s="55">
        <v>0</v>
      </c>
      <c r="J173" s="55">
        <v>0</v>
      </c>
      <c r="K173" s="55">
        <v>0</v>
      </c>
      <c r="L173" s="55">
        <v>0</v>
      </c>
      <c r="M173" s="54" t="s">
        <v>30</v>
      </c>
      <c r="N173" s="54" t="s">
        <v>1401</v>
      </c>
      <c r="O173" s="54" t="s">
        <v>7</v>
      </c>
      <c r="P173" s="54">
        <f t="shared" si="8"/>
        <v>0</v>
      </c>
      <c r="Q173">
        <f t="shared" si="9"/>
        <v>0</v>
      </c>
      <c r="R173">
        <f t="shared" si="10"/>
        <v>0</v>
      </c>
      <c r="S173" t="b">
        <f t="shared" si="11"/>
        <v>0</v>
      </c>
    </row>
    <row r="174" spans="1:19" x14ac:dyDescent="0.2">
      <c r="A174" s="54">
        <v>108398</v>
      </c>
      <c r="B174" s="54" t="s">
        <v>348</v>
      </c>
      <c r="C174" s="55">
        <v>38</v>
      </c>
      <c r="D174" s="55">
        <v>40</v>
      </c>
      <c r="E174" s="55">
        <v>15</v>
      </c>
      <c r="F174" s="55">
        <v>49</v>
      </c>
      <c r="G174" s="55">
        <v>0</v>
      </c>
      <c r="H174" s="55">
        <v>0</v>
      </c>
      <c r="I174" s="55">
        <v>1.23</v>
      </c>
      <c r="J174" s="55">
        <v>0</v>
      </c>
      <c r="K174" s="55">
        <v>0</v>
      </c>
      <c r="L174" s="55">
        <v>0</v>
      </c>
      <c r="M174" s="54" t="s">
        <v>45</v>
      </c>
      <c r="N174" s="54" t="s">
        <v>47</v>
      </c>
      <c r="O174" s="54" t="s">
        <v>7</v>
      </c>
      <c r="P174" s="54">
        <f t="shared" si="8"/>
        <v>0</v>
      </c>
      <c r="Q174">
        <f t="shared" si="9"/>
        <v>0</v>
      </c>
      <c r="R174">
        <f t="shared" si="10"/>
        <v>0</v>
      </c>
      <c r="S174" t="b">
        <f t="shared" si="11"/>
        <v>0</v>
      </c>
    </row>
    <row r="175" spans="1:19" x14ac:dyDescent="0.2">
      <c r="A175" s="54">
        <v>108403</v>
      </c>
      <c r="B175" s="54" t="s">
        <v>397</v>
      </c>
      <c r="C175" s="55">
        <v>121</v>
      </c>
      <c r="D175" s="55">
        <v>109</v>
      </c>
      <c r="E175" s="55">
        <v>9</v>
      </c>
      <c r="F175" s="55">
        <v>62</v>
      </c>
      <c r="G175" s="55">
        <v>21</v>
      </c>
      <c r="H175" s="55">
        <v>1</v>
      </c>
      <c r="I175" s="55">
        <v>0.56999999999999995</v>
      </c>
      <c r="J175" s="55">
        <v>0.19</v>
      </c>
      <c r="K175" s="55">
        <v>0.01</v>
      </c>
      <c r="L175" s="55">
        <v>8</v>
      </c>
      <c r="M175" s="54" t="s">
        <v>43</v>
      </c>
      <c r="N175" s="54" t="s">
        <v>1400</v>
      </c>
      <c r="O175" s="54" t="s">
        <v>6</v>
      </c>
      <c r="P175" s="54">
        <f t="shared" si="8"/>
        <v>0</v>
      </c>
      <c r="Q175">
        <f t="shared" si="9"/>
        <v>0</v>
      </c>
      <c r="R175">
        <f t="shared" si="10"/>
        <v>0</v>
      </c>
      <c r="S175" t="b">
        <f t="shared" si="11"/>
        <v>0</v>
      </c>
    </row>
    <row r="176" spans="1:19" x14ac:dyDescent="0.2">
      <c r="A176" s="54">
        <v>108406</v>
      </c>
      <c r="B176" s="54" t="s">
        <v>648</v>
      </c>
      <c r="C176" s="55">
        <v>280</v>
      </c>
      <c r="D176" s="55">
        <v>200</v>
      </c>
      <c r="E176" s="55">
        <v>19</v>
      </c>
      <c r="F176" s="55">
        <v>0</v>
      </c>
      <c r="G176" s="55">
        <v>0</v>
      </c>
      <c r="H176" s="55">
        <v>0</v>
      </c>
      <c r="I176" s="55">
        <v>0</v>
      </c>
      <c r="J176" s="55">
        <v>0</v>
      </c>
      <c r="K176" s="55">
        <v>0</v>
      </c>
      <c r="L176" s="55">
        <v>0</v>
      </c>
      <c r="M176" s="54" t="s">
        <v>45</v>
      </c>
      <c r="N176" s="54" t="s">
        <v>47</v>
      </c>
      <c r="O176" s="54" t="s">
        <v>6</v>
      </c>
      <c r="P176" s="54">
        <f t="shared" si="8"/>
        <v>0</v>
      </c>
      <c r="Q176">
        <f t="shared" si="9"/>
        <v>0</v>
      </c>
      <c r="R176">
        <f t="shared" si="10"/>
        <v>0</v>
      </c>
      <c r="S176" t="b">
        <f t="shared" si="11"/>
        <v>0</v>
      </c>
    </row>
    <row r="177" spans="1:19" x14ac:dyDescent="0.2">
      <c r="A177" s="54">
        <v>108412</v>
      </c>
      <c r="B177" s="54" t="s">
        <v>436</v>
      </c>
      <c r="C177" s="55">
        <v>93</v>
      </c>
      <c r="D177" s="55">
        <v>205</v>
      </c>
      <c r="E177" s="55">
        <v>34</v>
      </c>
      <c r="F177" s="55">
        <v>38</v>
      </c>
      <c r="G177" s="55">
        <v>11</v>
      </c>
      <c r="H177" s="55">
        <v>4</v>
      </c>
      <c r="I177" s="55">
        <v>0.19</v>
      </c>
      <c r="J177" s="55">
        <v>0.05</v>
      </c>
      <c r="K177" s="55">
        <v>0.02</v>
      </c>
      <c r="L177" s="55">
        <v>39</v>
      </c>
      <c r="M177" s="54" t="s">
        <v>47</v>
      </c>
      <c r="N177" s="54" t="s">
        <v>47</v>
      </c>
      <c r="O177" s="54" t="s">
        <v>6</v>
      </c>
      <c r="P177" s="54">
        <f t="shared" si="8"/>
        <v>0</v>
      </c>
      <c r="Q177">
        <f t="shared" si="9"/>
        <v>0</v>
      </c>
      <c r="R177">
        <f t="shared" si="10"/>
        <v>0</v>
      </c>
      <c r="S177" t="b">
        <f t="shared" si="11"/>
        <v>0</v>
      </c>
    </row>
    <row r="178" spans="1:19" x14ac:dyDescent="0.2">
      <c r="A178" s="54">
        <v>108428</v>
      </c>
      <c r="B178" s="54" t="s">
        <v>901</v>
      </c>
      <c r="C178" s="55">
        <v>11</v>
      </c>
      <c r="D178" s="55">
        <v>21</v>
      </c>
      <c r="E178" s="55">
        <v>3</v>
      </c>
      <c r="F178" s="55">
        <v>36</v>
      </c>
      <c r="G178" s="55">
        <v>16</v>
      </c>
      <c r="H178" s="55">
        <v>8</v>
      </c>
      <c r="I178" s="55">
        <v>1.71</v>
      </c>
      <c r="J178" s="55">
        <v>0.76</v>
      </c>
      <c r="K178" s="55">
        <v>0.38</v>
      </c>
      <c r="L178" s="55">
        <v>0</v>
      </c>
      <c r="M178" s="54" t="s">
        <v>30</v>
      </c>
      <c r="N178" s="54" t="s">
        <v>1401</v>
      </c>
      <c r="O178" s="54" t="s">
        <v>7</v>
      </c>
      <c r="P178" s="54">
        <f t="shared" si="8"/>
        <v>11</v>
      </c>
      <c r="Q178">
        <f t="shared" si="9"/>
        <v>0</v>
      </c>
      <c r="R178">
        <f t="shared" si="10"/>
        <v>11</v>
      </c>
      <c r="S178" t="b">
        <f t="shared" si="11"/>
        <v>0</v>
      </c>
    </row>
    <row r="179" spans="1:19" x14ac:dyDescent="0.2">
      <c r="A179" s="54">
        <v>108453</v>
      </c>
      <c r="B179" s="54" t="s">
        <v>722</v>
      </c>
      <c r="C179" s="55">
        <v>2</v>
      </c>
      <c r="D179" s="55">
        <v>30</v>
      </c>
      <c r="E179" s="55">
        <v>2</v>
      </c>
      <c r="F179" s="55">
        <v>26</v>
      </c>
      <c r="G179" s="55">
        <v>19</v>
      </c>
      <c r="H179" s="55">
        <v>19</v>
      </c>
      <c r="I179" s="55">
        <v>0.87</v>
      </c>
      <c r="J179" s="55">
        <v>0.63</v>
      </c>
      <c r="K179" s="55">
        <v>0.63</v>
      </c>
      <c r="L179" s="55">
        <v>70</v>
      </c>
      <c r="M179" s="54" t="s">
        <v>30</v>
      </c>
      <c r="N179" s="54" t="s">
        <v>1401</v>
      </c>
      <c r="O179" s="54" t="s">
        <v>7</v>
      </c>
      <c r="P179" s="54">
        <f t="shared" si="8"/>
        <v>0</v>
      </c>
      <c r="Q179">
        <f t="shared" si="9"/>
        <v>0</v>
      </c>
      <c r="R179">
        <f t="shared" si="10"/>
        <v>0</v>
      </c>
      <c r="S179" t="b">
        <f t="shared" si="11"/>
        <v>0</v>
      </c>
    </row>
    <row r="180" spans="1:19" x14ac:dyDescent="0.2">
      <c r="A180" s="54">
        <v>108462</v>
      </c>
      <c r="B180" s="54" t="s">
        <v>191</v>
      </c>
      <c r="C180" s="55">
        <v>25</v>
      </c>
      <c r="D180" s="55">
        <v>25</v>
      </c>
      <c r="E180" s="55">
        <v>11</v>
      </c>
      <c r="F180" s="55">
        <v>309</v>
      </c>
      <c r="G180" s="55">
        <v>184</v>
      </c>
      <c r="H180" s="55">
        <v>5</v>
      </c>
      <c r="I180" s="55">
        <v>12.36</v>
      </c>
      <c r="J180" s="55">
        <v>7.36</v>
      </c>
      <c r="K180" s="55">
        <v>0.2</v>
      </c>
      <c r="L180" s="55">
        <v>67</v>
      </c>
      <c r="M180" s="54" t="s">
        <v>43</v>
      </c>
      <c r="N180" s="54" t="s">
        <v>1400</v>
      </c>
      <c r="O180" s="54" t="s">
        <v>7</v>
      </c>
      <c r="P180" s="54">
        <f t="shared" si="8"/>
        <v>25</v>
      </c>
      <c r="Q180">
        <f t="shared" si="9"/>
        <v>25</v>
      </c>
      <c r="R180">
        <f t="shared" si="10"/>
        <v>25</v>
      </c>
      <c r="S180" t="b">
        <f t="shared" si="11"/>
        <v>0</v>
      </c>
    </row>
    <row r="181" spans="1:19" x14ac:dyDescent="0.2">
      <c r="A181" s="54">
        <v>108467</v>
      </c>
      <c r="B181" s="54" t="s">
        <v>71</v>
      </c>
      <c r="C181" s="55">
        <v>230</v>
      </c>
      <c r="D181" s="55">
        <v>488</v>
      </c>
      <c r="E181" s="55">
        <v>6</v>
      </c>
      <c r="F181" s="55">
        <v>2793</v>
      </c>
      <c r="G181" s="55">
        <v>2694</v>
      </c>
      <c r="H181" s="55">
        <v>2238</v>
      </c>
      <c r="I181" s="55">
        <v>5.72</v>
      </c>
      <c r="J181" s="55">
        <v>5.52</v>
      </c>
      <c r="K181" s="55">
        <v>4.59</v>
      </c>
      <c r="L181" s="55">
        <v>76</v>
      </c>
      <c r="M181" s="54" t="s">
        <v>43</v>
      </c>
      <c r="N181" s="54" t="s">
        <v>1400</v>
      </c>
      <c r="O181" s="54" t="s">
        <v>6</v>
      </c>
      <c r="P181" s="54">
        <f t="shared" si="8"/>
        <v>230</v>
      </c>
      <c r="Q181">
        <f t="shared" si="9"/>
        <v>230</v>
      </c>
      <c r="R181">
        <f t="shared" si="10"/>
        <v>230</v>
      </c>
      <c r="S181" t="b">
        <f t="shared" si="11"/>
        <v>0</v>
      </c>
    </row>
    <row r="182" spans="1:19" x14ac:dyDescent="0.2">
      <c r="A182" s="54">
        <v>108481</v>
      </c>
      <c r="B182" s="54" t="s">
        <v>563</v>
      </c>
      <c r="C182" s="55">
        <v>2000</v>
      </c>
      <c r="D182" s="55">
        <v>4700</v>
      </c>
      <c r="E182" s="55">
        <v>36</v>
      </c>
      <c r="F182" s="55">
        <v>9</v>
      </c>
      <c r="G182" s="55">
        <v>7</v>
      </c>
      <c r="H182" s="55">
        <v>2</v>
      </c>
      <c r="I182" s="55">
        <v>0</v>
      </c>
      <c r="J182" s="55">
        <v>0</v>
      </c>
      <c r="K182" s="55">
        <v>0</v>
      </c>
      <c r="L182" s="55">
        <v>10</v>
      </c>
      <c r="M182" s="54" t="s">
        <v>47</v>
      </c>
      <c r="N182" s="54" t="s">
        <v>47</v>
      </c>
      <c r="O182" s="54" t="s">
        <v>5</v>
      </c>
      <c r="P182" s="54">
        <f t="shared" si="8"/>
        <v>0</v>
      </c>
      <c r="Q182">
        <f t="shared" si="9"/>
        <v>0</v>
      </c>
      <c r="R182">
        <f t="shared" si="10"/>
        <v>0</v>
      </c>
      <c r="S182" t="b">
        <f t="shared" si="11"/>
        <v>0</v>
      </c>
    </row>
    <row r="183" spans="1:19" x14ac:dyDescent="0.2">
      <c r="A183" s="54">
        <v>108484</v>
      </c>
      <c r="B183" s="54" t="s">
        <v>475</v>
      </c>
      <c r="C183" s="55">
        <v>218</v>
      </c>
      <c r="D183" s="55">
        <v>150</v>
      </c>
      <c r="E183" s="55">
        <v>16</v>
      </c>
      <c r="F183" s="55">
        <v>16</v>
      </c>
      <c r="G183" s="55">
        <v>3</v>
      </c>
      <c r="H183" s="55">
        <v>1</v>
      </c>
      <c r="I183" s="55">
        <v>0.11</v>
      </c>
      <c r="J183" s="55">
        <v>0.02</v>
      </c>
      <c r="K183" s="55">
        <v>0.01</v>
      </c>
      <c r="L183" s="55">
        <v>0</v>
      </c>
      <c r="M183" s="54" t="s">
        <v>45</v>
      </c>
      <c r="N183" s="54" t="s">
        <v>47</v>
      </c>
      <c r="O183" s="54" t="s">
        <v>6</v>
      </c>
      <c r="P183" s="54">
        <f t="shared" si="8"/>
        <v>0</v>
      </c>
      <c r="Q183">
        <f t="shared" si="9"/>
        <v>0</v>
      </c>
      <c r="R183">
        <f t="shared" si="10"/>
        <v>0</v>
      </c>
      <c r="S183" t="b">
        <f t="shared" si="11"/>
        <v>0</v>
      </c>
    </row>
    <row r="184" spans="1:19" x14ac:dyDescent="0.2">
      <c r="A184" s="54">
        <v>108490</v>
      </c>
      <c r="B184" s="54" t="s">
        <v>120</v>
      </c>
      <c r="C184" s="55">
        <v>2088</v>
      </c>
      <c r="D184" s="55">
        <v>2580</v>
      </c>
      <c r="E184" s="55">
        <v>11</v>
      </c>
      <c r="F184" s="55">
        <v>2047</v>
      </c>
      <c r="G184" s="55">
        <v>33</v>
      </c>
      <c r="H184" s="55">
        <v>0</v>
      </c>
      <c r="I184" s="55">
        <v>0.79</v>
      </c>
      <c r="J184" s="55">
        <v>0.01</v>
      </c>
      <c r="K184" s="55">
        <v>0</v>
      </c>
      <c r="L184" s="55">
        <v>5</v>
      </c>
      <c r="M184" s="54" t="s">
        <v>43</v>
      </c>
      <c r="N184" s="54" t="s">
        <v>1400</v>
      </c>
      <c r="O184" s="54" t="s">
        <v>5</v>
      </c>
      <c r="P184" s="54">
        <f t="shared" si="8"/>
        <v>0</v>
      </c>
      <c r="Q184">
        <f t="shared" si="9"/>
        <v>0</v>
      </c>
      <c r="R184">
        <f t="shared" si="10"/>
        <v>0</v>
      </c>
      <c r="S184" t="b">
        <f t="shared" si="11"/>
        <v>0</v>
      </c>
    </row>
    <row r="185" spans="1:19" x14ac:dyDescent="0.2">
      <c r="A185" s="54">
        <v>108500</v>
      </c>
      <c r="B185" s="54" t="s">
        <v>219</v>
      </c>
      <c r="C185" s="55">
        <v>59</v>
      </c>
      <c r="D185" s="55">
        <v>92</v>
      </c>
      <c r="E185" s="55">
        <v>14</v>
      </c>
      <c r="F185" s="55">
        <v>270</v>
      </c>
      <c r="G185" s="55">
        <v>192</v>
      </c>
      <c r="H185" s="55">
        <v>154</v>
      </c>
      <c r="I185" s="55">
        <v>2.93</v>
      </c>
      <c r="J185" s="55">
        <v>2.09</v>
      </c>
      <c r="K185" s="55">
        <v>1.67</v>
      </c>
      <c r="L185" s="55">
        <v>0</v>
      </c>
      <c r="M185" s="54" t="s">
        <v>45</v>
      </c>
      <c r="N185" s="54" t="s">
        <v>47</v>
      </c>
      <c r="O185" s="54" t="s">
        <v>7</v>
      </c>
      <c r="P185" s="54">
        <f t="shared" si="8"/>
        <v>59</v>
      </c>
      <c r="Q185">
        <f t="shared" si="9"/>
        <v>59</v>
      </c>
      <c r="R185">
        <f t="shared" si="10"/>
        <v>59</v>
      </c>
      <c r="S185" t="b">
        <f t="shared" si="11"/>
        <v>0</v>
      </c>
    </row>
    <row r="186" spans="1:19" x14ac:dyDescent="0.2">
      <c r="A186" s="54">
        <v>108523</v>
      </c>
      <c r="B186" s="54" t="s">
        <v>1218</v>
      </c>
      <c r="C186" s="55">
        <v>105</v>
      </c>
      <c r="D186" s="55">
        <v>85</v>
      </c>
      <c r="E186" s="55">
        <v>1</v>
      </c>
      <c r="F186" s="55">
        <v>1</v>
      </c>
      <c r="G186" s="55">
        <v>1</v>
      </c>
      <c r="H186" s="55">
        <v>1</v>
      </c>
      <c r="I186" s="55">
        <v>0.01</v>
      </c>
      <c r="J186" s="55">
        <v>0.01</v>
      </c>
      <c r="K186" s="55">
        <v>0.01</v>
      </c>
      <c r="L186" s="55">
        <v>0</v>
      </c>
      <c r="M186" s="54" t="s">
        <v>30</v>
      </c>
      <c r="N186" s="54" t="s">
        <v>1401</v>
      </c>
      <c r="O186" s="54" t="s">
        <v>7</v>
      </c>
      <c r="P186" s="54">
        <f t="shared" si="8"/>
        <v>0</v>
      </c>
      <c r="Q186">
        <f t="shared" si="9"/>
        <v>0</v>
      </c>
      <c r="R186">
        <f t="shared" si="10"/>
        <v>0</v>
      </c>
      <c r="S186" t="b">
        <f t="shared" si="11"/>
        <v>0</v>
      </c>
    </row>
    <row r="187" spans="1:19" x14ac:dyDescent="0.2">
      <c r="A187" s="54">
        <v>108541</v>
      </c>
      <c r="B187" s="54" t="s">
        <v>67</v>
      </c>
      <c r="C187" s="55">
        <v>2325</v>
      </c>
      <c r="D187" s="55">
        <v>750</v>
      </c>
      <c r="E187" s="55">
        <v>11</v>
      </c>
      <c r="F187" s="55">
        <v>3080</v>
      </c>
      <c r="G187" s="55">
        <v>1544</v>
      </c>
      <c r="H187" s="55">
        <v>304</v>
      </c>
      <c r="I187" s="55">
        <v>4.1100000000000003</v>
      </c>
      <c r="J187" s="55">
        <v>2.06</v>
      </c>
      <c r="K187" s="55">
        <v>0.41</v>
      </c>
      <c r="L187" s="55">
        <v>1733</v>
      </c>
      <c r="M187" s="54" t="s">
        <v>43</v>
      </c>
      <c r="N187" s="54" t="s">
        <v>1400</v>
      </c>
      <c r="O187" s="54" t="s">
        <v>5</v>
      </c>
      <c r="P187" s="54">
        <f t="shared" si="8"/>
        <v>2325</v>
      </c>
      <c r="Q187">
        <f t="shared" si="9"/>
        <v>2325</v>
      </c>
      <c r="R187">
        <f t="shared" si="10"/>
        <v>2325</v>
      </c>
      <c r="S187" t="b">
        <f t="shared" si="11"/>
        <v>0</v>
      </c>
    </row>
    <row r="188" spans="1:19" x14ac:dyDescent="0.2">
      <c r="A188" s="54">
        <v>108542</v>
      </c>
      <c r="B188" s="54" t="s">
        <v>1356</v>
      </c>
      <c r="C188" s="55">
        <v>0</v>
      </c>
      <c r="D188" s="55">
        <v>23</v>
      </c>
      <c r="E188" s="55">
        <v>0</v>
      </c>
      <c r="F188" s="55">
        <v>0</v>
      </c>
      <c r="G188" s="55">
        <v>0</v>
      </c>
      <c r="H188" s="55">
        <v>0</v>
      </c>
      <c r="I188" s="55">
        <v>0</v>
      </c>
      <c r="J188" s="55">
        <v>0</v>
      </c>
      <c r="K188" s="55">
        <v>0</v>
      </c>
      <c r="L188" s="55">
        <v>0</v>
      </c>
      <c r="M188" s="54" t="s">
        <v>30</v>
      </c>
      <c r="N188" s="54" t="s">
        <v>1401</v>
      </c>
      <c r="O188" s="54" t="s">
        <v>7</v>
      </c>
      <c r="P188" s="54">
        <f t="shared" si="8"/>
        <v>0</v>
      </c>
      <c r="Q188">
        <f t="shared" si="9"/>
        <v>0</v>
      </c>
      <c r="R188">
        <f t="shared" si="10"/>
        <v>0</v>
      </c>
      <c r="S188" t="b">
        <f t="shared" si="11"/>
        <v>0</v>
      </c>
    </row>
    <row r="189" spans="1:19" x14ac:dyDescent="0.2">
      <c r="A189" s="54">
        <v>108558</v>
      </c>
      <c r="B189" s="54" t="s">
        <v>969</v>
      </c>
      <c r="C189" s="55">
        <v>16</v>
      </c>
      <c r="D189" s="55">
        <v>14</v>
      </c>
      <c r="E189" s="55">
        <v>1</v>
      </c>
      <c r="F189" s="55">
        <v>0</v>
      </c>
      <c r="G189" s="55">
        <v>0</v>
      </c>
      <c r="H189" s="55">
        <v>0</v>
      </c>
      <c r="I189" s="55">
        <v>0</v>
      </c>
      <c r="J189" s="55">
        <v>0</v>
      </c>
      <c r="K189" s="55">
        <v>0</v>
      </c>
      <c r="L189" s="55">
        <v>0</v>
      </c>
      <c r="M189" s="54" t="s">
        <v>30</v>
      </c>
      <c r="N189" s="54" t="s">
        <v>1401</v>
      </c>
      <c r="O189" s="54" t="s">
        <v>7</v>
      </c>
      <c r="P189" s="54">
        <f t="shared" si="8"/>
        <v>0</v>
      </c>
      <c r="Q189">
        <f t="shared" si="9"/>
        <v>0</v>
      </c>
      <c r="R189">
        <f t="shared" si="10"/>
        <v>0</v>
      </c>
      <c r="S189" t="b">
        <f t="shared" si="11"/>
        <v>0</v>
      </c>
    </row>
    <row r="190" spans="1:19" x14ac:dyDescent="0.2">
      <c r="A190" s="54">
        <v>108562</v>
      </c>
      <c r="B190" s="54" t="s">
        <v>1165</v>
      </c>
      <c r="C190" s="55">
        <v>56</v>
      </c>
      <c r="D190" s="55">
        <v>80</v>
      </c>
      <c r="E190" s="55">
        <v>4</v>
      </c>
      <c r="F190" s="55">
        <v>0</v>
      </c>
      <c r="G190" s="55">
        <v>0</v>
      </c>
      <c r="H190" s="55">
        <v>0</v>
      </c>
      <c r="I190" s="55">
        <v>0</v>
      </c>
      <c r="J190" s="55">
        <v>0</v>
      </c>
      <c r="K190" s="55">
        <v>0</v>
      </c>
      <c r="L190" s="55">
        <v>0</v>
      </c>
      <c r="M190" s="54" t="s">
        <v>30</v>
      </c>
      <c r="N190" s="54" t="s">
        <v>1401</v>
      </c>
      <c r="O190" s="54" t="s">
        <v>7</v>
      </c>
      <c r="P190" s="54">
        <f t="shared" si="8"/>
        <v>0</v>
      </c>
      <c r="Q190">
        <f t="shared" si="9"/>
        <v>0</v>
      </c>
      <c r="R190">
        <f t="shared" si="10"/>
        <v>0</v>
      </c>
      <c r="S190" t="b">
        <f t="shared" si="11"/>
        <v>0</v>
      </c>
    </row>
    <row r="191" spans="1:19" x14ac:dyDescent="0.2">
      <c r="A191" s="54">
        <v>108566</v>
      </c>
      <c r="B191" s="54" t="s">
        <v>231</v>
      </c>
      <c r="C191" s="55">
        <v>20</v>
      </c>
      <c r="D191" s="55">
        <v>550</v>
      </c>
      <c r="E191" s="55">
        <v>10</v>
      </c>
      <c r="F191" s="55">
        <v>240</v>
      </c>
      <c r="G191" s="55">
        <v>107</v>
      </c>
      <c r="H191" s="55">
        <v>12</v>
      </c>
      <c r="I191" s="55">
        <v>0.44</v>
      </c>
      <c r="J191" s="55">
        <v>0.19</v>
      </c>
      <c r="K191" s="55">
        <v>0.02</v>
      </c>
      <c r="L191" s="55">
        <v>24</v>
      </c>
      <c r="M191" s="54" t="s">
        <v>43</v>
      </c>
      <c r="N191" s="54" t="s">
        <v>1400</v>
      </c>
      <c r="O191" s="54" t="s">
        <v>5</v>
      </c>
      <c r="P191" s="54">
        <f t="shared" si="8"/>
        <v>0</v>
      </c>
      <c r="Q191">
        <f t="shared" si="9"/>
        <v>0</v>
      </c>
      <c r="R191">
        <f t="shared" si="10"/>
        <v>0</v>
      </c>
      <c r="S191" t="b">
        <f t="shared" si="11"/>
        <v>0</v>
      </c>
    </row>
    <row r="192" spans="1:19" x14ac:dyDescent="0.2">
      <c r="A192" s="54">
        <v>108570</v>
      </c>
      <c r="B192" s="54" t="s">
        <v>150</v>
      </c>
      <c r="C192" s="55">
        <v>115</v>
      </c>
      <c r="D192" s="55">
        <v>100</v>
      </c>
      <c r="E192" s="55">
        <v>13</v>
      </c>
      <c r="F192" s="55">
        <v>226</v>
      </c>
      <c r="G192" s="55">
        <v>175</v>
      </c>
      <c r="H192" s="55">
        <v>17</v>
      </c>
      <c r="I192" s="55">
        <v>2.2599999999999998</v>
      </c>
      <c r="J192" s="55">
        <v>1.75</v>
      </c>
      <c r="K192" s="55">
        <v>0.17</v>
      </c>
      <c r="L192" s="55">
        <v>34</v>
      </c>
      <c r="M192" s="54" t="s">
        <v>45</v>
      </c>
      <c r="N192" s="54" t="s">
        <v>47</v>
      </c>
      <c r="O192" s="54" t="s">
        <v>6</v>
      </c>
      <c r="P192" s="54">
        <f t="shared" si="8"/>
        <v>115</v>
      </c>
      <c r="Q192">
        <f t="shared" si="9"/>
        <v>115</v>
      </c>
      <c r="R192">
        <f t="shared" si="10"/>
        <v>115</v>
      </c>
      <c r="S192" t="b">
        <f t="shared" si="11"/>
        <v>0</v>
      </c>
    </row>
    <row r="193" spans="1:19" x14ac:dyDescent="0.2">
      <c r="A193" s="54">
        <v>108600</v>
      </c>
      <c r="B193" s="54" t="s">
        <v>1005</v>
      </c>
      <c r="C193" s="55">
        <v>20</v>
      </c>
      <c r="D193" s="55">
        <v>20</v>
      </c>
      <c r="E193" s="55">
        <v>2</v>
      </c>
      <c r="F193" s="55">
        <v>95</v>
      </c>
      <c r="G193" s="55">
        <v>95</v>
      </c>
      <c r="H193" s="55">
        <v>95</v>
      </c>
      <c r="I193" s="55">
        <v>4.75</v>
      </c>
      <c r="J193" s="55">
        <v>4.75</v>
      </c>
      <c r="K193" s="55">
        <v>4.75</v>
      </c>
      <c r="L193" s="55">
        <v>0</v>
      </c>
      <c r="M193" s="54" t="s">
        <v>30</v>
      </c>
      <c r="N193" s="54" t="s">
        <v>1401</v>
      </c>
      <c r="O193" s="54" t="s">
        <v>7</v>
      </c>
      <c r="P193" s="54">
        <f t="shared" si="8"/>
        <v>20</v>
      </c>
      <c r="Q193">
        <f t="shared" si="9"/>
        <v>20</v>
      </c>
      <c r="R193">
        <f t="shared" si="10"/>
        <v>20</v>
      </c>
      <c r="S193" t="b">
        <f t="shared" si="11"/>
        <v>0</v>
      </c>
    </row>
    <row r="194" spans="1:19" x14ac:dyDescent="0.2">
      <c r="A194" s="54">
        <v>108601</v>
      </c>
      <c r="B194" s="54" t="s">
        <v>166</v>
      </c>
      <c r="C194" s="55">
        <v>58</v>
      </c>
      <c r="D194" s="55">
        <v>135</v>
      </c>
      <c r="E194" s="55">
        <v>49</v>
      </c>
      <c r="F194" s="55">
        <v>409</v>
      </c>
      <c r="G194" s="55">
        <v>407</v>
      </c>
      <c r="H194" s="55">
        <v>7</v>
      </c>
      <c r="I194" s="55">
        <v>3.03</v>
      </c>
      <c r="J194" s="55">
        <v>3.01</v>
      </c>
      <c r="K194" s="55">
        <v>0.05</v>
      </c>
      <c r="L194" s="55">
        <v>16</v>
      </c>
      <c r="M194" s="54" t="s">
        <v>47</v>
      </c>
      <c r="N194" s="54" t="s">
        <v>47</v>
      </c>
      <c r="O194" s="54" t="s">
        <v>6</v>
      </c>
      <c r="P194" s="54">
        <f t="shared" ref="P194:P257" si="12">IF(I194&gt;=2, C194, IF(J194&gt;=0.75, C194, 0))</f>
        <v>58</v>
      </c>
      <c r="Q194">
        <f t="shared" ref="Q194:Q257" si="13">IF(I194&gt;=2, C194, IF(AND(J194&gt;=0.75, D194&gt;=550), C194, 0))</f>
        <v>58</v>
      </c>
      <c r="R194">
        <f t="shared" ref="R194:R257" si="14">IF(J194&gt;=0.75, C194, 0)</f>
        <v>58</v>
      </c>
      <c r="S194" t="b">
        <f t="shared" si="11"/>
        <v>0</v>
      </c>
    </row>
    <row r="195" spans="1:19" x14ac:dyDescent="0.2">
      <c r="A195" s="54">
        <v>108627</v>
      </c>
      <c r="B195" s="54" t="s">
        <v>537</v>
      </c>
      <c r="C195" s="55">
        <v>36</v>
      </c>
      <c r="D195" s="55">
        <v>35</v>
      </c>
      <c r="E195" s="55">
        <v>8</v>
      </c>
      <c r="F195" s="55">
        <v>26</v>
      </c>
      <c r="G195" s="55">
        <v>26</v>
      </c>
      <c r="H195" s="55">
        <v>2</v>
      </c>
      <c r="I195" s="55">
        <v>0.74</v>
      </c>
      <c r="J195" s="55">
        <v>0.74</v>
      </c>
      <c r="K195" s="55">
        <v>0.06</v>
      </c>
      <c r="L195" s="55">
        <v>40</v>
      </c>
      <c r="M195" s="54" t="s">
        <v>43</v>
      </c>
      <c r="N195" s="54" t="s">
        <v>1400</v>
      </c>
      <c r="O195" s="54" t="s">
        <v>7</v>
      </c>
      <c r="P195" s="54">
        <f t="shared" si="12"/>
        <v>0</v>
      </c>
      <c r="Q195">
        <f t="shared" si="13"/>
        <v>0</v>
      </c>
      <c r="R195">
        <f t="shared" si="14"/>
        <v>0</v>
      </c>
      <c r="S195" t="b">
        <f t="shared" ref="S195:S258" si="15">IF(A195=A196,TRUE,FALSE)</f>
        <v>0</v>
      </c>
    </row>
    <row r="196" spans="1:19" x14ac:dyDescent="0.2">
      <c r="A196" s="54">
        <v>108630</v>
      </c>
      <c r="B196" s="54" t="s">
        <v>933</v>
      </c>
      <c r="C196" s="55">
        <v>14</v>
      </c>
      <c r="D196" s="55">
        <v>13</v>
      </c>
      <c r="E196" s="55">
        <v>1</v>
      </c>
      <c r="F196" s="55">
        <v>0</v>
      </c>
      <c r="G196" s="55">
        <v>0</v>
      </c>
      <c r="H196" s="55">
        <v>0</v>
      </c>
      <c r="I196" s="55">
        <v>0</v>
      </c>
      <c r="J196" s="55">
        <v>0</v>
      </c>
      <c r="K196" s="55">
        <v>0</v>
      </c>
      <c r="L196" s="55">
        <v>0</v>
      </c>
      <c r="M196" s="54" t="s">
        <v>30</v>
      </c>
      <c r="N196" s="54" t="s">
        <v>1401</v>
      </c>
      <c r="O196" s="54" t="s">
        <v>7</v>
      </c>
      <c r="P196" s="54">
        <f t="shared" si="12"/>
        <v>0</v>
      </c>
      <c r="Q196">
        <f t="shared" si="13"/>
        <v>0</v>
      </c>
      <c r="R196">
        <f t="shared" si="14"/>
        <v>0</v>
      </c>
      <c r="S196" t="b">
        <f t="shared" si="15"/>
        <v>0</v>
      </c>
    </row>
    <row r="197" spans="1:19" x14ac:dyDescent="0.2">
      <c r="A197" s="54">
        <v>108635</v>
      </c>
      <c r="B197" s="54" t="s">
        <v>275</v>
      </c>
      <c r="C197" s="55">
        <v>41</v>
      </c>
      <c r="D197" s="55">
        <v>109</v>
      </c>
      <c r="E197" s="55">
        <v>11</v>
      </c>
      <c r="F197" s="55">
        <v>154</v>
      </c>
      <c r="G197" s="55">
        <v>75</v>
      </c>
      <c r="H197" s="55">
        <v>10</v>
      </c>
      <c r="I197" s="55">
        <v>1.41</v>
      </c>
      <c r="J197" s="55">
        <v>0.69</v>
      </c>
      <c r="K197" s="55">
        <v>0.09</v>
      </c>
      <c r="L197" s="55">
        <v>70</v>
      </c>
      <c r="M197" s="54" t="s">
        <v>43</v>
      </c>
      <c r="N197" s="54" t="s">
        <v>1400</v>
      </c>
      <c r="O197" s="54" t="s">
        <v>6</v>
      </c>
      <c r="P197" s="54">
        <f t="shared" si="12"/>
        <v>0</v>
      </c>
      <c r="Q197">
        <f t="shared" si="13"/>
        <v>0</v>
      </c>
      <c r="R197">
        <f t="shared" si="14"/>
        <v>0</v>
      </c>
      <c r="S197" t="b">
        <f t="shared" si="15"/>
        <v>0</v>
      </c>
    </row>
    <row r="198" spans="1:19" x14ac:dyDescent="0.2">
      <c r="A198" s="54">
        <v>108655</v>
      </c>
      <c r="B198" s="54" t="s">
        <v>1253</v>
      </c>
      <c r="C198" s="55">
        <v>141</v>
      </c>
      <c r="D198" s="55">
        <v>180</v>
      </c>
      <c r="E198" s="55">
        <v>1</v>
      </c>
      <c r="F198" s="55">
        <v>26</v>
      </c>
      <c r="G198" s="55">
        <v>26</v>
      </c>
      <c r="H198" s="55">
        <v>26</v>
      </c>
      <c r="I198" s="55">
        <v>0.14000000000000001</v>
      </c>
      <c r="J198" s="55">
        <v>0.14000000000000001</v>
      </c>
      <c r="K198" s="55">
        <v>0.14000000000000001</v>
      </c>
      <c r="L198" s="55">
        <v>55</v>
      </c>
      <c r="M198" s="54" t="s">
        <v>30</v>
      </c>
      <c r="N198" s="54" t="s">
        <v>1401</v>
      </c>
      <c r="O198" s="54" t="s">
        <v>6</v>
      </c>
      <c r="P198" s="54">
        <f t="shared" si="12"/>
        <v>0</v>
      </c>
      <c r="Q198">
        <f t="shared" si="13"/>
        <v>0</v>
      </c>
      <c r="R198">
        <f t="shared" si="14"/>
        <v>0</v>
      </c>
      <c r="S198" t="b">
        <f t="shared" si="15"/>
        <v>0</v>
      </c>
    </row>
    <row r="199" spans="1:19" x14ac:dyDescent="0.2">
      <c r="A199" s="54">
        <v>108658</v>
      </c>
      <c r="B199" s="54" t="s">
        <v>92</v>
      </c>
      <c r="C199" s="55">
        <v>1532</v>
      </c>
      <c r="D199" s="55">
        <v>763</v>
      </c>
      <c r="E199" s="55">
        <v>6</v>
      </c>
      <c r="F199" s="55">
        <v>2499</v>
      </c>
      <c r="G199" s="55">
        <v>2358</v>
      </c>
      <c r="H199" s="55">
        <v>542</v>
      </c>
      <c r="I199" s="55">
        <v>3.28</v>
      </c>
      <c r="J199" s="55">
        <v>3.09</v>
      </c>
      <c r="K199" s="55">
        <v>0.71</v>
      </c>
      <c r="L199" s="55">
        <v>52</v>
      </c>
      <c r="M199" s="54" t="s">
        <v>43</v>
      </c>
      <c r="N199" s="54" t="s">
        <v>1400</v>
      </c>
      <c r="O199" s="54" t="s">
        <v>5</v>
      </c>
      <c r="P199" s="54">
        <f t="shared" si="12"/>
        <v>1532</v>
      </c>
      <c r="Q199">
        <f t="shared" si="13"/>
        <v>1532</v>
      </c>
      <c r="R199">
        <f t="shared" si="14"/>
        <v>1532</v>
      </c>
      <c r="S199" t="b">
        <f t="shared" si="15"/>
        <v>0</v>
      </c>
    </row>
    <row r="200" spans="1:19" x14ac:dyDescent="0.2">
      <c r="A200" s="54">
        <v>108662</v>
      </c>
      <c r="B200" s="54" t="s">
        <v>1260</v>
      </c>
      <c r="C200" s="55">
        <v>160</v>
      </c>
      <c r="D200" s="55">
        <v>135</v>
      </c>
      <c r="E200" s="55">
        <v>4</v>
      </c>
      <c r="F200" s="55">
        <v>44</v>
      </c>
      <c r="G200" s="55">
        <v>31</v>
      </c>
      <c r="H200" s="55">
        <v>31</v>
      </c>
      <c r="I200" s="55">
        <v>0.33</v>
      </c>
      <c r="J200" s="55">
        <v>0.23</v>
      </c>
      <c r="K200" s="55">
        <v>0.23</v>
      </c>
      <c r="L200" s="55">
        <v>189</v>
      </c>
      <c r="M200" s="54" t="s">
        <v>30</v>
      </c>
      <c r="N200" s="54" t="s">
        <v>1401</v>
      </c>
      <c r="O200" s="54" t="s">
        <v>6</v>
      </c>
      <c r="P200" s="54">
        <f t="shared" si="12"/>
        <v>0</v>
      </c>
      <c r="Q200">
        <f t="shared" si="13"/>
        <v>0</v>
      </c>
      <c r="R200">
        <f t="shared" si="14"/>
        <v>0</v>
      </c>
      <c r="S200" t="b">
        <f t="shared" si="15"/>
        <v>0</v>
      </c>
    </row>
    <row r="201" spans="1:19" x14ac:dyDescent="0.2">
      <c r="A201" s="54">
        <v>108696</v>
      </c>
      <c r="B201" s="54" t="s">
        <v>1173</v>
      </c>
      <c r="C201" s="55">
        <v>65</v>
      </c>
      <c r="D201" s="55">
        <v>48</v>
      </c>
      <c r="E201" s="55">
        <v>1</v>
      </c>
      <c r="F201" s="55">
        <v>0</v>
      </c>
      <c r="G201" s="55">
        <v>0</v>
      </c>
      <c r="H201" s="55">
        <v>0</v>
      </c>
      <c r="I201" s="55">
        <v>0</v>
      </c>
      <c r="J201" s="55">
        <v>0</v>
      </c>
      <c r="K201" s="55">
        <v>0</v>
      </c>
      <c r="L201" s="55">
        <v>0</v>
      </c>
      <c r="M201" s="54" t="s">
        <v>30</v>
      </c>
      <c r="N201" s="54" t="s">
        <v>1401</v>
      </c>
      <c r="O201" s="54" t="s">
        <v>7</v>
      </c>
      <c r="P201" s="54">
        <f t="shared" si="12"/>
        <v>0</v>
      </c>
      <c r="Q201">
        <f t="shared" si="13"/>
        <v>0</v>
      </c>
      <c r="R201">
        <f t="shared" si="14"/>
        <v>0</v>
      </c>
      <c r="S201" t="b">
        <f t="shared" si="15"/>
        <v>0</v>
      </c>
    </row>
    <row r="202" spans="1:19" x14ac:dyDescent="0.2">
      <c r="A202" s="54">
        <v>108752</v>
      </c>
      <c r="B202" s="54" t="s">
        <v>1147</v>
      </c>
      <c r="C202" s="55">
        <v>51</v>
      </c>
      <c r="D202" s="55">
        <v>50</v>
      </c>
      <c r="E202" s="55">
        <v>0</v>
      </c>
      <c r="F202" s="55">
        <v>30</v>
      </c>
      <c r="G202" s="55">
        <v>30</v>
      </c>
      <c r="H202" s="55">
        <v>30</v>
      </c>
      <c r="I202" s="55">
        <v>0.6</v>
      </c>
      <c r="J202" s="55">
        <v>0.6</v>
      </c>
      <c r="K202" s="55">
        <v>0.6</v>
      </c>
      <c r="L202" s="55">
        <v>4</v>
      </c>
      <c r="M202" s="54" t="s">
        <v>30</v>
      </c>
      <c r="N202" s="54" t="s">
        <v>1401</v>
      </c>
      <c r="O202" s="54" t="s">
        <v>7</v>
      </c>
      <c r="P202" s="54">
        <f t="shared" si="12"/>
        <v>0</v>
      </c>
      <c r="Q202">
        <f t="shared" si="13"/>
        <v>0</v>
      </c>
      <c r="R202">
        <f t="shared" si="14"/>
        <v>0</v>
      </c>
      <c r="S202" t="b">
        <f t="shared" si="15"/>
        <v>0</v>
      </c>
    </row>
    <row r="203" spans="1:19" x14ac:dyDescent="0.2">
      <c r="A203" s="54">
        <v>108758</v>
      </c>
      <c r="B203" s="54" t="s">
        <v>1320</v>
      </c>
      <c r="C203" s="55">
        <v>0</v>
      </c>
      <c r="D203" s="55">
        <v>6</v>
      </c>
      <c r="E203" s="55">
        <v>0</v>
      </c>
      <c r="F203" s="55">
        <v>0</v>
      </c>
      <c r="G203" s="55">
        <v>0</v>
      </c>
      <c r="H203" s="55">
        <v>0</v>
      </c>
      <c r="I203" s="55">
        <v>0</v>
      </c>
      <c r="J203" s="55">
        <v>0</v>
      </c>
      <c r="K203" s="55">
        <v>0</v>
      </c>
      <c r="L203" s="55">
        <v>0</v>
      </c>
      <c r="M203" s="54" t="s">
        <v>30</v>
      </c>
      <c r="N203" s="54" t="s">
        <v>1401</v>
      </c>
      <c r="O203" s="54" t="s">
        <v>7</v>
      </c>
      <c r="P203" s="54">
        <f t="shared" si="12"/>
        <v>0</v>
      </c>
      <c r="Q203">
        <f t="shared" si="13"/>
        <v>0</v>
      </c>
      <c r="R203">
        <f t="shared" si="14"/>
        <v>0</v>
      </c>
      <c r="S203" t="b">
        <f t="shared" si="15"/>
        <v>0</v>
      </c>
    </row>
    <row r="204" spans="1:19" x14ac:dyDescent="0.2">
      <c r="A204" s="54">
        <v>108763</v>
      </c>
      <c r="B204" s="54" t="s">
        <v>1074</v>
      </c>
      <c r="C204" s="55">
        <v>29</v>
      </c>
      <c r="D204" s="55">
        <v>35</v>
      </c>
      <c r="E204" s="55">
        <v>0</v>
      </c>
      <c r="F204" s="55">
        <v>23</v>
      </c>
      <c r="G204" s="55">
        <v>23</v>
      </c>
      <c r="H204" s="55">
        <v>23</v>
      </c>
      <c r="I204" s="55">
        <v>0.66</v>
      </c>
      <c r="J204" s="55">
        <v>0.66</v>
      </c>
      <c r="K204" s="55">
        <v>0.66</v>
      </c>
      <c r="L204" s="55">
        <v>22</v>
      </c>
      <c r="M204" s="54" t="s">
        <v>30</v>
      </c>
      <c r="N204" s="54" t="s">
        <v>1401</v>
      </c>
      <c r="O204" s="54" t="s">
        <v>7</v>
      </c>
      <c r="P204" s="54">
        <f t="shared" si="12"/>
        <v>0</v>
      </c>
      <c r="Q204">
        <f t="shared" si="13"/>
        <v>0</v>
      </c>
      <c r="R204">
        <f t="shared" si="14"/>
        <v>0</v>
      </c>
      <c r="S204" t="b">
        <f t="shared" si="15"/>
        <v>0</v>
      </c>
    </row>
    <row r="205" spans="1:19" x14ac:dyDescent="0.2">
      <c r="A205" s="54">
        <v>108766</v>
      </c>
      <c r="B205" s="54" t="s">
        <v>433</v>
      </c>
      <c r="C205" s="55">
        <v>24</v>
      </c>
      <c r="D205" s="55">
        <v>19</v>
      </c>
      <c r="E205" s="55">
        <v>11</v>
      </c>
      <c r="F205" s="55">
        <v>51</v>
      </c>
      <c r="G205" s="55">
        <v>22</v>
      </c>
      <c r="H205" s="55">
        <v>0</v>
      </c>
      <c r="I205" s="55">
        <v>2.68</v>
      </c>
      <c r="J205" s="55">
        <v>1.1599999999999999</v>
      </c>
      <c r="K205" s="55">
        <v>0</v>
      </c>
      <c r="L205" s="55">
        <v>68</v>
      </c>
      <c r="M205" s="54" t="s">
        <v>43</v>
      </c>
      <c r="N205" s="54" t="s">
        <v>1400</v>
      </c>
      <c r="O205" s="54" t="s">
        <v>7</v>
      </c>
      <c r="P205" s="54">
        <f t="shared" si="12"/>
        <v>24</v>
      </c>
      <c r="Q205">
        <f t="shared" si="13"/>
        <v>24</v>
      </c>
      <c r="R205">
        <f t="shared" si="14"/>
        <v>24</v>
      </c>
      <c r="S205" t="b">
        <f t="shared" si="15"/>
        <v>0</v>
      </c>
    </row>
    <row r="206" spans="1:19" x14ac:dyDescent="0.2">
      <c r="A206" s="54">
        <v>108767</v>
      </c>
      <c r="B206" s="54" t="s">
        <v>305</v>
      </c>
      <c r="C206" s="55">
        <v>10</v>
      </c>
      <c r="D206" s="55">
        <v>45</v>
      </c>
      <c r="E206" s="55">
        <v>8</v>
      </c>
      <c r="F206" s="55">
        <v>151</v>
      </c>
      <c r="G206" s="55">
        <v>138</v>
      </c>
      <c r="H206" s="55">
        <v>111</v>
      </c>
      <c r="I206" s="55">
        <v>3.36</v>
      </c>
      <c r="J206" s="55">
        <v>3.07</v>
      </c>
      <c r="K206" s="55">
        <v>2.4700000000000002</v>
      </c>
      <c r="L206" s="55">
        <v>73</v>
      </c>
      <c r="M206" s="54" t="s">
        <v>43</v>
      </c>
      <c r="N206" s="54" t="s">
        <v>1400</v>
      </c>
      <c r="O206" s="54" t="s">
        <v>7</v>
      </c>
      <c r="P206" s="54">
        <f t="shared" si="12"/>
        <v>10</v>
      </c>
      <c r="Q206">
        <f t="shared" si="13"/>
        <v>10</v>
      </c>
      <c r="R206">
        <f t="shared" si="14"/>
        <v>10</v>
      </c>
      <c r="S206" t="b">
        <f t="shared" si="15"/>
        <v>0</v>
      </c>
    </row>
    <row r="207" spans="1:19" x14ac:dyDescent="0.2">
      <c r="A207" s="54">
        <v>108786</v>
      </c>
      <c r="B207" s="54" t="s">
        <v>826</v>
      </c>
      <c r="C207" s="55">
        <v>7</v>
      </c>
      <c r="D207" s="55">
        <v>7</v>
      </c>
      <c r="E207" s="55">
        <v>3</v>
      </c>
      <c r="F207" s="55">
        <v>27</v>
      </c>
      <c r="G207" s="55">
        <v>27</v>
      </c>
      <c r="H207" s="55">
        <v>27</v>
      </c>
      <c r="I207" s="55">
        <v>3.86</v>
      </c>
      <c r="J207" s="55">
        <v>3.86</v>
      </c>
      <c r="K207" s="55">
        <v>3.86</v>
      </c>
      <c r="L207" s="55">
        <v>0</v>
      </c>
      <c r="M207" s="54" t="s">
        <v>30</v>
      </c>
      <c r="N207" s="54" t="s">
        <v>1401</v>
      </c>
      <c r="O207" s="54" t="s">
        <v>7</v>
      </c>
      <c r="P207" s="54">
        <f t="shared" si="12"/>
        <v>7</v>
      </c>
      <c r="Q207">
        <f t="shared" si="13"/>
        <v>7</v>
      </c>
      <c r="R207">
        <f t="shared" si="14"/>
        <v>7</v>
      </c>
      <c r="S207" t="b">
        <f t="shared" si="15"/>
        <v>0</v>
      </c>
    </row>
    <row r="208" spans="1:19" x14ac:dyDescent="0.2">
      <c r="A208" s="54">
        <v>108787</v>
      </c>
      <c r="B208" s="54" t="s">
        <v>209</v>
      </c>
      <c r="C208" s="55">
        <v>718</v>
      </c>
      <c r="D208" s="55">
        <v>645</v>
      </c>
      <c r="E208" s="55">
        <v>12</v>
      </c>
      <c r="F208" s="55">
        <v>869</v>
      </c>
      <c r="G208" s="55">
        <v>3</v>
      </c>
      <c r="H208" s="55">
        <v>3</v>
      </c>
      <c r="I208" s="55">
        <v>1.35</v>
      </c>
      <c r="J208" s="55">
        <v>0</v>
      </c>
      <c r="K208" s="55">
        <v>0</v>
      </c>
      <c r="L208" s="55">
        <v>3</v>
      </c>
      <c r="M208" s="54" t="s">
        <v>43</v>
      </c>
      <c r="N208" s="54" t="s">
        <v>1400</v>
      </c>
      <c r="O208" s="54" t="s">
        <v>5</v>
      </c>
      <c r="P208" s="54">
        <f t="shared" si="12"/>
        <v>0</v>
      </c>
      <c r="Q208">
        <f t="shared" si="13"/>
        <v>0</v>
      </c>
      <c r="R208">
        <f t="shared" si="14"/>
        <v>0</v>
      </c>
      <c r="S208" t="b">
        <f t="shared" si="15"/>
        <v>0</v>
      </c>
    </row>
    <row r="209" spans="1:19" x14ac:dyDescent="0.2">
      <c r="A209" s="54">
        <v>108792</v>
      </c>
      <c r="B209" s="54" t="s">
        <v>173</v>
      </c>
      <c r="C209" s="55">
        <v>106</v>
      </c>
      <c r="D209" s="55">
        <v>130</v>
      </c>
      <c r="E209" s="55">
        <v>11</v>
      </c>
      <c r="F209" s="55">
        <v>462</v>
      </c>
      <c r="G209" s="55">
        <v>93</v>
      </c>
      <c r="H209" s="55">
        <v>31</v>
      </c>
      <c r="I209" s="55">
        <v>3.55</v>
      </c>
      <c r="J209" s="55">
        <v>0.72</v>
      </c>
      <c r="K209" s="55">
        <v>0.24</v>
      </c>
      <c r="L209" s="55">
        <v>8</v>
      </c>
      <c r="M209" s="54" t="s">
        <v>43</v>
      </c>
      <c r="N209" s="54" t="s">
        <v>1400</v>
      </c>
      <c r="O209" s="54" t="s">
        <v>6</v>
      </c>
      <c r="P209" s="54">
        <f t="shared" si="12"/>
        <v>106</v>
      </c>
      <c r="Q209">
        <f t="shared" si="13"/>
        <v>106</v>
      </c>
      <c r="R209">
        <f t="shared" si="14"/>
        <v>0</v>
      </c>
      <c r="S209" t="b">
        <f t="shared" si="15"/>
        <v>0</v>
      </c>
    </row>
    <row r="210" spans="1:19" x14ac:dyDescent="0.2">
      <c r="A210" s="54">
        <v>108869</v>
      </c>
      <c r="B210" s="54" t="s">
        <v>257</v>
      </c>
      <c r="C210" s="55">
        <v>85</v>
      </c>
      <c r="D210" s="55">
        <v>97</v>
      </c>
      <c r="E210" s="55">
        <v>41</v>
      </c>
      <c r="F210" s="55">
        <v>184</v>
      </c>
      <c r="G210" s="55">
        <v>184</v>
      </c>
      <c r="H210" s="55">
        <v>184</v>
      </c>
      <c r="I210" s="55">
        <v>1.9</v>
      </c>
      <c r="J210" s="55">
        <v>1.9</v>
      </c>
      <c r="K210" s="55">
        <v>1.9</v>
      </c>
      <c r="L210" s="55">
        <v>23</v>
      </c>
      <c r="M210" s="54" t="s">
        <v>47</v>
      </c>
      <c r="N210" s="54" t="s">
        <v>47</v>
      </c>
      <c r="O210" s="54" t="s">
        <v>7</v>
      </c>
      <c r="P210" s="54">
        <f t="shared" si="12"/>
        <v>85</v>
      </c>
      <c r="Q210">
        <f t="shared" si="13"/>
        <v>0</v>
      </c>
      <c r="R210">
        <f t="shared" si="14"/>
        <v>85</v>
      </c>
      <c r="S210" t="b">
        <f t="shared" si="15"/>
        <v>0</v>
      </c>
    </row>
    <row r="211" spans="1:19" x14ac:dyDescent="0.2">
      <c r="A211" s="54">
        <v>108877</v>
      </c>
      <c r="B211" s="54" t="s">
        <v>309</v>
      </c>
      <c r="C211" s="55">
        <v>63</v>
      </c>
      <c r="D211" s="55">
        <v>81</v>
      </c>
      <c r="E211" s="55">
        <v>10</v>
      </c>
      <c r="F211" s="55">
        <v>99</v>
      </c>
      <c r="G211" s="55">
        <v>31</v>
      </c>
      <c r="H211" s="55">
        <v>6</v>
      </c>
      <c r="I211" s="55">
        <v>1.22</v>
      </c>
      <c r="J211" s="55">
        <v>0.38</v>
      </c>
      <c r="K211" s="55">
        <v>7.0000000000000007E-2</v>
      </c>
      <c r="L211" s="55">
        <v>13</v>
      </c>
      <c r="M211" s="54" t="s">
        <v>43</v>
      </c>
      <c r="N211" s="54" t="s">
        <v>1400</v>
      </c>
      <c r="O211" s="54" t="s">
        <v>7</v>
      </c>
      <c r="P211" s="54">
        <f t="shared" si="12"/>
        <v>0</v>
      </c>
      <c r="Q211">
        <f t="shared" si="13"/>
        <v>0</v>
      </c>
      <c r="R211">
        <f t="shared" si="14"/>
        <v>0</v>
      </c>
      <c r="S211" t="b">
        <f t="shared" si="15"/>
        <v>0</v>
      </c>
    </row>
    <row r="212" spans="1:19" x14ac:dyDescent="0.2">
      <c r="A212" s="54">
        <v>108880</v>
      </c>
      <c r="B212" s="54" t="s">
        <v>357</v>
      </c>
      <c r="C212" s="55">
        <v>115</v>
      </c>
      <c r="D212" s="55">
        <v>95</v>
      </c>
      <c r="E212" s="55">
        <v>9</v>
      </c>
      <c r="F212" s="55">
        <v>76</v>
      </c>
      <c r="G212" s="55">
        <v>37</v>
      </c>
      <c r="H212" s="55">
        <v>4</v>
      </c>
      <c r="I212" s="55">
        <v>0.8</v>
      </c>
      <c r="J212" s="55">
        <v>0.39</v>
      </c>
      <c r="K212" s="55">
        <v>0.04</v>
      </c>
      <c r="L212" s="55">
        <v>0</v>
      </c>
      <c r="M212" s="54" t="s">
        <v>43</v>
      </c>
      <c r="N212" s="54" t="s">
        <v>1400</v>
      </c>
      <c r="O212" s="54" t="s">
        <v>7</v>
      </c>
      <c r="P212" s="54">
        <f t="shared" si="12"/>
        <v>0</v>
      </c>
      <c r="Q212">
        <f t="shared" si="13"/>
        <v>0</v>
      </c>
      <c r="R212">
        <f t="shared" si="14"/>
        <v>0</v>
      </c>
      <c r="S212" t="b">
        <f t="shared" si="15"/>
        <v>0</v>
      </c>
    </row>
    <row r="213" spans="1:19" x14ac:dyDescent="0.2">
      <c r="A213" s="54">
        <v>108939</v>
      </c>
      <c r="B213" s="54" t="s">
        <v>1090</v>
      </c>
      <c r="C213" s="55">
        <v>31</v>
      </c>
      <c r="D213" s="55">
        <v>20</v>
      </c>
      <c r="E213" s="55">
        <v>0</v>
      </c>
      <c r="F213" s="55">
        <v>0</v>
      </c>
      <c r="G213" s="55">
        <v>0</v>
      </c>
      <c r="H213" s="55">
        <v>0</v>
      </c>
      <c r="I213" s="55">
        <v>0</v>
      </c>
      <c r="J213" s="55">
        <v>0</v>
      </c>
      <c r="K213" s="55">
        <v>0</v>
      </c>
      <c r="L213" s="55">
        <v>0</v>
      </c>
      <c r="M213" s="54" t="s">
        <v>30</v>
      </c>
      <c r="N213" s="54" t="s">
        <v>1401</v>
      </c>
      <c r="O213" s="54" t="s">
        <v>7</v>
      </c>
      <c r="P213" s="54">
        <f t="shared" si="12"/>
        <v>0</v>
      </c>
      <c r="Q213">
        <f t="shared" si="13"/>
        <v>0</v>
      </c>
      <c r="R213">
        <f t="shared" si="14"/>
        <v>0</v>
      </c>
      <c r="S213" t="b">
        <f t="shared" si="15"/>
        <v>0</v>
      </c>
    </row>
    <row r="214" spans="1:19" x14ac:dyDescent="0.2">
      <c r="A214" s="54">
        <v>108982</v>
      </c>
      <c r="B214" s="54" t="s">
        <v>1084</v>
      </c>
      <c r="C214" s="55">
        <v>30</v>
      </c>
      <c r="D214" s="55">
        <v>14</v>
      </c>
      <c r="E214" s="55">
        <v>0</v>
      </c>
      <c r="F214" s="55">
        <v>21</v>
      </c>
      <c r="G214" s="55">
        <v>21</v>
      </c>
      <c r="H214" s="55">
        <v>21</v>
      </c>
      <c r="I214" s="55">
        <v>1.5</v>
      </c>
      <c r="J214" s="55">
        <v>1.5</v>
      </c>
      <c r="K214" s="55">
        <v>1.5</v>
      </c>
      <c r="L214" s="55">
        <v>0</v>
      </c>
      <c r="M214" s="54" t="s">
        <v>30</v>
      </c>
      <c r="N214" s="54" t="s">
        <v>1401</v>
      </c>
      <c r="O214" s="54" t="s">
        <v>7</v>
      </c>
      <c r="P214" s="54">
        <f t="shared" si="12"/>
        <v>30</v>
      </c>
      <c r="Q214">
        <f t="shared" si="13"/>
        <v>0</v>
      </c>
      <c r="R214">
        <f t="shared" si="14"/>
        <v>30</v>
      </c>
      <c r="S214" t="b">
        <f t="shared" si="15"/>
        <v>0</v>
      </c>
    </row>
    <row r="215" spans="1:19" x14ac:dyDescent="0.2">
      <c r="A215" s="54">
        <v>109007</v>
      </c>
      <c r="B215" s="54" t="s">
        <v>1154</v>
      </c>
      <c r="C215" s="55">
        <v>54</v>
      </c>
      <c r="D215" s="55">
        <v>80</v>
      </c>
      <c r="E215" s="55">
        <v>3</v>
      </c>
      <c r="F215" s="55">
        <v>90</v>
      </c>
      <c r="G215" s="55">
        <v>66</v>
      </c>
      <c r="H215" s="55">
        <v>65</v>
      </c>
      <c r="I215" s="55">
        <v>1.1299999999999999</v>
      </c>
      <c r="J215" s="55">
        <v>0.83</v>
      </c>
      <c r="K215" s="55">
        <v>0.81</v>
      </c>
      <c r="L215" s="55">
        <v>7</v>
      </c>
      <c r="M215" s="54" t="s">
        <v>30</v>
      </c>
      <c r="N215" s="54" t="s">
        <v>1401</v>
      </c>
      <c r="O215" s="54" t="s">
        <v>7</v>
      </c>
      <c r="P215" s="54">
        <f t="shared" si="12"/>
        <v>54</v>
      </c>
      <c r="Q215">
        <f t="shared" si="13"/>
        <v>0</v>
      </c>
      <c r="R215">
        <f t="shared" si="14"/>
        <v>54</v>
      </c>
      <c r="S215" t="b">
        <f t="shared" si="15"/>
        <v>0</v>
      </c>
    </row>
    <row r="216" spans="1:19" x14ac:dyDescent="0.2">
      <c r="A216" s="54">
        <v>109011</v>
      </c>
      <c r="B216" s="54" t="s">
        <v>215</v>
      </c>
      <c r="C216" s="55">
        <v>40</v>
      </c>
      <c r="D216" s="55">
        <v>38</v>
      </c>
      <c r="E216" s="55">
        <v>9</v>
      </c>
      <c r="F216" s="55">
        <v>150</v>
      </c>
      <c r="G216" s="55">
        <v>95</v>
      </c>
      <c r="H216" s="55">
        <v>23</v>
      </c>
      <c r="I216" s="55">
        <v>3.95</v>
      </c>
      <c r="J216" s="55">
        <v>2.5</v>
      </c>
      <c r="K216" s="55">
        <v>0.61</v>
      </c>
      <c r="L216" s="55">
        <v>227</v>
      </c>
      <c r="M216" s="54" t="s">
        <v>43</v>
      </c>
      <c r="N216" s="54" t="s">
        <v>1400</v>
      </c>
      <c r="O216" s="54" t="s">
        <v>7</v>
      </c>
      <c r="P216" s="54">
        <f t="shared" si="12"/>
        <v>40</v>
      </c>
      <c r="Q216">
        <f t="shared" si="13"/>
        <v>40</v>
      </c>
      <c r="R216">
        <f t="shared" si="14"/>
        <v>40</v>
      </c>
      <c r="S216" t="b">
        <f t="shared" si="15"/>
        <v>0</v>
      </c>
    </row>
    <row r="217" spans="1:19" x14ac:dyDescent="0.2">
      <c r="A217" s="54">
        <v>109013</v>
      </c>
      <c r="B217" s="54" t="s">
        <v>428</v>
      </c>
      <c r="C217" s="55">
        <v>80</v>
      </c>
      <c r="D217" s="55">
        <v>145</v>
      </c>
      <c r="E217" s="55">
        <v>11</v>
      </c>
      <c r="F217" s="55">
        <v>28</v>
      </c>
      <c r="G217" s="55">
        <v>7</v>
      </c>
      <c r="H217" s="55">
        <v>7</v>
      </c>
      <c r="I217" s="55">
        <v>0.19</v>
      </c>
      <c r="J217" s="55">
        <v>0.05</v>
      </c>
      <c r="K217" s="55">
        <v>0.05</v>
      </c>
      <c r="L217" s="55">
        <v>2</v>
      </c>
      <c r="M217" s="54" t="s">
        <v>43</v>
      </c>
      <c r="N217" s="54" t="s">
        <v>1400</v>
      </c>
      <c r="O217" s="54" t="s">
        <v>6</v>
      </c>
      <c r="P217" s="54">
        <f t="shared" si="12"/>
        <v>0</v>
      </c>
      <c r="Q217">
        <f t="shared" si="13"/>
        <v>0</v>
      </c>
      <c r="R217">
        <f t="shared" si="14"/>
        <v>0</v>
      </c>
      <c r="S217" t="b">
        <f t="shared" si="15"/>
        <v>0</v>
      </c>
    </row>
    <row r="218" spans="1:19" x14ac:dyDescent="0.2">
      <c r="A218" s="54">
        <v>109017</v>
      </c>
      <c r="B218" s="54" t="s">
        <v>946</v>
      </c>
      <c r="C218" s="55">
        <v>14</v>
      </c>
      <c r="D218" s="55">
        <v>15</v>
      </c>
      <c r="E218" s="55">
        <v>0</v>
      </c>
      <c r="F218" s="55">
        <v>16</v>
      </c>
      <c r="G218" s="55">
        <v>16</v>
      </c>
      <c r="H218" s="55">
        <v>16</v>
      </c>
      <c r="I218" s="55">
        <v>1.07</v>
      </c>
      <c r="J218" s="55">
        <v>1.07</v>
      </c>
      <c r="K218" s="55">
        <v>1.07</v>
      </c>
      <c r="L218" s="55">
        <v>0</v>
      </c>
      <c r="M218" s="54" t="s">
        <v>30</v>
      </c>
      <c r="N218" s="54" t="s">
        <v>1401</v>
      </c>
      <c r="O218" s="54" t="s">
        <v>7</v>
      </c>
      <c r="P218" s="54">
        <f t="shared" si="12"/>
        <v>14</v>
      </c>
      <c r="Q218">
        <f t="shared" si="13"/>
        <v>0</v>
      </c>
      <c r="R218">
        <f t="shared" si="14"/>
        <v>14</v>
      </c>
      <c r="S218" t="b">
        <f t="shared" si="15"/>
        <v>0</v>
      </c>
    </row>
    <row r="219" spans="1:19" x14ac:dyDescent="0.2">
      <c r="A219" s="54">
        <v>109037</v>
      </c>
      <c r="B219" s="54" t="s">
        <v>1163</v>
      </c>
      <c r="C219" s="55">
        <v>56</v>
      </c>
      <c r="D219" s="55">
        <v>115</v>
      </c>
      <c r="E219" s="55">
        <v>1</v>
      </c>
      <c r="F219" s="55">
        <v>0</v>
      </c>
      <c r="G219" s="55">
        <v>0</v>
      </c>
      <c r="H219" s="55">
        <v>0</v>
      </c>
      <c r="I219" s="55">
        <v>0</v>
      </c>
      <c r="J219" s="55">
        <v>0</v>
      </c>
      <c r="K219" s="55">
        <v>0</v>
      </c>
      <c r="L219" s="55">
        <v>0</v>
      </c>
      <c r="M219" s="54" t="s">
        <v>30</v>
      </c>
      <c r="N219" s="54" t="s">
        <v>1401</v>
      </c>
      <c r="O219" s="54" t="s">
        <v>6</v>
      </c>
      <c r="P219" s="54">
        <f t="shared" si="12"/>
        <v>0</v>
      </c>
      <c r="Q219">
        <f t="shared" si="13"/>
        <v>0</v>
      </c>
      <c r="R219">
        <f t="shared" si="14"/>
        <v>0</v>
      </c>
      <c r="S219" t="b">
        <f t="shared" si="15"/>
        <v>0</v>
      </c>
    </row>
    <row r="220" spans="1:19" x14ac:dyDescent="0.2">
      <c r="A220" s="54">
        <v>109079</v>
      </c>
      <c r="B220" s="54" t="s">
        <v>148</v>
      </c>
      <c r="C220" s="55">
        <v>280</v>
      </c>
      <c r="D220" s="55">
        <v>274</v>
      </c>
      <c r="E220" s="55">
        <v>34</v>
      </c>
      <c r="F220" s="55">
        <v>496</v>
      </c>
      <c r="G220" s="55">
        <v>46</v>
      </c>
      <c r="H220" s="55">
        <v>1</v>
      </c>
      <c r="I220" s="55">
        <v>1.81</v>
      </c>
      <c r="J220" s="55">
        <v>0.17</v>
      </c>
      <c r="K220" s="55">
        <v>0</v>
      </c>
      <c r="L220" s="55">
        <v>0</v>
      </c>
      <c r="M220" s="54" t="s">
        <v>47</v>
      </c>
      <c r="N220" s="54" t="s">
        <v>47</v>
      </c>
      <c r="O220" s="54" t="s">
        <v>6</v>
      </c>
      <c r="P220" s="54">
        <f t="shared" si="12"/>
        <v>0</v>
      </c>
      <c r="Q220">
        <f t="shared" si="13"/>
        <v>0</v>
      </c>
      <c r="R220">
        <f t="shared" si="14"/>
        <v>0</v>
      </c>
      <c r="S220" t="b">
        <f t="shared" si="15"/>
        <v>0</v>
      </c>
    </row>
    <row r="221" spans="1:19" x14ac:dyDescent="0.2">
      <c r="A221" s="54">
        <v>109081</v>
      </c>
      <c r="B221" s="54" t="s">
        <v>1041</v>
      </c>
      <c r="C221" s="55">
        <v>24</v>
      </c>
      <c r="D221" s="55">
        <v>20</v>
      </c>
      <c r="E221" s="55">
        <v>4</v>
      </c>
      <c r="F221" s="55">
        <v>0</v>
      </c>
      <c r="G221" s="55">
        <v>0</v>
      </c>
      <c r="H221" s="55">
        <v>0</v>
      </c>
      <c r="I221" s="55">
        <v>0</v>
      </c>
      <c r="J221" s="55">
        <v>0</v>
      </c>
      <c r="K221" s="55">
        <v>0</v>
      </c>
      <c r="L221" s="55">
        <v>0</v>
      </c>
      <c r="M221" s="54" t="s">
        <v>30</v>
      </c>
      <c r="N221" s="54" t="s">
        <v>1401</v>
      </c>
      <c r="O221" s="54" t="s">
        <v>7</v>
      </c>
      <c r="P221" s="54">
        <f t="shared" si="12"/>
        <v>0</v>
      </c>
      <c r="Q221">
        <f t="shared" si="13"/>
        <v>0</v>
      </c>
      <c r="R221">
        <f t="shared" si="14"/>
        <v>0</v>
      </c>
      <c r="S221" t="b">
        <f t="shared" si="15"/>
        <v>0</v>
      </c>
    </row>
    <row r="222" spans="1:19" x14ac:dyDescent="0.2">
      <c r="A222" s="54">
        <v>109084</v>
      </c>
      <c r="B222" s="54" t="s">
        <v>467</v>
      </c>
      <c r="C222" s="55">
        <v>10</v>
      </c>
      <c r="D222" s="55">
        <v>21</v>
      </c>
      <c r="E222" s="55">
        <v>7</v>
      </c>
      <c r="F222" s="55">
        <v>27</v>
      </c>
      <c r="G222" s="55">
        <v>27</v>
      </c>
      <c r="H222" s="55">
        <v>7</v>
      </c>
      <c r="I222" s="55">
        <v>1.29</v>
      </c>
      <c r="J222" s="55">
        <v>1.29</v>
      </c>
      <c r="K222" s="55">
        <v>0.33</v>
      </c>
      <c r="L222" s="55">
        <v>12</v>
      </c>
      <c r="M222" s="54" t="s">
        <v>43</v>
      </c>
      <c r="N222" s="54" t="s">
        <v>1400</v>
      </c>
      <c r="O222" s="54" t="s">
        <v>7</v>
      </c>
      <c r="P222" s="54">
        <f t="shared" si="12"/>
        <v>10</v>
      </c>
      <c r="Q222">
        <f t="shared" si="13"/>
        <v>0</v>
      </c>
      <c r="R222">
        <f t="shared" si="14"/>
        <v>10</v>
      </c>
      <c r="S222" t="b">
        <f t="shared" si="15"/>
        <v>0</v>
      </c>
    </row>
    <row r="223" spans="1:19" x14ac:dyDescent="0.2">
      <c r="A223" s="54">
        <v>109085</v>
      </c>
      <c r="B223" s="54" t="s">
        <v>855</v>
      </c>
      <c r="C223" s="55">
        <v>9</v>
      </c>
      <c r="D223" s="55">
        <v>8</v>
      </c>
      <c r="E223" s="55">
        <v>1</v>
      </c>
      <c r="F223" s="55">
        <v>0</v>
      </c>
      <c r="G223" s="55">
        <v>0</v>
      </c>
      <c r="H223" s="55">
        <v>0</v>
      </c>
      <c r="I223" s="55">
        <v>0</v>
      </c>
      <c r="J223" s="55">
        <v>0</v>
      </c>
      <c r="K223" s="55">
        <v>0</v>
      </c>
      <c r="L223" s="55">
        <v>0</v>
      </c>
      <c r="M223" s="54" t="s">
        <v>30</v>
      </c>
      <c r="N223" s="54" t="s">
        <v>1401</v>
      </c>
      <c r="O223" s="54" t="s">
        <v>7</v>
      </c>
      <c r="P223" s="54">
        <f t="shared" si="12"/>
        <v>0</v>
      </c>
      <c r="Q223">
        <f t="shared" si="13"/>
        <v>0</v>
      </c>
      <c r="R223">
        <f t="shared" si="14"/>
        <v>0</v>
      </c>
      <c r="S223" t="b">
        <f t="shared" si="15"/>
        <v>0</v>
      </c>
    </row>
    <row r="224" spans="1:19" x14ac:dyDescent="0.2">
      <c r="A224" s="54">
        <v>109093</v>
      </c>
      <c r="B224" s="54" t="s">
        <v>210</v>
      </c>
      <c r="C224" s="55">
        <v>58</v>
      </c>
      <c r="D224" s="55">
        <v>43</v>
      </c>
      <c r="E224" s="55">
        <v>11</v>
      </c>
      <c r="F224" s="55">
        <v>137</v>
      </c>
      <c r="G224" s="55">
        <v>13</v>
      </c>
      <c r="H224" s="55">
        <v>8</v>
      </c>
      <c r="I224" s="55">
        <v>3.19</v>
      </c>
      <c r="J224" s="55">
        <v>0.3</v>
      </c>
      <c r="K224" s="55">
        <v>0.19</v>
      </c>
      <c r="L224" s="55">
        <v>0</v>
      </c>
      <c r="M224" s="54" t="s">
        <v>43</v>
      </c>
      <c r="N224" s="54" t="s">
        <v>1400</v>
      </c>
      <c r="O224" s="54" t="s">
        <v>7</v>
      </c>
      <c r="P224" s="54">
        <f t="shared" si="12"/>
        <v>58</v>
      </c>
      <c r="Q224">
        <f t="shared" si="13"/>
        <v>58</v>
      </c>
      <c r="R224">
        <f t="shared" si="14"/>
        <v>0</v>
      </c>
      <c r="S224" t="b">
        <f t="shared" si="15"/>
        <v>0</v>
      </c>
    </row>
    <row r="225" spans="1:19" x14ac:dyDescent="0.2">
      <c r="A225" s="54">
        <v>109105</v>
      </c>
      <c r="B225" s="54" t="s">
        <v>627</v>
      </c>
      <c r="C225" s="55">
        <v>24</v>
      </c>
      <c r="D225" s="55">
        <v>27</v>
      </c>
      <c r="E225" s="55">
        <v>36</v>
      </c>
      <c r="F225" s="55">
        <v>0</v>
      </c>
      <c r="G225" s="55">
        <v>0</v>
      </c>
      <c r="H225" s="55">
        <v>0</v>
      </c>
      <c r="I225" s="55">
        <v>0</v>
      </c>
      <c r="J225" s="55">
        <v>0</v>
      </c>
      <c r="K225" s="55">
        <v>0</v>
      </c>
      <c r="L225" s="55">
        <v>18</v>
      </c>
      <c r="M225" s="54" t="s">
        <v>47</v>
      </c>
      <c r="N225" s="54" t="s">
        <v>47</v>
      </c>
      <c r="O225" s="54" t="s">
        <v>7</v>
      </c>
      <c r="P225" s="54">
        <f t="shared" si="12"/>
        <v>0</v>
      </c>
      <c r="Q225">
        <f t="shared" si="13"/>
        <v>0</v>
      </c>
      <c r="R225">
        <f t="shared" si="14"/>
        <v>0</v>
      </c>
      <c r="S225" t="b">
        <f t="shared" si="15"/>
        <v>0</v>
      </c>
    </row>
    <row r="226" spans="1:19" x14ac:dyDescent="0.2">
      <c r="A226" s="54">
        <v>109148</v>
      </c>
      <c r="B226" s="54" t="s">
        <v>343</v>
      </c>
      <c r="C226" s="55">
        <v>92</v>
      </c>
      <c r="D226" s="55">
        <v>85</v>
      </c>
      <c r="E226" s="55">
        <v>7</v>
      </c>
      <c r="F226" s="55">
        <v>144</v>
      </c>
      <c r="G226" s="55">
        <v>144</v>
      </c>
      <c r="H226" s="55">
        <v>77</v>
      </c>
      <c r="I226" s="55">
        <v>1.69</v>
      </c>
      <c r="J226" s="55">
        <v>1.69</v>
      </c>
      <c r="K226" s="55">
        <v>0.91</v>
      </c>
      <c r="L226" s="55">
        <v>38</v>
      </c>
      <c r="M226" s="54" t="s">
        <v>43</v>
      </c>
      <c r="N226" s="54" t="s">
        <v>1400</v>
      </c>
      <c r="O226" s="54" t="s">
        <v>7</v>
      </c>
      <c r="P226" s="54">
        <f t="shared" si="12"/>
        <v>92</v>
      </c>
      <c r="Q226">
        <f t="shared" si="13"/>
        <v>0</v>
      </c>
      <c r="R226">
        <f t="shared" si="14"/>
        <v>92</v>
      </c>
      <c r="S226" t="b">
        <f t="shared" si="15"/>
        <v>0</v>
      </c>
    </row>
    <row r="227" spans="1:19" x14ac:dyDescent="0.2">
      <c r="A227" s="54">
        <v>109149</v>
      </c>
      <c r="B227" s="54" t="s">
        <v>405</v>
      </c>
      <c r="C227" s="55">
        <v>14</v>
      </c>
      <c r="D227" s="55">
        <v>14</v>
      </c>
      <c r="E227" s="55">
        <v>10</v>
      </c>
      <c r="F227" s="55">
        <v>71</v>
      </c>
      <c r="G227" s="55">
        <v>0</v>
      </c>
      <c r="H227" s="55">
        <v>0</v>
      </c>
      <c r="I227" s="55">
        <v>5.07</v>
      </c>
      <c r="J227" s="55">
        <v>0</v>
      </c>
      <c r="K227" s="55">
        <v>0</v>
      </c>
      <c r="L227" s="55">
        <v>0</v>
      </c>
      <c r="M227" s="54" t="s">
        <v>43</v>
      </c>
      <c r="N227" s="54" t="s">
        <v>1400</v>
      </c>
      <c r="O227" s="54" t="s">
        <v>7</v>
      </c>
      <c r="P227" s="54">
        <f t="shared" si="12"/>
        <v>14</v>
      </c>
      <c r="Q227">
        <f t="shared" si="13"/>
        <v>14</v>
      </c>
      <c r="R227">
        <f t="shared" si="14"/>
        <v>0</v>
      </c>
      <c r="S227" t="b">
        <f t="shared" si="15"/>
        <v>0</v>
      </c>
    </row>
    <row r="228" spans="1:19" x14ac:dyDescent="0.2">
      <c r="A228" s="54">
        <v>109160</v>
      </c>
      <c r="B228" s="54" t="s">
        <v>153</v>
      </c>
      <c r="C228" s="55">
        <v>120</v>
      </c>
      <c r="D228" s="55">
        <v>1450</v>
      </c>
      <c r="E228" s="55">
        <v>34</v>
      </c>
      <c r="F228" s="55">
        <v>1320</v>
      </c>
      <c r="G228" s="55">
        <v>432</v>
      </c>
      <c r="H228" s="55">
        <v>72</v>
      </c>
      <c r="I228" s="55">
        <v>0.91</v>
      </c>
      <c r="J228" s="55">
        <v>0.3</v>
      </c>
      <c r="K228" s="55">
        <v>0.05</v>
      </c>
      <c r="L228" s="55">
        <v>146</v>
      </c>
      <c r="M228" s="54" t="s">
        <v>47</v>
      </c>
      <c r="N228" s="54" t="s">
        <v>47</v>
      </c>
      <c r="O228" s="54" t="s">
        <v>5</v>
      </c>
      <c r="P228" s="54">
        <f t="shared" si="12"/>
        <v>0</v>
      </c>
      <c r="Q228">
        <f t="shared" si="13"/>
        <v>0</v>
      </c>
      <c r="R228">
        <f t="shared" si="14"/>
        <v>0</v>
      </c>
      <c r="S228" t="b">
        <f t="shared" si="15"/>
        <v>0</v>
      </c>
    </row>
    <row r="229" spans="1:19" x14ac:dyDescent="0.2">
      <c r="A229" s="54">
        <v>109178</v>
      </c>
      <c r="B229" s="54" t="s">
        <v>185</v>
      </c>
      <c r="C229" s="55">
        <v>165</v>
      </c>
      <c r="D229" s="55">
        <v>193</v>
      </c>
      <c r="E229" s="55">
        <v>15</v>
      </c>
      <c r="F229" s="55">
        <v>304</v>
      </c>
      <c r="G229" s="55">
        <v>94</v>
      </c>
      <c r="H229" s="55">
        <v>0</v>
      </c>
      <c r="I229" s="55">
        <v>1.58</v>
      </c>
      <c r="J229" s="55">
        <v>0.49</v>
      </c>
      <c r="K229" s="55">
        <v>0</v>
      </c>
      <c r="L229" s="55">
        <v>0</v>
      </c>
      <c r="M229" s="54" t="s">
        <v>45</v>
      </c>
      <c r="N229" s="54" t="s">
        <v>47</v>
      </c>
      <c r="O229" s="54" t="s">
        <v>6</v>
      </c>
      <c r="P229" s="54">
        <f t="shared" si="12"/>
        <v>0</v>
      </c>
      <c r="Q229">
        <f t="shared" si="13"/>
        <v>0</v>
      </c>
      <c r="R229">
        <f t="shared" si="14"/>
        <v>0</v>
      </c>
      <c r="S229" t="b">
        <f t="shared" si="15"/>
        <v>0</v>
      </c>
    </row>
    <row r="230" spans="1:19" x14ac:dyDescent="0.2">
      <c r="A230" s="54">
        <v>109197</v>
      </c>
      <c r="B230" s="54" t="s">
        <v>326</v>
      </c>
      <c r="C230" s="55">
        <v>347</v>
      </c>
      <c r="D230" s="55">
        <v>363</v>
      </c>
      <c r="E230" s="55">
        <v>8</v>
      </c>
      <c r="F230" s="55">
        <v>108</v>
      </c>
      <c r="G230" s="55">
        <v>64</v>
      </c>
      <c r="H230" s="55">
        <v>0</v>
      </c>
      <c r="I230" s="55">
        <v>0.3</v>
      </c>
      <c r="J230" s="55">
        <v>0.18</v>
      </c>
      <c r="K230" s="55">
        <v>0</v>
      </c>
      <c r="L230" s="55">
        <v>168</v>
      </c>
      <c r="M230" s="54" t="s">
        <v>43</v>
      </c>
      <c r="N230" s="54" t="s">
        <v>1400</v>
      </c>
      <c r="O230" s="54" t="s">
        <v>6</v>
      </c>
      <c r="P230" s="54">
        <f t="shared" si="12"/>
        <v>0</v>
      </c>
      <c r="Q230">
        <f t="shared" si="13"/>
        <v>0</v>
      </c>
      <c r="R230">
        <f t="shared" si="14"/>
        <v>0</v>
      </c>
      <c r="S230" t="b">
        <f t="shared" si="15"/>
        <v>0</v>
      </c>
    </row>
    <row r="231" spans="1:19" x14ac:dyDescent="0.2">
      <c r="A231" s="54">
        <v>109200</v>
      </c>
      <c r="B231" s="54" t="s">
        <v>1166</v>
      </c>
      <c r="C231" s="55">
        <v>60</v>
      </c>
      <c r="D231" s="55">
        <v>60</v>
      </c>
      <c r="E231" s="55">
        <v>2</v>
      </c>
      <c r="F231" s="55">
        <v>0</v>
      </c>
      <c r="G231" s="55">
        <v>0</v>
      </c>
      <c r="H231" s="55">
        <v>0</v>
      </c>
      <c r="I231" s="55">
        <v>0</v>
      </c>
      <c r="J231" s="55">
        <v>0</v>
      </c>
      <c r="K231" s="55">
        <v>0</v>
      </c>
      <c r="L231" s="55">
        <v>0</v>
      </c>
      <c r="M231" s="54" t="s">
        <v>30</v>
      </c>
      <c r="N231" s="54" t="s">
        <v>1401</v>
      </c>
      <c r="O231" s="54" t="s">
        <v>7</v>
      </c>
      <c r="P231" s="54">
        <f t="shared" si="12"/>
        <v>0</v>
      </c>
      <c r="Q231">
        <f t="shared" si="13"/>
        <v>0</v>
      </c>
      <c r="R231">
        <f t="shared" si="14"/>
        <v>0</v>
      </c>
      <c r="S231" t="b">
        <f t="shared" si="15"/>
        <v>0</v>
      </c>
    </row>
    <row r="232" spans="1:19" x14ac:dyDescent="0.2">
      <c r="A232" s="54">
        <v>109205</v>
      </c>
      <c r="B232" s="54" t="s">
        <v>491</v>
      </c>
      <c r="C232" s="55">
        <v>249</v>
      </c>
      <c r="D232" s="55">
        <v>429</v>
      </c>
      <c r="E232" s="55">
        <v>10</v>
      </c>
      <c r="F232" s="55">
        <v>19</v>
      </c>
      <c r="G232" s="55">
        <v>14</v>
      </c>
      <c r="H232" s="55">
        <v>0</v>
      </c>
      <c r="I232" s="55">
        <v>0.04</v>
      </c>
      <c r="J232" s="55">
        <v>0.03</v>
      </c>
      <c r="K232" s="55">
        <v>0</v>
      </c>
      <c r="L232" s="55">
        <v>83</v>
      </c>
      <c r="M232" s="54" t="s">
        <v>43</v>
      </c>
      <c r="N232" s="54" t="s">
        <v>1400</v>
      </c>
      <c r="O232" s="54" t="s">
        <v>6</v>
      </c>
      <c r="P232" s="54">
        <f t="shared" si="12"/>
        <v>0</v>
      </c>
      <c r="Q232">
        <f t="shared" si="13"/>
        <v>0</v>
      </c>
      <c r="R232">
        <f t="shared" si="14"/>
        <v>0</v>
      </c>
      <c r="S232" t="b">
        <f t="shared" si="15"/>
        <v>0</v>
      </c>
    </row>
    <row r="233" spans="1:19" x14ac:dyDescent="0.2">
      <c r="A233" s="54">
        <v>109207</v>
      </c>
      <c r="B233" s="54" t="s">
        <v>235</v>
      </c>
      <c r="C233" s="55">
        <v>162</v>
      </c>
      <c r="D233" s="55">
        <v>166</v>
      </c>
      <c r="E233" s="55">
        <v>50</v>
      </c>
      <c r="F233" s="55">
        <v>313</v>
      </c>
      <c r="G233" s="55">
        <v>227</v>
      </c>
      <c r="H233" s="55">
        <v>143</v>
      </c>
      <c r="I233" s="55">
        <v>1.89</v>
      </c>
      <c r="J233" s="55">
        <v>1.37</v>
      </c>
      <c r="K233" s="55">
        <v>0.86</v>
      </c>
      <c r="L233" s="55">
        <v>139</v>
      </c>
      <c r="M233" s="54" t="s">
        <v>47</v>
      </c>
      <c r="N233" s="54" t="s">
        <v>47</v>
      </c>
      <c r="O233" s="54" t="s">
        <v>6</v>
      </c>
      <c r="P233" s="54">
        <f t="shared" si="12"/>
        <v>162</v>
      </c>
      <c r="Q233">
        <f t="shared" si="13"/>
        <v>0</v>
      </c>
      <c r="R233">
        <f t="shared" si="14"/>
        <v>162</v>
      </c>
      <c r="S233" t="b">
        <f t="shared" si="15"/>
        <v>0</v>
      </c>
    </row>
    <row r="234" spans="1:19" x14ac:dyDescent="0.2">
      <c r="A234" s="54">
        <v>109208</v>
      </c>
      <c r="B234" s="54" t="s">
        <v>290</v>
      </c>
      <c r="C234" s="55">
        <v>1200</v>
      </c>
      <c r="D234" s="55">
        <v>1062</v>
      </c>
      <c r="E234" s="55">
        <v>7</v>
      </c>
      <c r="F234" s="55">
        <v>260</v>
      </c>
      <c r="G234" s="55">
        <v>173</v>
      </c>
      <c r="H234" s="55">
        <v>173</v>
      </c>
      <c r="I234" s="55">
        <v>0.24</v>
      </c>
      <c r="J234" s="55">
        <v>0.16</v>
      </c>
      <c r="K234" s="55">
        <v>0.16</v>
      </c>
      <c r="L234" s="55">
        <v>13</v>
      </c>
      <c r="M234" s="54" t="s">
        <v>43</v>
      </c>
      <c r="N234" s="54" t="s">
        <v>1400</v>
      </c>
      <c r="O234" s="54" t="s">
        <v>5</v>
      </c>
      <c r="P234" s="54">
        <f t="shared" si="12"/>
        <v>0</v>
      </c>
      <c r="Q234">
        <f t="shared" si="13"/>
        <v>0</v>
      </c>
      <c r="R234">
        <f t="shared" si="14"/>
        <v>0</v>
      </c>
      <c r="S234" t="b">
        <f t="shared" si="15"/>
        <v>0</v>
      </c>
    </row>
    <row r="235" spans="1:19" x14ac:dyDescent="0.2">
      <c r="A235" s="54">
        <v>109222</v>
      </c>
      <c r="B235" s="54" t="s">
        <v>1232</v>
      </c>
      <c r="C235" s="55">
        <v>122</v>
      </c>
      <c r="D235" s="55">
        <v>135</v>
      </c>
      <c r="E235" s="55">
        <v>3</v>
      </c>
      <c r="F235" s="55">
        <v>13</v>
      </c>
      <c r="G235" s="55">
        <v>13</v>
      </c>
      <c r="H235" s="55">
        <v>13</v>
      </c>
      <c r="I235" s="55">
        <v>0.1</v>
      </c>
      <c r="J235" s="55">
        <v>0.1</v>
      </c>
      <c r="K235" s="55">
        <v>0.1</v>
      </c>
      <c r="L235" s="55">
        <v>16</v>
      </c>
      <c r="M235" s="54" t="s">
        <v>30</v>
      </c>
      <c r="N235" s="54" t="s">
        <v>1401</v>
      </c>
      <c r="O235" s="54" t="s">
        <v>6</v>
      </c>
      <c r="P235" s="54">
        <f t="shared" si="12"/>
        <v>0</v>
      </c>
      <c r="Q235">
        <f t="shared" si="13"/>
        <v>0</v>
      </c>
      <c r="R235">
        <f t="shared" si="14"/>
        <v>0</v>
      </c>
      <c r="S235" t="b">
        <f t="shared" si="15"/>
        <v>0</v>
      </c>
    </row>
    <row r="236" spans="1:19" x14ac:dyDescent="0.2">
      <c r="A236" s="54">
        <v>109229</v>
      </c>
      <c r="B236" s="54" t="s">
        <v>389</v>
      </c>
      <c r="C236" s="55">
        <v>285</v>
      </c>
      <c r="D236" s="55">
        <v>228</v>
      </c>
      <c r="E236" s="55">
        <v>25</v>
      </c>
      <c r="F236" s="55">
        <v>93</v>
      </c>
      <c r="G236" s="55">
        <v>11</v>
      </c>
      <c r="H236" s="55">
        <v>0</v>
      </c>
      <c r="I236" s="55">
        <v>0.41</v>
      </c>
      <c r="J236" s="55">
        <v>0.05</v>
      </c>
      <c r="K236" s="55">
        <v>0</v>
      </c>
      <c r="L236" s="55">
        <v>135</v>
      </c>
      <c r="M236" s="54" t="s">
        <v>47</v>
      </c>
      <c r="N236" s="54" t="s">
        <v>47</v>
      </c>
      <c r="O236" s="54" t="s">
        <v>6</v>
      </c>
      <c r="P236" s="54">
        <f t="shared" si="12"/>
        <v>0</v>
      </c>
      <c r="Q236">
        <f t="shared" si="13"/>
        <v>0</v>
      </c>
      <c r="R236">
        <f t="shared" si="14"/>
        <v>0</v>
      </c>
      <c r="S236" t="b">
        <f t="shared" si="15"/>
        <v>0</v>
      </c>
    </row>
    <row r="237" spans="1:19" x14ac:dyDescent="0.2">
      <c r="A237" s="54">
        <v>109232</v>
      </c>
      <c r="B237" s="54" t="s">
        <v>1174</v>
      </c>
      <c r="C237" s="55">
        <v>68</v>
      </c>
      <c r="D237" s="55">
        <v>60</v>
      </c>
      <c r="E237" s="55">
        <v>5</v>
      </c>
      <c r="F237" s="55">
        <v>62</v>
      </c>
      <c r="G237" s="55">
        <v>62</v>
      </c>
      <c r="H237" s="55">
        <v>32</v>
      </c>
      <c r="I237" s="55">
        <v>1.03</v>
      </c>
      <c r="J237" s="55">
        <v>1.03</v>
      </c>
      <c r="K237" s="55">
        <v>0.53</v>
      </c>
      <c r="L237" s="55">
        <v>35</v>
      </c>
      <c r="M237" s="54" t="s">
        <v>30</v>
      </c>
      <c r="N237" s="54" t="s">
        <v>1401</v>
      </c>
      <c r="O237" s="54" t="s">
        <v>7</v>
      </c>
      <c r="P237" s="54">
        <f t="shared" si="12"/>
        <v>68</v>
      </c>
      <c r="Q237">
        <f t="shared" si="13"/>
        <v>0</v>
      </c>
      <c r="R237">
        <f t="shared" si="14"/>
        <v>68</v>
      </c>
      <c r="S237" t="b">
        <f t="shared" si="15"/>
        <v>0</v>
      </c>
    </row>
    <row r="238" spans="1:19" x14ac:dyDescent="0.2">
      <c r="A238" s="54">
        <v>109245</v>
      </c>
      <c r="B238" s="54" t="s">
        <v>1290</v>
      </c>
      <c r="C238" s="55">
        <v>426</v>
      </c>
      <c r="D238" s="55">
        <v>350</v>
      </c>
      <c r="E238" s="55">
        <v>5</v>
      </c>
      <c r="F238" s="55">
        <v>2151</v>
      </c>
      <c r="G238" s="55">
        <v>2151</v>
      </c>
      <c r="H238" s="55">
        <v>316</v>
      </c>
      <c r="I238" s="55">
        <v>6.15</v>
      </c>
      <c r="J238" s="55">
        <v>6.15</v>
      </c>
      <c r="K238" s="55">
        <v>0.9</v>
      </c>
      <c r="L238" s="55">
        <v>77</v>
      </c>
      <c r="M238" s="54" t="s">
        <v>30</v>
      </c>
      <c r="N238" s="54" t="s">
        <v>1401</v>
      </c>
      <c r="O238" s="54" t="s">
        <v>6</v>
      </c>
      <c r="P238" s="54">
        <f t="shared" si="12"/>
        <v>426</v>
      </c>
      <c r="Q238">
        <f t="shared" si="13"/>
        <v>426</v>
      </c>
      <c r="R238">
        <f t="shared" si="14"/>
        <v>426</v>
      </c>
      <c r="S238" t="b">
        <f t="shared" si="15"/>
        <v>0</v>
      </c>
    </row>
    <row r="239" spans="1:19" x14ac:dyDescent="0.2">
      <c r="A239" s="54">
        <v>109256</v>
      </c>
      <c r="B239" s="54" t="s">
        <v>292</v>
      </c>
      <c r="C239" s="55">
        <v>82</v>
      </c>
      <c r="D239" s="55">
        <v>75</v>
      </c>
      <c r="E239" s="55">
        <v>11</v>
      </c>
      <c r="F239" s="55">
        <v>85</v>
      </c>
      <c r="G239" s="55">
        <v>9</v>
      </c>
      <c r="H239" s="55">
        <v>0</v>
      </c>
      <c r="I239" s="55">
        <v>1.1299999999999999</v>
      </c>
      <c r="J239" s="55">
        <v>0.12</v>
      </c>
      <c r="K239" s="55">
        <v>0</v>
      </c>
      <c r="L239" s="55">
        <v>0</v>
      </c>
      <c r="M239" s="54" t="s">
        <v>43</v>
      </c>
      <c r="N239" s="54" t="s">
        <v>1400</v>
      </c>
      <c r="O239" s="54" t="s">
        <v>7</v>
      </c>
      <c r="P239" s="54">
        <f t="shared" si="12"/>
        <v>0</v>
      </c>
      <c r="Q239">
        <f t="shared" si="13"/>
        <v>0</v>
      </c>
      <c r="R239">
        <f t="shared" si="14"/>
        <v>0</v>
      </c>
      <c r="S239" t="b">
        <f t="shared" si="15"/>
        <v>0</v>
      </c>
    </row>
    <row r="240" spans="1:19" x14ac:dyDescent="0.2">
      <c r="A240" s="54">
        <v>109265</v>
      </c>
      <c r="B240" s="54" t="s">
        <v>279</v>
      </c>
      <c r="C240" s="55">
        <v>445</v>
      </c>
      <c r="D240" s="55">
        <v>300</v>
      </c>
      <c r="E240" s="55">
        <v>25</v>
      </c>
      <c r="F240" s="55">
        <v>126</v>
      </c>
      <c r="G240" s="55">
        <v>126</v>
      </c>
      <c r="H240" s="55">
        <v>92</v>
      </c>
      <c r="I240" s="55">
        <v>0.42</v>
      </c>
      <c r="J240" s="55">
        <v>0.42</v>
      </c>
      <c r="K240" s="55">
        <v>0.31</v>
      </c>
      <c r="L240" s="55">
        <v>0</v>
      </c>
      <c r="M240" s="54" t="s">
        <v>47</v>
      </c>
      <c r="N240" s="54" t="s">
        <v>47</v>
      </c>
      <c r="O240" s="54" t="s">
        <v>6</v>
      </c>
      <c r="P240" s="54">
        <f t="shared" si="12"/>
        <v>0</v>
      </c>
      <c r="Q240">
        <f t="shared" si="13"/>
        <v>0</v>
      </c>
      <c r="R240">
        <f t="shared" si="14"/>
        <v>0</v>
      </c>
      <c r="S240" t="b">
        <f t="shared" si="15"/>
        <v>0</v>
      </c>
    </row>
    <row r="241" spans="1:19" x14ac:dyDescent="0.2">
      <c r="A241" s="54">
        <v>109267</v>
      </c>
      <c r="B241" s="54" t="s">
        <v>280</v>
      </c>
      <c r="C241" s="55">
        <v>55</v>
      </c>
      <c r="D241" s="55">
        <v>252</v>
      </c>
      <c r="E241" s="55">
        <v>49</v>
      </c>
      <c r="F241" s="55">
        <v>358</v>
      </c>
      <c r="G241" s="55">
        <v>233</v>
      </c>
      <c r="H241" s="55">
        <v>196</v>
      </c>
      <c r="I241" s="55">
        <v>1.42</v>
      </c>
      <c r="J241" s="55">
        <v>0.92</v>
      </c>
      <c r="K241" s="55">
        <v>0.78</v>
      </c>
      <c r="L241" s="55">
        <v>4</v>
      </c>
      <c r="M241" s="54" t="s">
        <v>47</v>
      </c>
      <c r="N241" s="54" t="s">
        <v>47</v>
      </c>
      <c r="O241" s="54" t="s">
        <v>6</v>
      </c>
      <c r="P241" s="54">
        <f t="shared" si="12"/>
        <v>55</v>
      </c>
      <c r="Q241">
        <f t="shared" si="13"/>
        <v>0</v>
      </c>
      <c r="R241">
        <f t="shared" si="14"/>
        <v>55</v>
      </c>
      <c r="S241" t="b">
        <f t="shared" si="15"/>
        <v>0</v>
      </c>
    </row>
    <row r="242" spans="1:19" x14ac:dyDescent="0.2">
      <c r="A242" s="54">
        <v>109269</v>
      </c>
      <c r="B242" s="54" t="s">
        <v>111</v>
      </c>
      <c r="C242" s="55">
        <v>140</v>
      </c>
      <c r="D242" s="55">
        <v>120</v>
      </c>
      <c r="E242" s="55">
        <v>48</v>
      </c>
      <c r="F242" s="55">
        <v>637</v>
      </c>
      <c r="G242" s="55">
        <v>609</v>
      </c>
      <c r="H242" s="55">
        <v>231</v>
      </c>
      <c r="I242" s="55">
        <v>5.31</v>
      </c>
      <c r="J242" s="55">
        <v>5.08</v>
      </c>
      <c r="K242" s="55">
        <v>1.93</v>
      </c>
      <c r="L242" s="55">
        <v>10</v>
      </c>
      <c r="M242" s="54" t="s">
        <v>47</v>
      </c>
      <c r="N242" s="54" t="s">
        <v>47</v>
      </c>
      <c r="O242" s="54" t="s">
        <v>6</v>
      </c>
      <c r="P242" s="54">
        <f t="shared" si="12"/>
        <v>140</v>
      </c>
      <c r="Q242">
        <f t="shared" si="13"/>
        <v>140</v>
      </c>
      <c r="R242">
        <f t="shared" si="14"/>
        <v>140</v>
      </c>
      <c r="S242" t="b">
        <f t="shared" si="15"/>
        <v>0</v>
      </c>
    </row>
    <row r="243" spans="1:19" x14ac:dyDescent="0.2">
      <c r="A243" s="54">
        <v>109291</v>
      </c>
      <c r="B243" s="54" t="s">
        <v>104</v>
      </c>
      <c r="C243" s="55">
        <v>210</v>
      </c>
      <c r="D243" s="55">
        <v>200</v>
      </c>
      <c r="E243" s="55">
        <v>22</v>
      </c>
      <c r="F243" s="55">
        <v>1070</v>
      </c>
      <c r="G243" s="55">
        <v>1051</v>
      </c>
      <c r="H243" s="55">
        <v>1051</v>
      </c>
      <c r="I243" s="55">
        <v>5.35</v>
      </c>
      <c r="J243" s="55">
        <v>5.26</v>
      </c>
      <c r="K243" s="55">
        <v>5.26</v>
      </c>
      <c r="L243" s="55">
        <v>1</v>
      </c>
      <c r="M243" s="54" t="s">
        <v>45</v>
      </c>
      <c r="N243" s="54" t="s">
        <v>47</v>
      </c>
      <c r="O243" s="54" t="s">
        <v>6</v>
      </c>
      <c r="P243" s="54">
        <f t="shared" si="12"/>
        <v>210</v>
      </c>
      <c r="Q243">
        <f t="shared" si="13"/>
        <v>210</v>
      </c>
      <c r="R243">
        <f t="shared" si="14"/>
        <v>210</v>
      </c>
      <c r="S243" t="b">
        <f t="shared" si="15"/>
        <v>0</v>
      </c>
    </row>
    <row r="244" spans="1:19" x14ac:dyDescent="0.2">
      <c r="A244" s="54">
        <v>109294</v>
      </c>
      <c r="B244" s="54" t="s">
        <v>222</v>
      </c>
      <c r="C244" s="55">
        <v>62</v>
      </c>
      <c r="D244" s="55">
        <v>26</v>
      </c>
      <c r="E244" s="55">
        <v>9</v>
      </c>
      <c r="F244" s="55">
        <v>221</v>
      </c>
      <c r="G244" s="55">
        <v>14</v>
      </c>
      <c r="H244" s="55">
        <v>6</v>
      </c>
      <c r="I244" s="55">
        <v>8.5</v>
      </c>
      <c r="J244" s="55">
        <v>0.54</v>
      </c>
      <c r="K244" s="55">
        <v>0.23</v>
      </c>
      <c r="L244" s="55">
        <v>0</v>
      </c>
      <c r="M244" s="54" t="s">
        <v>43</v>
      </c>
      <c r="N244" s="54" t="s">
        <v>1400</v>
      </c>
      <c r="O244" s="54" t="s">
        <v>7</v>
      </c>
      <c r="P244" s="54">
        <f t="shared" si="12"/>
        <v>62</v>
      </c>
      <c r="Q244">
        <f t="shared" si="13"/>
        <v>62</v>
      </c>
      <c r="R244">
        <f t="shared" si="14"/>
        <v>0</v>
      </c>
      <c r="S244" t="b">
        <f t="shared" si="15"/>
        <v>0</v>
      </c>
    </row>
    <row r="245" spans="1:19" x14ac:dyDescent="0.2">
      <c r="A245" s="54">
        <v>109353</v>
      </c>
      <c r="B245" s="54" t="s">
        <v>434</v>
      </c>
      <c r="C245" s="55">
        <v>40</v>
      </c>
      <c r="D245" s="55">
        <v>34</v>
      </c>
      <c r="E245" s="55">
        <v>6</v>
      </c>
      <c r="F245" s="55">
        <v>31</v>
      </c>
      <c r="G245" s="55">
        <v>31</v>
      </c>
      <c r="H245" s="55">
        <v>31</v>
      </c>
      <c r="I245" s="55">
        <v>0.91</v>
      </c>
      <c r="J245" s="55">
        <v>0.91</v>
      </c>
      <c r="K245" s="55">
        <v>0.91</v>
      </c>
      <c r="L245" s="55">
        <v>14</v>
      </c>
      <c r="M245" s="54" t="s">
        <v>43</v>
      </c>
      <c r="N245" s="54" t="s">
        <v>1400</v>
      </c>
      <c r="O245" s="54" t="s">
        <v>7</v>
      </c>
      <c r="P245" s="54">
        <f t="shared" si="12"/>
        <v>40</v>
      </c>
      <c r="Q245">
        <f t="shared" si="13"/>
        <v>0</v>
      </c>
      <c r="R245">
        <f t="shared" si="14"/>
        <v>40</v>
      </c>
      <c r="S245" t="b">
        <f t="shared" si="15"/>
        <v>0</v>
      </c>
    </row>
    <row r="246" spans="1:19" x14ac:dyDescent="0.2">
      <c r="A246" s="54">
        <v>109356</v>
      </c>
      <c r="B246" s="54" t="s">
        <v>1172</v>
      </c>
      <c r="C246" s="55">
        <v>64</v>
      </c>
      <c r="D246" s="55">
        <v>67</v>
      </c>
      <c r="E246" s="55">
        <v>0</v>
      </c>
      <c r="F246" s="55">
        <v>24</v>
      </c>
      <c r="G246" s="55">
        <v>24</v>
      </c>
      <c r="H246" s="55">
        <v>24</v>
      </c>
      <c r="I246" s="55">
        <v>0.36</v>
      </c>
      <c r="J246" s="55">
        <v>0.36</v>
      </c>
      <c r="K246" s="55">
        <v>0.36</v>
      </c>
      <c r="L246" s="55">
        <v>37</v>
      </c>
      <c r="M246" s="54" t="s">
        <v>30</v>
      </c>
      <c r="N246" s="54" t="s">
        <v>1401</v>
      </c>
      <c r="O246" s="54" t="s">
        <v>7</v>
      </c>
      <c r="P246" s="54">
        <f t="shared" si="12"/>
        <v>0</v>
      </c>
      <c r="Q246">
        <f t="shared" si="13"/>
        <v>0</v>
      </c>
      <c r="R246">
        <f t="shared" si="14"/>
        <v>0</v>
      </c>
      <c r="S246" t="b">
        <f t="shared" si="15"/>
        <v>0</v>
      </c>
    </row>
    <row r="247" spans="1:19" x14ac:dyDescent="0.2">
      <c r="A247" s="54">
        <v>109365</v>
      </c>
      <c r="B247" s="54" t="s">
        <v>503</v>
      </c>
      <c r="C247" s="55">
        <v>58</v>
      </c>
      <c r="D247" s="55">
        <v>50</v>
      </c>
      <c r="E247" s="55">
        <v>7</v>
      </c>
      <c r="F247" s="55">
        <v>20</v>
      </c>
      <c r="G247" s="55">
        <v>16</v>
      </c>
      <c r="H247" s="55">
        <v>16</v>
      </c>
      <c r="I247" s="55">
        <v>0.4</v>
      </c>
      <c r="J247" s="55">
        <v>0.32</v>
      </c>
      <c r="K247" s="55">
        <v>0.32</v>
      </c>
      <c r="L247" s="55">
        <v>98</v>
      </c>
      <c r="M247" s="54" t="s">
        <v>43</v>
      </c>
      <c r="N247" s="54" t="s">
        <v>1400</v>
      </c>
      <c r="O247" s="54" t="s">
        <v>7</v>
      </c>
      <c r="P247" s="54">
        <f t="shared" si="12"/>
        <v>0</v>
      </c>
      <c r="Q247">
        <f t="shared" si="13"/>
        <v>0</v>
      </c>
      <c r="R247">
        <f t="shared" si="14"/>
        <v>0</v>
      </c>
      <c r="S247" t="b">
        <f t="shared" si="15"/>
        <v>0</v>
      </c>
    </row>
    <row r="248" spans="1:19" x14ac:dyDescent="0.2">
      <c r="A248" s="54">
        <v>109369</v>
      </c>
      <c r="B248" s="54" t="s">
        <v>423</v>
      </c>
      <c r="C248" s="55">
        <v>94</v>
      </c>
      <c r="D248" s="55">
        <v>86</v>
      </c>
      <c r="E248" s="55">
        <v>40</v>
      </c>
      <c r="F248" s="55">
        <v>60</v>
      </c>
      <c r="G248" s="55">
        <v>60</v>
      </c>
      <c r="H248" s="55">
        <v>45</v>
      </c>
      <c r="I248" s="55">
        <v>0.7</v>
      </c>
      <c r="J248" s="55">
        <v>0.7</v>
      </c>
      <c r="K248" s="55">
        <v>0.52</v>
      </c>
      <c r="L248" s="55">
        <v>54</v>
      </c>
      <c r="M248" s="54" t="s">
        <v>47</v>
      </c>
      <c r="N248" s="54" t="s">
        <v>47</v>
      </c>
      <c r="O248" s="54" t="s">
        <v>7</v>
      </c>
      <c r="P248" s="54">
        <f t="shared" si="12"/>
        <v>0</v>
      </c>
      <c r="Q248">
        <f t="shared" si="13"/>
        <v>0</v>
      </c>
      <c r="R248">
        <f t="shared" si="14"/>
        <v>0</v>
      </c>
      <c r="S248" t="b">
        <f t="shared" si="15"/>
        <v>0</v>
      </c>
    </row>
    <row r="249" spans="1:19" x14ac:dyDescent="0.2">
      <c r="A249" s="54">
        <v>109374</v>
      </c>
      <c r="B249" s="54" t="s">
        <v>157</v>
      </c>
      <c r="C249" s="55">
        <v>101</v>
      </c>
      <c r="D249" s="55">
        <v>100</v>
      </c>
      <c r="E249" s="55">
        <v>10</v>
      </c>
      <c r="F249" s="55">
        <v>494</v>
      </c>
      <c r="G249" s="55">
        <v>45</v>
      </c>
      <c r="H249" s="55">
        <v>24</v>
      </c>
      <c r="I249" s="55">
        <v>4.9400000000000004</v>
      </c>
      <c r="J249" s="55">
        <v>0.45</v>
      </c>
      <c r="K249" s="55">
        <v>0.24</v>
      </c>
      <c r="L249" s="55">
        <v>6</v>
      </c>
      <c r="M249" s="54" t="s">
        <v>43</v>
      </c>
      <c r="N249" s="54" t="s">
        <v>1400</v>
      </c>
      <c r="O249" s="54" t="s">
        <v>6</v>
      </c>
      <c r="P249" s="54">
        <f t="shared" si="12"/>
        <v>101</v>
      </c>
      <c r="Q249">
        <f t="shared" si="13"/>
        <v>101</v>
      </c>
      <c r="R249">
        <f t="shared" si="14"/>
        <v>0</v>
      </c>
      <c r="S249" t="b">
        <f t="shared" si="15"/>
        <v>0</v>
      </c>
    </row>
    <row r="250" spans="1:19" x14ac:dyDescent="0.2">
      <c r="A250" s="54">
        <v>109378</v>
      </c>
      <c r="B250" s="54" t="s">
        <v>1164</v>
      </c>
      <c r="C250" s="55">
        <v>56</v>
      </c>
      <c r="D250" s="55">
        <v>56</v>
      </c>
      <c r="E250" s="55">
        <v>4</v>
      </c>
      <c r="F250" s="55">
        <v>307</v>
      </c>
      <c r="G250" s="55">
        <v>307</v>
      </c>
      <c r="H250" s="55">
        <v>283</v>
      </c>
      <c r="I250" s="55">
        <v>5.48</v>
      </c>
      <c r="J250" s="55">
        <v>5.48</v>
      </c>
      <c r="K250" s="55">
        <v>5.05</v>
      </c>
      <c r="L250" s="55">
        <v>117</v>
      </c>
      <c r="M250" s="54" t="s">
        <v>30</v>
      </c>
      <c r="N250" s="54" t="s">
        <v>1401</v>
      </c>
      <c r="O250" s="54" t="s">
        <v>7</v>
      </c>
      <c r="P250" s="54">
        <f t="shared" si="12"/>
        <v>56</v>
      </c>
      <c r="Q250">
        <f t="shared" si="13"/>
        <v>56</v>
      </c>
      <c r="R250">
        <f t="shared" si="14"/>
        <v>56</v>
      </c>
      <c r="S250" t="b">
        <f t="shared" si="15"/>
        <v>0</v>
      </c>
    </row>
    <row r="251" spans="1:19" x14ac:dyDescent="0.2">
      <c r="A251" s="54">
        <v>109391</v>
      </c>
      <c r="B251" s="54" t="s">
        <v>1180</v>
      </c>
      <c r="C251" s="55">
        <v>71</v>
      </c>
      <c r="D251" s="55">
        <v>73</v>
      </c>
      <c r="E251" s="55">
        <v>2</v>
      </c>
      <c r="F251" s="55">
        <v>50</v>
      </c>
      <c r="G251" s="55">
        <v>47</v>
      </c>
      <c r="H251" s="55">
        <v>47</v>
      </c>
      <c r="I251" s="55">
        <v>0.68</v>
      </c>
      <c r="J251" s="55">
        <v>0.64</v>
      </c>
      <c r="K251" s="55">
        <v>0.64</v>
      </c>
      <c r="L251" s="55">
        <v>26</v>
      </c>
      <c r="M251" s="54" t="s">
        <v>30</v>
      </c>
      <c r="N251" s="54" t="s">
        <v>1401</v>
      </c>
      <c r="O251" s="54" t="s">
        <v>7</v>
      </c>
      <c r="P251" s="54">
        <f t="shared" si="12"/>
        <v>0</v>
      </c>
      <c r="Q251">
        <f t="shared" si="13"/>
        <v>0</v>
      </c>
      <c r="R251">
        <f t="shared" si="14"/>
        <v>0</v>
      </c>
      <c r="S251" t="b">
        <f t="shared" si="15"/>
        <v>0</v>
      </c>
    </row>
    <row r="252" spans="1:19" x14ac:dyDescent="0.2">
      <c r="A252" s="54">
        <v>109414</v>
      </c>
      <c r="B252" s="54" t="s">
        <v>1279</v>
      </c>
      <c r="C252" s="55">
        <v>248</v>
      </c>
      <c r="D252" s="55">
        <v>291</v>
      </c>
      <c r="E252" s="55">
        <v>4</v>
      </c>
      <c r="F252" s="55">
        <v>79</v>
      </c>
      <c r="G252" s="55">
        <v>18</v>
      </c>
      <c r="H252" s="55">
        <v>1</v>
      </c>
      <c r="I252" s="55">
        <v>0.27</v>
      </c>
      <c r="J252" s="55">
        <v>0.06</v>
      </c>
      <c r="K252" s="55">
        <v>0</v>
      </c>
      <c r="L252" s="55">
        <v>25</v>
      </c>
      <c r="M252" s="54" t="s">
        <v>30</v>
      </c>
      <c r="N252" s="54" t="s">
        <v>1401</v>
      </c>
      <c r="O252" s="54" t="s">
        <v>6</v>
      </c>
      <c r="P252" s="54">
        <f t="shared" si="12"/>
        <v>0</v>
      </c>
      <c r="Q252">
        <f t="shared" si="13"/>
        <v>0</v>
      </c>
      <c r="R252">
        <f t="shared" si="14"/>
        <v>0</v>
      </c>
      <c r="S252" t="b">
        <f t="shared" si="15"/>
        <v>0</v>
      </c>
    </row>
    <row r="253" spans="1:19" x14ac:dyDescent="0.2">
      <c r="A253" s="54">
        <v>109462</v>
      </c>
      <c r="B253" s="54" t="s">
        <v>749</v>
      </c>
      <c r="C253" s="55">
        <v>3</v>
      </c>
      <c r="D253" s="55">
        <v>140</v>
      </c>
      <c r="E253" s="55">
        <v>3</v>
      </c>
      <c r="F253" s="55">
        <v>21</v>
      </c>
      <c r="G253" s="55">
        <v>21</v>
      </c>
      <c r="H253" s="55">
        <v>21</v>
      </c>
      <c r="I253" s="55">
        <v>0.15</v>
      </c>
      <c r="J253" s="55">
        <v>0.15</v>
      </c>
      <c r="K253" s="55">
        <v>0.15</v>
      </c>
      <c r="L253" s="55">
        <v>0</v>
      </c>
      <c r="M253" s="54" t="s">
        <v>30</v>
      </c>
      <c r="N253" s="54" t="s">
        <v>1401</v>
      </c>
      <c r="O253" s="54" t="s">
        <v>6</v>
      </c>
      <c r="P253" s="54">
        <f t="shared" si="12"/>
        <v>0</v>
      </c>
      <c r="Q253">
        <f t="shared" si="13"/>
        <v>0</v>
      </c>
      <c r="R253">
        <f t="shared" si="14"/>
        <v>0</v>
      </c>
      <c r="S253" t="b">
        <f t="shared" si="15"/>
        <v>0</v>
      </c>
    </row>
    <row r="254" spans="1:19" x14ac:dyDescent="0.2">
      <c r="A254" s="54">
        <v>109468</v>
      </c>
      <c r="B254" s="54" t="s">
        <v>1240</v>
      </c>
      <c r="C254" s="55">
        <v>126</v>
      </c>
      <c r="D254" s="55">
        <v>75</v>
      </c>
      <c r="E254" s="55">
        <v>1</v>
      </c>
      <c r="F254" s="55">
        <v>4</v>
      </c>
      <c r="G254" s="55">
        <v>4</v>
      </c>
      <c r="H254" s="55">
        <v>4</v>
      </c>
      <c r="I254" s="55">
        <v>0.05</v>
      </c>
      <c r="J254" s="55">
        <v>0.05</v>
      </c>
      <c r="K254" s="55">
        <v>0.05</v>
      </c>
      <c r="L254" s="55">
        <v>1</v>
      </c>
      <c r="M254" s="54" t="s">
        <v>30</v>
      </c>
      <c r="N254" s="54" t="s">
        <v>1401</v>
      </c>
      <c r="O254" s="54" t="s">
        <v>7</v>
      </c>
      <c r="P254" s="54">
        <f t="shared" si="12"/>
        <v>0</v>
      </c>
      <c r="Q254">
        <f t="shared" si="13"/>
        <v>0</v>
      </c>
      <c r="R254">
        <f t="shared" si="14"/>
        <v>0</v>
      </c>
      <c r="S254" t="b">
        <f t="shared" si="15"/>
        <v>0</v>
      </c>
    </row>
    <row r="255" spans="1:19" x14ac:dyDescent="0.2">
      <c r="A255" s="54">
        <v>109470</v>
      </c>
      <c r="B255" s="54" t="s">
        <v>1100</v>
      </c>
      <c r="C255" s="55">
        <v>33</v>
      </c>
      <c r="D255" s="55">
        <v>34</v>
      </c>
      <c r="E255" s="55">
        <v>4</v>
      </c>
      <c r="F255" s="55">
        <v>32</v>
      </c>
      <c r="G255" s="55">
        <v>30</v>
      </c>
      <c r="H255" s="55">
        <v>0</v>
      </c>
      <c r="I255" s="55">
        <v>0.94</v>
      </c>
      <c r="J255" s="55">
        <v>0.88</v>
      </c>
      <c r="K255" s="55">
        <v>0</v>
      </c>
      <c r="L255" s="55">
        <v>5</v>
      </c>
      <c r="M255" s="54" t="s">
        <v>30</v>
      </c>
      <c r="N255" s="54" t="s">
        <v>1401</v>
      </c>
      <c r="O255" s="54" t="s">
        <v>7</v>
      </c>
      <c r="P255" s="54">
        <f t="shared" si="12"/>
        <v>33</v>
      </c>
      <c r="Q255">
        <f t="shared" si="13"/>
        <v>0</v>
      </c>
      <c r="R255">
        <f t="shared" si="14"/>
        <v>33</v>
      </c>
      <c r="S255" t="b">
        <f t="shared" si="15"/>
        <v>0</v>
      </c>
    </row>
    <row r="256" spans="1:19" x14ac:dyDescent="0.2">
      <c r="A256" s="54">
        <v>109479</v>
      </c>
      <c r="B256" s="54" t="s">
        <v>98</v>
      </c>
      <c r="C256" s="55">
        <v>205</v>
      </c>
      <c r="D256" s="55">
        <v>200</v>
      </c>
      <c r="E256" s="55">
        <v>9</v>
      </c>
      <c r="F256" s="55">
        <v>1534</v>
      </c>
      <c r="G256" s="55">
        <v>154</v>
      </c>
      <c r="H256" s="55">
        <v>35</v>
      </c>
      <c r="I256" s="55">
        <v>7.67</v>
      </c>
      <c r="J256" s="55">
        <v>0.77</v>
      </c>
      <c r="K256" s="55">
        <v>0.18</v>
      </c>
      <c r="L256" s="55">
        <v>382</v>
      </c>
      <c r="M256" s="54" t="s">
        <v>43</v>
      </c>
      <c r="N256" s="54" t="s">
        <v>1400</v>
      </c>
      <c r="O256" s="54" t="s">
        <v>6</v>
      </c>
      <c r="P256" s="54">
        <f t="shared" si="12"/>
        <v>205</v>
      </c>
      <c r="Q256">
        <f t="shared" si="13"/>
        <v>205</v>
      </c>
      <c r="R256">
        <f t="shared" si="14"/>
        <v>205</v>
      </c>
      <c r="S256" t="b">
        <f t="shared" si="15"/>
        <v>0</v>
      </c>
    </row>
    <row r="257" spans="1:19" x14ac:dyDescent="0.2">
      <c r="A257" s="54">
        <v>109564</v>
      </c>
      <c r="B257" s="54" t="s">
        <v>1146</v>
      </c>
      <c r="C257" s="55">
        <v>51</v>
      </c>
      <c r="D257" s="55">
        <v>38</v>
      </c>
      <c r="E257" s="55">
        <v>5</v>
      </c>
      <c r="F257" s="55">
        <v>35</v>
      </c>
      <c r="G257" s="55">
        <v>35</v>
      </c>
      <c r="H257" s="55">
        <v>30</v>
      </c>
      <c r="I257" s="55">
        <v>0.92</v>
      </c>
      <c r="J257" s="55">
        <v>0.92</v>
      </c>
      <c r="K257" s="55">
        <v>0.79</v>
      </c>
      <c r="L257" s="55">
        <v>10</v>
      </c>
      <c r="M257" s="54" t="s">
        <v>30</v>
      </c>
      <c r="N257" s="54" t="s">
        <v>1401</v>
      </c>
      <c r="O257" s="54" t="s">
        <v>7</v>
      </c>
      <c r="P257" s="54">
        <f t="shared" si="12"/>
        <v>51</v>
      </c>
      <c r="Q257">
        <f t="shared" si="13"/>
        <v>0</v>
      </c>
      <c r="R257">
        <f t="shared" si="14"/>
        <v>51</v>
      </c>
      <c r="S257" t="b">
        <f t="shared" si="15"/>
        <v>0</v>
      </c>
    </row>
    <row r="258" spans="1:19" x14ac:dyDescent="0.2">
      <c r="A258" s="54">
        <v>109566</v>
      </c>
      <c r="B258" s="54" t="s">
        <v>1226</v>
      </c>
      <c r="C258" s="55">
        <v>114</v>
      </c>
      <c r="D258" s="55">
        <v>93</v>
      </c>
      <c r="E258" s="55">
        <v>0</v>
      </c>
      <c r="F258" s="55">
        <v>0</v>
      </c>
      <c r="G258" s="55">
        <v>0</v>
      </c>
      <c r="H258" s="55">
        <v>0</v>
      </c>
      <c r="I258" s="55">
        <v>0</v>
      </c>
      <c r="J258" s="55">
        <v>0</v>
      </c>
      <c r="K258" s="55">
        <v>0</v>
      </c>
      <c r="L258" s="55">
        <v>0</v>
      </c>
      <c r="M258" s="54" t="s">
        <v>30</v>
      </c>
      <c r="N258" s="54" t="s">
        <v>1401</v>
      </c>
      <c r="O258" s="54" t="s">
        <v>7</v>
      </c>
      <c r="P258" s="54">
        <f t="shared" ref="P258:P321" si="16">IF(I258&gt;=2, C258, IF(J258&gt;=0.75, C258, 0))</f>
        <v>0</v>
      </c>
      <c r="Q258">
        <f t="shared" ref="Q258:Q321" si="17">IF(I258&gt;=2, C258, IF(AND(J258&gt;=0.75, D258&gt;=550), C258, 0))</f>
        <v>0</v>
      </c>
      <c r="R258">
        <f t="shared" ref="R258:R321" si="18">IF(J258&gt;=0.75, C258, 0)</f>
        <v>0</v>
      </c>
      <c r="S258" t="b">
        <f t="shared" si="15"/>
        <v>0</v>
      </c>
    </row>
    <row r="259" spans="1:19" x14ac:dyDescent="0.2">
      <c r="A259" s="54">
        <v>109597</v>
      </c>
      <c r="B259" s="54" t="s">
        <v>1217</v>
      </c>
      <c r="C259" s="55">
        <v>103</v>
      </c>
      <c r="D259" s="55">
        <v>103</v>
      </c>
      <c r="E259" s="55">
        <v>2</v>
      </c>
      <c r="F259" s="55">
        <v>3</v>
      </c>
      <c r="G259" s="55">
        <v>0</v>
      </c>
      <c r="H259" s="55">
        <v>0</v>
      </c>
      <c r="I259" s="55">
        <v>0.03</v>
      </c>
      <c r="J259" s="55">
        <v>0</v>
      </c>
      <c r="K259" s="55">
        <v>0</v>
      </c>
      <c r="L259" s="55">
        <v>0</v>
      </c>
      <c r="M259" s="54" t="s">
        <v>30</v>
      </c>
      <c r="N259" s="54" t="s">
        <v>1401</v>
      </c>
      <c r="O259" s="54" t="s">
        <v>6</v>
      </c>
      <c r="P259" s="54">
        <f t="shared" si="16"/>
        <v>0</v>
      </c>
      <c r="Q259">
        <f t="shared" si="17"/>
        <v>0</v>
      </c>
      <c r="R259">
        <f t="shared" si="18"/>
        <v>0</v>
      </c>
      <c r="S259" t="b">
        <f t="shared" ref="S259:S322" si="19">IF(A259=A260,TRUE,FALSE)</f>
        <v>0</v>
      </c>
    </row>
    <row r="260" spans="1:19" x14ac:dyDescent="0.2">
      <c r="A260" s="54">
        <v>109610</v>
      </c>
      <c r="B260" s="54" t="s">
        <v>320</v>
      </c>
      <c r="C260" s="55">
        <v>38</v>
      </c>
      <c r="D260" s="55">
        <v>300</v>
      </c>
      <c r="E260" s="55">
        <v>38</v>
      </c>
      <c r="F260" s="55">
        <v>138</v>
      </c>
      <c r="G260" s="55">
        <v>125</v>
      </c>
      <c r="H260" s="55">
        <v>100</v>
      </c>
      <c r="I260" s="55">
        <v>0.46</v>
      </c>
      <c r="J260" s="55">
        <v>0.42</v>
      </c>
      <c r="K260" s="55">
        <v>0.33</v>
      </c>
      <c r="L260" s="55">
        <v>86</v>
      </c>
      <c r="M260" s="54" t="s">
        <v>47</v>
      </c>
      <c r="N260" s="54" t="s">
        <v>47</v>
      </c>
      <c r="O260" s="54" t="s">
        <v>6</v>
      </c>
      <c r="P260" s="54">
        <f t="shared" si="16"/>
        <v>0</v>
      </c>
      <c r="Q260">
        <f t="shared" si="17"/>
        <v>0</v>
      </c>
      <c r="R260">
        <f t="shared" si="18"/>
        <v>0</v>
      </c>
      <c r="S260" t="b">
        <f t="shared" si="19"/>
        <v>0</v>
      </c>
    </row>
    <row r="261" spans="1:19" x14ac:dyDescent="0.2">
      <c r="A261" s="54">
        <v>109631</v>
      </c>
      <c r="B261" s="54" t="s">
        <v>810</v>
      </c>
      <c r="C261" s="55">
        <v>6</v>
      </c>
      <c r="D261" s="55">
        <v>93</v>
      </c>
      <c r="E261" s="55">
        <v>2</v>
      </c>
      <c r="F261" s="55">
        <v>8</v>
      </c>
      <c r="G261" s="55">
        <v>8</v>
      </c>
      <c r="H261" s="55">
        <v>8</v>
      </c>
      <c r="I261" s="55">
        <v>0.09</v>
      </c>
      <c r="J261" s="55">
        <v>0.09</v>
      </c>
      <c r="K261" s="55">
        <v>0.09</v>
      </c>
      <c r="L261" s="55">
        <v>0</v>
      </c>
      <c r="M261" s="54" t="s">
        <v>30</v>
      </c>
      <c r="N261" s="54" t="s">
        <v>1401</v>
      </c>
      <c r="O261" s="54" t="s">
        <v>7</v>
      </c>
      <c r="P261" s="54">
        <f t="shared" si="16"/>
        <v>0</v>
      </c>
      <c r="Q261">
        <f t="shared" si="17"/>
        <v>0</v>
      </c>
      <c r="R261">
        <f t="shared" si="18"/>
        <v>0</v>
      </c>
      <c r="S261" t="b">
        <f t="shared" si="19"/>
        <v>0</v>
      </c>
    </row>
    <row r="262" spans="1:19" x14ac:dyDescent="0.2">
      <c r="A262" s="54">
        <v>109662</v>
      </c>
      <c r="B262" s="54" t="s">
        <v>1270</v>
      </c>
      <c r="C262" s="55">
        <v>188</v>
      </c>
      <c r="D262" s="55">
        <v>410</v>
      </c>
      <c r="E262" s="55">
        <v>4</v>
      </c>
      <c r="F262" s="55">
        <v>0</v>
      </c>
      <c r="G262" s="55">
        <v>0</v>
      </c>
      <c r="H262" s="55">
        <v>0</v>
      </c>
      <c r="I262" s="55">
        <v>0</v>
      </c>
      <c r="J262" s="55">
        <v>0</v>
      </c>
      <c r="K262" s="55">
        <v>0</v>
      </c>
      <c r="L262" s="55">
        <v>0</v>
      </c>
      <c r="M262" s="54" t="s">
        <v>30</v>
      </c>
      <c r="N262" s="54" t="s">
        <v>1401</v>
      </c>
      <c r="O262" s="54" t="s">
        <v>6</v>
      </c>
      <c r="P262" s="54">
        <f t="shared" si="16"/>
        <v>0</v>
      </c>
      <c r="Q262">
        <f t="shared" si="17"/>
        <v>0</v>
      </c>
      <c r="R262">
        <f t="shared" si="18"/>
        <v>0</v>
      </c>
      <c r="S262" t="b">
        <f t="shared" si="19"/>
        <v>0</v>
      </c>
    </row>
    <row r="263" spans="1:19" x14ac:dyDescent="0.2">
      <c r="A263" s="54">
        <v>109678</v>
      </c>
      <c r="B263" s="54" t="s">
        <v>379</v>
      </c>
      <c r="C263" s="55">
        <v>157</v>
      </c>
      <c r="D263" s="55">
        <v>150</v>
      </c>
      <c r="E263" s="55">
        <v>7</v>
      </c>
      <c r="F263" s="55">
        <v>66</v>
      </c>
      <c r="G263" s="55">
        <v>23</v>
      </c>
      <c r="H263" s="55">
        <v>14</v>
      </c>
      <c r="I263" s="55">
        <v>0.44</v>
      </c>
      <c r="J263" s="55">
        <v>0.15</v>
      </c>
      <c r="K263" s="55">
        <v>0.09</v>
      </c>
      <c r="L263" s="55">
        <v>35</v>
      </c>
      <c r="M263" s="54" t="s">
        <v>43</v>
      </c>
      <c r="N263" s="54" t="s">
        <v>1400</v>
      </c>
      <c r="O263" s="54" t="s">
        <v>6</v>
      </c>
      <c r="P263" s="54">
        <f t="shared" si="16"/>
        <v>0</v>
      </c>
      <c r="Q263">
        <f t="shared" si="17"/>
        <v>0</v>
      </c>
      <c r="R263">
        <f t="shared" si="18"/>
        <v>0</v>
      </c>
      <c r="S263" t="b">
        <f t="shared" si="19"/>
        <v>0</v>
      </c>
    </row>
    <row r="264" spans="1:19" x14ac:dyDescent="0.2">
      <c r="A264" s="54">
        <v>109685</v>
      </c>
      <c r="B264" s="54" t="s">
        <v>291</v>
      </c>
      <c r="C264" s="55">
        <v>219</v>
      </c>
      <c r="D264" s="55">
        <v>218</v>
      </c>
      <c r="E264" s="55">
        <v>10</v>
      </c>
      <c r="F264" s="55">
        <v>233</v>
      </c>
      <c r="G264" s="55">
        <v>105</v>
      </c>
      <c r="H264" s="55">
        <v>2</v>
      </c>
      <c r="I264" s="55">
        <v>1.07</v>
      </c>
      <c r="J264" s="55">
        <v>0.48</v>
      </c>
      <c r="K264" s="55">
        <v>0.01</v>
      </c>
      <c r="L264" s="55">
        <v>0</v>
      </c>
      <c r="M264" s="54" t="s">
        <v>43</v>
      </c>
      <c r="N264" s="54" t="s">
        <v>1400</v>
      </c>
      <c r="O264" s="54" t="s">
        <v>6</v>
      </c>
      <c r="P264" s="54">
        <f t="shared" si="16"/>
        <v>0</v>
      </c>
      <c r="Q264">
        <f t="shared" si="17"/>
        <v>0</v>
      </c>
      <c r="R264">
        <f t="shared" si="18"/>
        <v>0</v>
      </c>
      <c r="S264" t="b">
        <f t="shared" si="19"/>
        <v>0</v>
      </c>
    </row>
    <row r="265" spans="1:19" x14ac:dyDescent="0.2">
      <c r="A265" s="54">
        <v>109686</v>
      </c>
      <c r="B265" s="54" t="s">
        <v>586</v>
      </c>
      <c r="C265" s="55">
        <v>165</v>
      </c>
      <c r="D265" s="55">
        <v>171</v>
      </c>
      <c r="E265" s="55">
        <v>24</v>
      </c>
      <c r="F265" s="55">
        <v>4</v>
      </c>
      <c r="G265" s="55">
        <v>0</v>
      </c>
      <c r="H265" s="55">
        <v>0</v>
      </c>
      <c r="I265" s="55">
        <v>0.02</v>
      </c>
      <c r="J265" s="55">
        <v>0</v>
      </c>
      <c r="K265" s="55">
        <v>0</v>
      </c>
      <c r="L265" s="55">
        <v>0</v>
      </c>
      <c r="M265" s="54" t="s">
        <v>45</v>
      </c>
      <c r="N265" s="54" t="s">
        <v>47</v>
      </c>
      <c r="O265" s="54" t="s">
        <v>6</v>
      </c>
      <c r="P265" s="54">
        <f t="shared" si="16"/>
        <v>0</v>
      </c>
      <c r="Q265">
        <f t="shared" si="17"/>
        <v>0</v>
      </c>
      <c r="R265">
        <f t="shared" si="18"/>
        <v>0</v>
      </c>
      <c r="S265" t="b">
        <f t="shared" si="19"/>
        <v>0</v>
      </c>
    </row>
    <row r="266" spans="1:19" x14ac:dyDescent="0.2">
      <c r="A266" s="54">
        <v>109708</v>
      </c>
      <c r="B266" s="54" t="s">
        <v>329</v>
      </c>
      <c r="C266" s="55">
        <v>236</v>
      </c>
      <c r="D266" s="55">
        <v>135</v>
      </c>
      <c r="E266" s="55">
        <v>19</v>
      </c>
      <c r="F266" s="55">
        <v>107</v>
      </c>
      <c r="G266" s="55">
        <v>83</v>
      </c>
      <c r="H266" s="55">
        <v>75</v>
      </c>
      <c r="I266" s="55">
        <v>0.79</v>
      </c>
      <c r="J266" s="55">
        <v>0.61</v>
      </c>
      <c r="K266" s="55">
        <v>0.56000000000000005</v>
      </c>
      <c r="L266" s="55">
        <v>11</v>
      </c>
      <c r="M266" s="54" t="s">
        <v>45</v>
      </c>
      <c r="N266" s="54" t="s">
        <v>47</v>
      </c>
      <c r="O266" s="54" t="s">
        <v>6</v>
      </c>
      <c r="P266" s="54">
        <f t="shared" si="16"/>
        <v>0</v>
      </c>
      <c r="Q266">
        <f t="shared" si="17"/>
        <v>0</v>
      </c>
      <c r="R266">
        <f t="shared" si="18"/>
        <v>0</v>
      </c>
      <c r="S266" t="b">
        <f t="shared" si="19"/>
        <v>0</v>
      </c>
    </row>
    <row r="267" spans="1:19" x14ac:dyDescent="0.2">
      <c r="A267" s="54">
        <v>109712</v>
      </c>
      <c r="B267" s="54" t="s">
        <v>1283</v>
      </c>
      <c r="C267" s="55">
        <v>304</v>
      </c>
      <c r="D267" s="55">
        <v>305</v>
      </c>
      <c r="E267" s="55">
        <v>3</v>
      </c>
      <c r="F267" s="55">
        <v>166</v>
      </c>
      <c r="G267" s="55">
        <v>133</v>
      </c>
      <c r="H267" s="55">
        <v>127</v>
      </c>
      <c r="I267" s="55">
        <v>0.54</v>
      </c>
      <c r="J267" s="55">
        <v>0.44</v>
      </c>
      <c r="K267" s="55">
        <v>0.42</v>
      </c>
      <c r="L267" s="55">
        <v>210</v>
      </c>
      <c r="M267" s="54" t="s">
        <v>30</v>
      </c>
      <c r="N267" s="54" t="s">
        <v>1401</v>
      </c>
      <c r="O267" s="54" t="s">
        <v>6</v>
      </c>
      <c r="P267" s="54">
        <f t="shared" si="16"/>
        <v>0</v>
      </c>
      <c r="Q267">
        <f t="shared" si="17"/>
        <v>0</v>
      </c>
      <c r="R267">
        <f t="shared" si="18"/>
        <v>0</v>
      </c>
      <c r="S267" t="b">
        <f t="shared" si="19"/>
        <v>0</v>
      </c>
    </row>
    <row r="268" spans="1:19" x14ac:dyDescent="0.2">
      <c r="A268" s="54">
        <v>109717</v>
      </c>
      <c r="B268" s="54" t="s">
        <v>1302</v>
      </c>
      <c r="C268" s="55">
        <v>1150</v>
      </c>
      <c r="D268" s="55">
        <v>1018</v>
      </c>
      <c r="E268" s="55">
        <v>5</v>
      </c>
      <c r="F268" s="55">
        <v>89</v>
      </c>
      <c r="G268" s="55">
        <v>73</v>
      </c>
      <c r="H268" s="55">
        <v>73</v>
      </c>
      <c r="I268" s="55">
        <v>0.09</v>
      </c>
      <c r="J268" s="55">
        <v>7.0000000000000007E-2</v>
      </c>
      <c r="K268" s="55">
        <v>7.0000000000000007E-2</v>
      </c>
      <c r="L268" s="55">
        <v>17</v>
      </c>
      <c r="M268" s="54" t="s">
        <v>30</v>
      </c>
      <c r="N268" s="54" t="s">
        <v>1401</v>
      </c>
      <c r="O268" s="54" t="s">
        <v>5</v>
      </c>
      <c r="P268" s="54">
        <f t="shared" si="16"/>
        <v>0</v>
      </c>
      <c r="Q268">
        <f t="shared" si="17"/>
        <v>0</v>
      </c>
      <c r="R268">
        <f t="shared" si="18"/>
        <v>0</v>
      </c>
      <c r="S268" t="b">
        <f t="shared" si="19"/>
        <v>0</v>
      </c>
    </row>
    <row r="269" spans="1:19" x14ac:dyDescent="0.2">
      <c r="A269" s="54">
        <v>109719</v>
      </c>
      <c r="B269" s="54" t="s">
        <v>356</v>
      </c>
      <c r="C269" s="55">
        <v>85</v>
      </c>
      <c r="D269" s="55">
        <v>61</v>
      </c>
      <c r="E269" s="55">
        <v>12</v>
      </c>
      <c r="F269" s="55">
        <v>37</v>
      </c>
      <c r="G269" s="55">
        <v>14</v>
      </c>
      <c r="H269" s="55">
        <v>0</v>
      </c>
      <c r="I269" s="55">
        <v>0.61</v>
      </c>
      <c r="J269" s="55">
        <v>0.23</v>
      </c>
      <c r="K269" s="55">
        <v>0</v>
      </c>
      <c r="L269" s="55">
        <v>9</v>
      </c>
      <c r="M269" s="54" t="s">
        <v>43</v>
      </c>
      <c r="N269" s="54" t="s">
        <v>1400</v>
      </c>
      <c r="O269" s="54" t="s">
        <v>7</v>
      </c>
      <c r="P269" s="54">
        <f t="shared" si="16"/>
        <v>0</v>
      </c>
      <c r="Q269">
        <f t="shared" si="17"/>
        <v>0</v>
      </c>
      <c r="R269">
        <f t="shared" si="18"/>
        <v>0</v>
      </c>
      <c r="S269" t="b">
        <f t="shared" si="19"/>
        <v>0</v>
      </c>
    </row>
    <row r="270" spans="1:19" x14ac:dyDescent="0.2">
      <c r="A270" s="54">
        <v>109720</v>
      </c>
      <c r="B270" s="54" t="s">
        <v>930</v>
      </c>
      <c r="C270" s="55">
        <v>13</v>
      </c>
      <c r="D270" s="55">
        <v>12</v>
      </c>
      <c r="E270" s="55">
        <v>0</v>
      </c>
      <c r="F270" s="55">
        <v>3</v>
      </c>
      <c r="G270" s="55">
        <v>3</v>
      </c>
      <c r="H270" s="55">
        <v>3</v>
      </c>
      <c r="I270" s="55">
        <v>0.25</v>
      </c>
      <c r="J270" s="55">
        <v>0.25</v>
      </c>
      <c r="K270" s="55">
        <v>0.25</v>
      </c>
      <c r="L270" s="55">
        <v>0</v>
      </c>
      <c r="M270" s="54" t="s">
        <v>30</v>
      </c>
      <c r="N270" s="54" t="s">
        <v>1401</v>
      </c>
      <c r="O270" s="54" t="s">
        <v>7</v>
      </c>
      <c r="P270" s="54">
        <f t="shared" si="16"/>
        <v>0</v>
      </c>
      <c r="Q270">
        <f t="shared" si="17"/>
        <v>0</v>
      </c>
      <c r="R270">
        <f t="shared" si="18"/>
        <v>0</v>
      </c>
      <c r="S270" t="b">
        <f t="shared" si="19"/>
        <v>0</v>
      </c>
    </row>
    <row r="271" spans="1:19" x14ac:dyDescent="0.2">
      <c r="A271" s="54">
        <v>109722</v>
      </c>
      <c r="B271" s="54" t="s">
        <v>1193</v>
      </c>
      <c r="C271" s="55">
        <v>80</v>
      </c>
      <c r="D271" s="55">
        <v>75</v>
      </c>
      <c r="E271" s="55">
        <v>2</v>
      </c>
      <c r="F271" s="55">
        <v>40</v>
      </c>
      <c r="G271" s="55">
        <v>40</v>
      </c>
      <c r="H271" s="55">
        <v>40</v>
      </c>
      <c r="I271" s="55">
        <v>0.53</v>
      </c>
      <c r="J271" s="55">
        <v>0.53</v>
      </c>
      <c r="K271" s="55">
        <v>0.53</v>
      </c>
      <c r="L271" s="55">
        <v>16</v>
      </c>
      <c r="M271" s="54" t="s">
        <v>30</v>
      </c>
      <c r="N271" s="54" t="s">
        <v>1401</v>
      </c>
      <c r="O271" s="54" t="s">
        <v>7</v>
      </c>
      <c r="P271" s="54">
        <f t="shared" si="16"/>
        <v>0</v>
      </c>
      <c r="Q271">
        <f t="shared" si="17"/>
        <v>0</v>
      </c>
      <c r="R271">
        <f t="shared" si="18"/>
        <v>0</v>
      </c>
      <c r="S271" t="b">
        <f t="shared" si="19"/>
        <v>0</v>
      </c>
    </row>
    <row r="272" spans="1:19" x14ac:dyDescent="0.2">
      <c r="A272" s="54">
        <v>109735</v>
      </c>
      <c r="B272" s="54" t="s">
        <v>529</v>
      </c>
      <c r="C272" s="55">
        <v>162</v>
      </c>
      <c r="D272" s="55">
        <v>166</v>
      </c>
      <c r="E272" s="55">
        <v>33</v>
      </c>
      <c r="F272" s="55">
        <v>19</v>
      </c>
      <c r="G272" s="55">
        <v>19</v>
      </c>
      <c r="H272" s="55">
        <v>19</v>
      </c>
      <c r="I272" s="55">
        <v>0.11</v>
      </c>
      <c r="J272" s="55">
        <v>0.11</v>
      </c>
      <c r="K272" s="55">
        <v>0.11</v>
      </c>
      <c r="L272" s="55">
        <v>33</v>
      </c>
      <c r="M272" s="54" t="s">
        <v>47</v>
      </c>
      <c r="N272" s="54" t="s">
        <v>47</v>
      </c>
      <c r="O272" s="54" t="s">
        <v>6</v>
      </c>
      <c r="P272" s="54">
        <f t="shared" si="16"/>
        <v>0</v>
      </c>
      <c r="Q272">
        <f t="shared" si="17"/>
        <v>0</v>
      </c>
      <c r="R272">
        <f t="shared" si="18"/>
        <v>0</v>
      </c>
      <c r="S272" t="b">
        <f t="shared" si="19"/>
        <v>0</v>
      </c>
    </row>
    <row r="273" spans="1:19" x14ac:dyDescent="0.2">
      <c r="A273" s="54">
        <v>109740</v>
      </c>
      <c r="B273" s="54" t="s">
        <v>514</v>
      </c>
      <c r="C273" s="55">
        <v>40</v>
      </c>
      <c r="D273" s="55">
        <v>10</v>
      </c>
      <c r="E273" s="55">
        <v>12</v>
      </c>
      <c r="F273" s="55">
        <v>14</v>
      </c>
      <c r="G273" s="55">
        <v>5</v>
      </c>
      <c r="H273" s="55">
        <v>2</v>
      </c>
      <c r="I273" s="55">
        <v>1.4</v>
      </c>
      <c r="J273" s="55">
        <v>0.5</v>
      </c>
      <c r="K273" s="55">
        <v>0.2</v>
      </c>
      <c r="L273" s="55">
        <v>1</v>
      </c>
      <c r="M273" s="54" t="s">
        <v>43</v>
      </c>
      <c r="N273" s="54" t="s">
        <v>1400</v>
      </c>
      <c r="O273" s="54" t="s">
        <v>7</v>
      </c>
      <c r="P273" s="54">
        <f t="shared" si="16"/>
        <v>0</v>
      </c>
      <c r="Q273">
        <f t="shared" si="17"/>
        <v>0</v>
      </c>
      <c r="R273">
        <f t="shared" si="18"/>
        <v>0</v>
      </c>
      <c r="S273" t="b">
        <f t="shared" si="19"/>
        <v>0</v>
      </c>
    </row>
    <row r="274" spans="1:19" x14ac:dyDescent="0.2">
      <c r="A274" s="54">
        <v>109744</v>
      </c>
      <c r="B274" s="54" t="s">
        <v>452</v>
      </c>
      <c r="C274" s="55">
        <v>1571</v>
      </c>
      <c r="D274" s="55">
        <v>1962</v>
      </c>
      <c r="E274" s="55">
        <v>10</v>
      </c>
      <c r="F274" s="55">
        <v>72</v>
      </c>
      <c r="G274" s="55">
        <v>16</v>
      </c>
      <c r="H274" s="55">
        <v>6</v>
      </c>
      <c r="I274" s="55">
        <v>0.04</v>
      </c>
      <c r="J274" s="55">
        <v>0.01</v>
      </c>
      <c r="K274" s="55">
        <v>0</v>
      </c>
      <c r="L274" s="55">
        <v>5</v>
      </c>
      <c r="M274" s="54" t="s">
        <v>43</v>
      </c>
      <c r="N274" s="54" t="s">
        <v>1400</v>
      </c>
      <c r="O274" s="54" t="s">
        <v>5</v>
      </c>
      <c r="P274" s="54">
        <f t="shared" si="16"/>
        <v>0</v>
      </c>
      <c r="Q274">
        <f t="shared" si="17"/>
        <v>0</v>
      </c>
      <c r="R274">
        <f t="shared" si="18"/>
        <v>0</v>
      </c>
      <c r="S274" t="b">
        <f t="shared" si="19"/>
        <v>0</v>
      </c>
    </row>
    <row r="275" spans="1:19" x14ac:dyDescent="0.2">
      <c r="A275" s="54">
        <v>109762</v>
      </c>
      <c r="B275" s="54" t="s">
        <v>547</v>
      </c>
      <c r="C275" s="55">
        <v>0</v>
      </c>
      <c r="D275" s="55">
        <v>10</v>
      </c>
      <c r="E275" s="55">
        <v>21</v>
      </c>
      <c r="F275" s="55">
        <v>9</v>
      </c>
      <c r="G275" s="55">
        <v>0</v>
      </c>
      <c r="H275" s="55">
        <v>0</v>
      </c>
      <c r="I275" s="55">
        <v>0.9</v>
      </c>
      <c r="J275" s="55">
        <v>0</v>
      </c>
      <c r="K275" s="55">
        <v>0</v>
      </c>
      <c r="L275" s="55">
        <v>0</v>
      </c>
      <c r="M275" s="54" t="s">
        <v>45</v>
      </c>
      <c r="N275" s="54" t="s">
        <v>47</v>
      </c>
      <c r="O275" s="54" t="s">
        <v>7</v>
      </c>
      <c r="P275" s="54">
        <f t="shared" si="16"/>
        <v>0</v>
      </c>
      <c r="Q275">
        <f t="shared" si="17"/>
        <v>0</v>
      </c>
      <c r="R275">
        <f t="shared" si="18"/>
        <v>0</v>
      </c>
      <c r="S275" t="b">
        <f t="shared" si="19"/>
        <v>0</v>
      </c>
    </row>
    <row r="276" spans="1:19" x14ac:dyDescent="0.2">
      <c r="A276" s="54">
        <v>109765</v>
      </c>
      <c r="B276" s="54" t="s">
        <v>288</v>
      </c>
      <c r="C276" s="55">
        <v>67</v>
      </c>
      <c r="D276" s="55">
        <v>66</v>
      </c>
      <c r="E276" s="55">
        <v>14</v>
      </c>
      <c r="F276" s="55">
        <v>97</v>
      </c>
      <c r="G276" s="55">
        <v>39</v>
      </c>
      <c r="H276" s="55">
        <v>18</v>
      </c>
      <c r="I276" s="55">
        <v>1.47</v>
      </c>
      <c r="J276" s="55">
        <v>0.59</v>
      </c>
      <c r="K276" s="55">
        <v>0.27</v>
      </c>
      <c r="L276" s="55">
        <v>14</v>
      </c>
      <c r="M276" s="54" t="s">
        <v>45</v>
      </c>
      <c r="N276" s="54" t="s">
        <v>47</v>
      </c>
      <c r="O276" s="54" t="s">
        <v>7</v>
      </c>
      <c r="P276" s="54">
        <f t="shared" si="16"/>
        <v>0</v>
      </c>
      <c r="Q276">
        <f t="shared" si="17"/>
        <v>0</v>
      </c>
      <c r="R276">
        <f t="shared" si="18"/>
        <v>0</v>
      </c>
      <c r="S276" t="b">
        <f t="shared" si="19"/>
        <v>0</v>
      </c>
    </row>
    <row r="277" spans="1:19" x14ac:dyDescent="0.2">
      <c r="A277" s="54">
        <v>109785</v>
      </c>
      <c r="B277" s="54" t="s">
        <v>187</v>
      </c>
      <c r="C277" s="55">
        <v>141</v>
      </c>
      <c r="D277" s="55">
        <v>115</v>
      </c>
      <c r="E277" s="55">
        <v>13</v>
      </c>
      <c r="F277" s="55">
        <v>219</v>
      </c>
      <c r="G277" s="55">
        <v>16</v>
      </c>
      <c r="H277" s="55">
        <v>0</v>
      </c>
      <c r="I277" s="55">
        <v>1.9</v>
      </c>
      <c r="J277" s="55">
        <v>0.14000000000000001</v>
      </c>
      <c r="K277" s="55">
        <v>0</v>
      </c>
      <c r="L277" s="55">
        <v>0</v>
      </c>
      <c r="M277" s="54" t="s">
        <v>45</v>
      </c>
      <c r="N277" s="54" t="s">
        <v>47</v>
      </c>
      <c r="O277" s="54" t="s">
        <v>6</v>
      </c>
      <c r="P277" s="54">
        <f t="shared" si="16"/>
        <v>0</v>
      </c>
      <c r="Q277">
        <f t="shared" si="17"/>
        <v>0</v>
      </c>
      <c r="R277">
        <f t="shared" si="18"/>
        <v>0</v>
      </c>
      <c r="S277" t="b">
        <f t="shared" si="19"/>
        <v>0</v>
      </c>
    </row>
    <row r="278" spans="1:19" x14ac:dyDescent="0.2">
      <c r="A278" s="54">
        <v>109806</v>
      </c>
      <c r="B278" s="54" t="s">
        <v>226</v>
      </c>
      <c r="C278" s="55">
        <v>75</v>
      </c>
      <c r="D278" s="55">
        <v>71</v>
      </c>
      <c r="E278" s="55">
        <v>33</v>
      </c>
      <c r="F278" s="55">
        <v>228</v>
      </c>
      <c r="G278" s="55">
        <v>219</v>
      </c>
      <c r="H278" s="55">
        <v>219</v>
      </c>
      <c r="I278" s="55">
        <v>3.21</v>
      </c>
      <c r="J278" s="55">
        <v>3.08</v>
      </c>
      <c r="K278" s="55">
        <v>3.08</v>
      </c>
      <c r="L278" s="55">
        <v>0</v>
      </c>
      <c r="M278" s="54" t="s">
        <v>47</v>
      </c>
      <c r="N278" s="54" t="s">
        <v>47</v>
      </c>
      <c r="O278" s="54" t="s">
        <v>7</v>
      </c>
      <c r="P278" s="54">
        <f t="shared" si="16"/>
        <v>75</v>
      </c>
      <c r="Q278">
        <f t="shared" si="17"/>
        <v>75</v>
      </c>
      <c r="R278">
        <f t="shared" si="18"/>
        <v>75</v>
      </c>
      <c r="S278" t="b">
        <f t="shared" si="19"/>
        <v>0</v>
      </c>
    </row>
    <row r="279" spans="1:19" x14ac:dyDescent="0.2">
      <c r="A279" s="54">
        <v>109818</v>
      </c>
      <c r="B279" s="54" t="s">
        <v>1098</v>
      </c>
      <c r="C279" s="55">
        <v>33</v>
      </c>
      <c r="D279" s="55">
        <v>33</v>
      </c>
      <c r="E279" s="55">
        <v>2</v>
      </c>
      <c r="F279" s="55">
        <v>30</v>
      </c>
      <c r="G279" s="55">
        <v>30</v>
      </c>
      <c r="H279" s="55">
        <v>30</v>
      </c>
      <c r="I279" s="55">
        <v>0.91</v>
      </c>
      <c r="J279" s="55">
        <v>0.91</v>
      </c>
      <c r="K279" s="55">
        <v>0.91</v>
      </c>
      <c r="L279" s="55">
        <v>0</v>
      </c>
      <c r="M279" s="54" t="s">
        <v>30</v>
      </c>
      <c r="N279" s="54" t="s">
        <v>1401</v>
      </c>
      <c r="O279" s="54" t="s">
        <v>7</v>
      </c>
      <c r="P279" s="54">
        <f t="shared" si="16"/>
        <v>33</v>
      </c>
      <c r="Q279">
        <f t="shared" si="17"/>
        <v>0</v>
      </c>
      <c r="R279">
        <f t="shared" si="18"/>
        <v>33</v>
      </c>
      <c r="S279" t="b">
        <f t="shared" si="19"/>
        <v>0</v>
      </c>
    </row>
    <row r="280" spans="1:19" x14ac:dyDescent="0.2">
      <c r="A280" s="54">
        <v>109834</v>
      </c>
      <c r="B280" s="54" t="s">
        <v>927</v>
      </c>
      <c r="C280" s="55">
        <v>13</v>
      </c>
      <c r="D280" s="55">
        <v>1</v>
      </c>
      <c r="E280" s="55">
        <v>5</v>
      </c>
      <c r="F280" s="55">
        <v>2</v>
      </c>
      <c r="G280" s="55">
        <v>2</v>
      </c>
      <c r="H280" s="55">
        <v>0</v>
      </c>
      <c r="I280" s="55">
        <v>2</v>
      </c>
      <c r="J280" s="55">
        <v>2</v>
      </c>
      <c r="K280" s="55">
        <v>0</v>
      </c>
      <c r="L280" s="55">
        <v>42</v>
      </c>
      <c r="M280" s="54" t="s">
        <v>30</v>
      </c>
      <c r="N280" s="54" t="s">
        <v>1401</v>
      </c>
      <c r="O280" s="54" t="s">
        <v>7</v>
      </c>
      <c r="P280" s="54">
        <f t="shared" si="16"/>
        <v>13</v>
      </c>
      <c r="Q280">
        <f t="shared" si="17"/>
        <v>13</v>
      </c>
      <c r="R280">
        <f t="shared" si="18"/>
        <v>13</v>
      </c>
      <c r="S280" t="b">
        <f t="shared" si="19"/>
        <v>0</v>
      </c>
    </row>
    <row r="281" spans="1:19" x14ac:dyDescent="0.2">
      <c r="A281" s="54">
        <v>109867</v>
      </c>
      <c r="B281" s="54" t="s">
        <v>106</v>
      </c>
      <c r="C281" s="55">
        <v>558</v>
      </c>
      <c r="D281" s="55">
        <v>830</v>
      </c>
      <c r="E281" s="55">
        <v>11</v>
      </c>
      <c r="F281" s="55">
        <v>1461</v>
      </c>
      <c r="G281" s="55">
        <v>1461</v>
      </c>
      <c r="H281" s="55">
        <v>1304</v>
      </c>
      <c r="I281" s="55">
        <v>1.76</v>
      </c>
      <c r="J281" s="55">
        <v>1.76</v>
      </c>
      <c r="K281" s="55">
        <v>1.57</v>
      </c>
      <c r="L281" s="55">
        <v>74</v>
      </c>
      <c r="M281" s="54" t="s">
        <v>43</v>
      </c>
      <c r="N281" s="54" t="s">
        <v>1400</v>
      </c>
      <c r="O281" s="54" t="s">
        <v>5</v>
      </c>
      <c r="P281" s="54">
        <f t="shared" si="16"/>
        <v>558</v>
      </c>
      <c r="Q281">
        <f t="shared" si="17"/>
        <v>558</v>
      </c>
      <c r="R281">
        <f t="shared" si="18"/>
        <v>558</v>
      </c>
      <c r="S281" t="b">
        <f t="shared" si="19"/>
        <v>0</v>
      </c>
    </row>
    <row r="282" spans="1:19" x14ac:dyDescent="0.2">
      <c r="A282" s="54">
        <v>109892</v>
      </c>
      <c r="B282" s="54" t="s">
        <v>453</v>
      </c>
      <c r="C282" s="55">
        <v>51</v>
      </c>
      <c r="D282" s="55">
        <v>54</v>
      </c>
      <c r="E282" s="55">
        <v>21</v>
      </c>
      <c r="F282" s="55">
        <v>34</v>
      </c>
      <c r="G282" s="55">
        <v>6</v>
      </c>
      <c r="H282" s="55">
        <v>0</v>
      </c>
      <c r="I282" s="55">
        <v>0.63</v>
      </c>
      <c r="J282" s="55">
        <v>0.11</v>
      </c>
      <c r="K282" s="55">
        <v>0</v>
      </c>
      <c r="L282" s="55">
        <v>0</v>
      </c>
      <c r="M282" s="54" t="s">
        <v>45</v>
      </c>
      <c r="N282" s="54" t="s">
        <v>47</v>
      </c>
      <c r="O282" s="54" t="s">
        <v>7</v>
      </c>
      <c r="P282" s="54">
        <f t="shared" si="16"/>
        <v>0</v>
      </c>
      <c r="Q282">
        <f t="shared" si="17"/>
        <v>0</v>
      </c>
      <c r="R282">
        <f t="shared" si="18"/>
        <v>0</v>
      </c>
      <c r="S282" t="b">
        <f t="shared" si="19"/>
        <v>0</v>
      </c>
    </row>
    <row r="283" spans="1:19" x14ac:dyDescent="0.2">
      <c r="A283" s="54">
        <v>109924</v>
      </c>
      <c r="B283" s="54" t="s">
        <v>1134</v>
      </c>
      <c r="C283" s="55">
        <v>43</v>
      </c>
      <c r="D283" s="55">
        <v>40</v>
      </c>
      <c r="E283" s="55">
        <v>2</v>
      </c>
      <c r="F283" s="55">
        <v>19</v>
      </c>
      <c r="G283" s="55">
        <v>19</v>
      </c>
      <c r="H283" s="55">
        <v>19</v>
      </c>
      <c r="I283" s="55">
        <v>0.48</v>
      </c>
      <c r="J283" s="55">
        <v>0.48</v>
      </c>
      <c r="K283" s="55">
        <v>0.48</v>
      </c>
      <c r="L283" s="55">
        <v>0</v>
      </c>
      <c r="M283" s="54" t="s">
        <v>30</v>
      </c>
      <c r="N283" s="54" t="s">
        <v>1401</v>
      </c>
      <c r="O283" s="54" t="s">
        <v>7</v>
      </c>
      <c r="P283" s="54">
        <f t="shared" si="16"/>
        <v>0</v>
      </c>
      <c r="Q283">
        <f t="shared" si="17"/>
        <v>0</v>
      </c>
      <c r="R283">
        <f t="shared" si="18"/>
        <v>0</v>
      </c>
      <c r="S283" t="b">
        <f t="shared" si="19"/>
        <v>0</v>
      </c>
    </row>
    <row r="284" spans="1:19" x14ac:dyDescent="0.2">
      <c r="A284" s="54">
        <v>109930</v>
      </c>
      <c r="B284" s="54" t="s">
        <v>1157</v>
      </c>
      <c r="C284" s="55">
        <v>55</v>
      </c>
      <c r="D284" s="55">
        <v>70</v>
      </c>
      <c r="E284" s="55">
        <v>1</v>
      </c>
      <c r="F284" s="55">
        <v>46</v>
      </c>
      <c r="G284" s="55">
        <v>46</v>
      </c>
      <c r="H284" s="55">
        <v>46</v>
      </c>
      <c r="I284" s="55">
        <v>0.66</v>
      </c>
      <c r="J284" s="55">
        <v>0.66</v>
      </c>
      <c r="K284" s="55">
        <v>0.66</v>
      </c>
      <c r="L284" s="55">
        <v>65</v>
      </c>
      <c r="M284" s="54" t="s">
        <v>30</v>
      </c>
      <c r="N284" s="54" t="s">
        <v>1401</v>
      </c>
      <c r="O284" s="54" t="s">
        <v>7</v>
      </c>
      <c r="P284" s="54">
        <f t="shared" si="16"/>
        <v>0</v>
      </c>
      <c r="Q284">
        <f t="shared" si="17"/>
        <v>0</v>
      </c>
      <c r="R284">
        <f t="shared" si="18"/>
        <v>0</v>
      </c>
      <c r="S284" t="b">
        <f t="shared" si="19"/>
        <v>0</v>
      </c>
    </row>
    <row r="285" spans="1:19" x14ac:dyDescent="0.2">
      <c r="A285" s="54">
        <v>109937</v>
      </c>
      <c r="B285" s="54" t="s">
        <v>1128</v>
      </c>
      <c r="C285" s="55">
        <v>40</v>
      </c>
      <c r="D285" s="55">
        <v>40</v>
      </c>
      <c r="E285" s="55">
        <v>4</v>
      </c>
      <c r="F285" s="55">
        <v>0</v>
      </c>
      <c r="G285" s="55">
        <v>0</v>
      </c>
      <c r="H285" s="55">
        <v>0</v>
      </c>
      <c r="I285" s="55">
        <v>0</v>
      </c>
      <c r="J285" s="55">
        <v>0</v>
      </c>
      <c r="K285" s="55">
        <v>0</v>
      </c>
      <c r="L285" s="55">
        <v>0</v>
      </c>
      <c r="M285" s="54" t="s">
        <v>30</v>
      </c>
      <c r="N285" s="54" t="s">
        <v>1401</v>
      </c>
      <c r="O285" s="54" t="s">
        <v>7</v>
      </c>
      <c r="P285" s="54">
        <f t="shared" si="16"/>
        <v>0</v>
      </c>
      <c r="Q285">
        <f t="shared" si="17"/>
        <v>0</v>
      </c>
      <c r="R285">
        <f t="shared" si="18"/>
        <v>0</v>
      </c>
      <c r="S285" t="b">
        <f t="shared" si="19"/>
        <v>0</v>
      </c>
    </row>
    <row r="286" spans="1:19" x14ac:dyDescent="0.2">
      <c r="A286" s="54">
        <v>109944</v>
      </c>
      <c r="B286" s="54" t="s">
        <v>1357</v>
      </c>
      <c r="C286" s="55">
        <v>0</v>
      </c>
      <c r="D286" s="55">
        <v>25</v>
      </c>
      <c r="E286" s="55">
        <v>0</v>
      </c>
      <c r="F286" s="55">
        <v>0</v>
      </c>
      <c r="G286" s="55">
        <v>0</v>
      </c>
      <c r="H286" s="55">
        <v>0</v>
      </c>
      <c r="I286" s="55">
        <v>0</v>
      </c>
      <c r="J286" s="55">
        <v>0</v>
      </c>
      <c r="K286" s="55">
        <v>0</v>
      </c>
      <c r="L286" s="55">
        <v>0</v>
      </c>
      <c r="M286" s="54" t="s">
        <v>30</v>
      </c>
      <c r="N286" s="54" t="s">
        <v>1401</v>
      </c>
      <c r="O286" s="54" t="s">
        <v>7</v>
      </c>
      <c r="P286" s="54">
        <f t="shared" si="16"/>
        <v>0</v>
      </c>
      <c r="Q286">
        <f t="shared" si="17"/>
        <v>0</v>
      </c>
      <c r="R286">
        <f t="shared" si="18"/>
        <v>0</v>
      </c>
      <c r="S286" t="b">
        <f t="shared" si="19"/>
        <v>0</v>
      </c>
    </row>
    <row r="287" spans="1:19" x14ac:dyDescent="0.2">
      <c r="A287" s="54">
        <v>109947</v>
      </c>
      <c r="B287" s="54" t="s">
        <v>479</v>
      </c>
      <c r="C287" s="55">
        <v>15</v>
      </c>
      <c r="D287" s="55">
        <v>12</v>
      </c>
      <c r="E287" s="55">
        <v>13</v>
      </c>
      <c r="F287" s="55">
        <v>24</v>
      </c>
      <c r="G287" s="55">
        <v>7</v>
      </c>
      <c r="H287" s="55">
        <v>0</v>
      </c>
      <c r="I287" s="55">
        <v>2</v>
      </c>
      <c r="J287" s="55">
        <v>0.57999999999999996</v>
      </c>
      <c r="K287" s="55">
        <v>0</v>
      </c>
      <c r="L287" s="55">
        <v>0</v>
      </c>
      <c r="M287" s="54" t="s">
        <v>45</v>
      </c>
      <c r="N287" s="54" t="s">
        <v>47</v>
      </c>
      <c r="O287" s="54" t="s">
        <v>7</v>
      </c>
      <c r="P287" s="54">
        <f t="shared" si="16"/>
        <v>15</v>
      </c>
      <c r="Q287">
        <f t="shared" si="17"/>
        <v>15</v>
      </c>
      <c r="R287">
        <f t="shared" si="18"/>
        <v>0</v>
      </c>
      <c r="S287" t="b">
        <f t="shared" si="19"/>
        <v>0</v>
      </c>
    </row>
    <row r="288" spans="1:19" x14ac:dyDescent="0.2">
      <c r="A288" s="54">
        <v>109962</v>
      </c>
      <c r="B288" s="54" t="s">
        <v>793</v>
      </c>
      <c r="C288" s="55">
        <v>5</v>
      </c>
      <c r="D288" s="55">
        <v>39</v>
      </c>
      <c r="E288" s="55">
        <v>3</v>
      </c>
      <c r="F288" s="55">
        <v>148</v>
      </c>
      <c r="G288" s="55">
        <v>148</v>
      </c>
      <c r="H288" s="55">
        <v>148</v>
      </c>
      <c r="I288" s="55">
        <v>3.79</v>
      </c>
      <c r="J288" s="55">
        <v>3.79</v>
      </c>
      <c r="K288" s="55">
        <v>3.79</v>
      </c>
      <c r="L288" s="55">
        <v>0</v>
      </c>
      <c r="M288" s="54" t="s">
        <v>30</v>
      </c>
      <c r="N288" s="54" t="s">
        <v>1401</v>
      </c>
      <c r="O288" s="54" t="s">
        <v>7</v>
      </c>
      <c r="P288" s="54">
        <f t="shared" si="16"/>
        <v>5</v>
      </c>
      <c r="Q288">
        <f t="shared" si="17"/>
        <v>5</v>
      </c>
      <c r="R288">
        <f t="shared" si="18"/>
        <v>5</v>
      </c>
      <c r="S288" t="b">
        <f t="shared" si="19"/>
        <v>0</v>
      </c>
    </row>
    <row r="289" spans="1:19" x14ac:dyDescent="0.2">
      <c r="A289" s="54">
        <v>109968</v>
      </c>
      <c r="B289" s="54" t="s">
        <v>1039</v>
      </c>
      <c r="C289" s="55">
        <v>24</v>
      </c>
      <c r="D289" s="55">
        <v>24</v>
      </c>
      <c r="E289" s="55">
        <v>1</v>
      </c>
      <c r="F289" s="55">
        <v>0</v>
      </c>
      <c r="G289" s="55">
        <v>0</v>
      </c>
      <c r="H289" s="55">
        <v>0</v>
      </c>
      <c r="I289" s="55">
        <v>0</v>
      </c>
      <c r="J289" s="55">
        <v>0</v>
      </c>
      <c r="K289" s="55">
        <v>0</v>
      </c>
      <c r="L289" s="55">
        <v>0</v>
      </c>
      <c r="M289" s="54" t="s">
        <v>30</v>
      </c>
      <c r="N289" s="54" t="s">
        <v>1401</v>
      </c>
      <c r="O289" s="54" t="s">
        <v>7</v>
      </c>
      <c r="P289" s="54">
        <f t="shared" si="16"/>
        <v>0</v>
      </c>
      <c r="Q289">
        <f t="shared" si="17"/>
        <v>0</v>
      </c>
      <c r="R289">
        <f t="shared" si="18"/>
        <v>0</v>
      </c>
      <c r="S289" t="b">
        <f t="shared" si="19"/>
        <v>0</v>
      </c>
    </row>
    <row r="290" spans="1:19" x14ac:dyDescent="0.2">
      <c r="A290" s="54">
        <v>109969</v>
      </c>
      <c r="B290" s="54" t="s">
        <v>1092</v>
      </c>
      <c r="C290" s="55">
        <v>32</v>
      </c>
      <c r="D290" s="55">
        <v>21</v>
      </c>
      <c r="E290" s="55">
        <v>3</v>
      </c>
      <c r="F290" s="55">
        <v>5</v>
      </c>
      <c r="G290" s="55">
        <v>5</v>
      </c>
      <c r="H290" s="55">
        <v>5</v>
      </c>
      <c r="I290" s="55">
        <v>0.24</v>
      </c>
      <c r="J290" s="55">
        <v>0.24</v>
      </c>
      <c r="K290" s="55">
        <v>0.24</v>
      </c>
      <c r="L290" s="55">
        <v>8</v>
      </c>
      <c r="M290" s="54" t="s">
        <v>30</v>
      </c>
      <c r="N290" s="54" t="s">
        <v>1401</v>
      </c>
      <c r="O290" s="54" t="s">
        <v>7</v>
      </c>
      <c r="P290" s="54">
        <f t="shared" si="16"/>
        <v>0</v>
      </c>
      <c r="Q290">
        <f t="shared" si="17"/>
        <v>0</v>
      </c>
      <c r="R290">
        <f t="shared" si="18"/>
        <v>0</v>
      </c>
      <c r="S290" t="b">
        <f t="shared" si="19"/>
        <v>0</v>
      </c>
    </row>
    <row r="291" spans="1:19" x14ac:dyDescent="0.2">
      <c r="A291" s="54">
        <v>109997</v>
      </c>
      <c r="B291" s="54" t="s">
        <v>499</v>
      </c>
      <c r="C291" s="55">
        <v>119</v>
      </c>
      <c r="D291" s="55">
        <v>125</v>
      </c>
      <c r="E291" s="55">
        <v>50</v>
      </c>
      <c r="F291" s="55">
        <v>29</v>
      </c>
      <c r="G291" s="55">
        <v>28</v>
      </c>
      <c r="H291" s="55">
        <v>24</v>
      </c>
      <c r="I291" s="55">
        <v>0.23</v>
      </c>
      <c r="J291" s="55">
        <v>0.22</v>
      </c>
      <c r="K291" s="55">
        <v>0.19</v>
      </c>
      <c r="L291" s="55">
        <v>27</v>
      </c>
      <c r="M291" s="54" t="s">
        <v>47</v>
      </c>
      <c r="N291" s="54" t="s">
        <v>47</v>
      </c>
      <c r="O291" s="54" t="s">
        <v>6</v>
      </c>
      <c r="P291" s="54">
        <f t="shared" si="16"/>
        <v>0</v>
      </c>
      <c r="Q291">
        <f t="shared" si="17"/>
        <v>0</v>
      </c>
      <c r="R291">
        <f t="shared" si="18"/>
        <v>0</v>
      </c>
      <c r="S291" t="b">
        <f t="shared" si="19"/>
        <v>0</v>
      </c>
    </row>
    <row r="292" spans="1:19" x14ac:dyDescent="0.2">
      <c r="A292" s="54">
        <v>110012</v>
      </c>
      <c r="B292" s="54" t="s">
        <v>881</v>
      </c>
      <c r="C292" s="55">
        <v>10</v>
      </c>
      <c r="D292" s="55">
        <v>10</v>
      </c>
      <c r="E292" s="55">
        <v>2</v>
      </c>
      <c r="F292" s="55">
        <v>9</v>
      </c>
      <c r="G292" s="55">
        <v>1</v>
      </c>
      <c r="H292" s="55">
        <v>1</v>
      </c>
      <c r="I292" s="55">
        <v>0.9</v>
      </c>
      <c r="J292" s="55">
        <v>0.1</v>
      </c>
      <c r="K292" s="55">
        <v>0.1</v>
      </c>
      <c r="L292" s="55">
        <v>3</v>
      </c>
      <c r="M292" s="54" t="s">
        <v>30</v>
      </c>
      <c r="N292" s="54" t="s">
        <v>1401</v>
      </c>
      <c r="O292" s="54" t="s">
        <v>7</v>
      </c>
      <c r="P292" s="54">
        <f t="shared" si="16"/>
        <v>0</v>
      </c>
      <c r="Q292">
        <f t="shared" si="17"/>
        <v>0</v>
      </c>
      <c r="R292">
        <f t="shared" si="18"/>
        <v>0</v>
      </c>
      <c r="S292" t="b">
        <f t="shared" si="19"/>
        <v>0</v>
      </c>
    </row>
    <row r="293" spans="1:19" x14ac:dyDescent="0.2">
      <c r="A293" s="54">
        <v>110080</v>
      </c>
      <c r="B293" s="54" t="s">
        <v>1014</v>
      </c>
      <c r="C293" s="55">
        <v>20</v>
      </c>
      <c r="D293" s="55">
        <v>20</v>
      </c>
      <c r="E293" s="55">
        <v>4</v>
      </c>
      <c r="F293" s="55">
        <v>0</v>
      </c>
      <c r="G293" s="55">
        <v>0</v>
      </c>
      <c r="H293" s="55">
        <v>0</v>
      </c>
      <c r="I293" s="55">
        <v>0</v>
      </c>
      <c r="J293" s="55">
        <v>0</v>
      </c>
      <c r="K293" s="55">
        <v>0</v>
      </c>
      <c r="L293" s="55">
        <v>0</v>
      </c>
      <c r="M293" s="54" t="s">
        <v>30</v>
      </c>
      <c r="N293" s="54" t="s">
        <v>1401</v>
      </c>
      <c r="O293" s="54" t="s">
        <v>7</v>
      </c>
      <c r="P293" s="54">
        <f t="shared" si="16"/>
        <v>0</v>
      </c>
      <c r="Q293">
        <f t="shared" si="17"/>
        <v>0</v>
      </c>
      <c r="R293">
        <f t="shared" si="18"/>
        <v>0</v>
      </c>
      <c r="S293" t="b">
        <f t="shared" si="19"/>
        <v>0</v>
      </c>
    </row>
    <row r="294" spans="1:19" x14ac:dyDescent="0.2">
      <c r="A294" s="54">
        <v>110104</v>
      </c>
      <c r="B294" s="54" t="s">
        <v>495</v>
      </c>
      <c r="C294" s="55">
        <v>1</v>
      </c>
      <c r="D294" s="55">
        <v>12</v>
      </c>
      <c r="E294" s="55">
        <v>50</v>
      </c>
      <c r="F294" s="55">
        <v>22</v>
      </c>
      <c r="G294" s="55">
        <v>0</v>
      </c>
      <c r="H294" s="55">
        <v>0</v>
      </c>
      <c r="I294" s="55">
        <v>1.83</v>
      </c>
      <c r="J294" s="55">
        <v>0</v>
      </c>
      <c r="K294" s="55">
        <v>0</v>
      </c>
      <c r="L294" s="55">
        <v>0</v>
      </c>
      <c r="M294" s="54" t="s">
        <v>47</v>
      </c>
      <c r="N294" s="54" t="s">
        <v>47</v>
      </c>
      <c r="O294" s="54" t="s">
        <v>7</v>
      </c>
      <c r="P294" s="54">
        <f t="shared" si="16"/>
        <v>0</v>
      </c>
      <c r="Q294">
        <f t="shared" si="17"/>
        <v>0</v>
      </c>
      <c r="R294">
        <f t="shared" si="18"/>
        <v>0</v>
      </c>
      <c r="S294" t="b">
        <f t="shared" si="19"/>
        <v>0</v>
      </c>
    </row>
    <row r="295" spans="1:19" x14ac:dyDescent="0.2">
      <c r="A295" s="54">
        <v>110142</v>
      </c>
      <c r="B295" s="54" t="s">
        <v>465</v>
      </c>
      <c r="C295" s="55">
        <v>482</v>
      </c>
      <c r="D295" s="55">
        <v>437</v>
      </c>
      <c r="E295" s="55">
        <v>13</v>
      </c>
      <c r="F295" s="55">
        <v>30</v>
      </c>
      <c r="G295" s="55">
        <v>18</v>
      </c>
      <c r="H295" s="55">
        <v>18</v>
      </c>
      <c r="I295" s="55">
        <v>7.0000000000000007E-2</v>
      </c>
      <c r="J295" s="55">
        <v>0.04</v>
      </c>
      <c r="K295" s="55">
        <v>0.04</v>
      </c>
      <c r="L295" s="55">
        <v>0</v>
      </c>
      <c r="M295" s="54" t="s">
        <v>45</v>
      </c>
      <c r="N295" s="54" t="s">
        <v>47</v>
      </c>
      <c r="O295" s="54" t="s">
        <v>6</v>
      </c>
      <c r="P295" s="54">
        <f t="shared" si="16"/>
        <v>0</v>
      </c>
      <c r="Q295">
        <f t="shared" si="17"/>
        <v>0</v>
      </c>
      <c r="R295">
        <f t="shared" si="18"/>
        <v>0</v>
      </c>
      <c r="S295" t="b">
        <f t="shared" si="19"/>
        <v>0</v>
      </c>
    </row>
    <row r="296" spans="1:19" x14ac:dyDescent="0.2">
      <c r="A296" s="54">
        <v>110147</v>
      </c>
      <c r="B296" s="54" t="s">
        <v>936</v>
      </c>
      <c r="C296" s="55">
        <v>14</v>
      </c>
      <c r="D296" s="55">
        <v>14</v>
      </c>
      <c r="E296" s="55">
        <v>2</v>
      </c>
      <c r="F296" s="55">
        <v>37</v>
      </c>
      <c r="G296" s="55">
        <v>27</v>
      </c>
      <c r="H296" s="55">
        <v>27</v>
      </c>
      <c r="I296" s="55">
        <v>2.64</v>
      </c>
      <c r="J296" s="55">
        <v>1.93</v>
      </c>
      <c r="K296" s="55">
        <v>1.93</v>
      </c>
      <c r="L296" s="55">
        <v>0</v>
      </c>
      <c r="M296" s="54" t="s">
        <v>30</v>
      </c>
      <c r="N296" s="54" t="s">
        <v>1401</v>
      </c>
      <c r="O296" s="54" t="s">
        <v>7</v>
      </c>
      <c r="P296" s="54">
        <f t="shared" si="16"/>
        <v>14</v>
      </c>
      <c r="Q296">
        <f t="shared" si="17"/>
        <v>14</v>
      </c>
      <c r="R296">
        <f t="shared" si="18"/>
        <v>14</v>
      </c>
      <c r="S296" t="b">
        <f t="shared" si="19"/>
        <v>0</v>
      </c>
    </row>
    <row r="297" spans="1:19" x14ac:dyDescent="0.2">
      <c r="A297" s="54">
        <v>110173</v>
      </c>
      <c r="B297" s="54" t="s">
        <v>174</v>
      </c>
      <c r="C297" s="55">
        <v>43</v>
      </c>
      <c r="D297" s="55">
        <v>41</v>
      </c>
      <c r="E297" s="55">
        <v>8</v>
      </c>
      <c r="F297" s="55">
        <v>352</v>
      </c>
      <c r="G297" s="55">
        <v>320</v>
      </c>
      <c r="H297" s="55">
        <v>232</v>
      </c>
      <c r="I297" s="55">
        <v>8.59</v>
      </c>
      <c r="J297" s="55">
        <v>7.8</v>
      </c>
      <c r="K297" s="55">
        <v>5.66</v>
      </c>
      <c r="L297" s="55">
        <v>87</v>
      </c>
      <c r="M297" s="54" t="s">
        <v>43</v>
      </c>
      <c r="N297" s="54" t="s">
        <v>1400</v>
      </c>
      <c r="O297" s="54" t="s">
        <v>7</v>
      </c>
      <c r="P297" s="54">
        <f t="shared" si="16"/>
        <v>43</v>
      </c>
      <c r="Q297">
        <f t="shared" si="17"/>
        <v>43</v>
      </c>
      <c r="R297">
        <f t="shared" si="18"/>
        <v>43</v>
      </c>
      <c r="S297" t="b">
        <f t="shared" si="19"/>
        <v>0</v>
      </c>
    </row>
    <row r="298" spans="1:19" x14ac:dyDescent="0.2">
      <c r="A298" s="54">
        <v>110248</v>
      </c>
      <c r="B298" s="54" t="s">
        <v>402</v>
      </c>
      <c r="C298" s="55">
        <v>4</v>
      </c>
      <c r="D298" s="55">
        <v>48</v>
      </c>
      <c r="E298" s="55">
        <v>6</v>
      </c>
      <c r="F298" s="55">
        <v>58</v>
      </c>
      <c r="G298" s="55">
        <v>58</v>
      </c>
      <c r="H298" s="55">
        <v>58</v>
      </c>
      <c r="I298" s="55">
        <v>1.21</v>
      </c>
      <c r="J298" s="55">
        <v>1.21</v>
      </c>
      <c r="K298" s="55">
        <v>1.21</v>
      </c>
      <c r="L298" s="55">
        <v>5</v>
      </c>
      <c r="M298" s="54" t="s">
        <v>43</v>
      </c>
      <c r="N298" s="54" t="s">
        <v>1400</v>
      </c>
      <c r="O298" s="54" t="s">
        <v>7</v>
      </c>
      <c r="P298" s="54">
        <f t="shared" si="16"/>
        <v>4</v>
      </c>
      <c r="Q298">
        <f t="shared" si="17"/>
        <v>0</v>
      </c>
      <c r="R298">
        <f t="shared" si="18"/>
        <v>4</v>
      </c>
      <c r="S298" t="b">
        <f t="shared" si="19"/>
        <v>0</v>
      </c>
    </row>
    <row r="299" spans="1:19" x14ac:dyDescent="0.2">
      <c r="A299" s="54">
        <v>110252</v>
      </c>
      <c r="B299" s="54" t="s">
        <v>494</v>
      </c>
      <c r="C299" s="55">
        <v>41</v>
      </c>
      <c r="D299" s="55">
        <v>41</v>
      </c>
      <c r="E299" s="55">
        <v>12</v>
      </c>
      <c r="F299" s="55">
        <v>29</v>
      </c>
      <c r="G299" s="55">
        <v>20</v>
      </c>
      <c r="H299" s="55">
        <v>20</v>
      </c>
      <c r="I299" s="55">
        <v>0.71</v>
      </c>
      <c r="J299" s="55">
        <v>0.49</v>
      </c>
      <c r="K299" s="55">
        <v>0.49</v>
      </c>
      <c r="L299" s="55">
        <v>8</v>
      </c>
      <c r="M299" s="54" t="s">
        <v>43</v>
      </c>
      <c r="N299" s="54" t="s">
        <v>1400</v>
      </c>
      <c r="O299" s="54" t="s">
        <v>7</v>
      </c>
      <c r="P299" s="54">
        <f t="shared" si="16"/>
        <v>0</v>
      </c>
      <c r="Q299">
        <f t="shared" si="17"/>
        <v>0</v>
      </c>
      <c r="R299">
        <f t="shared" si="18"/>
        <v>0</v>
      </c>
      <c r="S299" t="b">
        <f t="shared" si="19"/>
        <v>0</v>
      </c>
    </row>
    <row r="300" spans="1:19" x14ac:dyDescent="0.2">
      <c r="A300" s="54">
        <v>110264</v>
      </c>
      <c r="B300" s="54" t="s">
        <v>1026</v>
      </c>
      <c r="C300" s="55">
        <v>22</v>
      </c>
      <c r="D300" s="55">
        <v>23</v>
      </c>
      <c r="E300" s="55">
        <v>2</v>
      </c>
      <c r="F300" s="55">
        <v>31</v>
      </c>
      <c r="G300" s="55">
        <v>31</v>
      </c>
      <c r="H300" s="55">
        <v>31</v>
      </c>
      <c r="I300" s="55">
        <v>1.35</v>
      </c>
      <c r="J300" s="55">
        <v>1.35</v>
      </c>
      <c r="K300" s="55">
        <v>1.35</v>
      </c>
      <c r="L300" s="55">
        <v>1</v>
      </c>
      <c r="M300" s="54" t="s">
        <v>30</v>
      </c>
      <c r="N300" s="54" t="s">
        <v>1401</v>
      </c>
      <c r="O300" s="54" t="s">
        <v>7</v>
      </c>
      <c r="P300" s="54">
        <f t="shared" si="16"/>
        <v>22</v>
      </c>
      <c r="Q300">
        <f t="shared" si="17"/>
        <v>0</v>
      </c>
      <c r="R300">
        <f t="shared" si="18"/>
        <v>22</v>
      </c>
      <c r="S300" t="b">
        <f t="shared" si="19"/>
        <v>0</v>
      </c>
    </row>
    <row r="301" spans="1:19" x14ac:dyDescent="0.2">
      <c r="A301" s="54">
        <v>110274</v>
      </c>
      <c r="B301" s="54" t="s">
        <v>377</v>
      </c>
      <c r="C301" s="55">
        <v>223</v>
      </c>
      <c r="D301" s="55">
        <v>160</v>
      </c>
      <c r="E301" s="55">
        <v>40</v>
      </c>
      <c r="F301" s="55">
        <v>180</v>
      </c>
      <c r="G301" s="55">
        <v>160</v>
      </c>
      <c r="H301" s="55">
        <v>159</v>
      </c>
      <c r="I301" s="55">
        <v>1.1299999999999999</v>
      </c>
      <c r="J301" s="55">
        <v>1</v>
      </c>
      <c r="K301" s="55">
        <v>0.99</v>
      </c>
      <c r="L301" s="55">
        <v>43</v>
      </c>
      <c r="M301" s="54" t="s">
        <v>47</v>
      </c>
      <c r="N301" s="54" t="s">
        <v>47</v>
      </c>
      <c r="O301" s="54" t="s">
        <v>6</v>
      </c>
      <c r="P301" s="54">
        <f t="shared" si="16"/>
        <v>223</v>
      </c>
      <c r="Q301">
        <f t="shared" si="17"/>
        <v>0</v>
      </c>
      <c r="R301">
        <f t="shared" si="18"/>
        <v>223</v>
      </c>
      <c r="S301" t="b">
        <f t="shared" si="19"/>
        <v>0</v>
      </c>
    </row>
    <row r="302" spans="1:19" x14ac:dyDescent="0.2">
      <c r="A302" s="54">
        <v>110284</v>
      </c>
      <c r="B302" s="54" t="s">
        <v>710</v>
      </c>
      <c r="C302" s="55">
        <v>1</v>
      </c>
      <c r="D302" s="55">
        <v>5</v>
      </c>
      <c r="E302" s="55">
        <v>5</v>
      </c>
      <c r="F302" s="55">
        <v>37</v>
      </c>
      <c r="G302" s="55">
        <v>37</v>
      </c>
      <c r="H302" s="55">
        <v>19</v>
      </c>
      <c r="I302" s="55">
        <v>7.4</v>
      </c>
      <c r="J302" s="55">
        <v>7.4</v>
      </c>
      <c r="K302" s="55">
        <v>3.8</v>
      </c>
      <c r="L302" s="55">
        <v>17</v>
      </c>
      <c r="M302" s="54" t="s">
        <v>30</v>
      </c>
      <c r="N302" s="54" t="s">
        <v>1401</v>
      </c>
      <c r="O302" s="54" t="s">
        <v>7</v>
      </c>
      <c r="P302" s="54">
        <f t="shared" si="16"/>
        <v>1</v>
      </c>
      <c r="Q302">
        <f t="shared" si="17"/>
        <v>1</v>
      </c>
      <c r="R302">
        <f t="shared" si="18"/>
        <v>1</v>
      </c>
      <c r="S302" t="b">
        <f t="shared" si="19"/>
        <v>0</v>
      </c>
    </row>
    <row r="303" spans="1:19" x14ac:dyDescent="0.2">
      <c r="A303" s="54">
        <v>110305</v>
      </c>
      <c r="B303" s="54" t="s">
        <v>995</v>
      </c>
      <c r="C303" s="55">
        <v>18</v>
      </c>
      <c r="D303" s="55">
        <v>522</v>
      </c>
      <c r="E303" s="55">
        <v>3</v>
      </c>
      <c r="F303" s="55">
        <v>33</v>
      </c>
      <c r="G303" s="55">
        <v>26</v>
      </c>
      <c r="H303" s="55">
        <v>26</v>
      </c>
      <c r="I303" s="55">
        <v>0.06</v>
      </c>
      <c r="J303" s="55">
        <v>0.05</v>
      </c>
      <c r="K303" s="55">
        <v>0.05</v>
      </c>
      <c r="L303" s="55">
        <v>0</v>
      </c>
      <c r="M303" s="54" t="s">
        <v>30</v>
      </c>
      <c r="N303" s="54" t="s">
        <v>1401</v>
      </c>
      <c r="O303" s="54" t="s">
        <v>6</v>
      </c>
      <c r="P303" s="54">
        <f t="shared" si="16"/>
        <v>0</v>
      </c>
      <c r="Q303">
        <f t="shared" si="17"/>
        <v>0</v>
      </c>
      <c r="R303">
        <f t="shared" si="18"/>
        <v>0</v>
      </c>
      <c r="S303" t="b">
        <f t="shared" si="19"/>
        <v>0</v>
      </c>
    </row>
    <row r="304" spans="1:19" x14ac:dyDescent="0.2">
      <c r="A304" s="54">
        <v>110308</v>
      </c>
      <c r="B304" s="54" t="s">
        <v>165</v>
      </c>
      <c r="C304" s="55">
        <v>11</v>
      </c>
      <c r="D304" s="55">
        <v>215</v>
      </c>
      <c r="E304" s="55">
        <v>7</v>
      </c>
      <c r="F304" s="55">
        <v>438</v>
      </c>
      <c r="G304" s="55">
        <v>354</v>
      </c>
      <c r="H304" s="55">
        <v>180</v>
      </c>
      <c r="I304" s="55">
        <v>2.04</v>
      </c>
      <c r="J304" s="55">
        <v>1.65</v>
      </c>
      <c r="K304" s="55">
        <v>0.84</v>
      </c>
      <c r="L304" s="55">
        <v>371</v>
      </c>
      <c r="M304" s="54" t="s">
        <v>43</v>
      </c>
      <c r="N304" s="54" t="s">
        <v>1400</v>
      </c>
      <c r="O304" s="54" t="s">
        <v>6</v>
      </c>
      <c r="P304" s="54">
        <f t="shared" si="16"/>
        <v>11</v>
      </c>
      <c r="Q304">
        <f t="shared" si="17"/>
        <v>11</v>
      </c>
      <c r="R304">
        <f t="shared" si="18"/>
        <v>11</v>
      </c>
      <c r="S304" t="b">
        <f t="shared" si="19"/>
        <v>0</v>
      </c>
    </row>
    <row r="305" spans="1:19" x14ac:dyDescent="0.2">
      <c r="A305" s="54">
        <v>110318</v>
      </c>
      <c r="B305" s="54" t="s">
        <v>374</v>
      </c>
      <c r="C305" s="55">
        <v>533</v>
      </c>
      <c r="D305" s="55">
        <v>312</v>
      </c>
      <c r="E305" s="55">
        <v>25</v>
      </c>
      <c r="F305" s="55">
        <v>89</v>
      </c>
      <c r="G305" s="55">
        <v>19</v>
      </c>
      <c r="H305" s="55">
        <v>5</v>
      </c>
      <c r="I305" s="55">
        <v>0.28999999999999998</v>
      </c>
      <c r="J305" s="55">
        <v>0.06</v>
      </c>
      <c r="K305" s="55">
        <v>0.02</v>
      </c>
      <c r="L305" s="55">
        <v>0</v>
      </c>
      <c r="M305" s="54" t="s">
        <v>47</v>
      </c>
      <c r="N305" s="54" t="s">
        <v>47</v>
      </c>
      <c r="O305" s="54" t="s">
        <v>6</v>
      </c>
      <c r="P305" s="54">
        <f t="shared" si="16"/>
        <v>0</v>
      </c>
      <c r="Q305">
        <f t="shared" si="17"/>
        <v>0</v>
      </c>
      <c r="R305">
        <f t="shared" si="18"/>
        <v>0</v>
      </c>
      <c r="S305" t="b">
        <f t="shared" si="19"/>
        <v>0</v>
      </c>
    </row>
    <row r="306" spans="1:19" x14ac:dyDescent="0.2">
      <c r="A306" s="54">
        <v>110342</v>
      </c>
      <c r="B306" s="54" t="s">
        <v>909</v>
      </c>
      <c r="C306" s="55">
        <v>12</v>
      </c>
      <c r="D306" s="55">
        <v>11</v>
      </c>
      <c r="E306" s="55">
        <v>3</v>
      </c>
      <c r="F306" s="55">
        <v>30</v>
      </c>
      <c r="G306" s="55">
        <v>22</v>
      </c>
      <c r="H306" s="55">
        <v>3</v>
      </c>
      <c r="I306" s="55">
        <v>2.73</v>
      </c>
      <c r="J306" s="55">
        <v>2</v>
      </c>
      <c r="K306" s="55">
        <v>0.27</v>
      </c>
      <c r="L306" s="55">
        <v>9</v>
      </c>
      <c r="M306" s="54" t="s">
        <v>30</v>
      </c>
      <c r="N306" s="54" t="s">
        <v>1401</v>
      </c>
      <c r="O306" s="54" t="s">
        <v>7</v>
      </c>
      <c r="P306" s="54">
        <f t="shared" si="16"/>
        <v>12</v>
      </c>
      <c r="Q306">
        <f t="shared" si="17"/>
        <v>12</v>
      </c>
      <c r="R306">
        <f t="shared" si="18"/>
        <v>12</v>
      </c>
      <c r="S306" t="b">
        <f t="shared" si="19"/>
        <v>0</v>
      </c>
    </row>
    <row r="307" spans="1:19" x14ac:dyDescent="0.2">
      <c r="A307" s="54">
        <v>110348</v>
      </c>
      <c r="B307" s="54" t="s">
        <v>1141</v>
      </c>
      <c r="C307" s="55">
        <v>48</v>
      </c>
      <c r="D307" s="55">
        <v>50</v>
      </c>
      <c r="E307" s="55">
        <v>2</v>
      </c>
      <c r="F307" s="55">
        <v>76</v>
      </c>
      <c r="G307" s="55">
        <v>76</v>
      </c>
      <c r="H307" s="55">
        <v>76</v>
      </c>
      <c r="I307" s="55">
        <v>1.52</v>
      </c>
      <c r="J307" s="55">
        <v>1.52</v>
      </c>
      <c r="K307" s="55">
        <v>1.52</v>
      </c>
      <c r="L307" s="55">
        <v>0</v>
      </c>
      <c r="M307" s="54" t="s">
        <v>30</v>
      </c>
      <c r="N307" s="54" t="s">
        <v>1401</v>
      </c>
      <c r="O307" s="54" t="s">
        <v>7</v>
      </c>
      <c r="P307" s="54">
        <f t="shared" si="16"/>
        <v>48</v>
      </c>
      <c r="Q307">
        <f t="shared" si="17"/>
        <v>0</v>
      </c>
      <c r="R307">
        <f t="shared" si="18"/>
        <v>48</v>
      </c>
      <c r="S307" t="b">
        <f t="shared" si="19"/>
        <v>0</v>
      </c>
    </row>
    <row r="308" spans="1:19" x14ac:dyDescent="0.2">
      <c r="A308" s="54">
        <v>110360</v>
      </c>
      <c r="B308" s="54" t="s">
        <v>470</v>
      </c>
      <c r="C308" s="55">
        <v>85</v>
      </c>
      <c r="D308" s="55">
        <v>133</v>
      </c>
      <c r="E308" s="55">
        <v>20</v>
      </c>
      <c r="F308" s="55">
        <v>49</v>
      </c>
      <c r="G308" s="55">
        <v>3</v>
      </c>
      <c r="H308" s="55">
        <v>0</v>
      </c>
      <c r="I308" s="55">
        <v>0.37</v>
      </c>
      <c r="J308" s="55">
        <v>0.02</v>
      </c>
      <c r="K308" s="55">
        <v>0</v>
      </c>
      <c r="L308" s="55">
        <v>2</v>
      </c>
      <c r="M308" s="54" t="s">
        <v>45</v>
      </c>
      <c r="N308" s="54" t="s">
        <v>47</v>
      </c>
      <c r="O308" s="54" t="s">
        <v>6</v>
      </c>
      <c r="P308" s="54">
        <f t="shared" si="16"/>
        <v>0</v>
      </c>
      <c r="Q308">
        <f t="shared" si="17"/>
        <v>0</v>
      </c>
      <c r="R308">
        <f t="shared" si="18"/>
        <v>0</v>
      </c>
      <c r="S308" t="b">
        <f t="shared" si="19"/>
        <v>0</v>
      </c>
    </row>
    <row r="309" spans="1:19" x14ac:dyDescent="0.2">
      <c r="A309" s="54">
        <v>110380</v>
      </c>
      <c r="B309" s="54" t="s">
        <v>485</v>
      </c>
      <c r="C309" s="55">
        <v>36</v>
      </c>
      <c r="D309" s="55">
        <v>43</v>
      </c>
      <c r="E309" s="55">
        <v>22</v>
      </c>
      <c r="F309" s="55">
        <v>20</v>
      </c>
      <c r="G309" s="55">
        <v>20</v>
      </c>
      <c r="H309" s="55">
        <v>11</v>
      </c>
      <c r="I309" s="55">
        <v>0.47</v>
      </c>
      <c r="J309" s="55">
        <v>0.47</v>
      </c>
      <c r="K309" s="55">
        <v>0.26</v>
      </c>
      <c r="L309" s="55">
        <v>20</v>
      </c>
      <c r="M309" s="54" t="s">
        <v>45</v>
      </c>
      <c r="N309" s="54" t="s">
        <v>47</v>
      </c>
      <c r="O309" s="54" t="s">
        <v>7</v>
      </c>
      <c r="P309" s="54">
        <f t="shared" si="16"/>
        <v>0</v>
      </c>
      <c r="Q309">
        <f t="shared" si="17"/>
        <v>0</v>
      </c>
      <c r="R309">
        <f t="shared" si="18"/>
        <v>0</v>
      </c>
      <c r="S309" t="b">
        <f t="shared" si="19"/>
        <v>0</v>
      </c>
    </row>
    <row r="310" spans="1:19" x14ac:dyDescent="0.2">
      <c r="A310" s="54">
        <v>110385</v>
      </c>
      <c r="B310" s="54" t="s">
        <v>488</v>
      </c>
      <c r="C310" s="55">
        <v>9</v>
      </c>
      <c r="D310" s="55">
        <v>23</v>
      </c>
      <c r="E310" s="55">
        <v>9</v>
      </c>
      <c r="F310" s="55">
        <v>9</v>
      </c>
      <c r="G310" s="55">
        <v>0</v>
      </c>
      <c r="H310" s="55">
        <v>0</v>
      </c>
      <c r="I310" s="55">
        <v>0.39</v>
      </c>
      <c r="J310" s="55">
        <v>0</v>
      </c>
      <c r="K310" s="55">
        <v>0</v>
      </c>
      <c r="L310" s="55">
        <v>0</v>
      </c>
      <c r="M310" s="54" t="s">
        <v>43</v>
      </c>
      <c r="N310" s="54" t="s">
        <v>1400</v>
      </c>
      <c r="O310" s="54" t="s">
        <v>7</v>
      </c>
      <c r="P310" s="54">
        <f t="shared" si="16"/>
        <v>0</v>
      </c>
      <c r="Q310">
        <f t="shared" si="17"/>
        <v>0</v>
      </c>
      <c r="R310">
        <f t="shared" si="18"/>
        <v>0</v>
      </c>
      <c r="S310" t="b">
        <f t="shared" si="19"/>
        <v>0</v>
      </c>
    </row>
    <row r="311" spans="1:19" x14ac:dyDescent="0.2">
      <c r="A311" s="54">
        <v>110404</v>
      </c>
      <c r="B311" s="54" t="s">
        <v>86</v>
      </c>
      <c r="C311" s="55">
        <v>248</v>
      </c>
      <c r="D311" s="55">
        <v>227</v>
      </c>
      <c r="E311" s="55">
        <v>10</v>
      </c>
      <c r="F311" s="55">
        <v>522</v>
      </c>
      <c r="G311" s="55">
        <v>72</v>
      </c>
      <c r="H311" s="55">
        <v>35</v>
      </c>
      <c r="I311" s="55">
        <v>2.2999999999999998</v>
      </c>
      <c r="J311" s="55">
        <v>0.32</v>
      </c>
      <c r="K311" s="55">
        <v>0.15</v>
      </c>
      <c r="L311" s="55">
        <v>3</v>
      </c>
      <c r="M311" s="54" t="s">
        <v>43</v>
      </c>
      <c r="N311" s="54" t="s">
        <v>1400</v>
      </c>
      <c r="O311" s="54" t="s">
        <v>6</v>
      </c>
      <c r="P311" s="54">
        <f t="shared" si="16"/>
        <v>248</v>
      </c>
      <c r="Q311">
        <f t="shared" si="17"/>
        <v>248</v>
      </c>
      <c r="R311">
        <f t="shared" si="18"/>
        <v>0</v>
      </c>
      <c r="S311" t="b">
        <f t="shared" si="19"/>
        <v>0</v>
      </c>
    </row>
    <row r="312" spans="1:19" x14ac:dyDescent="0.2">
      <c r="A312" s="54">
        <v>110423</v>
      </c>
      <c r="B312" s="54" t="s">
        <v>948</v>
      </c>
      <c r="C312" s="55">
        <v>14</v>
      </c>
      <c r="D312" s="55">
        <v>62</v>
      </c>
      <c r="E312" s="55">
        <v>0</v>
      </c>
      <c r="F312" s="55">
        <v>3</v>
      </c>
      <c r="G312" s="55">
        <v>3</v>
      </c>
      <c r="H312" s="55">
        <v>3</v>
      </c>
      <c r="I312" s="55">
        <v>0.05</v>
      </c>
      <c r="J312" s="55">
        <v>0.05</v>
      </c>
      <c r="K312" s="55">
        <v>0.05</v>
      </c>
      <c r="L312" s="55">
        <v>0</v>
      </c>
      <c r="M312" s="54" t="s">
        <v>30</v>
      </c>
      <c r="N312" s="54" t="s">
        <v>1401</v>
      </c>
      <c r="O312" s="54" t="s">
        <v>7</v>
      </c>
      <c r="P312" s="54">
        <f t="shared" si="16"/>
        <v>0</v>
      </c>
      <c r="Q312">
        <f t="shared" si="17"/>
        <v>0</v>
      </c>
      <c r="R312">
        <f t="shared" si="18"/>
        <v>0</v>
      </c>
      <c r="S312" t="b">
        <f t="shared" si="19"/>
        <v>0</v>
      </c>
    </row>
    <row r="313" spans="1:19" x14ac:dyDescent="0.2">
      <c r="A313" s="54">
        <v>110456</v>
      </c>
      <c r="B313" s="54" t="s">
        <v>635</v>
      </c>
      <c r="C313" s="55">
        <v>78</v>
      </c>
      <c r="D313" s="55">
        <v>91</v>
      </c>
      <c r="E313" s="55">
        <v>51</v>
      </c>
      <c r="F313" s="55">
        <v>0</v>
      </c>
      <c r="G313" s="55">
        <v>0</v>
      </c>
      <c r="H313" s="55">
        <v>0</v>
      </c>
      <c r="I313" s="55">
        <v>0</v>
      </c>
      <c r="J313" s="55">
        <v>0</v>
      </c>
      <c r="K313" s="55">
        <v>0</v>
      </c>
      <c r="L313" s="55">
        <v>0</v>
      </c>
      <c r="M313" s="54" t="s">
        <v>47</v>
      </c>
      <c r="N313" s="54" t="s">
        <v>47</v>
      </c>
      <c r="O313" s="54" t="s">
        <v>7</v>
      </c>
      <c r="P313" s="54">
        <f t="shared" si="16"/>
        <v>0</v>
      </c>
      <c r="Q313">
        <f t="shared" si="17"/>
        <v>0</v>
      </c>
      <c r="R313">
        <f t="shared" si="18"/>
        <v>0</v>
      </c>
      <c r="S313" t="b">
        <f t="shared" si="19"/>
        <v>0</v>
      </c>
    </row>
    <row r="314" spans="1:19" x14ac:dyDescent="0.2">
      <c r="A314" s="54">
        <v>110479</v>
      </c>
      <c r="B314" s="54" t="s">
        <v>532</v>
      </c>
      <c r="C314" s="55">
        <v>103</v>
      </c>
      <c r="D314" s="55">
        <v>170</v>
      </c>
      <c r="E314" s="55">
        <v>24</v>
      </c>
      <c r="F314" s="55">
        <v>12</v>
      </c>
      <c r="G314" s="55">
        <v>0</v>
      </c>
      <c r="H314" s="55">
        <v>0</v>
      </c>
      <c r="I314" s="55">
        <v>7.0000000000000007E-2</v>
      </c>
      <c r="J314" s="55">
        <v>0</v>
      </c>
      <c r="K314" s="55">
        <v>0</v>
      </c>
      <c r="L314" s="55">
        <v>120</v>
      </c>
      <c r="M314" s="54" t="s">
        <v>45</v>
      </c>
      <c r="N314" s="54" t="s">
        <v>47</v>
      </c>
      <c r="O314" s="54" t="s">
        <v>6</v>
      </c>
      <c r="P314" s="54">
        <f t="shared" si="16"/>
        <v>0</v>
      </c>
      <c r="Q314">
        <f t="shared" si="17"/>
        <v>0</v>
      </c>
      <c r="R314">
        <f t="shared" si="18"/>
        <v>0</v>
      </c>
      <c r="S314" t="b">
        <f t="shared" si="19"/>
        <v>0</v>
      </c>
    </row>
    <row r="315" spans="1:19" x14ac:dyDescent="0.2">
      <c r="A315" s="54">
        <v>110482</v>
      </c>
      <c r="B315" s="54" t="s">
        <v>548</v>
      </c>
      <c r="C315" s="55">
        <v>22</v>
      </c>
      <c r="D315" s="55">
        <v>13</v>
      </c>
      <c r="E315" s="55">
        <v>6</v>
      </c>
      <c r="F315" s="55">
        <v>9</v>
      </c>
      <c r="G315" s="55">
        <v>9</v>
      </c>
      <c r="H315" s="55">
        <v>9</v>
      </c>
      <c r="I315" s="55">
        <v>0.69</v>
      </c>
      <c r="J315" s="55">
        <v>0.69</v>
      </c>
      <c r="K315" s="55">
        <v>0.69</v>
      </c>
      <c r="L315" s="55">
        <v>1</v>
      </c>
      <c r="M315" s="54" t="s">
        <v>43</v>
      </c>
      <c r="N315" s="54" t="s">
        <v>1400</v>
      </c>
      <c r="O315" s="54" t="s">
        <v>7</v>
      </c>
      <c r="P315" s="54">
        <f t="shared" si="16"/>
        <v>0</v>
      </c>
      <c r="Q315">
        <f t="shared" si="17"/>
        <v>0</v>
      </c>
      <c r="R315">
        <f t="shared" si="18"/>
        <v>0</v>
      </c>
      <c r="S315" t="b">
        <f t="shared" si="19"/>
        <v>0</v>
      </c>
    </row>
    <row r="316" spans="1:19" x14ac:dyDescent="0.2">
      <c r="A316" s="54">
        <v>110485</v>
      </c>
      <c r="B316" s="54" t="s">
        <v>564</v>
      </c>
      <c r="C316" s="55">
        <v>0</v>
      </c>
      <c r="D316" s="55">
        <v>7</v>
      </c>
      <c r="E316" s="55">
        <v>15</v>
      </c>
      <c r="F316" s="55">
        <v>52</v>
      </c>
      <c r="G316" s="55">
        <v>6</v>
      </c>
      <c r="H316" s="55">
        <v>0</v>
      </c>
      <c r="I316" s="55">
        <v>7.43</v>
      </c>
      <c r="J316" s="55">
        <v>0.86</v>
      </c>
      <c r="K316" s="55">
        <v>0</v>
      </c>
      <c r="L316" s="55">
        <v>4</v>
      </c>
      <c r="M316" s="54" t="s">
        <v>45</v>
      </c>
      <c r="N316" s="54" t="s">
        <v>47</v>
      </c>
      <c r="O316" s="54" t="s">
        <v>7</v>
      </c>
      <c r="P316" s="54">
        <f t="shared" si="16"/>
        <v>0</v>
      </c>
      <c r="Q316">
        <f t="shared" si="17"/>
        <v>0</v>
      </c>
      <c r="R316">
        <f t="shared" si="18"/>
        <v>0</v>
      </c>
      <c r="S316" t="b">
        <f t="shared" si="19"/>
        <v>0</v>
      </c>
    </row>
    <row r="317" spans="1:19" x14ac:dyDescent="0.2">
      <c r="A317" s="54">
        <v>110487</v>
      </c>
      <c r="B317" s="54" t="s">
        <v>440</v>
      </c>
      <c r="C317" s="55">
        <v>296</v>
      </c>
      <c r="D317" s="55">
        <v>175</v>
      </c>
      <c r="E317" s="55">
        <v>7</v>
      </c>
      <c r="F317" s="55">
        <v>39</v>
      </c>
      <c r="G317" s="55">
        <v>39</v>
      </c>
      <c r="H317" s="55">
        <v>39</v>
      </c>
      <c r="I317" s="55">
        <v>0.22</v>
      </c>
      <c r="J317" s="55">
        <v>0.22</v>
      </c>
      <c r="K317" s="55">
        <v>0.22</v>
      </c>
      <c r="L317" s="55">
        <v>7</v>
      </c>
      <c r="M317" s="54" t="s">
        <v>43</v>
      </c>
      <c r="N317" s="54" t="s">
        <v>1400</v>
      </c>
      <c r="O317" s="54" t="s">
        <v>6</v>
      </c>
      <c r="P317" s="54">
        <f t="shared" si="16"/>
        <v>0</v>
      </c>
      <c r="Q317">
        <f t="shared" si="17"/>
        <v>0</v>
      </c>
      <c r="R317">
        <f t="shared" si="18"/>
        <v>0</v>
      </c>
      <c r="S317" t="b">
        <f t="shared" si="19"/>
        <v>0</v>
      </c>
    </row>
    <row r="318" spans="1:19" x14ac:dyDescent="0.2">
      <c r="A318" s="54">
        <v>110505</v>
      </c>
      <c r="B318" s="54" t="s">
        <v>899</v>
      </c>
      <c r="C318" s="55">
        <v>11</v>
      </c>
      <c r="D318" s="55">
        <v>11</v>
      </c>
      <c r="E318" s="55">
        <v>2</v>
      </c>
      <c r="F318" s="55">
        <v>27</v>
      </c>
      <c r="G318" s="55">
        <v>13</v>
      </c>
      <c r="H318" s="55">
        <v>13</v>
      </c>
      <c r="I318" s="55">
        <v>2.4500000000000002</v>
      </c>
      <c r="J318" s="55">
        <v>1.18</v>
      </c>
      <c r="K318" s="55">
        <v>1.18</v>
      </c>
      <c r="L318" s="55">
        <v>0</v>
      </c>
      <c r="M318" s="54" t="s">
        <v>30</v>
      </c>
      <c r="N318" s="54" t="s">
        <v>1401</v>
      </c>
      <c r="O318" s="54" t="s">
        <v>7</v>
      </c>
      <c r="P318" s="54">
        <f t="shared" si="16"/>
        <v>11</v>
      </c>
      <c r="Q318">
        <f t="shared" si="17"/>
        <v>11</v>
      </c>
      <c r="R318">
        <f t="shared" si="18"/>
        <v>11</v>
      </c>
      <c r="S318" t="b">
        <f t="shared" si="19"/>
        <v>0</v>
      </c>
    </row>
    <row r="319" spans="1:19" x14ac:dyDescent="0.2">
      <c r="A319" s="54">
        <v>110526</v>
      </c>
      <c r="B319" s="54" t="s">
        <v>141</v>
      </c>
      <c r="C319" s="55">
        <v>119</v>
      </c>
      <c r="D319" s="55">
        <v>125</v>
      </c>
      <c r="E319" s="55">
        <v>10</v>
      </c>
      <c r="F319" s="55">
        <v>407</v>
      </c>
      <c r="G319" s="55">
        <v>37</v>
      </c>
      <c r="H319" s="55">
        <v>20</v>
      </c>
      <c r="I319" s="55">
        <v>3.26</v>
      </c>
      <c r="J319" s="55">
        <v>0.3</v>
      </c>
      <c r="K319" s="55">
        <v>0.16</v>
      </c>
      <c r="L319" s="55">
        <v>354</v>
      </c>
      <c r="M319" s="54" t="s">
        <v>43</v>
      </c>
      <c r="N319" s="54" t="s">
        <v>1400</v>
      </c>
      <c r="O319" s="54" t="s">
        <v>6</v>
      </c>
      <c r="P319" s="54">
        <f t="shared" si="16"/>
        <v>119</v>
      </c>
      <c r="Q319">
        <f t="shared" si="17"/>
        <v>119</v>
      </c>
      <c r="R319">
        <f t="shared" si="18"/>
        <v>0</v>
      </c>
      <c r="S319" t="b">
        <f t="shared" si="19"/>
        <v>0</v>
      </c>
    </row>
    <row r="320" spans="1:19" x14ac:dyDescent="0.2">
      <c r="A320" s="54">
        <v>110540</v>
      </c>
      <c r="B320" s="54" t="s">
        <v>1214</v>
      </c>
      <c r="C320" s="55">
        <v>100</v>
      </c>
      <c r="D320" s="55">
        <v>112</v>
      </c>
      <c r="E320" s="55">
        <v>3</v>
      </c>
      <c r="F320" s="55">
        <v>38</v>
      </c>
      <c r="G320" s="55">
        <v>0</v>
      </c>
      <c r="H320" s="55">
        <v>0</v>
      </c>
      <c r="I320" s="55">
        <v>0.34</v>
      </c>
      <c r="J320" s="55">
        <v>0</v>
      </c>
      <c r="K320" s="55">
        <v>0</v>
      </c>
      <c r="L320" s="55">
        <v>31</v>
      </c>
      <c r="M320" s="54" t="s">
        <v>30</v>
      </c>
      <c r="N320" s="54" t="s">
        <v>1401</v>
      </c>
      <c r="O320" s="54" t="s">
        <v>6</v>
      </c>
      <c r="P320" s="54">
        <f t="shared" si="16"/>
        <v>0</v>
      </c>
      <c r="Q320">
        <f t="shared" si="17"/>
        <v>0</v>
      </c>
      <c r="R320">
        <f t="shared" si="18"/>
        <v>0</v>
      </c>
      <c r="S320" t="b">
        <f t="shared" si="19"/>
        <v>0</v>
      </c>
    </row>
    <row r="321" spans="1:19" x14ac:dyDescent="0.2">
      <c r="A321" s="54">
        <v>110545</v>
      </c>
      <c r="B321" s="54" t="s">
        <v>595</v>
      </c>
      <c r="C321" s="55">
        <v>198</v>
      </c>
      <c r="D321" s="55">
        <v>250</v>
      </c>
      <c r="E321" s="55">
        <v>34</v>
      </c>
      <c r="F321" s="55">
        <v>3</v>
      </c>
      <c r="G321" s="55">
        <v>0</v>
      </c>
      <c r="H321" s="55">
        <v>0</v>
      </c>
      <c r="I321" s="55">
        <v>0.01</v>
      </c>
      <c r="J321" s="55">
        <v>0</v>
      </c>
      <c r="K321" s="55">
        <v>0</v>
      </c>
      <c r="L321" s="55">
        <v>0</v>
      </c>
      <c r="M321" s="54" t="s">
        <v>47</v>
      </c>
      <c r="N321" s="54" t="s">
        <v>47</v>
      </c>
      <c r="O321" s="54" t="s">
        <v>6</v>
      </c>
      <c r="P321" s="54">
        <f t="shared" si="16"/>
        <v>0</v>
      </c>
      <c r="Q321">
        <f t="shared" si="17"/>
        <v>0</v>
      </c>
      <c r="R321">
        <f t="shared" si="18"/>
        <v>0</v>
      </c>
      <c r="S321" t="b">
        <f t="shared" si="19"/>
        <v>0</v>
      </c>
    </row>
    <row r="322" spans="1:19" x14ac:dyDescent="0.2">
      <c r="A322" s="54">
        <v>110554</v>
      </c>
      <c r="B322" s="54" t="s">
        <v>890</v>
      </c>
      <c r="C322" s="55">
        <v>10</v>
      </c>
      <c r="D322" s="55">
        <v>7</v>
      </c>
      <c r="E322" s="55">
        <v>5</v>
      </c>
      <c r="F322" s="55">
        <v>0</v>
      </c>
      <c r="G322" s="55">
        <v>0</v>
      </c>
      <c r="H322" s="55">
        <v>0</v>
      </c>
      <c r="I322" s="55">
        <v>0</v>
      </c>
      <c r="J322" s="55">
        <v>0</v>
      </c>
      <c r="K322" s="55">
        <v>0</v>
      </c>
      <c r="L322" s="55">
        <v>0</v>
      </c>
      <c r="M322" s="54" t="s">
        <v>30</v>
      </c>
      <c r="N322" s="54" t="s">
        <v>1401</v>
      </c>
      <c r="O322" s="54" t="s">
        <v>7</v>
      </c>
      <c r="P322" s="54">
        <f t="shared" ref="P322:P385" si="20">IF(I322&gt;=2, C322, IF(J322&gt;=0.75, C322, 0))</f>
        <v>0</v>
      </c>
      <c r="Q322">
        <f t="shared" ref="Q322:Q385" si="21">IF(I322&gt;=2, C322, IF(AND(J322&gt;=0.75, D322&gt;=550), C322, 0))</f>
        <v>0</v>
      </c>
      <c r="R322">
        <f t="shared" ref="R322:R385" si="22">IF(J322&gt;=0.75, C322, 0)</f>
        <v>0</v>
      </c>
      <c r="S322" t="b">
        <f t="shared" si="19"/>
        <v>0</v>
      </c>
    </row>
    <row r="323" spans="1:19" x14ac:dyDescent="0.2">
      <c r="A323" s="54">
        <v>110571</v>
      </c>
      <c r="B323" s="54" t="s">
        <v>1143</v>
      </c>
      <c r="C323" s="55">
        <v>49</v>
      </c>
      <c r="D323" s="55">
        <v>10</v>
      </c>
      <c r="E323" s="55">
        <v>4</v>
      </c>
      <c r="F323" s="55">
        <v>0</v>
      </c>
      <c r="G323" s="55">
        <v>0</v>
      </c>
      <c r="H323" s="55">
        <v>0</v>
      </c>
      <c r="I323" s="55">
        <v>0</v>
      </c>
      <c r="J323" s="55">
        <v>0</v>
      </c>
      <c r="K323" s="55">
        <v>0</v>
      </c>
      <c r="L323" s="55">
        <v>0</v>
      </c>
      <c r="M323" s="54" t="s">
        <v>30</v>
      </c>
      <c r="N323" s="54" t="s">
        <v>1401</v>
      </c>
      <c r="O323" s="54" t="s">
        <v>7</v>
      </c>
      <c r="P323" s="54">
        <f t="shared" si="20"/>
        <v>0</v>
      </c>
      <c r="Q323">
        <f t="shared" si="21"/>
        <v>0</v>
      </c>
      <c r="R323">
        <f t="shared" si="22"/>
        <v>0</v>
      </c>
      <c r="S323" t="b">
        <f t="shared" ref="S323:S386" si="23">IF(A323=A324,TRUE,FALSE)</f>
        <v>0</v>
      </c>
    </row>
    <row r="324" spans="1:19" x14ac:dyDescent="0.2">
      <c r="A324" s="54">
        <v>110580</v>
      </c>
      <c r="B324" s="54" t="s">
        <v>665</v>
      </c>
      <c r="C324" s="55">
        <v>1</v>
      </c>
      <c r="D324" s="55">
        <v>70</v>
      </c>
      <c r="E324" s="55">
        <v>9</v>
      </c>
      <c r="F324" s="55">
        <v>0</v>
      </c>
      <c r="G324" s="55">
        <v>0</v>
      </c>
      <c r="H324" s="55">
        <v>0</v>
      </c>
      <c r="I324" s="55">
        <v>0</v>
      </c>
      <c r="J324" s="55">
        <v>0</v>
      </c>
      <c r="K324" s="55">
        <v>0</v>
      </c>
      <c r="L324" s="55">
        <v>0</v>
      </c>
      <c r="M324" s="54" t="s">
        <v>43</v>
      </c>
      <c r="N324" s="54" t="s">
        <v>1400</v>
      </c>
      <c r="O324" s="54" t="s">
        <v>7</v>
      </c>
      <c r="P324" s="54">
        <f t="shared" si="20"/>
        <v>0</v>
      </c>
      <c r="Q324">
        <f t="shared" si="21"/>
        <v>0</v>
      </c>
      <c r="R324">
        <f t="shared" si="22"/>
        <v>0</v>
      </c>
      <c r="S324" t="b">
        <f t="shared" si="23"/>
        <v>0</v>
      </c>
    </row>
    <row r="325" spans="1:19" x14ac:dyDescent="0.2">
      <c r="A325" s="54">
        <v>110594</v>
      </c>
      <c r="B325" s="54" t="s">
        <v>243</v>
      </c>
      <c r="C325" s="55">
        <v>399</v>
      </c>
      <c r="D325" s="55">
        <v>385</v>
      </c>
      <c r="E325" s="55">
        <v>6</v>
      </c>
      <c r="F325" s="55">
        <v>195</v>
      </c>
      <c r="G325" s="55">
        <v>195</v>
      </c>
      <c r="H325" s="55">
        <v>150</v>
      </c>
      <c r="I325" s="55">
        <v>0.51</v>
      </c>
      <c r="J325" s="55">
        <v>0.51</v>
      </c>
      <c r="K325" s="55">
        <v>0.39</v>
      </c>
      <c r="L325" s="55">
        <v>310</v>
      </c>
      <c r="M325" s="54" t="s">
        <v>43</v>
      </c>
      <c r="N325" s="54" t="s">
        <v>1400</v>
      </c>
      <c r="O325" s="54" t="s">
        <v>6</v>
      </c>
      <c r="P325" s="54">
        <f t="shared" si="20"/>
        <v>0</v>
      </c>
      <c r="Q325">
        <f t="shared" si="21"/>
        <v>0</v>
      </c>
      <c r="R325">
        <f t="shared" si="22"/>
        <v>0</v>
      </c>
      <c r="S325" t="b">
        <f t="shared" si="23"/>
        <v>0</v>
      </c>
    </row>
    <row r="326" spans="1:19" x14ac:dyDescent="0.2">
      <c r="A326" s="54">
        <v>110600</v>
      </c>
      <c r="B326" s="54" t="s">
        <v>90</v>
      </c>
      <c r="C326" s="55">
        <v>255</v>
      </c>
      <c r="D326" s="55">
        <v>262</v>
      </c>
      <c r="E326" s="55">
        <v>10</v>
      </c>
      <c r="F326" s="55">
        <v>650</v>
      </c>
      <c r="G326" s="55">
        <v>545</v>
      </c>
      <c r="H326" s="55">
        <v>10</v>
      </c>
      <c r="I326" s="55">
        <v>2.48</v>
      </c>
      <c r="J326" s="55">
        <v>2.08</v>
      </c>
      <c r="K326" s="55">
        <v>0.04</v>
      </c>
      <c r="L326" s="55">
        <v>140</v>
      </c>
      <c r="M326" s="54" t="s">
        <v>43</v>
      </c>
      <c r="N326" s="54" t="s">
        <v>1400</v>
      </c>
      <c r="O326" s="54" t="s">
        <v>6</v>
      </c>
      <c r="P326" s="54">
        <f t="shared" si="20"/>
        <v>255</v>
      </c>
      <c r="Q326">
        <f t="shared" si="21"/>
        <v>255</v>
      </c>
      <c r="R326">
        <f t="shared" si="22"/>
        <v>255</v>
      </c>
      <c r="S326" t="b">
        <f t="shared" si="23"/>
        <v>0</v>
      </c>
    </row>
    <row r="327" spans="1:19" x14ac:dyDescent="0.2">
      <c r="A327" s="54">
        <v>110619</v>
      </c>
      <c r="B327" s="54" t="s">
        <v>79</v>
      </c>
      <c r="C327" s="55">
        <v>375</v>
      </c>
      <c r="D327" s="55">
        <v>286</v>
      </c>
      <c r="E327" s="55">
        <v>35</v>
      </c>
      <c r="F327" s="55">
        <v>1893</v>
      </c>
      <c r="G327" s="55">
        <v>1296</v>
      </c>
      <c r="H327" s="55">
        <v>973</v>
      </c>
      <c r="I327" s="55">
        <v>6.62</v>
      </c>
      <c r="J327" s="55">
        <v>4.53</v>
      </c>
      <c r="K327" s="55">
        <v>3.4</v>
      </c>
      <c r="L327" s="55">
        <v>174</v>
      </c>
      <c r="M327" s="54" t="s">
        <v>47</v>
      </c>
      <c r="N327" s="54" t="s">
        <v>47</v>
      </c>
      <c r="O327" s="54" t="s">
        <v>6</v>
      </c>
      <c r="P327" s="54">
        <f t="shared" si="20"/>
        <v>375</v>
      </c>
      <c r="Q327">
        <f t="shared" si="21"/>
        <v>375</v>
      </c>
      <c r="R327">
        <f t="shared" si="22"/>
        <v>375</v>
      </c>
      <c r="S327" t="b">
        <f t="shared" si="23"/>
        <v>0</v>
      </c>
    </row>
    <row r="328" spans="1:19" x14ac:dyDescent="0.2">
      <c r="A328" s="54">
        <v>110628</v>
      </c>
      <c r="B328" s="54" t="s">
        <v>176</v>
      </c>
      <c r="C328" s="55">
        <v>3</v>
      </c>
      <c r="D328" s="55">
        <v>40</v>
      </c>
      <c r="E328" s="55">
        <v>8</v>
      </c>
      <c r="F328" s="55">
        <v>259</v>
      </c>
      <c r="G328" s="55">
        <v>203</v>
      </c>
      <c r="H328" s="55">
        <v>3</v>
      </c>
      <c r="I328" s="55">
        <v>6.48</v>
      </c>
      <c r="J328" s="55">
        <v>5.08</v>
      </c>
      <c r="K328" s="55">
        <v>0.08</v>
      </c>
      <c r="L328" s="55">
        <v>90</v>
      </c>
      <c r="M328" s="54" t="s">
        <v>43</v>
      </c>
      <c r="N328" s="54" t="s">
        <v>1400</v>
      </c>
      <c r="O328" s="54" t="s">
        <v>7</v>
      </c>
      <c r="P328" s="54">
        <f t="shared" si="20"/>
        <v>3</v>
      </c>
      <c r="Q328">
        <f t="shared" si="21"/>
        <v>3</v>
      </c>
      <c r="R328">
        <f t="shared" si="22"/>
        <v>3</v>
      </c>
      <c r="S328" t="b">
        <f t="shared" si="23"/>
        <v>0</v>
      </c>
    </row>
    <row r="329" spans="1:19" x14ac:dyDescent="0.2">
      <c r="A329" s="54">
        <v>110631</v>
      </c>
      <c r="B329" s="54" t="s">
        <v>1148</v>
      </c>
      <c r="C329" s="55">
        <v>52</v>
      </c>
      <c r="D329" s="55">
        <v>30</v>
      </c>
      <c r="E329" s="55">
        <v>1</v>
      </c>
      <c r="F329" s="55">
        <v>0</v>
      </c>
      <c r="G329" s="55">
        <v>0</v>
      </c>
      <c r="H329" s="55">
        <v>0</v>
      </c>
      <c r="I329" s="55">
        <v>0</v>
      </c>
      <c r="J329" s="55">
        <v>0</v>
      </c>
      <c r="K329" s="55">
        <v>0</v>
      </c>
      <c r="L329" s="55">
        <v>0</v>
      </c>
      <c r="M329" s="54" t="s">
        <v>30</v>
      </c>
      <c r="N329" s="54" t="s">
        <v>1401</v>
      </c>
      <c r="O329" s="54" t="s">
        <v>7</v>
      </c>
      <c r="P329" s="54">
        <f t="shared" si="20"/>
        <v>0</v>
      </c>
      <c r="Q329">
        <f t="shared" si="21"/>
        <v>0</v>
      </c>
      <c r="R329">
        <f t="shared" si="22"/>
        <v>0</v>
      </c>
      <c r="S329" t="b">
        <f t="shared" si="23"/>
        <v>0</v>
      </c>
    </row>
    <row r="330" spans="1:19" x14ac:dyDescent="0.2">
      <c r="A330" s="54">
        <v>110634</v>
      </c>
      <c r="B330" s="54" t="s">
        <v>1077</v>
      </c>
      <c r="C330" s="55">
        <v>30</v>
      </c>
      <c r="D330" s="55">
        <v>106</v>
      </c>
      <c r="E330" s="55">
        <v>1</v>
      </c>
      <c r="F330" s="55">
        <v>4</v>
      </c>
      <c r="G330" s="55">
        <v>4</v>
      </c>
      <c r="H330" s="55">
        <v>4</v>
      </c>
      <c r="I330" s="55">
        <v>0.04</v>
      </c>
      <c r="J330" s="55">
        <v>0.04</v>
      </c>
      <c r="K330" s="55">
        <v>0.04</v>
      </c>
      <c r="L330" s="55">
        <v>0</v>
      </c>
      <c r="M330" s="54" t="s">
        <v>30</v>
      </c>
      <c r="N330" s="54" t="s">
        <v>1401</v>
      </c>
      <c r="O330" s="54" t="s">
        <v>6</v>
      </c>
      <c r="P330" s="54">
        <f t="shared" si="20"/>
        <v>0</v>
      </c>
      <c r="Q330">
        <f t="shared" si="21"/>
        <v>0</v>
      </c>
      <c r="R330">
        <f t="shared" si="22"/>
        <v>0</v>
      </c>
      <c r="S330" t="b">
        <f t="shared" si="23"/>
        <v>0</v>
      </c>
    </row>
    <row r="331" spans="1:19" x14ac:dyDescent="0.2">
      <c r="A331" s="54">
        <v>110637</v>
      </c>
      <c r="B331" s="54" t="s">
        <v>78</v>
      </c>
      <c r="C331" s="55">
        <v>505</v>
      </c>
      <c r="D331" s="55">
        <v>480</v>
      </c>
      <c r="E331" s="55">
        <v>16</v>
      </c>
      <c r="F331" s="55">
        <v>1670</v>
      </c>
      <c r="G331" s="55">
        <v>875</v>
      </c>
      <c r="H331" s="55">
        <v>761</v>
      </c>
      <c r="I331" s="55">
        <v>3.48</v>
      </c>
      <c r="J331" s="55">
        <v>1.82</v>
      </c>
      <c r="K331" s="55">
        <v>1.59</v>
      </c>
      <c r="L331" s="55">
        <v>61</v>
      </c>
      <c r="M331" s="54" t="s">
        <v>45</v>
      </c>
      <c r="N331" s="54" t="s">
        <v>47</v>
      </c>
      <c r="O331" s="54" t="s">
        <v>6</v>
      </c>
      <c r="P331" s="54">
        <f t="shared" si="20"/>
        <v>505</v>
      </c>
      <c r="Q331">
        <f t="shared" si="21"/>
        <v>505</v>
      </c>
      <c r="R331">
        <f t="shared" si="22"/>
        <v>505</v>
      </c>
      <c r="S331" t="b">
        <f t="shared" si="23"/>
        <v>0</v>
      </c>
    </row>
    <row r="332" spans="1:19" x14ac:dyDescent="0.2">
      <c r="A332" s="54">
        <v>110673</v>
      </c>
      <c r="B332" s="54" t="s">
        <v>565</v>
      </c>
      <c r="C332" s="55">
        <v>190</v>
      </c>
      <c r="D332" s="55">
        <v>150</v>
      </c>
      <c r="E332" s="55">
        <v>28</v>
      </c>
      <c r="F332" s="55">
        <v>7</v>
      </c>
      <c r="G332" s="55">
        <v>9</v>
      </c>
      <c r="H332" s="55">
        <v>9</v>
      </c>
      <c r="I332" s="55">
        <v>0.05</v>
      </c>
      <c r="J332" s="55">
        <v>0.06</v>
      </c>
      <c r="K332" s="55">
        <v>0.06</v>
      </c>
      <c r="L332" s="55">
        <v>5</v>
      </c>
      <c r="M332" s="54" t="s">
        <v>47</v>
      </c>
      <c r="N332" s="54" t="s">
        <v>47</v>
      </c>
      <c r="O332" s="54" t="s">
        <v>6</v>
      </c>
      <c r="P332" s="54">
        <f t="shared" si="20"/>
        <v>0</v>
      </c>
      <c r="Q332">
        <f t="shared" si="21"/>
        <v>0</v>
      </c>
      <c r="R332">
        <f t="shared" si="22"/>
        <v>0</v>
      </c>
      <c r="S332" t="b">
        <f t="shared" si="23"/>
        <v>0</v>
      </c>
    </row>
    <row r="333" spans="1:19" x14ac:dyDescent="0.2">
      <c r="A333" s="54">
        <v>110715</v>
      </c>
      <c r="B333" s="54" t="s">
        <v>566</v>
      </c>
      <c r="C333" s="55">
        <v>117</v>
      </c>
      <c r="D333" s="55">
        <v>107</v>
      </c>
      <c r="E333" s="55">
        <v>16</v>
      </c>
      <c r="F333" s="55">
        <v>7</v>
      </c>
      <c r="G333" s="55">
        <v>7</v>
      </c>
      <c r="H333" s="55">
        <v>0</v>
      </c>
      <c r="I333" s="55">
        <v>7.0000000000000007E-2</v>
      </c>
      <c r="J333" s="55">
        <v>7.0000000000000007E-2</v>
      </c>
      <c r="K333" s="55">
        <v>0</v>
      </c>
      <c r="L333" s="55">
        <v>0</v>
      </c>
      <c r="M333" s="54" t="s">
        <v>45</v>
      </c>
      <c r="N333" s="54" t="s">
        <v>47</v>
      </c>
      <c r="O333" s="54" t="s">
        <v>6</v>
      </c>
      <c r="P333" s="54">
        <f t="shared" si="20"/>
        <v>0</v>
      </c>
      <c r="Q333">
        <f t="shared" si="21"/>
        <v>0</v>
      </c>
      <c r="R333">
        <f t="shared" si="22"/>
        <v>0</v>
      </c>
      <c r="S333" t="b">
        <f t="shared" si="23"/>
        <v>0</v>
      </c>
    </row>
    <row r="334" spans="1:19" x14ac:dyDescent="0.2">
      <c r="A334" s="54">
        <v>110737</v>
      </c>
      <c r="B334" s="54" t="s">
        <v>657</v>
      </c>
      <c r="C334" s="55">
        <v>138</v>
      </c>
      <c r="D334" s="55">
        <v>120</v>
      </c>
      <c r="E334" s="55">
        <v>20</v>
      </c>
      <c r="F334" s="55">
        <v>0</v>
      </c>
      <c r="G334" s="55">
        <v>0</v>
      </c>
      <c r="H334" s="55">
        <v>0</v>
      </c>
      <c r="I334" s="55">
        <v>0</v>
      </c>
      <c r="J334" s="55">
        <v>0</v>
      </c>
      <c r="K334" s="55">
        <v>0</v>
      </c>
      <c r="L334" s="55">
        <v>0</v>
      </c>
      <c r="M334" s="54" t="s">
        <v>45</v>
      </c>
      <c r="N334" s="54" t="s">
        <v>47</v>
      </c>
      <c r="O334" s="54" t="s">
        <v>6</v>
      </c>
      <c r="P334" s="54">
        <f t="shared" si="20"/>
        <v>0</v>
      </c>
      <c r="Q334">
        <f t="shared" si="21"/>
        <v>0</v>
      </c>
      <c r="R334">
        <f t="shared" si="22"/>
        <v>0</v>
      </c>
      <c r="S334" t="b">
        <f t="shared" si="23"/>
        <v>0</v>
      </c>
    </row>
    <row r="335" spans="1:19" x14ac:dyDescent="0.2">
      <c r="A335" s="54">
        <v>110771</v>
      </c>
      <c r="B335" s="54" t="s">
        <v>634</v>
      </c>
      <c r="C335" s="55">
        <v>406</v>
      </c>
      <c r="D335" s="55">
        <v>140</v>
      </c>
      <c r="E335" s="55">
        <v>31</v>
      </c>
      <c r="F335" s="55">
        <v>0</v>
      </c>
      <c r="G335" s="55">
        <v>0</v>
      </c>
      <c r="H335" s="55">
        <v>0</v>
      </c>
      <c r="I335" s="55">
        <v>0</v>
      </c>
      <c r="J335" s="55">
        <v>0</v>
      </c>
      <c r="K335" s="55">
        <v>0</v>
      </c>
      <c r="L335" s="55">
        <v>46</v>
      </c>
      <c r="M335" s="54" t="s">
        <v>47</v>
      </c>
      <c r="N335" s="54" t="s">
        <v>47</v>
      </c>
      <c r="O335" s="54" t="s">
        <v>6</v>
      </c>
      <c r="P335" s="54">
        <f t="shared" si="20"/>
        <v>0</v>
      </c>
      <c r="Q335">
        <f t="shared" si="21"/>
        <v>0</v>
      </c>
      <c r="R335">
        <f t="shared" si="22"/>
        <v>0</v>
      </c>
      <c r="S335" t="b">
        <f t="shared" si="23"/>
        <v>0</v>
      </c>
    </row>
    <row r="336" spans="1:19" x14ac:dyDescent="0.2">
      <c r="A336" s="54">
        <v>110777</v>
      </c>
      <c r="B336" s="54" t="s">
        <v>878</v>
      </c>
      <c r="C336" s="55">
        <v>10</v>
      </c>
      <c r="D336" s="55">
        <v>39</v>
      </c>
      <c r="E336" s="55">
        <v>2</v>
      </c>
      <c r="F336" s="55">
        <v>55</v>
      </c>
      <c r="G336" s="55">
        <v>52</v>
      </c>
      <c r="H336" s="55">
        <v>52</v>
      </c>
      <c r="I336" s="55">
        <v>1.41</v>
      </c>
      <c r="J336" s="55">
        <v>1.33</v>
      </c>
      <c r="K336" s="55">
        <v>1.33</v>
      </c>
      <c r="L336" s="55">
        <v>25</v>
      </c>
      <c r="M336" s="54" t="s">
        <v>30</v>
      </c>
      <c r="N336" s="54" t="s">
        <v>1401</v>
      </c>
      <c r="O336" s="54" t="s">
        <v>7</v>
      </c>
      <c r="P336" s="54">
        <f t="shared" si="20"/>
        <v>10</v>
      </c>
      <c r="Q336">
        <f t="shared" si="21"/>
        <v>0</v>
      </c>
      <c r="R336">
        <f t="shared" si="22"/>
        <v>10</v>
      </c>
      <c r="S336" t="b">
        <f t="shared" si="23"/>
        <v>0</v>
      </c>
    </row>
    <row r="337" spans="1:19" x14ac:dyDescent="0.2">
      <c r="A337" s="54">
        <v>110825</v>
      </c>
      <c r="B337" s="54" t="s">
        <v>867</v>
      </c>
      <c r="C337" s="55">
        <v>9</v>
      </c>
      <c r="D337" s="55">
        <v>8</v>
      </c>
      <c r="E337" s="55">
        <v>5</v>
      </c>
      <c r="F337" s="55">
        <v>53</v>
      </c>
      <c r="G337" s="55">
        <v>53</v>
      </c>
      <c r="H337" s="55">
        <v>32</v>
      </c>
      <c r="I337" s="55">
        <v>6.63</v>
      </c>
      <c r="J337" s="55">
        <v>6.63</v>
      </c>
      <c r="K337" s="55">
        <v>4</v>
      </c>
      <c r="L337" s="55">
        <v>11</v>
      </c>
      <c r="M337" s="54" t="s">
        <v>30</v>
      </c>
      <c r="N337" s="54" t="s">
        <v>1401</v>
      </c>
      <c r="O337" s="54" t="s">
        <v>7</v>
      </c>
      <c r="P337" s="54">
        <f t="shared" si="20"/>
        <v>9</v>
      </c>
      <c r="Q337">
        <f t="shared" si="21"/>
        <v>9</v>
      </c>
      <c r="R337">
        <f t="shared" si="22"/>
        <v>9</v>
      </c>
      <c r="S337" t="b">
        <f t="shared" si="23"/>
        <v>0</v>
      </c>
    </row>
    <row r="338" spans="1:19" x14ac:dyDescent="0.2">
      <c r="A338" s="54">
        <v>110838</v>
      </c>
      <c r="B338" s="54" t="s">
        <v>873</v>
      </c>
      <c r="C338" s="55">
        <v>10</v>
      </c>
      <c r="D338" s="55">
        <v>10</v>
      </c>
      <c r="E338" s="55">
        <v>1</v>
      </c>
      <c r="F338" s="55">
        <v>61</v>
      </c>
      <c r="G338" s="55">
        <v>48</v>
      </c>
      <c r="H338" s="55">
        <v>48</v>
      </c>
      <c r="I338" s="55">
        <v>6.1</v>
      </c>
      <c r="J338" s="55">
        <v>4.8</v>
      </c>
      <c r="K338" s="55">
        <v>4.8</v>
      </c>
      <c r="L338" s="55">
        <v>1</v>
      </c>
      <c r="M338" s="54" t="s">
        <v>30</v>
      </c>
      <c r="N338" s="54" t="s">
        <v>1401</v>
      </c>
      <c r="O338" s="54" t="s">
        <v>7</v>
      </c>
      <c r="P338" s="54">
        <f t="shared" si="20"/>
        <v>10</v>
      </c>
      <c r="Q338">
        <f t="shared" si="21"/>
        <v>10</v>
      </c>
      <c r="R338">
        <f t="shared" si="22"/>
        <v>10</v>
      </c>
      <c r="S338" t="b">
        <f t="shared" si="23"/>
        <v>0</v>
      </c>
    </row>
    <row r="339" spans="1:19" x14ac:dyDescent="0.2">
      <c r="A339" s="54">
        <v>110842</v>
      </c>
      <c r="B339" s="54" t="s">
        <v>1256</v>
      </c>
      <c r="C339" s="55">
        <v>152</v>
      </c>
      <c r="D339" s="55">
        <v>133</v>
      </c>
      <c r="E339" s="55">
        <v>0</v>
      </c>
      <c r="F339" s="55">
        <v>0</v>
      </c>
      <c r="G339" s="55">
        <v>0</v>
      </c>
      <c r="H339" s="55">
        <v>0</v>
      </c>
      <c r="I339" s="55">
        <v>0</v>
      </c>
      <c r="J339" s="55">
        <v>0</v>
      </c>
      <c r="K339" s="55">
        <v>0</v>
      </c>
      <c r="L339" s="55">
        <v>0</v>
      </c>
      <c r="M339" s="54" t="s">
        <v>30</v>
      </c>
      <c r="N339" s="54" t="s">
        <v>1401</v>
      </c>
      <c r="O339" s="54" t="s">
        <v>6</v>
      </c>
      <c r="P339" s="54">
        <f t="shared" si="20"/>
        <v>0</v>
      </c>
      <c r="Q339">
        <f t="shared" si="21"/>
        <v>0</v>
      </c>
      <c r="R339">
        <f t="shared" si="22"/>
        <v>0</v>
      </c>
      <c r="S339" t="b">
        <f t="shared" si="23"/>
        <v>0</v>
      </c>
    </row>
    <row r="340" spans="1:19" x14ac:dyDescent="0.2">
      <c r="A340" s="54">
        <v>110851</v>
      </c>
      <c r="B340" s="54" t="s">
        <v>1206</v>
      </c>
      <c r="C340" s="55">
        <v>96</v>
      </c>
      <c r="D340" s="55">
        <v>126</v>
      </c>
      <c r="E340" s="55">
        <v>4</v>
      </c>
      <c r="F340" s="55">
        <v>99</v>
      </c>
      <c r="G340" s="55">
        <v>67</v>
      </c>
      <c r="H340" s="55">
        <v>19</v>
      </c>
      <c r="I340" s="55">
        <v>0.79</v>
      </c>
      <c r="J340" s="55">
        <v>0.53</v>
      </c>
      <c r="K340" s="55">
        <v>0.15</v>
      </c>
      <c r="L340" s="55">
        <v>12</v>
      </c>
      <c r="M340" s="54" t="s">
        <v>30</v>
      </c>
      <c r="N340" s="54" t="s">
        <v>1401</v>
      </c>
      <c r="O340" s="54" t="s">
        <v>6</v>
      </c>
      <c r="P340" s="54">
        <f t="shared" si="20"/>
        <v>0</v>
      </c>
      <c r="Q340">
        <f t="shared" si="21"/>
        <v>0</v>
      </c>
      <c r="R340">
        <f t="shared" si="22"/>
        <v>0</v>
      </c>
      <c r="S340" t="b">
        <f t="shared" si="23"/>
        <v>0</v>
      </c>
    </row>
    <row r="341" spans="1:19" x14ac:dyDescent="0.2">
      <c r="A341" s="54">
        <v>110870</v>
      </c>
      <c r="B341" s="54" t="s">
        <v>983</v>
      </c>
      <c r="C341" s="55">
        <v>17</v>
      </c>
      <c r="D341" s="55">
        <v>27</v>
      </c>
      <c r="E341" s="55">
        <v>3</v>
      </c>
      <c r="F341" s="55">
        <v>0</v>
      </c>
      <c r="G341" s="55">
        <v>0</v>
      </c>
      <c r="H341" s="55">
        <v>0</v>
      </c>
      <c r="I341" s="55">
        <v>0</v>
      </c>
      <c r="J341" s="55">
        <v>0</v>
      </c>
      <c r="K341" s="55">
        <v>0</v>
      </c>
      <c r="L341" s="55">
        <v>0</v>
      </c>
      <c r="M341" s="54" t="s">
        <v>30</v>
      </c>
      <c r="N341" s="54" t="s">
        <v>1401</v>
      </c>
      <c r="O341" s="54" t="s">
        <v>7</v>
      </c>
      <c r="P341" s="54">
        <f t="shared" si="20"/>
        <v>0</v>
      </c>
      <c r="Q341">
        <f t="shared" si="21"/>
        <v>0</v>
      </c>
      <c r="R341">
        <f t="shared" si="22"/>
        <v>0</v>
      </c>
      <c r="S341" t="b">
        <f t="shared" si="23"/>
        <v>0</v>
      </c>
    </row>
    <row r="342" spans="1:19" x14ac:dyDescent="0.2">
      <c r="A342" s="54">
        <v>110914</v>
      </c>
      <c r="B342" s="54" t="s">
        <v>850</v>
      </c>
      <c r="C342" s="55">
        <v>8</v>
      </c>
      <c r="D342" s="55">
        <v>10</v>
      </c>
      <c r="E342" s="55">
        <v>4</v>
      </c>
      <c r="F342" s="55">
        <v>0</v>
      </c>
      <c r="G342" s="55">
        <v>0</v>
      </c>
      <c r="H342" s="55">
        <v>0</v>
      </c>
      <c r="I342" s="55">
        <v>0</v>
      </c>
      <c r="J342" s="55">
        <v>0</v>
      </c>
      <c r="K342" s="55">
        <v>0</v>
      </c>
      <c r="L342" s="55">
        <v>0</v>
      </c>
      <c r="M342" s="54" t="s">
        <v>30</v>
      </c>
      <c r="N342" s="54" t="s">
        <v>1401</v>
      </c>
      <c r="O342" s="54" t="s">
        <v>7</v>
      </c>
      <c r="P342" s="54">
        <f t="shared" si="20"/>
        <v>0</v>
      </c>
      <c r="Q342">
        <f t="shared" si="21"/>
        <v>0</v>
      </c>
      <c r="R342">
        <f t="shared" si="22"/>
        <v>0</v>
      </c>
      <c r="S342" t="b">
        <f t="shared" si="23"/>
        <v>0</v>
      </c>
    </row>
    <row r="343" spans="1:19" x14ac:dyDescent="0.2">
      <c r="A343" s="54">
        <v>110958</v>
      </c>
      <c r="B343" s="54" t="s">
        <v>96</v>
      </c>
      <c r="C343" s="55">
        <v>5</v>
      </c>
      <c r="D343" s="55">
        <v>250</v>
      </c>
      <c r="E343" s="55">
        <v>9</v>
      </c>
      <c r="F343" s="55">
        <v>1429</v>
      </c>
      <c r="G343" s="55">
        <v>920</v>
      </c>
      <c r="H343" s="55">
        <v>253</v>
      </c>
      <c r="I343" s="55">
        <v>5.72</v>
      </c>
      <c r="J343" s="55">
        <v>3.68</v>
      </c>
      <c r="K343" s="55">
        <v>1.01</v>
      </c>
      <c r="L343" s="55">
        <v>16</v>
      </c>
      <c r="M343" s="54" t="s">
        <v>43</v>
      </c>
      <c r="N343" s="54" t="s">
        <v>1400</v>
      </c>
      <c r="O343" s="54" t="s">
        <v>6</v>
      </c>
      <c r="P343" s="54">
        <f t="shared" si="20"/>
        <v>5</v>
      </c>
      <c r="Q343">
        <f t="shared" si="21"/>
        <v>5</v>
      </c>
      <c r="R343">
        <f t="shared" si="22"/>
        <v>5</v>
      </c>
      <c r="S343" t="b">
        <f t="shared" si="23"/>
        <v>0</v>
      </c>
    </row>
    <row r="344" spans="1:19" x14ac:dyDescent="0.2">
      <c r="A344" s="54">
        <v>110959</v>
      </c>
      <c r="B344" s="54" t="s">
        <v>1316</v>
      </c>
      <c r="C344" s="55">
        <v>0</v>
      </c>
      <c r="D344" s="55">
        <v>25</v>
      </c>
      <c r="E344" s="55">
        <v>0</v>
      </c>
      <c r="F344" s="55">
        <v>0</v>
      </c>
      <c r="G344" s="55">
        <v>0</v>
      </c>
      <c r="H344" s="55">
        <v>0</v>
      </c>
      <c r="I344" s="55">
        <v>0</v>
      </c>
      <c r="J344" s="55">
        <v>0</v>
      </c>
      <c r="K344" s="55">
        <v>0</v>
      </c>
      <c r="L344" s="55">
        <v>0</v>
      </c>
      <c r="M344" s="54" t="s">
        <v>30</v>
      </c>
      <c r="N344" s="54" t="s">
        <v>1401</v>
      </c>
      <c r="O344" s="54" t="s">
        <v>7</v>
      </c>
      <c r="P344" s="54">
        <f t="shared" si="20"/>
        <v>0</v>
      </c>
      <c r="Q344">
        <f t="shared" si="21"/>
        <v>0</v>
      </c>
      <c r="R344">
        <f t="shared" si="22"/>
        <v>0</v>
      </c>
      <c r="S344" t="b">
        <f t="shared" si="23"/>
        <v>0</v>
      </c>
    </row>
    <row r="345" spans="1:19" x14ac:dyDescent="0.2">
      <c r="A345" s="54">
        <v>111020</v>
      </c>
      <c r="B345" s="54" t="s">
        <v>322</v>
      </c>
      <c r="C345" s="55">
        <v>67</v>
      </c>
      <c r="D345" s="55">
        <v>70</v>
      </c>
      <c r="E345" s="55">
        <v>11</v>
      </c>
      <c r="F345" s="55">
        <v>173</v>
      </c>
      <c r="G345" s="55">
        <v>147</v>
      </c>
      <c r="H345" s="55">
        <v>17</v>
      </c>
      <c r="I345" s="55">
        <v>2.4700000000000002</v>
      </c>
      <c r="J345" s="55">
        <v>2.1</v>
      </c>
      <c r="K345" s="55">
        <v>0.24</v>
      </c>
      <c r="L345" s="55">
        <v>46</v>
      </c>
      <c r="M345" s="54" t="s">
        <v>43</v>
      </c>
      <c r="N345" s="54" t="s">
        <v>1400</v>
      </c>
      <c r="O345" s="54" t="s">
        <v>7</v>
      </c>
      <c r="P345" s="54">
        <f t="shared" si="20"/>
        <v>67</v>
      </c>
      <c r="Q345">
        <f t="shared" si="21"/>
        <v>67</v>
      </c>
      <c r="R345">
        <f t="shared" si="22"/>
        <v>67</v>
      </c>
      <c r="S345" t="b">
        <f t="shared" si="23"/>
        <v>0</v>
      </c>
    </row>
    <row r="346" spans="1:19" x14ac:dyDescent="0.2">
      <c r="A346" s="54">
        <v>111040</v>
      </c>
      <c r="B346" s="54" t="s">
        <v>769</v>
      </c>
      <c r="C346" s="55">
        <v>4</v>
      </c>
      <c r="D346" s="55">
        <v>4</v>
      </c>
      <c r="E346" s="55">
        <v>2</v>
      </c>
      <c r="F346" s="55">
        <v>2</v>
      </c>
      <c r="G346" s="55">
        <v>2</v>
      </c>
      <c r="H346" s="55">
        <v>2</v>
      </c>
      <c r="I346" s="55">
        <v>0.5</v>
      </c>
      <c r="J346" s="55">
        <v>0.5</v>
      </c>
      <c r="K346" s="55">
        <v>0.5</v>
      </c>
      <c r="L346" s="55">
        <v>0</v>
      </c>
      <c r="M346" s="54" t="s">
        <v>30</v>
      </c>
      <c r="N346" s="54" t="s">
        <v>1401</v>
      </c>
      <c r="O346" s="54" t="s">
        <v>7</v>
      </c>
      <c r="P346" s="54">
        <f t="shared" si="20"/>
        <v>0</v>
      </c>
      <c r="Q346">
        <f t="shared" si="21"/>
        <v>0</v>
      </c>
      <c r="R346">
        <f t="shared" si="22"/>
        <v>0</v>
      </c>
      <c r="S346" t="b">
        <f t="shared" si="23"/>
        <v>0</v>
      </c>
    </row>
    <row r="347" spans="1:19" x14ac:dyDescent="0.2">
      <c r="A347" s="54">
        <v>111064</v>
      </c>
      <c r="B347" s="54" t="s">
        <v>122</v>
      </c>
      <c r="C347" s="55">
        <v>327</v>
      </c>
      <c r="D347" s="55">
        <v>515</v>
      </c>
      <c r="E347" s="55">
        <v>18</v>
      </c>
      <c r="F347" s="55">
        <v>1627</v>
      </c>
      <c r="G347" s="55">
        <v>1380</v>
      </c>
      <c r="H347" s="55">
        <v>1250</v>
      </c>
      <c r="I347" s="55">
        <v>3.16</v>
      </c>
      <c r="J347" s="55">
        <v>2.68</v>
      </c>
      <c r="K347" s="55">
        <v>2.4300000000000002</v>
      </c>
      <c r="L347" s="55">
        <v>0</v>
      </c>
      <c r="M347" s="54" t="s">
        <v>45</v>
      </c>
      <c r="N347" s="54" t="s">
        <v>47</v>
      </c>
      <c r="O347" s="54" t="s">
        <v>6</v>
      </c>
      <c r="P347" s="54">
        <f t="shared" si="20"/>
        <v>327</v>
      </c>
      <c r="Q347">
        <f t="shared" si="21"/>
        <v>327</v>
      </c>
      <c r="R347">
        <f t="shared" si="22"/>
        <v>327</v>
      </c>
      <c r="S347" t="b">
        <f t="shared" si="23"/>
        <v>0</v>
      </c>
    </row>
    <row r="348" spans="1:19" x14ac:dyDescent="0.2">
      <c r="A348" s="54">
        <v>111065</v>
      </c>
      <c r="B348" s="54" t="s">
        <v>204</v>
      </c>
      <c r="C348" s="55">
        <v>160</v>
      </c>
      <c r="D348" s="55">
        <v>828</v>
      </c>
      <c r="E348" s="55">
        <v>19</v>
      </c>
      <c r="F348" s="55">
        <v>308</v>
      </c>
      <c r="G348" s="55">
        <v>284</v>
      </c>
      <c r="H348" s="55">
        <v>20</v>
      </c>
      <c r="I348" s="55">
        <v>0.37</v>
      </c>
      <c r="J348" s="55">
        <v>0.34</v>
      </c>
      <c r="K348" s="55">
        <v>0.02</v>
      </c>
      <c r="L348" s="55">
        <v>623</v>
      </c>
      <c r="M348" s="54" t="s">
        <v>45</v>
      </c>
      <c r="N348" s="54" t="s">
        <v>47</v>
      </c>
      <c r="O348" s="54" t="s">
        <v>5</v>
      </c>
      <c r="P348" s="54">
        <f t="shared" si="20"/>
        <v>0</v>
      </c>
      <c r="Q348">
        <f t="shared" si="21"/>
        <v>0</v>
      </c>
      <c r="R348">
        <f t="shared" si="22"/>
        <v>0</v>
      </c>
      <c r="S348" t="b">
        <f t="shared" si="23"/>
        <v>0</v>
      </c>
    </row>
    <row r="349" spans="1:19" x14ac:dyDescent="0.2">
      <c r="A349" s="54">
        <v>111124</v>
      </c>
      <c r="B349" s="54" t="s">
        <v>127</v>
      </c>
      <c r="C349" s="55">
        <v>88</v>
      </c>
      <c r="D349" s="55">
        <v>87</v>
      </c>
      <c r="E349" s="55">
        <v>60</v>
      </c>
      <c r="F349" s="55">
        <v>558</v>
      </c>
      <c r="G349" s="55">
        <v>468</v>
      </c>
      <c r="H349" s="55">
        <v>221</v>
      </c>
      <c r="I349" s="55">
        <v>6.41</v>
      </c>
      <c r="J349" s="55">
        <v>5.38</v>
      </c>
      <c r="K349" s="55">
        <v>2.54</v>
      </c>
      <c r="L349" s="55">
        <v>5</v>
      </c>
      <c r="M349" s="54" t="s">
        <v>47</v>
      </c>
      <c r="N349" s="54" t="s">
        <v>47</v>
      </c>
      <c r="O349" s="54" t="s">
        <v>7</v>
      </c>
      <c r="P349" s="54">
        <f t="shared" si="20"/>
        <v>88</v>
      </c>
      <c r="Q349">
        <f t="shared" si="21"/>
        <v>88</v>
      </c>
      <c r="R349">
        <f t="shared" si="22"/>
        <v>88</v>
      </c>
      <c r="S349" t="b">
        <f t="shared" si="23"/>
        <v>0</v>
      </c>
    </row>
    <row r="350" spans="1:19" x14ac:dyDescent="0.2">
      <c r="A350" s="54">
        <v>111138</v>
      </c>
      <c r="B350" s="54" t="s">
        <v>490</v>
      </c>
      <c r="C350" s="55">
        <v>24</v>
      </c>
      <c r="D350" s="55">
        <v>28</v>
      </c>
      <c r="E350" s="55">
        <v>19</v>
      </c>
      <c r="F350" s="55">
        <v>21</v>
      </c>
      <c r="G350" s="55">
        <v>21</v>
      </c>
      <c r="H350" s="55">
        <v>0</v>
      </c>
      <c r="I350" s="55">
        <v>0.75</v>
      </c>
      <c r="J350" s="55">
        <v>0.75</v>
      </c>
      <c r="K350" s="55">
        <v>0</v>
      </c>
      <c r="L350" s="55">
        <v>2</v>
      </c>
      <c r="M350" s="54" t="s">
        <v>45</v>
      </c>
      <c r="N350" s="54" t="s">
        <v>47</v>
      </c>
      <c r="O350" s="54" t="s">
        <v>7</v>
      </c>
      <c r="P350" s="54">
        <f t="shared" si="20"/>
        <v>24</v>
      </c>
      <c r="Q350">
        <f t="shared" si="21"/>
        <v>0</v>
      </c>
      <c r="R350">
        <f t="shared" si="22"/>
        <v>24</v>
      </c>
      <c r="S350" t="b">
        <f t="shared" si="23"/>
        <v>0</v>
      </c>
    </row>
    <row r="351" spans="1:19" x14ac:dyDescent="0.2">
      <c r="A351" s="54">
        <v>111152</v>
      </c>
      <c r="B351" s="54" t="s">
        <v>640</v>
      </c>
      <c r="C351" s="55">
        <v>130</v>
      </c>
      <c r="D351" s="55">
        <v>150</v>
      </c>
      <c r="E351" s="55">
        <v>50</v>
      </c>
      <c r="F351" s="55">
        <v>0</v>
      </c>
      <c r="G351" s="55">
        <v>0</v>
      </c>
      <c r="H351" s="55">
        <v>0</v>
      </c>
      <c r="I351" s="55">
        <v>0</v>
      </c>
      <c r="J351" s="55">
        <v>0</v>
      </c>
      <c r="K351" s="55">
        <v>0</v>
      </c>
      <c r="L351" s="55">
        <v>3</v>
      </c>
      <c r="M351" s="54" t="s">
        <v>47</v>
      </c>
      <c r="N351" s="54" t="s">
        <v>47</v>
      </c>
      <c r="O351" s="54" t="s">
        <v>6</v>
      </c>
      <c r="P351" s="54">
        <f t="shared" si="20"/>
        <v>0</v>
      </c>
      <c r="Q351">
        <f t="shared" si="21"/>
        <v>0</v>
      </c>
      <c r="R351">
        <f t="shared" si="22"/>
        <v>0</v>
      </c>
      <c r="S351" t="b">
        <f t="shared" si="23"/>
        <v>0</v>
      </c>
    </row>
    <row r="352" spans="1:19" x14ac:dyDescent="0.2">
      <c r="A352" s="54">
        <v>111178</v>
      </c>
      <c r="B352" s="54" t="s">
        <v>80</v>
      </c>
      <c r="C352" s="55">
        <v>105</v>
      </c>
      <c r="D352" s="55">
        <v>145</v>
      </c>
      <c r="E352" s="55">
        <v>6</v>
      </c>
      <c r="F352" s="55">
        <v>1154</v>
      </c>
      <c r="G352" s="55">
        <v>1154</v>
      </c>
      <c r="H352" s="55">
        <v>292</v>
      </c>
      <c r="I352" s="55">
        <v>7.96</v>
      </c>
      <c r="J352" s="55">
        <v>7.96</v>
      </c>
      <c r="K352" s="55">
        <v>2.0099999999999998</v>
      </c>
      <c r="L352" s="55">
        <v>10</v>
      </c>
      <c r="M352" s="54" t="s">
        <v>43</v>
      </c>
      <c r="N352" s="54" t="s">
        <v>1400</v>
      </c>
      <c r="O352" s="54" t="s">
        <v>6</v>
      </c>
      <c r="P352" s="54">
        <f t="shared" si="20"/>
        <v>105</v>
      </c>
      <c r="Q352">
        <f t="shared" si="21"/>
        <v>105</v>
      </c>
      <c r="R352">
        <f t="shared" si="22"/>
        <v>105</v>
      </c>
      <c r="S352" t="b">
        <f t="shared" si="23"/>
        <v>0</v>
      </c>
    </row>
    <row r="353" spans="1:19" x14ac:dyDescent="0.2">
      <c r="A353" s="54">
        <v>111195</v>
      </c>
      <c r="B353" s="54" t="s">
        <v>787</v>
      </c>
      <c r="C353" s="55">
        <v>5</v>
      </c>
      <c r="D353" s="55">
        <v>16</v>
      </c>
      <c r="E353" s="55">
        <v>2</v>
      </c>
      <c r="F353" s="55">
        <v>17</v>
      </c>
      <c r="G353" s="55">
        <v>17</v>
      </c>
      <c r="H353" s="55">
        <v>17</v>
      </c>
      <c r="I353" s="55">
        <v>1.06</v>
      </c>
      <c r="J353" s="55">
        <v>1.06</v>
      </c>
      <c r="K353" s="55">
        <v>1.06</v>
      </c>
      <c r="L353" s="55">
        <v>1</v>
      </c>
      <c r="M353" s="54" t="s">
        <v>30</v>
      </c>
      <c r="N353" s="54" t="s">
        <v>1401</v>
      </c>
      <c r="O353" s="54" t="s">
        <v>7</v>
      </c>
      <c r="P353" s="54">
        <f t="shared" si="20"/>
        <v>5</v>
      </c>
      <c r="Q353">
        <f t="shared" si="21"/>
        <v>0</v>
      </c>
      <c r="R353">
        <f t="shared" si="22"/>
        <v>5</v>
      </c>
      <c r="S353" t="b">
        <f t="shared" si="23"/>
        <v>0</v>
      </c>
    </row>
    <row r="354" spans="1:19" x14ac:dyDescent="0.2">
      <c r="A354" s="54">
        <v>111999</v>
      </c>
      <c r="B354" s="54" t="s">
        <v>1020</v>
      </c>
      <c r="C354" s="55">
        <v>21</v>
      </c>
      <c r="D354" s="55">
        <v>20</v>
      </c>
      <c r="E354" s="55">
        <v>2</v>
      </c>
      <c r="F354" s="55">
        <v>4</v>
      </c>
      <c r="G354" s="55">
        <v>4</v>
      </c>
      <c r="H354" s="55">
        <v>0</v>
      </c>
      <c r="I354" s="55">
        <v>0.2</v>
      </c>
      <c r="J354" s="55">
        <v>0.2</v>
      </c>
      <c r="K354" s="55">
        <v>0</v>
      </c>
      <c r="L354" s="55">
        <v>0</v>
      </c>
      <c r="M354" s="54" t="s">
        <v>30</v>
      </c>
      <c r="N354" s="54" t="s">
        <v>1401</v>
      </c>
      <c r="O354" s="54" t="s">
        <v>7</v>
      </c>
      <c r="P354" s="54">
        <f t="shared" si="20"/>
        <v>0</v>
      </c>
      <c r="Q354">
        <f t="shared" si="21"/>
        <v>0</v>
      </c>
      <c r="R354">
        <f t="shared" si="22"/>
        <v>0</v>
      </c>
      <c r="S354" t="b">
        <f t="shared" si="23"/>
        <v>0</v>
      </c>
    </row>
    <row r="355" spans="1:19" x14ac:dyDescent="0.2">
      <c r="A355" s="54">
        <v>112009</v>
      </c>
      <c r="B355" s="54" t="s">
        <v>1241</v>
      </c>
      <c r="C355" s="55">
        <v>126</v>
      </c>
      <c r="D355" s="55">
        <v>107</v>
      </c>
      <c r="E355" s="55">
        <v>5</v>
      </c>
      <c r="F355" s="55">
        <v>101</v>
      </c>
      <c r="G355" s="55">
        <v>101</v>
      </c>
      <c r="H355" s="55">
        <v>23</v>
      </c>
      <c r="I355" s="55">
        <v>0.94</v>
      </c>
      <c r="J355" s="55">
        <v>0.94</v>
      </c>
      <c r="K355" s="55">
        <v>0.21</v>
      </c>
      <c r="L355" s="55">
        <v>31</v>
      </c>
      <c r="M355" s="54" t="s">
        <v>30</v>
      </c>
      <c r="N355" s="54" t="s">
        <v>1401</v>
      </c>
      <c r="O355" s="54" t="s">
        <v>6</v>
      </c>
      <c r="P355" s="54">
        <f t="shared" si="20"/>
        <v>126</v>
      </c>
      <c r="Q355">
        <f t="shared" si="21"/>
        <v>0</v>
      </c>
      <c r="R355">
        <f t="shared" si="22"/>
        <v>126</v>
      </c>
      <c r="S355" t="b">
        <f t="shared" si="23"/>
        <v>0</v>
      </c>
    </row>
    <row r="356" spans="1:19" x14ac:dyDescent="0.2">
      <c r="A356" s="54">
        <v>112044</v>
      </c>
      <c r="B356" s="54" t="s">
        <v>272</v>
      </c>
      <c r="C356" s="55">
        <v>162</v>
      </c>
      <c r="D356" s="55">
        <v>150</v>
      </c>
      <c r="E356" s="55">
        <v>8</v>
      </c>
      <c r="F356" s="55">
        <v>216</v>
      </c>
      <c r="G356" s="55">
        <v>128</v>
      </c>
      <c r="H356" s="55">
        <v>64</v>
      </c>
      <c r="I356" s="55">
        <v>1.44</v>
      </c>
      <c r="J356" s="55">
        <v>0.85</v>
      </c>
      <c r="K356" s="55">
        <v>0.43</v>
      </c>
      <c r="L356" s="55">
        <v>95</v>
      </c>
      <c r="M356" s="54" t="s">
        <v>43</v>
      </c>
      <c r="N356" s="54" t="s">
        <v>1400</v>
      </c>
      <c r="O356" s="54" t="s">
        <v>6</v>
      </c>
      <c r="P356" s="54">
        <f t="shared" si="20"/>
        <v>162</v>
      </c>
      <c r="Q356">
        <f t="shared" si="21"/>
        <v>0</v>
      </c>
      <c r="R356">
        <f t="shared" si="22"/>
        <v>162</v>
      </c>
      <c r="S356" t="b">
        <f t="shared" si="23"/>
        <v>0</v>
      </c>
    </row>
    <row r="357" spans="1:19" x14ac:dyDescent="0.2">
      <c r="A357" s="54">
        <v>112053</v>
      </c>
      <c r="B357" s="54" t="s">
        <v>287</v>
      </c>
      <c r="C357" s="55">
        <v>870</v>
      </c>
      <c r="D357" s="55">
        <v>900</v>
      </c>
      <c r="E357" s="55">
        <v>50</v>
      </c>
      <c r="F357" s="55">
        <v>165</v>
      </c>
      <c r="G357" s="55">
        <v>86</v>
      </c>
      <c r="H357" s="55">
        <v>0</v>
      </c>
      <c r="I357" s="55">
        <v>0.18</v>
      </c>
      <c r="J357" s="55">
        <v>0.1</v>
      </c>
      <c r="K357" s="55">
        <v>0</v>
      </c>
      <c r="L357" s="55">
        <v>118</v>
      </c>
      <c r="M357" s="54" t="s">
        <v>47</v>
      </c>
      <c r="N357" s="54" t="s">
        <v>47</v>
      </c>
      <c r="O357" s="54" t="s">
        <v>5</v>
      </c>
      <c r="P357" s="54">
        <f t="shared" si="20"/>
        <v>0</v>
      </c>
      <c r="Q357">
        <f t="shared" si="21"/>
        <v>0</v>
      </c>
      <c r="R357">
        <f t="shared" si="22"/>
        <v>0</v>
      </c>
      <c r="S357" t="b">
        <f t="shared" si="23"/>
        <v>0</v>
      </c>
    </row>
    <row r="358" spans="1:19" x14ac:dyDescent="0.2">
      <c r="A358" s="54">
        <v>112069</v>
      </c>
      <c r="B358" s="54" t="s">
        <v>668</v>
      </c>
      <c r="C358" s="55">
        <v>32</v>
      </c>
      <c r="D358" s="55">
        <v>42</v>
      </c>
      <c r="E358" s="55">
        <v>18</v>
      </c>
      <c r="F358" s="55">
        <v>0</v>
      </c>
      <c r="G358" s="55">
        <v>0</v>
      </c>
      <c r="H358" s="55">
        <v>0</v>
      </c>
      <c r="I358" s="55">
        <v>0</v>
      </c>
      <c r="J358" s="55">
        <v>0</v>
      </c>
      <c r="K358" s="55">
        <v>0</v>
      </c>
      <c r="L358" s="55">
        <v>0</v>
      </c>
      <c r="M358" s="54" t="s">
        <v>45</v>
      </c>
      <c r="N358" s="54" t="s">
        <v>47</v>
      </c>
      <c r="O358" s="54" t="s">
        <v>7</v>
      </c>
      <c r="P358" s="54">
        <f t="shared" si="20"/>
        <v>0</v>
      </c>
      <c r="Q358">
        <f t="shared" si="21"/>
        <v>0</v>
      </c>
      <c r="R358">
        <f t="shared" si="22"/>
        <v>0</v>
      </c>
      <c r="S358" t="b">
        <f t="shared" si="23"/>
        <v>0</v>
      </c>
    </row>
    <row r="359" spans="1:19" x14ac:dyDescent="0.2">
      <c r="A359" s="54">
        <v>112088</v>
      </c>
      <c r="B359" s="54" t="s">
        <v>697</v>
      </c>
      <c r="C359" s="55">
        <v>1</v>
      </c>
      <c r="D359" s="55">
        <v>702</v>
      </c>
      <c r="E359" s="55">
        <v>2</v>
      </c>
      <c r="F359" s="55">
        <v>0</v>
      </c>
      <c r="G359" s="55">
        <v>0</v>
      </c>
      <c r="H359" s="55">
        <v>0</v>
      </c>
      <c r="I359" s="55">
        <v>0</v>
      </c>
      <c r="J359" s="55">
        <v>0</v>
      </c>
      <c r="K359" s="55">
        <v>0</v>
      </c>
      <c r="L359" s="55">
        <v>0</v>
      </c>
      <c r="M359" s="54" t="s">
        <v>30</v>
      </c>
      <c r="N359" s="54" t="s">
        <v>1401</v>
      </c>
      <c r="O359" s="54" t="s">
        <v>5</v>
      </c>
      <c r="P359" s="54">
        <f t="shared" si="20"/>
        <v>0</v>
      </c>
      <c r="Q359">
        <f t="shared" si="21"/>
        <v>0</v>
      </c>
      <c r="R359">
        <f t="shared" si="22"/>
        <v>0</v>
      </c>
      <c r="S359" t="b">
        <f t="shared" si="23"/>
        <v>0</v>
      </c>
    </row>
    <row r="360" spans="1:19" x14ac:dyDescent="0.2">
      <c r="A360" s="54">
        <v>112101</v>
      </c>
      <c r="B360" s="54" t="s">
        <v>724</v>
      </c>
      <c r="C360" s="55">
        <v>2</v>
      </c>
      <c r="D360" s="55">
        <v>25</v>
      </c>
      <c r="E360" s="55">
        <v>2</v>
      </c>
      <c r="F360" s="55">
        <v>12</v>
      </c>
      <c r="G360" s="55">
        <v>12</v>
      </c>
      <c r="H360" s="55">
        <v>12</v>
      </c>
      <c r="I360" s="55">
        <v>0.48</v>
      </c>
      <c r="J360" s="55">
        <v>0.48</v>
      </c>
      <c r="K360" s="55">
        <v>0.48</v>
      </c>
      <c r="L360" s="55">
        <v>21</v>
      </c>
      <c r="M360" s="54" t="s">
        <v>30</v>
      </c>
      <c r="N360" s="54" t="s">
        <v>1401</v>
      </c>
      <c r="O360" s="54" t="s">
        <v>7</v>
      </c>
      <c r="P360" s="54">
        <f t="shared" si="20"/>
        <v>0</v>
      </c>
      <c r="Q360">
        <f t="shared" si="21"/>
        <v>0</v>
      </c>
      <c r="R360">
        <f t="shared" si="22"/>
        <v>0</v>
      </c>
      <c r="S360" t="b">
        <f t="shared" si="23"/>
        <v>0</v>
      </c>
    </row>
    <row r="361" spans="1:19" x14ac:dyDescent="0.2">
      <c r="A361" s="54">
        <v>112123</v>
      </c>
      <c r="B361" s="54" t="s">
        <v>577</v>
      </c>
      <c r="C361" s="55">
        <v>27</v>
      </c>
      <c r="D361" s="55">
        <v>23</v>
      </c>
      <c r="E361" s="55">
        <v>15</v>
      </c>
      <c r="F361" s="55">
        <v>17</v>
      </c>
      <c r="G361" s="55">
        <v>0</v>
      </c>
      <c r="H361" s="55">
        <v>0</v>
      </c>
      <c r="I361" s="55">
        <v>0.74</v>
      </c>
      <c r="J361" s="55">
        <v>0</v>
      </c>
      <c r="K361" s="55">
        <v>0</v>
      </c>
      <c r="L361" s="55">
        <v>0</v>
      </c>
      <c r="M361" s="54" t="s">
        <v>45</v>
      </c>
      <c r="N361" s="54" t="s">
        <v>47</v>
      </c>
      <c r="O361" s="54" t="s">
        <v>7</v>
      </c>
      <c r="P361" s="54">
        <f t="shared" si="20"/>
        <v>0</v>
      </c>
      <c r="Q361">
        <f t="shared" si="21"/>
        <v>0</v>
      </c>
      <c r="R361">
        <f t="shared" si="22"/>
        <v>0</v>
      </c>
      <c r="S361" t="b">
        <f t="shared" si="23"/>
        <v>0</v>
      </c>
    </row>
    <row r="362" spans="1:19" x14ac:dyDescent="0.2">
      <c r="A362" s="54">
        <v>112129</v>
      </c>
      <c r="B362" s="54" t="s">
        <v>137</v>
      </c>
      <c r="C362" s="55">
        <v>538</v>
      </c>
      <c r="D362" s="55">
        <v>473</v>
      </c>
      <c r="E362" s="55">
        <v>25</v>
      </c>
      <c r="F362" s="55">
        <v>875</v>
      </c>
      <c r="G362" s="55">
        <v>334</v>
      </c>
      <c r="H362" s="55">
        <v>334</v>
      </c>
      <c r="I362" s="55">
        <v>1.85</v>
      </c>
      <c r="J362" s="55">
        <v>0.71</v>
      </c>
      <c r="K362" s="55">
        <v>0.71</v>
      </c>
      <c r="L362" s="55">
        <v>40</v>
      </c>
      <c r="M362" s="54" t="s">
        <v>47</v>
      </c>
      <c r="N362" s="54" t="s">
        <v>47</v>
      </c>
      <c r="O362" s="54" t="s">
        <v>6</v>
      </c>
      <c r="P362" s="54">
        <f t="shared" si="20"/>
        <v>0</v>
      </c>
      <c r="Q362">
        <f t="shared" si="21"/>
        <v>0</v>
      </c>
      <c r="R362">
        <f t="shared" si="22"/>
        <v>0</v>
      </c>
      <c r="S362" t="b">
        <f t="shared" si="23"/>
        <v>0</v>
      </c>
    </row>
    <row r="363" spans="1:19" x14ac:dyDescent="0.2">
      <c r="A363" s="54">
        <v>112152</v>
      </c>
      <c r="B363" s="54" t="s">
        <v>400</v>
      </c>
      <c r="C363" s="55">
        <v>60</v>
      </c>
      <c r="D363" s="55">
        <v>60</v>
      </c>
      <c r="E363" s="55">
        <v>25</v>
      </c>
      <c r="F363" s="55">
        <v>57</v>
      </c>
      <c r="G363" s="55">
        <v>36</v>
      </c>
      <c r="H363" s="55">
        <v>36</v>
      </c>
      <c r="I363" s="55">
        <v>0.95</v>
      </c>
      <c r="J363" s="55">
        <v>0.6</v>
      </c>
      <c r="K363" s="55">
        <v>0.6</v>
      </c>
      <c r="L363" s="55">
        <v>4</v>
      </c>
      <c r="M363" s="54" t="s">
        <v>47</v>
      </c>
      <c r="N363" s="54" t="s">
        <v>47</v>
      </c>
      <c r="O363" s="54" t="s">
        <v>7</v>
      </c>
      <c r="P363" s="54">
        <f t="shared" si="20"/>
        <v>0</v>
      </c>
      <c r="Q363">
        <f t="shared" si="21"/>
        <v>0</v>
      </c>
      <c r="R363">
        <f t="shared" si="22"/>
        <v>0</v>
      </c>
      <c r="S363" t="b">
        <f t="shared" si="23"/>
        <v>0</v>
      </c>
    </row>
    <row r="364" spans="1:19" x14ac:dyDescent="0.2">
      <c r="A364" s="54">
        <v>112177</v>
      </c>
      <c r="B364" s="54" t="s">
        <v>267</v>
      </c>
      <c r="C364" s="55">
        <v>78</v>
      </c>
      <c r="D364" s="55">
        <v>5</v>
      </c>
      <c r="E364" s="55">
        <v>47</v>
      </c>
      <c r="F364" s="55">
        <v>281</v>
      </c>
      <c r="G364" s="55">
        <v>183</v>
      </c>
      <c r="H364" s="55">
        <v>151</v>
      </c>
      <c r="I364" s="55">
        <v>56.2</v>
      </c>
      <c r="J364" s="55">
        <v>36.6</v>
      </c>
      <c r="K364" s="55">
        <v>30.2</v>
      </c>
      <c r="L364" s="55">
        <v>1</v>
      </c>
      <c r="M364" s="54" t="s">
        <v>47</v>
      </c>
      <c r="N364" s="54" t="s">
        <v>47</v>
      </c>
      <c r="O364" s="54" t="s">
        <v>7</v>
      </c>
      <c r="P364" s="54">
        <f t="shared" si="20"/>
        <v>78</v>
      </c>
      <c r="Q364">
        <f t="shared" si="21"/>
        <v>78</v>
      </c>
      <c r="R364">
        <f t="shared" si="22"/>
        <v>78</v>
      </c>
      <c r="S364" t="b">
        <f t="shared" si="23"/>
        <v>0</v>
      </c>
    </row>
    <row r="365" spans="1:19" x14ac:dyDescent="0.2">
      <c r="A365" s="54">
        <v>112209</v>
      </c>
      <c r="B365" s="54" t="s">
        <v>154</v>
      </c>
      <c r="C365" s="55">
        <v>123</v>
      </c>
      <c r="D365" s="55">
        <v>75</v>
      </c>
      <c r="E365" s="55">
        <v>9</v>
      </c>
      <c r="F365" s="55">
        <v>301</v>
      </c>
      <c r="G365" s="55">
        <v>299</v>
      </c>
      <c r="H365" s="55">
        <v>0</v>
      </c>
      <c r="I365" s="55">
        <v>4.01</v>
      </c>
      <c r="J365" s="55">
        <v>3.99</v>
      </c>
      <c r="K365" s="55">
        <v>0</v>
      </c>
      <c r="L365" s="55">
        <v>51</v>
      </c>
      <c r="M365" s="54" t="s">
        <v>43</v>
      </c>
      <c r="N365" s="54" t="s">
        <v>1400</v>
      </c>
      <c r="O365" s="54" t="s">
        <v>7</v>
      </c>
      <c r="P365" s="54">
        <f t="shared" si="20"/>
        <v>123</v>
      </c>
      <c r="Q365">
        <f t="shared" si="21"/>
        <v>123</v>
      </c>
      <c r="R365">
        <f t="shared" si="22"/>
        <v>123</v>
      </c>
      <c r="S365" t="b">
        <f t="shared" si="23"/>
        <v>0</v>
      </c>
    </row>
    <row r="366" spans="1:19" x14ac:dyDescent="0.2">
      <c r="A366" s="54">
        <v>112223</v>
      </c>
      <c r="B366" s="54" t="s">
        <v>1280</v>
      </c>
      <c r="C366" s="55">
        <v>270</v>
      </c>
      <c r="D366" s="55">
        <v>253</v>
      </c>
      <c r="E366" s="55">
        <v>3</v>
      </c>
      <c r="F366" s="55">
        <v>29</v>
      </c>
      <c r="G366" s="55">
        <v>29</v>
      </c>
      <c r="H366" s="55">
        <v>18</v>
      </c>
      <c r="I366" s="55">
        <v>0.11</v>
      </c>
      <c r="J366" s="55">
        <v>0.11</v>
      </c>
      <c r="K366" s="55">
        <v>7.0000000000000007E-2</v>
      </c>
      <c r="L366" s="55">
        <v>175</v>
      </c>
      <c r="M366" s="54" t="s">
        <v>30</v>
      </c>
      <c r="N366" s="54" t="s">
        <v>1401</v>
      </c>
      <c r="O366" s="54" t="s">
        <v>6</v>
      </c>
      <c r="P366" s="54">
        <f t="shared" si="20"/>
        <v>0</v>
      </c>
      <c r="Q366">
        <f t="shared" si="21"/>
        <v>0</v>
      </c>
      <c r="R366">
        <f t="shared" si="22"/>
        <v>0</v>
      </c>
      <c r="S366" t="b">
        <f t="shared" si="23"/>
        <v>0</v>
      </c>
    </row>
    <row r="367" spans="1:19" x14ac:dyDescent="0.2">
      <c r="A367" s="54">
        <v>112305</v>
      </c>
      <c r="B367" s="54" t="s">
        <v>136</v>
      </c>
      <c r="C367" s="55">
        <v>888</v>
      </c>
      <c r="D367" s="55">
        <v>508</v>
      </c>
      <c r="E367" s="55">
        <v>52</v>
      </c>
      <c r="F367" s="55">
        <v>647</v>
      </c>
      <c r="G367" s="55">
        <v>65</v>
      </c>
      <c r="H367" s="55">
        <v>12</v>
      </c>
      <c r="I367" s="55">
        <v>1.27</v>
      </c>
      <c r="J367" s="55">
        <v>0.13</v>
      </c>
      <c r="K367" s="55">
        <v>0.02</v>
      </c>
      <c r="L367" s="55">
        <v>36</v>
      </c>
      <c r="M367" s="54" t="s">
        <v>47</v>
      </c>
      <c r="N367" s="54" t="s">
        <v>47</v>
      </c>
      <c r="O367" s="54" t="s">
        <v>6</v>
      </c>
      <c r="P367" s="54">
        <f t="shared" si="20"/>
        <v>0</v>
      </c>
      <c r="Q367">
        <f t="shared" si="21"/>
        <v>0</v>
      </c>
      <c r="R367">
        <f t="shared" si="22"/>
        <v>0</v>
      </c>
      <c r="S367" t="b">
        <f t="shared" si="23"/>
        <v>0</v>
      </c>
    </row>
    <row r="368" spans="1:19" x14ac:dyDescent="0.2">
      <c r="A368" s="54">
        <v>112309</v>
      </c>
      <c r="B368" s="54" t="s">
        <v>874</v>
      </c>
      <c r="C368" s="55">
        <v>10</v>
      </c>
      <c r="D368" s="55">
        <v>10</v>
      </c>
      <c r="E368" s="55">
        <v>1</v>
      </c>
      <c r="F368" s="55">
        <v>0</v>
      </c>
      <c r="G368" s="55">
        <v>0</v>
      </c>
      <c r="H368" s="55">
        <v>0</v>
      </c>
      <c r="I368" s="55">
        <v>0</v>
      </c>
      <c r="J368" s="55">
        <v>0</v>
      </c>
      <c r="K368" s="55">
        <v>0</v>
      </c>
      <c r="L368" s="55">
        <v>0</v>
      </c>
      <c r="M368" s="54" t="s">
        <v>30</v>
      </c>
      <c r="N368" s="54" t="s">
        <v>1401</v>
      </c>
      <c r="O368" s="54" t="s">
        <v>7</v>
      </c>
      <c r="P368" s="54">
        <f t="shared" si="20"/>
        <v>0</v>
      </c>
      <c r="Q368">
        <f t="shared" si="21"/>
        <v>0</v>
      </c>
      <c r="R368">
        <f t="shared" si="22"/>
        <v>0</v>
      </c>
      <c r="S368" t="b">
        <f t="shared" si="23"/>
        <v>0</v>
      </c>
    </row>
    <row r="369" spans="1:19" x14ac:dyDescent="0.2">
      <c r="A369" s="54">
        <v>112324</v>
      </c>
      <c r="B369" s="54" t="s">
        <v>1284</v>
      </c>
      <c r="C369" s="55">
        <v>357</v>
      </c>
      <c r="D369" s="55">
        <v>565</v>
      </c>
      <c r="E369" s="55">
        <v>1</v>
      </c>
      <c r="F369" s="55">
        <v>0</v>
      </c>
      <c r="G369" s="55">
        <v>0</v>
      </c>
      <c r="H369" s="55">
        <v>0</v>
      </c>
      <c r="I369" s="55">
        <v>0</v>
      </c>
      <c r="J369" s="55">
        <v>0</v>
      </c>
      <c r="K369" s="55">
        <v>0</v>
      </c>
      <c r="L369" s="55">
        <v>0</v>
      </c>
      <c r="M369" s="54" t="s">
        <v>30</v>
      </c>
      <c r="N369" s="54" t="s">
        <v>1401</v>
      </c>
      <c r="O369" s="54" t="s">
        <v>5</v>
      </c>
      <c r="P369" s="54">
        <f t="shared" si="20"/>
        <v>0</v>
      </c>
      <c r="Q369">
        <f t="shared" si="21"/>
        <v>0</v>
      </c>
      <c r="R369">
        <f t="shared" si="22"/>
        <v>0</v>
      </c>
      <c r="S369" t="b">
        <f t="shared" si="23"/>
        <v>0</v>
      </c>
    </row>
    <row r="370" spans="1:19" x14ac:dyDescent="0.2">
      <c r="A370" s="54">
        <v>112331</v>
      </c>
      <c r="B370" s="54" t="s">
        <v>1345</v>
      </c>
      <c r="C370" s="55">
        <v>0</v>
      </c>
      <c r="D370" s="55">
        <v>15</v>
      </c>
      <c r="E370" s="55">
        <v>0</v>
      </c>
      <c r="F370" s="55">
        <v>0</v>
      </c>
      <c r="G370" s="55">
        <v>0</v>
      </c>
      <c r="H370" s="55">
        <v>0</v>
      </c>
      <c r="I370" s="55">
        <v>0</v>
      </c>
      <c r="J370" s="55">
        <v>0</v>
      </c>
      <c r="K370" s="55">
        <v>0</v>
      </c>
      <c r="L370" s="55">
        <v>0</v>
      </c>
      <c r="M370" s="54" t="s">
        <v>30</v>
      </c>
      <c r="N370" s="54" t="s">
        <v>1401</v>
      </c>
      <c r="O370" s="54" t="s">
        <v>7</v>
      </c>
      <c r="P370" s="54">
        <f t="shared" si="20"/>
        <v>0</v>
      </c>
      <c r="Q370">
        <f t="shared" si="21"/>
        <v>0</v>
      </c>
      <c r="R370">
        <f t="shared" si="22"/>
        <v>0</v>
      </c>
      <c r="S370" t="b">
        <f t="shared" si="23"/>
        <v>0</v>
      </c>
    </row>
    <row r="371" spans="1:19" x14ac:dyDescent="0.2">
      <c r="A371" s="54">
        <v>112348</v>
      </c>
      <c r="B371" s="54" t="s">
        <v>515</v>
      </c>
      <c r="C371" s="55">
        <v>0</v>
      </c>
      <c r="D371" s="55">
        <v>40</v>
      </c>
      <c r="E371" s="55">
        <v>21</v>
      </c>
      <c r="F371" s="55">
        <v>24</v>
      </c>
      <c r="G371" s="55">
        <v>16</v>
      </c>
      <c r="H371" s="55">
        <v>6</v>
      </c>
      <c r="I371" s="55">
        <v>0.6</v>
      </c>
      <c r="J371" s="55">
        <v>0.4</v>
      </c>
      <c r="K371" s="55">
        <v>0.15</v>
      </c>
      <c r="L371" s="55">
        <v>2</v>
      </c>
      <c r="M371" s="54" t="s">
        <v>45</v>
      </c>
      <c r="N371" s="54" t="s">
        <v>47</v>
      </c>
      <c r="O371" s="54" t="s">
        <v>7</v>
      </c>
      <c r="P371" s="54">
        <f t="shared" si="20"/>
        <v>0</v>
      </c>
      <c r="Q371">
        <f t="shared" si="21"/>
        <v>0</v>
      </c>
      <c r="R371">
        <f t="shared" si="22"/>
        <v>0</v>
      </c>
      <c r="S371" t="b">
        <f t="shared" si="23"/>
        <v>0</v>
      </c>
    </row>
    <row r="372" spans="1:19" x14ac:dyDescent="0.2">
      <c r="A372" s="54">
        <v>112359</v>
      </c>
      <c r="B372" s="54" t="s">
        <v>828</v>
      </c>
      <c r="C372" s="55">
        <v>7</v>
      </c>
      <c r="D372" s="55">
        <v>7</v>
      </c>
      <c r="E372" s="55">
        <v>3</v>
      </c>
      <c r="F372" s="55">
        <v>93</v>
      </c>
      <c r="G372" s="55">
        <v>93</v>
      </c>
      <c r="H372" s="55">
        <v>84</v>
      </c>
      <c r="I372" s="55">
        <v>13.29</v>
      </c>
      <c r="J372" s="55">
        <v>13.29</v>
      </c>
      <c r="K372" s="55">
        <v>12</v>
      </c>
      <c r="L372" s="55">
        <v>11</v>
      </c>
      <c r="M372" s="54" t="s">
        <v>30</v>
      </c>
      <c r="N372" s="54" t="s">
        <v>1401</v>
      </c>
      <c r="O372" s="54" t="s">
        <v>7</v>
      </c>
      <c r="P372" s="54">
        <f t="shared" si="20"/>
        <v>7</v>
      </c>
      <c r="Q372">
        <f t="shared" si="21"/>
        <v>7</v>
      </c>
      <c r="R372">
        <f t="shared" si="22"/>
        <v>7</v>
      </c>
      <c r="S372" t="b">
        <f t="shared" si="23"/>
        <v>0</v>
      </c>
    </row>
    <row r="373" spans="1:19" x14ac:dyDescent="0.2">
      <c r="A373" s="54">
        <v>112375</v>
      </c>
      <c r="B373" s="54" t="s">
        <v>213</v>
      </c>
      <c r="C373" s="55">
        <v>189</v>
      </c>
      <c r="D373" s="55">
        <v>174</v>
      </c>
      <c r="E373" s="55">
        <v>24</v>
      </c>
      <c r="F373" s="55">
        <v>168</v>
      </c>
      <c r="G373" s="55">
        <v>148</v>
      </c>
      <c r="H373" s="55">
        <v>71</v>
      </c>
      <c r="I373" s="55">
        <v>0.97</v>
      </c>
      <c r="J373" s="55">
        <v>0.85</v>
      </c>
      <c r="K373" s="55">
        <v>0.41</v>
      </c>
      <c r="L373" s="55">
        <v>2</v>
      </c>
      <c r="M373" s="54" t="s">
        <v>45</v>
      </c>
      <c r="N373" s="54" t="s">
        <v>47</v>
      </c>
      <c r="O373" s="54" t="s">
        <v>6</v>
      </c>
      <c r="P373" s="54">
        <f t="shared" si="20"/>
        <v>189</v>
      </c>
      <c r="Q373">
        <f t="shared" si="21"/>
        <v>0</v>
      </c>
      <c r="R373">
        <f t="shared" si="22"/>
        <v>189</v>
      </c>
      <c r="S373" t="b">
        <f t="shared" si="23"/>
        <v>0</v>
      </c>
    </row>
    <row r="374" spans="1:19" x14ac:dyDescent="0.2">
      <c r="A374" s="54">
        <v>112396</v>
      </c>
      <c r="B374" s="54" t="s">
        <v>1171</v>
      </c>
      <c r="C374" s="55">
        <v>61</v>
      </c>
      <c r="D374" s="55">
        <v>66</v>
      </c>
      <c r="E374" s="55">
        <v>3</v>
      </c>
      <c r="F374" s="55">
        <v>0</v>
      </c>
      <c r="G374" s="55">
        <v>0</v>
      </c>
      <c r="H374" s="55">
        <v>0</v>
      </c>
      <c r="I374" s="55">
        <v>0</v>
      </c>
      <c r="J374" s="55">
        <v>0</v>
      </c>
      <c r="K374" s="55">
        <v>0</v>
      </c>
      <c r="L374" s="55">
        <v>0</v>
      </c>
      <c r="M374" s="54" t="s">
        <v>30</v>
      </c>
      <c r="N374" s="54" t="s">
        <v>1401</v>
      </c>
      <c r="O374" s="54" t="s">
        <v>7</v>
      </c>
      <c r="P374" s="54">
        <f t="shared" si="20"/>
        <v>0</v>
      </c>
      <c r="Q374">
        <f t="shared" si="21"/>
        <v>0</v>
      </c>
      <c r="R374">
        <f t="shared" si="22"/>
        <v>0</v>
      </c>
      <c r="S374" t="b">
        <f t="shared" si="23"/>
        <v>0</v>
      </c>
    </row>
    <row r="375" spans="1:19" x14ac:dyDescent="0.2">
      <c r="A375" s="54">
        <v>112436</v>
      </c>
      <c r="B375" s="54" t="s">
        <v>1315</v>
      </c>
      <c r="C375" s="55">
        <v>0</v>
      </c>
      <c r="D375" s="55">
        <v>52</v>
      </c>
      <c r="E375" s="55">
        <v>0</v>
      </c>
      <c r="F375" s="55">
        <v>46</v>
      </c>
      <c r="G375" s="55">
        <v>46</v>
      </c>
      <c r="H375" s="55">
        <v>46</v>
      </c>
      <c r="I375" s="55">
        <v>0.88</v>
      </c>
      <c r="J375" s="55">
        <v>0.88</v>
      </c>
      <c r="K375" s="55">
        <v>0.88</v>
      </c>
      <c r="L375" s="55">
        <v>63</v>
      </c>
      <c r="M375" s="54" t="s">
        <v>30</v>
      </c>
      <c r="N375" s="54" t="s">
        <v>1401</v>
      </c>
      <c r="O375" s="54" t="s">
        <v>7</v>
      </c>
      <c r="P375" s="54">
        <f t="shared" si="20"/>
        <v>0</v>
      </c>
      <c r="Q375">
        <f t="shared" si="21"/>
        <v>0</v>
      </c>
      <c r="R375">
        <f t="shared" si="22"/>
        <v>0</v>
      </c>
      <c r="S375" t="b">
        <f t="shared" si="23"/>
        <v>0</v>
      </c>
    </row>
    <row r="376" spans="1:19" x14ac:dyDescent="0.2">
      <c r="A376" s="54">
        <v>112441</v>
      </c>
      <c r="B376" s="54" t="s">
        <v>1212</v>
      </c>
      <c r="C376" s="55">
        <v>99</v>
      </c>
      <c r="D376" s="55">
        <v>52</v>
      </c>
      <c r="E376" s="55">
        <v>5</v>
      </c>
      <c r="F376" s="55">
        <v>0</v>
      </c>
      <c r="G376" s="55">
        <v>0</v>
      </c>
      <c r="H376" s="55">
        <v>0</v>
      </c>
      <c r="I376" s="55">
        <v>0</v>
      </c>
      <c r="J376" s="55">
        <v>0</v>
      </c>
      <c r="K376" s="55">
        <v>0</v>
      </c>
      <c r="L376" s="55">
        <v>0</v>
      </c>
      <c r="M376" s="54" t="s">
        <v>30</v>
      </c>
      <c r="N376" s="54" t="s">
        <v>1401</v>
      </c>
      <c r="O376" s="54" t="s">
        <v>7</v>
      </c>
      <c r="P376" s="54">
        <f t="shared" si="20"/>
        <v>0</v>
      </c>
      <c r="Q376">
        <f t="shared" si="21"/>
        <v>0</v>
      </c>
      <c r="R376">
        <f t="shared" si="22"/>
        <v>0</v>
      </c>
      <c r="S376" t="b">
        <f t="shared" si="23"/>
        <v>0</v>
      </c>
    </row>
    <row r="377" spans="1:19" x14ac:dyDescent="0.2">
      <c r="A377" s="54">
        <v>112461</v>
      </c>
      <c r="B377" s="54" t="s">
        <v>294</v>
      </c>
      <c r="C377" s="55">
        <v>29</v>
      </c>
      <c r="D377" s="55">
        <v>57</v>
      </c>
      <c r="E377" s="55">
        <v>49</v>
      </c>
      <c r="F377" s="55">
        <v>141</v>
      </c>
      <c r="G377" s="55">
        <v>75</v>
      </c>
      <c r="H377" s="55">
        <v>41</v>
      </c>
      <c r="I377" s="55">
        <v>2.4700000000000002</v>
      </c>
      <c r="J377" s="55">
        <v>1.32</v>
      </c>
      <c r="K377" s="55">
        <v>0.72</v>
      </c>
      <c r="L377" s="55">
        <v>173</v>
      </c>
      <c r="M377" s="54" t="s">
        <v>47</v>
      </c>
      <c r="N377" s="54" t="s">
        <v>47</v>
      </c>
      <c r="O377" s="54" t="s">
        <v>7</v>
      </c>
      <c r="P377" s="54">
        <f t="shared" si="20"/>
        <v>29</v>
      </c>
      <c r="Q377">
        <f t="shared" si="21"/>
        <v>29</v>
      </c>
      <c r="R377">
        <f t="shared" si="22"/>
        <v>29</v>
      </c>
      <c r="S377" t="b">
        <f t="shared" si="23"/>
        <v>0</v>
      </c>
    </row>
    <row r="378" spans="1:19" x14ac:dyDescent="0.2">
      <c r="A378" s="54">
        <v>112474</v>
      </c>
      <c r="B378" s="54" t="s">
        <v>84</v>
      </c>
      <c r="C378" s="55">
        <v>950</v>
      </c>
      <c r="D378" s="55">
        <v>1110</v>
      </c>
      <c r="E378" s="55">
        <v>21</v>
      </c>
      <c r="F378" s="55">
        <v>1647</v>
      </c>
      <c r="G378" s="55">
        <v>1048</v>
      </c>
      <c r="H378" s="55">
        <v>529</v>
      </c>
      <c r="I378" s="55">
        <v>1.48</v>
      </c>
      <c r="J378" s="55">
        <v>0.94</v>
      </c>
      <c r="K378" s="55">
        <v>0.48</v>
      </c>
      <c r="L378" s="55">
        <v>1331</v>
      </c>
      <c r="M378" s="54" t="s">
        <v>45</v>
      </c>
      <c r="N378" s="54" t="s">
        <v>47</v>
      </c>
      <c r="O378" s="54" t="s">
        <v>5</v>
      </c>
      <c r="P378" s="54">
        <f t="shared" si="20"/>
        <v>950</v>
      </c>
      <c r="Q378">
        <f t="shared" si="21"/>
        <v>950</v>
      </c>
      <c r="R378">
        <f t="shared" si="22"/>
        <v>950</v>
      </c>
      <c r="S378" t="b">
        <f t="shared" si="23"/>
        <v>0</v>
      </c>
    </row>
    <row r="379" spans="1:19" x14ac:dyDescent="0.2">
      <c r="A379" s="54">
        <v>112487</v>
      </c>
      <c r="B379" s="54" t="s">
        <v>842</v>
      </c>
      <c r="C379" s="55">
        <v>8</v>
      </c>
      <c r="D379" s="55">
        <v>8</v>
      </c>
      <c r="E379" s="55">
        <v>2</v>
      </c>
      <c r="F379" s="55">
        <v>0</v>
      </c>
      <c r="G379" s="55">
        <v>0</v>
      </c>
      <c r="H379" s="55">
        <v>0</v>
      </c>
      <c r="I379" s="55">
        <v>0</v>
      </c>
      <c r="J379" s="55">
        <v>0</v>
      </c>
      <c r="K379" s="55">
        <v>0</v>
      </c>
      <c r="L379" s="55">
        <v>0</v>
      </c>
      <c r="M379" s="54" t="s">
        <v>30</v>
      </c>
      <c r="N379" s="54" t="s">
        <v>1401</v>
      </c>
      <c r="O379" s="54" t="s">
        <v>7</v>
      </c>
      <c r="P379" s="54">
        <f t="shared" si="20"/>
        <v>0</v>
      </c>
      <c r="Q379">
        <f t="shared" si="21"/>
        <v>0</v>
      </c>
      <c r="R379">
        <f t="shared" si="22"/>
        <v>0</v>
      </c>
      <c r="S379" t="b">
        <f t="shared" si="23"/>
        <v>0</v>
      </c>
    </row>
    <row r="380" spans="1:19" x14ac:dyDescent="0.2">
      <c r="A380" s="54">
        <v>112511</v>
      </c>
      <c r="B380" s="54" t="s">
        <v>325</v>
      </c>
      <c r="C380" s="55">
        <v>129</v>
      </c>
      <c r="D380" s="55">
        <v>73</v>
      </c>
      <c r="E380" s="55">
        <v>12</v>
      </c>
      <c r="F380" s="55">
        <v>206</v>
      </c>
      <c r="G380" s="55">
        <v>173</v>
      </c>
      <c r="H380" s="55">
        <v>17</v>
      </c>
      <c r="I380" s="55">
        <v>2.82</v>
      </c>
      <c r="J380" s="55">
        <v>2.37</v>
      </c>
      <c r="K380" s="55">
        <v>0.23</v>
      </c>
      <c r="L380" s="55">
        <v>148</v>
      </c>
      <c r="M380" s="54" t="s">
        <v>43</v>
      </c>
      <c r="N380" s="54" t="s">
        <v>1400</v>
      </c>
      <c r="O380" s="54" t="s">
        <v>7</v>
      </c>
      <c r="P380" s="54">
        <f t="shared" si="20"/>
        <v>129</v>
      </c>
      <c r="Q380">
        <f t="shared" si="21"/>
        <v>129</v>
      </c>
      <c r="R380">
        <f t="shared" si="22"/>
        <v>129</v>
      </c>
      <c r="S380" t="b">
        <f t="shared" si="23"/>
        <v>0</v>
      </c>
    </row>
    <row r="381" spans="1:19" x14ac:dyDescent="0.2">
      <c r="A381" s="54">
        <v>112545</v>
      </c>
      <c r="B381" s="54" t="s">
        <v>253</v>
      </c>
      <c r="C381" s="55">
        <v>25</v>
      </c>
      <c r="D381" s="55">
        <v>15</v>
      </c>
      <c r="E381" s="55">
        <v>10</v>
      </c>
      <c r="F381" s="55">
        <v>185</v>
      </c>
      <c r="G381" s="55">
        <v>6</v>
      </c>
      <c r="H381" s="55">
        <v>2</v>
      </c>
      <c r="I381" s="55">
        <v>12.33</v>
      </c>
      <c r="J381" s="55">
        <v>0.4</v>
      </c>
      <c r="K381" s="55">
        <v>0.13</v>
      </c>
      <c r="L381" s="55">
        <v>0</v>
      </c>
      <c r="M381" s="54" t="s">
        <v>43</v>
      </c>
      <c r="N381" s="54" t="s">
        <v>1400</v>
      </c>
      <c r="O381" s="54" t="s">
        <v>7</v>
      </c>
      <c r="P381" s="54">
        <f t="shared" si="20"/>
        <v>25</v>
      </c>
      <c r="Q381">
        <f t="shared" si="21"/>
        <v>25</v>
      </c>
      <c r="R381">
        <f t="shared" si="22"/>
        <v>0</v>
      </c>
      <c r="S381" t="b">
        <f t="shared" si="23"/>
        <v>0</v>
      </c>
    </row>
    <row r="382" spans="1:19" x14ac:dyDescent="0.2">
      <c r="A382" s="54">
        <v>112546</v>
      </c>
      <c r="B382" s="54" t="s">
        <v>249</v>
      </c>
      <c r="C382" s="55">
        <v>82</v>
      </c>
      <c r="D382" s="55">
        <v>130</v>
      </c>
      <c r="E382" s="55">
        <v>10</v>
      </c>
      <c r="F382" s="55">
        <v>369</v>
      </c>
      <c r="G382" s="55">
        <v>346</v>
      </c>
      <c r="H382" s="55">
        <v>344</v>
      </c>
      <c r="I382" s="55">
        <v>2.84</v>
      </c>
      <c r="J382" s="55">
        <v>2.66</v>
      </c>
      <c r="K382" s="55">
        <v>2.65</v>
      </c>
      <c r="L382" s="55">
        <v>78</v>
      </c>
      <c r="M382" s="54" t="s">
        <v>43</v>
      </c>
      <c r="N382" s="54" t="s">
        <v>1400</v>
      </c>
      <c r="O382" s="54" t="s">
        <v>6</v>
      </c>
      <c r="P382" s="54">
        <f t="shared" si="20"/>
        <v>82</v>
      </c>
      <c r="Q382">
        <f t="shared" si="21"/>
        <v>82</v>
      </c>
      <c r="R382">
        <f t="shared" si="22"/>
        <v>82</v>
      </c>
      <c r="S382" t="b">
        <f t="shared" si="23"/>
        <v>0</v>
      </c>
    </row>
    <row r="383" spans="1:19" x14ac:dyDescent="0.2">
      <c r="A383" s="54">
        <v>112563</v>
      </c>
      <c r="B383" s="54" t="s">
        <v>914</v>
      </c>
      <c r="C383" s="55">
        <v>12</v>
      </c>
      <c r="D383" s="55">
        <v>23</v>
      </c>
      <c r="E383" s="55">
        <v>0</v>
      </c>
      <c r="F383" s="55">
        <v>0</v>
      </c>
      <c r="G383" s="55">
        <v>0</v>
      </c>
      <c r="H383" s="55">
        <v>0</v>
      </c>
      <c r="I383" s="55">
        <v>0</v>
      </c>
      <c r="J383" s="55">
        <v>0</v>
      </c>
      <c r="K383" s="55">
        <v>0</v>
      </c>
      <c r="L383" s="55">
        <v>0</v>
      </c>
      <c r="M383" s="54" t="s">
        <v>30</v>
      </c>
      <c r="N383" s="54" t="s">
        <v>1401</v>
      </c>
      <c r="O383" s="54" t="s">
        <v>7</v>
      </c>
      <c r="P383" s="54">
        <f t="shared" si="20"/>
        <v>0</v>
      </c>
      <c r="Q383">
        <f t="shared" si="21"/>
        <v>0</v>
      </c>
      <c r="R383">
        <f t="shared" si="22"/>
        <v>0</v>
      </c>
      <c r="S383" t="b">
        <f t="shared" si="23"/>
        <v>0</v>
      </c>
    </row>
    <row r="384" spans="1:19" x14ac:dyDescent="0.2">
      <c r="A384" s="54">
        <v>112577</v>
      </c>
      <c r="B384" s="54" t="s">
        <v>293</v>
      </c>
      <c r="C384" s="55">
        <v>202</v>
      </c>
      <c r="D384" s="55">
        <v>134</v>
      </c>
      <c r="E384" s="55">
        <v>10</v>
      </c>
      <c r="F384" s="55">
        <v>94</v>
      </c>
      <c r="G384" s="55">
        <v>49</v>
      </c>
      <c r="H384" s="55">
        <v>2</v>
      </c>
      <c r="I384" s="55">
        <v>0.7</v>
      </c>
      <c r="J384" s="55">
        <v>0.37</v>
      </c>
      <c r="K384" s="55">
        <v>0.01</v>
      </c>
      <c r="L384" s="55">
        <v>7</v>
      </c>
      <c r="M384" s="54" t="s">
        <v>43</v>
      </c>
      <c r="N384" s="54" t="s">
        <v>1400</v>
      </c>
      <c r="O384" s="54" t="s">
        <v>6</v>
      </c>
      <c r="P384" s="54">
        <f t="shared" si="20"/>
        <v>0</v>
      </c>
      <c r="Q384">
        <f t="shared" si="21"/>
        <v>0</v>
      </c>
      <c r="R384">
        <f t="shared" si="22"/>
        <v>0</v>
      </c>
      <c r="S384" t="b">
        <f t="shared" si="23"/>
        <v>0</v>
      </c>
    </row>
    <row r="385" spans="1:19" x14ac:dyDescent="0.2">
      <c r="A385" s="54">
        <v>112596</v>
      </c>
      <c r="B385" s="54" t="s">
        <v>237</v>
      </c>
      <c r="C385" s="55">
        <v>3</v>
      </c>
      <c r="D385" s="55">
        <v>90</v>
      </c>
      <c r="E385" s="55">
        <v>8</v>
      </c>
      <c r="F385" s="55">
        <v>157</v>
      </c>
      <c r="G385" s="55">
        <v>12</v>
      </c>
      <c r="H385" s="55">
        <v>0</v>
      </c>
      <c r="I385" s="55">
        <v>1.74</v>
      </c>
      <c r="J385" s="55">
        <v>0.13</v>
      </c>
      <c r="K385" s="55">
        <v>0</v>
      </c>
      <c r="L385" s="55">
        <v>0</v>
      </c>
      <c r="M385" s="54" t="s">
        <v>43</v>
      </c>
      <c r="N385" s="54" t="s">
        <v>1400</v>
      </c>
      <c r="O385" s="54" t="s">
        <v>7</v>
      </c>
      <c r="P385" s="54">
        <f t="shared" si="20"/>
        <v>0</v>
      </c>
      <c r="Q385">
        <f t="shared" si="21"/>
        <v>0</v>
      </c>
      <c r="R385">
        <f t="shared" si="22"/>
        <v>0</v>
      </c>
      <c r="S385" t="b">
        <f t="shared" si="23"/>
        <v>0</v>
      </c>
    </row>
    <row r="386" spans="1:19" x14ac:dyDescent="0.2">
      <c r="A386" s="54">
        <v>112610</v>
      </c>
      <c r="B386" s="54" t="s">
        <v>250</v>
      </c>
      <c r="C386" s="55">
        <v>144</v>
      </c>
      <c r="D386" s="55">
        <v>126</v>
      </c>
      <c r="E386" s="55">
        <v>10</v>
      </c>
      <c r="F386" s="55">
        <v>279</v>
      </c>
      <c r="G386" s="55">
        <v>37</v>
      </c>
      <c r="H386" s="55">
        <v>8</v>
      </c>
      <c r="I386" s="55">
        <v>2.21</v>
      </c>
      <c r="J386" s="55">
        <v>0.28999999999999998</v>
      </c>
      <c r="K386" s="55">
        <v>0.06</v>
      </c>
      <c r="L386" s="55">
        <v>6</v>
      </c>
      <c r="M386" s="54" t="s">
        <v>43</v>
      </c>
      <c r="N386" s="54" t="s">
        <v>1400</v>
      </c>
      <c r="O386" s="54" t="s">
        <v>6</v>
      </c>
      <c r="P386" s="54">
        <f t="shared" ref="P386:P449" si="24">IF(I386&gt;=2, C386, IF(J386&gt;=0.75, C386, 0))</f>
        <v>144</v>
      </c>
      <c r="Q386">
        <f t="shared" ref="Q386:Q449" si="25">IF(I386&gt;=2, C386, IF(AND(J386&gt;=0.75, D386&gt;=550), C386, 0))</f>
        <v>144</v>
      </c>
      <c r="R386">
        <f t="shared" ref="R386:R449" si="26">IF(J386&gt;=0.75, C386, 0)</f>
        <v>0</v>
      </c>
      <c r="S386" t="b">
        <f t="shared" si="23"/>
        <v>0</v>
      </c>
    </row>
    <row r="387" spans="1:19" x14ac:dyDescent="0.2">
      <c r="A387" s="54">
        <v>112627</v>
      </c>
      <c r="B387" s="54" t="s">
        <v>381</v>
      </c>
      <c r="C387" s="55">
        <v>71</v>
      </c>
      <c r="D387" s="55">
        <v>35</v>
      </c>
      <c r="E387" s="55">
        <v>10</v>
      </c>
      <c r="F387" s="55">
        <v>90</v>
      </c>
      <c r="G387" s="55">
        <v>4</v>
      </c>
      <c r="H387" s="55">
        <v>0</v>
      </c>
      <c r="I387" s="55">
        <v>2.57</v>
      </c>
      <c r="J387" s="55">
        <v>0.11</v>
      </c>
      <c r="K387" s="55">
        <v>0</v>
      </c>
      <c r="L387" s="55">
        <v>0</v>
      </c>
      <c r="M387" s="54" t="s">
        <v>43</v>
      </c>
      <c r="N387" s="54" t="s">
        <v>1400</v>
      </c>
      <c r="O387" s="54" t="s">
        <v>7</v>
      </c>
      <c r="P387" s="54">
        <f t="shared" si="24"/>
        <v>71</v>
      </c>
      <c r="Q387">
        <f t="shared" si="25"/>
        <v>71</v>
      </c>
      <c r="R387">
        <f t="shared" si="26"/>
        <v>0</v>
      </c>
      <c r="S387" t="b">
        <f t="shared" ref="S387:S450" si="27">IF(A387=A388,TRUE,FALSE)</f>
        <v>0</v>
      </c>
    </row>
    <row r="388" spans="1:19" x14ac:dyDescent="0.2">
      <c r="A388" s="54">
        <v>112630</v>
      </c>
      <c r="B388" s="54" t="s">
        <v>526</v>
      </c>
      <c r="C388" s="55">
        <v>0</v>
      </c>
      <c r="D388" s="55">
        <v>20</v>
      </c>
      <c r="E388" s="55">
        <v>21</v>
      </c>
      <c r="F388" s="55">
        <v>13</v>
      </c>
      <c r="G388" s="55">
        <v>13</v>
      </c>
      <c r="H388" s="55">
        <v>6</v>
      </c>
      <c r="I388" s="55">
        <v>0.65</v>
      </c>
      <c r="J388" s="55">
        <v>0.65</v>
      </c>
      <c r="K388" s="55">
        <v>0.3</v>
      </c>
      <c r="L388" s="55">
        <v>0</v>
      </c>
      <c r="M388" s="54" t="s">
        <v>45</v>
      </c>
      <c r="N388" s="54" t="s">
        <v>47</v>
      </c>
      <c r="O388" s="54" t="s">
        <v>7</v>
      </c>
      <c r="P388" s="54">
        <f t="shared" si="24"/>
        <v>0</v>
      </c>
      <c r="Q388">
        <f t="shared" si="25"/>
        <v>0</v>
      </c>
      <c r="R388">
        <f t="shared" si="26"/>
        <v>0</v>
      </c>
      <c r="S388" t="b">
        <f t="shared" si="27"/>
        <v>0</v>
      </c>
    </row>
    <row r="389" spans="1:19" x14ac:dyDescent="0.2">
      <c r="A389" s="54">
        <v>112636</v>
      </c>
      <c r="B389" s="54" t="s">
        <v>192</v>
      </c>
      <c r="C389" s="55">
        <v>85</v>
      </c>
      <c r="D389" s="55">
        <v>76</v>
      </c>
      <c r="E389" s="55">
        <v>47</v>
      </c>
      <c r="F389" s="55">
        <v>336</v>
      </c>
      <c r="G389" s="55">
        <v>336</v>
      </c>
      <c r="H389" s="55">
        <v>105</v>
      </c>
      <c r="I389" s="55">
        <v>4.42</v>
      </c>
      <c r="J389" s="55">
        <v>4.42</v>
      </c>
      <c r="K389" s="55">
        <v>1.38</v>
      </c>
      <c r="L389" s="55">
        <v>8</v>
      </c>
      <c r="M389" s="54" t="s">
        <v>47</v>
      </c>
      <c r="N389" s="54" t="s">
        <v>47</v>
      </c>
      <c r="O389" s="54" t="s">
        <v>7</v>
      </c>
      <c r="P389" s="54">
        <f t="shared" si="24"/>
        <v>85</v>
      </c>
      <c r="Q389">
        <f t="shared" si="25"/>
        <v>85</v>
      </c>
      <c r="R389">
        <f t="shared" si="26"/>
        <v>85</v>
      </c>
      <c r="S389" t="b">
        <f t="shared" si="27"/>
        <v>0</v>
      </c>
    </row>
    <row r="390" spans="1:19" x14ac:dyDescent="0.2">
      <c r="A390" s="54">
        <v>112666</v>
      </c>
      <c r="B390" s="54" t="s">
        <v>633</v>
      </c>
      <c r="C390" s="55">
        <v>145</v>
      </c>
      <c r="D390" s="55">
        <v>62</v>
      </c>
      <c r="E390" s="55">
        <v>19</v>
      </c>
      <c r="F390" s="55">
        <v>0</v>
      </c>
      <c r="G390" s="55">
        <v>0</v>
      </c>
      <c r="H390" s="55">
        <v>0</v>
      </c>
      <c r="I390" s="55">
        <v>0</v>
      </c>
      <c r="J390" s="55">
        <v>0</v>
      </c>
      <c r="K390" s="55">
        <v>0</v>
      </c>
      <c r="L390" s="55">
        <v>0</v>
      </c>
      <c r="M390" s="54" t="s">
        <v>45</v>
      </c>
      <c r="N390" s="54" t="s">
        <v>47</v>
      </c>
      <c r="O390" s="54" t="s">
        <v>7</v>
      </c>
      <c r="P390" s="54">
        <f t="shared" si="24"/>
        <v>0</v>
      </c>
      <c r="Q390">
        <f t="shared" si="25"/>
        <v>0</v>
      </c>
      <c r="R390">
        <f t="shared" si="26"/>
        <v>0</v>
      </c>
      <c r="S390" t="b">
        <f t="shared" si="27"/>
        <v>0</v>
      </c>
    </row>
    <row r="391" spans="1:19" x14ac:dyDescent="0.2">
      <c r="A391" s="54">
        <v>112696</v>
      </c>
      <c r="B391" s="54" t="s">
        <v>1021</v>
      </c>
      <c r="C391" s="55">
        <v>21</v>
      </c>
      <c r="D391" s="55">
        <v>14</v>
      </c>
      <c r="E391" s="55">
        <v>4</v>
      </c>
      <c r="F391" s="55">
        <v>68</v>
      </c>
      <c r="G391" s="55">
        <v>68</v>
      </c>
      <c r="H391" s="55">
        <v>55</v>
      </c>
      <c r="I391" s="55">
        <v>4.8600000000000003</v>
      </c>
      <c r="J391" s="55">
        <v>4.8600000000000003</v>
      </c>
      <c r="K391" s="55">
        <v>3.93</v>
      </c>
      <c r="L391" s="55">
        <v>25</v>
      </c>
      <c r="M391" s="54" t="s">
        <v>30</v>
      </c>
      <c r="N391" s="54" t="s">
        <v>1401</v>
      </c>
      <c r="O391" s="54" t="s">
        <v>7</v>
      </c>
      <c r="P391" s="54">
        <f t="shared" si="24"/>
        <v>21</v>
      </c>
      <c r="Q391">
        <f t="shared" si="25"/>
        <v>21</v>
      </c>
      <c r="R391">
        <f t="shared" si="26"/>
        <v>21</v>
      </c>
      <c r="S391" t="b">
        <f t="shared" si="27"/>
        <v>0</v>
      </c>
    </row>
    <row r="392" spans="1:19" x14ac:dyDescent="0.2">
      <c r="A392" s="54">
        <v>112742</v>
      </c>
      <c r="B392" s="54" t="s">
        <v>1203</v>
      </c>
      <c r="C392" s="55">
        <v>90</v>
      </c>
      <c r="D392" s="55">
        <v>49</v>
      </c>
      <c r="E392" s="55">
        <v>3</v>
      </c>
      <c r="F392" s="55">
        <v>6</v>
      </c>
      <c r="G392" s="55">
        <v>6</v>
      </c>
      <c r="H392" s="55">
        <v>0</v>
      </c>
      <c r="I392" s="55">
        <v>0.12</v>
      </c>
      <c r="J392" s="55">
        <v>0.12</v>
      </c>
      <c r="K392" s="55">
        <v>0</v>
      </c>
      <c r="L392" s="55">
        <v>1</v>
      </c>
      <c r="M392" s="54" t="s">
        <v>30</v>
      </c>
      <c r="N392" s="54" t="s">
        <v>1401</v>
      </c>
      <c r="O392" s="54" t="s">
        <v>7</v>
      </c>
      <c r="P392" s="54">
        <f t="shared" si="24"/>
        <v>0</v>
      </c>
      <c r="Q392">
        <f t="shared" si="25"/>
        <v>0</v>
      </c>
      <c r="R392">
        <f t="shared" si="26"/>
        <v>0</v>
      </c>
      <c r="S392" t="b">
        <f t="shared" si="27"/>
        <v>0</v>
      </c>
    </row>
    <row r="393" spans="1:19" x14ac:dyDescent="0.2">
      <c r="A393" s="54">
        <v>112745</v>
      </c>
      <c r="B393" s="54" t="s">
        <v>591</v>
      </c>
      <c r="C393" s="55">
        <v>46</v>
      </c>
      <c r="D393" s="55">
        <v>47</v>
      </c>
      <c r="E393" s="55">
        <v>37</v>
      </c>
      <c r="F393" s="55">
        <v>230</v>
      </c>
      <c r="G393" s="55">
        <v>230</v>
      </c>
      <c r="H393" s="55">
        <v>230</v>
      </c>
      <c r="I393" s="55">
        <v>4.8899999999999997</v>
      </c>
      <c r="J393" s="55">
        <v>4.8899999999999997</v>
      </c>
      <c r="K393" s="55">
        <v>4.8899999999999997</v>
      </c>
      <c r="L393" s="55">
        <v>0</v>
      </c>
      <c r="M393" s="54" t="s">
        <v>47</v>
      </c>
      <c r="N393" s="54" t="s">
        <v>47</v>
      </c>
      <c r="O393" s="54" t="s">
        <v>7</v>
      </c>
      <c r="P393" s="54">
        <f t="shared" si="24"/>
        <v>46</v>
      </c>
      <c r="Q393">
        <f t="shared" si="25"/>
        <v>46</v>
      </c>
      <c r="R393">
        <f t="shared" si="26"/>
        <v>46</v>
      </c>
      <c r="S393" t="b">
        <f t="shared" si="27"/>
        <v>0</v>
      </c>
    </row>
    <row r="394" spans="1:19" x14ac:dyDescent="0.2">
      <c r="A394" s="54">
        <v>112780</v>
      </c>
      <c r="B394" s="54" t="s">
        <v>558</v>
      </c>
      <c r="C394" s="55">
        <v>37</v>
      </c>
      <c r="D394" s="55">
        <v>24</v>
      </c>
      <c r="E394" s="55">
        <v>6</v>
      </c>
      <c r="F394" s="55">
        <v>8</v>
      </c>
      <c r="G394" s="55">
        <v>8</v>
      </c>
      <c r="H394" s="55">
        <v>8</v>
      </c>
      <c r="I394" s="55">
        <v>0.33</v>
      </c>
      <c r="J394" s="55">
        <v>0.33</v>
      </c>
      <c r="K394" s="55">
        <v>0.33</v>
      </c>
      <c r="L394" s="55">
        <v>27</v>
      </c>
      <c r="M394" s="54" t="s">
        <v>43</v>
      </c>
      <c r="N394" s="54" t="s">
        <v>1400</v>
      </c>
      <c r="O394" s="54" t="s">
        <v>7</v>
      </c>
      <c r="P394" s="54">
        <f t="shared" si="24"/>
        <v>0</v>
      </c>
      <c r="Q394">
        <f t="shared" si="25"/>
        <v>0</v>
      </c>
      <c r="R394">
        <f t="shared" si="26"/>
        <v>0</v>
      </c>
      <c r="S394" t="b">
        <f t="shared" si="27"/>
        <v>0</v>
      </c>
    </row>
    <row r="395" spans="1:19" x14ac:dyDescent="0.2">
      <c r="A395" s="54">
        <v>112815</v>
      </c>
      <c r="B395" s="54" t="s">
        <v>713</v>
      </c>
      <c r="C395" s="55">
        <v>2</v>
      </c>
      <c r="D395" s="55">
        <v>100</v>
      </c>
      <c r="E395" s="55">
        <v>1</v>
      </c>
      <c r="F395" s="55">
        <v>0</v>
      </c>
      <c r="G395" s="55">
        <v>0</v>
      </c>
      <c r="H395" s="55">
        <v>0</v>
      </c>
      <c r="I395" s="55">
        <v>0</v>
      </c>
      <c r="J395" s="55">
        <v>0</v>
      </c>
      <c r="K395" s="55">
        <v>0</v>
      </c>
      <c r="L395" s="55">
        <v>0</v>
      </c>
      <c r="M395" s="54" t="s">
        <v>30</v>
      </c>
      <c r="N395" s="54" t="s">
        <v>1401</v>
      </c>
      <c r="O395" s="54" t="s">
        <v>6</v>
      </c>
      <c r="P395" s="54">
        <f t="shared" si="24"/>
        <v>0</v>
      </c>
      <c r="Q395">
        <f t="shared" si="25"/>
        <v>0</v>
      </c>
      <c r="R395">
        <f t="shared" si="26"/>
        <v>0</v>
      </c>
      <c r="S395" t="b">
        <f t="shared" si="27"/>
        <v>0</v>
      </c>
    </row>
    <row r="396" spans="1:19" x14ac:dyDescent="0.2">
      <c r="A396" s="54">
        <v>112959</v>
      </c>
      <c r="B396" s="54" t="s">
        <v>1194</v>
      </c>
      <c r="C396" s="55">
        <v>80</v>
      </c>
      <c r="D396" s="55">
        <v>80</v>
      </c>
      <c r="E396" s="55">
        <v>4</v>
      </c>
      <c r="F396" s="55">
        <v>0</v>
      </c>
      <c r="G396" s="55">
        <v>0</v>
      </c>
      <c r="H396" s="55">
        <v>0</v>
      </c>
      <c r="I396" s="55">
        <v>0</v>
      </c>
      <c r="J396" s="55">
        <v>0</v>
      </c>
      <c r="K396" s="55">
        <v>0</v>
      </c>
      <c r="L396" s="55">
        <v>0</v>
      </c>
      <c r="M396" s="54" t="s">
        <v>30</v>
      </c>
      <c r="N396" s="54" t="s">
        <v>1401</v>
      </c>
      <c r="O396" s="54" t="s">
        <v>7</v>
      </c>
      <c r="P396" s="54">
        <f t="shared" si="24"/>
        <v>0</v>
      </c>
      <c r="Q396">
        <f t="shared" si="25"/>
        <v>0</v>
      </c>
      <c r="R396">
        <f t="shared" si="26"/>
        <v>0</v>
      </c>
      <c r="S396" t="b">
        <f t="shared" si="27"/>
        <v>0</v>
      </c>
    </row>
    <row r="397" spans="1:19" x14ac:dyDescent="0.2">
      <c r="A397" s="54">
        <v>112966</v>
      </c>
      <c r="B397" s="54" t="s">
        <v>450</v>
      </c>
      <c r="C397" s="55">
        <v>2</v>
      </c>
      <c r="D397" s="55">
        <v>118</v>
      </c>
      <c r="E397" s="55">
        <v>11</v>
      </c>
      <c r="F397" s="55">
        <v>375</v>
      </c>
      <c r="G397" s="55">
        <v>14</v>
      </c>
      <c r="H397" s="55">
        <v>0</v>
      </c>
      <c r="I397" s="55">
        <v>3.18</v>
      </c>
      <c r="J397" s="55">
        <v>0.12</v>
      </c>
      <c r="K397" s="55">
        <v>0</v>
      </c>
      <c r="L397" s="55">
        <v>0</v>
      </c>
      <c r="M397" s="54" t="s">
        <v>43</v>
      </c>
      <c r="N397" s="54" t="s">
        <v>1400</v>
      </c>
      <c r="O397" s="54" t="s">
        <v>6</v>
      </c>
      <c r="P397" s="54">
        <f t="shared" si="24"/>
        <v>2</v>
      </c>
      <c r="Q397">
        <f t="shared" si="25"/>
        <v>2</v>
      </c>
      <c r="R397">
        <f t="shared" si="26"/>
        <v>0</v>
      </c>
      <c r="S397" t="b">
        <f t="shared" si="27"/>
        <v>0</v>
      </c>
    </row>
    <row r="398" spans="1:19" x14ac:dyDescent="0.2">
      <c r="A398" s="54">
        <v>112987</v>
      </c>
      <c r="B398" s="54" t="s">
        <v>594</v>
      </c>
      <c r="C398" s="55">
        <v>9</v>
      </c>
      <c r="D398" s="55">
        <v>16</v>
      </c>
      <c r="E398" s="55">
        <v>6</v>
      </c>
      <c r="F398" s="55">
        <v>3</v>
      </c>
      <c r="G398" s="55">
        <v>3</v>
      </c>
      <c r="H398" s="55">
        <v>0</v>
      </c>
      <c r="I398" s="55">
        <v>0.19</v>
      </c>
      <c r="J398" s="55">
        <v>0.19</v>
      </c>
      <c r="K398" s="55">
        <v>0</v>
      </c>
      <c r="L398" s="55">
        <v>2</v>
      </c>
      <c r="M398" s="54" t="s">
        <v>43</v>
      </c>
      <c r="N398" s="54" t="s">
        <v>1400</v>
      </c>
      <c r="O398" s="54" t="s">
        <v>7</v>
      </c>
      <c r="P398" s="54">
        <f t="shared" si="24"/>
        <v>0</v>
      </c>
      <c r="Q398">
        <f t="shared" si="25"/>
        <v>0</v>
      </c>
      <c r="R398">
        <f t="shared" si="26"/>
        <v>0</v>
      </c>
      <c r="S398" t="b">
        <f t="shared" si="27"/>
        <v>0</v>
      </c>
    </row>
    <row r="399" spans="1:19" x14ac:dyDescent="0.2">
      <c r="A399" s="54">
        <v>112992</v>
      </c>
      <c r="B399" s="54" t="s">
        <v>406</v>
      </c>
      <c r="C399" s="55">
        <v>14</v>
      </c>
      <c r="D399" s="55">
        <v>12</v>
      </c>
      <c r="E399" s="55">
        <v>15</v>
      </c>
      <c r="F399" s="55">
        <v>59</v>
      </c>
      <c r="G399" s="55">
        <v>1</v>
      </c>
      <c r="H399" s="55">
        <v>1</v>
      </c>
      <c r="I399" s="55">
        <v>4.92</v>
      </c>
      <c r="J399" s="55">
        <v>0.08</v>
      </c>
      <c r="K399" s="55">
        <v>0.08</v>
      </c>
      <c r="L399" s="55">
        <v>0</v>
      </c>
      <c r="M399" s="54" t="s">
        <v>45</v>
      </c>
      <c r="N399" s="54" t="s">
        <v>47</v>
      </c>
      <c r="O399" s="54" t="s">
        <v>7</v>
      </c>
      <c r="P399" s="54">
        <f t="shared" si="24"/>
        <v>14</v>
      </c>
      <c r="Q399">
        <f t="shared" si="25"/>
        <v>14</v>
      </c>
      <c r="R399">
        <f t="shared" si="26"/>
        <v>0</v>
      </c>
      <c r="S399" t="b">
        <f t="shared" si="27"/>
        <v>0</v>
      </c>
    </row>
    <row r="400" spans="1:19" x14ac:dyDescent="0.2">
      <c r="A400" s="54">
        <v>113004</v>
      </c>
      <c r="B400" s="54" t="s">
        <v>1245</v>
      </c>
      <c r="C400" s="55">
        <v>136</v>
      </c>
      <c r="D400" s="55">
        <v>105</v>
      </c>
      <c r="E400" s="55">
        <v>2</v>
      </c>
      <c r="F400" s="55">
        <v>2</v>
      </c>
      <c r="G400" s="55">
        <v>2</v>
      </c>
      <c r="H400" s="55">
        <v>0</v>
      </c>
      <c r="I400" s="55">
        <v>0.02</v>
      </c>
      <c r="J400" s="55">
        <v>0.02</v>
      </c>
      <c r="K400" s="55">
        <v>0</v>
      </c>
      <c r="L400" s="55">
        <v>0</v>
      </c>
      <c r="M400" s="54" t="s">
        <v>30</v>
      </c>
      <c r="N400" s="54" t="s">
        <v>1401</v>
      </c>
      <c r="O400" s="54" t="s">
        <v>6</v>
      </c>
      <c r="P400" s="54">
        <f t="shared" si="24"/>
        <v>0</v>
      </c>
      <c r="Q400">
        <f t="shared" si="25"/>
        <v>0</v>
      </c>
      <c r="R400">
        <f t="shared" si="26"/>
        <v>0</v>
      </c>
      <c r="S400" t="b">
        <f t="shared" si="27"/>
        <v>0</v>
      </c>
    </row>
    <row r="401" spans="1:19" x14ac:dyDescent="0.2">
      <c r="A401" s="54">
        <v>113074</v>
      </c>
      <c r="B401" s="54" t="s">
        <v>1303</v>
      </c>
      <c r="C401" s="55">
        <v>0</v>
      </c>
      <c r="D401" s="55">
        <v>35</v>
      </c>
      <c r="E401" s="55">
        <v>1</v>
      </c>
      <c r="F401" s="55">
        <v>0</v>
      </c>
      <c r="G401" s="55">
        <v>0</v>
      </c>
      <c r="H401" s="55">
        <v>0</v>
      </c>
      <c r="I401" s="55">
        <v>0</v>
      </c>
      <c r="J401" s="55">
        <v>0</v>
      </c>
      <c r="K401" s="55">
        <v>0</v>
      </c>
      <c r="L401" s="55">
        <v>0</v>
      </c>
      <c r="M401" s="54" t="s">
        <v>30</v>
      </c>
      <c r="N401" s="54" t="s">
        <v>1401</v>
      </c>
      <c r="O401" s="54" t="s">
        <v>7</v>
      </c>
      <c r="P401" s="54">
        <f t="shared" si="24"/>
        <v>0</v>
      </c>
      <c r="Q401">
        <f t="shared" si="25"/>
        <v>0</v>
      </c>
      <c r="R401">
        <f t="shared" si="26"/>
        <v>0</v>
      </c>
      <c r="S401" t="b">
        <f t="shared" si="27"/>
        <v>0</v>
      </c>
    </row>
    <row r="402" spans="1:19" x14ac:dyDescent="0.2">
      <c r="A402" s="54">
        <v>113111</v>
      </c>
      <c r="B402" s="54" t="s">
        <v>117</v>
      </c>
      <c r="C402" s="55">
        <v>117</v>
      </c>
      <c r="D402" s="55">
        <v>115</v>
      </c>
      <c r="E402" s="55">
        <v>9</v>
      </c>
      <c r="F402" s="55">
        <v>794</v>
      </c>
      <c r="G402" s="55">
        <v>777</v>
      </c>
      <c r="H402" s="55">
        <v>22</v>
      </c>
      <c r="I402" s="55">
        <v>6.9</v>
      </c>
      <c r="J402" s="55">
        <v>6.76</v>
      </c>
      <c r="K402" s="55">
        <v>0.19</v>
      </c>
      <c r="L402" s="55">
        <v>115</v>
      </c>
      <c r="M402" s="54" t="s">
        <v>43</v>
      </c>
      <c r="N402" s="54" t="s">
        <v>1400</v>
      </c>
      <c r="O402" s="54" t="s">
        <v>6</v>
      </c>
      <c r="P402" s="54">
        <f t="shared" si="24"/>
        <v>117</v>
      </c>
      <c r="Q402">
        <f t="shared" si="25"/>
        <v>117</v>
      </c>
      <c r="R402">
        <f t="shared" si="26"/>
        <v>117</v>
      </c>
      <c r="S402" t="b">
        <f t="shared" si="27"/>
        <v>0</v>
      </c>
    </row>
    <row r="403" spans="1:19" x14ac:dyDescent="0.2">
      <c r="A403" s="54">
        <v>113118</v>
      </c>
      <c r="B403" s="54" t="s">
        <v>70</v>
      </c>
      <c r="C403" s="55">
        <v>1458</v>
      </c>
      <c r="D403" s="55">
        <v>700</v>
      </c>
      <c r="E403" s="55">
        <v>49</v>
      </c>
      <c r="F403" s="55">
        <v>2046</v>
      </c>
      <c r="G403" s="55">
        <v>539</v>
      </c>
      <c r="H403" s="55">
        <v>18</v>
      </c>
      <c r="I403" s="55">
        <v>2.92</v>
      </c>
      <c r="J403" s="55">
        <v>0.77</v>
      </c>
      <c r="K403" s="55">
        <v>0.03</v>
      </c>
      <c r="L403" s="55">
        <v>4</v>
      </c>
      <c r="M403" s="54" t="s">
        <v>47</v>
      </c>
      <c r="N403" s="54" t="s">
        <v>47</v>
      </c>
      <c r="O403" s="54" t="s">
        <v>5</v>
      </c>
      <c r="P403" s="54">
        <f t="shared" si="24"/>
        <v>1458</v>
      </c>
      <c r="Q403">
        <f t="shared" si="25"/>
        <v>1458</v>
      </c>
      <c r="R403">
        <f t="shared" si="26"/>
        <v>1458</v>
      </c>
      <c r="S403" t="b">
        <f t="shared" si="27"/>
        <v>0</v>
      </c>
    </row>
    <row r="404" spans="1:19" x14ac:dyDescent="0.2">
      <c r="A404" s="54">
        <v>113133</v>
      </c>
      <c r="B404" s="54" t="s">
        <v>893</v>
      </c>
      <c r="C404" s="55">
        <v>10</v>
      </c>
      <c r="D404" s="55">
        <v>12</v>
      </c>
      <c r="E404" s="55">
        <v>0</v>
      </c>
      <c r="F404" s="55">
        <v>0</v>
      </c>
      <c r="G404" s="55">
        <v>0</v>
      </c>
      <c r="H404" s="55">
        <v>0</v>
      </c>
      <c r="I404" s="55">
        <v>0</v>
      </c>
      <c r="J404" s="55">
        <v>0</v>
      </c>
      <c r="K404" s="55">
        <v>0</v>
      </c>
      <c r="L404" s="55">
        <v>0</v>
      </c>
      <c r="M404" s="54" t="s">
        <v>30</v>
      </c>
      <c r="N404" s="54" t="s">
        <v>1401</v>
      </c>
      <c r="O404" s="54" t="s">
        <v>7</v>
      </c>
      <c r="P404" s="54">
        <f t="shared" si="24"/>
        <v>0</v>
      </c>
      <c r="Q404">
        <f t="shared" si="25"/>
        <v>0</v>
      </c>
      <c r="R404">
        <f t="shared" si="26"/>
        <v>0</v>
      </c>
      <c r="S404" t="b">
        <f t="shared" si="27"/>
        <v>0</v>
      </c>
    </row>
    <row r="405" spans="1:19" x14ac:dyDescent="0.2">
      <c r="A405" s="54">
        <v>113139</v>
      </c>
      <c r="B405" s="54" t="s">
        <v>1308</v>
      </c>
      <c r="C405" s="55">
        <v>0</v>
      </c>
      <c r="D405" s="55">
        <v>100</v>
      </c>
      <c r="E405" s="55">
        <v>1</v>
      </c>
      <c r="F405" s="55">
        <v>0</v>
      </c>
      <c r="G405" s="55">
        <v>0</v>
      </c>
      <c r="H405" s="55">
        <v>0</v>
      </c>
      <c r="I405" s="55">
        <v>0</v>
      </c>
      <c r="J405" s="55">
        <v>0</v>
      </c>
      <c r="K405" s="55">
        <v>0</v>
      </c>
      <c r="L405" s="55">
        <v>0</v>
      </c>
      <c r="M405" s="54" t="s">
        <v>30</v>
      </c>
      <c r="N405" s="54" t="s">
        <v>1401</v>
      </c>
      <c r="O405" s="54" t="s">
        <v>6</v>
      </c>
      <c r="P405" s="54">
        <f t="shared" si="24"/>
        <v>0</v>
      </c>
      <c r="Q405">
        <f t="shared" si="25"/>
        <v>0</v>
      </c>
      <c r="R405">
        <f t="shared" si="26"/>
        <v>0</v>
      </c>
      <c r="S405" t="b">
        <f t="shared" si="27"/>
        <v>0</v>
      </c>
    </row>
    <row r="406" spans="1:19" x14ac:dyDescent="0.2">
      <c r="A406" s="54">
        <v>113145</v>
      </c>
      <c r="B406" s="54" t="s">
        <v>1310</v>
      </c>
      <c r="C406" s="55">
        <v>0</v>
      </c>
      <c r="D406" s="55">
        <v>21</v>
      </c>
      <c r="E406" s="55">
        <v>2</v>
      </c>
      <c r="F406" s="55">
        <v>0</v>
      </c>
      <c r="G406" s="55">
        <v>0</v>
      </c>
      <c r="H406" s="55">
        <v>0</v>
      </c>
      <c r="I406" s="55">
        <v>0</v>
      </c>
      <c r="J406" s="55">
        <v>0</v>
      </c>
      <c r="K406" s="55">
        <v>0</v>
      </c>
      <c r="L406" s="55">
        <v>0</v>
      </c>
      <c r="M406" s="54" t="s">
        <v>30</v>
      </c>
      <c r="N406" s="54" t="s">
        <v>1401</v>
      </c>
      <c r="O406" s="54" t="s">
        <v>7</v>
      </c>
      <c r="P406" s="54">
        <f t="shared" si="24"/>
        <v>0</v>
      </c>
      <c r="Q406">
        <f t="shared" si="25"/>
        <v>0</v>
      </c>
      <c r="R406">
        <f t="shared" si="26"/>
        <v>0</v>
      </c>
      <c r="S406" t="b">
        <f t="shared" si="27"/>
        <v>0</v>
      </c>
    </row>
    <row r="407" spans="1:19" x14ac:dyDescent="0.2">
      <c r="A407" s="54">
        <v>113149</v>
      </c>
      <c r="B407" s="54" t="s">
        <v>435</v>
      </c>
      <c r="C407" s="55">
        <v>16</v>
      </c>
      <c r="D407" s="55">
        <v>12</v>
      </c>
      <c r="E407" s="55">
        <v>6</v>
      </c>
      <c r="F407" s="55">
        <v>37</v>
      </c>
      <c r="G407" s="55">
        <v>37</v>
      </c>
      <c r="H407" s="55">
        <v>20</v>
      </c>
      <c r="I407" s="55">
        <v>3.08</v>
      </c>
      <c r="J407" s="55">
        <v>3.08</v>
      </c>
      <c r="K407" s="55">
        <v>1.67</v>
      </c>
      <c r="L407" s="55">
        <v>0</v>
      </c>
      <c r="M407" s="54" t="s">
        <v>43</v>
      </c>
      <c r="N407" s="54" t="s">
        <v>1400</v>
      </c>
      <c r="O407" s="54" t="s">
        <v>7</v>
      </c>
      <c r="P407" s="54">
        <f t="shared" si="24"/>
        <v>16</v>
      </c>
      <c r="Q407">
        <f t="shared" si="25"/>
        <v>16</v>
      </c>
      <c r="R407">
        <f t="shared" si="26"/>
        <v>16</v>
      </c>
      <c r="S407" t="b">
        <f t="shared" si="27"/>
        <v>0</v>
      </c>
    </row>
    <row r="408" spans="1:19" x14ac:dyDescent="0.2">
      <c r="A408" s="54">
        <v>113153</v>
      </c>
      <c r="B408" s="54" t="s">
        <v>762</v>
      </c>
      <c r="C408" s="55">
        <v>4</v>
      </c>
      <c r="D408" s="55">
        <v>4</v>
      </c>
      <c r="E408" s="55">
        <v>1</v>
      </c>
      <c r="F408" s="55">
        <v>0</v>
      </c>
      <c r="G408" s="55">
        <v>0</v>
      </c>
      <c r="H408" s="55">
        <v>0</v>
      </c>
      <c r="I408" s="55">
        <v>0</v>
      </c>
      <c r="J408" s="55">
        <v>0</v>
      </c>
      <c r="K408" s="55">
        <v>0</v>
      </c>
      <c r="L408" s="55">
        <v>0</v>
      </c>
      <c r="M408" s="54" t="s">
        <v>30</v>
      </c>
      <c r="N408" s="54" t="s">
        <v>1401</v>
      </c>
      <c r="O408" s="54" t="s">
        <v>7</v>
      </c>
      <c r="P408" s="54">
        <f t="shared" si="24"/>
        <v>0</v>
      </c>
      <c r="Q408">
        <f t="shared" si="25"/>
        <v>0</v>
      </c>
      <c r="R408">
        <f t="shared" si="26"/>
        <v>0</v>
      </c>
      <c r="S408" t="b">
        <f t="shared" si="27"/>
        <v>0</v>
      </c>
    </row>
    <row r="409" spans="1:19" x14ac:dyDescent="0.2">
      <c r="A409" s="54">
        <v>113214</v>
      </c>
      <c r="B409" s="54" t="s">
        <v>1162</v>
      </c>
      <c r="C409" s="55">
        <v>55</v>
      </c>
      <c r="D409" s="55">
        <v>62</v>
      </c>
      <c r="E409" s="55">
        <v>5</v>
      </c>
      <c r="F409" s="55">
        <v>0</v>
      </c>
      <c r="G409" s="55">
        <v>0</v>
      </c>
      <c r="H409" s="55">
        <v>0</v>
      </c>
      <c r="I409" s="55">
        <v>0</v>
      </c>
      <c r="J409" s="55">
        <v>0</v>
      </c>
      <c r="K409" s="55">
        <v>0</v>
      </c>
      <c r="L409" s="55">
        <v>0</v>
      </c>
      <c r="M409" s="54" t="s">
        <v>30</v>
      </c>
      <c r="N409" s="54" t="s">
        <v>1401</v>
      </c>
      <c r="O409" s="54" t="s">
        <v>7</v>
      </c>
      <c r="P409" s="54">
        <f t="shared" si="24"/>
        <v>0</v>
      </c>
      <c r="Q409">
        <f t="shared" si="25"/>
        <v>0</v>
      </c>
      <c r="R409">
        <f t="shared" si="26"/>
        <v>0</v>
      </c>
      <c r="S409" t="b">
        <f t="shared" si="27"/>
        <v>0</v>
      </c>
    </row>
    <row r="410" spans="1:19" x14ac:dyDescent="0.2">
      <c r="A410" s="54">
        <v>113219</v>
      </c>
      <c r="B410" s="54" t="s">
        <v>1124</v>
      </c>
      <c r="C410" s="55">
        <v>39</v>
      </c>
      <c r="D410" s="55">
        <v>40</v>
      </c>
      <c r="E410" s="55">
        <v>4</v>
      </c>
      <c r="F410" s="55">
        <v>4</v>
      </c>
      <c r="G410" s="55">
        <v>4</v>
      </c>
      <c r="H410" s="55">
        <v>0</v>
      </c>
      <c r="I410" s="55">
        <v>0.1</v>
      </c>
      <c r="J410" s="55">
        <v>0.1</v>
      </c>
      <c r="K410" s="55">
        <v>0</v>
      </c>
      <c r="L410" s="55">
        <v>2</v>
      </c>
      <c r="M410" s="54" t="s">
        <v>30</v>
      </c>
      <c r="N410" s="54" t="s">
        <v>1401</v>
      </c>
      <c r="O410" s="54" t="s">
        <v>7</v>
      </c>
      <c r="P410" s="54">
        <f t="shared" si="24"/>
        <v>0</v>
      </c>
      <c r="Q410">
        <f t="shared" si="25"/>
        <v>0</v>
      </c>
      <c r="R410">
        <f t="shared" si="26"/>
        <v>0</v>
      </c>
      <c r="S410" t="b">
        <f t="shared" si="27"/>
        <v>0</v>
      </c>
    </row>
    <row r="411" spans="1:19" x14ac:dyDescent="0.2">
      <c r="A411" s="54">
        <v>113228</v>
      </c>
      <c r="B411" s="54" t="s">
        <v>641</v>
      </c>
      <c r="C411" s="55">
        <v>580</v>
      </c>
      <c r="D411" s="55">
        <v>645</v>
      </c>
      <c r="E411" s="55">
        <v>20</v>
      </c>
      <c r="F411" s="55">
        <v>0</v>
      </c>
      <c r="G411" s="55">
        <v>0</v>
      </c>
      <c r="H411" s="55">
        <v>0</v>
      </c>
      <c r="I411" s="55">
        <v>0</v>
      </c>
      <c r="J411" s="55">
        <v>0</v>
      </c>
      <c r="K411" s="55">
        <v>0</v>
      </c>
      <c r="L411" s="55">
        <v>0</v>
      </c>
      <c r="M411" s="54" t="s">
        <v>45</v>
      </c>
      <c r="N411" s="54" t="s">
        <v>47</v>
      </c>
      <c r="O411" s="54" t="s">
        <v>5</v>
      </c>
      <c r="P411" s="54">
        <f t="shared" si="24"/>
        <v>0</v>
      </c>
      <c r="Q411">
        <f t="shared" si="25"/>
        <v>0</v>
      </c>
      <c r="R411">
        <f t="shared" si="26"/>
        <v>0</v>
      </c>
      <c r="S411" t="b">
        <f t="shared" si="27"/>
        <v>0</v>
      </c>
    </row>
    <row r="412" spans="1:19" x14ac:dyDescent="0.2">
      <c r="A412" s="54">
        <v>113258</v>
      </c>
      <c r="B412" s="54" t="s">
        <v>739</v>
      </c>
      <c r="C412" s="55">
        <v>2</v>
      </c>
      <c r="D412" s="55">
        <v>2</v>
      </c>
      <c r="E412" s="55">
        <v>0</v>
      </c>
      <c r="F412" s="55">
        <v>0</v>
      </c>
      <c r="G412" s="55">
        <v>0</v>
      </c>
      <c r="H412" s="55">
        <v>0</v>
      </c>
      <c r="I412" s="55">
        <v>0</v>
      </c>
      <c r="J412" s="55">
        <v>0</v>
      </c>
      <c r="K412" s="55">
        <v>0</v>
      </c>
      <c r="L412" s="55">
        <v>0</v>
      </c>
      <c r="M412" s="54" t="s">
        <v>30</v>
      </c>
      <c r="N412" s="54" t="s">
        <v>1401</v>
      </c>
      <c r="O412" s="54" t="s">
        <v>7</v>
      </c>
      <c r="P412" s="54">
        <f t="shared" si="24"/>
        <v>0</v>
      </c>
      <c r="Q412">
        <f t="shared" si="25"/>
        <v>0</v>
      </c>
      <c r="R412">
        <f t="shared" si="26"/>
        <v>0</v>
      </c>
      <c r="S412" t="b">
        <f t="shared" si="27"/>
        <v>0</v>
      </c>
    </row>
    <row r="413" spans="1:19" x14ac:dyDescent="0.2">
      <c r="A413" s="54">
        <v>113326</v>
      </c>
      <c r="B413" s="54" t="s">
        <v>1045</v>
      </c>
      <c r="C413" s="55">
        <v>25</v>
      </c>
      <c r="D413" s="55">
        <v>22</v>
      </c>
      <c r="E413" s="55">
        <v>3</v>
      </c>
      <c r="F413" s="55">
        <v>8</v>
      </c>
      <c r="G413" s="55">
        <v>8</v>
      </c>
      <c r="H413" s="55">
        <v>8</v>
      </c>
      <c r="I413" s="55">
        <v>0.36</v>
      </c>
      <c r="J413" s="55">
        <v>0.36</v>
      </c>
      <c r="K413" s="55">
        <v>0.36</v>
      </c>
      <c r="L413" s="55">
        <v>1</v>
      </c>
      <c r="M413" s="54" t="s">
        <v>30</v>
      </c>
      <c r="N413" s="54" t="s">
        <v>1401</v>
      </c>
      <c r="O413" s="54" t="s">
        <v>7</v>
      </c>
      <c r="P413" s="54">
        <f t="shared" si="24"/>
        <v>0</v>
      </c>
      <c r="Q413">
        <f t="shared" si="25"/>
        <v>0</v>
      </c>
      <c r="R413">
        <f t="shared" si="26"/>
        <v>0</v>
      </c>
      <c r="S413" t="b">
        <f t="shared" si="27"/>
        <v>0</v>
      </c>
    </row>
    <row r="414" spans="1:19" x14ac:dyDescent="0.2">
      <c r="A414" s="54">
        <v>113335</v>
      </c>
      <c r="B414" s="54" t="s">
        <v>189</v>
      </c>
      <c r="C414" s="55">
        <v>84</v>
      </c>
      <c r="D414" s="55">
        <v>90</v>
      </c>
      <c r="E414" s="55">
        <v>11</v>
      </c>
      <c r="F414" s="55">
        <v>370</v>
      </c>
      <c r="G414" s="55">
        <v>28</v>
      </c>
      <c r="H414" s="55">
        <v>17</v>
      </c>
      <c r="I414" s="55">
        <v>4.1100000000000003</v>
      </c>
      <c r="J414" s="55">
        <v>0.31</v>
      </c>
      <c r="K414" s="55">
        <v>0.19</v>
      </c>
      <c r="L414" s="55">
        <v>74</v>
      </c>
      <c r="M414" s="54" t="s">
        <v>43</v>
      </c>
      <c r="N414" s="54" t="s">
        <v>1400</v>
      </c>
      <c r="O414" s="54" t="s">
        <v>7</v>
      </c>
      <c r="P414" s="54">
        <f t="shared" si="24"/>
        <v>84</v>
      </c>
      <c r="Q414">
        <f t="shared" si="25"/>
        <v>84</v>
      </c>
      <c r="R414">
        <f t="shared" si="26"/>
        <v>0</v>
      </c>
      <c r="S414" t="b">
        <f t="shared" si="27"/>
        <v>0</v>
      </c>
    </row>
    <row r="415" spans="1:19" x14ac:dyDescent="0.2">
      <c r="A415" s="54">
        <v>113358</v>
      </c>
      <c r="B415" s="54" t="s">
        <v>168</v>
      </c>
      <c r="C415" s="55">
        <v>6</v>
      </c>
      <c r="D415" s="55">
        <v>150</v>
      </c>
      <c r="E415" s="55">
        <v>8</v>
      </c>
      <c r="F415" s="55">
        <v>490</v>
      </c>
      <c r="G415" s="55">
        <v>419</v>
      </c>
      <c r="H415" s="55">
        <v>13</v>
      </c>
      <c r="I415" s="55">
        <v>3.27</v>
      </c>
      <c r="J415" s="55">
        <v>2.79</v>
      </c>
      <c r="K415" s="55">
        <v>0.09</v>
      </c>
      <c r="L415" s="55">
        <v>105</v>
      </c>
      <c r="M415" s="54" t="s">
        <v>43</v>
      </c>
      <c r="N415" s="54" t="s">
        <v>1400</v>
      </c>
      <c r="O415" s="54" t="s">
        <v>6</v>
      </c>
      <c r="P415" s="54">
        <f t="shared" si="24"/>
        <v>6</v>
      </c>
      <c r="Q415">
        <f t="shared" si="25"/>
        <v>6</v>
      </c>
      <c r="R415">
        <f t="shared" si="26"/>
        <v>6</v>
      </c>
      <c r="S415" t="b">
        <f t="shared" si="27"/>
        <v>0</v>
      </c>
    </row>
    <row r="416" spans="1:19" x14ac:dyDescent="0.2">
      <c r="A416" s="54">
        <v>113387</v>
      </c>
      <c r="B416" s="54" t="s">
        <v>601</v>
      </c>
      <c r="C416" s="55">
        <v>267</v>
      </c>
      <c r="D416" s="55">
        <v>255</v>
      </c>
      <c r="E416" s="55">
        <v>21</v>
      </c>
      <c r="F416" s="55">
        <v>2</v>
      </c>
      <c r="G416" s="55">
        <v>0</v>
      </c>
      <c r="H416" s="55">
        <v>0</v>
      </c>
      <c r="I416" s="55">
        <v>0.01</v>
      </c>
      <c r="J416" s="55">
        <v>0</v>
      </c>
      <c r="K416" s="55">
        <v>0</v>
      </c>
      <c r="L416" s="55">
        <v>9</v>
      </c>
      <c r="M416" s="54" t="s">
        <v>45</v>
      </c>
      <c r="N416" s="54" t="s">
        <v>47</v>
      </c>
      <c r="O416" s="54" t="s">
        <v>6</v>
      </c>
      <c r="P416" s="54">
        <f t="shared" si="24"/>
        <v>0</v>
      </c>
      <c r="Q416">
        <f t="shared" si="25"/>
        <v>0</v>
      </c>
      <c r="R416">
        <f t="shared" si="26"/>
        <v>0</v>
      </c>
      <c r="S416" t="b">
        <f t="shared" si="27"/>
        <v>0</v>
      </c>
    </row>
    <row r="417" spans="1:19" x14ac:dyDescent="0.2">
      <c r="A417" s="54">
        <v>113390</v>
      </c>
      <c r="B417" s="54" t="s">
        <v>233</v>
      </c>
      <c r="C417" s="55">
        <v>120</v>
      </c>
      <c r="D417" s="55">
        <v>180</v>
      </c>
      <c r="E417" s="55">
        <v>7</v>
      </c>
      <c r="F417" s="55">
        <v>183</v>
      </c>
      <c r="G417" s="55">
        <v>19</v>
      </c>
      <c r="H417" s="55">
        <v>3</v>
      </c>
      <c r="I417" s="55">
        <v>1.02</v>
      </c>
      <c r="J417" s="55">
        <v>0.11</v>
      </c>
      <c r="K417" s="55">
        <v>0.02</v>
      </c>
      <c r="L417" s="55">
        <v>0</v>
      </c>
      <c r="M417" s="54" t="s">
        <v>43</v>
      </c>
      <c r="N417" s="54" t="s">
        <v>1400</v>
      </c>
      <c r="O417" s="54" t="s">
        <v>6</v>
      </c>
      <c r="P417" s="54">
        <f t="shared" si="24"/>
        <v>0</v>
      </c>
      <c r="Q417">
        <f t="shared" si="25"/>
        <v>0</v>
      </c>
      <c r="R417">
        <f t="shared" si="26"/>
        <v>0</v>
      </c>
      <c r="S417" t="b">
        <f t="shared" si="27"/>
        <v>0</v>
      </c>
    </row>
    <row r="418" spans="1:19" x14ac:dyDescent="0.2">
      <c r="A418" s="54">
        <v>113397</v>
      </c>
      <c r="B418" s="54" t="s">
        <v>603</v>
      </c>
      <c r="C418" s="55">
        <v>93</v>
      </c>
      <c r="D418" s="55">
        <v>145</v>
      </c>
      <c r="E418" s="55">
        <v>45</v>
      </c>
      <c r="F418" s="55">
        <v>2</v>
      </c>
      <c r="G418" s="55">
        <v>2</v>
      </c>
      <c r="H418" s="55">
        <v>0</v>
      </c>
      <c r="I418" s="55">
        <v>0.01</v>
      </c>
      <c r="J418" s="55">
        <v>0.01</v>
      </c>
      <c r="K418" s="55">
        <v>0</v>
      </c>
      <c r="L418" s="55">
        <v>2</v>
      </c>
      <c r="M418" s="54" t="s">
        <v>47</v>
      </c>
      <c r="N418" s="54" t="s">
        <v>47</v>
      </c>
      <c r="O418" s="54" t="s">
        <v>6</v>
      </c>
      <c r="P418" s="54">
        <f t="shared" si="24"/>
        <v>0</v>
      </c>
      <c r="Q418">
        <f t="shared" si="25"/>
        <v>0</v>
      </c>
      <c r="R418">
        <f t="shared" si="26"/>
        <v>0</v>
      </c>
      <c r="S418" t="b">
        <f t="shared" si="27"/>
        <v>0</v>
      </c>
    </row>
    <row r="419" spans="1:19" x14ac:dyDescent="0.2">
      <c r="A419" s="54">
        <v>113399</v>
      </c>
      <c r="B419" s="54" t="s">
        <v>388</v>
      </c>
      <c r="C419" s="55">
        <v>125</v>
      </c>
      <c r="D419" s="55">
        <v>100</v>
      </c>
      <c r="E419" s="55">
        <v>21</v>
      </c>
      <c r="F419" s="55">
        <v>139</v>
      </c>
      <c r="G419" s="55">
        <v>139</v>
      </c>
      <c r="H419" s="55">
        <v>122</v>
      </c>
      <c r="I419" s="55">
        <v>1.39</v>
      </c>
      <c r="J419" s="55">
        <v>1.39</v>
      </c>
      <c r="K419" s="55">
        <v>1.22</v>
      </c>
      <c r="L419" s="55">
        <v>8</v>
      </c>
      <c r="M419" s="54" t="s">
        <v>45</v>
      </c>
      <c r="N419" s="54" t="s">
        <v>47</v>
      </c>
      <c r="O419" s="54" t="s">
        <v>6</v>
      </c>
      <c r="P419" s="54">
        <f t="shared" si="24"/>
        <v>125</v>
      </c>
      <c r="Q419">
        <f t="shared" si="25"/>
        <v>0</v>
      </c>
      <c r="R419">
        <f t="shared" si="26"/>
        <v>125</v>
      </c>
      <c r="S419" t="b">
        <f t="shared" si="27"/>
        <v>0</v>
      </c>
    </row>
    <row r="420" spans="1:19" x14ac:dyDescent="0.2">
      <c r="A420" s="54">
        <v>113410</v>
      </c>
      <c r="B420" s="54" t="s">
        <v>248</v>
      </c>
      <c r="C420" s="55">
        <v>552</v>
      </c>
      <c r="D420" s="55">
        <v>457</v>
      </c>
      <c r="E420" s="55">
        <v>34</v>
      </c>
      <c r="F420" s="55">
        <v>2301</v>
      </c>
      <c r="G420" s="55">
        <v>256</v>
      </c>
      <c r="H420" s="55">
        <v>222</v>
      </c>
      <c r="I420" s="55">
        <v>5.04</v>
      </c>
      <c r="J420" s="55">
        <v>0.56000000000000005</v>
      </c>
      <c r="K420" s="55">
        <v>0.49</v>
      </c>
      <c r="L420" s="55">
        <v>0</v>
      </c>
      <c r="M420" s="54" t="s">
        <v>47</v>
      </c>
      <c r="N420" s="54" t="s">
        <v>47</v>
      </c>
      <c r="O420" s="54" t="s">
        <v>6</v>
      </c>
      <c r="P420" s="54">
        <f t="shared" si="24"/>
        <v>552</v>
      </c>
      <c r="Q420">
        <f t="shared" si="25"/>
        <v>552</v>
      </c>
      <c r="R420">
        <f t="shared" si="26"/>
        <v>0</v>
      </c>
      <c r="S420" t="b">
        <f t="shared" si="27"/>
        <v>0</v>
      </c>
    </row>
    <row r="421" spans="1:19" x14ac:dyDescent="0.2">
      <c r="A421" s="54">
        <v>113444</v>
      </c>
      <c r="B421" s="54" t="s">
        <v>555</v>
      </c>
      <c r="C421" s="55">
        <v>2</v>
      </c>
      <c r="D421" s="55">
        <v>34</v>
      </c>
      <c r="E421" s="55">
        <v>10</v>
      </c>
      <c r="F421" s="55">
        <v>8</v>
      </c>
      <c r="G421" s="55">
        <v>0</v>
      </c>
      <c r="H421" s="55">
        <v>0</v>
      </c>
      <c r="I421" s="55">
        <v>0.24</v>
      </c>
      <c r="J421" s="55">
        <v>0</v>
      </c>
      <c r="K421" s="55">
        <v>0</v>
      </c>
      <c r="L421" s="55">
        <v>0</v>
      </c>
      <c r="M421" s="54" t="s">
        <v>43</v>
      </c>
      <c r="N421" s="54" t="s">
        <v>1400</v>
      </c>
      <c r="O421" s="54" t="s">
        <v>7</v>
      </c>
      <c r="P421" s="54">
        <f t="shared" si="24"/>
        <v>0</v>
      </c>
      <c r="Q421">
        <f t="shared" si="25"/>
        <v>0</v>
      </c>
      <c r="R421">
        <f t="shared" si="26"/>
        <v>0</v>
      </c>
      <c r="S421" t="b">
        <f t="shared" si="27"/>
        <v>0</v>
      </c>
    </row>
    <row r="422" spans="1:19" x14ac:dyDescent="0.2">
      <c r="A422" s="54">
        <v>113455</v>
      </c>
      <c r="B422" s="54" t="s">
        <v>647</v>
      </c>
      <c r="C422" s="55">
        <v>42</v>
      </c>
      <c r="D422" s="55">
        <v>35</v>
      </c>
      <c r="E422" s="55">
        <v>38</v>
      </c>
      <c r="F422" s="55">
        <v>0</v>
      </c>
      <c r="G422" s="55">
        <v>0</v>
      </c>
      <c r="H422" s="55">
        <v>0</v>
      </c>
      <c r="I422" s="55">
        <v>0</v>
      </c>
      <c r="J422" s="55">
        <v>0</v>
      </c>
      <c r="K422" s="55">
        <v>0</v>
      </c>
      <c r="L422" s="55">
        <v>0</v>
      </c>
      <c r="M422" s="54" t="s">
        <v>47</v>
      </c>
      <c r="N422" s="54" t="s">
        <v>47</v>
      </c>
      <c r="O422" s="54" t="s">
        <v>7</v>
      </c>
      <c r="P422" s="54">
        <f t="shared" si="24"/>
        <v>0</v>
      </c>
      <c r="Q422">
        <f t="shared" si="25"/>
        <v>0</v>
      </c>
      <c r="R422">
        <f t="shared" si="26"/>
        <v>0</v>
      </c>
      <c r="S422" t="b">
        <f t="shared" si="27"/>
        <v>0</v>
      </c>
    </row>
    <row r="423" spans="1:19" x14ac:dyDescent="0.2">
      <c r="A423" s="54">
        <v>113500</v>
      </c>
      <c r="B423" s="54" t="s">
        <v>859</v>
      </c>
      <c r="C423" s="55">
        <v>9</v>
      </c>
      <c r="D423" s="55">
        <v>10</v>
      </c>
      <c r="E423" s="55">
        <v>2</v>
      </c>
      <c r="F423" s="55">
        <v>0</v>
      </c>
      <c r="G423" s="55">
        <v>0</v>
      </c>
      <c r="H423" s="55">
        <v>0</v>
      </c>
      <c r="I423" s="55">
        <v>0</v>
      </c>
      <c r="J423" s="55">
        <v>0</v>
      </c>
      <c r="K423" s="55">
        <v>0</v>
      </c>
      <c r="L423" s="55">
        <v>0</v>
      </c>
      <c r="M423" s="54" t="s">
        <v>30</v>
      </c>
      <c r="N423" s="54" t="s">
        <v>1401</v>
      </c>
      <c r="O423" s="54" t="s">
        <v>7</v>
      </c>
      <c r="P423" s="54">
        <f t="shared" si="24"/>
        <v>0</v>
      </c>
      <c r="Q423">
        <f t="shared" si="25"/>
        <v>0</v>
      </c>
      <c r="R423">
        <f t="shared" si="26"/>
        <v>0</v>
      </c>
      <c r="S423" t="b">
        <f t="shared" si="27"/>
        <v>0</v>
      </c>
    </row>
    <row r="424" spans="1:19" x14ac:dyDescent="0.2">
      <c r="A424" s="54">
        <v>113502</v>
      </c>
      <c r="B424" s="54" t="s">
        <v>525</v>
      </c>
      <c r="C424" s="55">
        <v>145</v>
      </c>
      <c r="D424" s="55">
        <v>128</v>
      </c>
      <c r="E424" s="55">
        <v>10</v>
      </c>
      <c r="F424" s="55">
        <v>6</v>
      </c>
      <c r="G424" s="55">
        <v>0</v>
      </c>
      <c r="H424" s="55">
        <v>0</v>
      </c>
      <c r="I424" s="55">
        <v>0.05</v>
      </c>
      <c r="J424" s="55">
        <v>0</v>
      </c>
      <c r="K424" s="55">
        <v>0</v>
      </c>
      <c r="L424" s="55">
        <v>0</v>
      </c>
      <c r="M424" s="54" t="s">
        <v>43</v>
      </c>
      <c r="N424" s="54" t="s">
        <v>1400</v>
      </c>
      <c r="O424" s="54" t="s">
        <v>6</v>
      </c>
      <c r="P424" s="54">
        <f t="shared" si="24"/>
        <v>0</v>
      </c>
      <c r="Q424">
        <f t="shared" si="25"/>
        <v>0</v>
      </c>
      <c r="R424">
        <f t="shared" si="26"/>
        <v>0</v>
      </c>
      <c r="S424" t="b">
        <f t="shared" si="27"/>
        <v>0</v>
      </c>
    </row>
    <row r="425" spans="1:19" x14ac:dyDescent="0.2">
      <c r="A425" s="54">
        <v>113552</v>
      </c>
      <c r="B425" s="54" t="s">
        <v>211</v>
      </c>
      <c r="C425" s="55">
        <v>50</v>
      </c>
      <c r="D425" s="55">
        <v>45</v>
      </c>
      <c r="E425" s="55">
        <v>9</v>
      </c>
      <c r="F425" s="55">
        <v>294</v>
      </c>
      <c r="G425" s="55">
        <v>293</v>
      </c>
      <c r="H425" s="55">
        <v>233</v>
      </c>
      <c r="I425" s="55">
        <v>6.53</v>
      </c>
      <c r="J425" s="55">
        <v>6.51</v>
      </c>
      <c r="K425" s="55">
        <v>5.18</v>
      </c>
      <c r="L425" s="55">
        <v>79</v>
      </c>
      <c r="M425" s="54" t="s">
        <v>43</v>
      </c>
      <c r="N425" s="54" t="s">
        <v>1400</v>
      </c>
      <c r="O425" s="54" t="s">
        <v>7</v>
      </c>
      <c r="P425" s="54">
        <f t="shared" si="24"/>
        <v>50</v>
      </c>
      <c r="Q425">
        <f t="shared" si="25"/>
        <v>50</v>
      </c>
      <c r="R425">
        <f t="shared" si="26"/>
        <v>50</v>
      </c>
      <c r="S425" t="b">
        <f t="shared" si="27"/>
        <v>0</v>
      </c>
    </row>
    <row r="426" spans="1:19" x14ac:dyDescent="0.2">
      <c r="A426" s="54">
        <v>113553</v>
      </c>
      <c r="B426" s="54" t="s">
        <v>1023</v>
      </c>
      <c r="C426" s="55">
        <v>22</v>
      </c>
      <c r="D426" s="55">
        <v>14</v>
      </c>
      <c r="E426" s="55">
        <v>1</v>
      </c>
      <c r="F426" s="55">
        <v>32</v>
      </c>
      <c r="G426" s="55">
        <v>32</v>
      </c>
      <c r="H426" s="55">
        <v>32</v>
      </c>
      <c r="I426" s="55">
        <v>2.29</v>
      </c>
      <c r="J426" s="55">
        <v>2.29</v>
      </c>
      <c r="K426" s="55">
        <v>2.29</v>
      </c>
      <c r="L426" s="55">
        <v>61</v>
      </c>
      <c r="M426" s="54" t="s">
        <v>30</v>
      </c>
      <c r="N426" s="54" t="s">
        <v>1401</v>
      </c>
      <c r="O426" s="54" t="s">
        <v>7</v>
      </c>
      <c r="P426" s="54">
        <f t="shared" si="24"/>
        <v>22</v>
      </c>
      <c r="Q426">
        <f t="shared" si="25"/>
        <v>22</v>
      </c>
      <c r="R426">
        <f t="shared" si="26"/>
        <v>22</v>
      </c>
      <c r="S426" t="b">
        <f t="shared" si="27"/>
        <v>0</v>
      </c>
    </row>
    <row r="427" spans="1:19" x14ac:dyDescent="0.2">
      <c r="A427" s="54">
        <v>113592</v>
      </c>
      <c r="B427" s="54" t="s">
        <v>225</v>
      </c>
      <c r="C427" s="55">
        <v>22</v>
      </c>
      <c r="D427" s="55">
        <v>320</v>
      </c>
      <c r="E427" s="55">
        <v>11</v>
      </c>
      <c r="F427" s="55">
        <v>419</v>
      </c>
      <c r="G427" s="55">
        <v>372</v>
      </c>
      <c r="H427" s="55">
        <v>309</v>
      </c>
      <c r="I427" s="55">
        <v>1.31</v>
      </c>
      <c r="J427" s="55">
        <v>1.1599999999999999</v>
      </c>
      <c r="K427" s="55">
        <v>0.97</v>
      </c>
      <c r="L427" s="55">
        <v>120</v>
      </c>
      <c r="M427" s="54" t="s">
        <v>43</v>
      </c>
      <c r="N427" s="54" t="s">
        <v>1400</v>
      </c>
      <c r="O427" s="54" t="s">
        <v>6</v>
      </c>
      <c r="P427" s="54">
        <f t="shared" si="24"/>
        <v>22</v>
      </c>
      <c r="Q427">
        <f t="shared" si="25"/>
        <v>0</v>
      </c>
      <c r="R427">
        <f t="shared" si="26"/>
        <v>22</v>
      </c>
      <c r="S427" t="b">
        <f t="shared" si="27"/>
        <v>0</v>
      </c>
    </row>
    <row r="428" spans="1:19" x14ac:dyDescent="0.2">
      <c r="A428" s="54">
        <v>113599</v>
      </c>
      <c r="B428" s="54" t="s">
        <v>76</v>
      </c>
      <c r="C428" s="55">
        <v>655</v>
      </c>
      <c r="D428" s="55">
        <v>650</v>
      </c>
      <c r="E428" s="55">
        <v>22</v>
      </c>
      <c r="F428" s="55">
        <v>2551</v>
      </c>
      <c r="G428" s="55">
        <v>1474</v>
      </c>
      <c r="H428" s="55">
        <v>749</v>
      </c>
      <c r="I428" s="55">
        <v>3.92</v>
      </c>
      <c r="J428" s="55">
        <v>2.27</v>
      </c>
      <c r="K428" s="55">
        <v>1.1499999999999999</v>
      </c>
      <c r="L428" s="55">
        <v>48</v>
      </c>
      <c r="M428" s="54" t="s">
        <v>45</v>
      </c>
      <c r="N428" s="54" t="s">
        <v>47</v>
      </c>
      <c r="O428" s="54" t="s">
        <v>5</v>
      </c>
      <c r="P428" s="54">
        <f t="shared" si="24"/>
        <v>655</v>
      </c>
      <c r="Q428">
        <f t="shared" si="25"/>
        <v>655</v>
      </c>
      <c r="R428">
        <f t="shared" si="26"/>
        <v>655</v>
      </c>
      <c r="S428" t="b">
        <f t="shared" si="27"/>
        <v>0</v>
      </c>
    </row>
    <row r="429" spans="1:19" x14ac:dyDescent="0.2">
      <c r="A429" s="54">
        <v>114037</v>
      </c>
      <c r="B429" s="54" t="s">
        <v>1339</v>
      </c>
      <c r="C429" s="55">
        <v>0</v>
      </c>
      <c r="D429" s="55">
        <v>38</v>
      </c>
      <c r="E429" s="55">
        <v>0</v>
      </c>
      <c r="F429" s="55">
        <v>0</v>
      </c>
      <c r="G429" s="55">
        <v>0</v>
      </c>
      <c r="H429" s="55">
        <v>0</v>
      </c>
      <c r="I429" s="55">
        <v>0</v>
      </c>
      <c r="J429" s="55">
        <v>0</v>
      </c>
      <c r="K429" s="55">
        <v>0</v>
      </c>
      <c r="L429" s="55">
        <v>0</v>
      </c>
      <c r="M429" s="54" t="s">
        <v>30</v>
      </c>
      <c r="N429" s="54" t="s">
        <v>1401</v>
      </c>
      <c r="O429" s="54" t="s">
        <v>7</v>
      </c>
      <c r="P429" s="54">
        <f t="shared" si="24"/>
        <v>0</v>
      </c>
      <c r="Q429">
        <f t="shared" si="25"/>
        <v>0</v>
      </c>
      <c r="R429">
        <f t="shared" si="26"/>
        <v>0</v>
      </c>
      <c r="S429" t="b">
        <f t="shared" si="27"/>
        <v>0</v>
      </c>
    </row>
    <row r="430" spans="1:19" x14ac:dyDescent="0.2">
      <c r="A430" s="54">
        <v>114071</v>
      </c>
      <c r="B430" s="54" t="s">
        <v>729</v>
      </c>
      <c r="C430" s="55">
        <v>2</v>
      </c>
      <c r="D430" s="55">
        <v>17</v>
      </c>
      <c r="E430" s="55">
        <v>3</v>
      </c>
      <c r="F430" s="55">
        <v>42</v>
      </c>
      <c r="G430" s="55">
        <v>42</v>
      </c>
      <c r="H430" s="55">
        <v>42</v>
      </c>
      <c r="I430" s="55">
        <v>2.4700000000000002</v>
      </c>
      <c r="J430" s="55">
        <v>2.4700000000000002</v>
      </c>
      <c r="K430" s="55">
        <v>2.4700000000000002</v>
      </c>
      <c r="L430" s="55">
        <v>1</v>
      </c>
      <c r="M430" s="54" t="s">
        <v>30</v>
      </c>
      <c r="N430" s="54" t="s">
        <v>1401</v>
      </c>
      <c r="O430" s="54" t="s">
        <v>7</v>
      </c>
      <c r="P430" s="54">
        <f t="shared" si="24"/>
        <v>2</v>
      </c>
      <c r="Q430">
        <f t="shared" si="25"/>
        <v>2</v>
      </c>
      <c r="R430">
        <f t="shared" si="26"/>
        <v>2</v>
      </c>
      <c r="S430" t="b">
        <f t="shared" si="27"/>
        <v>0</v>
      </c>
    </row>
    <row r="431" spans="1:19" x14ac:dyDescent="0.2">
      <c r="A431" s="54">
        <v>114073</v>
      </c>
      <c r="B431" s="54" t="s">
        <v>73</v>
      </c>
      <c r="C431" s="55">
        <v>1328</v>
      </c>
      <c r="D431" s="55">
        <v>2750</v>
      </c>
      <c r="E431" s="55">
        <v>12</v>
      </c>
      <c r="F431" s="55">
        <v>4255</v>
      </c>
      <c r="G431" s="55">
        <v>3335</v>
      </c>
      <c r="H431" s="55">
        <v>2387</v>
      </c>
      <c r="I431" s="55">
        <v>1.55</v>
      </c>
      <c r="J431" s="55">
        <v>1.21</v>
      </c>
      <c r="K431" s="55">
        <v>0.87</v>
      </c>
      <c r="L431" s="55">
        <v>174</v>
      </c>
      <c r="M431" s="54" t="s">
        <v>43</v>
      </c>
      <c r="N431" s="54" t="s">
        <v>1400</v>
      </c>
      <c r="O431" s="54" t="s">
        <v>5</v>
      </c>
      <c r="P431" s="54">
        <f t="shared" si="24"/>
        <v>1328</v>
      </c>
      <c r="Q431">
        <f t="shared" si="25"/>
        <v>1328</v>
      </c>
      <c r="R431">
        <f t="shared" si="26"/>
        <v>1328</v>
      </c>
      <c r="S431" t="b">
        <f t="shared" si="27"/>
        <v>0</v>
      </c>
    </row>
    <row r="432" spans="1:19" x14ac:dyDescent="0.2">
      <c r="A432" s="54">
        <v>114136</v>
      </c>
      <c r="B432" s="54" t="s">
        <v>1066</v>
      </c>
      <c r="C432" s="55">
        <v>28</v>
      </c>
      <c r="D432" s="55">
        <v>16</v>
      </c>
      <c r="E432" s="55">
        <v>2</v>
      </c>
      <c r="F432" s="55">
        <v>2</v>
      </c>
      <c r="G432" s="55">
        <v>2</v>
      </c>
      <c r="H432" s="55">
        <v>2</v>
      </c>
      <c r="I432" s="55">
        <v>0.13</v>
      </c>
      <c r="J432" s="55">
        <v>0.13</v>
      </c>
      <c r="K432" s="55">
        <v>0.13</v>
      </c>
      <c r="L432" s="55">
        <v>0</v>
      </c>
      <c r="M432" s="54" t="s">
        <v>30</v>
      </c>
      <c r="N432" s="54" t="s">
        <v>1401</v>
      </c>
      <c r="O432" s="54" t="s">
        <v>7</v>
      </c>
      <c r="P432" s="54">
        <f t="shared" si="24"/>
        <v>0</v>
      </c>
      <c r="Q432">
        <f t="shared" si="25"/>
        <v>0</v>
      </c>
      <c r="R432">
        <f t="shared" si="26"/>
        <v>0</v>
      </c>
      <c r="S432" t="b">
        <f t="shared" si="27"/>
        <v>0</v>
      </c>
    </row>
    <row r="433" spans="1:19" x14ac:dyDescent="0.2">
      <c r="A433" s="54">
        <v>114232</v>
      </c>
      <c r="B433" s="54" t="s">
        <v>550</v>
      </c>
      <c r="C433" s="55">
        <v>57</v>
      </c>
      <c r="D433" s="55">
        <v>12</v>
      </c>
      <c r="E433" s="55">
        <v>6</v>
      </c>
      <c r="F433" s="55">
        <v>12</v>
      </c>
      <c r="G433" s="55">
        <v>12</v>
      </c>
      <c r="H433" s="55">
        <v>12</v>
      </c>
      <c r="I433" s="55">
        <v>1</v>
      </c>
      <c r="J433" s="55">
        <v>1</v>
      </c>
      <c r="K433" s="55">
        <v>1</v>
      </c>
      <c r="L433" s="55">
        <v>0</v>
      </c>
      <c r="M433" s="54" t="s">
        <v>43</v>
      </c>
      <c r="N433" s="54" t="s">
        <v>1400</v>
      </c>
      <c r="O433" s="54" t="s">
        <v>7</v>
      </c>
      <c r="P433" s="54">
        <f t="shared" si="24"/>
        <v>57</v>
      </c>
      <c r="Q433">
        <f t="shared" si="25"/>
        <v>0</v>
      </c>
      <c r="R433">
        <f t="shared" si="26"/>
        <v>57</v>
      </c>
      <c r="S433" t="b">
        <f t="shared" si="27"/>
        <v>0</v>
      </c>
    </row>
    <row r="434" spans="1:19" x14ac:dyDescent="0.2">
      <c r="A434" s="54">
        <v>114245</v>
      </c>
      <c r="B434" s="54" t="s">
        <v>972</v>
      </c>
      <c r="C434" s="55">
        <v>16</v>
      </c>
      <c r="D434" s="55">
        <v>12</v>
      </c>
      <c r="E434" s="55">
        <v>2</v>
      </c>
      <c r="F434" s="55">
        <v>6</v>
      </c>
      <c r="G434" s="55">
        <v>6</v>
      </c>
      <c r="H434" s="55">
        <v>6</v>
      </c>
      <c r="I434" s="55">
        <v>0.5</v>
      </c>
      <c r="J434" s="55">
        <v>0.5</v>
      </c>
      <c r="K434" s="55">
        <v>0.5</v>
      </c>
      <c r="L434" s="55">
        <v>0</v>
      </c>
      <c r="M434" s="54" t="s">
        <v>30</v>
      </c>
      <c r="N434" s="54" t="s">
        <v>1401</v>
      </c>
      <c r="O434" s="54" t="s">
        <v>7</v>
      </c>
      <c r="P434" s="54">
        <f t="shared" si="24"/>
        <v>0</v>
      </c>
      <c r="Q434">
        <f t="shared" si="25"/>
        <v>0</v>
      </c>
      <c r="R434">
        <f t="shared" si="26"/>
        <v>0</v>
      </c>
      <c r="S434" t="b">
        <f t="shared" si="27"/>
        <v>0</v>
      </c>
    </row>
    <row r="435" spans="1:19" x14ac:dyDescent="0.2">
      <c r="A435" s="54">
        <v>114248</v>
      </c>
      <c r="B435" s="54" t="s">
        <v>1200</v>
      </c>
      <c r="C435" s="55">
        <v>85</v>
      </c>
      <c r="D435" s="55">
        <v>90</v>
      </c>
      <c r="E435" s="55">
        <v>3</v>
      </c>
      <c r="F435" s="55">
        <v>15</v>
      </c>
      <c r="G435" s="55">
        <v>15</v>
      </c>
      <c r="H435" s="55">
        <v>15</v>
      </c>
      <c r="I435" s="55">
        <v>0.17</v>
      </c>
      <c r="J435" s="55">
        <v>0.17</v>
      </c>
      <c r="K435" s="55">
        <v>0.17</v>
      </c>
      <c r="L435" s="55">
        <v>82</v>
      </c>
      <c r="M435" s="54" t="s">
        <v>30</v>
      </c>
      <c r="N435" s="54" t="s">
        <v>1401</v>
      </c>
      <c r="O435" s="54" t="s">
        <v>7</v>
      </c>
      <c r="P435" s="54">
        <f t="shared" si="24"/>
        <v>0</v>
      </c>
      <c r="Q435">
        <f t="shared" si="25"/>
        <v>0</v>
      </c>
      <c r="R435">
        <f t="shared" si="26"/>
        <v>0</v>
      </c>
      <c r="S435" t="b">
        <f t="shared" si="27"/>
        <v>0</v>
      </c>
    </row>
    <row r="436" spans="1:19" x14ac:dyDescent="0.2">
      <c r="A436" s="54">
        <v>114264</v>
      </c>
      <c r="B436" s="54" t="s">
        <v>274</v>
      </c>
      <c r="C436" s="55">
        <v>3</v>
      </c>
      <c r="D436" s="55">
        <v>90</v>
      </c>
      <c r="E436" s="55">
        <v>11</v>
      </c>
      <c r="F436" s="55">
        <v>149</v>
      </c>
      <c r="G436" s="55">
        <v>34</v>
      </c>
      <c r="H436" s="55">
        <v>4</v>
      </c>
      <c r="I436" s="55">
        <v>1.66</v>
      </c>
      <c r="J436" s="55">
        <v>0.38</v>
      </c>
      <c r="K436" s="55">
        <v>0.04</v>
      </c>
      <c r="L436" s="55">
        <v>10</v>
      </c>
      <c r="M436" s="54" t="s">
        <v>43</v>
      </c>
      <c r="N436" s="54" t="s">
        <v>1400</v>
      </c>
      <c r="O436" s="54" t="s">
        <v>7</v>
      </c>
      <c r="P436" s="54">
        <f t="shared" si="24"/>
        <v>0</v>
      </c>
      <c r="Q436">
        <f t="shared" si="25"/>
        <v>0</v>
      </c>
      <c r="R436">
        <f t="shared" si="26"/>
        <v>0</v>
      </c>
      <c r="S436" t="b">
        <f t="shared" si="27"/>
        <v>0</v>
      </c>
    </row>
    <row r="437" spans="1:19" x14ac:dyDescent="0.2">
      <c r="A437" s="54">
        <v>114269</v>
      </c>
      <c r="B437" s="54" t="s">
        <v>1080</v>
      </c>
      <c r="C437" s="55">
        <v>30</v>
      </c>
      <c r="D437" s="55">
        <v>30</v>
      </c>
      <c r="E437" s="55">
        <v>2</v>
      </c>
      <c r="F437" s="55">
        <v>3</v>
      </c>
      <c r="G437" s="55">
        <v>3</v>
      </c>
      <c r="H437" s="55">
        <v>3</v>
      </c>
      <c r="I437" s="55">
        <v>0.1</v>
      </c>
      <c r="J437" s="55">
        <v>0.1</v>
      </c>
      <c r="K437" s="55">
        <v>0.1</v>
      </c>
      <c r="L437" s="55">
        <v>0</v>
      </c>
      <c r="M437" s="54" t="s">
        <v>30</v>
      </c>
      <c r="N437" s="54" t="s">
        <v>1401</v>
      </c>
      <c r="O437" s="54" t="s">
        <v>7</v>
      </c>
      <c r="P437" s="54">
        <f t="shared" si="24"/>
        <v>0</v>
      </c>
      <c r="Q437">
        <f t="shared" si="25"/>
        <v>0</v>
      </c>
      <c r="R437">
        <f t="shared" si="26"/>
        <v>0</v>
      </c>
      <c r="S437" t="b">
        <f t="shared" si="27"/>
        <v>0</v>
      </c>
    </row>
    <row r="438" spans="1:19" x14ac:dyDescent="0.2">
      <c r="A438" s="54">
        <v>114398</v>
      </c>
      <c r="B438" s="54" t="s">
        <v>989</v>
      </c>
      <c r="C438" s="55">
        <v>18</v>
      </c>
      <c r="D438" s="55">
        <v>20</v>
      </c>
      <c r="E438" s="55">
        <v>2</v>
      </c>
      <c r="F438" s="55">
        <v>0</v>
      </c>
      <c r="G438" s="55">
        <v>0</v>
      </c>
      <c r="H438" s="55">
        <v>0</v>
      </c>
      <c r="I438" s="55">
        <v>0</v>
      </c>
      <c r="J438" s="55">
        <v>0</v>
      </c>
      <c r="K438" s="55">
        <v>0</v>
      </c>
      <c r="L438" s="55">
        <v>0</v>
      </c>
      <c r="M438" s="54" t="s">
        <v>30</v>
      </c>
      <c r="N438" s="54" t="s">
        <v>1401</v>
      </c>
      <c r="O438" s="54" t="s">
        <v>7</v>
      </c>
      <c r="P438" s="54">
        <f t="shared" si="24"/>
        <v>0</v>
      </c>
      <c r="Q438">
        <f t="shared" si="25"/>
        <v>0</v>
      </c>
      <c r="R438">
        <f t="shared" si="26"/>
        <v>0</v>
      </c>
      <c r="S438" t="b">
        <f t="shared" si="27"/>
        <v>0</v>
      </c>
    </row>
    <row r="439" spans="1:19" x14ac:dyDescent="0.2">
      <c r="A439" s="54">
        <v>114425</v>
      </c>
      <c r="B439" s="54" t="s">
        <v>765</v>
      </c>
      <c r="C439" s="55">
        <v>4</v>
      </c>
      <c r="D439" s="55">
        <v>10</v>
      </c>
      <c r="E439" s="55">
        <v>1</v>
      </c>
      <c r="F439" s="55">
        <v>0</v>
      </c>
      <c r="G439" s="55">
        <v>0</v>
      </c>
      <c r="H439" s="55">
        <v>0</v>
      </c>
      <c r="I439" s="55">
        <v>0</v>
      </c>
      <c r="J439" s="55">
        <v>0</v>
      </c>
      <c r="K439" s="55">
        <v>0</v>
      </c>
      <c r="L439" s="55">
        <v>0</v>
      </c>
      <c r="M439" s="54" t="s">
        <v>30</v>
      </c>
      <c r="N439" s="54" t="s">
        <v>1401</v>
      </c>
      <c r="O439" s="54" t="s">
        <v>7</v>
      </c>
      <c r="P439" s="54">
        <f t="shared" si="24"/>
        <v>0</v>
      </c>
      <c r="Q439">
        <f t="shared" si="25"/>
        <v>0</v>
      </c>
      <c r="R439">
        <f t="shared" si="26"/>
        <v>0</v>
      </c>
      <c r="S439" t="b">
        <f t="shared" si="27"/>
        <v>0</v>
      </c>
    </row>
    <row r="440" spans="1:19" x14ac:dyDescent="0.2">
      <c r="A440" s="54">
        <v>114454</v>
      </c>
      <c r="B440" s="54" t="s">
        <v>1161</v>
      </c>
      <c r="C440" s="55">
        <v>55</v>
      </c>
      <c r="D440" s="55">
        <v>39</v>
      </c>
      <c r="E440" s="55">
        <v>4</v>
      </c>
      <c r="F440" s="55">
        <v>3</v>
      </c>
      <c r="G440" s="55">
        <v>3</v>
      </c>
      <c r="H440" s="55">
        <v>3</v>
      </c>
      <c r="I440" s="55">
        <v>0.08</v>
      </c>
      <c r="J440" s="55">
        <v>0.08</v>
      </c>
      <c r="K440" s="55">
        <v>0.08</v>
      </c>
      <c r="L440" s="55">
        <v>0</v>
      </c>
      <c r="M440" s="54" t="s">
        <v>30</v>
      </c>
      <c r="N440" s="54" t="s">
        <v>1401</v>
      </c>
      <c r="O440" s="54" t="s">
        <v>7</v>
      </c>
      <c r="P440" s="54">
        <f t="shared" si="24"/>
        <v>0</v>
      </c>
      <c r="Q440">
        <f t="shared" si="25"/>
        <v>0</v>
      </c>
      <c r="R440">
        <f t="shared" si="26"/>
        <v>0</v>
      </c>
      <c r="S440" t="b">
        <f t="shared" si="27"/>
        <v>0</v>
      </c>
    </row>
    <row r="441" spans="1:19" x14ac:dyDescent="0.2">
      <c r="A441" s="54">
        <v>114486</v>
      </c>
      <c r="B441" s="54" t="s">
        <v>658</v>
      </c>
      <c r="C441" s="55">
        <v>19</v>
      </c>
      <c r="D441" s="55">
        <v>20</v>
      </c>
      <c r="E441" s="55">
        <v>6</v>
      </c>
      <c r="F441" s="55">
        <v>0</v>
      </c>
      <c r="G441" s="55">
        <v>0</v>
      </c>
      <c r="H441" s="55">
        <v>0</v>
      </c>
      <c r="I441" s="55">
        <v>0</v>
      </c>
      <c r="J441" s="55">
        <v>0</v>
      </c>
      <c r="K441" s="55">
        <v>0</v>
      </c>
      <c r="L441" s="55">
        <v>0</v>
      </c>
      <c r="M441" s="54" t="s">
        <v>43</v>
      </c>
      <c r="N441" s="54" t="s">
        <v>1400</v>
      </c>
      <c r="O441" s="54" t="s">
        <v>7</v>
      </c>
      <c r="P441" s="54">
        <f t="shared" si="24"/>
        <v>0</v>
      </c>
      <c r="Q441">
        <f t="shared" si="25"/>
        <v>0</v>
      </c>
      <c r="R441">
        <f t="shared" si="26"/>
        <v>0</v>
      </c>
      <c r="S441" t="b">
        <f t="shared" si="27"/>
        <v>0</v>
      </c>
    </row>
    <row r="442" spans="1:19" x14ac:dyDescent="0.2">
      <c r="A442" s="54">
        <v>114556</v>
      </c>
      <c r="B442" s="54" t="s">
        <v>505</v>
      </c>
      <c r="C442" s="55">
        <v>414</v>
      </c>
      <c r="D442" s="55">
        <v>450</v>
      </c>
      <c r="E442" s="55">
        <v>49</v>
      </c>
      <c r="F442" s="55">
        <v>18</v>
      </c>
      <c r="G442" s="55">
        <v>16</v>
      </c>
      <c r="H442" s="55">
        <v>0</v>
      </c>
      <c r="I442" s="55">
        <v>0.04</v>
      </c>
      <c r="J442" s="55">
        <v>0.04</v>
      </c>
      <c r="K442" s="55">
        <v>0</v>
      </c>
      <c r="L442" s="55">
        <v>34</v>
      </c>
      <c r="M442" s="54" t="s">
        <v>47</v>
      </c>
      <c r="N442" s="54" t="s">
        <v>47</v>
      </c>
      <c r="O442" s="54" t="s">
        <v>6</v>
      </c>
      <c r="P442" s="54">
        <f t="shared" si="24"/>
        <v>0</v>
      </c>
      <c r="Q442">
        <f t="shared" si="25"/>
        <v>0</v>
      </c>
      <c r="R442">
        <f t="shared" si="26"/>
        <v>0</v>
      </c>
      <c r="S442" t="b">
        <f t="shared" si="27"/>
        <v>0</v>
      </c>
    </row>
    <row r="443" spans="1:19" x14ac:dyDescent="0.2">
      <c r="A443" s="54">
        <v>114564</v>
      </c>
      <c r="B443" s="54" t="s">
        <v>337</v>
      </c>
      <c r="C443" s="55">
        <v>30</v>
      </c>
      <c r="D443" s="55">
        <v>32</v>
      </c>
      <c r="E443" s="55">
        <v>21</v>
      </c>
      <c r="F443" s="55">
        <v>97</v>
      </c>
      <c r="G443" s="55">
        <v>97</v>
      </c>
      <c r="H443" s="55">
        <v>96</v>
      </c>
      <c r="I443" s="55">
        <v>3.03</v>
      </c>
      <c r="J443" s="55">
        <v>3.03</v>
      </c>
      <c r="K443" s="55">
        <v>3</v>
      </c>
      <c r="L443" s="55">
        <v>4</v>
      </c>
      <c r="M443" s="54" t="s">
        <v>45</v>
      </c>
      <c r="N443" s="54" t="s">
        <v>47</v>
      </c>
      <c r="O443" s="54" t="s">
        <v>7</v>
      </c>
      <c r="P443" s="54">
        <f t="shared" si="24"/>
        <v>30</v>
      </c>
      <c r="Q443">
        <f t="shared" si="25"/>
        <v>30</v>
      </c>
      <c r="R443">
        <f t="shared" si="26"/>
        <v>30</v>
      </c>
      <c r="S443" t="b">
        <f t="shared" si="27"/>
        <v>0</v>
      </c>
    </row>
    <row r="444" spans="1:19" x14ac:dyDescent="0.2">
      <c r="A444" s="54">
        <v>114568</v>
      </c>
      <c r="B444" s="54" t="s">
        <v>1229</v>
      </c>
      <c r="C444" s="55">
        <v>118</v>
      </c>
      <c r="D444" s="55">
        <v>100</v>
      </c>
      <c r="E444" s="55">
        <v>1</v>
      </c>
      <c r="F444" s="55">
        <v>17</v>
      </c>
      <c r="G444" s="55">
        <v>17</v>
      </c>
      <c r="H444" s="55">
        <v>17</v>
      </c>
      <c r="I444" s="55">
        <v>0.17</v>
      </c>
      <c r="J444" s="55">
        <v>0.17</v>
      </c>
      <c r="K444" s="55">
        <v>0.17</v>
      </c>
      <c r="L444" s="55">
        <v>18</v>
      </c>
      <c r="M444" s="54" t="s">
        <v>30</v>
      </c>
      <c r="N444" s="54" t="s">
        <v>1401</v>
      </c>
      <c r="O444" s="54" t="s">
        <v>6</v>
      </c>
      <c r="P444" s="54">
        <f t="shared" si="24"/>
        <v>0</v>
      </c>
      <c r="Q444">
        <f t="shared" si="25"/>
        <v>0</v>
      </c>
      <c r="R444">
        <f t="shared" si="26"/>
        <v>0</v>
      </c>
      <c r="S444" t="b">
        <f t="shared" si="27"/>
        <v>0</v>
      </c>
    </row>
    <row r="445" spans="1:19" x14ac:dyDescent="0.2">
      <c r="A445" s="54">
        <v>114578</v>
      </c>
      <c r="B445" s="54" t="s">
        <v>1231</v>
      </c>
      <c r="C445" s="55">
        <v>120</v>
      </c>
      <c r="D445" s="55">
        <v>75</v>
      </c>
      <c r="E445" s="55">
        <v>4</v>
      </c>
      <c r="F445" s="55">
        <v>4</v>
      </c>
      <c r="G445" s="55">
        <v>0</v>
      </c>
      <c r="H445" s="55">
        <v>0</v>
      </c>
      <c r="I445" s="55">
        <v>0.05</v>
      </c>
      <c r="J445" s="55">
        <v>0</v>
      </c>
      <c r="K445" s="55">
        <v>0</v>
      </c>
      <c r="L445" s="55">
        <v>0</v>
      </c>
      <c r="M445" s="54" t="s">
        <v>30</v>
      </c>
      <c r="N445" s="54" t="s">
        <v>1401</v>
      </c>
      <c r="O445" s="54" t="s">
        <v>7</v>
      </c>
      <c r="P445" s="54">
        <f t="shared" si="24"/>
        <v>0</v>
      </c>
      <c r="Q445">
        <f t="shared" si="25"/>
        <v>0</v>
      </c>
      <c r="R445">
        <f t="shared" si="26"/>
        <v>0</v>
      </c>
      <c r="S445" t="b">
        <f t="shared" si="27"/>
        <v>0</v>
      </c>
    </row>
    <row r="446" spans="1:19" x14ac:dyDescent="0.2">
      <c r="A446" s="54">
        <v>114601</v>
      </c>
      <c r="B446" s="54" t="s">
        <v>64</v>
      </c>
      <c r="C446" s="55">
        <v>2194</v>
      </c>
      <c r="D446" s="55">
        <v>1703</v>
      </c>
      <c r="E446" s="55">
        <v>10</v>
      </c>
      <c r="F446" s="55">
        <v>5270</v>
      </c>
      <c r="G446" s="55">
        <v>4598</v>
      </c>
      <c r="H446" s="55">
        <v>1829</v>
      </c>
      <c r="I446" s="55">
        <v>3.09</v>
      </c>
      <c r="J446" s="55">
        <v>2.7</v>
      </c>
      <c r="K446" s="55">
        <v>1.07</v>
      </c>
      <c r="L446" s="55">
        <v>7055</v>
      </c>
      <c r="M446" s="54" t="s">
        <v>43</v>
      </c>
      <c r="N446" s="54" t="s">
        <v>1400</v>
      </c>
      <c r="O446" s="54" t="s">
        <v>5</v>
      </c>
      <c r="P446" s="54">
        <f t="shared" si="24"/>
        <v>2194</v>
      </c>
      <c r="Q446">
        <f t="shared" si="25"/>
        <v>2194</v>
      </c>
      <c r="R446">
        <f t="shared" si="26"/>
        <v>2194</v>
      </c>
      <c r="S446" t="b">
        <f t="shared" si="27"/>
        <v>0</v>
      </c>
    </row>
    <row r="447" spans="1:19" x14ac:dyDescent="0.2">
      <c r="A447" s="54">
        <v>114678</v>
      </c>
      <c r="B447" s="54" t="s">
        <v>748</v>
      </c>
      <c r="C447" s="55">
        <v>3</v>
      </c>
      <c r="D447" s="55">
        <v>35</v>
      </c>
      <c r="E447" s="55">
        <v>2</v>
      </c>
      <c r="F447" s="55">
        <v>56</v>
      </c>
      <c r="G447" s="55">
        <v>56</v>
      </c>
      <c r="H447" s="55">
        <v>56</v>
      </c>
      <c r="I447" s="55">
        <v>1.6</v>
      </c>
      <c r="J447" s="55">
        <v>1.6</v>
      </c>
      <c r="K447" s="55">
        <v>1.6</v>
      </c>
      <c r="L447" s="55">
        <v>42</v>
      </c>
      <c r="M447" s="54" t="s">
        <v>30</v>
      </c>
      <c r="N447" s="54" t="s">
        <v>1401</v>
      </c>
      <c r="O447" s="54" t="s">
        <v>7</v>
      </c>
      <c r="P447" s="54">
        <f t="shared" si="24"/>
        <v>3</v>
      </c>
      <c r="Q447">
        <f t="shared" si="25"/>
        <v>0</v>
      </c>
      <c r="R447">
        <f t="shared" si="26"/>
        <v>3</v>
      </c>
      <c r="S447" t="b">
        <f t="shared" si="27"/>
        <v>0</v>
      </c>
    </row>
    <row r="448" spans="1:19" x14ac:dyDescent="0.2">
      <c r="A448" s="54">
        <v>114759</v>
      </c>
      <c r="B448" s="54" t="s">
        <v>220</v>
      </c>
      <c r="C448" s="55">
        <v>51</v>
      </c>
      <c r="D448" s="55">
        <v>67</v>
      </c>
      <c r="E448" s="55">
        <v>10</v>
      </c>
      <c r="F448" s="55">
        <v>298</v>
      </c>
      <c r="G448" s="55">
        <v>29</v>
      </c>
      <c r="H448" s="55">
        <v>26</v>
      </c>
      <c r="I448" s="55">
        <v>4.45</v>
      </c>
      <c r="J448" s="55">
        <v>0.43</v>
      </c>
      <c r="K448" s="55">
        <v>0.39</v>
      </c>
      <c r="L448" s="55">
        <v>13</v>
      </c>
      <c r="M448" s="54" t="s">
        <v>43</v>
      </c>
      <c r="N448" s="54" t="s">
        <v>1400</v>
      </c>
      <c r="O448" s="54" t="s">
        <v>7</v>
      </c>
      <c r="P448" s="54">
        <f t="shared" si="24"/>
        <v>51</v>
      </c>
      <c r="Q448">
        <f t="shared" si="25"/>
        <v>51</v>
      </c>
      <c r="R448">
        <f t="shared" si="26"/>
        <v>0</v>
      </c>
      <c r="S448" t="b">
        <f t="shared" si="27"/>
        <v>0</v>
      </c>
    </row>
    <row r="449" spans="1:19" x14ac:dyDescent="0.2">
      <c r="A449" s="54">
        <v>114763</v>
      </c>
      <c r="B449" s="54" t="s">
        <v>276</v>
      </c>
      <c r="C449" s="55">
        <v>54</v>
      </c>
      <c r="D449" s="55">
        <v>45</v>
      </c>
      <c r="E449" s="55">
        <v>11</v>
      </c>
      <c r="F449" s="55">
        <v>183</v>
      </c>
      <c r="G449" s="55">
        <v>63</v>
      </c>
      <c r="H449" s="55">
        <v>18</v>
      </c>
      <c r="I449" s="55">
        <v>4.07</v>
      </c>
      <c r="J449" s="55">
        <v>1.4</v>
      </c>
      <c r="K449" s="55">
        <v>0.4</v>
      </c>
      <c r="L449" s="55">
        <v>16</v>
      </c>
      <c r="M449" s="54" t="s">
        <v>43</v>
      </c>
      <c r="N449" s="54" t="s">
        <v>1400</v>
      </c>
      <c r="O449" s="54" t="s">
        <v>7</v>
      </c>
      <c r="P449" s="54">
        <f t="shared" si="24"/>
        <v>54</v>
      </c>
      <c r="Q449">
        <f t="shared" si="25"/>
        <v>54</v>
      </c>
      <c r="R449">
        <f t="shared" si="26"/>
        <v>54</v>
      </c>
      <c r="S449" t="b">
        <f t="shared" si="27"/>
        <v>0</v>
      </c>
    </row>
    <row r="450" spans="1:19" x14ac:dyDescent="0.2">
      <c r="A450" s="54">
        <v>114821</v>
      </c>
      <c r="B450" s="54" t="s">
        <v>920</v>
      </c>
      <c r="C450" s="55">
        <v>13</v>
      </c>
      <c r="D450" s="55">
        <v>14</v>
      </c>
      <c r="E450" s="55">
        <v>1</v>
      </c>
      <c r="F450" s="55">
        <v>31</v>
      </c>
      <c r="G450" s="55">
        <v>15</v>
      </c>
      <c r="H450" s="55">
        <v>15</v>
      </c>
      <c r="I450" s="55">
        <v>2.21</v>
      </c>
      <c r="J450" s="55">
        <v>1.07</v>
      </c>
      <c r="K450" s="55">
        <v>1.07</v>
      </c>
      <c r="L450" s="55">
        <v>0</v>
      </c>
      <c r="M450" s="54" t="s">
        <v>30</v>
      </c>
      <c r="N450" s="54" t="s">
        <v>1401</v>
      </c>
      <c r="O450" s="54" t="s">
        <v>7</v>
      </c>
      <c r="P450" s="54">
        <f t="shared" ref="P450:P513" si="28">IF(I450&gt;=2, C450, IF(J450&gt;=0.75, C450, 0))</f>
        <v>13</v>
      </c>
      <c r="Q450">
        <f t="shared" ref="Q450:Q513" si="29">IF(I450&gt;=2, C450, IF(AND(J450&gt;=0.75, D450&gt;=550), C450, 0))</f>
        <v>13</v>
      </c>
      <c r="R450">
        <f t="shared" ref="R450:R513" si="30">IF(J450&gt;=0.75, C450, 0)</f>
        <v>13</v>
      </c>
      <c r="S450" t="b">
        <f t="shared" si="27"/>
        <v>0</v>
      </c>
    </row>
    <row r="451" spans="1:19" x14ac:dyDescent="0.2">
      <c r="A451" s="54">
        <v>114833</v>
      </c>
      <c r="B451" s="54" t="s">
        <v>244</v>
      </c>
      <c r="C451" s="55">
        <v>50</v>
      </c>
      <c r="D451" s="55">
        <v>34</v>
      </c>
      <c r="E451" s="55">
        <v>9</v>
      </c>
      <c r="F451" s="55">
        <v>215</v>
      </c>
      <c r="G451" s="55">
        <v>204</v>
      </c>
      <c r="H451" s="55">
        <v>0</v>
      </c>
      <c r="I451" s="55">
        <v>6.32</v>
      </c>
      <c r="J451" s="55">
        <v>6</v>
      </c>
      <c r="K451" s="55">
        <v>0</v>
      </c>
      <c r="L451" s="55">
        <v>35</v>
      </c>
      <c r="M451" s="54" t="s">
        <v>43</v>
      </c>
      <c r="N451" s="54" t="s">
        <v>1400</v>
      </c>
      <c r="O451" s="54" t="s">
        <v>7</v>
      </c>
      <c r="P451" s="54">
        <f t="shared" si="28"/>
        <v>50</v>
      </c>
      <c r="Q451">
        <f t="shared" si="29"/>
        <v>50</v>
      </c>
      <c r="R451">
        <f t="shared" si="30"/>
        <v>50</v>
      </c>
      <c r="S451" t="b">
        <f t="shared" ref="S451:S514" si="31">IF(A451=A452,TRUE,FALSE)</f>
        <v>0</v>
      </c>
    </row>
    <row r="452" spans="1:19" x14ac:dyDescent="0.2">
      <c r="A452" s="54">
        <v>114873</v>
      </c>
      <c r="B452" s="54" t="s">
        <v>549</v>
      </c>
      <c r="C452" s="55">
        <v>216</v>
      </c>
      <c r="D452" s="55">
        <v>216</v>
      </c>
      <c r="E452" s="55">
        <v>22</v>
      </c>
      <c r="F452" s="55">
        <v>19</v>
      </c>
      <c r="G452" s="55">
        <v>0</v>
      </c>
      <c r="H452" s="55">
        <v>0</v>
      </c>
      <c r="I452" s="55">
        <v>0.09</v>
      </c>
      <c r="J452" s="55">
        <v>0</v>
      </c>
      <c r="K452" s="55">
        <v>0</v>
      </c>
      <c r="L452" s="55">
        <v>4</v>
      </c>
      <c r="M452" s="54" t="s">
        <v>45</v>
      </c>
      <c r="N452" s="54" t="s">
        <v>47</v>
      </c>
      <c r="O452" s="54" t="s">
        <v>6</v>
      </c>
      <c r="P452" s="54">
        <f t="shared" si="28"/>
        <v>0</v>
      </c>
      <c r="Q452">
        <f t="shared" si="29"/>
        <v>0</v>
      </c>
      <c r="R452">
        <f t="shared" si="30"/>
        <v>0</v>
      </c>
      <c r="S452" t="b">
        <f t="shared" si="31"/>
        <v>0</v>
      </c>
    </row>
    <row r="453" spans="1:19" x14ac:dyDescent="0.2">
      <c r="A453" s="54">
        <v>114913</v>
      </c>
      <c r="B453" s="54" t="s">
        <v>682</v>
      </c>
      <c r="C453" s="55">
        <v>1</v>
      </c>
      <c r="D453" s="55">
        <v>43</v>
      </c>
      <c r="E453" s="55">
        <v>1</v>
      </c>
      <c r="F453" s="55">
        <v>124</v>
      </c>
      <c r="G453" s="55">
        <v>124</v>
      </c>
      <c r="H453" s="55">
        <v>124</v>
      </c>
      <c r="I453" s="55">
        <v>2.88</v>
      </c>
      <c r="J453" s="55">
        <v>2.88</v>
      </c>
      <c r="K453" s="55">
        <v>2.88</v>
      </c>
      <c r="L453" s="55">
        <v>69</v>
      </c>
      <c r="M453" s="54" t="s">
        <v>30</v>
      </c>
      <c r="N453" s="54" t="s">
        <v>1401</v>
      </c>
      <c r="O453" s="54" t="s">
        <v>7</v>
      </c>
      <c r="P453" s="54">
        <f t="shared" si="28"/>
        <v>1</v>
      </c>
      <c r="Q453">
        <f t="shared" si="29"/>
        <v>1</v>
      </c>
      <c r="R453">
        <f t="shared" si="30"/>
        <v>1</v>
      </c>
      <c r="S453" t="b">
        <f t="shared" si="31"/>
        <v>0</v>
      </c>
    </row>
    <row r="454" spans="1:19" x14ac:dyDescent="0.2">
      <c r="A454" s="54">
        <v>114947</v>
      </c>
      <c r="B454" s="54" t="s">
        <v>831</v>
      </c>
      <c r="C454" s="55">
        <v>7</v>
      </c>
      <c r="D454" s="55">
        <v>6</v>
      </c>
      <c r="E454" s="55">
        <v>5</v>
      </c>
      <c r="F454" s="55">
        <v>14</v>
      </c>
      <c r="G454" s="55">
        <v>14</v>
      </c>
      <c r="H454" s="55">
        <v>5</v>
      </c>
      <c r="I454" s="55">
        <v>2.33</v>
      </c>
      <c r="J454" s="55">
        <v>2.33</v>
      </c>
      <c r="K454" s="55">
        <v>0.83</v>
      </c>
      <c r="L454" s="55">
        <v>1</v>
      </c>
      <c r="M454" s="54" t="s">
        <v>30</v>
      </c>
      <c r="N454" s="54" t="s">
        <v>1401</v>
      </c>
      <c r="O454" s="54" t="s">
        <v>7</v>
      </c>
      <c r="P454" s="54">
        <f t="shared" si="28"/>
        <v>7</v>
      </c>
      <c r="Q454">
        <f t="shared" si="29"/>
        <v>7</v>
      </c>
      <c r="R454">
        <f t="shared" si="30"/>
        <v>7</v>
      </c>
      <c r="S454" t="b">
        <f t="shared" si="31"/>
        <v>0</v>
      </c>
    </row>
    <row r="455" spans="1:19" x14ac:dyDescent="0.2">
      <c r="A455" s="54">
        <v>114954</v>
      </c>
      <c r="B455" s="54" t="s">
        <v>1093</v>
      </c>
      <c r="C455" s="55">
        <v>32</v>
      </c>
      <c r="D455" s="55">
        <v>32</v>
      </c>
      <c r="E455" s="55">
        <v>3</v>
      </c>
      <c r="F455" s="55">
        <v>29</v>
      </c>
      <c r="G455" s="55">
        <v>29</v>
      </c>
      <c r="H455" s="55">
        <v>29</v>
      </c>
      <c r="I455" s="55">
        <v>0.91</v>
      </c>
      <c r="J455" s="55">
        <v>0.91</v>
      </c>
      <c r="K455" s="55">
        <v>0.91</v>
      </c>
      <c r="L455" s="55">
        <v>11</v>
      </c>
      <c r="M455" s="54" t="s">
        <v>30</v>
      </c>
      <c r="N455" s="54" t="s">
        <v>1401</v>
      </c>
      <c r="O455" s="54" t="s">
        <v>7</v>
      </c>
      <c r="P455" s="54">
        <f t="shared" si="28"/>
        <v>32</v>
      </c>
      <c r="Q455">
        <f t="shared" si="29"/>
        <v>0</v>
      </c>
      <c r="R455">
        <f t="shared" si="30"/>
        <v>32</v>
      </c>
      <c r="S455" t="b">
        <f t="shared" si="31"/>
        <v>0</v>
      </c>
    </row>
    <row r="456" spans="1:19" x14ac:dyDescent="0.2">
      <c r="A456" s="54">
        <v>114970</v>
      </c>
      <c r="B456" s="54" t="s">
        <v>768</v>
      </c>
      <c r="C456" s="55">
        <v>4</v>
      </c>
      <c r="D456" s="55">
        <v>4</v>
      </c>
      <c r="E456" s="55">
        <v>2</v>
      </c>
      <c r="F456" s="55">
        <v>3</v>
      </c>
      <c r="G456" s="55">
        <v>3</v>
      </c>
      <c r="H456" s="55">
        <v>3</v>
      </c>
      <c r="I456" s="55">
        <v>0.75</v>
      </c>
      <c r="J456" s="55">
        <v>0.75</v>
      </c>
      <c r="K456" s="55">
        <v>0.75</v>
      </c>
      <c r="L456" s="55">
        <v>0</v>
      </c>
      <c r="M456" s="54" t="s">
        <v>30</v>
      </c>
      <c r="N456" s="54" t="s">
        <v>1401</v>
      </c>
      <c r="O456" s="54" t="s">
        <v>7</v>
      </c>
      <c r="P456" s="54">
        <f t="shared" si="28"/>
        <v>4</v>
      </c>
      <c r="Q456">
        <f t="shared" si="29"/>
        <v>0</v>
      </c>
      <c r="R456">
        <f t="shared" si="30"/>
        <v>4</v>
      </c>
      <c r="S456" t="b">
        <f t="shared" si="31"/>
        <v>0</v>
      </c>
    </row>
    <row r="457" spans="1:19" x14ac:dyDescent="0.2">
      <c r="A457" s="54">
        <v>114973</v>
      </c>
      <c r="B457" s="54" t="s">
        <v>744</v>
      </c>
      <c r="C457" s="55">
        <v>3</v>
      </c>
      <c r="D457" s="55">
        <v>5</v>
      </c>
      <c r="E457" s="55">
        <v>1</v>
      </c>
      <c r="F457" s="55">
        <v>0</v>
      </c>
      <c r="G457" s="55">
        <v>0</v>
      </c>
      <c r="H457" s="55">
        <v>0</v>
      </c>
      <c r="I457" s="55">
        <v>0</v>
      </c>
      <c r="J457" s="55">
        <v>0</v>
      </c>
      <c r="K457" s="55">
        <v>0</v>
      </c>
      <c r="L457" s="55">
        <v>0</v>
      </c>
      <c r="M457" s="54" t="s">
        <v>30</v>
      </c>
      <c r="N457" s="54" t="s">
        <v>1401</v>
      </c>
      <c r="O457" s="54" t="s">
        <v>7</v>
      </c>
      <c r="P457" s="54">
        <f t="shared" si="28"/>
        <v>0</v>
      </c>
      <c r="Q457">
        <f t="shared" si="29"/>
        <v>0</v>
      </c>
      <c r="R457">
        <f t="shared" si="30"/>
        <v>0</v>
      </c>
      <c r="S457" t="b">
        <f t="shared" si="31"/>
        <v>0</v>
      </c>
    </row>
    <row r="458" spans="1:19" x14ac:dyDescent="0.2">
      <c r="A458" s="54">
        <v>115080</v>
      </c>
      <c r="B458" s="54" t="s">
        <v>1006</v>
      </c>
      <c r="C458" s="55">
        <v>20</v>
      </c>
      <c r="D458" s="55">
        <v>20</v>
      </c>
      <c r="E458" s="55">
        <v>2</v>
      </c>
      <c r="F458" s="55">
        <v>2</v>
      </c>
      <c r="G458" s="55">
        <v>2</v>
      </c>
      <c r="H458" s="55">
        <v>2</v>
      </c>
      <c r="I458" s="55">
        <v>0.1</v>
      </c>
      <c r="J458" s="55">
        <v>0.1</v>
      </c>
      <c r="K458" s="55">
        <v>0.1</v>
      </c>
      <c r="L458" s="55">
        <v>0</v>
      </c>
      <c r="M458" s="54" t="s">
        <v>30</v>
      </c>
      <c r="N458" s="54" t="s">
        <v>1401</v>
      </c>
      <c r="O458" s="54" t="s">
        <v>7</v>
      </c>
      <c r="P458" s="54">
        <f t="shared" si="28"/>
        <v>0</v>
      </c>
      <c r="Q458">
        <f t="shared" si="29"/>
        <v>0</v>
      </c>
      <c r="R458">
        <f t="shared" si="30"/>
        <v>0</v>
      </c>
      <c r="S458" t="b">
        <f t="shared" si="31"/>
        <v>0</v>
      </c>
    </row>
    <row r="459" spans="1:19" x14ac:dyDescent="0.2">
      <c r="A459" s="54">
        <v>115086</v>
      </c>
      <c r="B459" s="54" t="s">
        <v>1261</v>
      </c>
      <c r="C459" s="55">
        <v>160</v>
      </c>
      <c r="D459" s="55">
        <v>178</v>
      </c>
      <c r="E459" s="55">
        <v>5</v>
      </c>
      <c r="F459" s="55">
        <v>0</v>
      </c>
      <c r="G459" s="55">
        <v>0</v>
      </c>
      <c r="H459" s="55">
        <v>0</v>
      </c>
      <c r="I459" s="55">
        <v>0</v>
      </c>
      <c r="J459" s="55">
        <v>0</v>
      </c>
      <c r="K459" s="55">
        <v>0</v>
      </c>
      <c r="L459" s="55">
        <v>0</v>
      </c>
      <c r="M459" s="54" t="s">
        <v>30</v>
      </c>
      <c r="N459" s="54" t="s">
        <v>1401</v>
      </c>
      <c r="O459" s="54" t="s">
        <v>6</v>
      </c>
      <c r="P459" s="54">
        <f t="shared" si="28"/>
        <v>0</v>
      </c>
      <c r="Q459">
        <f t="shared" si="29"/>
        <v>0</v>
      </c>
      <c r="R459">
        <f t="shared" si="30"/>
        <v>0</v>
      </c>
      <c r="S459" t="b">
        <f t="shared" si="31"/>
        <v>0</v>
      </c>
    </row>
    <row r="460" spans="1:19" x14ac:dyDescent="0.2">
      <c r="A460" s="54">
        <v>115092</v>
      </c>
      <c r="B460" s="54" t="s">
        <v>726</v>
      </c>
      <c r="C460" s="55">
        <v>2</v>
      </c>
      <c r="D460" s="55">
        <v>6</v>
      </c>
      <c r="E460" s="55">
        <v>2</v>
      </c>
      <c r="F460" s="55">
        <v>38</v>
      </c>
      <c r="G460" s="55">
        <v>26</v>
      </c>
      <c r="H460" s="55">
        <v>26</v>
      </c>
      <c r="I460" s="55">
        <v>6.33</v>
      </c>
      <c r="J460" s="55">
        <v>4.33</v>
      </c>
      <c r="K460" s="55">
        <v>4.33</v>
      </c>
      <c r="L460" s="55">
        <v>52</v>
      </c>
      <c r="M460" s="54" t="s">
        <v>30</v>
      </c>
      <c r="N460" s="54" t="s">
        <v>1401</v>
      </c>
      <c r="O460" s="54" t="s">
        <v>7</v>
      </c>
      <c r="P460" s="54">
        <f t="shared" si="28"/>
        <v>2</v>
      </c>
      <c r="Q460">
        <f t="shared" si="29"/>
        <v>2</v>
      </c>
      <c r="R460">
        <f t="shared" si="30"/>
        <v>2</v>
      </c>
      <c r="S460" t="b">
        <f t="shared" si="31"/>
        <v>0</v>
      </c>
    </row>
    <row r="461" spans="1:19" x14ac:dyDescent="0.2">
      <c r="A461" s="54">
        <v>115132</v>
      </c>
      <c r="B461" s="54" t="s">
        <v>539</v>
      </c>
      <c r="C461" s="55">
        <v>39</v>
      </c>
      <c r="D461" s="55">
        <v>69</v>
      </c>
      <c r="E461" s="55">
        <v>47</v>
      </c>
      <c r="F461" s="55">
        <v>10</v>
      </c>
      <c r="G461" s="55">
        <v>0</v>
      </c>
      <c r="H461" s="55">
        <v>0</v>
      </c>
      <c r="I461" s="55">
        <v>0.14000000000000001</v>
      </c>
      <c r="J461" s="55">
        <v>0</v>
      </c>
      <c r="K461" s="55">
        <v>0</v>
      </c>
      <c r="L461" s="55">
        <v>0</v>
      </c>
      <c r="M461" s="54" t="s">
        <v>47</v>
      </c>
      <c r="N461" s="54" t="s">
        <v>47</v>
      </c>
      <c r="O461" s="54" t="s">
        <v>7</v>
      </c>
      <c r="P461" s="54">
        <f t="shared" si="28"/>
        <v>0</v>
      </c>
      <c r="Q461">
        <f t="shared" si="29"/>
        <v>0</v>
      </c>
      <c r="R461">
        <f t="shared" si="30"/>
        <v>0</v>
      </c>
      <c r="S461" t="b">
        <f t="shared" si="31"/>
        <v>0</v>
      </c>
    </row>
    <row r="462" spans="1:19" x14ac:dyDescent="0.2">
      <c r="A462" s="54">
        <v>115150</v>
      </c>
      <c r="B462" s="54" t="s">
        <v>1236</v>
      </c>
      <c r="C462" s="55">
        <v>125</v>
      </c>
      <c r="D462" s="55">
        <v>125</v>
      </c>
      <c r="E462" s="55">
        <v>2</v>
      </c>
      <c r="F462" s="55">
        <v>7</v>
      </c>
      <c r="G462" s="55">
        <v>7</v>
      </c>
      <c r="H462" s="55">
        <v>7</v>
      </c>
      <c r="I462" s="55">
        <v>0.06</v>
      </c>
      <c r="J462" s="55">
        <v>0.06</v>
      </c>
      <c r="K462" s="55">
        <v>0.06</v>
      </c>
      <c r="L462" s="55">
        <v>0</v>
      </c>
      <c r="M462" s="54" t="s">
        <v>30</v>
      </c>
      <c r="N462" s="54" t="s">
        <v>1401</v>
      </c>
      <c r="O462" s="54" t="s">
        <v>6</v>
      </c>
      <c r="P462" s="54">
        <f t="shared" si="28"/>
        <v>0</v>
      </c>
      <c r="Q462">
        <f t="shared" si="29"/>
        <v>0</v>
      </c>
      <c r="R462">
        <f t="shared" si="30"/>
        <v>0</v>
      </c>
      <c r="S462" t="b">
        <f t="shared" si="31"/>
        <v>0</v>
      </c>
    </row>
    <row r="463" spans="1:19" x14ac:dyDescent="0.2">
      <c r="A463" s="54">
        <v>115212</v>
      </c>
      <c r="B463" s="54" t="s">
        <v>932</v>
      </c>
      <c r="C463" s="55">
        <v>14</v>
      </c>
      <c r="D463" s="55">
        <v>14</v>
      </c>
      <c r="E463" s="55">
        <v>1</v>
      </c>
      <c r="F463" s="55">
        <v>96</v>
      </c>
      <c r="G463" s="55">
        <v>56</v>
      </c>
      <c r="H463" s="55">
        <v>56</v>
      </c>
      <c r="I463" s="55">
        <v>6.86</v>
      </c>
      <c r="J463" s="55">
        <v>4</v>
      </c>
      <c r="K463" s="55">
        <v>4</v>
      </c>
      <c r="L463" s="55">
        <v>56</v>
      </c>
      <c r="M463" s="54" t="s">
        <v>30</v>
      </c>
      <c r="N463" s="54" t="s">
        <v>1401</v>
      </c>
      <c r="O463" s="54" t="s">
        <v>7</v>
      </c>
      <c r="P463" s="54">
        <f t="shared" si="28"/>
        <v>14</v>
      </c>
      <c r="Q463">
        <f t="shared" si="29"/>
        <v>14</v>
      </c>
      <c r="R463">
        <f t="shared" si="30"/>
        <v>14</v>
      </c>
      <c r="S463" t="b">
        <f t="shared" si="31"/>
        <v>0</v>
      </c>
    </row>
    <row r="464" spans="1:19" x14ac:dyDescent="0.2">
      <c r="A464" s="54">
        <v>115241</v>
      </c>
      <c r="B464" s="54" t="s">
        <v>738</v>
      </c>
      <c r="C464" s="55">
        <v>2</v>
      </c>
      <c r="D464" s="55">
        <v>40</v>
      </c>
      <c r="E464" s="55">
        <v>0</v>
      </c>
      <c r="F464" s="55">
        <v>0</v>
      </c>
      <c r="G464" s="55">
        <v>0</v>
      </c>
      <c r="H464" s="55">
        <v>0</v>
      </c>
      <c r="I464" s="55">
        <v>0</v>
      </c>
      <c r="J464" s="55">
        <v>0</v>
      </c>
      <c r="K464" s="55">
        <v>0</v>
      </c>
      <c r="L464" s="55">
        <v>1</v>
      </c>
      <c r="M464" s="54" t="s">
        <v>30</v>
      </c>
      <c r="N464" s="54" t="s">
        <v>1401</v>
      </c>
      <c r="O464" s="54" t="s">
        <v>7</v>
      </c>
      <c r="P464" s="54">
        <f t="shared" si="28"/>
        <v>0</v>
      </c>
      <c r="Q464">
        <f t="shared" si="29"/>
        <v>0</v>
      </c>
      <c r="R464">
        <f t="shared" si="30"/>
        <v>0</v>
      </c>
      <c r="S464" t="b">
        <f t="shared" si="31"/>
        <v>0</v>
      </c>
    </row>
    <row r="465" spans="1:19" x14ac:dyDescent="0.2">
      <c r="A465" s="54">
        <v>115267</v>
      </c>
      <c r="B465" s="54" t="s">
        <v>715</v>
      </c>
      <c r="C465" s="55">
        <v>2</v>
      </c>
      <c r="D465" s="55">
        <v>7</v>
      </c>
      <c r="E465" s="55">
        <v>1</v>
      </c>
      <c r="F465" s="55">
        <v>14</v>
      </c>
      <c r="G465" s="55">
        <v>14</v>
      </c>
      <c r="H465" s="55">
        <v>14</v>
      </c>
      <c r="I465" s="55">
        <v>2</v>
      </c>
      <c r="J465" s="55">
        <v>2</v>
      </c>
      <c r="K465" s="55">
        <v>2</v>
      </c>
      <c r="L465" s="55">
        <v>22</v>
      </c>
      <c r="M465" s="54" t="s">
        <v>30</v>
      </c>
      <c r="N465" s="54" t="s">
        <v>1401</v>
      </c>
      <c r="O465" s="54" t="s">
        <v>7</v>
      </c>
      <c r="P465" s="54">
        <f t="shared" si="28"/>
        <v>2</v>
      </c>
      <c r="Q465">
        <f t="shared" si="29"/>
        <v>2</v>
      </c>
      <c r="R465">
        <f t="shared" si="30"/>
        <v>2</v>
      </c>
      <c r="S465" t="b">
        <f t="shared" si="31"/>
        <v>0</v>
      </c>
    </row>
    <row r="466" spans="1:19" x14ac:dyDescent="0.2">
      <c r="A466" s="54">
        <v>115272</v>
      </c>
      <c r="B466" s="54" t="s">
        <v>1222</v>
      </c>
      <c r="C466" s="55">
        <v>109</v>
      </c>
      <c r="D466" s="55">
        <v>102</v>
      </c>
      <c r="E466" s="55">
        <v>1</v>
      </c>
      <c r="F466" s="55">
        <v>0</v>
      </c>
      <c r="G466" s="55">
        <v>0</v>
      </c>
      <c r="H466" s="55">
        <v>0</v>
      </c>
      <c r="I466" s="55">
        <v>0</v>
      </c>
      <c r="J466" s="55">
        <v>0</v>
      </c>
      <c r="K466" s="55">
        <v>0</v>
      </c>
      <c r="L466" s="55">
        <v>0</v>
      </c>
      <c r="M466" s="54" t="s">
        <v>30</v>
      </c>
      <c r="N466" s="54" t="s">
        <v>1401</v>
      </c>
      <c r="O466" s="54" t="s">
        <v>6</v>
      </c>
      <c r="P466" s="54">
        <f t="shared" si="28"/>
        <v>0</v>
      </c>
      <c r="Q466">
        <f t="shared" si="29"/>
        <v>0</v>
      </c>
      <c r="R466">
        <f t="shared" si="30"/>
        <v>0</v>
      </c>
      <c r="S466" t="b">
        <f t="shared" si="31"/>
        <v>0</v>
      </c>
    </row>
    <row r="467" spans="1:19" x14ac:dyDescent="0.2">
      <c r="A467" s="54">
        <v>115279</v>
      </c>
      <c r="B467" s="54" t="s">
        <v>943</v>
      </c>
      <c r="C467" s="55">
        <v>14</v>
      </c>
      <c r="D467" s="55">
        <v>14</v>
      </c>
      <c r="E467" s="55">
        <v>4</v>
      </c>
      <c r="F467" s="55">
        <v>2</v>
      </c>
      <c r="G467" s="55">
        <v>2</v>
      </c>
      <c r="H467" s="55">
        <v>0</v>
      </c>
      <c r="I467" s="55">
        <v>0.14000000000000001</v>
      </c>
      <c r="J467" s="55">
        <v>0.14000000000000001</v>
      </c>
      <c r="K467" s="55">
        <v>0</v>
      </c>
      <c r="L467" s="55">
        <v>0</v>
      </c>
      <c r="M467" s="54" t="s">
        <v>30</v>
      </c>
      <c r="N467" s="54" t="s">
        <v>1401</v>
      </c>
      <c r="O467" s="54" t="s">
        <v>7</v>
      </c>
      <c r="P467" s="54">
        <f t="shared" si="28"/>
        <v>0</v>
      </c>
      <c r="Q467">
        <f t="shared" si="29"/>
        <v>0</v>
      </c>
      <c r="R467">
        <f t="shared" si="30"/>
        <v>0</v>
      </c>
      <c r="S467" t="b">
        <f t="shared" si="31"/>
        <v>0</v>
      </c>
    </row>
    <row r="468" spans="1:19" x14ac:dyDescent="0.2">
      <c r="A468" s="54">
        <v>115314</v>
      </c>
      <c r="B468" s="54" t="s">
        <v>118</v>
      </c>
      <c r="C468" s="55">
        <v>487</v>
      </c>
      <c r="D468" s="55">
        <v>450</v>
      </c>
      <c r="E468" s="55">
        <v>21</v>
      </c>
      <c r="F468" s="55">
        <v>802</v>
      </c>
      <c r="G468" s="55">
        <v>347</v>
      </c>
      <c r="H468" s="55">
        <v>305</v>
      </c>
      <c r="I468" s="55">
        <v>1.78</v>
      </c>
      <c r="J468" s="55">
        <v>0.77</v>
      </c>
      <c r="K468" s="55">
        <v>0.68</v>
      </c>
      <c r="L468" s="55">
        <v>0</v>
      </c>
      <c r="M468" s="54" t="s">
        <v>45</v>
      </c>
      <c r="N468" s="54" t="s">
        <v>47</v>
      </c>
      <c r="O468" s="54" t="s">
        <v>6</v>
      </c>
      <c r="P468" s="54">
        <f t="shared" si="28"/>
        <v>487</v>
      </c>
      <c r="Q468">
        <f t="shared" si="29"/>
        <v>0</v>
      </c>
      <c r="R468">
        <f t="shared" si="30"/>
        <v>487</v>
      </c>
      <c r="S468" t="b">
        <f t="shared" si="31"/>
        <v>0</v>
      </c>
    </row>
    <row r="469" spans="1:19" x14ac:dyDescent="0.2">
      <c r="A469" s="54">
        <v>115373</v>
      </c>
      <c r="B469" s="54" t="s">
        <v>916</v>
      </c>
      <c r="C469" s="55">
        <v>12</v>
      </c>
      <c r="D469" s="55">
        <v>13</v>
      </c>
      <c r="E469" s="55">
        <v>0</v>
      </c>
      <c r="F469" s="55">
        <v>0</v>
      </c>
      <c r="G469" s="55">
        <v>0</v>
      </c>
      <c r="H469" s="55">
        <v>0</v>
      </c>
      <c r="I469" s="55">
        <v>0</v>
      </c>
      <c r="J469" s="55">
        <v>0</v>
      </c>
      <c r="K469" s="55">
        <v>0</v>
      </c>
      <c r="L469" s="55">
        <v>0</v>
      </c>
      <c r="M469" s="54" t="s">
        <v>30</v>
      </c>
      <c r="N469" s="54" t="s">
        <v>1401</v>
      </c>
      <c r="O469" s="54" t="s">
        <v>7</v>
      </c>
      <c r="P469" s="54">
        <f t="shared" si="28"/>
        <v>0</v>
      </c>
      <c r="Q469">
        <f t="shared" si="29"/>
        <v>0</v>
      </c>
      <c r="R469">
        <f t="shared" si="30"/>
        <v>0</v>
      </c>
      <c r="S469" t="b">
        <f t="shared" si="31"/>
        <v>0</v>
      </c>
    </row>
    <row r="470" spans="1:19" x14ac:dyDescent="0.2">
      <c r="A470" s="54">
        <v>115379</v>
      </c>
      <c r="B470" s="54" t="s">
        <v>1007</v>
      </c>
      <c r="C470" s="55">
        <v>20</v>
      </c>
      <c r="D470" s="55">
        <v>20</v>
      </c>
      <c r="E470" s="55">
        <v>2</v>
      </c>
      <c r="F470" s="55">
        <v>0</v>
      </c>
      <c r="G470" s="55">
        <v>0</v>
      </c>
      <c r="H470" s="55">
        <v>0</v>
      </c>
      <c r="I470" s="55">
        <v>0</v>
      </c>
      <c r="J470" s="55">
        <v>0</v>
      </c>
      <c r="K470" s="55">
        <v>0</v>
      </c>
      <c r="L470" s="55">
        <v>0</v>
      </c>
      <c r="M470" s="54" t="s">
        <v>30</v>
      </c>
      <c r="N470" s="54" t="s">
        <v>1401</v>
      </c>
      <c r="O470" s="54" t="s">
        <v>7</v>
      </c>
      <c r="P470" s="54">
        <f t="shared" si="28"/>
        <v>0</v>
      </c>
      <c r="Q470">
        <f t="shared" si="29"/>
        <v>0</v>
      </c>
      <c r="R470">
        <f t="shared" si="30"/>
        <v>0</v>
      </c>
      <c r="S470" t="b">
        <f t="shared" si="31"/>
        <v>0</v>
      </c>
    </row>
    <row r="471" spans="1:19" x14ac:dyDescent="0.2">
      <c r="A471" s="54">
        <v>115403</v>
      </c>
      <c r="B471" s="54" t="s">
        <v>981</v>
      </c>
      <c r="C471" s="55">
        <v>16</v>
      </c>
      <c r="D471" s="55">
        <v>15</v>
      </c>
      <c r="E471" s="55">
        <v>5</v>
      </c>
      <c r="F471" s="55">
        <v>4</v>
      </c>
      <c r="G471" s="55">
        <v>4</v>
      </c>
      <c r="H471" s="55">
        <v>0</v>
      </c>
      <c r="I471" s="55">
        <v>0.27</v>
      </c>
      <c r="J471" s="55">
        <v>0.27</v>
      </c>
      <c r="K471" s="55">
        <v>0</v>
      </c>
      <c r="L471" s="55">
        <v>0</v>
      </c>
      <c r="M471" s="54" t="s">
        <v>30</v>
      </c>
      <c r="N471" s="54" t="s">
        <v>1401</v>
      </c>
      <c r="O471" s="54" t="s">
        <v>7</v>
      </c>
      <c r="P471" s="54">
        <f t="shared" si="28"/>
        <v>0</v>
      </c>
      <c r="Q471">
        <f t="shared" si="29"/>
        <v>0</v>
      </c>
      <c r="R471">
        <f t="shared" si="30"/>
        <v>0</v>
      </c>
      <c r="S471" t="b">
        <f t="shared" si="31"/>
        <v>0</v>
      </c>
    </row>
    <row r="472" spans="1:19" x14ac:dyDescent="0.2">
      <c r="A472" s="54">
        <v>115433</v>
      </c>
      <c r="B472" s="54" t="s">
        <v>733</v>
      </c>
      <c r="C472" s="55">
        <v>2</v>
      </c>
      <c r="D472" s="55">
        <v>20</v>
      </c>
      <c r="E472" s="55">
        <v>4</v>
      </c>
      <c r="F472" s="55">
        <v>9</v>
      </c>
      <c r="G472" s="55">
        <v>9</v>
      </c>
      <c r="H472" s="55">
        <v>9</v>
      </c>
      <c r="I472" s="55">
        <v>0.45</v>
      </c>
      <c r="J472" s="55">
        <v>0.45</v>
      </c>
      <c r="K472" s="55">
        <v>0.45</v>
      </c>
      <c r="L472" s="55">
        <v>8</v>
      </c>
      <c r="M472" s="54" t="s">
        <v>30</v>
      </c>
      <c r="N472" s="54" t="s">
        <v>1401</v>
      </c>
      <c r="O472" s="54" t="s">
        <v>7</v>
      </c>
      <c r="P472" s="54">
        <f t="shared" si="28"/>
        <v>0</v>
      </c>
      <c r="Q472">
        <f t="shared" si="29"/>
        <v>0</v>
      </c>
      <c r="R472">
        <f t="shared" si="30"/>
        <v>0</v>
      </c>
      <c r="S472" t="b">
        <f t="shared" si="31"/>
        <v>0</v>
      </c>
    </row>
    <row r="473" spans="1:19" x14ac:dyDescent="0.2">
      <c r="A473" s="54">
        <v>115480</v>
      </c>
      <c r="B473" s="54" t="s">
        <v>885</v>
      </c>
      <c r="C473" s="55">
        <v>10</v>
      </c>
      <c r="D473" s="55">
        <v>15</v>
      </c>
      <c r="E473" s="55">
        <v>3</v>
      </c>
      <c r="F473" s="55">
        <v>0</v>
      </c>
      <c r="G473" s="55">
        <v>0</v>
      </c>
      <c r="H473" s="55">
        <v>0</v>
      </c>
      <c r="I473" s="55">
        <v>0</v>
      </c>
      <c r="J473" s="55">
        <v>0</v>
      </c>
      <c r="K473" s="55">
        <v>0</v>
      </c>
      <c r="L473" s="55">
        <v>0</v>
      </c>
      <c r="M473" s="54" t="s">
        <v>30</v>
      </c>
      <c r="N473" s="54" t="s">
        <v>1401</v>
      </c>
      <c r="O473" s="54" t="s">
        <v>7</v>
      </c>
      <c r="P473" s="54">
        <f t="shared" si="28"/>
        <v>0</v>
      </c>
      <c r="Q473">
        <f t="shared" si="29"/>
        <v>0</v>
      </c>
      <c r="R473">
        <f t="shared" si="30"/>
        <v>0</v>
      </c>
      <c r="S473" t="b">
        <f t="shared" si="31"/>
        <v>0</v>
      </c>
    </row>
    <row r="474" spans="1:19" x14ac:dyDescent="0.2">
      <c r="A474" s="54">
        <v>115574</v>
      </c>
      <c r="B474" s="54" t="s">
        <v>1051</v>
      </c>
      <c r="C474" s="55">
        <v>25</v>
      </c>
      <c r="D474" s="55">
        <v>15</v>
      </c>
      <c r="E474" s="55">
        <v>0</v>
      </c>
      <c r="F474" s="55">
        <v>0</v>
      </c>
      <c r="G474" s="55">
        <v>0</v>
      </c>
      <c r="H474" s="55">
        <v>0</v>
      </c>
      <c r="I474" s="55">
        <v>0</v>
      </c>
      <c r="J474" s="55">
        <v>0</v>
      </c>
      <c r="K474" s="55">
        <v>0</v>
      </c>
      <c r="L474" s="55">
        <v>0</v>
      </c>
      <c r="M474" s="54" t="s">
        <v>30</v>
      </c>
      <c r="N474" s="54" t="s">
        <v>1401</v>
      </c>
      <c r="O474" s="54" t="s">
        <v>7</v>
      </c>
      <c r="P474" s="54">
        <f t="shared" si="28"/>
        <v>0</v>
      </c>
      <c r="Q474">
        <f t="shared" si="29"/>
        <v>0</v>
      </c>
      <c r="R474">
        <f t="shared" si="30"/>
        <v>0</v>
      </c>
      <c r="S474" t="b">
        <f t="shared" si="31"/>
        <v>0</v>
      </c>
    </row>
    <row r="475" spans="1:19" x14ac:dyDescent="0.2">
      <c r="A475" s="54">
        <v>115592</v>
      </c>
      <c r="B475" s="54" t="s">
        <v>790</v>
      </c>
      <c r="C475" s="55">
        <v>5</v>
      </c>
      <c r="D475" s="55">
        <v>4</v>
      </c>
      <c r="E475" s="55">
        <v>2</v>
      </c>
      <c r="F475" s="55">
        <v>0</v>
      </c>
      <c r="G475" s="55">
        <v>0</v>
      </c>
      <c r="H475" s="55">
        <v>0</v>
      </c>
      <c r="I475" s="55">
        <v>0</v>
      </c>
      <c r="J475" s="55">
        <v>0</v>
      </c>
      <c r="K475" s="55">
        <v>0</v>
      </c>
      <c r="L475" s="55">
        <v>0</v>
      </c>
      <c r="M475" s="54" t="s">
        <v>30</v>
      </c>
      <c r="N475" s="54" t="s">
        <v>1401</v>
      </c>
      <c r="O475" s="54" t="s">
        <v>7</v>
      </c>
      <c r="P475" s="54">
        <f t="shared" si="28"/>
        <v>0</v>
      </c>
      <c r="Q475">
        <f t="shared" si="29"/>
        <v>0</v>
      </c>
      <c r="R475">
        <f t="shared" si="30"/>
        <v>0</v>
      </c>
      <c r="S475" t="b">
        <f t="shared" si="31"/>
        <v>0</v>
      </c>
    </row>
    <row r="476" spans="1:19" x14ac:dyDescent="0.2">
      <c r="A476" s="54">
        <v>115621</v>
      </c>
      <c r="B476" s="54" t="s">
        <v>1170</v>
      </c>
      <c r="C476" s="55">
        <v>61</v>
      </c>
      <c r="D476" s="55">
        <v>60</v>
      </c>
      <c r="E476" s="55">
        <v>2</v>
      </c>
      <c r="F476" s="55">
        <v>7</v>
      </c>
      <c r="G476" s="55">
        <v>7</v>
      </c>
      <c r="H476" s="55">
        <v>7</v>
      </c>
      <c r="I476" s="55">
        <v>0.12</v>
      </c>
      <c r="J476" s="55">
        <v>0.12</v>
      </c>
      <c r="K476" s="55">
        <v>0.12</v>
      </c>
      <c r="L476" s="55">
        <v>23</v>
      </c>
      <c r="M476" s="54" t="s">
        <v>30</v>
      </c>
      <c r="N476" s="54" t="s">
        <v>1401</v>
      </c>
      <c r="O476" s="54" t="s">
        <v>7</v>
      </c>
      <c r="P476" s="54">
        <f t="shared" si="28"/>
        <v>0</v>
      </c>
      <c r="Q476">
        <f t="shared" si="29"/>
        <v>0</v>
      </c>
      <c r="R476">
        <f t="shared" si="30"/>
        <v>0</v>
      </c>
      <c r="S476" t="b">
        <f t="shared" si="31"/>
        <v>0</v>
      </c>
    </row>
    <row r="477" spans="1:19" x14ac:dyDescent="0.2">
      <c r="A477" s="54">
        <v>115661</v>
      </c>
      <c r="B477" s="54" t="s">
        <v>408</v>
      </c>
      <c r="C477" s="55">
        <v>107</v>
      </c>
      <c r="D477" s="55">
        <v>125</v>
      </c>
      <c r="E477" s="55">
        <v>11</v>
      </c>
      <c r="F477" s="55">
        <v>50</v>
      </c>
      <c r="G477" s="55">
        <v>9</v>
      </c>
      <c r="H477" s="55">
        <v>0</v>
      </c>
      <c r="I477" s="55">
        <v>0.4</v>
      </c>
      <c r="J477" s="55">
        <v>7.0000000000000007E-2</v>
      </c>
      <c r="K477" s="55">
        <v>0</v>
      </c>
      <c r="L477" s="55">
        <v>0</v>
      </c>
      <c r="M477" s="54" t="s">
        <v>43</v>
      </c>
      <c r="N477" s="54" t="s">
        <v>1400</v>
      </c>
      <c r="O477" s="54" t="s">
        <v>6</v>
      </c>
      <c r="P477" s="54">
        <f t="shared" si="28"/>
        <v>0</v>
      </c>
      <c r="Q477">
        <f t="shared" si="29"/>
        <v>0</v>
      </c>
      <c r="R477">
        <f t="shared" si="30"/>
        <v>0</v>
      </c>
      <c r="S477" t="b">
        <f t="shared" si="31"/>
        <v>0</v>
      </c>
    </row>
    <row r="478" spans="1:19" x14ac:dyDescent="0.2">
      <c r="A478" s="54">
        <v>115693</v>
      </c>
      <c r="B478" s="54" t="s">
        <v>908</v>
      </c>
      <c r="C478" s="55">
        <v>12</v>
      </c>
      <c r="D478" s="55">
        <v>11</v>
      </c>
      <c r="E478" s="55">
        <v>2</v>
      </c>
      <c r="F478" s="55">
        <v>0</v>
      </c>
      <c r="G478" s="55">
        <v>0</v>
      </c>
      <c r="H478" s="55">
        <v>0</v>
      </c>
      <c r="I478" s="55">
        <v>0</v>
      </c>
      <c r="J478" s="55">
        <v>0</v>
      </c>
      <c r="K478" s="55">
        <v>0</v>
      </c>
      <c r="L478" s="55">
        <v>0</v>
      </c>
      <c r="M478" s="54" t="s">
        <v>30</v>
      </c>
      <c r="N478" s="54" t="s">
        <v>1401</v>
      </c>
      <c r="O478" s="54" t="s">
        <v>7</v>
      </c>
      <c r="P478" s="54">
        <f t="shared" si="28"/>
        <v>0</v>
      </c>
      <c r="Q478">
        <f t="shared" si="29"/>
        <v>0</v>
      </c>
      <c r="R478">
        <f t="shared" si="30"/>
        <v>0</v>
      </c>
      <c r="S478" t="b">
        <f t="shared" si="31"/>
        <v>0</v>
      </c>
    </row>
    <row r="479" spans="1:19" x14ac:dyDescent="0.2">
      <c r="A479" s="54">
        <v>115736</v>
      </c>
      <c r="B479" s="54" t="s">
        <v>728</v>
      </c>
      <c r="C479" s="55">
        <v>2</v>
      </c>
      <c r="D479" s="55">
        <v>4</v>
      </c>
      <c r="E479" s="55">
        <v>2</v>
      </c>
      <c r="F479" s="55">
        <v>21</v>
      </c>
      <c r="G479" s="55">
        <v>14</v>
      </c>
      <c r="H479" s="55">
        <v>14</v>
      </c>
      <c r="I479" s="55">
        <v>5.25</v>
      </c>
      <c r="J479" s="55">
        <v>3.5</v>
      </c>
      <c r="K479" s="55">
        <v>3.5</v>
      </c>
      <c r="L479" s="55">
        <v>0</v>
      </c>
      <c r="M479" s="54" t="s">
        <v>30</v>
      </c>
      <c r="N479" s="54" t="s">
        <v>1401</v>
      </c>
      <c r="O479" s="54" t="s">
        <v>7</v>
      </c>
      <c r="P479" s="54">
        <f t="shared" si="28"/>
        <v>2</v>
      </c>
      <c r="Q479">
        <f t="shared" si="29"/>
        <v>2</v>
      </c>
      <c r="R479">
        <f t="shared" si="30"/>
        <v>2</v>
      </c>
      <c r="S479" t="b">
        <f t="shared" si="31"/>
        <v>0</v>
      </c>
    </row>
    <row r="480" spans="1:19" x14ac:dyDescent="0.2">
      <c r="A480" s="54">
        <v>115752</v>
      </c>
      <c r="B480" s="54" t="s">
        <v>651</v>
      </c>
      <c r="C480" s="55">
        <v>60</v>
      </c>
      <c r="D480" s="55">
        <v>130</v>
      </c>
      <c r="E480" s="55">
        <v>39</v>
      </c>
      <c r="F480" s="55">
        <v>0</v>
      </c>
      <c r="G480" s="55">
        <v>0</v>
      </c>
      <c r="H480" s="55">
        <v>0</v>
      </c>
      <c r="I480" s="55">
        <v>0</v>
      </c>
      <c r="J480" s="55">
        <v>0</v>
      </c>
      <c r="K480" s="55">
        <v>0</v>
      </c>
      <c r="L480" s="55">
        <v>0</v>
      </c>
      <c r="M480" s="54" t="s">
        <v>47</v>
      </c>
      <c r="N480" s="54" t="s">
        <v>47</v>
      </c>
      <c r="O480" s="54" t="s">
        <v>6</v>
      </c>
      <c r="P480" s="54">
        <f t="shared" si="28"/>
        <v>0</v>
      </c>
      <c r="Q480">
        <f t="shared" si="29"/>
        <v>0</v>
      </c>
      <c r="R480">
        <f t="shared" si="30"/>
        <v>0</v>
      </c>
      <c r="S480" t="b">
        <f t="shared" si="31"/>
        <v>0</v>
      </c>
    </row>
    <row r="481" spans="1:19" x14ac:dyDescent="0.2">
      <c r="A481" s="54">
        <v>115798</v>
      </c>
      <c r="B481" s="54" t="s">
        <v>1029</v>
      </c>
      <c r="C481" s="55">
        <v>22</v>
      </c>
      <c r="D481" s="55">
        <v>20</v>
      </c>
      <c r="E481" s="55">
        <v>2</v>
      </c>
      <c r="F481" s="55">
        <v>47</v>
      </c>
      <c r="G481" s="55">
        <v>47</v>
      </c>
      <c r="H481" s="55">
        <v>47</v>
      </c>
      <c r="I481" s="55">
        <v>2.35</v>
      </c>
      <c r="J481" s="55">
        <v>2.35</v>
      </c>
      <c r="K481" s="55">
        <v>2.35</v>
      </c>
      <c r="L481" s="55">
        <v>2</v>
      </c>
      <c r="M481" s="54" t="s">
        <v>30</v>
      </c>
      <c r="N481" s="54" t="s">
        <v>1401</v>
      </c>
      <c r="O481" s="54" t="s">
        <v>7</v>
      </c>
      <c r="P481" s="54">
        <f t="shared" si="28"/>
        <v>22</v>
      </c>
      <c r="Q481">
        <f t="shared" si="29"/>
        <v>22</v>
      </c>
      <c r="R481">
        <f t="shared" si="30"/>
        <v>22</v>
      </c>
      <c r="S481" t="b">
        <f t="shared" si="31"/>
        <v>0</v>
      </c>
    </row>
    <row r="482" spans="1:19" x14ac:dyDescent="0.2">
      <c r="A482" s="54">
        <v>115809</v>
      </c>
      <c r="B482" s="54" t="s">
        <v>616</v>
      </c>
      <c r="C482" s="55">
        <v>0</v>
      </c>
      <c r="D482" s="55">
        <v>15</v>
      </c>
      <c r="E482" s="55">
        <v>21</v>
      </c>
      <c r="F482" s="55">
        <v>3</v>
      </c>
      <c r="G482" s="55">
        <v>0</v>
      </c>
      <c r="H482" s="55">
        <v>0</v>
      </c>
      <c r="I482" s="55">
        <v>0.2</v>
      </c>
      <c r="J482" s="55">
        <v>0</v>
      </c>
      <c r="K482" s="55">
        <v>0</v>
      </c>
      <c r="L482" s="55">
        <v>0</v>
      </c>
      <c r="M482" s="54" t="s">
        <v>45</v>
      </c>
      <c r="N482" s="54" t="s">
        <v>47</v>
      </c>
      <c r="O482" s="54" t="s">
        <v>7</v>
      </c>
      <c r="P482" s="54">
        <f t="shared" si="28"/>
        <v>0</v>
      </c>
      <c r="Q482">
        <f t="shared" si="29"/>
        <v>0</v>
      </c>
      <c r="R482">
        <f t="shared" si="30"/>
        <v>0</v>
      </c>
      <c r="S482" t="b">
        <f t="shared" si="31"/>
        <v>0</v>
      </c>
    </row>
    <row r="483" spans="1:19" x14ac:dyDescent="0.2">
      <c r="A483" s="54">
        <v>115901</v>
      </c>
      <c r="B483" s="54" t="s">
        <v>369</v>
      </c>
      <c r="C483" s="55">
        <v>48</v>
      </c>
      <c r="D483" s="55">
        <v>45</v>
      </c>
      <c r="E483" s="55">
        <v>14</v>
      </c>
      <c r="F483" s="55">
        <v>82</v>
      </c>
      <c r="G483" s="55">
        <v>82</v>
      </c>
      <c r="H483" s="55">
        <v>46</v>
      </c>
      <c r="I483" s="55">
        <v>1.82</v>
      </c>
      <c r="J483" s="55">
        <v>1.82</v>
      </c>
      <c r="K483" s="55">
        <v>1.02</v>
      </c>
      <c r="L483" s="55">
        <v>5</v>
      </c>
      <c r="M483" s="54" t="s">
        <v>45</v>
      </c>
      <c r="N483" s="54" t="s">
        <v>47</v>
      </c>
      <c r="O483" s="54" t="s">
        <v>7</v>
      </c>
      <c r="P483" s="54">
        <f t="shared" si="28"/>
        <v>48</v>
      </c>
      <c r="Q483">
        <f t="shared" si="29"/>
        <v>0</v>
      </c>
      <c r="R483">
        <f t="shared" si="30"/>
        <v>48</v>
      </c>
      <c r="S483" t="b">
        <f t="shared" si="31"/>
        <v>0</v>
      </c>
    </row>
    <row r="484" spans="1:19" x14ac:dyDescent="0.2">
      <c r="A484" s="54">
        <v>115904</v>
      </c>
      <c r="B484" s="54" t="s">
        <v>1050</v>
      </c>
      <c r="C484" s="55">
        <v>25</v>
      </c>
      <c r="D484" s="55">
        <v>10</v>
      </c>
      <c r="E484" s="55">
        <v>5</v>
      </c>
      <c r="F484" s="55">
        <v>3</v>
      </c>
      <c r="G484" s="55">
        <v>3</v>
      </c>
      <c r="H484" s="55">
        <v>3</v>
      </c>
      <c r="I484" s="55">
        <v>0.3</v>
      </c>
      <c r="J484" s="55">
        <v>0.3</v>
      </c>
      <c r="K484" s="55">
        <v>0.3</v>
      </c>
      <c r="L484" s="55">
        <v>0</v>
      </c>
      <c r="M484" s="54" t="s">
        <v>30</v>
      </c>
      <c r="N484" s="54" t="s">
        <v>1401</v>
      </c>
      <c r="O484" s="54" t="s">
        <v>7</v>
      </c>
      <c r="P484" s="54">
        <f t="shared" si="28"/>
        <v>0</v>
      </c>
      <c r="Q484">
        <f t="shared" si="29"/>
        <v>0</v>
      </c>
      <c r="R484">
        <f t="shared" si="30"/>
        <v>0</v>
      </c>
      <c r="S484" t="b">
        <f t="shared" si="31"/>
        <v>0</v>
      </c>
    </row>
    <row r="485" spans="1:19" x14ac:dyDescent="0.2">
      <c r="A485" s="54">
        <v>115913</v>
      </c>
      <c r="B485" s="54" t="s">
        <v>1054</v>
      </c>
      <c r="C485" s="55">
        <v>26</v>
      </c>
      <c r="D485" s="55">
        <v>14</v>
      </c>
      <c r="E485" s="55">
        <v>1</v>
      </c>
      <c r="F485" s="55">
        <v>0</v>
      </c>
      <c r="G485" s="55">
        <v>0</v>
      </c>
      <c r="H485" s="55">
        <v>0</v>
      </c>
      <c r="I485" s="55">
        <v>0</v>
      </c>
      <c r="J485" s="55">
        <v>0</v>
      </c>
      <c r="K485" s="55">
        <v>0</v>
      </c>
      <c r="L485" s="55">
        <v>0</v>
      </c>
      <c r="M485" s="54" t="s">
        <v>30</v>
      </c>
      <c r="N485" s="54" t="s">
        <v>1401</v>
      </c>
      <c r="O485" s="54" t="s">
        <v>7</v>
      </c>
      <c r="P485" s="54">
        <f t="shared" si="28"/>
        <v>0</v>
      </c>
      <c r="Q485">
        <f t="shared" si="29"/>
        <v>0</v>
      </c>
      <c r="R485">
        <f t="shared" si="30"/>
        <v>0</v>
      </c>
      <c r="S485" t="b">
        <f t="shared" si="31"/>
        <v>0</v>
      </c>
    </row>
    <row r="486" spans="1:19" x14ac:dyDescent="0.2">
      <c r="A486" s="54">
        <v>115929</v>
      </c>
      <c r="B486" s="54" t="s">
        <v>105</v>
      </c>
      <c r="C486" s="55">
        <v>187</v>
      </c>
      <c r="D486" s="55">
        <v>205</v>
      </c>
      <c r="E486" s="55">
        <v>8</v>
      </c>
      <c r="F486" s="55">
        <v>260</v>
      </c>
      <c r="G486" s="55">
        <v>154</v>
      </c>
      <c r="H486" s="55">
        <v>18</v>
      </c>
      <c r="I486" s="55">
        <v>1.27</v>
      </c>
      <c r="J486" s="55">
        <v>0.75</v>
      </c>
      <c r="K486" s="55">
        <v>0.09</v>
      </c>
      <c r="L486" s="55">
        <v>270</v>
      </c>
      <c r="M486" s="54" t="s">
        <v>43</v>
      </c>
      <c r="N486" s="54" t="s">
        <v>1400</v>
      </c>
      <c r="O486" s="54" t="s">
        <v>6</v>
      </c>
      <c r="P486" s="54">
        <f t="shared" si="28"/>
        <v>187</v>
      </c>
      <c r="Q486">
        <f t="shared" si="29"/>
        <v>0</v>
      </c>
      <c r="R486">
        <f t="shared" si="30"/>
        <v>187</v>
      </c>
      <c r="S486" t="b">
        <f t="shared" si="31"/>
        <v>0</v>
      </c>
    </row>
    <row r="487" spans="1:19" x14ac:dyDescent="0.2">
      <c r="A487" s="54">
        <v>115965</v>
      </c>
      <c r="B487" s="54" t="s">
        <v>622</v>
      </c>
      <c r="C487" s="55">
        <v>151</v>
      </c>
      <c r="D487" s="55">
        <v>140</v>
      </c>
      <c r="E487" s="55">
        <v>22</v>
      </c>
      <c r="F487" s="55">
        <v>0</v>
      </c>
      <c r="G487" s="55">
        <v>0</v>
      </c>
      <c r="H487" s="55">
        <v>0</v>
      </c>
      <c r="I487" s="55">
        <v>0</v>
      </c>
      <c r="J487" s="55">
        <v>0</v>
      </c>
      <c r="K487" s="55">
        <v>0</v>
      </c>
      <c r="L487" s="55">
        <v>2</v>
      </c>
      <c r="M487" s="54" t="s">
        <v>45</v>
      </c>
      <c r="N487" s="54" t="s">
        <v>47</v>
      </c>
      <c r="O487" s="54" t="s">
        <v>6</v>
      </c>
      <c r="P487" s="54">
        <f t="shared" si="28"/>
        <v>0</v>
      </c>
      <c r="Q487">
        <f t="shared" si="29"/>
        <v>0</v>
      </c>
      <c r="R487">
        <f t="shared" si="30"/>
        <v>0</v>
      </c>
      <c r="S487" t="b">
        <f t="shared" si="31"/>
        <v>0</v>
      </c>
    </row>
    <row r="488" spans="1:19" x14ac:dyDescent="0.2">
      <c r="A488" s="54">
        <v>116046</v>
      </c>
      <c r="B488" s="54" t="s">
        <v>281</v>
      </c>
      <c r="C488" s="55">
        <v>242</v>
      </c>
      <c r="D488" s="55">
        <v>220</v>
      </c>
      <c r="E488" s="55">
        <v>16</v>
      </c>
      <c r="F488" s="55">
        <v>210</v>
      </c>
      <c r="G488" s="55">
        <v>69</v>
      </c>
      <c r="H488" s="55">
        <v>48</v>
      </c>
      <c r="I488" s="55">
        <v>0.95</v>
      </c>
      <c r="J488" s="55">
        <v>0.31</v>
      </c>
      <c r="K488" s="55">
        <v>0.22</v>
      </c>
      <c r="L488" s="55">
        <v>0</v>
      </c>
      <c r="M488" s="54" t="s">
        <v>45</v>
      </c>
      <c r="N488" s="54" t="s">
        <v>47</v>
      </c>
      <c r="O488" s="54" t="s">
        <v>6</v>
      </c>
      <c r="P488" s="54">
        <f t="shared" si="28"/>
        <v>0</v>
      </c>
      <c r="Q488">
        <f t="shared" si="29"/>
        <v>0</v>
      </c>
      <c r="R488">
        <f t="shared" si="30"/>
        <v>0</v>
      </c>
      <c r="S488" t="b">
        <f t="shared" si="31"/>
        <v>0</v>
      </c>
    </row>
    <row r="489" spans="1:19" x14ac:dyDescent="0.2">
      <c r="A489" s="54">
        <v>116059</v>
      </c>
      <c r="B489" s="54" t="s">
        <v>1255</v>
      </c>
      <c r="C489" s="55">
        <v>150</v>
      </c>
      <c r="D489" s="55">
        <v>625</v>
      </c>
      <c r="E489" s="55">
        <v>3</v>
      </c>
      <c r="F489" s="55">
        <v>587</v>
      </c>
      <c r="G489" s="55">
        <v>587</v>
      </c>
      <c r="H489" s="55">
        <v>587</v>
      </c>
      <c r="I489" s="55">
        <v>0.94</v>
      </c>
      <c r="J489" s="55">
        <v>0.94</v>
      </c>
      <c r="K489" s="55">
        <v>0.94</v>
      </c>
      <c r="L489" s="55">
        <v>112</v>
      </c>
      <c r="M489" s="54" t="s">
        <v>30</v>
      </c>
      <c r="N489" s="54" t="s">
        <v>1401</v>
      </c>
      <c r="O489" s="54" t="s">
        <v>5</v>
      </c>
      <c r="P489" s="54">
        <f t="shared" si="28"/>
        <v>150</v>
      </c>
      <c r="Q489">
        <f t="shared" si="29"/>
        <v>150</v>
      </c>
      <c r="R489">
        <f t="shared" si="30"/>
        <v>150</v>
      </c>
      <c r="S489" t="b">
        <f t="shared" si="31"/>
        <v>0</v>
      </c>
    </row>
    <row r="490" spans="1:19" x14ac:dyDescent="0.2">
      <c r="A490" s="54">
        <v>116126</v>
      </c>
      <c r="B490" s="54" t="s">
        <v>974</v>
      </c>
      <c r="C490" s="55">
        <v>16</v>
      </c>
      <c r="D490" s="55">
        <v>17</v>
      </c>
      <c r="E490" s="55">
        <v>2</v>
      </c>
      <c r="F490" s="55">
        <v>1</v>
      </c>
      <c r="G490" s="55">
        <v>1</v>
      </c>
      <c r="H490" s="55">
        <v>1</v>
      </c>
      <c r="I490" s="55">
        <v>0.06</v>
      </c>
      <c r="J490" s="55">
        <v>0.06</v>
      </c>
      <c r="K490" s="55">
        <v>0.06</v>
      </c>
      <c r="L490" s="55">
        <v>0</v>
      </c>
      <c r="M490" s="54" t="s">
        <v>30</v>
      </c>
      <c r="N490" s="54" t="s">
        <v>1401</v>
      </c>
      <c r="O490" s="54" t="s">
        <v>7</v>
      </c>
      <c r="P490" s="54">
        <f t="shared" si="28"/>
        <v>0</v>
      </c>
      <c r="Q490">
        <f t="shared" si="29"/>
        <v>0</v>
      </c>
      <c r="R490">
        <f t="shared" si="30"/>
        <v>0</v>
      </c>
      <c r="S490" t="b">
        <f t="shared" si="31"/>
        <v>0</v>
      </c>
    </row>
    <row r="491" spans="1:19" x14ac:dyDescent="0.2">
      <c r="A491" s="54">
        <v>116147</v>
      </c>
      <c r="B491" s="54" t="s">
        <v>229</v>
      </c>
      <c r="C491" s="55">
        <v>128</v>
      </c>
      <c r="D491" s="55">
        <v>190</v>
      </c>
      <c r="E491" s="55">
        <v>10</v>
      </c>
      <c r="F491" s="55">
        <v>250</v>
      </c>
      <c r="G491" s="55">
        <v>202</v>
      </c>
      <c r="H491" s="55">
        <v>0</v>
      </c>
      <c r="I491" s="55">
        <v>1.32</v>
      </c>
      <c r="J491" s="55">
        <v>1.06</v>
      </c>
      <c r="K491" s="55">
        <v>0</v>
      </c>
      <c r="L491" s="55">
        <v>42</v>
      </c>
      <c r="M491" s="54" t="s">
        <v>43</v>
      </c>
      <c r="N491" s="54" t="s">
        <v>1400</v>
      </c>
      <c r="O491" s="54" t="s">
        <v>6</v>
      </c>
      <c r="P491" s="54">
        <f t="shared" si="28"/>
        <v>128</v>
      </c>
      <c r="Q491">
        <f t="shared" si="29"/>
        <v>0</v>
      </c>
      <c r="R491">
        <f t="shared" si="30"/>
        <v>128</v>
      </c>
      <c r="S491" t="b">
        <f t="shared" si="31"/>
        <v>0</v>
      </c>
    </row>
    <row r="492" spans="1:19" x14ac:dyDescent="0.2">
      <c r="A492" s="54">
        <v>116150</v>
      </c>
      <c r="B492" s="54" t="s">
        <v>1287</v>
      </c>
      <c r="C492" s="55">
        <v>381</v>
      </c>
      <c r="D492" s="55">
        <v>300</v>
      </c>
      <c r="E492" s="55">
        <v>0</v>
      </c>
      <c r="F492" s="55">
        <v>30</v>
      </c>
      <c r="G492" s="55">
        <v>30</v>
      </c>
      <c r="H492" s="55">
        <v>30</v>
      </c>
      <c r="I492" s="55">
        <v>0.1</v>
      </c>
      <c r="J492" s="55">
        <v>0.1</v>
      </c>
      <c r="K492" s="55">
        <v>0.1</v>
      </c>
      <c r="L492" s="55">
        <v>0</v>
      </c>
      <c r="M492" s="54" t="s">
        <v>30</v>
      </c>
      <c r="N492" s="54" t="s">
        <v>1401</v>
      </c>
      <c r="O492" s="54" t="s">
        <v>6</v>
      </c>
      <c r="P492" s="54">
        <f t="shared" si="28"/>
        <v>0</v>
      </c>
      <c r="Q492">
        <f t="shared" si="29"/>
        <v>0</v>
      </c>
      <c r="R492">
        <f t="shared" si="30"/>
        <v>0</v>
      </c>
      <c r="S492" t="b">
        <f t="shared" si="31"/>
        <v>0</v>
      </c>
    </row>
    <row r="493" spans="1:19" x14ac:dyDescent="0.2">
      <c r="A493" s="54">
        <v>116153</v>
      </c>
      <c r="B493" s="54" t="s">
        <v>489</v>
      </c>
      <c r="C493" s="55">
        <v>37</v>
      </c>
      <c r="D493" s="55">
        <v>36</v>
      </c>
      <c r="E493" s="55">
        <v>35</v>
      </c>
      <c r="F493" s="55">
        <v>21</v>
      </c>
      <c r="G493" s="55">
        <v>21</v>
      </c>
      <c r="H493" s="55">
        <v>21</v>
      </c>
      <c r="I493" s="55">
        <v>0.57999999999999996</v>
      </c>
      <c r="J493" s="55">
        <v>0.57999999999999996</v>
      </c>
      <c r="K493" s="55">
        <v>0.57999999999999996</v>
      </c>
      <c r="L493" s="55">
        <v>3</v>
      </c>
      <c r="M493" s="54" t="s">
        <v>47</v>
      </c>
      <c r="N493" s="54" t="s">
        <v>47</v>
      </c>
      <c r="O493" s="54" t="s">
        <v>7</v>
      </c>
      <c r="P493" s="54">
        <f t="shared" si="28"/>
        <v>0</v>
      </c>
      <c r="Q493">
        <f t="shared" si="29"/>
        <v>0</v>
      </c>
      <c r="R493">
        <f t="shared" si="30"/>
        <v>0</v>
      </c>
      <c r="S493" t="b">
        <f t="shared" si="31"/>
        <v>0</v>
      </c>
    </row>
    <row r="494" spans="1:19" x14ac:dyDescent="0.2">
      <c r="A494" s="54">
        <v>116180</v>
      </c>
      <c r="B494" s="54" t="s">
        <v>375</v>
      </c>
      <c r="C494" s="55">
        <v>213</v>
      </c>
      <c r="D494" s="55">
        <v>87</v>
      </c>
      <c r="E494" s="55">
        <v>13</v>
      </c>
      <c r="F494" s="55">
        <v>198</v>
      </c>
      <c r="G494" s="55">
        <v>0</v>
      </c>
      <c r="H494" s="55">
        <v>0</v>
      </c>
      <c r="I494" s="55">
        <v>2.2799999999999998</v>
      </c>
      <c r="J494" s="55">
        <v>0</v>
      </c>
      <c r="K494" s="55">
        <v>0</v>
      </c>
      <c r="L494" s="55">
        <v>0</v>
      </c>
      <c r="M494" s="54" t="s">
        <v>45</v>
      </c>
      <c r="N494" s="54" t="s">
        <v>47</v>
      </c>
      <c r="O494" s="54" t="s">
        <v>7</v>
      </c>
      <c r="P494" s="54">
        <f t="shared" si="28"/>
        <v>213</v>
      </c>
      <c r="Q494">
        <f t="shared" si="29"/>
        <v>213</v>
      </c>
      <c r="R494">
        <f t="shared" si="30"/>
        <v>0</v>
      </c>
      <c r="S494" t="b">
        <f t="shared" si="31"/>
        <v>0</v>
      </c>
    </row>
    <row r="495" spans="1:19" x14ac:dyDescent="0.2">
      <c r="A495" s="54">
        <v>116203</v>
      </c>
      <c r="B495" s="54" t="s">
        <v>359</v>
      </c>
      <c r="C495" s="55">
        <v>22</v>
      </c>
      <c r="D495" s="55">
        <v>27</v>
      </c>
      <c r="E495" s="55">
        <v>13</v>
      </c>
      <c r="F495" s="55">
        <v>75</v>
      </c>
      <c r="G495" s="55">
        <v>24</v>
      </c>
      <c r="H495" s="55">
        <v>7</v>
      </c>
      <c r="I495" s="55">
        <v>2.78</v>
      </c>
      <c r="J495" s="55">
        <v>0.89</v>
      </c>
      <c r="K495" s="55">
        <v>0.26</v>
      </c>
      <c r="L495" s="55">
        <v>67</v>
      </c>
      <c r="M495" s="54" t="s">
        <v>45</v>
      </c>
      <c r="N495" s="54" t="s">
        <v>47</v>
      </c>
      <c r="O495" s="54" t="s">
        <v>7</v>
      </c>
      <c r="P495" s="54">
        <f t="shared" si="28"/>
        <v>22</v>
      </c>
      <c r="Q495">
        <f t="shared" si="29"/>
        <v>22</v>
      </c>
      <c r="R495">
        <f t="shared" si="30"/>
        <v>22</v>
      </c>
      <c r="S495" t="b">
        <f t="shared" si="31"/>
        <v>0</v>
      </c>
    </row>
    <row r="496" spans="1:19" x14ac:dyDescent="0.2">
      <c r="A496" s="54">
        <v>116208</v>
      </c>
      <c r="B496" s="54" t="s">
        <v>307</v>
      </c>
      <c r="C496" s="55">
        <v>3</v>
      </c>
      <c r="D496" s="55">
        <v>30</v>
      </c>
      <c r="E496" s="55">
        <v>7</v>
      </c>
      <c r="F496" s="55">
        <v>115</v>
      </c>
      <c r="G496" s="55">
        <v>115</v>
      </c>
      <c r="H496" s="55">
        <v>86</v>
      </c>
      <c r="I496" s="55">
        <v>3.83</v>
      </c>
      <c r="J496" s="55">
        <v>3.83</v>
      </c>
      <c r="K496" s="55">
        <v>2.87</v>
      </c>
      <c r="L496" s="55">
        <v>26</v>
      </c>
      <c r="M496" s="54" t="s">
        <v>43</v>
      </c>
      <c r="N496" s="54" t="s">
        <v>1400</v>
      </c>
      <c r="O496" s="54" t="s">
        <v>7</v>
      </c>
      <c r="P496" s="54">
        <f t="shared" si="28"/>
        <v>3</v>
      </c>
      <c r="Q496">
        <f t="shared" si="29"/>
        <v>3</v>
      </c>
      <c r="R496">
        <f t="shared" si="30"/>
        <v>3</v>
      </c>
      <c r="S496" t="b">
        <f t="shared" si="31"/>
        <v>0</v>
      </c>
    </row>
    <row r="497" spans="1:19" x14ac:dyDescent="0.2">
      <c r="A497" s="54">
        <v>116337</v>
      </c>
      <c r="B497" s="54" t="s">
        <v>980</v>
      </c>
      <c r="C497" s="55">
        <v>16</v>
      </c>
      <c r="D497" s="55">
        <v>8</v>
      </c>
      <c r="E497" s="55">
        <v>5</v>
      </c>
      <c r="F497" s="55">
        <v>47</v>
      </c>
      <c r="G497" s="55">
        <v>47</v>
      </c>
      <c r="H497" s="55">
        <v>47</v>
      </c>
      <c r="I497" s="55">
        <v>5.88</v>
      </c>
      <c r="J497" s="55">
        <v>5.88</v>
      </c>
      <c r="K497" s="55">
        <v>5.88</v>
      </c>
      <c r="L497" s="55">
        <v>0</v>
      </c>
      <c r="M497" s="54" t="s">
        <v>30</v>
      </c>
      <c r="N497" s="54" t="s">
        <v>1401</v>
      </c>
      <c r="O497" s="54" t="s">
        <v>7</v>
      </c>
      <c r="P497" s="54">
        <f t="shared" si="28"/>
        <v>16</v>
      </c>
      <c r="Q497">
        <f t="shared" si="29"/>
        <v>16</v>
      </c>
      <c r="R497">
        <f t="shared" si="30"/>
        <v>16</v>
      </c>
      <c r="S497" t="b">
        <f t="shared" si="31"/>
        <v>0</v>
      </c>
    </row>
    <row r="498" spans="1:19" x14ac:dyDescent="0.2">
      <c r="A498" s="54">
        <v>116353</v>
      </c>
      <c r="B498" s="54" t="s">
        <v>672</v>
      </c>
      <c r="C498" s="55">
        <v>72</v>
      </c>
      <c r="D498" s="55">
        <v>72</v>
      </c>
      <c r="E498" s="55">
        <v>6</v>
      </c>
      <c r="F498" s="55">
        <v>0</v>
      </c>
      <c r="G498" s="55">
        <v>0</v>
      </c>
      <c r="H498" s="55">
        <v>0</v>
      </c>
      <c r="I498" s="55">
        <v>0</v>
      </c>
      <c r="J498" s="55">
        <v>0</v>
      </c>
      <c r="K498" s="55">
        <v>0</v>
      </c>
      <c r="L498" s="55">
        <v>0</v>
      </c>
      <c r="M498" s="54" t="s">
        <v>43</v>
      </c>
      <c r="N498" s="54" t="s">
        <v>1400</v>
      </c>
      <c r="O498" s="54" t="s">
        <v>7</v>
      </c>
      <c r="P498" s="54">
        <f t="shared" si="28"/>
        <v>0</v>
      </c>
      <c r="Q498">
        <f t="shared" si="29"/>
        <v>0</v>
      </c>
      <c r="R498">
        <f t="shared" si="30"/>
        <v>0</v>
      </c>
      <c r="S498" t="b">
        <f t="shared" si="31"/>
        <v>0</v>
      </c>
    </row>
    <row r="499" spans="1:19" x14ac:dyDescent="0.2">
      <c r="A499" s="54">
        <v>116393</v>
      </c>
      <c r="B499" s="54" t="s">
        <v>1042</v>
      </c>
      <c r="C499" s="55">
        <v>25</v>
      </c>
      <c r="D499" s="55">
        <v>25</v>
      </c>
      <c r="E499" s="55">
        <v>1</v>
      </c>
      <c r="F499" s="55">
        <v>50</v>
      </c>
      <c r="G499" s="55">
        <v>50</v>
      </c>
      <c r="H499" s="55">
        <v>50</v>
      </c>
      <c r="I499" s="55">
        <v>2</v>
      </c>
      <c r="J499" s="55">
        <v>2</v>
      </c>
      <c r="K499" s="55">
        <v>2</v>
      </c>
      <c r="L499" s="55">
        <v>122</v>
      </c>
      <c r="M499" s="54" t="s">
        <v>30</v>
      </c>
      <c r="N499" s="54" t="s">
        <v>1401</v>
      </c>
      <c r="O499" s="54" t="s">
        <v>7</v>
      </c>
      <c r="P499" s="54">
        <f t="shared" si="28"/>
        <v>25</v>
      </c>
      <c r="Q499">
        <f t="shared" si="29"/>
        <v>25</v>
      </c>
      <c r="R499">
        <f t="shared" si="30"/>
        <v>25</v>
      </c>
      <c r="S499" t="b">
        <f t="shared" si="31"/>
        <v>0</v>
      </c>
    </row>
    <row r="500" spans="1:19" x14ac:dyDescent="0.2">
      <c r="A500" s="54">
        <v>116419</v>
      </c>
      <c r="B500" s="54" t="s">
        <v>1216</v>
      </c>
      <c r="C500" s="55">
        <v>101</v>
      </c>
      <c r="D500" s="55">
        <v>111</v>
      </c>
      <c r="E500" s="55">
        <v>4</v>
      </c>
      <c r="F500" s="55">
        <v>23</v>
      </c>
      <c r="G500" s="55">
        <v>23</v>
      </c>
      <c r="H500" s="55">
        <v>23</v>
      </c>
      <c r="I500" s="55">
        <v>0.21</v>
      </c>
      <c r="J500" s="55">
        <v>0.21</v>
      </c>
      <c r="K500" s="55">
        <v>0.21</v>
      </c>
      <c r="L500" s="55">
        <v>19</v>
      </c>
      <c r="M500" s="54" t="s">
        <v>30</v>
      </c>
      <c r="N500" s="54" t="s">
        <v>1401</v>
      </c>
      <c r="O500" s="54" t="s">
        <v>6</v>
      </c>
      <c r="P500" s="54">
        <f t="shared" si="28"/>
        <v>0</v>
      </c>
      <c r="Q500">
        <f t="shared" si="29"/>
        <v>0</v>
      </c>
      <c r="R500">
        <f t="shared" si="30"/>
        <v>0</v>
      </c>
      <c r="S500" t="b">
        <f t="shared" si="31"/>
        <v>0</v>
      </c>
    </row>
    <row r="501" spans="1:19" x14ac:dyDescent="0.2">
      <c r="A501" s="54">
        <v>116660</v>
      </c>
      <c r="B501" s="54" t="s">
        <v>65</v>
      </c>
      <c r="C501" s="55">
        <v>1335</v>
      </c>
      <c r="D501" s="55">
        <v>1300</v>
      </c>
      <c r="E501" s="55">
        <v>10</v>
      </c>
      <c r="F501" s="55">
        <v>3299</v>
      </c>
      <c r="G501" s="55">
        <v>2288</v>
      </c>
      <c r="H501" s="55">
        <v>347</v>
      </c>
      <c r="I501" s="55">
        <v>2.54</v>
      </c>
      <c r="J501" s="55">
        <v>1.76</v>
      </c>
      <c r="K501" s="55">
        <v>0.27</v>
      </c>
      <c r="L501" s="55">
        <v>3361</v>
      </c>
      <c r="M501" s="54" t="s">
        <v>43</v>
      </c>
      <c r="N501" s="54" t="s">
        <v>1400</v>
      </c>
      <c r="O501" s="54" t="s">
        <v>5</v>
      </c>
      <c r="P501" s="54">
        <f t="shared" si="28"/>
        <v>1335</v>
      </c>
      <c r="Q501">
        <f t="shared" si="29"/>
        <v>1335</v>
      </c>
      <c r="R501">
        <f t="shared" si="30"/>
        <v>1335</v>
      </c>
      <c r="S501" t="b">
        <f t="shared" si="31"/>
        <v>0</v>
      </c>
    </row>
    <row r="502" spans="1:19" x14ac:dyDescent="0.2">
      <c r="A502" s="54">
        <v>116783</v>
      </c>
      <c r="B502" s="54" t="s">
        <v>1133</v>
      </c>
      <c r="C502" s="55">
        <v>42</v>
      </c>
      <c r="D502" s="55">
        <v>50</v>
      </c>
      <c r="E502" s="55">
        <v>5</v>
      </c>
      <c r="F502" s="55">
        <v>2</v>
      </c>
      <c r="G502" s="55">
        <v>2</v>
      </c>
      <c r="H502" s="55">
        <v>2</v>
      </c>
      <c r="I502" s="55">
        <v>0.04</v>
      </c>
      <c r="J502" s="55">
        <v>0.04</v>
      </c>
      <c r="K502" s="55">
        <v>0.04</v>
      </c>
      <c r="L502" s="55">
        <v>16</v>
      </c>
      <c r="M502" s="54" t="s">
        <v>30</v>
      </c>
      <c r="N502" s="54" t="s">
        <v>1401</v>
      </c>
      <c r="O502" s="54" t="s">
        <v>7</v>
      </c>
      <c r="P502" s="54">
        <f t="shared" si="28"/>
        <v>0</v>
      </c>
      <c r="Q502">
        <f t="shared" si="29"/>
        <v>0</v>
      </c>
      <c r="R502">
        <f t="shared" si="30"/>
        <v>0</v>
      </c>
      <c r="S502" t="b">
        <f t="shared" si="31"/>
        <v>0</v>
      </c>
    </row>
    <row r="503" spans="1:19" x14ac:dyDescent="0.2">
      <c r="A503" s="54">
        <v>117129</v>
      </c>
      <c r="B503" s="54" t="s">
        <v>1086</v>
      </c>
      <c r="C503" s="55">
        <v>31</v>
      </c>
      <c r="D503" s="55">
        <v>31</v>
      </c>
      <c r="E503" s="55">
        <v>1</v>
      </c>
      <c r="F503" s="55">
        <v>100</v>
      </c>
      <c r="G503" s="55">
        <v>100</v>
      </c>
      <c r="H503" s="55">
        <v>100</v>
      </c>
      <c r="I503" s="55">
        <v>3.23</v>
      </c>
      <c r="J503" s="55">
        <v>3.23</v>
      </c>
      <c r="K503" s="55">
        <v>3.23</v>
      </c>
      <c r="L503" s="55">
        <v>0</v>
      </c>
      <c r="M503" s="54" t="s">
        <v>30</v>
      </c>
      <c r="N503" s="54" t="s">
        <v>1401</v>
      </c>
      <c r="O503" s="54" t="s">
        <v>7</v>
      </c>
      <c r="P503" s="54">
        <f t="shared" si="28"/>
        <v>31</v>
      </c>
      <c r="Q503">
        <f t="shared" si="29"/>
        <v>31</v>
      </c>
      <c r="R503">
        <f t="shared" si="30"/>
        <v>31</v>
      </c>
      <c r="S503" t="b">
        <f t="shared" si="31"/>
        <v>0</v>
      </c>
    </row>
    <row r="504" spans="1:19" x14ac:dyDescent="0.2">
      <c r="A504" s="54">
        <v>117408</v>
      </c>
      <c r="B504" s="54" t="s">
        <v>324</v>
      </c>
      <c r="C504" s="55">
        <v>25</v>
      </c>
      <c r="D504" s="55">
        <v>65</v>
      </c>
      <c r="E504" s="55">
        <v>30</v>
      </c>
      <c r="F504" s="55">
        <v>103</v>
      </c>
      <c r="G504" s="55">
        <v>69</v>
      </c>
      <c r="H504" s="55">
        <v>0</v>
      </c>
      <c r="I504" s="55">
        <v>1.58</v>
      </c>
      <c r="J504" s="55">
        <v>1.06</v>
      </c>
      <c r="K504" s="55">
        <v>0</v>
      </c>
      <c r="L504" s="55">
        <v>10</v>
      </c>
      <c r="M504" s="54" t="s">
        <v>47</v>
      </c>
      <c r="N504" s="54" t="s">
        <v>47</v>
      </c>
      <c r="O504" s="54" t="s">
        <v>7</v>
      </c>
      <c r="P504" s="54">
        <f t="shared" si="28"/>
        <v>25</v>
      </c>
      <c r="Q504">
        <f t="shared" si="29"/>
        <v>0</v>
      </c>
      <c r="R504">
        <f t="shared" si="30"/>
        <v>25</v>
      </c>
      <c r="S504" t="b">
        <f t="shared" si="31"/>
        <v>0</v>
      </c>
    </row>
    <row r="505" spans="1:19" x14ac:dyDescent="0.2">
      <c r="A505" s="54">
        <v>117733</v>
      </c>
      <c r="B505" s="54" t="s">
        <v>161</v>
      </c>
      <c r="C505" s="55">
        <v>90</v>
      </c>
      <c r="D505" s="55">
        <v>90</v>
      </c>
      <c r="E505" s="55">
        <v>12</v>
      </c>
      <c r="F505" s="55">
        <v>373</v>
      </c>
      <c r="G505" s="55">
        <v>205</v>
      </c>
      <c r="H505" s="55">
        <v>205</v>
      </c>
      <c r="I505" s="55">
        <v>4.1399999999999997</v>
      </c>
      <c r="J505" s="55">
        <v>2.2799999999999998</v>
      </c>
      <c r="K505" s="55">
        <v>2.2799999999999998</v>
      </c>
      <c r="L505" s="55">
        <v>0</v>
      </c>
      <c r="M505" s="54" t="s">
        <v>43</v>
      </c>
      <c r="N505" s="54" t="s">
        <v>1400</v>
      </c>
      <c r="O505" s="54" t="s">
        <v>7</v>
      </c>
      <c r="P505" s="54">
        <f t="shared" si="28"/>
        <v>90</v>
      </c>
      <c r="Q505">
        <f t="shared" si="29"/>
        <v>90</v>
      </c>
      <c r="R505">
        <f t="shared" si="30"/>
        <v>90</v>
      </c>
      <c r="S505" t="b">
        <f t="shared" si="31"/>
        <v>0</v>
      </c>
    </row>
    <row r="506" spans="1:19" x14ac:dyDescent="0.2">
      <c r="A506" s="54">
        <v>117857</v>
      </c>
      <c r="B506" s="54" t="s">
        <v>427</v>
      </c>
      <c r="C506" s="55">
        <v>38</v>
      </c>
      <c r="D506" s="55">
        <v>230</v>
      </c>
      <c r="E506" s="55">
        <v>10</v>
      </c>
      <c r="F506" s="55">
        <v>56</v>
      </c>
      <c r="G506" s="55">
        <v>34</v>
      </c>
      <c r="H506" s="55">
        <v>11</v>
      </c>
      <c r="I506" s="55">
        <v>0.24</v>
      </c>
      <c r="J506" s="55">
        <v>0.15</v>
      </c>
      <c r="K506" s="55">
        <v>0.05</v>
      </c>
      <c r="L506" s="55">
        <v>5</v>
      </c>
      <c r="M506" s="54" t="s">
        <v>43</v>
      </c>
      <c r="N506" s="54" t="s">
        <v>1400</v>
      </c>
      <c r="O506" s="54" t="s">
        <v>6</v>
      </c>
      <c r="P506" s="54">
        <f t="shared" si="28"/>
        <v>0</v>
      </c>
      <c r="Q506">
        <f t="shared" si="29"/>
        <v>0</v>
      </c>
      <c r="R506">
        <f t="shared" si="30"/>
        <v>0</v>
      </c>
      <c r="S506" t="b">
        <f t="shared" si="31"/>
        <v>0</v>
      </c>
    </row>
    <row r="507" spans="1:19" x14ac:dyDescent="0.2">
      <c r="A507" s="54">
        <v>118223</v>
      </c>
      <c r="B507" s="54" t="s">
        <v>247</v>
      </c>
      <c r="C507" s="55">
        <v>183</v>
      </c>
      <c r="D507" s="55">
        <v>186</v>
      </c>
      <c r="E507" s="55">
        <v>25</v>
      </c>
      <c r="F507" s="55">
        <v>284</v>
      </c>
      <c r="G507" s="55">
        <v>275</v>
      </c>
      <c r="H507" s="55">
        <v>5</v>
      </c>
      <c r="I507" s="55">
        <v>1.53</v>
      </c>
      <c r="J507" s="55">
        <v>1.48</v>
      </c>
      <c r="K507" s="55">
        <v>0.03</v>
      </c>
      <c r="L507" s="55">
        <v>0</v>
      </c>
      <c r="M507" s="54" t="s">
        <v>47</v>
      </c>
      <c r="N507" s="54" t="s">
        <v>47</v>
      </c>
      <c r="O507" s="54" t="s">
        <v>6</v>
      </c>
      <c r="P507" s="54">
        <f t="shared" si="28"/>
        <v>183</v>
      </c>
      <c r="Q507">
        <f t="shared" si="29"/>
        <v>0</v>
      </c>
      <c r="R507">
        <f t="shared" si="30"/>
        <v>183</v>
      </c>
      <c r="S507" t="b">
        <f t="shared" si="31"/>
        <v>0</v>
      </c>
    </row>
    <row r="508" spans="1:19" x14ac:dyDescent="0.2">
      <c r="A508" s="54">
        <v>118351</v>
      </c>
      <c r="B508" s="54" t="s">
        <v>508</v>
      </c>
      <c r="C508" s="55">
        <v>325</v>
      </c>
      <c r="D508" s="55">
        <v>371</v>
      </c>
      <c r="E508" s="55">
        <v>50</v>
      </c>
      <c r="F508" s="55">
        <v>17</v>
      </c>
      <c r="G508" s="55">
        <v>11</v>
      </c>
      <c r="H508" s="55">
        <v>11</v>
      </c>
      <c r="I508" s="55">
        <v>0.05</v>
      </c>
      <c r="J508" s="55">
        <v>0.03</v>
      </c>
      <c r="K508" s="55">
        <v>0.03</v>
      </c>
      <c r="L508" s="55">
        <v>0</v>
      </c>
      <c r="M508" s="54" t="s">
        <v>47</v>
      </c>
      <c r="N508" s="54" t="s">
        <v>47</v>
      </c>
      <c r="O508" s="54" t="s">
        <v>6</v>
      </c>
      <c r="P508" s="54">
        <f t="shared" si="28"/>
        <v>0</v>
      </c>
      <c r="Q508">
        <f t="shared" si="29"/>
        <v>0</v>
      </c>
      <c r="R508">
        <f t="shared" si="30"/>
        <v>0</v>
      </c>
      <c r="S508" t="b">
        <f t="shared" si="31"/>
        <v>0</v>
      </c>
    </row>
    <row r="509" spans="1:19" x14ac:dyDescent="0.2">
      <c r="A509" s="54">
        <v>118387</v>
      </c>
      <c r="B509" s="54" t="s">
        <v>1027</v>
      </c>
      <c r="C509" s="55">
        <v>22</v>
      </c>
      <c r="D509" s="55">
        <v>20</v>
      </c>
      <c r="E509" s="55">
        <v>2</v>
      </c>
      <c r="F509" s="55">
        <v>34</v>
      </c>
      <c r="G509" s="55">
        <v>34</v>
      </c>
      <c r="H509" s="55">
        <v>34</v>
      </c>
      <c r="I509" s="55">
        <v>1.7</v>
      </c>
      <c r="J509" s="55">
        <v>1.7</v>
      </c>
      <c r="K509" s="55">
        <v>1.7</v>
      </c>
      <c r="L509" s="55">
        <v>0</v>
      </c>
      <c r="M509" s="54" t="s">
        <v>30</v>
      </c>
      <c r="N509" s="54" t="s">
        <v>1401</v>
      </c>
      <c r="O509" s="54" t="s">
        <v>7</v>
      </c>
      <c r="P509" s="54">
        <f t="shared" si="28"/>
        <v>22</v>
      </c>
      <c r="Q509">
        <f t="shared" si="29"/>
        <v>0</v>
      </c>
      <c r="R509">
        <f t="shared" si="30"/>
        <v>22</v>
      </c>
      <c r="S509" t="b">
        <f t="shared" si="31"/>
        <v>0</v>
      </c>
    </row>
    <row r="510" spans="1:19" x14ac:dyDescent="0.2">
      <c r="A510" s="54">
        <v>119244</v>
      </c>
      <c r="B510" s="54" t="s">
        <v>708</v>
      </c>
      <c r="C510" s="55">
        <v>1</v>
      </c>
      <c r="D510" s="55">
        <v>18</v>
      </c>
      <c r="E510" s="55">
        <v>5</v>
      </c>
      <c r="F510" s="55">
        <v>22</v>
      </c>
      <c r="G510" s="55">
        <v>22</v>
      </c>
      <c r="H510" s="55">
        <v>0</v>
      </c>
      <c r="I510" s="55">
        <v>1.22</v>
      </c>
      <c r="J510" s="55">
        <v>1.22</v>
      </c>
      <c r="K510" s="55">
        <v>0</v>
      </c>
      <c r="L510" s="55">
        <v>10</v>
      </c>
      <c r="M510" s="54" t="s">
        <v>30</v>
      </c>
      <c r="N510" s="54" t="s">
        <v>1401</v>
      </c>
      <c r="O510" s="54" t="s">
        <v>7</v>
      </c>
      <c r="P510" s="54">
        <f t="shared" si="28"/>
        <v>1</v>
      </c>
      <c r="Q510">
        <f t="shared" si="29"/>
        <v>0</v>
      </c>
      <c r="R510">
        <f t="shared" si="30"/>
        <v>1</v>
      </c>
      <c r="S510" t="b">
        <f t="shared" si="31"/>
        <v>0</v>
      </c>
    </row>
    <row r="511" spans="1:19" x14ac:dyDescent="0.2">
      <c r="A511" s="54">
        <v>119697</v>
      </c>
      <c r="B511" s="54" t="s">
        <v>156</v>
      </c>
      <c r="C511" s="55">
        <v>3</v>
      </c>
      <c r="D511" s="55">
        <v>225</v>
      </c>
      <c r="E511" s="55">
        <v>8</v>
      </c>
      <c r="F511" s="55">
        <v>479</v>
      </c>
      <c r="G511" s="55">
        <v>473</v>
      </c>
      <c r="H511" s="55">
        <v>286</v>
      </c>
      <c r="I511" s="55">
        <v>2.13</v>
      </c>
      <c r="J511" s="55">
        <v>2.1</v>
      </c>
      <c r="K511" s="55">
        <v>1.27</v>
      </c>
      <c r="L511" s="55">
        <v>188</v>
      </c>
      <c r="M511" s="54" t="s">
        <v>43</v>
      </c>
      <c r="N511" s="54" t="s">
        <v>1400</v>
      </c>
      <c r="O511" s="54" t="s">
        <v>6</v>
      </c>
      <c r="P511" s="54">
        <f t="shared" si="28"/>
        <v>3</v>
      </c>
      <c r="Q511">
        <f t="shared" si="29"/>
        <v>3</v>
      </c>
      <c r="R511">
        <f t="shared" si="30"/>
        <v>3</v>
      </c>
      <c r="S511" t="b">
        <f t="shared" si="31"/>
        <v>0</v>
      </c>
    </row>
    <row r="512" spans="1:19" x14ac:dyDescent="0.2">
      <c r="A512" s="54">
        <v>119729</v>
      </c>
      <c r="B512" s="54" t="s">
        <v>1195</v>
      </c>
      <c r="C512" s="55">
        <v>81</v>
      </c>
      <c r="D512" s="55">
        <v>70</v>
      </c>
      <c r="E512" s="55">
        <v>3</v>
      </c>
      <c r="F512" s="55">
        <v>0</v>
      </c>
      <c r="G512" s="55">
        <v>0</v>
      </c>
      <c r="H512" s="55">
        <v>0</v>
      </c>
      <c r="I512" s="55">
        <v>0</v>
      </c>
      <c r="J512" s="55">
        <v>0</v>
      </c>
      <c r="K512" s="55">
        <v>0</v>
      </c>
      <c r="L512" s="55">
        <v>0</v>
      </c>
      <c r="M512" s="54" t="s">
        <v>30</v>
      </c>
      <c r="N512" s="54" t="s">
        <v>1401</v>
      </c>
      <c r="O512" s="54" t="s">
        <v>7</v>
      </c>
      <c r="P512" s="54">
        <f t="shared" si="28"/>
        <v>0</v>
      </c>
      <c r="Q512">
        <f t="shared" si="29"/>
        <v>0</v>
      </c>
      <c r="R512">
        <f t="shared" si="30"/>
        <v>0</v>
      </c>
      <c r="S512" t="b">
        <f t="shared" si="31"/>
        <v>0</v>
      </c>
    </row>
    <row r="513" spans="1:19" x14ac:dyDescent="0.2">
      <c r="A513" s="54">
        <v>119803</v>
      </c>
      <c r="B513" s="54" t="s">
        <v>331</v>
      </c>
      <c r="C513" s="55">
        <v>24</v>
      </c>
      <c r="D513" s="55">
        <v>32</v>
      </c>
      <c r="E513" s="55">
        <v>6</v>
      </c>
      <c r="F513" s="55">
        <v>121</v>
      </c>
      <c r="G513" s="55">
        <v>112</v>
      </c>
      <c r="H513" s="55">
        <v>107</v>
      </c>
      <c r="I513" s="55">
        <v>3.78</v>
      </c>
      <c r="J513" s="55">
        <v>3.5</v>
      </c>
      <c r="K513" s="55">
        <v>3.34</v>
      </c>
      <c r="L513" s="55">
        <v>121</v>
      </c>
      <c r="M513" s="54" t="s">
        <v>43</v>
      </c>
      <c r="N513" s="54" t="s">
        <v>1400</v>
      </c>
      <c r="O513" s="54" t="s">
        <v>7</v>
      </c>
      <c r="P513" s="54">
        <f t="shared" si="28"/>
        <v>24</v>
      </c>
      <c r="Q513">
        <f t="shared" si="29"/>
        <v>24</v>
      </c>
      <c r="R513">
        <f t="shared" si="30"/>
        <v>24</v>
      </c>
      <c r="S513" t="b">
        <f t="shared" si="31"/>
        <v>0</v>
      </c>
    </row>
    <row r="514" spans="1:19" x14ac:dyDescent="0.2">
      <c r="A514" s="54">
        <v>119874</v>
      </c>
      <c r="B514" s="54" t="s">
        <v>1111</v>
      </c>
      <c r="C514" s="55">
        <v>35</v>
      </c>
      <c r="D514" s="55">
        <v>24</v>
      </c>
      <c r="E514" s="55">
        <v>6</v>
      </c>
      <c r="F514" s="55">
        <v>0</v>
      </c>
      <c r="G514" s="55">
        <v>0</v>
      </c>
      <c r="H514" s="55">
        <v>0</v>
      </c>
      <c r="I514" s="55">
        <v>0</v>
      </c>
      <c r="J514" s="55">
        <v>0</v>
      </c>
      <c r="K514" s="55">
        <v>0</v>
      </c>
      <c r="L514" s="55">
        <v>0</v>
      </c>
      <c r="M514" s="54" t="s">
        <v>43</v>
      </c>
      <c r="N514" s="54" t="s">
        <v>1400</v>
      </c>
      <c r="O514" s="54" t="s">
        <v>7</v>
      </c>
      <c r="P514" s="54">
        <f t="shared" ref="P514:P577" si="32">IF(I514&gt;=2, C514, IF(J514&gt;=0.75, C514, 0))</f>
        <v>0</v>
      </c>
      <c r="Q514">
        <f t="shared" ref="Q514:Q577" si="33">IF(I514&gt;=2, C514, IF(AND(J514&gt;=0.75, D514&gt;=550), C514, 0))</f>
        <v>0</v>
      </c>
      <c r="R514">
        <f t="shared" ref="R514:R577" si="34">IF(J514&gt;=0.75, C514, 0)</f>
        <v>0</v>
      </c>
      <c r="S514" t="b">
        <f t="shared" si="31"/>
        <v>0</v>
      </c>
    </row>
    <row r="515" spans="1:19" x14ac:dyDescent="0.2">
      <c r="A515" s="54">
        <v>119937</v>
      </c>
      <c r="B515" s="54" t="s">
        <v>194</v>
      </c>
      <c r="C515" s="55">
        <v>377</v>
      </c>
      <c r="D515" s="55">
        <v>385</v>
      </c>
      <c r="E515" s="55">
        <v>27</v>
      </c>
      <c r="F515" s="55">
        <v>577</v>
      </c>
      <c r="G515" s="55">
        <v>292</v>
      </c>
      <c r="H515" s="55">
        <v>263</v>
      </c>
      <c r="I515" s="55">
        <v>1.5</v>
      </c>
      <c r="J515" s="55">
        <v>0.76</v>
      </c>
      <c r="K515" s="55">
        <v>0.68</v>
      </c>
      <c r="L515" s="55">
        <v>1434</v>
      </c>
      <c r="M515" s="54" t="s">
        <v>47</v>
      </c>
      <c r="N515" s="54" t="s">
        <v>47</v>
      </c>
      <c r="O515" s="54" t="s">
        <v>6</v>
      </c>
      <c r="P515" s="54">
        <f t="shared" si="32"/>
        <v>377</v>
      </c>
      <c r="Q515">
        <f t="shared" si="33"/>
        <v>0</v>
      </c>
      <c r="R515">
        <f t="shared" si="34"/>
        <v>377</v>
      </c>
      <c r="S515" t="b">
        <f t="shared" ref="S515:S578" si="35">IF(A515=A516,TRUE,FALSE)</f>
        <v>0</v>
      </c>
    </row>
    <row r="516" spans="1:19" x14ac:dyDescent="0.2">
      <c r="A516" s="54">
        <v>119959</v>
      </c>
      <c r="B516" s="54" t="s">
        <v>686</v>
      </c>
      <c r="C516" s="55">
        <v>1</v>
      </c>
      <c r="D516" s="55">
        <v>10</v>
      </c>
      <c r="E516" s="55">
        <v>1</v>
      </c>
      <c r="F516" s="55">
        <v>25</v>
      </c>
      <c r="G516" s="55">
        <v>25</v>
      </c>
      <c r="H516" s="55">
        <v>25</v>
      </c>
      <c r="I516" s="55">
        <v>2.5</v>
      </c>
      <c r="J516" s="55">
        <v>2.5</v>
      </c>
      <c r="K516" s="55">
        <v>2.5</v>
      </c>
      <c r="L516" s="55">
        <v>0</v>
      </c>
      <c r="M516" s="54" t="s">
        <v>30</v>
      </c>
      <c r="N516" s="54" t="s">
        <v>1401</v>
      </c>
      <c r="O516" s="54" t="s">
        <v>7</v>
      </c>
      <c r="P516" s="54">
        <f t="shared" si="32"/>
        <v>1</v>
      </c>
      <c r="Q516">
        <f t="shared" si="33"/>
        <v>1</v>
      </c>
      <c r="R516">
        <f t="shared" si="34"/>
        <v>1</v>
      </c>
      <c r="S516" t="b">
        <f t="shared" si="35"/>
        <v>0</v>
      </c>
    </row>
    <row r="517" spans="1:19" x14ac:dyDescent="0.2">
      <c r="A517" s="54">
        <v>119976</v>
      </c>
      <c r="B517" s="54" t="s">
        <v>753</v>
      </c>
      <c r="C517" s="55">
        <v>3</v>
      </c>
      <c r="D517" s="55">
        <v>6</v>
      </c>
      <c r="E517" s="55">
        <v>4</v>
      </c>
      <c r="F517" s="55">
        <v>7</v>
      </c>
      <c r="G517" s="55">
        <v>7</v>
      </c>
      <c r="H517" s="55">
        <v>0</v>
      </c>
      <c r="I517" s="55">
        <v>1.17</v>
      </c>
      <c r="J517" s="55">
        <v>1.17</v>
      </c>
      <c r="K517" s="55">
        <v>0</v>
      </c>
      <c r="L517" s="55">
        <v>14</v>
      </c>
      <c r="M517" s="54" t="s">
        <v>30</v>
      </c>
      <c r="N517" s="54" t="s">
        <v>1401</v>
      </c>
      <c r="O517" s="54" t="s">
        <v>7</v>
      </c>
      <c r="P517" s="54">
        <f t="shared" si="32"/>
        <v>3</v>
      </c>
      <c r="Q517">
        <f t="shared" si="33"/>
        <v>0</v>
      </c>
      <c r="R517">
        <f t="shared" si="34"/>
        <v>3</v>
      </c>
      <c r="S517" t="b">
        <f t="shared" si="35"/>
        <v>0</v>
      </c>
    </row>
    <row r="518" spans="1:19" x14ac:dyDescent="0.2">
      <c r="A518" s="54">
        <v>120026</v>
      </c>
      <c r="B518" s="54" t="s">
        <v>1244</v>
      </c>
      <c r="C518" s="55">
        <v>135</v>
      </c>
      <c r="D518" s="55">
        <v>126</v>
      </c>
      <c r="E518" s="55">
        <v>1</v>
      </c>
      <c r="F518" s="55">
        <v>48</v>
      </c>
      <c r="G518" s="55">
        <v>48</v>
      </c>
      <c r="H518" s="55">
        <v>48</v>
      </c>
      <c r="I518" s="55">
        <v>0.38</v>
      </c>
      <c r="J518" s="55">
        <v>0.38</v>
      </c>
      <c r="K518" s="55">
        <v>0.38</v>
      </c>
      <c r="L518" s="55">
        <v>39</v>
      </c>
      <c r="M518" s="54" t="s">
        <v>30</v>
      </c>
      <c r="N518" s="54" t="s">
        <v>1401</v>
      </c>
      <c r="O518" s="54" t="s">
        <v>6</v>
      </c>
      <c r="P518" s="54">
        <f t="shared" si="32"/>
        <v>0</v>
      </c>
      <c r="Q518">
        <f t="shared" si="33"/>
        <v>0</v>
      </c>
      <c r="R518">
        <f t="shared" si="34"/>
        <v>0</v>
      </c>
      <c r="S518" t="b">
        <f t="shared" si="35"/>
        <v>0</v>
      </c>
    </row>
    <row r="519" spans="1:19" x14ac:dyDescent="0.2">
      <c r="A519" s="54">
        <v>120176</v>
      </c>
      <c r="B519" s="54" t="s">
        <v>922</v>
      </c>
      <c r="C519" s="55">
        <v>13</v>
      </c>
      <c r="D519" s="55">
        <v>6</v>
      </c>
      <c r="E519" s="55">
        <v>2</v>
      </c>
      <c r="F519" s="55">
        <v>11</v>
      </c>
      <c r="G519" s="55">
        <v>11</v>
      </c>
      <c r="H519" s="55">
        <v>11</v>
      </c>
      <c r="I519" s="55">
        <v>1.83</v>
      </c>
      <c r="J519" s="55">
        <v>1.83</v>
      </c>
      <c r="K519" s="55">
        <v>1.83</v>
      </c>
      <c r="L519" s="55">
        <v>0</v>
      </c>
      <c r="M519" s="54" t="s">
        <v>30</v>
      </c>
      <c r="N519" s="54" t="s">
        <v>1401</v>
      </c>
      <c r="O519" s="54" t="s">
        <v>7</v>
      </c>
      <c r="P519" s="54">
        <f t="shared" si="32"/>
        <v>13</v>
      </c>
      <c r="Q519">
        <f t="shared" si="33"/>
        <v>0</v>
      </c>
      <c r="R519">
        <f t="shared" si="34"/>
        <v>13</v>
      </c>
      <c r="S519" t="b">
        <f t="shared" si="35"/>
        <v>0</v>
      </c>
    </row>
    <row r="520" spans="1:19" x14ac:dyDescent="0.2">
      <c r="A520" s="54">
        <v>120210</v>
      </c>
      <c r="B520" s="54" t="s">
        <v>540</v>
      </c>
      <c r="C520" s="55">
        <v>15</v>
      </c>
      <c r="D520" s="55">
        <v>15</v>
      </c>
      <c r="E520" s="55">
        <v>6</v>
      </c>
      <c r="F520" s="55">
        <v>10</v>
      </c>
      <c r="G520" s="55">
        <v>10</v>
      </c>
      <c r="H520" s="55">
        <v>10</v>
      </c>
      <c r="I520" s="55">
        <v>0.67</v>
      </c>
      <c r="J520" s="55">
        <v>0.67</v>
      </c>
      <c r="K520" s="55">
        <v>0.67</v>
      </c>
      <c r="L520" s="55">
        <v>0</v>
      </c>
      <c r="M520" s="54" t="s">
        <v>43</v>
      </c>
      <c r="N520" s="54" t="s">
        <v>1400</v>
      </c>
      <c r="O520" s="54" t="s">
        <v>7</v>
      </c>
      <c r="P520" s="54">
        <f t="shared" si="32"/>
        <v>0</v>
      </c>
      <c r="Q520">
        <f t="shared" si="33"/>
        <v>0</v>
      </c>
      <c r="R520">
        <f t="shared" si="34"/>
        <v>0</v>
      </c>
      <c r="S520" t="b">
        <f t="shared" si="35"/>
        <v>0</v>
      </c>
    </row>
    <row r="521" spans="1:19" x14ac:dyDescent="0.2">
      <c r="A521" s="54">
        <v>120234</v>
      </c>
      <c r="B521" s="54" t="s">
        <v>384</v>
      </c>
      <c r="C521" s="55">
        <v>1</v>
      </c>
      <c r="D521" s="55">
        <v>22</v>
      </c>
      <c r="E521" s="55">
        <v>8</v>
      </c>
      <c r="F521" s="55">
        <v>52</v>
      </c>
      <c r="G521" s="55">
        <v>18</v>
      </c>
      <c r="H521" s="55">
        <v>2</v>
      </c>
      <c r="I521" s="55">
        <v>2.36</v>
      </c>
      <c r="J521" s="55">
        <v>0.82</v>
      </c>
      <c r="K521" s="55">
        <v>0.09</v>
      </c>
      <c r="L521" s="55">
        <v>8</v>
      </c>
      <c r="M521" s="54" t="s">
        <v>43</v>
      </c>
      <c r="N521" s="54" t="s">
        <v>1400</v>
      </c>
      <c r="O521" s="54" t="s">
        <v>7</v>
      </c>
      <c r="P521" s="54">
        <f t="shared" si="32"/>
        <v>1</v>
      </c>
      <c r="Q521">
        <f t="shared" si="33"/>
        <v>1</v>
      </c>
      <c r="R521">
        <f t="shared" si="34"/>
        <v>1</v>
      </c>
      <c r="S521" t="b">
        <f t="shared" si="35"/>
        <v>0</v>
      </c>
    </row>
    <row r="522" spans="1:19" x14ac:dyDescent="0.2">
      <c r="A522" s="54">
        <v>121102</v>
      </c>
      <c r="B522" s="54" t="s">
        <v>208</v>
      </c>
      <c r="C522" s="55">
        <v>25</v>
      </c>
      <c r="D522" s="55">
        <v>20</v>
      </c>
      <c r="E522" s="55">
        <v>14</v>
      </c>
      <c r="F522" s="55">
        <v>284</v>
      </c>
      <c r="G522" s="55">
        <v>97</v>
      </c>
      <c r="H522" s="55">
        <v>40</v>
      </c>
      <c r="I522" s="55">
        <v>14.2</v>
      </c>
      <c r="J522" s="55">
        <v>4.8499999999999996</v>
      </c>
      <c r="K522" s="55">
        <v>2</v>
      </c>
      <c r="L522" s="55">
        <v>25</v>
      </c>
      <c r="M522" s="54" t="s">
        <v>45</v>
      </c>
      <c r="N522" s="54" t="s">
        <v>47</v>
      </c>
      <c r="O522" s="54" t="s">
        <v>7</v>
      </c>
      <c r="P522" s="54">
        <f t="shared" si="32"/>
        <v>25</v>
      </c>
      <c r="Q522">
        <f t="shared" si="33"/>
        <v>25</v>
      </c>
      <c r="R522">
        <f t="shared" si="34"/>
        <v>25</v>
      </c>
      <c r="S522" t="b">
        <f t="shared" si="35"/>
        <v>0</v>
      </c>
    </row>
    <row r="523" spans="1:19" x14ac:dyDescent="0.2">
      <c r="A523" s="54">
        <v>121105</v>
      </c>
      <c r="B523" s="54" t="s">
        <v>607</v>
      </c>
      <c r="C523" s="55">
        <v>8</v>
      </c>
      <c r="D523" s="55">
        <v>20</v>
      </c>
      <c r="E523" s="55">
        <v>44</v>
      </c>
      <c r="F523" s="55">
        <v>1</v>
      </c>
      <c r="G523" s="55">
        <v>1</v>
      </c>
      <c r="H523" s="55">
        <v>0</v>
      </c>
      <c r="I523" s="55">
        <v>0.05</v>
      </c>
      <c r="J523" s="55">
        <v>0.05</v>
      </c>
      <c r="K523" s="55">
        <v>0</v>
      </c>
      <c r="L523" s="55">
        <v>0</v>
      </c>
      <c r="M523" s="54" t="s">
        <v>47</v>
      </c>
      <c r="N523" s="54" t="s">
        <v>47</v>
      </c>
      <c r="O523" s="54" t="s">
        <v>7</v>
      </c>
      <c r="P523" s="54">
        <f t="shared" si="32"/>
        <v>0</v>
      </c>
      <c r="Q523">
        <f t="shared" si="33"/>
        <v>0</v>
      </c>
      <c r="R523">
        <f t="shared" si="34"/>
        <v>0</v>
      </c>
      <c r="S523" t="b">
        <f t="shared" si="35"/>
        <v>0</v>
      </c>
    </row>
    <row r="524" spans="1:19" x14ac:dyDescent="0.2">
      <c r="A524" s="54">
        <v>121316</v>
      </c>
      <c r="B524" s="54" t="s">
        <v>1175</v>
      </c>
      <c r="C524" s="55">
        <v>70</v>
      </c>
      <c r="D524" s="55">
        <v>76</v>
      </c>
      <c r="E524" s="55">
        <v>1</v>
      </c>
      <c r="F524" s="55">
        <v>2</v>
      </c>
      <c r="G524" s="55">
        <v>2</v>
      </c>
      <c r="H524" s="55">
        <v>2</v>
      </c>
      <c r="I524" s="55">
        <v>0.03</v>
      </c>
      <c r="J524" s="55">
        <v>0.03</v>
      </c>
      <c r="K524" s="55">
        <v>0.03</v>
      </c>
      <c r="L524" s="55">
        <v>0</v>
      </c>
      <c r="M524" s="54" t="s">
        <v>30</v>
      </c>
      <c r="N524" s="54" t="s">
        <v>1401</v>
      </c>
      <c r="O524" s="54" t="s">
        <v>7</v>
      </c>
      <c r="P524" s="54">
        <f t="shared" si="32"/>
        <v>0</v>
      </c>
      <c r="Q524">
        <f t="shared" si="33"/>
        <v>0</v>
      </c>
      <c r="R524">
        <f t="shared" si="34"/>
        <v>0</v>
      </c>
      <c r="S524" t="b">
        <f t="shared" si="35"/>
        <v>0</v>
      </c>
    </row>
    <row r="525" spans="1:19" x14ac:dyDescent="0.2">
      <c r="A525" s="54">
        <v>121372</v>
      </c>
      <c r="B525" s="54" t="s">
        <v>1264</v>
      </c>
      <c r="C525" s="55">
        <v>167</v>
      </c>
      <c r="D525" s="55">
        <v>129</v>
      </c>
      <c r="E525" s="55">
        <v>2</v>
      </c>
      <c r="F525" s="55">
        <v>0</v>
      </c>
      <c r="G525" s="55">
        <v>0</v>
      </c>
      <c r="H525" s="55">
        <v>0</v>
      </c>
      <c r="I525" s="55">
        <v>0</v>
      </c>
      <c r="J525" s="55">
        <v>0</v>
      </c>
      <c r="K525" s="55">
        <v>0</v>
      </c>
      <c r="L525" s="55">
        <v>0</v>
      </c>
      <c r="M525" s="54" t="s">
        <v>30</v>
      </c>
      <c r="N525" s="54" t="s">
        <v>1401</v>
      </c>
      <c r="O525" s="54" t="s">
        <v>6</v>
      </c>
      <c r="P525" s="54">
        <f t="shared" si="32"/>
        <v>0</v>
      </c>
      <c r="Q525">
        <f t="shared" si="33"/>
        <v>0</v>
      </c>
      <c r="R525">
        <f t="shared" si="34"/>
        <v>0</v>
      </c>
      <c r="S525" t="b">
        <f t="shared" si="35"/>
        <v>0</v>
      </c>
    </row>
    <row r="526" spans="1:19" x14ac:dyDescent="0.2">
      <c r="A526" s="54">
        <v>121983</v>
      </c>
      <c r="B526" s="54" t="s">
        <v>1248</v>
      </c>
      <c r="C526" s="55">
        <v>138</v>
      </c>
      <c r="D526" s="55">
        <v>113</v>
      </c>
      <c r="E526" s="55">
        <v>4</v>
      </c>
      <c r="F526" s="55">
        <v>9</v>
      </c>
      <c r="G526" s="55">
        <v>6</v>
      </c>
      <c r="H526" s="55">
        <v>6</v>
      </c>
      <c r="I526" s="55">
        <v>0.08</v>
      </c>
      <c r="J526" s="55">
        <v>0.05</v>
      </c>
      <c r="K526" s="55">
        <v>0.05</v>
      </c>
      <c r="L526" s="55">
        <v>5</v>
      </c>
      <c r="M526" s="54" t="s">
        <v>30</v>
      </c>
      <c r="N526" s="54" t="s">
        <v>1401</v>
      </c>
      <c r="O526" s="54" t="s">
        <v>6</v>
      </c>
      <c r="P526" s="54">
        <f t="shared" si="32"/>
        <v>0</v>
      </c>
      <c r="Q526">
        <f t="shared" si="33"/>
        <v>0</v>
      </c>
      <c r="R526">
        <f t="shared" si="34"/>
        <v>0</v>
      </c>
      <c r="S526" t="b">
        <f t="shared" si="35"/>
        <v>0</v>
      </c>
    </row>
    <row r="527" spans="1:19" x14ac:dyDescent="0.2">
      <c r="A527" s="54">
        <v>122506</v>
      </c>
      <c r="B527" s="54" t="s">
        <v>608</v>
      </c>
      <c r="C527" s="55">
        <v>25</v>
      </c>
      <c r="D527" s="55">
        <v>24</v>
      </c>
      <c r="E527" s="55">
        <v>10</v>
      </c>
      <c r="F527" s="55">
        <v>1</v>
      </c>
      <c r="G527" s="55">
        <v>0</v>
      </c>
      <c r="H527" s="55">
        <v>0</v>
      </c>
      <c r="I527" s="55">
        <v>0.04</v>
      </c>
      <c r="J527" s="55">
        <v>0</v>
      </c>
      <c r="K527" s="55">
        <v>0</v>
      </c>
      <c r="L527" s="55">
        <v>0</v>
      </c>
      <c r="M527" s="54" t="s">
        <v>43</v>
      </c>
      <c r="N527" s="54" t="s">
        <v>1400</v>
      </c>
      <c r="O527" s="54" t="s">
        <v>7</v>
      </c>
      <c r="P527" s="54">
        <f t="shared" si="32"/>
        <v>0</v>
      </c>
      <c r="Q527">
        <f t="shared" si="33"/>
        <v>0</v>
      </c>
      <c r="R527">
        <f t="shared" si="34"/>
        <v>0</v>
      </c>
      <c r="S527" t="b">
        <f t="shared" si="35"/>
        <v>0</v>
      </c>
    </row>
    <row r="528" spans="1:19" x14ac:dyDescent="0.2">
      <c r="A528" s="54">
        <v>122797</v>
      </c>
      <c r="B528" s="54" t="s">
        <v>1224</v>
      </c>
      <c r="C528" s="55">
        <v>112</v>
      </c>
      <c r="D528" s="55">
        <v>86</v>
      </c>
      <c r="E528" s="55">
        <v>0</v>
      </c>
      <c r="F528" s="55">
        <v>0</v>
      </c>
      <c r="G528" s="55">
        <v>0</v>
      </c>
      <c r="H528" s="55">
        <v>0</v>
      </c>
      <c r="I528" s="55">
        <v>0</v>
      </c>
      <c r="J528" s="55">
        <v>0</v>
      </c>
      <c r="K528" s="55">
        <v>0</v>
      </c>
      <c r="L528" s="55">
        <v>0</v>
      </c>
      <c r="M528" s="54" t="s">
        <v>30</v>
      </c>
      <c r="N528" s="54" t="s">
        <v>1401</v>
      </c>
      <c r="O528" s="54" t="s">
        <v>7</v>
      </c>
      <c r="P528" s="54">
        <f t="shared" si="32"/>
        <v>0</v>
      </c>
      <c r="Q528">
        <f t="shared" si="33"/>
        <v>0</v>
      </c>
      <c r="R528">
        <f t="shared" si="34"/>
        <v>0</v>
      </c>
      <c r="S528" t="b">
        <f t="shared" si="35"/>
        <v>0</v>
      </c>
    </row>
    <row r="529" spans="1:19" x14ac:dyDescent="0.2">
      <c r="A529" s="54">
        <v>122943</v>
      </c>
      <c r="B529" s="54" t="s">
        <v>1107</v>
      </c>
      <c r="C529" s="55">
        <v>35</v>
      </c>
      <c r="D529" s="55">
        <v>38</v>
      </c>
      <c r="E529" s="55">
        <v>2</v>
      </c>
      <c r="F529" s="55">
        <v>32</v>
      </c>
      <c r="G529" s="55">
        <v>32</v>
      </c>
      <c r="H529" s="55">
        <v>32</v>
      </c>
      <c r="I529" s="55">
        <v>0.84</v>
      </c>
      <c r="J529" s="55">
        <v>0.84</v>
      </c>
      <c r="K529" s="55">
        <v>0.84</v>
      </c>
      <c r="L529" s="55">
        <v>45</v>
      </c>
      <c r="M529" s="54" t="s">
        <v>30</v>
      </c>
      <c r="N529" s="54" t="s">
        <v>1401</v>
      </c>
      <c r="O529" s="54" t="s">
        <v>7</v>
      </c>
      <c r="P529" s="54">
        <f t="shared" si="32"/>
        <v>35</v>
      </c>
      <c r="Q529">
        <f t="shared" si="33"/>
        <v>0</v>
      </c>
      <c r="R529">
        <f t="shared" si="34"/>
        <v>35</v>
      </c>
      <c r="S529" t="b">
        <f t="shared" si="35"/>
        <v>0</v>
      </c>
    </row>
    <row r="530" spans="1:19" x14ac:dyDescent="0.2">
      <c r="A530" s="54">
        <v>123145</v>
      </c>
      <c r="B530" s="54" t="s">
        <v>944</v>
      </c>
      <c r="C530" s="55">
        <v>14</v>
      </c>
      <c r="D530" s="55">
        <v>26</v>
      </c>
      <c r="E530" s="55">
        <v>4</v>
      </c>
      <c r="F530" s="55">
        <v>18</v>
      </c>
      <c r="G530" s="55">
        <v>18</v>
      </c>
      <c r="H530" s="55">
        <v>4</v>
      </c>
      <c r="I530" s="55">
        <v>0.69</v>
      </c>
      <c r="J530" s="55">
        <v>0.69</v>
      </c>
      <c r="K530" s="55">
        <v>0.15</v>
      </c>
      <c r="L530" s="55">
        <v>8</v>
      </c>
      <c r="M530" s="54" t="s">
        <v>30</v>
      </c>
      <c r="N530" s="54" t="s">
        <v>1401</v>
      </c>
      <c r="O530" s="54" t="s">
        <v>7</v>
      </c>
      <c r="P530" s="54">
        <f t="shared" si="32"/>
        <v>0</v>
      </c>
      <c r="Q530">
        <f t="shared" si="33"/>
        <v>0</v>
      </c>
      <c r="R530">
        <f t="shared" si="34"/>
        <v>0</v>
      </c>
      <c r="S530" t="b">
        <f t="shared" si="35"/>
        <v>0</v>
      </c>
    </row>
    <row r="531" spans="1:19" x14ac:dyDescent="0.2">
      <c r="A531" s="54">
        <v>123242</v>
      </c>
      <c r="B531" s="54" t="s">
        <v>1228</v>
      </c>
      <c r="C531" s="55">
        <v>117</v>
      </c>
      <c r="D531" s="55">
        <v>150</v>
      </c>
      <c r="E531" s="55">
        <v>4</v>
      </c>
      <c r="F531" s="55">
        <v>1740</v>
      </c>
      <c r="G531" s="55">
        <v>1131</v>
      </c>
      <c r="H531" s="55">
        <v>1120</v>
      </c>
      <c r="I531" s="55">
        <v>11.6</v>
      </c>
      <c r="J531" s="55">
        <v>7.54</v>
      </c>
      <c r="K531" s="55">
        <v>7.47</v>
      </c>
      <c r="L531" s="55">
        <v>142</v>
      </c>
      <c r="M531" s="54" t="s">
        <v>30</v>
      </c>
      <c r="N531" s="54" t="s">
        <v>1401</v>
      </c>
      <c r="O531" s="54" t="s">
        <v>6</v>
      </c>
      <c r="P531" s="54">
        <f t="shared" si="32"/>
        <v>117</v>
      </c>
      <c r="Q531">
        <f t="shared" si="33"/>
        <v>117</v>
      </c>
      <c r="R531">
        <f t="shared" si="34"/>
        <v>117</v>
      </c>
      <c r="S531" t="b">
        <f t="shared" si="35"/>
        <v>0</v>
      </c>
    </row>
    <row r="532" spans="1:19" x14ac:dyDescent="0.2">
      <c r="A532" s="54">
        <v>123323</v>
      </c>
      <c r="B532" s="54" t="s">
        <v>661</v>
      </c>
      <c r="C532" s="55">
        <v>21</v>
      </c>
      <c r="D532" s="55">
        <v>20</v>
      </c>
      <c r="E532" s="55">
        <v>6</v>
      </c>
      <c r="F532" s="55">
        <v>0</v>
      </c>
      <c r="G532" s="55">
        <v>0</v>
      </c>
      <c r="H532" s="55">
        <v>0</v>
      </c>
      <c r="I532" s="55">
        <v>0</v>
      </c>
      <c r="J532" s="55">
        <v>0</v>
      </c>
      <c r="K532" s="55">
        <v>0</v>
      </c>
      <c r="L532" s="55">
        <v>0</v>
      </c>
      <c r="M532" s="54" t="s">
        <v>43</v>
      </c>
      <c r="N532" s="54" t="s">
        <v>1400</v>
      </c>
      <c r="O532" s="54" t="s">
        <v>7</v>
      </c>
      <c r="P532" s="54">
        <f t="shared" si="32"/>
        <v>0</v>
      </c>
      <c r="Q532">
        <f t="shared" si="33"/>
        <v>0</v>
      </c>
      <c r="R532">
        <f t="shared" si="34"/>
        <v>0</v>
      </c>
      <c r="S532" t="b">
        <f t="shared" si="35"/>
        <v>0</v>
      </c>
    </row>
    <row r="533" spans="1:19" x14ac:dyDescent="0.2">
      <c r="A533" s="54">
        <v>123688</v>
      </c>
      <c r="B533" s="54" t="s">
        <v>1208</v>
      </c>
      <c r="C533" s="55">
        <v>98</v>
      </c>
      <c r="D533" s="55">
        <v>110</v>
      </c>
      <c r="E533" s="55">
        <v>2</v>
      </c>
      <c r="F533" s="55">
        <v>98</v>
      </c>
      <c r="G533" s="55">
        <v>98</v>
      </c>
      <c r="H533" s="55">
        <v>98</v>
      </c>
      <c r="I533" s="55">
        <v>0.89</v>
      </c>
      <c r="J533" s="55">
        <v>0.89</v>
      </c>
      <c r="K533" s="55">
        <v>0.89</v>
      </c>
      <c r="L533" s="55">
        <v>74</v>
      </c>
      <c r="M533" s="54" t="s">
        <v>30</v>
      </c>
      <c r="N533" s="54" t="s">
        <v>1401</v>
      </c>
      <c r="O533" s="54" t="s">
        <v>6</v>
      </c>
      <c r="P533" s="54">
        <f t="shared" si="32"/>
        <v>98</v>
      </c>
      <c r="Q533">
        <f t="shared" si="33"/>
        <v>0</v>
      </c>
      <c r="R533">
        <f t="shared" si="34"/>
        <v>98</v>
      </c>
      <c r="S533" t="b">
        <f t="shared" si="35"/>
        <v>0</v>
      </c>
    </row>
    <row r="534" spans="1:19" x14ac:dyDescent="0.2">
      <c r="A534" s="54">
        <v>124098</v>
      </c>
      <c r="B534" s="54" t="s">
        <v>1048</v>
      </c>
      <c r="C534" s="55">
        <v>25</v>
      </c>
      <c r="D534" s="55">
        <v>28</v>
      </c>
      <c r="E534" s="55">
        <v>4</v>
      </c>
      <c r="F534" s="55">
        <v>9</v>
      </c>
      <c r="G534" s="55">
        <v>9</v>
      </c>
      <c r="H534" s="55">
        <v>9</v>
      </c>
      <c r="I534" s="55">
        <v>0.32</v>
      </c>
      <c r="J534" s="55">
        <v>0.32</v>
      </c>
      <c r="K534" s="55">
        <v>0.32</v>
      </c>
      <c r="L534" s="55">
        <v>5</v>
      </c>
      <c r="M534" s="54" t="s">
        <v>30</v>
      </c>
      <c r="N534" s="54" t="s">
        <v>1401</v>
      </c>
      <c r="O534" s="54" t="s">
        <v>7</v>
      </c>
      <c r="P534" s="54">
        <f t="shared" si="32"/>
        <v>0</v>
      </c>
      <c r="Q534">
        <f t="shared" si="33"/>
        <v>0</v>
      </c>
      <c r="R534">
        <f t="shared" si="34"/>
        <v>0</v>
      </c>
      <c r="S534" t="b">
        <f t="shared" si="35"/>
        <v>0</v>
      </c>
    </row>
    <row r="535" spans="1:19" x14ac:dyDescent="0.2">
      <c r="A535" s="54">
        <v>124198</v>
      </c>
      <c r="B535" s="54" t="s">
        <v>1184</v>
      </c>
      <c r="C535" s="55">
        <v>72</v>
      </c>
      <c r="D535" s="55">
        <v>144</v>
      </c>
      <c r="E535" s="55">
        <v>4</v>
      </c>
      <c r="F535" s="55">
        <v>61</v>
      </c>
      <c r="G535" s="55">
        <v>34</v>
      </c>
      <c r="H535" s="55">
        <v>0</v>
      </c>
      <c r="I535" s="55">
        <v>0.42</v>
      </c>
      <c r="J535" s="55">
        <v>0.24</v>
      </c>
      <c r="K535" s="55">
        <v>0</v>
      </c>
      <c r="L535" s="55">
        <v>0</v>
      </c>
      <c r="M535" s="54" t="s">
        <v>30</v>
      </c>
      <c r="N535" s="54" t="s">
        <v>1401</v>
      </c>
      <c r="O535" s="54" t="s">
        <v>6</v>
      </c>
      <c r="P535" s="54">
        <f t="shared" si="32"/>
        <v>0</v>
      </c>
      <c r="Q535">
        <f t="shared" si="33"/>
        <v>0</v>
      </c>
      <c r="R535">
        <f t="shared" si="34"/>
        <v>0</v>
      </c>
      <c r="S535" t="b">
        <f t="shared" si="35"/>
        <v>0</v>
      </c>
    </row>
    <row r="536" spans="1:19" x14ac:dyDescent="0.2">
      <c r="A536" s="54">
        <v>124340</v>
      </c>
      <c r="B536" s="54" t="s">
        <v>694</v>
      </c>
      <c r="C536" s="55">
        <v>1</v>
      </c>
      <c r="D536" s="55">
        <v>22</v>
      </c>
      <c r="E536" s="55">
        <v>2</v>
      </c>
      <c r="F536" s="55">
        <v>12</v>
      </c>
      <c r="G536" s="55">
        <v>12</v>
      </c>
      <c r="H536" s="55">
        <v>12</v>
      </c>
      <c r="I536" s="55">
        <v>0.55000000000000004</v>
      </c>
      <c r="J536" s="55">
        <v>0.55000000000000004</v>
      </c>
      <c r="K536" s="55">
        <v>0.55000000000000004</v>
      </c>
      <c r="L536" s="55">
        <v>15</v>
      </c>
      <c r="M536" s="54" t="s">
        <v>30</v>
      </c>
      <c r="N536" s="54" t="s">
        <v>1401</v>
      </c>
      <c r="O536" s="54" t="s">
        <v>7</v>
      </c>
      <c r="P536" s="54">
        <f t="shared" si="32"/>
        <v>0</v>
      </c>
      <c r="Q536">
        <f t="shared" si="33"/>
        <v>0</v>
      </c>
      <c r="R536">
        <f t="shared" si="34"/>
        <v>0</v>
      </c>
      <c r="S536" t="b">
        <f t="shared" si="35"/>
        <v>0</v>
      </c>
    </row>
    <row r="537" spans="1:19" x14ac:dyDescent="0.2">
      <c r="A537" s="54">
        <v>124496</v>
      </c>
      <c r="B537" s="54" t="s">
        <v>83</v>
      </c>
      <c r="C537" s="55">
        <v>992</v>
      </c>
      <c r="D537" s="55">
        <v>900</v>
      </c>
      <c r="E537" s="55">
        <v>28</v>
      </c>
      <c r="F537" s="55">
        <v>2105</v>
      </c>
      <c r="G537" s="55">
        <v>147</v>
      </c>
      <c r="H537" s="55">
        <v>14</v>
      </c>
      <c r="I537" s="55">
        <v>2.34</v>
      </c>
      <c r="J537" s="55">
        <v>0.16</v>
      </c>
      <c r="K537" s="55">
        <v>0.02</v>
      </c>
      <c r="L537" s="55">
        <v>858</v>
      </c>
      <c r="M537" s="54" t="s">
        <v>47</v>
      </c>
      <c r="N537" s="54" t="s">
        <v>47</v>
      </c>
      <c r="O537" s="54" t="s">
        <v>5</v>
      </c>
      <c r="P537" s="54">
        <f t="shared" si="32"/>
        <v>992</v>
      </c>
      <c r="Q537">
        <f t="shared" si="33"/>
        <v>992</v>
      </c>
      <c r="R537">
        <f t="shared" si="34"/>
        <v>0</v>
      </c>
      <c r="S537" t="b">
        <f t="shared" si="35"/>
        <v>0</v>
      </c>
    </row>
    <row r="538" spans="1:19" x14ac:dyDescent="0.2">
      <c r="A538" s="54">
        <v>124527</v>
      </c>
      <c r="B538" s="54" t="s">
        <v>560</v>
      </c>
      <c r="C538" s="55">
        <v>50</v>
      </c>
      <c r="D538" s="55">
        <v>37</v>
      </c>
      <c r="E538" s="55">
        <v>13</v>
      </c>
      <c r="F538" s="55">
        <v>9</v>
      </c>
      <c r="G538" s="55">
        <v>3</v>
      </c>
      <c r="H538" s="55">
        <v>0</v>
      </c>
      <c r="I538" s="55">
        <v>0.24</v>
      </c>
      <c r="J538" s="55">
        <v>0.08</v>
      </c>
      <c r="K538" s="55">
        <v>0</v>
      </c>
      <c r="L538" s="55">
        <v>21</v>
      </c>
      <c r="M538" s="54" t="s">
        <v>45</v>
      </c>
      <c r="N538" s="54" t="s">
        <v>47</v>
      </c>
      <c r="O538" s="54" t="s">
        <v>7</v>
      </c>
      <c r="P538" s="54">
        <f t="shared" si="32"/>
        <v>0</v>
      </c>
      <c r="Q538">
        <f t="shared" si="33"/>
        <v>0</v>
      </c>
      <c r="R538">
        <f t="shared" si="34"/>
        <v>0</v>
      </c>
      <c r="S538" t="b">
        <f t="shared" si="35"/>
        <v>0</v>
      </c>
    </row>
    <row r="539" spans="1:19" x14ac:dyDescent="0.2">
      <c r="A539" s="54">
        <v>124583</v>
      </c>
      <c r="B539" s="54" t="s">
        <v>1301</v>
      </c>
      <c r="C539" s="55">
        <v>1150</v>
      </c>
      <c r="D539" s="55">
        <v>150</v>
      </c>
      <c r="E539" s="55">
        <v>4</v>
      </c>
      <c r="F539" s="55">
        <v>50</v>
      </c>
      <c r="G539" s="55">
        <v>32</v>
      </c>
      <c r="H539" s="55">
        <v>1</v>
      </c>
      <c r="I539" s="55">
        <v>0.33</v>
      </c>
      <c r="J539" s="55">
        <v>0.21</v>
      </c>
      <c r="K539" s="55">
        <v>0.01</v>
      </c>
      <c r="L539" s="55">
        <v>4</v>
      </c>
      <c r="M539" s="54" t="s">
        <v>30</v>
      </c>
      <c r="N539" s="54" t="s">
        <v>1401</v>
      </c>
      <c r="O539" s="54" t="s">
        <v>6</v>
      </c>
      <c r="P539" s="54">
        <f t="shared" si="32"/>
        <v>0</v>
      </c>
      <c r="Q539">
        <f t="shared" si="33"/>
        <v>0</v>
      </c>
      <c r="R539">
        <f t="shared" si="34"/>
        <v>0</v>
      </c>
      <c r="S539" t="b">
        <f t="shared" si="35"/>
        <v>0</v>
      </c>
    </row>
    <row r="540" spans="1:19" x14ac:dyDescent="0.2">
      <c r="A540" s="54">
        <v>124615</v>
      </c>
      <c r="B540" s="54" t="s">
        <v>89</v>
      </c>
      <c r="C540" s="55">
        <v>148</v>
      </c>
      <c r="D540" s="55">
        <v>120</v>
      </c>
      <c r="E540" s="55">
        <v>51</v>
      </c>
      <c r="F540" s="55">
        <v>1656</v>
      </c>
      <c r="G540" s="55">
        <v>1209</v>
      </c>
      <c r="H540" s="55">
        <v>710</v>
      </c>
      <c r="I540" s="55">
        <v>13.8</v>
      </c>
      <c r="J540" s="55">
        <v>10.08</v>
      </c>
      <c r="K540" s="55">
        <v>5.92</v>
      </c>
      <c r="L540" s="55">
        <v>8</v>
      </c>
      <c r="M540" s="54" t="s">
        <v>47</v>
      </c>
      <c r="N540" s="54" t="s">
        <v>47</v>
      </c>
      <c r="O540" s="54" t="s">
        <v>6</v>
      </c>
      <c r="P540" s="54">
        <f t="shared" si="32"/>
        <v>148</v>
      </c>
      <c r="Q540">
        <f t="shared" si="33"/>
        <v>148</v>
      </c>
      <c r="R540">
        <f t="shared" si="34"/>
        <v>148</v>
      </c>
      <c r="S540" t="b">
        <f t="shared" si="35"/>
        <v>0</v>
      </c>
    </row>
    <row r="541" spans="1:19" x14ac:dyDescent="0.2">
      <c r="A541" s="54">
        <v>124863</v>
      </c>
      <c r="B541" s="54" t="s">
        <v>286</v>
      </c>
      <c r="C541" s="55">
        <v>114</v>
      </c>
      <c r="D541" s="55">
        <v>100</v>
      </c>
      <c r="E541" s="55">
        <v>8</v>
      </c>
      <c r="F541" s="55">
        <v>233</v>
      </c>
      <c r="G541" s="55">
        <v>231</v>
      </c>
      <c r="H541" s="55">
        <v>1</v>
      </c>
      <c r="I541" s="55">
        <v>2.33</v>
      </c>
      <c r="J541" s="55">
        <v>2.31</v>
      </c>
      <c r="K541" s="55">
        <v>0.01</v>
      </c>
      <c r="L541" s="55">
        <v>160</v>
      </c>
      <c r="M541" s="54" t="s">
        <v>43</v>
      </c>
      <c r="N541" s="54" t="s">
        <v>1400</v>
      </c>
      <c r="O541" s="54" t="s">
        <v>6</v>
      </c>
      <c r="P541" s="54">
        <f t="shared" si="32"/>
        <v>114</v>
      </c>
      <c r="Q541">
        <f t="shared" si="33"/>
        <v>114</v>
      </c>
      <c r="R541">
        <f t="shared" si="34"/>
        <v>114</v>
      </c>
      <c r="S541" t="b">
        <f t="shared" si="35"/>
        <v>0</v>
      </c>
    </row>
    <row r="542" spans="1:19" x14ac:dyDescent="0.2">
      <c r="A542" s="54">
        <v>125102</v>
      </c>
      <c r="B542" s="54" t="s">
        <v>1046</v>
      </c>
      <c r="C542" s="55">
        <v>25</v>
      </c>
      <c r="D542" s="55">
        <v>25</v>
      </c>
      <c r="E542" s="55">
        <v>3</v>
      </c>
      <c r="F542" s="55">
        <v>4</v>
      </c>
      <c r="G542" s="55">
        <v>4</v>
      </c>
      <c r="H542" s="55">
        <v>4</v>
      </c>
      <c r="I542" s="55">
        <v>0.16</v>
      </c>
      <c r="J542" s="55">
        <v>0.16</v>
      </c>
      <c r="K542" s="55">
        <v>0.16</v>
      </c>
      <c r="L542" s="55">
        <v>0</v>
      </c>
      <c r="M542" s="54" t="s">
        <v>30</v>
      </c>
      <c r="N542" s="54" t="s">
        <v>1401</v>
      </c>
      <c r="O542" s="54" t="s">
        <v>7</v>
      </c>
      <c r="P542" s="54">
        <f t="shared" si="32"/>
        <v>0</v>
      </c>
      <c r="Q542">
        <f t="shared" si="33"/>
        <v>0</v>
      </c>
      <c r="R542">
        <f t="shared" si="34"/>
        <v>0</v>
      </c>
      <c r="S542" t="b">
        <f t="shared" si="35"/>
        <v>0</v>
      </c>
    </row>
    <row r="543" spans="1:19" x14ac:dyDescent="0.2">
      <c r="A543" s="54">
        <v>125123</v>
      </c>
      <c r="B543" s="54" t="s">
        <v>1230</v>
      </c>
      <c r="C543" s="55">
        <v>119</v>
      </c>
      <c r="D543" s="55">
        <v>135</v>
      </c>
      <c r="E543" s="55">
        <v>0</v>
      </c>
      <c r="F543" s="55">
        <v>0</v>
      </c>
      <c r="G543" s="55">
        <v>0</v>
      </c>
      <c r="H543" s="55">
        <v>0</v>
      </c>
      <c r="I543" s="55">
        <v>0</v>
      </c>
      <c r="J543" s="55">
        <v>0</v>
      </c>
      <c r="K543" s="55">
        <v>0</v>
      </c>
      <c r="L543" s="55">
        <v>0</v>
      </c>
      <c r="M543" s="54" t="s">
        <v>30</v>
      </c>
      <c r="N543" s="54" t="s">
        <v>1401</v>
      </c>
      <c r="O543" s="54" t="s">
        <v>6</v>
      </c>
      <c r="P543" s="54">
        <f t="shared" si="32"/>
        <v>0</v>
      </c>
      <c r="Q543">
        <f t="shared" si="33"/>
        <v>0</v>
      </c>
      <c r="R543">
        <f t="shared" si="34"/>
        <v>0</v>
      </c>
      <c r="S543" t="b">
        <f t="shared" si="35"/>
        <v>0</v>
      </c>
    </row>
    <row r="544" spans="1:19" x14ac:dyDescent="0.2">
      <c r="A544" s="54">
        <v>125270</v>
      </c>
      <c r="B544" s="54" t="s">
        <v>1132</v>
      </c>
      <c r="C544" s="55">
        <v>41</v>
      </c>
      <c r="D544" s="55">
        <v>40</v>
      </c>
      <c r="E544" s="55">
        <v>0</v>
      </c>
      <c r="F544" s="55">
        <v>0</v>
      </c>
      <c r="G544" s="55">
        <v>0</v>
      </c>
      <c r="H544" s="55">
        <v>0</v>
      </c>
      <c r="I544" s="55">
        <v>0</v>
      </c>
      <c r="J544" s="55">
        <v>0</v>
      </c>
      <c r="K544" s="55">
        <v>0</v>
      </c>
      <c r="L544" s="55">
        <v>0</v>
      </c>
      <c r="M544" s="54" t="s">
        <v>30</v>
      </c>
      <c r="N544" s="54" t="s">
        <v>1401</v>
      </c>
      <c r="O544" s="54" t="s">
        <v>7</v>
      </c>
      <c r="P544" s="54">
        <f t="shared" si="32"/>
        <v>0</v>
      </c>
      <c r="Q544">
        <f t="shared" si="33"/>
        <v>0</v>
      </c>
      <c r="R544">
        <f t="shared" si="34"/>
        <v>0</v>
      </c>
      <c r="S544" t="b">
        <f t="shared" si="35"/>
        <v>0</v>
      </c>
    </row>
    <row r="545" spans="1:19" x14ac:dyDescent="0.2">
      <c r="A545" s="54">
        <v>125286</v>
      </c>
      <c r="B545" s="54" t="s">
        <v>865</v>
      </c>
      <c r="C545" s="55">
        <v>9</v>
      </c>
      <c r="D545" s="55">
        <v>9</v>
      </c>
      <c r="E545" s="55">
        <v>3</v>
      </c>
      <c r="F545" s="55">
        <v>0</v>
      </c>
      <c r="G545" s="55">
        <v>0</v>
      </c>
      <c r="H545" s="55">
        <v>0</v>
      </c>
      <c r="I545" s="55">
        <v>0</v>
      </c>
      <c r="J545" s="55">
        <v>0</v>
      </c>
      <c r="K545" s="55">
        <v>0</v>
      </c>
      <c r="L545" s="55">
        <v>0</v>
      </c>
      <c r="M545" s="54" t="s">
        <v>30</v>
      </c>
      <c r="N545" s="54" t="s">
        <v>1401</v>
      </c>
      <c r="O545" s="54" t="s">
        <v>7</v>
      </c>
      <c r="P545" s="54">
        <f t="shared" si="32"/>
        <v>0</v>
      </c>
      <c r="Q545">
        <f t="shared" si="33"/>
        <v>0</v>
      </c>
      <c r="R545">
        <f t="shared" si="34"/>
        <v>0</v>
      </c>
      <c r="S545" t="b">
        <f t="shared" si="35"/>
        <v>0</v>
      </c>
    </row>
    <row r="546" spans="1:19" x14ac:dyDescent="0.2">
      <c r="A546" s="54">
        <v>126094</v>
      </c>
      <c r="B546" s="54" t="s">
        <v>493</v>
      </c>
      <c r="C546" s="55">
        <v>36</v>
      </c>
      <c r="D546" s="55">
        <v>32</v>
      </c>
      <c r="E546" s="55">
        <v>26</v>
      </c>
      <c r="F546" s="55">
        <v>52</v>
      </c>
      <c r="G546" s="55">
        <v>45</v>
      </c>
      <c r="H546" s="55">
        <v>45</v>
      </c>
      <c r="I546" s="55">
        <v>1.63</v>
      </c>
      <c r="J546" s="55">
        <v>1.41</v>
      </c>
      <c r="K546" s="55">
        <v>1.41</v>
      </c>
      <c r="L546" s="55">
        <v>12</v>
      </c>
      <c r="M546" s="54" t="s">
        <v>47</v>
      </c>
      <c r="N546" s="54" t="s">
        <v>47</v>
      </c>
      <c r="O546" s="54" t="s">
        <v>7</v>
      </c>
      <c r="P546" s="54">
        <f t="shared" si="32"/>
        <v>36</v>
      </c>
      <c r="Q546">
        <f t="shared" si="33"/>
        <v>0</v>
      </c>
      <c r="R546">
        <f t="shared" si="34"/>
        <v>36</v>
      </c>
      <c r="S546" t="b">
        <f t="shared" si="35"/>
        <v>0</v>
      </c>
    </row>
    <row r="547" spans="1:19" x14ac:dyDescent="0.2">
      <c r="A547" s="54">
        <v>126651</v>
      </c>
      <c r="B547" s="54" t="s">
        <v>876</v>
      </c>
      <c r="C547" s="55">
        <v>10</v>
      </c>
      <c r="D547" s="55">
        <v>10</v>
      </c>
      <c r="E547" s="55">
        <v>1</v>
      </c>
      <c r="F547" s="55">
        <v>0</v>
      </c>
      <c r="G547" s="55">
        <v>0</v>
      </c>
      <c r="H547" s="55">
        <v>0</v>
      </c>
      <c r="I547" s="55">
        <v>0</v>
      </c>
      <c r="J547" s="55">
        <v>0</v>
      </c>
      <c r="K547" s="55">
        <v>0</v>
      </c>
      <c r="L547" s="55">
        <v>0</v>
      </c>
      <c r="M547" s="54" t="s">
        <v>30</v>
      </c>
      <c r="N547" s="54" t="s">
        <v>1401</v>
      </c>
      <c r="O547" s="54" t="s">
        <v>7</v>
      </c>
      <c r="P547" s="54">
        <f t="shared" si="32"/>
        <v>0</v>
      </c>
      <c r="Q547">
        <f t="shared" si="33"/>
        <v>0</v>
      </c>
      <c r="R547">
        <f t="shared" si="34"/>
        <v>0</v>
      </c>
      <c r="S547" t="b">
        <f t="shared" si="35"/>
        <v>0</v>
      </c>
    </row>
    <row r="548" spans="1:19" x14ac:dyDescent="0.2">
      <c r="A548" s="54">
        <v>126706</v>
      </c>
      <c r="B548" s="54" t="s">
        <v>656</v>
      </c>
      <c r="C548" s="55">
        <v>41</v>
      </c>
      <c r="D548" s="55">
        <v>35</v>
      </c>
      <c r="E548" s="55">
        <v>16</v>
      </c>
      <c r="F548" s="55">
        <v>2</v>
      </c>
      <c r="G548" s="55">
        <v>2</v>
      </c>
      <c r="H548" s="55">
        <v>2</v>
      </c>
      <c r="I548" s="55">
        <v>0.06</v>
      </c>
      <c r="J548" s="55">
        <v>0.06</v>
      </c>
      <c r="K548" s="55">
        <v>0.06</v>
      </c>
      <c r="L548" s="55">
        <v>9</v>
      </c>
      <c r="M548" s="54" t="s">
        <v>45</v>
      </c>
      <c r="N548" s="54" t="s">
        <v>47</v>
      </c>
      <c r="O548" s="54" t="s">
        <v>7</v>
      </c>
      <c r="P548" s="54">
        <f t="shared" si="32"/>
        <v>0</v>
      </c>
      <c r="Q548">
        <f t="shared" si="33"/>
        <v>0</v>
      </c>
      <c r="R548">
        <f t="shared" si="34"/>
        <v>0</v>
      </c>
      <c r="S548" t="b">
        <f t="shared" si="35"/>
        <v>0</v>
      </c>
    </row>
    <row r="549" spans="1:19" x14ac:dyDescent="0.2">
      <c r="A549" s="54">
        <v>126746</v>
      </c>
      <c r="B549" s="54" t="s">
        <v>163</v>
      </c>
      <c r="C549" s="55">
        <v>0</v>
      </c>
      <c r="D549" s="55">
        <v>516</v>
      </c>
      <c r="E549" s="55">
        <v>13</v>
      </c>
      <c r="F549" s="55">
        <v>557</v>
      </c>
      <c r="G549" s="55">
        <v>84</v>
      </c>
      <c r="H549" s="55">
        <v>78</v>
      </c>
      <c r="I549" s="55">
        <v>1.08</v>
      </c>
      <c r="J549" s="55">
        <v>0.16</v>
      </c>
      <c r="K549" s="55">
        <v>0.15</v>
      </c>
      <c r="L549" s="55">
        <v>3</v>
      </c>
      <c r="M549" s="54" t="s">
        <v>45</v>
      </c>
      <c r="N549" s="54" t="s">
        <v>47</v>
      </c>
      <c r="O549" s="54" t="s">
        <v>6</v>
      </c>
      <c r="P549" s="54">
        <f t="shared" si="32"/>
        <v>0</v>
      </c>
      <c r="Q549">
        <f t="shared" si="33"/>
        <v>0</v>
      </c>
      <c r="R549">
        <f t="shared" si="34"/>
        <v>0</v>
      </c>
      <c r="S549" t="b">
        <f t="shared" si="35"/>
        <v>0</v>
      </c>
    </row>
    <row r="550" spans="1:19" x14ac:dyDescent="0.2">
      <c r="A550" s="54">
        <v>127119</v>
      </c>
      <c r="B550" s="54" t="s">
        <v>321</v>
      </c>
      <c r="C550" s="55">
        <v>14</v>
      </c>
      <c r="D550" s="55">
        <v>14</v>
      </c>
      <c r="E550" s="55">
        <v>21</v>
      </c>
      <c r="F550" s="55">
        <v>144</v>
      </c>
      <c r="G550" s="55">
        <v>85</v>
      </c>
      <c r="H550" s="55">
        <v>71</v>
      </c>
      <c r="I550" s="55">
        <v>10.29</v>
      </c>
      <c r="J550" s="55">
        <v>6.07</v>
      </c>
      <c r="K550" s="55">
        <v>5.07</v>
      </c>
      <c r="L550" s="55">
        <v>21</v>
      </c>
      <c r="M550" s="54" t="s">
        <v>45</v>
      </c>
      <c r="N550" s="54" t="s">
        <v>47</v>
      </c>
      <c r="O550" s="54" t="s">
        <v>7</v>
      </c>
      <c r="P550" s="54">
        <f t="shared" si="32"/>
        <v>14</v>
      </c>
      <c r="Q550">
        <f t="shared" si="33"/>
        <v>14</v>
      </c>
      <c r="R550">
        <f t="shared" si="34"/>
        <v>14</v>
      </c>
      <c r="S550" t="b">
        <f t="shared" si="35"/>
        <v>0</v>
      </c>
    </row>
    <row r="551" spans="1:19" x14ac:dyDescent="0.2">
      <c r="A551" s="54">
        <v>127250</v>
      </c>
      <c r="B551" s="54" t="s">
        <v>68</v>
      </c>
      <c r="C551" s="55">
        <v>625</v>
      </c>
      <c r="D551" s="55">
        <v>470</v>
      </c>
      <c r="E551" s="55">
        <v>10</v>
      </c>
      <c r="F551" s="55">
        <v>945</v>
      </c>
      <c r="G551" s="55">
        <v>866</v>
      </c>
      <c r="H551" s="55">
        <v>267</v>
      </c>
      <c r="I551" s="55">
        <v>2.0099999999999998</v>
      </c>
      <c r="J551" s="55">
        <v>1.84</v>
      </c>
      <c r="K551" s="55">
        <v>0.56999999999999995</v>
      </c>
      <c r="L551" s="55">
        <v>29</v>
      </c>
      <c r="M551" s="54" t="s">
        <v>43</v>
      </c>
      <c r="N551" s="54" t="s">
        <v>1400</v>
      </c>
      <c r="O551" s="54" t="s">
        <v>6</v>
      </c>
      <c r="P551" s="54">
        <f t="shared" si="32"/>
        <v>625</v>
      </c>
      <c r="Q551">
        <f t="shared" si="33"/>
        <v>625</v>
      </c>
      <c r="R551">
        <f t="shared" si="34"/>
        <v>625</v>
      </c>
      <c r="S551" t="b">
        <f t="shared" si="35"/>
        <v>0</v>
      </c>
    </row>
    <row r="552" spans="1:19" x14ac:dyDescent="0.2">
      <c r="A552" s="54">
        <v>127392</v>
      </c>
      <c r="B552" s="54" t="s">
        <v>1198</v>
      </c>
      <c r="C552" s="55">
        <v>82</v>
      </c>
      <c r="D552" s="55">
        <v>80</v>
      </c>
      <c r="E552" s="55">
        <v>5</v>
      </c>
      <c r="F552" s="55">
        <v>116</v>
      </c>
      <c r="G552" s="55">
        <v>116</v>
      </c>
      <c r="H552" s="55">
        <v>0</v>
      </c>
      <c r="I552" s="55">
        <v>1.45</v>
      </c>
      <c r="J552" s="55">
        <v>1.45</v>
      </c>
      <c r="K552" s="55">
        <v>0</v>
      </c>
      <c r="L552" s="55">
        <v>69</v>
      </c>
      <c r="M552" s="54" t="s">
        <v>30</v>
      </c>
      <c r="N552" s="54" t="s">
        <v>1401</v>
      </c>
      <c r="O552" s="54" t="s">
        <v>7</v>
      </c>
      <c r="P552" s="54">
        <f t="shared" si="32"/>
        <v>82</v>
      </c>
      <c r="Q552">
        <f t="shared" si="33"/>
        <v>0</v>
      </c>
      <c r="R552">
        <f t="shared" si="34"/>
        <v>82</v>
      </c>
      <c r="S552" t="b">
        <f t="shared" si="35"/>
        <v>0</v>
      </c>
    </row>
    <row r="553" spans="1:19" x14ac:dyDescent="0.2">
      <c r="A553" s="54">
        <v>127414</v>
      </c>
      <c r="B553" s="54" t="s">
        <v>347</v>
      </c>
      <c r="C553" s="55">
        <v>59</v>
      </c>
      <c r="D553" s="55">
        <v>70</v>
      </c>
      <c r="E553" s="55">
        <v>9</v>
      </c>
      <c r="F553" s="55">
        <v>91</v>
      </c>
      <c r="G553" s="55">
        <v>20</v>
      </c>
      <c r="H553" s="55">
        <v>17</v>
      </c>
      <c r="I553" s="55">
        <v>1.3</v>
      </c>
      <c r="J553" s="55">
        <v>0.28999999999999998</v>
      </c>
      <c r="K553" s="55">
        <v>0.24</v>
      </c>
      <c r="L553" s="55">
        <v>0</v>
      </c>
      <c r="M553" s="54" t="s">
        <v>43</v>
      </c>
      <c r="N553" s="54" t="s">
        <v>1400</v>
      </c>
      <c r="O553" s="54" t="s">
        <v>7</v>
      </c>
      <c r="P553" s="54">
        <f t="shared" si="32"/>
        <v>0</v>
      </c>
      <c r="Q553">
        <f t="shared" si="33"/>
        <v>0</v>
      </c>
      <c r="R553">
        <f t="shared" si="34"/>
        <v>0</v>
      </c>
      <c r="S553" t="b">
        <f t="shared" si="35"/>
        <v>0</v>
      </c>
    </row>
    <row r="554" spans="1:19" x14ac:dyDescent="0.2">
      <c r="A554" s="54">
        <v>127501</v>
      </c>
      <c r="B554" s="54" t="s">
        <v>303</v>
      </c>
      <c r="C554" s="55">
        <v>33</v>
      </c>
      <c r="D554" s="55">
        <v>28</v>
      </c>
      <c r="E554" s="55">
        <v>11</v>
      </c>
      <c r="F554" s="55">
        <v>49</v>
      </c>
      <c r="G554" s="55">
        <v>28</v>
      </c>
      <c r="H554" s="55">
        <v>0</v>
      </c>
      <c r="I554" s="55">
        <v>1.75</v>
      </c>
      <c r="J554" s="55">
        <v>1</v>
      </c>
      <c r="K554" s="55">
        <v>0</v>
      </c>
      <c r="L554" s="55">
        <v>0</v>
      </c>
      <c r="M554" s="54" t="s">
        <v>43</v>
      </c>
      <c r="N554" s="54" t="s">
        <v>1400</v>
      </c>
      <c r="O554" s="54" t="s">
        <v>7</v>
      </c>
      <c r="P554" s="54">
        <f t="shared" si="32"/>
        <v>33</v>
      </c>
      <c r="Q554">
        <f t="shared" si="33"/>
        <v>0</v>
      </c>
      <c r="R554">
        <f t="shared" si="34"/>
        <v>33</v>
      </c>
      <c r="S554" t="b">
        <f t="shared" si="35"/>
        <v>0</v>
      </c>
    </row>
    <row r="555" spans="1:19" x14ac:dyDescent="0.2">
      <c r="A555" s="54">
        <v>128005</v>
      </c>
      <c r="B555" s="54" t="s">
        <v>745</v>
      </c>
      <c r="C555" s="55">
        <v>3</v>
      </c>
      <c r="D555" s="55">
        <v>3</v>
      </c>
      <c r="E555" s="55">
        <v>1</v>
      </c>
      <c r="F555" s="55">
        <v>0</v>
      </c>
      <c r="G555" s="55">
        <v>0</v>
      </c>
      <c r="H555" s="55">
        <v>0</v>
      </c>
      <c r="I555" s="55">
        <v>0</v>
      </c>
      <c r="J555" s="55">
        <v>0</v>
      </c>
      <c r="K555" s="55">
        <v>0</v>
      </c>
      <c r="L555" s="55">
        <v>0</v>
      </c>
      <c r="M555" s="54" t="s">
        <v>30</v>
      </c>
      <c r="N555" s="54" t="s">
        <v>1401</v>
      </c>
      <c r="O555" s="54" t="s">
        <v>7</v>
      </c>
      <c r="P555" s="54">
        <f t="shared" si="32"/>
        <v>0</v>
      </c>
      <c r="Q555">
        <f t="shared" si="33"/>
        <v>0</v>
      </c>
      <c r="R555">
        <f t="shared" si="34"/>
        <v>0</v>
      </c>
      <c r="S555" t="b">
        <f t="shared" si="35"/>
        <v>0</v>
      </c>
    </row>
    <row r="556" spans="1:19" x14ac:dyDescent="0.2">
      <c r="A556" s="54">
        <v>128220</v>
      </c>
      <c r="B556" s="54" t="s">
        <v>448</v>
      </c>
      <c r="C556" s="55">
        <v>14</v>
      </c>
      <c r="D556" s="55">
        <v>11</v>
      </c>
      <c r="E556" s="55">
        <v>15</v>
      </c>
      <c r="F556" s="55">
        <v>31</v>
      </c>
      <c r="G556" s="55">
        <v>24</v>
      </c>
      <c r="H556" s="55">
        <v>10</v>
      </c>
      <c r="I556" s="55">
        <v>2.82</v>
      </c>
      <c r="J556" s="55">
        <v>2.1800000000000002</v>
      </c>
      <c r="K556" s="55">
        <v>0.91</v>
      </c>
      <c r="L556" s="55">
        <v>0</v>
      </c>
      <c r="M556" s="54" t="s">
        <v>45</v>
      </c>
      <c r="N556" s="54" t="s">
        <v>47</v>
      </c>
      <c r="O556" s="54" t="s">
        <v>7</v>
      </c>
      <c r="P556" s="54">
        <f t="shared" si="32"/>
        <v>14</v>
      </c>
      <c r="Q556">
        <f t="shared" si="33"/>
        <v>14</v>
      </c>
      <c r="R556">
        <f t="shared" si="34"/>
        <v>14</v>
      </c>
      <c r="S556" t="b">
        <f t="shared" si="35"/>
        <v>0</v>
      </c>
    </row>
    <row r="557" spans="1:19" x14ac:dyDescent="0.2">
      <c r="A557" s="54">
        <v>128243</v>
      </c>
      <c r="B557" s="54" t="s">
        <v>636</v>
      </c>
      <c r="C557" s="55">
        <v>1</v>
      </c>
      <c r="D557" s="55">
        <v>20</v>
      </c>
      <c r="E557" s="55">
        <v>50</v>
      </c>
      <c r="F557" s="55">
        <v>0</v>
      </c>
      <c r="G557" s="55">
        <v>0</v>
      </c>
      <c r="H557" s="55">
        <v>0</v>
      </c>
      <c r="I557" s="55">
        <v>0</v>
      </c>
      <c r="J557" s="55">
        <v>0</v>
      </c>
      <c r="K557" s="55">
        <v>0</v>
      </c>
      <c r="L557" s="55">
        <v>0</v>
      </c>
      <c r="M557" s="54" t="s">
        <v>47</v>
      </c>
      <c r="N557" s="54" t="s">
        <v>47</v>
      </c>
      <c r="O557" s="54" t="s">
        <v>7</v>
      </c>
      <c r="P557" s="54">
        <f t="shared" si="32"/>
        <v>0</v>
      </c>
      <c r="Q557">
        <f t="shared" si="33"/>
        <v>0</v>
      </c>
      <c r="R557">
        <f t="shared" si="34"/>
        <v>0</v>
      </c>
      <c r="S557" t="b">
        <f t="shared" si="35"/>
        <v>0</v>
      </c>
    </row>
    <row r="558" spans="1:19" x14ac:dyDescent="0.2">
      <c r="A558" s="54">
        <v>128428</v>
      </c>
      <c r="B558" s="54" t="s">
        <v>1346</v>
      </c>
      <c r="C558" s="55">
        <v>0</v>
      </c>
      <c r="D558" s="55">
        <v>135</v>
      </c>
      <c r="E558" s="55">
        <v>0</v>
      </c>
      <c r="F558" s="55">
        <v>0</v>
      </c>
      <c r="G558" s="55">
        <v>0</v>
      </c>
      <c r="H558" s="55">
        <v>0</v>
      </c>
      <c r="I558" s="55">
        <v>0</v>
      </c>
      <c r="J558" s="55">
        <v>0</v>
      </c>
      <c r="K558" s="55">
        <v>0</v>
      </c>
      <c r="L558" s="55">
        <v>0</v>
      </c>
      <c r="M558" s="54" t="s">
        <v>30</v>
      </c>
      <c r="N558" s="54" t="s">
        <v>1401</v>
      </c>
      <c r="O558" s="54" t="s">
        <v>6</v>
      </c>
      <c r="P558" s="54">
        <f t="shared" si="32"/>
        <v>0</v>
      </c>
      <c r="Q558">
        <f t="shared" si="33"/>
        <v>0</v>
      </c>
      <c r="R558">
        <f t="shared" si="34"/>
        <v>0</v>
      </c>
      <c r="S558" t="b">
        <f t="shared" si="35"/>
        <v>0</v>
      </c>
    </row>
    <row r="559" spans="1:19" x14ac:dyDescent="0.2">
      <c r="A559" s="54">
        <v>128688</v>
      </c>
      <c r="B559" s="54" t="s">
        <v>533</v>
      </c>
      <c r="C559" s="55">
        <v>89</v>
      </c>
      <c r="D559" s="55">
        <v>89</v>
      </c>
      <c r="E559" s="55">
        <v>23</v>
      </c>
      <c r="F559" s="55">
        <v>11</v>
      </c>
      <c r="G559" s="55">
        <v>11</v>
      </c>
      <c r="H559" s="55">
        <v>0</v>
      </c>
      <c r="I559" s="55">
        <v>0.12</v>
      </c>
      <c r="J559" s="55">
        <v>0.12</v>
      </c>
      <c r="K559" s="55">
        <v>0</v>
      </c>
      <c r="L559" s="55">
        <v>0</v>
      </c>
      <c r="M559" s="54" t="s">
        <v>45</v>
      </c>
      <c r="N559" s="54" t="s">
        <v>47</v>
      </c>
      <c r="O559" s="54" t="s">
        <v>7</v>
      </c>
      <c r="P559" s="54">
        <f t="shared" si="32"/>
        <v>0</v>
      </c>
      <c r="Q559">
        <f t="shared" si="33"/>
        <v>0</v>
      </c>
      <c r="R559">
        <f t="shared" si="34"/>
        <v>0</v>
      </c>
      <c r="S559" t="b">
        <f t="shared" si="35"/>
        <v>0</v>
      </c>
    </row>
    <row r="560" spans="1:19" x14ac:dyDescent="0.2">
      <c r="A560" s="54">
        <v>128761</v>
      </c>
      <c r="B560" s="54" t="s">
        <v>1160</v>
      </c>
      <c r="C560" s="55">
        <v>55</v>
      </c>
      <c r="D560" s="55">
        <v>50</v>
      </c>
      <c r="E560" s="55">
        <v>2</v>
      </c>
      <c r="F560" s="55">
        <v>241</v>
      </c>
      <c r="G560" s="55">
        <v>241</v>
      </c>
      <c r="H560" s="55">
        <v>241</v>
      </c>
      <c r="I560" s="55">
        <v>4.82</v>
      </c>
      <c r="J560" s="55">
        <v>4.82</v>
      </c>
      <c r="K560" s="55">
        <v>4.82</v>
      </c>
      <c r="L560" s="55">
        <v>49</v>
      </c>
      <c r="M560" s="54" t="s">
        <v>30</v>
      </c>
      <c r="N560" s="54" t="s">
        <v>1401</v>
      </c>
      <c r="O560" s="54" t="s">
        <v>7</v>
      </c>
      <c r="P560" s="54">
        <f t="shared" si="32"/>
        <v>55</v>
      </c>
      <c r="Q560">
        <f t="shared" si="33"/>
        <v>55</v>
      </c>
      <c r="R560">
        <f t="shared" si="34"/>
        <v>55</v>
      </c>
      <c r="S560" t="b">
        <f t="shared" si="35"/>
        <v>0</v>
      </c>
    </row>
    <row r="561" spans="1:19" x14ac:dyDescent="0.2">
      <c r="A561" s="54">
        <v>128775</v>
      </c>
      <c r="B561" s="54" t="s">
        <v>109</v>
      </c>
      <c r="C561" s="55">
        <v>12</v>
      </c>
      <c r="D561" s="55">
        <v>586</v>
      </c>
      <c r="E561" s="55">
        <v>12</v>
      </c>
      <c r="F561" s="55">
        <v>1030</v>
      </c>
      <c r="G561" s="55">
        <v>435</v>
      </c>
      <c r="H561" s="55">
        <v>86</v>
      </c>
      <c r="I561" s="55">
        <v>1.76</v>
      </c>
      <c r="J561" s="55">
        <v>0.74</v>
      </c>
      <c r="K561" s="55">
        <v>0.15</v>
      </c>
      <c r="L561" s="55">
        <v>284</v>
      </c>
      <c r="M561" s="54" t="s">
        <v>43</v>
      </c>
      <c r="N561" s="54" t="s">
        <v>1400</v>
      </c>
      <c r="O561" s="54" t="s">
        <v>5</v>
      </c>
      <c r="P561" s="54">
        <f t="shared" si="32"/>
        <v>0</v>
      </c>
      <c r="Q561">
        <f t="shared" si="33"/>
        <v>0</v>
      </c>
      <c r="R561">
        <f t="shared" si="34"/>
        <v>0</v>
      </c>
      <c r="S561" t="b">
        <f t="shared" si="35"/>
        <v>0</v>
      </c>
    </row>
    <row r="562" spans="1:19" x14ac:dyDescent="0.2">
      <c r="A562" s="54">
        <v>128823</v>
      </c>
      <c r="B562" s="54" t="s">
        <v>1083</v>
      </c>
      <c r="C562" s="55">
        <v>30</v>
      </c>
      <c r="D562" s="55">
        <v>30</v>
      </c>
      <c r="E562" s="55">
        <v>4</v>
      </c>
      <c r="F562" s="55">
        <v>3</v>
      </c>
      <c r="G562" s="55">
        <v>3</v>
      </c>
      <c r="H562" s="55">
        <v>0</v>
      </c>
      <c r="I562" s="55">
        <v>0.1</v>
      </c>
      <c r="J562" s="55">
        <v>0.1</v>
      </c>
      <c r="K562" s="55">
        <v>0</v>
      </c>
      <c r="L562" s="55">
        <v>0</v>
      </c>
      <c r="M562" s="54" t="s">
        <v>30</v>
      </c>
      <c r="N562" s="54" t="s">
        <v>1401</v>
      </c>
      <c r="O562" s="54" t="s">
        <v>7</v>
      </c>
      <c r="P562" s="54">
        <f t="shared" si="32"/>
        <v>0</v>
      </c>
      <c r="Q562">
        <f t="shared" si="33"/>
        <v>0</v>
      </c>
      <c r="R562">
        <f t="shared" si="34"/>
        <v>0</v>
      </c>
      <c r="S562" t="b">
        <f t="shared" si="35"/>
        <v>0</v>
      </c>
    </row>
    <row r="563" spans="1:19" x14ac:dyDescent="0.2">
      <c r="A563" s="54">
        <v>128946</v>
      </c>
      <c r="B563" s="54" t="s">
        <v>1095</v>
      </c>
      <c r="C563" s="55">
        <v>32</v>
      </c>
      <c r="D563" s="55">
        <v>27</v>
      </c>
      <c r="E563" s="55">
        <v>5</v>
      </c>
      <c r="F563" s="55">
        <v>0</v>
      </c>
      <c r="G563" s="55">
        <v>0</v>
      </c>
      <c r="H563" s="55">
        <v>0</v>
      </c>
      <c r="I563" s="55">
        <v>0</v>
      </c>
      <c r="J563" s="55">
        <v>0</v>
      </c>
      <c r="K563" s="55">
        <v>0</v>
      </c>
      <c r="L563" s="55">
        <v>0</v>
      </c>
      <c r="M563" s="54" t="s">
        <v>30</v>
      </c>
      <c r="N563" s="54" t="s">
        <v>1401</v>
      </c>
      <c r="O563" s="54" t="s">
        <v>7</v>
      </c>
      <c r="P563" s="54">
        <f t="shared" si="32"/>
        <v>0</v>
      </c>
      <c r="Q563">
        <f t="shared" si="33"/>
        <v>0</v>
      </c>
      <c r="R563">
        <f t="shared" si="34"/>
        <v>0</v>
      </c>
      <c r="S563" t="b">
        <f t="shared" si="35"/>
        <v>0</v>
      </c>
    </row>
    <row r="564" spans="1:19" x14ac:dyDescent="0.2">
      <c r="A564" s="54">
        <v>129030</v>
      </c>
      <c r="B564" s="54" t="s">
        <v>954</v>
      </c>
      <c r="C564" s="55">
        <v>15</v>
      </c>
      <c r="D564" s="55">
        <v>15</v>
      </c>
      <c r="E564" s="55">
        <v>2</v>
      </c>
      <c r="F564" s="55">
        <v>2</v>
      </c>
      <c r="G564" s="55">
        <v>2</v>
      </c>
      <c r="H564" s="55">
        <v>2</v>
      </c>
      <c r="I564" s="55">
        <v>0.13</v>
      </c>
      <c r="J564" s="55">
        <v>0.13</v>
      </c>
      <c r="K564" s="55">
        <v>0.13</v>
      </c>
      <c r="L564" s="55">
        <v>0</v>
      </c>
      <c r="M564" s="54" t="s">
        <v>30</v>
      </c>
      <c r="N564" s="54" t="s">
        <v>1401</v>
      </c>
      <c r="O564" s="54" t="s">
        <v>7</v>
      </c>
      <c r="P564" s="54">
        <f t="shared" si="32"/>
        <v>0</v>
      </c>
      <c r="Q564">
        <f t="shared" si="33"/>
        <v>0</v>
      </c>
      <c r="R564">
        <f t="shared" si="34"/>
        <v>0</v>
      </c>
      <c r="S564" t="b">
        <f t="shared" si="35"/>
        <v>0</v>
      </c>
    </row>
    <row r="565" spans="1:19" x14ac:dyDescent="0.2">
      <c r="A565" s="54">
        <v>129050</v>
      </c>
      <c r="B565" s="54" t="s">
        <v>997</v>
      </c>
      <c r="C565" s="55">
        <v>18</v>
      </c>
      <c r="D565" s="55">
        <v>19</v>
      </c>
      <c r="E565" s="55">
        <v>0</v>
      </c>
      <c r="F565" s="55">
        <v>0</v>
      </c>
      <c r="G565" s="55">
        <v>0</v>
      </c>
      <c r="H565" s="55">
        <v>0</v>
      </c>
      <c r="I565" s="55">
        <v>0</v>
      </c>
      <c r="J565" s="55">
        <v>0</v>
      </c>
      <c r="K565" s="55">
        <v>0</v>
      </c>
      <c r="L565" s="55">
        <v>0</v>
      </c>
      <c r="M565" s="54" t="s">
        <v>30</v>
      </c>
      <c r="N565" s="54" t="s">
        <v>1401</v>
      </c>
      <c r="O565" s="54" t="s">
        <v>7</v>
      </c>
      <c r="P565" s="54">
        <f t="shared" si="32"/>
        <v>0</v>
      </c>
      <c r="Q565">
        <f t="shared" si="33"/>
        <v>0</v>
      </c>
      <c r="R565">
        <f t="shared" si="34"/>
        <v>0</v>
      </c>
      <c r="S565" t="b">
        <f t="shared" si="35"/>
        <v>0</v>
      </c>
    </row>
    <row r="566" spans="1:19" x14ac:dyDescent="0.2">
      <c r="A566" s="54">
        <v>129179</v>
      </c>
      <c r="B566" s="54" t="s">
        <v>180</v>
      </c>
      <c r="C566" s="55">
        <v>12</v>
      </c>
      <c r="D566" s="55">
        <v>52</v>
      </c>
      <c r="E566" s="55">
        <v>9</v>
      </c>
      <c r="F566" s="55">
        <v>447</v>
      </c>
      <c r="G566" s="55">
        <v>30</v>
      </c>
      <c r="H566" s="55">
        <v>0</v>
      </c>
      <c r="I566" s="55">
        <v>8.6</v>
      </c>
      <c r="J566" s="55">
        <v>0.57999999999999996</v>
      </c>
      <c r="K566" s="55">
        <v>0</v>
      </c>
      <c r="L566" s="55">
        <v>0</v>
      </c>
      <c r="M566" s="54" t="s">
        <v>43</v>
      </c>
      <c r="N566" s="54" t="s">
        <v>1400</v>
      </c>
      <c r="O566" s="54" t="s">
        <v>7</v>
      </c>
      <c r="P566" s="54">
        <f t="shared" si="32"/>
        <v>12</v>
      </c>
      <c r="Q566">
        <f t="shared" si="33"/>
        <v>12</v>
      </c>
      <c r="R566">
        <f t="shared" si="34"/>
        <v>0</v>
      </c>
      <c r="S566" t="b">
        <f t="shared" si="35"/>
        <v>0</v>
      </c>
    </row>
    <row r="567" spans="1:19" x14ac:dyDescent="0.2">
      <c r="A567" s="54">
        <v>129200</v>
      </c>
      <c r="B567" s="54" t="s">
        <v>296</v>
      </c>
      <c r="C567" s="55">
        <v>216</v>
      </c>
      <c r="D567" s="55">
        <v>210</v>
      </c>
      <c r="E567" s="55">
        <v>33</v>
      </c>
      <c r="F567" s="55">
        <v>138</v>
      </c>
      <c r="G567" s="55">
        <v>85</v>
      </c>
      <c r="H567" s="55">
        <v>8</v>
      </c>
      <c r="I567" s="55">
        <v>0.66</v>
      </c>
      <c r="J567" s="55">
        <v>0.4</v>
      </c>
      <c r="K567" s="55">
        <v>0.04</v>
      </c>
      <c r="L567" s="55">
        <v>5</v>
      </c>
      <c r="M567" s="54" t="s">
        <v>47</v>
      </c>
      <c r="N567" s="54" t="s">
        <v>47</v>
      </c>
      <c r="O567" s="54" t="s">
        <v>6</v>
      </c>
      <c r="P567" s="54">
        <f t="shared" si="32"/>
        <v>0</v>
      </c>
      <c r="Q567">
        <f t="shared" si="33"/>
        <v>0</v>
      </c>
      <c r="R567">
        <f t="shared" si="34"/>
        <v>0</v>
      </c>
      <c r="S567" t="b">
        <f t="shared" si="35"/>
        <v>0</v>
      </c>
    </row>
    <row r="568" spans="1:19" x14ac:dyDescent="0.2">
      <c r="A568" s="54">
        <v>129206</v>
      </c>
      <c r="B568" s="54" t="s">
        <v>949</v>
      </c>
      <c r="C568" s="55">
        <v>15</v>
      </c>
      <c r="D568" s="55">
        <v>1</v>
      </c>
      <c r="E568" s="55">
        <v>1</v>
      </c>
      <c r="F568" s="55">
        <v>0</v>
      </c>
      <c r="G568" s="55">
        <v>0</v>
      </c>
      <c r="H568" s="55">
        <v>0</v>
      </c>
      <c r="I568" s="55">
        <v>0</v>
      </c>
      <c r="J568" s="55">
        <v>0</v>
      </c>
      <c r="K568" s="55">
        <v>0</v>
      </c>
      <c r="L568" s="55">
        <v>0</v>
      </c>
      <c r="M568" s="54" t="s">
        <v>30</v>
      </c>
      <c r="N568" s="54" t="s">
        <v>1401</v>
      </c>
      <c r="O568" s="54" t="s">
        <v>7</v>
      </c>
      <c r="P568" s="54">
        <f t="shared" si="32"/>
        <v>0</v>
      </c>
      <c r="Q568">
        <f t="shared" si="33"/>
        <v>0</v>
      </c>
      <c r="R568">
        <f t="shared" si="34"/>
        <v>0</v>
      </c>
      <c r="S568" t="b">
        <f t="shared" si="35"/>
        <v>0</v>
      </c>
    </row>
    <row r="569" spans="1:19" x14ac:dyDescent="0.2">
      <c r="A569" s="54">
        <v>129244</v>
      </c>
      <c r="B569" s="54" t="s">
        <v>421</v>
      </c>
      <c r="C569" s="55">
        <v>215</v>
      </c>
      <c r="D569" s="55">
        <v>1050</v>
      </c>
      <c r="E569" s="55">
        <v>10</v>
      </c>
      <c r="F569" s="55">
        <v>147</v>
      </c>
      <c r="G569" s="55">
        <v>70</v>
      </c>
      <c r="H569" s="55">
        <v>70</v>
      </c>
      <c r="I569" s="55">
        <v>0.14000000000000001</v>
      </c>
      <c r="J569" s="55">
        <v>7.0000000000000007E-2</v>
      </c>
      <c r="K569" s="55">
        <v>7.0000000000000007E-2</v>
      </c>
      <c r="L569" s="55">
        <v>134</v>
      </c>
      <c r="M569" s="54" t="s">
        <v>43</v>
      </c>
      <c r="N569" s="54" t="s">
        <v>1400</v>
      </c>
      <c r="O569" s="54" t="s">
        <v>5</v>
      </c>
      <c r="P569" s="54">
        <f t="shared" si="32"/>
        <v>0</v>
      </c>
      <c r="Q569">
        <f t="shared" si="33"/>
        <v>0</v>
      </c>
      <c r="R569">
        <f t="shared" si="34"/>
        <v>0</v>
      </c>
      <c r="S569" t="b">
        <f t="shared" si="35"/>
        <v>0</v>
      </c>
    </row>
    <row r="570" spans="1:19" x14ac:dyDescent="0.2">
      <c r="A570" s="54">
        <v>129364</v>
      </c>
      <c r="B570" s="54" t="s">
        <v>82</v>
      </c>
      <c r="C570" s="55">
        <v>209</v>
      </c>
      <c r="D570" s="55">
        <v>233</v>
      </c>
      <c r="E570" s="55">
        <v>10</v>
      </c>
      <c r="F570" s="55">
        <v>1767</v>
      </c>
      <c r="G570" s="55">
        <v>1695</v>
      </c>
      <c r="H570" s="55">
        <v>1468</v>
      </c>
      <c r="I570" s="55">
        <v>7.58</v>
      </c>
      <c r="J570" s="55">
        <v>7.27</v>
      </c>
      <c r="K570" s="55">
        <v>6.3</v>
      </c>
      <c r="L570" s="55">
        <v>62</v>
      </c>
      <c r="M570" s="54" t="s">
        <v>43</v>
      </c>
      <c r="N570" s="54" t="s">
        <v>1400</v>
      </c>
      <c r="O570" s="54" t="s">
        <v>6</v>
      </c>
      <c r="P570" s="54">
        <f t="shared" si="32"/>
        <v>209</v>
      </c>
      <c r="Q570">
        <f t="shared" si="33"/>
        <v>209</v>
      </c>
      <c r="R570">
        <f t="shared" si="34"/>
        <v>209</v>
      </c>
      <c r="S570" t="b">
        <f t="shared" si="35"/>
        <v>0</v>
      </c>
    </row>
    <row r="571" spans="1:19" x14ac:dyDescent="0.2">
      <c r="A571" s="54">
        <v>129372</v>
      </c>
      <c r="B571" s="54" t="s">
        <v>1012</v>
      </c>
      <c r="C571" s="55">
        <v>20</v>
      </c>
      <c r="D571" s="55">
        <v>17</v>
      </c>
      <c r="E571" s="55">
        <v>3</v>
      </c>
      <c r="F571" s="55">
        <v>0</v>
      </c>
      <c r="G571" s="55">
        <v>0</v>
      </c>
      <c r="H571" s="55">
        <v>0</v>
      </c>
      <c r="I571" s="55">
        <v>0</v>
      </c>
      <c r="J571" s="55">
        <v>0</v>
      </c>
      <c r="K571" s="55">
        <v>0</v>
      </c>
      <c r="L571" s="55">
        <v>0</v>
      </c>
      <c r="M571" s="54" t="s">
        <v>30</v>
      </c>
      <c r="N571" s="54" t="s">
        <v>1401</v>
      </c>
      <c r="O571" s="54" t="s">
        <v>7</v>
      </c>
      <c r="P571" s="54">
        <f t="shared" si="32"/>
        <v>0</v>
      </c>
      <c r="Q571">
        <f t="shared" si="33"/>
        <v>0</v>
      </c>
      <c r="R571">
        <f t="shared" si="34"/>
        <v>0</v>
      </c>
      <c r="S571" t="b">
        <f t="shared" si="35"/>
        <v>0</v>
      </c>
    </row>
    <row r="572" spans="1:19" x14ac:dyDescent="0.2">
      <c r="A572" s="54">
        <v>130140</v>
      </c>
      <c r="B572" s="54" t="s">
        <v>541</v>
      </c>
      <c r="C572" s="55">
        <v>7</v>
      </c>
      <c r="D572" s="55">
        <v>7</v>
      </c>
      <c r="E572" s="55">
        <v>22</v>
      </c>
      <c r="F572" s="55">
        <v>10</v>
      </c>
      <c r="G572" s="55">
        <v>10</v>
      </c>
      <c r="H572" s="55">
        <v>0</v>
      </c>
      <c r="I572" s="55">
        <v>1.43</v>
      </c>
      <c r="J572" s="55">
        <v>1.43</v>
      </c>
      <c r="K572" s="55">
        <v>0</v>
      </c>
      <c r="L572" s="55">
        <v>3</v>
      </c>
      <c r="M572" s="54" t="s">
        <v>45</v>
      </c>
      <c r="N572" s="54" t="s">
        <v>47</v>
      </c>
      <c r="O572" s="54" t="s">
        <v>7</v>
      </c>
      <c r="P572" s="54">
        <f t="shared" si="32"/>
        <v>7</v>
      </c>
      <c r="Q572">
        <f t="shared" si="33"/>
        <v>0</v>
      </c>
      <c r="R572">
        <f t="shared" si="34"/>
        <v>7</v>
      </c>
      <c r="S572" t="b">
        <f t="shared" si="35"/>
        <v>0</v>
      </c>
    </row>
    <row r="573" spans="1:19" x14ac:dyDescent="0.2">
      <c r="A573" s="54">
        <v>130683</v>
      </c>
      <c r="B573" s="54" t="s">
        <v>719</v>
      </c>
      <c r="C573" s="55">
        <v>2</v>
      </c>
      <c r="D573" s="55">
        <v>5</v>
      </c>
      <c r="E573" s="55">
        <v>2</v>
      </c>
      <c r="F573" s="55">
        <v>73</v>
      </c>
      <c r="G573" s="55">
        <v>45</v>
      </c>
      <c r="H573" s="55">
        <v>45</v>
      </c>
      <c r="I573" s="55">
        <v>14.6</v>
      </c>
      <c r="J573" s="55">
        <v>9</v>
      </c>
      <c r="K573" s="55">
        <v>9</v>
      </c>
      <c r="L573" s="55">
        <v>61</v>
      </c>
      <c r="M573" s="54" t="s">
        <v>30</v>
      </c>
      <c r="N573" s="54" t="s">
        <v>1401</v>
      </c>
      <c r="O573" s="54" t="s">
        <v>7</v>
      </c>
      <c r="P573" s="54">
        <f t="shared" si="32"/>
        <v>2</v>
      </c>
      <c r="Q573">
        <f t="shared" si="33"/>
        <v>2</v>
      </c>
      <c r="R573">
        <f t="shared" si="34"/>
        <v>2</v>
      </c>
      <c r="S573" t="b">
        <f t="shared" si="35"/>
        <v>0</v>
      </c>
    </row>
    <row r="574" spans="1:19" x14ac:dyDescent="0.2">
      <c r="A574" s="54">
        <v>130859</v>
      </c>
      <c r="B574" s="54" t="s">
        <v>1131</v>
      </c>
      <c r="C574" s="55">
        <v>41</v>
      </c>
      <c r="D574" s="55">
        <v>39</v>
      </c>
      <c r="E574" s="55">
        <v>2</v>
      </c>
      <c r="F574" s="55">
        <v>0</v>
      </c>
      <c r="G574" s="55">
        <v>0</v>
      </c>
      <c r="H574" s="55">
        <v>0</v>
      </c>
      <c r="I574" s="55">
        <v>0</v>
      </c>
      <c r="J574" s="55">
        <v>0</v>
      </c>
      <c r="K574" s="55">
        <v>0</v>
      </c>
      <c r="L574" s="55">
        <v>0</v>
      </c>
      <c r="M574" s="54" t="s">
        <v>30</v>
      </c>
      <c r="N574" s="54" t="s">
        <v>1401</v>
      </c>
      <c r="O574" s="54" t="s">
        <v>7</v>
      </c>
      <c r="P574" s="54">
        <f t="shared" si="32"/>
        <v>0</v>
      </c>
      <c r="Q574">
        <f t="shared" si="33"/>
        <v>0</v>
      </c>
      <c r="R574">
        <f t="shared" si="34"/>
        <v>0</v>
      </c>
      <c r="S574" t="b">
        <f t="shared" si="35"/>
        <v>0</v>
      </c>
    </row>
    <row r="575" spans="1:19" x14ac:dyDescent="0.2">
      <c r="A575" s="54">
        <v>130931</v>
      </c>
      <c r="B575" s="54" t="s">
        <v>1056</v>
      </c>
      <c r="C575" s="55">
        <v>26</v>
      </c>
      <c r="D575" s="55">
        <v>23</v>
      </c>
      <c r="E575" s="55">
        <v>2</v>
      </c>
      <c r="F575" s="55">
        <v>8</v>
      </c>
      <c r="G575" s="55">
        <v>8</v>
      </c>
      <c r="H575" s="55">
        <v>8</v>
      </c>
      <c r="I575" s="55">
        <v>0.35</v>
      </c>
      <c r="J575" s="55">
        <v>0.35</v>
      </c>
      <c r="K575" s="55">
        <v>0.35</v>
      </c>
      <c r="L575" s="55">
        <v>6</v>
      </c>
      <c r="M575" s="54" t="s">
        <v>30</v>
      </c>
      <c r="N575" s="54" t="s">
        <v>1401</v>
      </c>
      <c r="O575" s="54" t="s">
        <v>7</v>
      </c>
      <c r="P575" s="54">
        <f t="shared" si="32"/>
        <v>0</v>
      </c>
      <c r="Q575">
        <f t="shared" si="33"/>
        <v>0</v>
      </c>
      <c r="R575">
        <f t="shared" si="34"/>
        <v>0</v>
      </c>
      <c r="S575" t="b">
        <f t="shared" si="35"/>
        <v>0</v>
      </c>
    </row>
    <row r="576" spans="1:19" x14ac:dyDescent="0.2">
      <c r="A576" s="54">
        <v>131884</v>
      </c>
      <c r="B576" s="54" t="s">
        <v>386</v>
      </c>
      <c r="C576" s="55">
        <v>82</v>
      </c>
      <c r="D576" s="55">
        <v>95</v>
      </c>
      <c r="E576" s="55">
        <v>10</v>
      </c>
      <c r="F576" s="55">
        <v>89</v>
      </c>
      <c r="G576" s="55">
        <v>0</v>
      </c>
      <c r="H576" s="55">
        <v>0</v>
      </c>
      <c r="I576" s="55">
        <v>0.94</v>
      </c>
      <c r="J576" s="55">
        <v>0</v>
      </c>
      <c r="K576" s="55">
        <v>0</v>
      </c>
      <c r="L576" s="55">
        <v>0</v>
      </c>
      <c r="M576" s="54" t="s">
        <v>43</v>
      </c>
      <c r="N576" s="54" t="s">
        <v>1400</v>
      </c>
      <c r="O576" s="54" t="s">
        <v>7</v>
      </c>
      <c r="P576" s="54">
        <f t="shared" si="32"/>
        <v>0</v>
      </c>
      <c r="Q576">
        <f t="shared" si="33"/>
        <v>0</v>
      </c>
      <c r="R576">
        <f t="shared" si="34"/>
        <v>0</v>
      </c>
      <c r="S576" t="b">
        <f t="shared" si="35"/>
        <v>0</v>
      </c>
    </row>
    <row r="577" spans="1:19" x14ac:dyDescent="0.2">
      <c r="A577" s="54">
        <v>132066</v>
      </c>
      <c r="B577" s="54" t="s">
        <v>271</v>
      </c>
      <c r="C577" s="55">
        <v>133</v>
      </c>
      <c r="D577" s="55">
        <v>140</v>
      </c>
      <c r="E577" s="55">
        <v>25</v>
      </c>
      <c r="F577" s="55">
        <v>156</v>
      </c>
      <c r="G577" s="55">
        <v>91</v>
      </c>
      <c r="H577" s="55">
        <v>32</v>
      </c>
      <c r="I577" s="55">
        <v>1.1100000000000001</v>
      </c>
      <c r="J577" s="55">
        <v>0.65</v>
      </c>
      <c r="K577" s="55">
        <v>0.23</v>
      </c>
      <c r="L577" s="55">
        <v>0</v>
      </c>
      <c r="M577" s="54" t="s">
        <v>47</v>
      </c>
      <c r="N577" s="54" t="s">
        <v>47</v>
      </c>
      <c r="O577" s="54" t="s">
        <v>6</v>
      </c>
      <c r="P577" s="54">
        <f t="shared" si="32"/>
        <v>0</v>
      </c>
      <c r="Q577">
        <f t="shared" si="33"/>
        <v>0</v>
      </c>
      <c r="R577">
        <f t="shared" si="34"/>
        <v>0</v>
      </c>
      <c r="S577" t="b">
        <f t="shared" si="35"/>
        <v>0</v>
      </c>
    </row>
    <row r="578" spans="1:19" x14ac:dyDescent="0.2">
      <c r="A578" s="54">
        <v>132097</v>
      </c>
      <c r="B578" s="54" t="s">
        <v>424</v>
      </c>
      <c r="C578" s="55">
        <v>377</v>
      </c>
      <c r="D578" s="55">
        <v>785</v>
      </c>
      <c r="E578" s="55">
        <v>12</v>
      </c>
      <c r="F578" s="55">
        <v>49</v>
      </c>
      <c r="G578" s="55">
        <v>12</v>
      </c>
      <c r="H578" s="55">
        <v>0</v>
      </c>
      <c r="I578" s="55">
        <v>0.06</v>
      </c>
      <c r="J578" s="55">
        <v>0.02</v>
      </c>
      <c r="K578" s="55">
        <v>0</v>
      </c>
      <c r="L578" s="55">
        <v>0</v>
      </c>
      <c r="M578" s="54" t="s">
        <v>43</v>
      </c>
      <c r="N578" s="54" t="s">
        <v>1400</v>
      </c>
      <c r="O578" s="54" t="s">
        <v>5</v>
      </c>
      <c r="P578" s="54">
        <f t="shared" ref="P578:P641" si="36">IF(I578&gt;=2, C578, IF(J578&gt;=0.75, C578, 0))</f>
        <v>0</v>
      </c>
      <c r="Q578">
        <f t="shared" ref="Q578:Q641" si="37">IF(I578&gt;=2, C578, IF(AND(J578&gt;=0.75, D578&gt;=550), C578, 0))</f>
        <v>0</v>
      </c>
      <c r="R578">
        <f t="shared" ref="R578:R641" si="38">IF(J578&gt;=0.75, C578, 0)</f>
        <v>0</v>
      </c>
      <c r="S578" t="b">
        <f t="shared" si="35"/>
        <v>0</v>
      </c>
    </row>
    <row r="579" spans="1:19" x14ac:dyDescent="0.2">
      <c r="A579" s="54">
        <v>132109</v>
      </c>
      <c r="B579" s="54" t="s">
        <v>1073</v>
      </c>
      <c r="C579" s="55">
        <v>29</v>
      </c>
      <c r="D579" s="55">
        <v>19</v>
      </c>
      <c r="E579" s="55">
        <v>0</v>
      </c>
      <c r="F579" s="55">
        <v>0</v>
      </c>
      <c r="G579" s="55">
        <v>0</v>
      </c>
      <c r="H579" s="55">
        <v>0</v>
      </c>
      <c r="I579" s="55">
        <v>0</v>
      </c>
      <c r="J579" s="55">
        <v>0</v>
      </c>
      <c r="K579" s="55">
        <v>0</v>
      </c>
      <c r="L579" s="55">
        <v>0</v>
      </c>
      <c r="M579" s="54" t="s">
        <v>30</v>
      </c>
      <c r="N579" s="54" t="s">
        <v>1401</v>
      </c>
      <c r="O579" s="54" t="s">
        <v>7</v>
      </c>
      <c r="P579" s="54">
        <f t="shared" si="36"/>
        <v>0</v>
      </c>
      <c r="Q579">
        <f t="shared" si="37"/>
        <v>0</v>
      </c>
      <c r="R579">
        <f t="shared" si="38"/>
        <v>0</v>
      </c>
      <c r="S579" t="b">
        <f t="shared" ref="S579:S642" si="39">IF(A579=A580,TRUE,FALSE)</f>
        <v>0</v>
      </c>
    </row>
    <row r="580" spans="1:19" x14ac:dyDescent="0.2">
      <c r="A580" s="54">
        <v>132173</v>
      </c>
      <c r="B580" s="54" t="s">
        <v>1155</v>
      </c>
      <c r="C580" s="55">
        <v>54</v>
      </c>
      <c r="D580" s="55">
        <v>50</v>
      </c>
      <c r="E580" s="55">
        <v>3</v>
      </c>
      <c r="F580" s="55">
        <v>0</v>
      </c>
      <c r="G580" s="55">
        <v>0</v>
      </c>
      <c r="H580" s="55">
        <v>0</v>
      </c>
      <c r="I580" s="55">
        <v>0</v>
      </c>
      <c r="J580" s="55">
        <v>0</v>
      </c>
      <c r="K580" s="55">
        <v>0</v>
      </c>
      <c r="L580" s="55">
        <v>3</v>
      </c>
      <c r="M580" s="54" t="s">
        <v>30</v>
      </c>
      <c r="N580" s="54" t="s">
        <v>1401</v>
      </c>
      <c r="O580" s="54" t="s">
        <v>7</v>
      </c>
      <c r="P580" s="54">
        <f t="shared" si="36"/>
        <v>0</v>
      </c>
      <c r="Q580">
        <f t="shared" si="37"/>
        <v>0</v>
      </c>
      <c r="R580">
        <f t="shared" si="38"/>
        <v>0</v>
      </c>
      <c r="S580" t="b">
        <f t="shared" si="39"/>
        <v>0</v>
      </c>
    </row>
    <row r="581" spans="1:19" x14ac:dyDescent="0.2">
      <c r="A581" s="54">
        <v>132232</v>
      </c>
      <c r="B581" s="54" t="s">
        <v>124</v>
      </c>
      <c r="C581" s="55">
        <v>300</v>
      </c>
      <c r="D581" s="55">
        <v>499</v>
      </c>
      <c r="E581" s="55">
        <v>22</v>
      </c>
      <c r="F581" s="55">
        <v>234</v>
      </c>
      <c r="G581" s="55">
        <v>108</v>
      </c>
      <c r="H581" s="55">
        <v>24</v>
      </c>
      <c r="I581" s="55">
        <v>0.47</v>
      </c>
      <c r="J581" s="55">
        <v>0.22</v>
      </c>
      <c r="K581" s="55">
        <v>0.05</v>
      </c>
      <c r="L581" s="55">
        <v>141</v>
      </c>
      <c r="M581" s="54" t="s">
        <v>45</v>
      </c>
      <c r="N581" s="54" t="s">
        <v>47</v>
      </c>
      <c r="O581" s="54" t="s">
        <v>6</v>
      </c>
      <c r="P581" s="54">
        <f t="shared" si="36"/>
        <v>0</v>
      </c>
      <c r="Q581">
        <f t="shared" si="37"/>
        <v>0</v>
      </c>
      <c r="R581">
        <f t="shared" si="38"/>
        <v>0</v>
      </c>
      <c r="S581" t="b">
        <f t="shared" si="39"/>
        <v>0</v>
      </c>
    </row>
    <row r="582" spans="1:19" x14ac:dyDescent="0.2">
      <c r="A582" s="54">
        <v>132522</v>
      </c>
      <c r="B582" s="54" t="s">
        <v>1047</v>
      </c>
      <c r="C582" s="55">
        <v>25</v>
      </c>
      <c r="D582" s="55">
        <v>25</v>
      </c>
      <c r="E582" s="55">
        <v>4</v>
      </c>
      <c r="F582" s="55">
        <v>30</v>
      </c>
      <c r="G582" s="55">
        <v>30</v>
      </c>
      <c r="H582" s="55">
        <v>30</v>
      </c>
      <c r="I582" s="55">
        <v>1.2</v>
      </c>
      <c r="J582" s="55">
        <v>1.2</v>
      </c>
      <c r="K582" s="55">
        <v>1.2</v>
      </c>
      <c r="L582" s="55">
        <v>0</v>
      </c>
      <c r="M582" s="54" t="s">
        <v>30</v>
      </c>
      <c r="N582" s="54" t="s">
        <v>1401</v>
      </c>
      <c r="O582" s="54" t="s">
        <v>7</v>
      </c>
      <c r="P582" s="54">
        <f t="shared" si="36"/>
        <v>25</v>
      </c>
      <c r="Q582">
        <f t="shared" si="37"/>
        <v>0</v>
      </c>
      <c r="R582">
        <f t="shared" si="38"/>
        <v>25</v>
      </c>
      <c r="S582" t="b">
        <f t="shared" si="39"/>
        <v>0</v>
      </c>
    </row>
    <row r="583" spans="1:19" x14ac:dyDescent="0.2">
      <c r="A583" s="54">
        <v>132962</v>
      </c>
      <c r="B583" s="54" t="s">
        <v>255</v>
      </c>
      <c r="C583" s="55">
        <v>123</v>
      </c>
      <c r="D583" s="55">
        <v>120</v>
      </c>
      <c r="E583" s="55">
        <v>14</v>
      </c>
      <c r="F583" s="55">
        <v>204</v>
      </c>
      <c r="G583" s="55">
        <v>39</v>
      </c>
      <c r="H583" s="55">
        <v>10</v>
      </c>
      <c r="I583" s="55">
        <v>1.7</v>
      </c>
      <c r="J583" s="55">
        <v>0.33</v>
      </c>
      <c r="K583" s="55">
        <v>0.08</v>
      </c>
      <c r="L583" s="55">
        <v>45</v>
      </c>
      <c r="M583" s="54" t="s">
        <v>45</v>
      </c>
      <c r="N583" s="54" t="s">
        <v>47</v>
      </c>
      <c r="O583" s="54" t="s">
        <v>6</v>
      </c>
      <c r="P583" s="54">
        <f t="shared" si="36"/>
        <v>0</v>
      </c>
      <c r="Q583">
        <f t="shared" si="37"/>
        <v>0</v>
      </c>
      <c r="R583">
        <f t="shared" si="38"/>
        <v>0</v>
      </c>
      <c r="S583" t="b">
        <f t="shared" si="39"/>
        <v>0</v>
      </c>
    </row>
    <row r="584" spans="1:19" x14ac:dyDescent="0.2">
      <c r="A584" s="54">
        <v>132998</v>
      </c>
      <c r="B584" s="54" t="s">
        <v>362</v>
      </c>
      <c r="C584" s="55">
        <v>82</v>
      </c>
      <c r="D584" s="55">
        <v>80</v>
      </c>
      <c r="E584" s="55">
        <v>8</v>
      </c>
      <c r="F584" s="55">
        <v>71</v>
      </c>
      <c r="G584" s="55">
        <v>5</v>
      </c>
      <c r="H584" s="55">
        <v>5</v>
      </c>
      <c r="I584" s="55">
        <v>0.89</v>
      </c>
      <c r="J584" s="55">
        <v>0.06</v>
      </c>
      <c r="K584" s="55">
        <v>0.06</v>
      </c>
      <c r="L584" s="55">
        <v>4</v>
      </c>
      <c r="M584" s="54" t="s">
        <v>43</v>
      </c>
      <c r="N584" s="54" t="s">
        <v>1400</v>
      </c>
      <c r="O584" s="54" t="s">
        <v>7</v>
      </c>
      <c r="P584" s="54">
        <f t="shared" si="36"/>
        <v>0</v>
      </c>
      <c r="Q584">
        <f t="shared" si="37"/>
        <v>0</v>
      </c>
      <c r="R584">
        <f t="shared" si="38"/>
        <v>0</v>
      </c>
      <c r="S584" t="b">
        <f t="shared" si="39"/>
        <v>0</v>
      </c>
    </row>
    <row r="585" spans="1:19" x14ac:dyDescent="0.2">
      <c r="A585" s="54">
        <v>133163</v>
      </c>
      <c r="B585" s="54" t="s">
        <v>766</v>
      </c>
      <c r="C585" s="55">
        <v>4</v>
      </c>
      <c r="D585" s="55">
        <v>25</v>
      </c>
      <c r="E585" s="55">
        <v>1</v>
      </c>
      <c r="F585" s="55">
        <v>0</v>
      </c>
      <c r="G585" s="55">
        <v>0</v>
      </c>
      <c r="H585" s="55">
        <v>0</v>
      </c>
      <c r="I585" s="55">
        <v>0</v>
      </c>
      <c r="J585" s="55">
        <v>0</v>
      </c>
      <c r="K585" s="55">
        <v>0</v>
      </c>
      <c r="L585" s="55">
        <v>0</v>
      </c>
      <c r="M585" s="54" t="s">
        <v>30</v>
      </c>
      <c r="N585" s="54" t="s">
        <v>1401</v>
      </c>
      <c r="O585" s="54" t="s">
        <v>7</v>
      </c>
      <c r="P585" s="54">
        <f t="shared" si="36"/>
        <v>0</v>
      </c>
      <c r="Q585">
        <f t="shared" si="37"/>
        <v>0</v>
      </c>
      <c r="R585">
        <f t="shared" si="38"/>
        <v>0</v>
      </c>
      <c r="S585" t="b">
        <f t="shared" si="39"/>
        <v>0</v>
      </c>
    </row>
    <row r="586" spans="1:19" x14ac:dyDescent="0.2">
      <c r="A586" s="54">
        <v>133348</v>
      </c>
      <c r="B586" s="54" t="s">
        <v>1281</v>
      </c>
      <c r="C586" s="55">
        <v>280</v>
      </c>
      <c r="D586" s="55">
        <v>15</v>
      </c>
      <c r="E586" s="55">
        <v>2</v>
      </c>
      <c r="F586" s="55">
        <v>0</v>
      </c>
      <c r="G586" s="55">
        <v>0</v>
      </c>
      <c r="H586" s="55">
        <v>0</v>
      </c>
      <c r="I586" s="55">
        <v>0</v>
      </c>
      <c r="J586" s="55">
        <v>0</v>
      </c>
      <c r="K586" s="55">
        <v>0</v>
      </c>
      <c r="L586" s="55">
        <v>0</v>
      </c>
      <c r="M586" s="54" t="s">
        <v>30</v>
      </c>
      <c r="N586" s="54" t="s">
        <v>1401</v>
      </c>
      <c r="O586" s="54" t="s">
        <v>7</v>
      </c>
      <c r="P586" s="54">
        <f t="shared" si="36"/>
        <v>0</v>
      </c>
      <c r="Q586">
        <f t="shared" si="37"/>
        <v>0</v>
      </c>
      <c r="R586">
        <f t="shared" si="38"/>
        <v>0</v>
      </c>
      <c r="S586" t="b">
        <f t="shared" si="39"/>
        <v>0</v>
      </c>
    </row>
    <row r="587" spans="1:19" x14ac:dyDescent="0.2">
      <c r="A587" s="54">
        <v>133567</v>
      </c>
      <c r="B587" s="54" t="s">
        <v>382</v>
      </c>
      <c r="C587" s="55">
        <v>463</v>
      </c>
      <c r="D587" s="55">
        <v>340</v>
      </c>
      <c r="E587" s="55">
        <v>12</v>
      </c>
      <c r="F587" s="55">
        <v>75</v>
      </c>
      <c r="G587" s="55">
        <v>0</v>
      </c>
      <c r="H587" s="55">
        <v>0</v>
      </c>
      <c r="I587" s="55">
        <v>0.22</v>
      </c>
      <c r="J587" s="55">
        <v>0</v>
      </c>
      <c r="K587" s="55">
        <v>0</v>
      </c>
      <c r="L587" s="55">
        <v>0</v>
      </c>
      <c r="M587" s="54" t="s">
        <v>43</v>
      </c>
      <c r="N587" s="54" t="s">
        <v>1400</v>
      </c>
      <c r="O587" s="54" t="s">
        <v>6</v>
      </c>
      <c r="P587" s="54">
        <f t="shared" si="36"/>
        <v>0</v>
      </c>
      <c r="Q587">
        <f t="shared" si="37"/>
        <v>0</v>
      </c>
      <c r="R587">
        <f t="shared" si="38"/>
        <v>0</v>
      </c>
      <c r="S587" t="b">
        <f t="shared" si="39"/>
        <v>0</v>
      </c>
    </row>
    <row r="588" spans="1:19" x14ac:dyDescent="0.2">
      <c r="A588" s="54">
        <v>133873</v>
      </c>
      <c r="B588" s="54" t="s">
        <v>750</v>
      </c>
      <c r="C588" s="55">
        <v>3</v>
      </c>
      <c r="D588" s="55">
        <v>5</v>
      </c>
      <c r="E588" s="55">
        <v>3</v>
      </c>
      <c r="F588" s="55">
        <v>0</v>
      </c>
      <c r="G588" s="55">
        <v>0</v>
      </c>
      <c r="H588" s="55">
        <v>0</v>
      </c>
      <c r="I588" s="55">
        <v>0</v>
      </c>
      <c r="J588" s="55">
        <v>0</v>
      </c>
      <c r="K588" s="55">
        <v>0</v>
      </c>
      <c r="L588" s="55">
        <v>0</v>
      </c>
      <c r="M588" s="54" t="s">
        <v>30</v>
      </c>
      <c r="N588" s="54" t="s">
        <v>1401</v>
      </c>
      <c r="O588" s="54" t="s">
        <v>7</v>
      </c>
      <c r="P588" s="54">
        <f t="shared" si="36"/>
        <v>0</v>
      </c>
      <c r="Q588">
        <f t="shared" si="37"/>
        <v>0</v>
      </c>
      <c r="R588">
        <f t="shared" si="38"/>
        <v>0</v>
      </c>
      <c r="S588" t="b">
        <f t="shared" si="39"/>
        <v>0</v>
      </c>
    </row>
    <row r="589" spans="1:19" x14ac:dyDescent="0.2">
      <c r="A589" s="54">
        <v>134271</v>
      </c>
      <c r="B589" s="54" t="s">
        <v>1078</v>
      </c>
      <c r="C589" s="55">
        <v>30</v>
      </c>
      <c r="D589" s="55">
        <v>15</v>
      </c>
      <c r="E589" s="55">
        <v>1</v>
      </c>
      <c r="F589" s="55">
        <v>13</v>
      </c>
      <c r="G589" s="55">
        <v>13</v>
      </c>
      <c r="H589" s="55">
        <v>13</v>
      </c>
      <c r="I589" s="55">
        <v>0.87</v>
      </c>
      <c r="J589" s="55">
        <v>0.87</v>
      </c>
      <c r="K589" s="55">
        <v>0.87</v>
      </c>
      <c r="L589" s="55">
        <v>0</v>
      </c>
      <c r="M589" s="54" t="s">
        <v>30</v>
      </c>
      <c r="N589" s="54" t="s">
        <v>1401</v>
      </c>
      <c r="O589" s="54" t="s">
        <v>7</v>
      </c>
      <c r="P589" s="54">
        <f t="shared" si="36"/>
        <v>30</v>
      </c>
      <c r="Q589">
        <f t="shared" si="37"/>
        <v>0</v>
      </c>
      <c r="R589">
        <f t="shared" si="38"/>
        <v>30</v>
      </c>
      <c r="S589" t="b">
        <f t="shared" si="39"/>
        <v>0</v>
      </c>
    </row>
    <row r="590" spans="1:19" x14ac:dyDescent="0.2">
      <c r="A590" s="54">
        <v>134938</v>
      </c>
      <c r="B590" s="54" t="s">
        <v>444</v>
      </c>
      <c r="C590" s="55">
        <v>204</v>
      </c>
      <c r="D590" s="55">
        <v>193</v>
      </c>
      <c r="E590" s="55">
        <v>10</v>
      </c>
      <c r="F590" s="55">
        <v>40</v>
      </c>
      <c r="G590" s="55">
        <v>10</v>
      </c>
      <c r="H590" s="55">
        <v>10</v>
      </c>
      <c r="I590" s="55">
        <v>0.21</v>
      </c>
      <c r="J590" s="55">
        <v>0.05</v>
      </c>
      <c r="K590" s="55">
        <v>0.05</v>
      </c>
      <c r="L590" s="55">
        <v>0</v>
      </c>
      <c r="M590" s="54" t="s">
        <v>43</v>
      </c>
      <c r="N590" s="54" t="s">
        <v>1400</v>
      </c>
      <c r="O590" s="54" t="s">
        <v>6</v>
      </c>
      <c r="P590" s="54">
        <f t="shared" si="36"/>
        <v>0</v>
      </c>
      <c r="Q590">
        <f t="shared" si="37"/>
        <v>0</v>
      </c>
      <c r="R590">
        <f t="shared" si="38"/>
        <v>0</v>
      </c>
      <c r="S590" t="b">
        <f t="shared" si="39"/>
        <v>0</v>
      </c>
    </row>
    <row r="591" spans="1:19" x14ac:dyDescent="0.2">
      <c r="A591" s="54">
        <v>134990</v>
      </c>
      <c r="B591" s="54" t="s">
        <v>755</v>
      </c>
      <c r="C591" s="55">
        <v>3</v>
      </c>
      <c r="D591" s="55">
        <v>33</v>
      </c>
      <c r="E591" s="55">
        <v>4</v>
      </c>
      <c r="F591" s="55">
        <v>15</v>
      </c>
      <c r="G591" s="55">
        <v>15</v>
      </c>
      <c r="H591" s="55">
        <v>15</v>
      </c>
      <c r="I591" s="55">
        <v>0.45</v>
      </c>
      <c r="J591" s="55">
        <v>0.45</v>
      </c>
      <c r="K591" s="55">
        <v>0.45</v>
      </c>
      <c r="L591" s="55">
        <v>0</v>
      </c>
      <c r="M591" s="54" t="s">
        <v>30</v>
      </c>
      <c r="N591" s="54" t="s">
        <v>1401</v>
      </c>
      <c r="O591" s="54" t="s">
        <v>7</v>
      </c>
      <c r="P591" s="54">
        <f t="shared" si="36"/>
        <v>0</v>
      </c>
      <c r="Q591">
        <f t="shared" si="37"/>
        <v>0</v>
      </c>
      <c r="R591">
        <f t="shared" si="38"/>
        <v>0</v>
      </c>
      <c r="S591" t="b">
        <f t="shared" si="39"/>
        <v>0</v>
      </c>
    </row>
    <row r="592" spans="1:19" x14ac:dyDescent="0.2">
      <c r="A592" s="54">
        <v>135021</v>
      </c>
      <c r="B592" s="54" t="s">
        <v>801</v>
      </c>
      <c r="C592" s="55">
        <v>5</v>
      </c>
      <c r="D592" s="55">
        <v>6</v>
      </c>
      <c r="E592" s="55">
        <v>0</v>
      </c>
      <c r="F592" s="55">
        <v>10</v>
      </c>
      <c r="G592" s="55">
        <v>10</v>
      </c>
      <c r="H592" s="55">
        <v>10</v>
      </c>
      <c r="I592" s="55">
        <v>1.67</v>
      </c>
      <c r="J592" s="55">
        <v>1.67</v>
      </c>
      <c r="K592" s="55">
        <v>1.67</v>
      </c>
      <c r="L592" s="55">
        <v>0</v>
      </c>
      <c r="M592" s="54" t="s">
        <v>30</v>
      </c>
      <c r="N592" s="54" t="s">
        <v>1401</v>
      </c>
      <c r="O592" s="54" t="s">
        <v>7</v>
      </c>
      <c r="P592" s="54">
        <f t="shared" si="36"/>
        <v>5</v>
      </c>
      <c r="Q592">
        <f t="shared" si="37"/>
        <v>0</v>
      </c>
      <c r="R592">
        <f t="shared" si="38"/>
        <v>5</v>
      </c>
      <c r="S592" t="b">
        <f t="shared" si="39"/>
        <v>0</v>
      </c>
    </row>
    <row r="593" spans="1:19" x14ac:dyDescent="0.2">
      <c r="A593" s="54">
        <v>135100</v>
      </c>
      <c r="B593" s="54" t="s">
        <v>573</v>
      </c>
      <c r="C593" s="55">
        <v>4</v>
      </c>
      <c r="D593" s="55">
        <v>43</v>
      </c>
      <c r="E593" s="55">
        <v>49</v>
      </c>
      <c r="F593" s="55">
        <v>6</v>
      </c>
      <c r="G593" s="55">
        <v>0</v>
      </c>
      <c r="H593" s="55">
        <v>0</v>
      </c>
      <c r="I593" s="55">
        <v>0.14000000000000001</v>
      </c>
      <c r="J593" s="55">
        <v>0</v>
      </c>
      <c r="K593" s="55">
        <v>0</v>
      </c>
      <c r="L593" s="55">
        <v>0</v>
      </c>
      <c r="M593" s="54" t="s">
        <v>47</v>
      </c>
      <c r="N593" s="54" t="s">
        <v>47</v>
      </c>
      <c r="O593" s="54" t="s">
        <v>7</v>
      </c>
      <c r="P593" s="54">
        <f t="shared" si="36"/>
        <v>0</v>
      </c>
      <c r="Q593">
        <f t="shared" si="37"/>
        <v>0</v>
      </c>
      <c r="R593">
        <f t="shared" si="38"/>
        <v>0</v>
      </c>
      <c r="S593" t="b">
        <f t="shared" si="39"/>
        <v>0</v>
      </c>
    </row>
    <row r="594" spans="1:19" x14ac:dyDescent="0.2">
      <c r="A594" s="54">
        <v>135122</v>
      </c>
      <c r="B594" s="54" t="s">
        <v>415</v>
      </c>
      <c r="C594" s="55">
        <v>862</v>
      </c>
      <c r="D594" s="55">
        <v>800</v>
      </c>
      <c r="E594" s="55">
        <v>28</v>
      </c>
      <c r="F594" s="55">
        <v>39</v>
      </c>
      <c r="G594" s="55">
        <v>5</v>
      </c>
      <c r="H594" s="55">
        <v>1</v>
      </c>
      <c r="I594" s="55">
        <v>0.05</v>
      </c>
      <c r="J594" s="55">
        <v>0.01</v>
      </c>
      <c r="K594" s="55">
        <v>0</v>
      </c>
      <c r="L594" s="55">
        <v>923</v>
      </c>
      <c r="M594" s="54" t="s">
        <v>47</v>
      </c>
      <c r="N594" s="54" t="s">
        <v>47</v>
      </c>
      <c r="O594" s="54" t="s">
        <v>5</v>
      </c>
      <c r="P594" s="54">
        <f t="shared" si="36"/>
        <v>0</v>
      </c>
      <c r="Q594">
        <f t="shared" si="37"/>
        <v>0</v>
      </c>
      <c r="R594">
        <f t="shared" si="38"/>
        <v>0</v>
      </c>
      <c r="S594" t="b">
        <f t="shared" si="39"/>
        <v>0</v>
      </c>
    </row>
    <row r="595" spans="1:19" x14ac:dyDescent="0.2">
      <c r="A595" s="54">
        <v>135343</v>
      </c>
      <c r="B595" s="54" t="s">
        <v>94</v>
      </c>
      <c r="C595" s="55">
        <v>3</v>
      </c>
      <c r="D595" s="55">
        <v>109</v>
      </c>
      <c r="E595" s="55">
        <v>7</v>
      </c>
      <c r="F595" s="55">
        <v>328</v>
      </c>
      <c r="G595" s="55">
        <v>313</v>
      </c>
      <c r="H595" s="55">
        <v>4</v>
      </c>
      <c r="I595" s="55">
        <v>3.01</v>
      </c>
      <c r="J595" s="55">
        <v>2.87</v>
      </c>
      <c r="K595" s="55">
        <v>0.04</v>
      </c>
      <c r="L595" s="55">
        <v>33</v>
      </c>
      <c r="M595" s="54" t="s">
        <v>43</v>
      </c>
      <c r="N595" s="54" t="s">
        <v>1400</v>
      </c>
      <c r="O595" s="54" t="s">
        <v>6</v>
      </c>
      <c r="P595" s="54">
        <f t="shared" si="36"/>
        <v>3</v>
      </c>
      <c r="Q595">
        <f t="shared" si="37"/>
        <v>3</v>
      </c>
      <c r="R595">
        <f t="shared" si="38"/>
        <v>3</v>
      </c>
      <c r="S595" t="b">
        <f t="shared" si="39"/>
        <v>0</v>
      </c>
    </row>
    <row r="596" spans="1:19" x14ac:dyDescent="0.2">
      <c r="A596" s="54">
        <v>135368</v>
      </c>
      <c r="B596" s="54" t="s">
        <v>224</v>
      </c>
      <c r="C596" s="55">
        <v>139</v>
      </c>
      <c r="D596" s="55">
        <v>129</v>
      </c>
      <c r="E596" s="55">
        <v>13</v>
      </c>
      <c r="F596" s="55">
        <v>119</v>
      </c>
      <c r="G596" s="55">
        <v>25</v>
      </c>
      <c r="H596" s="55">
        <v>11</v>
      </c>
      <c r="I596" s="55">
        <v>0.92</v>
      </c>
      <c r="J596" s="55">
        <v>0.19</v>
      </c>
      <c r="K596" s="55">
        <v>0.09</v>
      </c>
      <c r="L596" s="55">
        <v>12</v>
      </c>
      <c r="M596" s="54" t="s">
        <v>45</v>
      </c>
      <c r="N596" s="54" t="s">
        <v>47</v>
      </c>
      <c r="O596" s="54" t="s">
        <v>6</v>
      </c>
      <c r="P596" s="54">
        <f t="shared" si="36"/>
        <v>0</v>
      </c>
      <c r="Q596">
        <f t="shared" si="37"/>
        <v>0</v>
      </c>
      <c r="R596">
        <f t="shared" si="38"/>
        <v>0</v>
      </c>
      <c r="S596" t="b">
        <f t="shared" si="39"/>
        <v>0</v>
      </c>
    </row>
    <row r="597" spans="1:19" x14ac:dyDescent="0.2">
      <c r="A597" s="54">
        <v>135461</v>
      </c>
      <c r="B597" s="54" t="s">
        <v>1025</v>
      </c>
      <c r="C597" s="55">
        <v>22</v>
      </c>
      <c r="D597" s="55">
        <v>20</v>
      </c>
      <c r="E597" s="55">
        <v>1</v>
      </c>
      <c r="F597" s="55">
        <v>12</v>
      </c>
      <c r="G597" s="55">
        <v>12</v>
      </c>
      <c r="H597" s="55">
        <v>12</v>
      </c>
      <c r="I597" s="55">
        <v>0.6</v>
      </c>
      <c r="J597" s="55">
        <v>0.6</v>
      </c>
      <c r="K597" s="55">
        <v>0.6</v>
      </c>
      <c r="L597" s="55">
        <v>0</v>
      </c>
      <c r="M597" s="54" t="s">
        <v>30</v>
      </c>
      <c r="N597" s="54" t="s">
        <v>1401</v>
      </c>
      <c r="O597" s="54" t="s">
        <v>7</v>
      </c>
      <c r="P597" s="54">
        <f t="shared" si="36"/>
        <v>0</v>
      </c>
      <c r="Q597">
        <f t="shared" si="37"/>
        <v>0</v>
      </c>
      <c r="R597">
        <f t="shared" si="38"/>
        <v>0</v>
      </c>
      <c r="S597" t="b">
        <f t="shared" si="39"/>
        <v>0</v>
      </c>
    </row>
    <row r="598" spans="1:19" x14ac:dyDescent="0.2">
      <c r="A598" s="54">
        <v>135923</v>
      </c>
      <c r="B598" s="54" t="s">
        <v>1211</v>
      </c>
      <c r="C598" s="55">
        <v>98</v>
      </c>
      <c r="D598" s="55">
        <v>114</v>
      </c>
      <c r="E598" s="55">
        <v>5</v>
      </c>
      <c r="F598" s="55">
        <v>5</v>
      </c>
      <c r="G598" s="55">
        <v>5</v>
      </c>
      <c r="H598" s="55">
        <v>5</v>
      </c>
      <c r="I598" s="55">
        <v>0.04</v>
      </c>
      <c r="J598" s="55">
        <v>0.04</v>
      </c>
      <c r="K598" s="55">
        <v>0.04</v>
      </c>
      <c r="L598" s="55">
        <v>0</v>
      </c>
      <c r="M598" s="54" t="s">
        <v>30</v>
      </c>
      <c r="N598" s="54" t="s">
        <v>1401</v>
      </c>
      <c r="O598" s="54" t="s">
        <v>6</v>
      </c>
      <c r="P598" s="54">
        <f t="shared" si="36"/>
        <v>0</v>
      </c>
      <c r="Q598">
        <f t="shared" si="37"/>
        <v>0</v>
      </c>
      <c r="R598">
        <f t="shared" si="38"/>
        <v>0</v>
      </c>
      <c r="S598" t="b">
        <f t="shared" si="39"/>
        <v>0</v>
      </c>
    </row>
    <row r="599" spans="1:19" x14ac:dyDescent="0.2">
      <c r="A599" s="54">
        <v>136308</v>
      </c>
      <c r="B599" s="54" t="s">
        <v>839</v>
      </c>
      <c r="C599" s="55">
        <v>8</v>
      </c>
      <c r="D599" s="55">
        <v>8</v>
      </c>
      <c r="E599" s="55">
        <v>2</v>
      </c>
      <c r="F599" s="55">
        <v>4</v>
      </c>
      <c r="G599" s="55">
        <v>4</v>
      </c>
      <c r="H599" s="55">
        <v>4</v>
      </c>
      <c r="I599" s="55">
        <v>0.5</v>
      </c>
      <c r="J599" s="55">
        <v>0.5</v>
      </c>
      <c r="K599" s="55">
        <v>0.5</v>
      </c>
      <c r="L599" s="55">
        <v>6</v>
      </c>
      <c r="M599" s="54" t="s">
        <v>30</v>
      </c>
      <c r="N599" s="54" t="s">
        <v>1401</v>
      </c>
      <c r="O599" s="54" t="s">
        <v>7</v>
      </c>
      <c r="P599" s="54">
        <f t="shared" si="36"/>
        <v>0</v>
      </c>
      <c r="Q599">
        <f t="shared" si="37"/>
        <v>0</v>
      </c>
      <c r="R599">
        <f t="shared" si="38"/>
        <v>0</v>
      </c>
      <c r="S599" t="b">
        <f t="shared" si="39"/>
        <v>0</v>
      </c>
    </row>
    <row r="600" spans="1:19" x14ac:dyDescent="0.2">
      <c r="A600" s="54">
        <v>136506</v>
      </c>
      <c r="B600" s="54" t="s">
        <v>725</v>
      </c>
      <c r="C600" s="55">
        <v>2</v>
      </c>
      <c r="D600" s="55">
        <v>192</v>
      </c>
      <c r="E600" s="55">
        <v>2</v>
      </c>
      <c r="F600" s="55">
        <v>50</v>
      </c>
      <c r="G600" s="55">
        <v>50</v>
      </c>
      <c r="H600" s="55">
        <v>50</v>
      </c>
      <c r="I600" s="55">
        <v>0.26</v>
      </c>
      <c r="J600" s="55">
        <v>0.26</v>
      </c>
      <c r="K600" s="55">
        <v>0.26</v>
      </c>
      <c r="L600" s="55">
        <v>68</v>
      </c>
      <c r="M600" s="54" t="s">
        <v>30</v>
      </c>
      <c r="N600" s="54" t="s">
        <v>1401</v>
      </c>
      <c r="O600" s="54" t="s">
        <v>6</v>
      </c>
      <c r="P600" s="54">
        <f t="shared" si="36"/>
        <v>0</v>
      </c>
      <c r="Q600">
        <f t="shared" si="37"/>
        <v>0</v>
      </c>
      <c r="R600">
        <f t="shared" si="38"/>
        <v>0</v>
      </c>
      <c r="S600" t="b">
        <f t="shared" si="39"/>
        <v>0</v>
      </c>
    </row>
    <row r="601" spans="1:19" x14ac:dyDescent="0.2">
      <c r="A601" s="54">
        <v>137418</v>
      </c>
      <c r="B601" s="54" t="s">
        <v>1067</v>
      </c>
      <c r="C601" s="55">
        <v>28</v>
      </c>
      <c r="D601" s="55">
        <v>22</v>
      </c>
      <c r="E601" s="55">
        <v>2</v>
      </c>
      <c r="F601" s="55">
        <v>23</v>
      </c>
      <c r="G601" s="55">
        <v>23</v>
      </c>
      <c r="H601" s="55">
        <v>23</v>
      </c>
      <c r="I601" s="55">
        <v>1.05</v>
      </c>
      <c r="J601" s="55">
        <v>1.05</v>
      </c>
      <c r="K601" s="55">
        <v>1.05</v>
      </c>
      <c r="L601" s="55">
        <v>17</v>
      </c>
      <c r="M601" s="54" t="s">
        <v>30</v>
      </c>
      <c r="N601" s="54" t="s">
        <v>1401</v>
      </c>
      <c r="O601" s="54" t="s">
        <v>7</v>
      </c>
      <c r="P601" s="54">
        <f t="shared" si="36"/>
        <v>28</v>
      </c>
      <c r="Q601">
        <f t="shared" si="37"/>
        <v>0</v>
      </c>
      <c r="R601">
        <f t="shared" si="38"/>
        <v>28</v>
      </c>
      <c r="S601" t="b">
        <f t="shared" si="39"/>
        <v>0</v>
      </c>
    </row>
    <row r="602" spans="1:19" x14ac:dyDescent="0.2">
      <c r="A602" s="54">
        <v>137813</v>
      </c>
      <c r="B602" s="54" t="s">
        <v>506</v>
      </c>
      <c r="C602" s="55">
        <v>274</v>
      </c>
      <c r="D602" s="55">
        <v>220</v>
      </c>
      <c r="E602" s="55">
        <v>23</v>
      </c>
      <c r="F602" s="55">
        <v>41</v>
      </c>
      <c r="G602" s="55">
        <v>10</v>
      </c>
      <c r="H602" s="55">
        <v>0</v>
      </c>
      <c r="I602" s="55">
        <v>0.19</v>
      </c>
      <c r="J602" s="55">
        <v>0.05</v>
      </c>
      <c r="K602" s="55">
        <v>0</v>
      </c>
      <c r="L602" s="55">
        <v>37</v>
      </c>
      <c r="M602" s="54" t="s">
        <v>45</v>
      </c>
      <c r="N602" s="54" t="s">
        <v>47</v>
      </c>
      <c r="O602" s="54" t="s">
        <v>6</v>
      </c>
      <c r="P602" s="54">
        <f t="shared" si="36"/>
        <v>0</v>
      </c>
      <c r="Q602">
        <f t="shared" si="37"/>
        <v>0</v>
      </c>
      <c r="R602">
        <f t="shared" si="38"/>
        <v>0</v>
      </c>
      <c r="S602" t="b">
        <f t="shared" si="39"/>
        <v>0</v>
      </c>
    </row>
    <row r="603" spans="1:19" x14ac:dyDescent="0.2">
      <c r="A603" s="54">
        <v>138516</v>
      </c>
      <c r="B603" s="54" t="s">
        <v>238</v>
      </c>
      <c r="C603" s="55">
        <v>140</v>
      </c>
      <c r="D603" s="55">
        <v>168</v>
      </c>
      <c r="E603" s="55">
        <v>20</v>
      </c>
      <c r="F603" s="55">
        <v>298</v>
      </c>
      <c r="G603" s="55">
        <v>267</v>
      </c>
      <c r="H603" s="55">
        <v>218</v>
      </c>
      <c r="I603" s="55">
        <v>1.77</v>
      </c>
      <c r="J603" s="55">
        <v>1.59</v>
      </c>
      <c r="K603" s="55">
        <v>1.3</v>
      </c>
      <c r="L603" s="55">
        <v>0</v>
      </c>
      <c r="M603" s="54" t="s">
        <v>45</v>
      </c>
      <c r="N603" s="54" t="s">
        <v>47</v>
      </c>
      <c r="O603" s="54" t="s">
        <v>6</v>
      </c>
      <c r="P603" s="54">
        <f t="shared" si="36"/>
        <v>140</v>
      </c>
      <c r="Q603">
        <f t="shared" si="37"/>
        <v>0</v>
      </c>
      <c r="R603">
        <f t="shared" si="38"/>
        <v>140</v>
      </c>
      <c r="S603" t="b">
        <f t="shared" si="39"/>
        <v>0</v>
      </c>
    </row>
    <row r="604" spans="1:19" x14ac:dyDescent="0.2">
      <c r="A604" s="54">
        <v>139047</v>
      </c>
      <c r="B604" s="54" t="s">
        <v>1189</v>
      </c>
      <c r="C604" s="55">
        <v>75</v>
      </c>
      <c r="D604" s="55">
        <v>68</v>
      </c>
      <c r="E604" s="55">
        <v>1</v>
      </c>
      <c r="F604" s="55">
        <v>165</v>
      </c>
      <c r="G604" s="55">
        <v>47</v>
      </c>
      <c r="H604" s="55">
        <v>47</v>
      </c>
      <c r="I604" s="55">
        <v>2.4300000000000002</v>
      </c>
      <c r="J604" s="55">
        <v>0.69</v>
      </c>
      <c r="K604" s="55">
        <v>0.69</v>
      </c>
      <c r="L604" s="55">
        <v>0</v>
      </c>
      <c r="M604" s="54" t="s">
        <v>30</v>
      </c>
      <c r="N604" s="54" t="s">
        <v>1401</v>
      </c>
      <c r="O604" s="54" t="s">
        <v>7</v>
      </c>
      <c r="P604" s="54">
        <f t="shared" si="36"/>
        <v>75</v>
      </c>
      <c r="Q604">
        <f t="shared" si="37"/>
        <v>75</v>
      </c>
      <c r="R604">
        <f t="shared" si="38"/>
        <v>0</v>
      </c>
      <c r="S604" t="b">
        <f t="shared" si="39"/>
        <v>0</v>
      </c>
    </row>
    <row r="605" spans="1:19" x14ac:dyDescent="0.2">
      <c r="A605" s="54">
        <v>140147</v>
      </c>
      <c r="B605" s="54" t="s">
        <v>1008</v>
      </c>
      <c r="C605" s="55">
        <v>20</v>
      </c>
      <c r="D605" s="55">
        <v>30</v>
      </c>
      <c r="E605" s="55">
        <v>3</v>
      </c>
      <c r="F605" s="55">
        <v>0</v>
      </c>
      <c r="G605" s="55">
        <v>0</v>
      </c>
      <c r="H605" s="55">
        <v>0</v>
      </c>
      <c r="I605" s="55">
        <v>0</v>
      </c>
      <c r="J605" s="55">
        <v>0</v>
      </c>
      <c r="K605" s="55">
        <v>0</v>
      </c>
      <c r="L605" s="55">
        <v>0</v>
      </c>
      <c r="M605" s="54" t="s">
        <v>30</v>
      </c>
      <c r="N605" s="54" t="s">
        <v>1401</v>
      </c>
      <c r="O605" s="54" t="s">
        <v>7</v>
      </c>
      <c r="P605" s="54">
        <f t="shared" si="36"/>
        <v>0</v>
      </c>
      <c r="Q605">
        <f t="shared" si="37"/>
        <v>0</v>
      </c>
      <c r="R605">
        <f t="shared" si="38"/>
        <v>0</v>
      </c>
      <c r="S605" t="b">
        <f t="shared" si="39"/>
        <v>0</v>
      </c>
    </row>
    <row r="606" spans="1:19" x14ac:dyDescent="0.2">
      <c r="A606" s="54">
        <v>140244</v>
      </c>
      <c r="B606" s="54" t="s">
        <v>860</v>
      </c>
      <c r="C606" s="55">
        <v>9</v>
      </c>
      <c r="D606" s="55">
        <v>8</v>
      </c>
      <c r="E606" s="55">
        <v>2</v>
      </c>
      <c r="F606" s="55">
        <v>0</v>
      </c>
      <c r="G606" s="55">
        <v>0</v>
      </c>
      <c r="H606" s="55">
        <v>0</v>
      </c>
      <c r="I606" s="55">
        <v>0</v>
      </c>
      <c r="J606" s="55">
        <v>0</v>
      </c>
      <c r="K606" s="55">
        <v>0</v>
      </c>
      <c r="L606" s="55">
        <v>0</v>
      </c>
      <c r="M606" s="54" t="s">
        <v>30</v>
      </c>
      <c r="N606" s="54" t="s">
        <v>1401</v>
      </c>
      <c r="O606" s="54" t="s">
        <v>7</v>
      </c>
      <c r="P606" s="54">
        <f t="shared" si="36"/>
        <v>0</v>
      </c>
      <c r="Q606">
        <f t="shared" si="37"/>
        <v>0</v>
      </c>
      <c r="R606">
        <f t="shared" si="38"/>
        <v>0</v>
      </c>
      <c r="S606" t="b">
        <f t="shared" si="39"/>
        <v>0</v>
      </c>
    </row>
    <row r="607" spans="1:19" x14ac:dyDescent="0.2">
      <c r="A607" s="54">
        <v>140280</v>
      </c>
      <c r="B607" s="54" t="s">
        <v>1242</v>
      </c>
      <c r="C607" s="55">
        <v>130</v>
      </c>
      <c r="D607" s="55">
        <v>130</v>
      </c>
      <c r="E607" s="55">
        <v>4</v>
      </c>
      <c r="F607" s="55">
        <v>15</v>
      </c>
      <c r="G607" s="55">
        <v>15</v>
      </c>
      <c r="H607" s="55">
        <v>15</v>
      </c>
      <c r="I607" s="55">
        <v>0.12</v>
      </c>
      <c r="J607" s="55">
        <v>0.12</v>
      </c>
      <c r="K607" s="55">
        <v>0.12</v>
      </c>
      <c r="L607" s="55">
        <v>67</v>
      </c>
      <c r="M607" s="54" t="s">
        <v>30</v>
      </c>
      <c r="N607" s="54" t="s">
        <v>1401</v>
      </c>
      <c r="O607" s="54" t="s">
        <v>6</v>
      </c>
      <c r="P607" s="54">
        <f t="shared" si="36"/>
        <v>0</v>
      </c>
      <c r="Q607">
        <f t="shared" si="37"/>
        <v>0</v>
      </c>
      <c r="R607">
        <f t="shared" si="38"/>
        <v>0</v>
      </c>
      <c r="S607" t="b">
        <f t="shared" si="39"/>
        <v>0</v>
      </c>
    </row>
    <row r="608" spans="1:19" x14ac:dyDescent="0.2">
      <c r="A608" s="54">
        <v>140442</v>
      </c>
      <c r="B608" s="54" t="s">
        <v>200</v>
      </c>
      <c r="C608" s="55">
        <v>4</v>
      </c>
      <c r="D608" s="55">
        <v>189</v>
      </c>
      <c r="E608" s="55">
        <v>46</v>
      </c>
      <c r="F608" s="55">
        <v>303</v>
      </c>
      <c r="G608" s="55">
        <v>198</v>
      </c>
      <c r="H608" s="55">
        <v>151</v>
      </c>
      <c r="I608" s="55">
        <v>1.6</v>
      </c>
      <c r="J608" s="55">
        <v>1.05</v>
      </c>
      <c r="K608" s="55">
        <v>0.8</v>
      </c>
      <c r="L608" s="55">
        <v>67</v>
      </c>
      <c r="M608" s="54" t="s">
        <v>47</v>
      </c>
      <c r="N608" s="54" t="s">
        <v>47</v>
      </c>
      <c r="O608" s="54" t="s">
        <v>6</v>
      </c>
      <c r="P608" s="54">
        <f t="shared" si="36"/>
        <v>4</v>
      </c>
      <c r="Q608">
        <f t="shared" si="37"/>
        <v>0</v>
      </c>
      <c r="R608">
        <f t="shared" si="38"/>
        <v>4</v>
      </c>
      <c r="S608" t="b">
        <f t="shared" si="39"/>
        <v>0</v>
      </c>
    </row>
    <row r="609" spans="1:19" x14ac:dyDescent="0.2">
      <c r="A609" s="54">
        <v>140885</v>
      </c>
      <c r="B609" s="54" t="s">
        <v>1220</v>
      </c>
      <c r="C609" s="55">
        <v>107</v>
      </c>
      <c r="D609" s="55">
        <v>100</v>
      </c>
      <c r="E609" s="55">
        <v>2</v>
      </c>
      <c r="F609" s="55">
        <v>8</v>
      </c>
      <c r="G609" s="55">
        <v>8</v>
      </c>
      <c r="H609" s="55">
        <v>8</v>
      </c>
      <c r="I609" s="55">
        <v>0.08</v>
      </c>
      <c r="J609" s="55">
        <v>0.08</v>
      </c>
      <c r="K609" s="55">
        <v>0.08</v>
      </c>
      <c r="L609" s="55">
        <v>0</v>
      </c>
      <c r="M609" s="54" t="s">
        <v>30</v>
      </c>
      <c r="N609" s="54" t="s">
        <v>1401</v>
      </c>
      <c r="O609" s="54" t="s">
        <v>6</v>
      </c>
      <c r="P609" s="54">
        <f t="shared" si="36"/>
        <v>0</v>
      </c>
      <c r="Q609">
        <f t="shared" si="37"/>
        <v>0</v>
      </c>
      <c r="R609">
        <f t="shared" si="38"/>
        <v>0</v>
      </c>
      <c r="S609" t="b">
        <f t="shared" si="39"/>
        <v>0</v>
      </c>
    </row>
    <row r="610" spans="1:19" x14ac:dyDescent="0.2">
      <c r="A610" s="54">
        <v>141269</v>
      </c>
      <c r="B610" s="54" t="s">
        <v>108</v>
      </c>
      <c r="C610" s="55">
        <v>314</v>
      </c>
      <c r="D610" s="55">
        <v>300</v>
      </c>
      <c r="E610" s="55">
        <v>21</v>
      </c>
      <c r="F610" s="55">
        <v>962</v>
      </c>
      <c r="G610" s="55">
        <v>24</v>
      </c>
      <c r="H610" s="55">
        <v>15</v>
      </c>
      <c r="I610" s="55">
        <v>3.21</v>
      </c>
      <c r="J610" s="55">
        <v>0.08</v>
      </c>
      <c r="K610" s="55">
        <v>0.05</v>
      </c>
      <c r="L610" s="55">
        <v>3</v>
      </c>
      <c r="M610" s="54" t="s">
        <v>45</v>
      </c>
      <c r="N610" s="54" t="s">
        <v>47</v>
      </c>
      <c r="O610" s="54" t="s">
        <v>6</v>
      </c>
      <c r="P610" s="54">
        <f t="shared" si="36"/>
        <v>314</v>
      </c>
      <c r="Q610">
        <f t="shared" si="37"/>
        <v>314</v>
      </c>
      <c r="R610">
        <f t="shared" si="38"/>
        <v>0</v>
      </c>
      <c r="S610" t="b">
        <f t="shared" si="39"/>
        <v>0</v>
      </c>
    </row>
    <row r="611" spans="1:19" x14ac:dyDescent="0.2">
      <c r="A611" s="54">
        <v>141491</v>
      </c>
      <c r="B611" s="54" t="s">
        <v>1249</v>
      </c>
      <c r="C611" s="55">
        <v>140</v>
      </c>
      <c r="D611" s="55">
        <v>140</v>
      </c>
      <c r="E611" s="55">
        <v>2</v>
      </c>
      <c r="F611" s="55">
        <v>0</v>
      </c>
      <c r="G611" s="55">
        <v>0</v>
      </c>
      <c r="H611" s="55">
        <v>0</v>
      </c>
      <c r="I611" s="55">
        <v>0</v>
      </c>
      <c r="J611" s="55">
        <v>0</v>
      </c>
      <c r="K611" s="55">
        <v>0</v>
      </c>
      <c r="L611" s="55">
        <v>0</v>
      </c>
      <c r="M611" s="54" t="s">
        <v>30</v>
      </c>
      <c r="N611" s="54" t="s">
        <v>1401</v>
      </c>
      <c r="O611" s="54" t="s">
        <v>6</v>
      </c>
      <c r="P611" s="54">
        <f t="shared" si="36"/>
        <v>0</v>
      </c>
      <c r="Q611">
        <f t="shared" si="37"/>
        <v>0</v>
      </c>
      <c r="R611">
        <f t="shared" si="38"/>
        <v>0</v>
      </c>
      <c r="S611" t="b">
        <f t="shared" si="39"/>
        <v>0</v>
      </c>
    </row>
    <row r="612" spans="1:19" x14ac:dyDescent="0.2">
      <c r="A612" s="54">
        <v>141533</v>
      </c>
      <c r="B612" s="54" t="s">
        <v>777</v>
      </c>
      <c r="C612" s="55">
        <v>4</v>
      </c>
      <c r="D612" s="55">
        <v>57</v>
      </c>
      <c r="E612" s="55">
        <v>0</v>
      </c>
      <c r="F612" s="55">
        <v>0</v>
      </c>
      <c r="G612" s="55">
        <v>0</v>
      </c>
      <c r="H612" s="55">
        <v>0</v>
      </c>
      <c r="I612" s="55">
        <v>0</v>
      </c>
      <c r="J612" s="55">
        <v>0</v>
      </c>
      <c r="K612" s="55">
        <v>0</v>
      </c>
      <c r="L612" s="55">
        <v>0</v>
      </c>
      <c r="M612" s="54" t="s">
        <v>30</v>
      </c>
      <c r="N612" s="54" t="s">
        <v>1401</v>
      </c>
      <c r="O612" s="54" t="s">
        <v>7</v>
      </c>
      <c r="P612" s="54">
        <f t="shared" si="36"/>
        <v>0</v>
      </c>
      <c r="Q612">
        <f t="shared" si="37"/>
        <v>0</v>
      </c>
      <c r="R612">
        <f t="shared" si="38"/>
        <v>0</v>
      </c>
      <c r="S612" t="b">
        <f t="shared" si="39"/>
        <v>0</v>
      </c>
    </row>
    <row r="613" spans="1:19" x14ac:dyDescent="0.2">
      <c r="A613" s="54">
        <v>141725</v>
      </c>
      <c r="B613" s="54" t="s">
        <v>410</v>
      </c>
      <c r="C613" s="55">
        <v>1</v>
      </c>
      <c r="D613" s="55">
        <v>50</v>
      </c>
      <c r="E613" s="55">
        <v>9</v>
      </c>
      <c r="F613" s="55">
        <v>101</v>
      </c>
      <c r="G613" s="55">
        <v>101</v>
      </c>
      <c r="H613" s="55">
        <v>101</v>
      </c>
      <c r="I613" s="55">
        <v>2.02</v>
      </c>
      <c r="J613" s="55">
        <v>2.02</v>
      </c>
      <c r="K613" s="55">
        <v>2.02</v>
      </c>
      <c r="L613" s="55">
        <v>1</v>
      </c>
      <c r="M613" s="54" t="s">
        <v>43</v>
      </c>
      <c r="N613" s="54" t="s">
        <v>1400</v>
      </c>
      <c r="O613" s="54" t="s">
        <v>7</v>
      </c>
      <c r="P613" s="54">
        <f t="shared" si="36"/>
        <v>1</v>
      </c>
      <c r="Q613">
        <f t="shared" si="37"/>
        <v>1</v>
      </c>
      <c r="R613">
        <f t="shared" si="38"/>
        <v>1</v>
      </c>
      <c r="S613" t="b">
        <f t="shared" si="39"/>
        <v>0</v>
      </c>
    </row>
    <row r="614" spans="1:19" x14ac:dyDescent="0.2">
      <c r="A614" s="54">
        <v>141788</v>
      </c>
      <c r="B614" s="54" t="s">
        <v>589</v>
      </c>
      <c r="C614" s="55">
        <v>72</v>
      </c>
      <c r="D614" s="55">
        <v>35</v>
      </c>
      <c r="E614" s="55">
        <v>8</v>
      </c>
      <c r="F614" s="55">
        <v>4</v>
      </c>
      <c r="G614" s="55">
        <v>4</v>
      </c>
      <c r="H614" s="55">
        <v>4</v>
      </c>
      <c r="I614" s="55">
        <v>0.11</v>
      </c>
      <c r="J614" s="55">
        <v>0.11</v>
      </c>
      <c r="K614" s="55">
        <v>0.11</v>
      </c>
      <c r="L614" s="55">
        <v>7</v>
      </c>
      <c r="M614" s="54" t="s">
        <v>43</v>
      </c>
      <c r="N614" s="54" t="s">
        <v>1400</v>
      </c>
      <c r="O614" s="54" t="s">
        <v>7</v>
      </c>
      <c r="P614" s="54">
        <f t="shared" si="36"/>
        <v>0</v>
      </c>
      <c r="Q614">
        <f t="shared" si="37"/>
        <v>0</v>
      </c>
      <c r="R614">
        <f t="shared" si="38"/>
        <v>0</v>
      </c>
      <c r="S614" t="b">
        <f t="shared" si="39"/>
        <v>0</v>
      </c>
    </row>
    <row r="615" spans="1:19" x14ac:dyDescent="0.2">
      <c r="A615" s="54">
        <v>141887</v>
      </c>
      <c r="B615" s="54" t="s">
        <v>301</v>
      </c>
      <c r="C615" s="55">
        <v>276</v>
      </c>
      <c r="D615" s="55">
        <v>365</v>
      </c>
      <c r="E615" s="55">
        <v>46</v>
      </c>
      <c r="F615" s="55">
        <v>242</v>
      </c>
      <c r="G615" s="55">
        <v>218</v>
      </c>
      <c r="H615" s="55">
        <v>119</v>
      </c>
      <c r="I615" s="55">
        <v>0.66</v>
      </c>
      <c r="J615" s="55">
        <v>0.6</v>
      </c>
      <c r="K615" s="55">
        <v>0.33</v>
      </c>
      <c r="L615" s="55">
        <v>379</v>
      </c>
      <c r="M615" s="54" t="s">
        <v>47</v>
      </c>
      <c r="N615" s="54" t="s">
        <v>47</v>
      </c>
      <c r="O615" s="54" t="s">
        <v>6</v>
      </c>
      <c r="P615" s="54">
        <f t="shared" si="36"/>
        <v>0</v>
      </c>
      <c r="Q615">
        <f t="shared" si="37"/>
        <v>0</v>
      </c>
      <c r="R615">
        <f t="shared" si="38"/>
        <v>0</v>
      </c>
      <c r="S615" t="b">
        <f t="shared" si="39"/>
        <v>0</v>
      </c>
    </row>
    <row r="616" spans="1:19" x14ac:dyDescent="0.2">
      <c r="A616" s="54">
        <v>142059</v>
      </c>
      <c r="B616" s="54" t="s">
        <v>609</v>
      </c>
      <c r="C616" s="55">
        <v>10</v>
      </c>
      <c r="D616" s="55">
        <v>9</v>
      </c>
      <c r="E616" s="55">
        <v>17</v>
      </c>
      <c r="F616" s="55">
        <v>1</v>
      </c>
      <c r="G616" s="55">
        <v>0</v>
      </c>
      <c r="H616" s="55">
        <v>0</v>
      </c>
      <c r="I616" s="55">
        <v>0.11</v>
      </c>
      <c r="J616" s="55">
        <v>0</v>
      </c>
      <c r="K616" s="55">
        <v>0</v>
      </c>
      <c r="L616" s="55">
        <v>0</v>
      </c>
      <c r="M616" s="54" t="s">
        <v>45</v>
      </c>
      <c r="N616" s="54" t="s">
        <v>47</v>
      </c>
      <c r="O616" s="54" t="s">
        <v>7</v>
      </c>
      <c r="P616" s="54">
        <f t="shared" si="36"/>
        <v>0</v>
      </c>
      <c r="Q616">
        <f t="shared" si="37"/>
        <v>0</v>
      </c>
      <c r="R616">
        <f t="shared" si="38"/>
        <v>0</v>
      </c>
      <c r="S616" t="b">
        <f t="shared" si="39"/>
        <v>0</v>
      </c>
    </row>
    <row r="617" spans="1:19" x14ac:dyDescent="0.2">
      <c r="A617" s="54">
        <v>142334</v>
      </c>
      <c r="B617" s="54" t="s">
        <v>808</v>
      </c>
      <c r="C617" s="55">
        <v>6</v>
      </c>
      <c r="D617" s="55">
        <v>5</v>
      </c>
      <c r="E617" s="55">
        <v>2</v>
      </c>
      <c r="F617" s="55">
        <v>0</v>
      </c>
      <c r="G617" s="55">
        <v>3</v>
      </c>
      <c r="H617" s="55">
        <v>3</v>
      </c>
      <c r="I617" s="55">
        <v>0</v>
      </c>
      <c r="J617" s="55">
        <v>0.6</v>
      </c>
      <c r="K617" s="55">
        <v>0.6</v>
      </c>
      <c r="L617" s="55">
        <v>0</v>
      </c>
      <c r="M617" s="54" t="s">
        <v>30</v>
      </c>
      <c r="N617" s="54" t="s">
        <v>1401</v>
      </c>
      <c r="O617" s="54" t="s">
        <v>7</v>
      </c>
      <c r="P617" s="54">
        <f t="shared" si="36"/>
        <v>0</v>
      </c>
      <c r="Q617">
        <f t="shared" si="37"/>
        <v>0</v>
      </c>
      <c r="R617">
        <f t="shared" si="38"/>
        <v>0</v>
      </c>
      <c r="S617" t="b">
        <f t="shared" si="39"/>
        <v>0</v>
      </c>
    </row>
    <row r="618" spans="1:19" x14ac:dyDescent="0.2">
      <c r="A618" s="54">
        <v>143646</v>
      </c>
      <c r="B618" s="54" t="s">
        <v>807</v>
      </c>
      <c r="C618" s="55">
        <v>6</v>
      </c>
      <c r="D618" s="55">
        <v>6</v>
      </c>
      <c r="E618" s="55">
        <v>1</v>
      </c>
      <c r="F618" s="55">
        <v>3</v>
      </c>
      <c r="G618" s="55">
        <v>3</v>
      </c>
      <c r="H618" s="55">
        <v>3</v>
      </c>
      <c r="I618" s="55">
        <v>0.5</v>
      </c>
      <c r="J618" s="55">
        <v>0.5</v>
      </c>
      <c r="K618" s="55">
        <v>0.5</v>
      </c>
      <c r="L618" s="55">
        <v>0</v>
      </c>
      <c r="M618" s="54" t="s">
        <v>30</v>
      </c>
      <c r="N618" s="54" t="s">
        <v>1401</v>
      </c>
      <c r="O618" s="54" t="s">
        <v>7</v>
      </c>
      <c r="P618" s="54">
        <f t="shared" si="36"/>
        <v>0</v>
      </c>
      <c r="Q618">
        <f t="shared" si="37"/>
        <v>0</v>
      </c>
      <c r="R618">
        <f t="shared" si="38"/>
        <v>0</v>
      </c>
      <c r="S618" t="b">
        <f t="shared" si="39"/>
        <v>0</v>
      </c>
    </row>
    <row r="619" spans="1:19" x14ac:dyDescent="0.2">
      <c r="A619" s="54">
        <v>143651</v>
      </c>
      <c r="B619" s="54" t="s">
        <v>353</v>
      </c>
      <c r="C619" s="55">
        <v>40</v>
      </c>
      <c r="D619" s="55">
        <v>30</v>
      </c>
      <c r="E619" s="55">
        <v>9</v>
      </c>
      <c r="F619" s="55">
        <v>97</v>
      </c>
      <c r="G619" s="55">
        <v>72</v>
      </c>
      <c r="H619" s="55">
        <v>48</v>
      </c>
      <c r="I619" s="55">
        <v>3.23</v>
      </c>
      <c r="J619" s="55">
        <v>2.4</v>
      </c>
      <c r="K619" s="55">
        <v>1.6</v>
      </c>
      <c r="L619" s="55">
        <v>52</v>
      </c>
      <c r="M619" s="54" t="s">
        <v>43</v>
      </c>
      <c r="N619" s="54" t="s">
        <v>1400</v>
      </c>
      <c r="O619" s="54" t="s">
        <v>7</v>
      </c>
      <c r="P619" s="54">
        <f t="shared" si="36"/>
        <v>40</v>
      </c>
      <c r="Q619">
        <f t="shared" si="37"/>
        <v>40</v>
      </c>
      <c r="R619">
        <f t="shared" si="38"/>
        <v>40</v>
      </c>
      <c r="S619" t="b">
        <f t="shared" si="39"/>
        <v>0</v>
      </c>
    </row>
    <row r="620" spans="1:19" x14ac:dyDescent="0.2">
      <c r="A620" s="54">
        <v>143871</v>
      </c>
      <c r="B620" s="54" t="s">
        <v>825</v>
      </c>
      <c r="C620" s="55">
        <v>7</v>
      </c>
      <c r="D620" s="55">
        <v>5</v>
      </c>
      <c r="E620" s="55">
        <v>2</v>
      </c>
      <c r="F620" s="55">
        <v>2</v>
      </c>
      <c r="G620" s="55">
        <v>2</v>
      </c>
      <c r="H620" s="55">
        <v>2</v>
      </c>
      <c r="I620" s="55">
        <v>0.4</v>
      </c>
      <c r="J620" s="55">
        <v>0.4</v>
      </c>
      <c r="K620" s="55">
        <v>0.4</v>
      </c>
      <c r="L620" s="55">
        <v>10</v>
      </c>
      <c r="M620" s="54" t="s">
        <v>30</v>
      </c>
      <c r="N620" s="54" t="s">
        <v>1401</v>
      </c>
      <c r="O620" s="54" t="s">
        <v>7</v>
      </c>
      <c r="P620" s="54">
        <f t="shared" si="36"/>
        <v>0</v>
      </c>
      <c r="Q620">
        <f t="shared" si="37"/>
        <v>0</v>
      </c>
      <c r="R620">
        <f t="shared" si="38"/>
        <v>0</v>
      </c>
      <c r="S620" t="b">
        <f t="shared" si="39"/>
        <v>0</v>
      </c>
    </row>
    <row r="621" spans="1:19" x14ac:dyDescent="0.2">
      <c r="A621" s="54">
        <v>143890</v>
      </c>
      <c r="B621" s="54" t="s">
        <v>602</v>
      </c>
      <c r="C621" s="55">
        <v>670</v>
      </c>
      <c r="D621" s="55">
        <v>550</v>
      </c>
      <c r="E621" s="55">
        <v>39</v>
      </c>
      <c r="F621" s="55">
        <v>2</v>
      </c>
      <c r="G621" s="55">
        <v>0</v>
      </c>
      <c r="H621" s="55">
        <v>0</v>
      </c>
      <c r="I621" s="55">
        <v>0</v>
      </c>
      <c r="J621" s="55">
        <v>0</v>
      </c>
      <c r="K621" s="55">
        <v>0</v>
      </c>
      <c r="L621" s="55">
        <v>0</v>
      </c>
      <c r="M621" s="54" t="s">
        <v>47</v>
      </c>
      <c r="N621" s="54" t="s">
        <v>47</v>
      </c>
      <c r="O621" s="54" t="s">
        <v>5</v>
      </c>
      <c r="P621" s="54">
        <f t="shared" si="36"/>
        <v>0</v>
      </c>
      <c r="Q621">
        <f t="shared" si="37"/>
        <v>0</v>
      </c>
      <c r="R621">
        <f t="shared" si="38"/>
        <v>0</v>
      </c>
      <c r="S621" t="b">
        <f t="shared" si="39"/>
        <v>0</v>
      </c>
    </row>
    <row r="622" spans="1:19" x14ac:dyDescent="0.2">
      <c r="A622" s="54">
        <v>143994</v>
      </c>
      <c r="B622" s="54" t="s">
        <v>522</v>
      </c>
      <c r="C622" s="55">
        <v>31</v>
      </c>
      <c r="D622" s="55">
        <v>35</v>
      </c>
      <c r="E622" s="55">
        <v>8</v>
      </c>
      <c r="F622" s="55">
        <v>13</v>
      </c>
      <c r="G622" s="55">
        <v>0</v>
      </c>
      <c r="H622" s="55">
        <v>0</v>
      </c>
      <c r="I622" s="55">
        <v>0.37</v>
      </c>
      <c r="J622" s="55">
        <v>0</v>
      </c>
      <c r="K622" s="55">
        <v>0</v>
      </c>
      <c r="L622" s="55">
        <v>0</v>
      </c>
      <c r="M622" s="54" t="s">
        <v>43</v>
      </c>
      <c r="N622" s="54" t="s">
        <v>1400</v>
      </c>
      <c r="O622" s="54" t="s">
        <v>7</v>
      </c>
      <c r="P622" s="54">
        <f t="shared" si="36"/>
        <v>0</v>
      </c>
      <c r="Q622">
        <f t="shared" si="37"/>
        <v>0</v>
      </c>
      <c r="R622">
        <f t="shared" si="38"/>
        <v>0</v>
      </c>
      <c r="S622" t="b">
        <f t="shared" si="39"/>
        <v>0</v>
      </c>
    </row>
    <row r="623" spans="1:19" x14ac:dyDescent="0.2">
      <c r="A623" s="54">
        <v>144017</v>
      </c>
      <c r="B623" s="54" t="s">
        <v>1311</v>
      </c>
      <c r="C623" s="55">
        <v>0</v>
      </c>
      <c r="D623" s="55">
        <v>23</v>
      </c>
      <c r="E623" s="55">
        <v>2</v>
      </c>
      <c r="F623" s="55">
        <v>0</v>
      </c>
      <c r="G623" s="55">
        <v>0</v>
      </c>
      <c r="H623" s="55">
        <v>0</v>
      </c>
      <c r="I623" s="55">
        <v>0</v>
      </c>
      <c r="J623" s="55">
        <v>0</v>
      </c>
      <c r="K623" s="55">
        <v>0</v>
      </c>
      <c r="L623" s="55">
        <v>0</v>
      </c>
      <c r="M623" s="54" t="s">
        <v>30</v>
      </c>
      <c r="N623" s="54" t="s">
        <v>1401</v>
      </c>
      <c r="O623" s="54" t="s">
        <v>7</v>
      </c>
      <c r="P623" s="54">
        <f t="shared" si="36"/>
        <v>0</v>
      </c>
      <c r="Q623">
        <f t="shared" si="37"/>
        <v>0</v>
      </c>
      <c r="R623">
        <f t="shared" si="38"/>
        <v>0</v>
      </c>
      <c r="S623" t="b">
        <f t="shared" si="39"/>
        <v>0</v>
      </c>
    </row>
    <row r="624" spans="1:19" x14ac:dyDescent="0.2">
      <c r="A624" s="54">
        <v>144040</v>
      </c>
      <c r="B624" s="54" t="s">
        <v>1343</v>
      </c>
      <c r="C624" s="55">
        <v>0</v>
      </c>
      <c r="D624" s="55">
        <v>53</v>
      </c>
      <c r="E624" s="55">
        <v>0</v>
      </c>
      <c r="F624" s="55">
        <v>38</v>
      </c>
      <c r="G624" s="55">
        <v>38</v>
      </c>
      <c r="H624" s="55">
        <v>38</v>
      </c>
      <c r="I624" s="55">
        <v>0.72</v>
      </c>
      <c r="J624" s="55">
        <v>0.72</v>
      </c>
      <c r="K624" s="55">
        <v>0.72</v>
      </c>
      <c r="L624" s="55">
        <v>8</v>
      </c>
      <c r="M624" s="54" t="s">
        <v>30</v>
      </c>
      <c r="N624" s="54" t="s">
        <v>1401</v>
      </c>
      <c r="O624" s="54" t="s">
        <v>7</v>
      </c>
      <c r="P624" s="54">
        <f t="shared" si="36"/>
        <v>0</v>
      </c>
      <c r="Q624">
        <f t="shared" si="37"/>
        <v>0</v>
      </c>
      <c r="R624">
        <f t="shared" si="38"/>
        <v>0</v>
      </c>
      <c r="S624" t="b">
        <f t="shared" si="39"/>
        <v>0</v>
      </c>
    </row>
    <row r="625" spans="1:19" x14ac:dyDescent="0.2">
      <c r="A625" s="54">
        <v>144320</v>
      </c>
      <c r="B625" s="54" t="s">
        <v>270</v>
      </c>
      <c r="C625" s="55">
        <v>148</v>
      </c>
      <c r="D625" s="55">
        <v>126</v>
      </c>
      <c r="E625" s="55">
        <v>14</v>
      </c>
      <c r="F625" s="55">
        <v>215</v>
      </c>
      <c r="G625" s="55">
        <v>80</v>
      </c>
      <c r="H625" s="55">
        <v>74</v>
      </c>
      <c r="I625" s="55">
        <v>1.71</v>
      </c>
      <c r="J625" s="55">
        <v>0.63</v>
      </c>
      <c r="K625" s="55">
        <v>0.59</v>
      </c>
      <c r="L625" s="55">
        <v>1</v>
      </c>
      <c r="M625" s="54" t="s">
        <v>45</v>
      </c>
      <c r="N625" s="54" t="s">
        <v>47</v>
      </c>
      <c r="O625" s="54" t="s">
        <v>6</v>
      </c>
      <c r="P625" s="54">
        <f t="shared" si="36"/>
        <v>0</v>
      </c>
      <c r="Q625">
        <f t="shared" si="37"/>
        <v>0</v>
      </c>
      <c r="R625">
        <f t="shared" si="38"/>
        <v>0</v>
      </c>
      <c r="S625" t="b">
        <f t="shared" si="39"/>
        <v>0</v>
      </c>
    </row>
    <row r="626" spans="1:19" x14ac:dyDescent="0.2">
      <c r="A626" s="54">
        <v>144671</v>
      </c>
      <c r="B626" s="54" t="s">
        <v>894</v>
      </c>
      <c r="C626" s="55">
        <v>10</v>
      </c>
      <c r="D626" s="55">
        <v>7</v>
      </c>
      <c r="E626" s="55">
        <v>0</v>
      </c>
      <c r="F626" s="55">
        <v>0</v>
      </c>
      <c r="G626" s="55">
        <v>0</v>
      </c>
      <c r="H626" s="55">
        <v>0</v>
      </c>
      <c r="I626" s="55">
        <v>0</v>
      </c>
      <c r="J626" s="55">
        <v>0</v>
      </c>
      <c r="K626" s="55">
        <v>0</v>
      </c>
      <c r="L626" s="55">
        <v>0</v>
      </c>
      <c r="M626" s="54" t="s">
        <v>30</v>
      </c>
      <c r="N626" s="54" t="s">
        <v>1401</v>
      </c>
      <c r="O626" s="54" t="s">
        <v>7</v>
      </c>
      <c r="P626" s="54">
        <f t="shared" si="36"/>
        <v>0</v>
      </c>
      <c r="Q626">
        <f t="shared" si="37"/>
        <v>0</v>
      </c>
      <c r="R626">
        <f t="shared" si="38"/>
        <v>0</v>
      </c>
      <c r="S626" t="b">
        <f t="shared" si="39"/>
        <v>0</v>
      </c>
    </row>
    <row r="627" spans="1:19" x14ac:dyDescent="0.2">
      <c r="A627" s="54">
        <v>144971</v>
      </c>
      <c r="B627" s="54" t="s">
        <v>1204</v>
      </c>
      <c r="C627" s="55">
        <v>90</v>
      </c>
      <c r="D627" s="55">
        <v>67</v>
      </c>
      <c r="E627" s="55">
        <v>4</v>
      </c>
      <c r="F627" s="55">
        <v>0</v>
      </c>
      <c r="G627" s="55">
        <v>0</v>
      </c>
      <c r="H627" s="55">
        <v>0</v>
      </c>
      <c r="I627" s="55">
        <v>0</v>
      </c>
      <c r="J627" s="55">
        <v>0</v>
      </c>
      <c r="K627" s="55">
        <v>0</v>
      </c>
      <c r="L627" s="55">
        <v>0</v>
      </c>
      <c r="M627" s="54" t="s">
        <v>30</v>
      </c>
      <c r="N627" s="54" t="s">
        <v>1401</v>
      </c>
      <c r="O627" s="54" t="s">
        <v>7</v>
      </c>
      <c r="P627" s="54">
        <f t="shared" si="36"/>
        <v>0</v>
      </c>
      <c r="Q627">
        <f t="shared" si="37"/>
        <v>0</v>
      </c>
      <c r="R627">
        <f t="shared" si="38"/>
        <v>0</v>
      </c>
      <c r="S627" t="b">
        <f t="shared" si="39"/>
        <v>0</v>
      </c>
    </row>
    <row r="628" spans="1:19" x14ac:dyDescent="0.2">
      <c r="A628" s="54">
        <v>145184</v>
      </c>
      <c r="B628" s="54" t="s">
        <v>1142</v>
      </c>
      <c r="C628" s="55">
        <v>48</v>
      </c>
      <c r="D628" s="55">
        <v>48</v>
      </c>
      <c r="E628" s="55">
        <v>4</v>
      </c>
      <c r="F628" s="55">
        <v>12</v>
      </c>
      <c r="G628" s="55">
        <v>10</v>
      </c>
      <c r="H628" s="55">
        <v>4</v>
      </c>
      <c r="I628" s="55">
        <v>0.25</v>
      </c>
      <c r="J628" s="55">
        <v>0.21</v>
      </c>
      <c r="K628" s="55">
        <v>0.08</v>
      </c>
      <c r="L628" s="55">
        <v>0</v>
      </c>
      <c r="M628" s="54" t="s">
        <v>30</v>
      </c>
      <c r="N628" s="54" t="s">
        <v>1401</v>
      </c>
      <c r="O628" s="54" t="s">
        <v>7</v>
      </c>
      <c r="P628" s="54">
        <f t="shared" si="36"/>
        <v>0</v>
      </c>
      <c r="Q628">
        <f t="shared" si="37"/>
        <v>0</v>
      </c>
      <c r="R628">
        <f t="shared" si="38"/>
        <v>0</v>
      </c>
      <c r="S628" t="b">
        <f t="shared" si="39"/>
        <v>0</v>
      </c>
    </row>
    <row r="629" spans="1:19" x14ac:dyDescent="0.2">
      <c r="A629" s="54">
        <v>145461</v>
      </c>
      <c r="B629" s="54" t="s">
        <v>236</v>
      </c>
      <c r="C629" s="55">
        <v>54</v>
      </c>
      <c r="D629" s="55">
        <v>64</v>
      </c>
      <c r="E629" s="55">
        <v>20</v>
      </c>
      <c r="F629" s="55">
        <v>196</v>
      </c>
      <c r="G629" s="55">
        <v>180</v>
      </c>
      <c r="H629" s="55">
        <v>0</v>
      </c>
      <c r="I629" s="55">
        <v>3.06</v>
      </c>
      <c r="J629" s="55">
        <v>2.81</v>
      </c>
      <c r="K629" s="55">
        <v>0</v>
      </c>
      <c r="L629" s="55">
        <v>159</v>
      </c>
      <c r="M629" s="54" t="s">
        <v>45</v>
      </c>
      <c r="N629" s="54" t="s">
        <v>47</v>
      </c>
      <c r="O629" s="54" t="s">
        <v>7</v>
      </c>
      <c r="P629" s="54">
        <f t="shared" si="36"/>
        <v>54</v>
      </c>
      <c r="Q629">
        <f t="shared" si="37"/>
        <v>54</v>
      </c>
      <c r="R629">
        <f t="shared" si="38"/>
        <v>54</v>
      </c>
      <c r="S629" t="b">
        <f t="shared" si="39"/>
        <v>0</v>
      </c>
    </row>
    <row r="630" spans="1:19" x14ac:dyDescent="0.2">
      <c r="A630" s="54">
        <v>145550</v>
      </c>
      <c r="B630" s="54" t="s">
        <v>964</v>
      </c>
      <c r="C630" s="55">
        <v>15</v>
      </c>
      <c r="D630" s="55">
        <v>7</v>
      </c>
      <c r="E630" s="55">
        <v>0</v>
      </c>
      <c r="F630" s="55">
        <v>0</v>
      </c>
      <c r="G630" s="55">
        <v>0</v>
      </c>
      <c r="H630" s="55">
        <v>0</v>
      </c>
      <c r="I630" s="55">
        <v>0</v>
      </c>
      <c r="J630" s="55">
        <v>0</v>
      </c>
      <c r="K630" s="55">
        <v>0</v>
      </c>
      <c r="L630" s="55">
        <v>0</v>
      </c>
      <c r="M630" s="54" t="s">
        <v>30</v>
      </c>
      <c r="N630" s="54" t="s">
        <v>1401</v>
      </c>
      <c r="O630" s="54" t="s">
        <v>7</v>
      </c>
      <c r="P630" s="54">
        <f t="shared" si="36"/>
        <v>0</v>
      </c>
      <c r="Q630">
        <f t="shared" si="37"/>
        <v>0</v>
      </c>
      <c r="R630">
        <f t="shared" si="38"/>
        <v>0</v>
      </c>
      <c r="S630" t="b">
        <f t="shared" si="39"/>
        <v>0</v>
      </c>
    </row>
    <row r="631" spans="1:19" x14ac:dyDescent="0.2">
      <c r="A631" s="54">
        <v>145570</v>
      </c>
      <c r="B631" s="54" t="s">
        <v>561</v>
      </c>
      <c r="C631" s="55">
        <v>189</v>
      </c>
      <c r="D631" s="55">
        <v>153</v>
      </c>
      <c r="E631" s="55">
        <v>26</v>
      </c>
      <c r="F631" s="55">
        <v>8</v>
      </c>
      <c r="G631" s="55">
        <v>8</v>
      </c>
      <c r="H631" s="55">
        <v>8</v>
      </c>
      <c r="I631" s="55">
        <v>0.05</v>
      </c>
      <c r="J631" s="55">
        <v>0.05</v>
      </c>
      <c r="K631" s="55">
        <v>0.05</v>
      </c>
      <c r="L631" s="55">
        <v>15</v>
      </c>
      <c r="M631" s="54" t="s">
        <v>47</v>
      </c>
      <c r="N631" s="54" t="s">
        <v>47</v>
      </c>
      <c r="O631" s="54" t="s">
        <v>6</v>
      </c>
      <c r="P631" s="54">
        <f t="shared" si="36"/>
        <v>0</v>
      </c>
      <c r="Q631">
        <f t="shared" si="37"/>
        <v>0</v>
      </c>
      <c r="R631">
        <f t="shared" si="38"/>
        <v>0</v>
      </c>
      <c r="S631" t="b">
        <f t="shared" si="39"/>
        <v>0</v>
      </c>
    </row>
    <row r="632" spans="1:19" x14ac:dyDescent="0.2">
      <c r="A632" s="54">
        <v>146186</v>
      </c>
      <c r="B632" s="54" t="s">
        <v>730</v>
      </c>
      <c r="C632" s="55">
        <v>2</v>
      </c>
      <c r="D632" s="55">
        <v>88</v>
      </c>
      <c r="E632" s="55">
        <v>3</v>
      </c>
      <c r="F632" s="55">
        <v>28</v>
      </c>
      <c r="G632" s="55">
        <v>30</v>
      </c>
      <c r="H632" s="55">
        <v>30</v>
      </c>
      <c r="I632" s="55">
        <v>0.32</v>
      </c>
      <c r="J632" s="55">
        <v>0.34</v>
      </c>
      <c r="K632" s="55">
        <v>0.34</v>
      </c>
      <c r="L632" s="55">
        <v>0</v>
      </c>
      <c r="M632" s="54" t="s">
        <v>30</v>
      </c>
      <c r="N632" s="54" t="s">
        <v>1401</v>
      </c>
      <c r="O632" s="54" t="s">
        <v>7</v>
      </c>
      <c r="P632" s="54">
        <f t="shared" si="36"/>
        <v>0</v>
      </c>
      <c r="Q632">
        <f t="shared" si="37"/>
        <v>0</v>
      </c>
      <c r="R632">
        <f t="shared" si="38"/>
        <v>0</v>
      </c>
      <c r="S632" t="b">
        <f t="shared" si="39"/>
        <v>0</v>
      </c>
    </row>
    <row r="633" spans="1:19" x14ac:dyDescent="0.2">
      <c r="A633" s="54">
        <v>146825</v>
      </c>
      <c r="B633" s="54" t="s">
        <v>945</v>
      </c>
      <c r="C633" s="55">
        <v>14</v>
      </c>
      <c r="D633" s="55">
        <v>14</v>
      </c>
      <c r="E633" s="55">
        <v>4</v>
      </c>
      <c r="F633" s="55">
        <v>54</v>
      </c>
      <c r="G633" s="55">
        <v>36</v>
      </c>
      <c r="H633" s="55">
        <v>0</v>
      </c>
      <c r="I633" s="55">
        <v>3.86</v>
      </c>
      <c r="J633" s="55">
        <v>2.57</v>
      </c>
      <c r="K633" s="55">
        <v>0</v>
      </c>
      <c r="L633" s="55">
        <v>2</v>
      </c>
      <c r="M633" s="54" t="s">
        <v>30</v>
      </c>
      <c r="N633" s="54" t="s">
        <v>1401</v>
      </c>
      <c r="O633" s="54" t="s">
        <v>7</v>
      </c>
      <c r="P633" s="54">
        <f t="shared" si="36"/>
        <v>14</v>
      </c>
      <c r="Q633">
        <f t="shared" si="37"/>
        <v>14</v>
      </c>
      <c r="R633">
        <f t="shared" si="38"/>
        <v>14</v>
      </c>
      <c r="S633" t="b">
        <f t="shared" si="39"/>
        <v>0</v>
      </c>
    </row>
    <row r="634" spans="1:19" x14ac:dyDescent="0.2">
      <c r="A634" s="54">
        <v>146835</v>
      </c>
      <c r="B634" s="54" t="s">
        <v>486</v>
      </c>
      <c r="C634" s="55">
        <v>198</v>
      </c>
      <c r="D634" s="55">
        <v>210</v>
      </c>
      <c r="E634" s="55">
        <v>24</v>
      </c>
      <c r="F634" s="55">
        <v>46</v>
      </c>
      <c r="G634" s="55">
        <v>7</v>
      </c>
      <c r="H634" s="55">
        <v>4</v>
      </c>
      <c r="I634" s="55">
        <v>0.22</v>
      </c>
      <c r="J634" s="55">
        <v>0.03</v>
      </c>
      <c r="K634" s="55">
        <v>0.02</v>
      </c>
      <c r="L634" s="55">
        <v>28</v>
      </c>
      <c r="M634" s="54" t="s">
        <v>45</v>
      </c>
      <c r="N634" s="54" t="s">
        <v>47</v>
      </c>
      <c r="O634" s="54" t="s">
        <v>6</v>
      </c>
      <c r="P634" s="54">
        <f t="shared" si="36"/>
        <v>0</v>
      </c>
      <c r="Q634">
        <f t="shared" si="37"/>
        <v>0</v>
      </c>
      <c r="R634">
        <f t="shared" si="38"/>
        <v>0</v>
      </c>
      <c r="S634" t="b">
        <f t="shared" si="39"/>
        <v>0</v>
      </c>
    </row>
    <row r="635" spans="1:19" x14ac:dyDescent="0.2">
      <c r="A635" s="54">
        <v>147404</v>
      </c>
      <c r="B635" s="54" t="s">
        <v>1243</v>
      </c>
      <c r="C635" s="55">
        <v>132</v>
      </c>
      <c r="D635" s="55">
        <v>120</v>
      </c>
      <c r="E635" s="55">
        <v>1</v>
      </c>
      <c r="F635" s="55">
        <v>0</v>
      </c>
      <c r="G635" s="55">
        <v>0</v>
      </c>
      <c r="H635" s="55">
        <v>0</v>
      </c>
      <c r="I635" s="55">
        <v>0</v>
      </c>
      <c r="J635" s="55">
        <v>0</v>
      </c>
      <c r="K635" s="55">
        <v>0</v>
      </c>
      <c r="L635" s="55">
        <v>0</v>
      </c>
      <c r="M635" s="54" t="s">
        <v>30</v>
      </c>
      <c r="N635" s="54" t="s">
        <v>1401</v>
      </c>
      <c r="O635" s="54" t="s">
        <v>6</v>
      </c>
      <c r="P635" s="54">
        <f t="shared" si="36"/>
        <v>0</v>
      </c>
      <c r="Q635">
        <f t="shared" si="37"/>
        <v>0</v>
      </c>
      <c r="R635">
        <f t="shared" si="38"/>
        <v>0</v>
      </c>
      <c r="S635" t="b">
        <f t="shared" si="39"/>
        <v>0</v>
      </c>
    </row>
    <row r="636" spans="1:19" x14ac:dyDescent="0.2">
      <c r="A636" s="54">
        <v>147636</v>
      </c>
      <c r="B636" s="54" t="s">
        <v>230</v>
      </c>
      <c r="C636" s="55">
        <v>91</v>
      </c>
      <c r="D636" s="55">
        <v>97</v>
      </c>
      <c r="E636" s="55">
        <v>13</v>
      </c>
      <c r="F636" s="55">
        <v>237</v>
      </c>
      <c r="G636" s="55">
        <v>89</v>
      </c>
      <c r="H636" s="55">
        <v>63</v>
      </c>
      <c r="I636" s="55">
        <v>2.44</v>
      </c>
      <c r="J636" s="55">
        <v>0.92</v>
      </c>
      <c r="K636" s="55">
        <v>0.65</v>
      </c>
      <c r="L636" s="55">
        <v>73</v>
      </c>
      <c r="M636" s="54" t="s">
        <v>45</v>
      </c>
      <c r="N636" s="54" t="s">
        <v>47</v>
      </c>
      <c r="O636" s="54" t="s">
        <v>7</v>
      </c>
      <c r="P636" s="54">
        <f t="shared" si="36"/>
        <v>91</v>
      </c>
      <c r="Q636">
        <f t="shared" si="37"/>
        <v>91</v>
      </c>
      <c r="R636">
        <f t="shared" si="38"/>
        <v>91</v>
      </c>
      <c r="S636" t="b">
        <f t="shared" si="39"/>
        <v>0</v>
      </c>
    </row>
    <row r="637" spans="1:19" x14ac:dyDescent="0.2">
      <c r="A637" s="54">
        <v>148303</v>
      </c>
      <c r="B637" s="54" t="s">
        <v>364</v>
      </c>
      <c r="C637" s="55">
        <v>15</v>
      </c>
      <c r="D637" s="55">
        <v>11</v>
      </c>
      <c r="E637" s="55">
        <v>7</v>
      </c>
      <c r="F637" s="55">
        <v>66</v>
      </c>
      <c r="G637" s="55">
        <v>59</v>
      </c>
      <c r="H637" s="55">
        <v>45</v>
      </c>
      <c r="I637" s="55">
        <v>6</v>
      </c>
      <c r="J637" s="55">
        <v>5.36</v>
      </c>
      <c r="K637" s="55">
        <v>4.09</v>
      </c>
      <c r="L637" s="55">
        <v>35</v>
      </c>
      <c r="M637" s="54" t="s">
        <v>43</v>
      </c>
      <c r="N637" s="54" t="s">
        <v>1400</v>
      </c>
      <c r="O637" s="54" t="s">
        <v>7</v>
      </c>
      <c r="P637" s="54">
        <f t="shared" si="36"/>
        <v>15</v>
      </c>
      <c r="Q637">
        <f t="shared" si="37"/>
        <v>15</v>
      </c>
      <c r="R637">
        <f t="shared" si="38"/>
        <v>15</v>
      </c>
      <c r="S637" t="b">
        <f t="shared" si="39"/>
        <v>0</v>
      </c>
    </row>
    <row r="638" spans="1:19" x14ac:dyDescent="0.2">
      <c r="A638" s="54">
        <v>148352</v>
      </c>
      <c r="B638" s="54" t="s">
        <v>912</v>
      </c>
      <c r="C638" s="55">
        <v>12</v>
      </c>
      <c r="D638" s="55">
        <v>12</v>
      </c>
      <c r="E638" s="55">
        <v>5</v>
      </c>
      <c r="F638" s="55">
        <v>0</v>
      </c>
      <c r="G638" s="55">
        <v>0</v>
      </c>
      <c r="H638" s="55">
        <v>0</v>
      </c>
      <c r="I638" s="55">
        <v>0</v>
      </c>
      <c r="J638" s="55">
        <v>0</v>
      </c>
      <c r="K638" s="55">
        <v>0</v>
      </c>
      <c r="L638" s="55">
        <v>0</v>
      </c>
      <c r="M638" s="54" t="s">
        <v>30</v>
      </c>
      <c r="N638" s="54" t="s">
        <v>1401</v>
      </c>
      <c r="O638" s="54" t="s">
        <v>7</v>
      </c>
      <c r="P638" s="54">
        <f t="shared" si="36"/>
        <v>0</v>
      </c>
      <c r="Q638">
        <f t="shared" si="37"/>
        <v>0</v>
      </c>
      <c r="R638">
        <f t="shared" si="38"/>
        <v>0</v>
      </c>
      <c r="S638" t="b">
        <f t="shared" si="39"/>
        <v>0</v>
      </c>
    </row>
    <row r="639" spans="1:19" x14ac:dyDescent="0.2">
      <c r="A639" s="54">
        <v>148367</v>
      </c>
      <c r="B639" s="54" t="s">
        <v>572</v>
      </c>
      <c r="C639" s="55">
        <v>46</v>
      </c>
      <c r="D639" s="55">
        <v>47</v>
      </c>
      <c r="E639" s="55">
        <v>13</v>
      </c>
      <c r="F639" s="55">
        <v>6</v>
      </c>
      <c r="G639" s="55">
        <v>0</v>
      </c>
      <c r="H639" s="55">
        <v>0</v>
      </c>
      <c r="I639" s="55">
        <v>0.13</v>
      </c>
      <c r="J639" s="55">
        <v>0</v>
      </c>
      <c r="K639" s="55">
        <v>0</v>
      </c>
      <c r="L639" s="55">
        <v>0</v>
      </c>
      <c r="M639" s="54" t="s">
        <v>45</v>
      </c>
      <c r="N639" s="54" t="s">
        <v>47</v>
      </c>
      <c r="O639" s="54" t="s">
        <v>7</v>
      </c>
      <c r="P639" s="54">
        <f t="shared" si="36"/>
        <v>0</v>
      </c>
      <c r="Q639">
        <f t="shared" si="37"/>
        <v>0</v>
      </c>
      <c r="R639">
        <f t="shared" si="38"/>
        <v>0</v>
      </c>
      <c r="S639" t="b">
        <f t="shared" si="39"/>
        <v>0</v>
      </c>
    </row>
    <row r="640" spans="1:19" x14ac:dyDescent="0.2">
      <c r="A640" s="54">
        <v>148782</v>
      </c>
      <c r="B640" s="54" t="s">
        <v>988</v>
      </c>
      <c r="C640" s="55">
        <v>18</v>
      </c>
      <c r="D640" s="55">
        <v>50</v>
      </c>
      <c r="E640" s="55">
        <v>1</v>
      </c>
      <c r="F640" s="55">
        <v>0</v>
      </c>
      <c r="G640" s="55">
        <v>0</v>
      </c>
      <c r="H640" s="55">
        <v>0</v>
      </c>
      <c r="I640" s="55">
        <v>0</v>
      </c>
      <c r="J640" s="55">
        <v>0</v>
      </c>
      <c r="K640" s="55">
        <v>0</v>
      </c>
      <c r="L640" s="55">
        <v>0</v>
      </c>
      <c r="M640" s="54" t="s">
        <v>30</v>
      </c>
      <c r="N640" s="54" t="s">
        <v>1401</v>
      </c>
      <c r="O640" s="54" t="s">
        <v>7</v>
      </c>
      <c r="P640" s="54">
        <f t="shared" si="36"/>
        <v>0</v>
      </c>
      <c r="Q640">
        <f t="shared" si="37"/>
        <v>0</v>
      </c>
      <c r="R640">
        <f t="shared" si="38"/>
        <v>0</v>
      </c>
      <c r="S640" t="b">
        <f t="shared" si="39"/>
        <v>0</v>
      </c>
    </row>
    <row r="641" spans="1:19" x14ac:dyDescent="0.2">
      <c r="A641" s="54">
        <v>149197</v>
      </c>
      <c r="B641" s="54" t="s">
        <v>928</v>
      </c>
      <c r="C641" s="55">
        <v>13</v>
      </c>
      <c r="D641" s="55">
        <v>11</v>
      </c>
      <c r="E641" s="55">
        <v>5</v>
      </c>
      <c r="F641" s="55">
        <v>49</v>
      </c>
      <c r="G641" s="55">
        <v>49</v>
      </c>
      <c r="H641" s="55">
        <v>49</v>
      </c>
      <c r="I641" s="55">
        <v>4.45</v>
      </c>
      <c r="J641" s="55">
        <v>4.45</v>
      </c>
      <c r="K641" s="55">
        <v>4.45</v>
      </c>
      <c r="L641" s="55">
        <v>5</v>
      </c>
      <c r="M641" s="54" t="s">
        <v>30</v>
      </c>
      <c r="N641" s="54" t="s">
        <v>1401</v>
      </c>
      <c r="O641" s="54" t="s">
        <v>7</v>
      </c>
      <c r="P641" s="54">
        <f t="shared" si="36"/>
        <v>13</v>
      </c>
      <c r="Q641">
        <f t="shared" si="37"/>
        <v>13</v>
      </c>
      <c r="R641">
        <f t="shared" si="38"/>
        <v>13</v>
      </c>
      <c r="S641" t="b">
        <f t="shared" si="39"/>
        <v>0</v>
      </c>
    </row>
    <row r="642" spans="1:19" x14ac:dyDescent="0.2">
      <c r="A642" s="54">
        <v>149220</v>
      </c>
      <c r="B642" s="54" t="s">
        <v>151</v>
      </c>
      <c r="C642" s="55">
        <v>0</v>
      </c>
      <c r="D642" s="55">
        <v>100</v>
      </c>
      <c r="E642" s="55">
        <v>7</v>
      </c>
      <c r="F642" s="55">
        <v>489</v>
      </c>
      <c r="G642" s="55">
        <v>478</v>
      </c>
      <c r="H642" s="55">
        <v>77</v>
      </c>
      <c r="I642" s="55">
        <v>4.8899999999999997</v>
      </c>
      <c r="J642" s="55">
        <v>4.78</v>
      </c>
      <c r="K642" s="55">
        <v>0.77</v>
      </c>
      <c r="L642" s="55">
        <v>271</v>
      </c>
      <c r="M642" s="54" t="s">
        <v>43</v>
      </c>
      <c r="N642" s="54" t="s">
        <v>1400</v>
      </c>
      <c r="O642" s="54" t="s">
        <v>6</v>
      </c>
      <c r="P642" s="54">
        <f t="shared" ref="P642:P705" si="40">IF(I642&gt;=2, C642, IF(J642&gt;=0.75, C642, 0))</f>
        <v>0</v>
      </c>
      <c r="Q642">
        <f t="shared" ref="Q642:Q705" si="41">IF(I642&gt;=2, C642, IF(AND(J642&gt;=0.75, D642&gt;=550), C642, 0))</f>
        <v>0</v>
      </c>
      <c r="R642">
        <f t="shared" ref="R642:R705" si="42">IF(J642&gt;=0.75, C642, 0)</f>
        <v>0</v>
      </c>
      <c r="S642" t="b">
        <f t="shared" si="39"/>
        <v>1</v>
      </c>
    </row>
    <row r="643" spans="1:19" x14ac:dyDescent="0.2">
      <c r="A643" s="54">
        <v>149220</v>
      </c>
      <c r="B643" s="54" t="s">
        <v>151</v>
      </c>
      <c r="C643" s="55">
        <v>103</v>
      </c>
      <c r="D643" s="55">
        <v>100</v>
      </c>
      <c r="E643" s="55">
        <v>7</v>
      </c>
      <c r="F643" s="55">
        <v>489</v>
      </c>
      <c r="G643" s="55">
        <v>478</v>
      </c>
      <c r="H643" s="55">
        <v>77</v>
      </c>
      <c r="I643" s="55">
        <v>4.8899999999999997</v>
      </c>
      <c r="J643" s="55">
        <v>4.78</v>
      </c>
      <c r="K643" s="55">
        <v>0.77</v>
      </c>
      <c r="L643" s="55">
        <v>271</v>
      </c>
      <c r="M643" s="54" t="s">
        <v>43</v>
      </c>
      <c r="N643" s="54" t="s">
        <v>1400</v>
      </c>
      <c r="O643" s="54" t="s">
        <v>6</v>
      </c>
      <c r="P643" s="54">
        <f t="shared" si="40"/>
        <v>103</v>
      </c>
      <c r="Q643">
        <f t="shared" si="41"/>
        <v>103</v>
      </c>
      <c r="R643">
        <f t="shared" si="42"/>
        <v>103</v>
      </c>
      <c r="S643" t="b">
        <f t="shared" ref="S643:S706" si="43">IF(A643=A644,TRUE,FALSE)</f>
        <v>0</v>
      </c>
    </row>
    <row r="644" spans="1:19" x14ac:dyDescent="0.2">
      <c r="A644" s="54">
        <v>149335</v>
      </c>
      <c r="B644" s="54" t="s">
        <v>182</v>
      </c>
      <c r="C644" s="55">
        <v>47</v>
      </c>
      <c r="D644" s="55">
        <v>42</v>
      </c>
      <c r="E644" s="55">
        <v>10</v>
      </c>
      <c r="F644" s="55">
        <v>307</v>
      </c>
      <c r="G644" s="55">
        <v>3</v>
      </c>
      <c r="H644" s="55">
        <v>3</v>
      </c>
      <c r="I644" s="55">
        <v>7.31</v>
      </c>
      <c r="J644" s="55">
        <v>7.0000000000000007E-2</v>
      </c>
      <c r="K644" s="55">
        <v>7.0000000000000007E-2</v>
      </c>
      <c r="L644" s="55">
        <v>0</v>
      </c>
      <c r="M644" s="54" t="s">
        <v>43</v>
      </c>
      <c r="N644" s="54" t="s">
        <v>1400</v>
      </c>
      <c r="O644" s="54" t="s">
        <v>7</v>
      </c>
      <c r="P644" s="54">
        <f t="shared" si="40"/>
        <v>47</v>
      </c>
      <c r="Q644">
        <f t="shared" si="41"/>
        <v>47</v>
      </c>
      <c r="R644">
        <f t="shared" si="42"/>
        <v>0</v>
      </c>
      <c r="S644" t="b">
        <f t="shared" si="43"/>
        <v>0</v>
      </c>
    </row>
    <row r="645" spans="1:19" x14ac:dyDescent="0.2">
      <c r="A645" s="54">
        <v>149464</v>
      </c>
      <c r="B645" s="54" t="s">
        <v>1187</v>
      </c>
      <c r="C645" s="55">
        <v>74</v>
      </c>
      <c r="D645" s="55">
        <v>74</v>
      </c>
      <c r="E645" s="55">
        <v>2</v>
      </c>
      <c r="F645" s="55">
        <v>40</v>
      </c>
      <c r="G645" s="55">
        <v>40</v>
      </c>
      <c r="H645" s="55">
        <v>40</v>
      </c>
      <c r="I645" s="55">
        <v>0.54</v>
      </c>
      <c r="J645" s="55">
        <v>0.54</v>
      </c>
      <c r="K645" s="55">
        <v>0.54</v>
      </c>
      <c r="L645" s="55">
        <v>0</v>
      </c>
      <c r="M645" s="54" t="s">
        <v>30</v>
      </c>
      <c r="N645" s="54" t="s">
        <v>1401</v>
      </c>
      <c r="O645" s="54" t="s">
        <v>7</v>
      </c>
      <c r="P645" s="54">
        <f t="shared" si="40"/>
        <v>0</v>
      </c>
      <c r="Q645">
        <f t="shared" si="41"/>
        <v>0</v>
      </c>
      <c r="R645">
        <f t="shared" si="42"/>
        <v>0</v>
      </c>
      <c r="S645" t="b">
        <f t="shared" si="43"/>
        <v>0</v>
      </c>
    </row>
    <row r="646" spans="1:19" x14ac:dyDescent="0.2">
      <c r="A646" s="54">
        <v>149648</v>
      </c>
      <c r="B646" s="54" t="s">
        <v>857</v>
      </c>
      <c r="C646" s="55">
        <v>9</v>
      </c>
      <c r="D646" s="55">
        <v>30</v>
      </c>
      <c r="E646" s="55">
        <v>2</v>
      </c>
      <c r="F646" s="55">
        <v>4</v>
      </c>
      <c r="G646" s="55">
        <v>4</v>
      </c>
      <c r="H646" s="55">
        <v>4</v>
      </c>
      <c r="I646" s="55">
        <v>0.13</v>
      </c>
      <c r="J646" s="55">
        <v>0.13</v>
      </c>
      <c r="K646" s="55">
        <v>0.13</v>
      </c>
      <c r="L646" s="55">
        <v>0</v>
      </c>
      <c r="M646" s="54" t="s">
        <v>30</v>
      </c>
      <c r="N646" s="54" t="s">
        <v>1401</v>
      </c>
      <c r="O646" s="54" t="s">
        <v>7</v>
      </c>
      <c r="P646" s="54">
        <f t="shared" si="40"/>
        <v>0</v>
      </c>
      <c r="Q646">
        <f t="shared" si="41"/>
        <v>0</v>
      </c>
      <c r="R646">
        <f t="shared" si="42"/>
        <v>0</v>
      </c>
      <c r="S646" t="b">
        <f t="shared" si="43"/>
        <v>0</v>
      </c>
    </row>
    <row r="647" spans="1:19" x14ac:dyDescent="0.2">
      <c r="A647" s="54">
        <v>150938</v>
      </c>
      <c r="B647" s="54" t="s">
        <v>193</v>
      </c>
      <c r="C647" s="55">
        <v>185</v>
      </c>
      <c r="D647" s="55">
        <v>230</v>
      </c>
      <c r="E647" s="55">
        <v>22</v>
      </c>
      <c r="F647" s="55">
        <v>359</v>
      </c>
      <c r="G647" s="55">
        <v>145</v>
      </c>
      <c r="H647" s="55">
        <v>55</v>
      </c>
      <c r="I647" s="55">
        <v>1.56</v>
      </c>
      <c r="J647" s="55">
        <v>0.63</v>
      </c>
      <c r="K647" s="55">
        <v>0.24</v>
      </c>
      <c r="L647" s="55">
        <v>162</v>
      </c>
      <c r="M647" s="54" t="s">
        <v>45</v>
      </c>
      <c r="N647" s="54" t="s">
        <v>47</v>
      </c>
      <c r="O647" s="54" t="s">
        <v>6</v>
      </c>
      <c r="P647" s="54">
        <f t="shared" si="40"/>
        <v>0</v>
      </c>
      <c r="Q647">
        <f t="shared" si="41"/>
        <v>0</v>
      </c>
      <c r="R647">
        <f t="shared" si="42"/>
        <v>0</v>
      </c>
      <c r="S647" t="b">
        <f t="shared" si="43"/>
        <v>0</v>
      </c>
    </row>
    <row r="648" spans="1:19" x14ac:dyDescent="0.2">
      <c r="A648" s="54">
        <v>151907</v>
      </c>
      <c r="B648" s="54" t="s">
        <v>746</v>
      </c>
      <c r="C648" s="55">
        <v>3</v>
      </c>
      <c r="D648" s="55">
        <v>30</v>
      </c>
      <c r="E648" s="55">
        <v>2</v>
      </c>
      <c r="F648" s="55">
        <v>3</v>
      </c>
      <c r="G648" s="55">
        <v>3</v>
      </c>
      <c r="H648" s="55">
        <v>3</v>
      </c>
      <c r="I648" s="55">
        <v>0.1</v>
      </c>
      <c r="J648" s="55">
        <v>0.1</v>
      </c>
      <c r="K648" s="55">
        <v>0.1</v>
      </c>
      <c r="L648" s="55">
        <v>0</v>
      </c>
      <c r="M648" s="54" t="s">
        <v>30</v>
      </c>
      <c r="N648" s="54" t="s">
        <v>1401</v>
      </c>
      <c r="O648" s="54" t="s">
        <v>7</v>
      </c>
      <c r="P648" s="54">
        <f t="shared" si="40"/>
        <v>0</v>
      </c>
      <c r="Q648">
        <f t="shared" si="41"/>
        <v>0</v>
      </c>
      <c r="R648">
        <f t="shared" si="42"/>
        <v>0</v>
      </c>
      <c r="S648" t="b">
        <f t="shared" si="43"/>
        <v>0</v>
      </c>
    </row>
    <row r="649" spans="1:19" x14ac:dyDescent="0.2">
      <c r="A649" s="54">
        <v>152332</v>
      </c>
      <c r="B649" s="54" t="s">
        <v>830</v>
      </c>
      <c r="C649" s="55">
        <v>7</v>
      </c>
      <c r="D649" s="55">
        <v>4</v>
      </c>
      <c r="E649" s="55">
        <v>4</v>
      </c>
      <c r="F649" s="55">
        <v>0</v>
      </c>
      <c r="G649" s="55">
        <v>0</v>
      </c>
      <c r="H649" s="55">
        <v>0</v>
      </c>
      <c r="I649" s="55">
        <v>0</v>
      </c>
      <c r="J649" s="55">
        <v>0</v>
      </c>
      <c r="K649" s="55">
        <v>0</v>
      </c>
      <c r="L649" s="55">
        <v>0</v>
      </c>
      <c r="M649" s="54" t="s">
        <v>30</v>
      </c>
      <c r="N649" s="54" t="s">
        <v>1401</v>
      </c>
      <c r="O649" s="54" t="s">
        <v>7</v>
      </c>
      <c r="P649" s="54">
        <f t="shared" si="40"/>
        <v>0</v>
      </c>
      <c r="Q649">
        <f t="shared" si="41"/>
        <v>0</v>
      </c>
      <c r="R649">
        <f t="shared" si="42"/>
        <v>0</v>
      </c>
      <c r="S649" t="b">
        <f t="shared" si="43"/>
        <v>0</v>
      </c>
    </row>
    <row r="650" spans="1:19" x14ac:dyDescent="0.2">
      <c r="A650" s="54">
        <v>152571</v>
      </c>
      <c r="B650" s="54" t="s">
        <v>512</v>
      </c>
      <c r="C650" s="55">
        <v>1</v>
      </c>
      <c r="D650" s="55">
        <v>60</v>
      </c>
      <c r="E650" s="55">
        <v>6</v>
      </c>
      <c r="F650" s="55">
        <v>16</v>
      </c>
      <c r="G650" s="55">
        <v>16</v>
      </c>
      <c r="H650" s="55">
        <v>14</v>
      </c>
      <c r="I650" s="55">
        <v>0.27</v>
      </c>
      <c r="J650" s="55">
        <v>0.27</v>
      </c>
      <c r="K650" s="55">
        <v>0.23</v>
      </c>
      <c r="L650" s="55">
        <v>0</v>
      </c>
      <c r="M650" s="54" t="s">
        <v>43</v>
      </c>
      <c r="N650" s="54" t="s">
        <v>1400</v>
      </c>
      <c r="O650" s="54" t="s">
        <v>7</v>
      </c>
      <c r="P650" s="54">
        <f t="shared" si="40"/>
        <v>0</v>
      </c>
      <c r="Q650">
        <f t="shared" si="41"/>
        <v>0</v>
      </c>
      <c r="R650">
        <f t="shared" si="42"/>
        <v>0</v>
      </c>
      <c r="S650" t="b">
        <f t="shared" si="43"/>
        <v>0</v>
      </c>
    </row>
    <row r="651" spans="1:19" x14ac:dyDescent="0.2">
      <c r="A651" s="54">
        <v>152725</v>
      </c>
      <c r="B651" s="54" t="s">
        <v>1257</v>
      </c>
      <c r="C651" s="55">
        <v>155</v>
      </c>
      <c r="D651" s="55">
        <v>10</v>
      </c>
      <c r="E651" s="55">
        <v>5</v>
      </c>
      <c r="F651" s="55">
        <v>61</v>
      </c>
      <c r="G651" s="55">
        <v>61</v>
      </c>
      <c r="H651" s="55">
        <v>51</v>
      </c>
      <c r="I651" s="55">
        <v>6.1</v>
      </c>
      <c r="J651" s="55">
        <v>6.1</v>
      </c>
      <c r="K651" s="55">
        <v>5.0999999999999996</v>
      </c>
      <c r="L651" s="55">
        <v>32</v>
      </c>
      <c r="M651" s="54" t="s">
        <v>30</v>
      </c>
      <c r="N651" s="54" t="s">
        <v>1401</v>
      </c>
      <c r="O651" s="54" t="s">
        <v>7</v>
      </c>
      <c r="P651" s="54">
        <f t="shared" si="40"/>
        <v>155</v>
      </c>
      <c r="Q651">
        <f t="shared" si="41"/>
        <v>155</v>
      </c>
      <c r="R651">
        <f t="shared" si="42"/>
        <v>155</v>
      </c>
      <c r="S651" t="b">
        <f t="shared" si="43"/>
        <v>0</v>
      </c>
    </row>
    <row r="652" spans="1:19" x14ac:dyDescent="0.2">
      <c r="A652" s="54">
        <v>153097</v>
      </c>
      <c r="B652" s="54" t="s">
        <v>1121</v>
      </c>
      <c r="C652" s="55">
        <v>38</v>
      </c>
      <c r="D652" s="55">
        <v>38</v>
      </c>
      <c r="E652" s="55">
        <v>4</v>
      </c>
      <c r="F652" s="55">
        <v>0</v>
      </c>
      <c r="G652" s="55">
        <v>0</v>
      </c>
      <c r="H652" s="55">
        <v>0</v>
      </c>
      <c r="I652" s="55">
        <v>0</v>
      </c>
      <c r="J652" s="55">
        <v>0</v>
      </c>
      <c r="K652" s="55">
        <v>0</v>
      </c>
      <c r="L652" s="55">
        <v>0</v>
      </c>
      <c r="M652" s="54" t="s">
        <v>30</v>
      </c>
      <c r="N652" s="54" t="s">
        <v>1401</v>
      </c>
      <c r="O652" s="54" t="s">
        <v>7</v>
      </c>
      <c r="P652" s="54">
        <f t="shared" si="40"/>
        <v>0</v>
      </c>
      <c r="Q652">
        <f t="shared" si="41"/>
        <v>0</v>
      </c>
      <c r="R652">
        <f t="shared" si="42"/>
        <v>0</v>
      </c>
      <c r="S652" t="b">
        <f t="shared" si="43"/>
        <v>0</v>
      </c>
    </row>
    <row r="653" spans="1:19" x14ac:dyDescent="0.2">
      <c r="A653" s="54">
        <v>153711</v>
      </c>
      <c r="B653" s="54" t="s">
        <v>614</v>
      </c>
      <c r="C653" s="55">
        <v>15</v>
      </c>
      <c r="D653" s="55">
        <v>16</v>
      </c>
      <c r="E653" s="55">
        <v>20</v>
      </c>
      <c r="F653" s="55">
        <v>1</v>
      </c>
      <c r="G653" s="55">
        <v>0</v>
      </c>
      <c r="H653" s="55">
        <v>0</v>
      </c>
      <c r="I653" s="55">
        <v>0.06</v>
      </c>
      <c r="J653" s="55">
        <v>0</v>
      </c>
      <c r="K653" s="55">
        <v>0</v>
      </c>
      <c r="L653" s="55">
        <v>0</v>
      </c>
      <c r="M653" s="54" t="s">
        <v>45</v>
      </c>
      <c r="N653" s="54" t="s">
        <v>47</v>
      </c>
      <c r="O653" s="54" t="s">
        <v>7</v>
      </c>
      <c r="P653" s="54">
        <f t="shared" si="40"/>
        <v>0</v>
      </c>
      <c r="Q653">
        <f t="shared" si="41"/>
        <v>0</v>
      </c>
      <c r="R653">
        <f t="shared" si="42"/>
        <v>0</v>
      </c>
      <c r="S653" t="b">
        <f t="shared" si="43"/>
        <v>0</v>
      </c>
    </row>
    <row r="654" spans="1:19" x14ac:dyDescent="0.2">
      <c r="A654" s="54">
        <v>154022</v>
      </c>
      <c r="B654" s="54" t="s">
        <v>714</v>
      </c>
      <c r="C654" s="55">
        <v>2</v>
      </c>
      <c r="D654" s="55">
        <v>34</v>
      </c>
      <c r="E654" s="55">
        <v>1</v>
      </c>
      <c r="F654" s="55">
        <v>0</v>
      </c>
      <c r="G654" s="55">
        <v>0</v>
      </c>
      <c r="H654" s="55">
        <v>0</v>
      </c>
      <c r="I654" s="55">
        <v>0</v>
      </c>
      <c r="J654" s="55">
        <v>0</v>
      </c>
      <c r="K654" s="55">
        <v>0</v>
      </c>
      <c r="L654" s="55">
        <v>0</v>
      </c>
      <c r="M654" s="54" t="s">
        <v>30</v>
      </c>
      <c r="N654" s="54" t="s">
        <v>1401</v>
      </c>
      <c r="O654" s="54" t="s">
        <v>7</v>
      </c>
      <c r="P654" s="54">
        <f t="shared" si="40"/>
        <v>0</v>
      </c>
      <c r="Q654">
        <f t="shared" si="41"/>
        <v>0</v>
      </c>
      <c r="R654">
        <f t="shared" si="42"/>
        <v>0</v>
      </c>
      <c r="S654" t="b">
        <f t="shared" si="43"/>
        <v>0</v>
      </c>
    </row>
    <row r="655" spans="1:19" x14ac:dyDescent="0.2">
      <c r="A655" s="54">
        <v>154192</v>
      </c>
      <c r="B655" s="54" t="s">
        <v>977</v>
      </c>
      <c r="C655" s="55">
        <v>16</v>
      </c>
      <c r="D655" s="55">
        <v>7</v>
      </c>
      <c r="E655" s="55">
        <v>3</v>
      </c>
      <c r="F655" s="55">
        <v>3</v>
      </c>
      <c r="G655" s="55">
        <v>3</v>
      </c>
      <c r="H655" s="55">
        <v>0</v>
      </c>
      <c r="I655" s="55">
        <v>0.43</v>
      </c>
      <c r="J655" s="55">
        <v>0.43</v>
      </c>
      <c r="K655" s="55">
        <v>0</v>
      </c>
      <c r="L655" s="55">
        <v>0</v>
      </c>
      <c r="M655" s="54" t="s">
        <v>30</v>
      </c>
      <c r="N655" s="54" t="s">
        <v>1401</v>
      </c>
      <c r="O655" s="54" t="s">
        <v>7</v>
      </c>
      <c r="P655" s="54">
        <f t="shared" si="40"/>
        <v>0</v>
      </c>
      <c r="Q655">
        <f t="shared" si="41"/>
        <v>0</v>
      </c>
      <c r="R655">
        <f t="shared" si="42"/>
        <v>0</v>
      </c>
      <c r="S655" t="b">
        <f t="shared" si="43"/>
        <v>0</v>
      </c>
    </row>
    <row r="656" spans="1:19" x14ac:dyDescent="0.2">
      <c r="A656" s="54">
        <v>154280</v>
      </c>
      <c r="B656" s="54" t="s">
        <v>1053</v>
      </c>
      <c r="C656" s="55">
        <v>26</v>
      </c>
      <c r="D656" s="55">
        <v>15</v>
      </c>
      <c r="E656" s="55">
        <v>1</v>
      </c>
      <c r="F656" s="55">
        <v>4</v>
      </c>
      <c r="G656" s="55">
        <v>4</v>
      </c>
      <c r="H656" s="55">
        <v>4</v>
      </c>
      <c r="I656" s="55">
        <v>0.27</v>
      </c>
      <c r="J656" s="55">
        <v>0.27</v>
      </c>
      <c r="K656" s="55">
        <v>0.27</v>
      </c>
      <c r="L656" s="55">
        <v>0</v>
      </c>
      <c r="M656" s="54" t="s">
        <v>30</v>
      </c>
      <c r="N656" s="54" t="s">
        <v>1401</v>
      </c>
      <c r="O656" s="54" t="s">
        <v>7</v>
      </c>
      <c r="P656" s="54">
        <f t="shared" si="40"/>
        <v>0</v>
      </c>
      <c r="Q656">
        <f t="shared" si="41"/>
        <v>0</v>
      </c>
      <c r="R656">
        <f t="shared" si="42"/>
        <v>0</v>
      </c>
      <c r="S656" t="b">
        <f t="shared" si="43"/>
        <v>0</v>
      </c>
    </row>
    <row r="657" spans="1:19" x14ac:dyDescent="0.2">
      <c r="A657" s="54">
        <v>154313</v>
      </c>
      <c r="B657" s="54" t="s">
        <v>184</v>
      </c>
      <c r="C657" s="55">
        <v>24</v>
      </c>
      <c r="D657" s="55">
        <v>40</v>
      </c>
      <c r="E657" s="55">
        <v>9</v>
      </c>
      <c r="F657" s="55">
        <v>329</v>
      </c>
      <c r="G657" s="55">
        <v>284</v>
      </c>
      <c r="H657" s="55">
        <v>38</v>
      </c>
      <c r="I657" s="55">
        <v>8.23</v>
      </c>
      <c r="J657" s="55">
        <v>7.1</v>
      </c>
      <c r="K657" s="55">
        <v>0.95</v>
      </c>
      <c r="L657" s="55">
        <v>21</v>
      </c>
      <c r="M657" s="54" t="s">
        <v>43</v>
      </c>
      <c r="N657" s="54" t="s">
        <v>1400</v>
      </c>
      <c r="O657" s="54" t="s">
        <v>7</v>
      </c>
      <c r="P657" s="54">
        <f t="shared" si="40"/>
        <v>24</v>
      </c>
      <c r="Q657">
        <f t="shared" si="41"/>
        <v>24</v>
      </c>
      <c r="R657">
        <f t="shared" si="42"/>
        <v>24</v>
      </c>
      <c r="S657" t="b">
        <f t="shared" si="43"/>
        <v>0</v>
      </c>
    </row>
    <row r="658" spans="1:19" x14ac:dyDescent="0.2">
      <c r="A658" s="54">
        <v>154340</v>
      </c>
      <c r="B658" s="54" t="s">
        <v>207</v>
      </c>
      <c r="C658" s="55">
        <v>0</v>
      </c>
      <c r="D658" s="55">
        <v>180</v>
      </c>
      <c r="E658" s="55">
        <v>16</v>
      </c>
      <c r="F658" s="55">
        <v>289</v>
      </c>
      <c r="G658" s="55">
        <v>73</v>
      </c>
      <c r="H658" s="55">
        <v>17</v>
      </c>
      <c r="I658" s="55">
        <v>1.61</v>
      </c>
      <c r="J658" s="55">
        <v>0.41</v>
      </c>
      <c r="K658" s="55">
        <v>0.09</v>
      </c>
      <c r="L658" s="55">
        <v>18</v>
      </c>
      <c r="M658" s="54" t="s">
        <v>45</v>
      </c>
      <c r="N658" s="54" t="s">
        <v>47</v>
      </c>
      <c r="O658" s="54" t="s">
        <v>6</v>
      </c>
      <c r="P658" s="54">
        <f t="shared" si="40"/>
        <v>0</v>
      </c>
      <c r="Q658">
        <f t="shared" si="41"/>
        <v>0</v>
      </c>
      <c r="R658">
        <f t="shared" si="42"/>
        <v>0</v>
      </c>
      <c r="S658" t="b">
        <f t="shared" si="43"/>
        <v>0</v>
      </c>
    </row>
    <row r="659" spans="1:19" x14ac:dyDescent="0.2">
      <c r="A659" s="54">
        <v>154518</v>
      </c>
      <c r="B659" s="54" t="s">
        <v>652</v>
      </c>
      <c r="C659" s="55">
        <v>899</v>
      </c>
      <c r="D659" s="55">
        <v>201</v>
      </c>
      <c r="E659" s="55">
        <v>9</v>
      </c>
      <c r="F659" s="55">
        <v>0</v>
      </c>
      <c r="G659" s="55">
        <v>0</v>
      </c>
      <c r="H659" s="55">
        <v>0</v>
      </c>
      <c r="I659" s="55">
        <v>0</v>
      </c>
      <c r="J659" s="55">
        <v>0</v>
      </c>
      <c r="K659" s="55">
        <v>0</v>
      </c>
      <c r="L659" s="55">
        <v>0</v>
      </c>
      <c r="M659" s="54" t="s">
        <v>43</v>
      </c>
      <c r="N659" s="54" t="s">
        <v>1400</v>
      </c>
      <c r="O659" s="54" t="s">
        <v>6</v>
      </c>
      <c r="P659" s="54">
        <f t="shared" si="40"/>
        <v>0</v>
      </c>
      <c r="Q659">
        <f t="shared" si="41"/>
        <v>0</v>
      </c>
      <c r="R659">
        <f t="shared" si="42"/>
        <v>0</v>
      </c>
      <c r="S659" t="b">
        <f t="shared" si="43"/>
        <v>0</v>
      </c>
    </row>
    <row r="660" spans="1:19" x14ac:dyDescent="0.2">
      <c r="A660" s="54">
        <v>154999</v>
      </c>
      <c r="B660" s="54" t="s">
        <v>1110</v>
      </c>
      <c r="C660" s="55">
        <v>35</v>
      </c>
      <c r="D660" s="55">
        <v>50</v>
      </c>
      <c r="E660" s="55">
        <v>5</v>
      </c>
      <c r="F660" s="55">
        <v>8</v>
      </c>
      <c r="G660" s="55">
        <v>8</v>
      </c>
      <c r="H660" s="55">
        <v>0</v>
      </c>
      <c r="I660" s="55">
        <v>0.16</v>
      </c>
      <c r="J660" s="55">
        <v>0.16</v>
      </c>
      <c r="K660" s="55">
        <v>0</v>
      </c>
      <c r="L660" s="55">
        <v>0</v>
      </c>
      <c r="M660" s="54" t="s">
        <v>30</v>
      </c>
      <c r="N660" s="54" t="s">
        <v>1401</v>
      </c>
      <c r="O660" s="54" t="s">
        <v>7</v>
      </c>
      <c r="P660" s="54">
        <f t="shared" si="40"/>
        <v>0</v>
      </c>
      <c r="Q660">
        <f t="shared" si="41"/>
        <v>0</v>
      </c>
      <c r="R660">
        <f t="shared" si="42"/>
        <v>0</v>
      </c>
      <c r="S660" t="b">
        <f t="shared" si="43"/>
        <v>0</v>
      </c>
    </row>
    <row r="661" spans="1:19" x14ac:dyDescent="0.2">
      <c r="A661" s="54">
        <v>155263</v>
      </c>
      <c r="B661" s="54" t="s">
        <v>132</v>
      </c>
      <c r="C661" s="55">
        <v>154</v>
      </c>
      <c r="D661" s="55">
        <v>178</v>
      </c>
      <c r="E661" s="55">
        <v>14</v>
      </c>
      <c r="F661" s="55">
        <v>727</v>
      </c>
      <c r="G661" s="55">
        <v>547</v>
      </c>
      <c r="H661" s="55">
        <v>279</v>
      </c>
      <c r="I661" s="55">
        <v>4.08</v>
      </c>
      <c r="J661" s="55">
        <v>3.07</v>
      </c>
      <c r="K661" s="55">
        <v>1.57</v>
      </c>
      <c r="L661" s="55">
        <v>84</v>
      </c>
      <c r="M661" s="54" t="s">
        <v>45</v>
      </c>
      <c r="N661" s="54" t="s">
        <v>47</v>
      </c>
      <c r="O661" s="54" t="s">
        <v>6</v>
      </c>
      <c r="P661" s="54">
        <f t="shared" si="40"/>
        <v>154</v>
      </c>
      <c r="Q661">
        <f t="shared" si="41"/>
        <v>154</v>
      </c>
      <c r="R661">
        <f t="shared" si="42"/>
        <v>154</v>
      </c>
      <c r="S661" t="b">
        <f t="shared" si="43"/>
        <v>0</v>
      </c>
    </row>
    <row r="662" spans="1:19" x14ac:dyDescent="0.2">
      <c r="A662" s="54">
        <v>155268</v>
      </c>
      <c r="B662" s="54" t="s">
        <v>856</v>
      </c>
      <c r="C662" s="55">
        <v>9</v>
      </c>
      <c r="D662" s="55">
        <v>9</v>
      </c>
      <c r="E662" s="55">
        <v>1</v>
      </c>
      <c r="F662" s="55">
        <v>56</v>
      </c>
      <c r="G662" s="55">
        <v>56</v>
      </c>
      <c r="H662" s="55">
        <v>56</v>
      </c>
      <c r="I662" s="55">
        <v>6.22</v>
      </c>
      <c r="J662" s="55">
        <v>6.22</v>
      </c>
      <c r="K662" s="55">
        <v>6.22</v>
      </c>
      <c r="L662" s="55">
        <v>15</v>
      </c>
      <c r="M662" s="54" t="s">
        <v>30</v>
      </c>
      <c r="N662" s="54" t="s">
        <v>1401</v>
      </c>
      <c r="O662" s="54" t="s">
        <v>7</v>
      </c>
      <c r="P662" s="54">
        <f t="shared" si="40"/>
        <v>9</v>
      </c>
      <c r="Q662">
        <f t="shared" si="41"/>
        <v>9</v>
      </c>
      <c r="R662">
        <f t="shared" si="42"/>
        <v>9</v>
      </c>
      <c r="S662" t="b">
        <f t="shared" si="43"/>
        <v>0</v>
      </c>
    </row>
    <row r="663" spans="1:19" x14ac:dyDescent="0.2">
      <c r="A663" s="54">
        <v>155353</v>
      </c>
      <c r="B663" s="54" t="s">
        <v>965</v>
      </c>
      <c r="C663" s="55">
        <v>15</v>
      </c>
      <c r="D663" s="55">
        <v>15</v>
      </c>
      <c r="E663" s="55">
        <v>0</v>
      </c>
      <c r="F663" s="55">
        <v>0</v>
      </c>
      <c r="G663" s="55">
        <v>0</v>
      </c>
      <c r="H663" s="55">
        <v>0</v>
      </c>
      <c r="I663" s="55">
        <v>0</v>
      </c>
      <c r="J663" s="55">
        <v>0</v>
      </c>
      <c r="K663" s="55">
        <v>0</v>
      </c>
      <c r="L663" s="55">
        <v>0</v>
      </c>
      <c r="M663" s="54" t="s">
        <v>30</v>
      </c>
      <c r="N663" s="54" t="s">
        <v>1401</v>
      </c>
      <c r="O663" s="54" t="s">
        <v>7</v>
      </c>
      <c r="P663" s="54">
        <f t="shared" si="40"/>
        <v>0</v>
      </c>
      <c r="Q663">
        <f t="shared" si="41"/>
        <v>0</v>
      </c>
      <c r="R663">
        <f t="shared" si="42"/>
        <v>0</v>
      </c>
      <c r="S663" t="b">
        <f t="shared" si="43"/>
        <v>0</v>
      </c>
    </row>
    <row r="664" spans="1:19" x14ac:dyDescent="0.2">
      <c r="A664" s="54">
        <v>155477</v>
      </c>
      <c r="B664" s="54" t="s">
        <v>1081</v>
      </c>
      <c r="C664" s="55">
        <v>30</v>
      </c>
      <c r="D664" s="55">
        <v>28</v>
      </c>
      <c r="E664" s="55">
        <v>2</v>
      </c>
      <c r="F664" s="55">
        <v>0</v>
      </c>
      <c r="G664" s="55">
        <v>0</v>
      </c>
      <c r="H664" s="55">
        <v>0</v>
      </c>
      <c r="I664" s="55">
        <v>0</v>
      </c>
      <c r="J664" s="55">
        <v>0</v>
      </c>
      <c r="K664" s="55">
        <v>0</v>
      </c>
      <c r="L664" s="55">
        <v>0</v>
      </c>
      <c r="M664" s="54" t="s">
        <v>30</v>
      </c>
      <c r="N664" s="54" t="s">
        <v>1401</v>
      </c>
      <c r="O664" s="54" t="s">
        <v>7</v>
      </c>
      <c r="P664" s="54">
        <f t="shared" si="40"/>
        <v>0</v>
      </c>
      <c r="Q664">
        <f t="shared" si="41"/>
        <v>0</v>
      </c>
      <c r="R664">
        <f t="shared" si="42"/>
        <v>0</v>
      </c>
      <c r="S664" t="b">
        <f t="shared" si="43"/>
        <v>0</v>
      </c>
    </row>
    <row r="665" spans="1:19" x14ac:dyDescent="0.2">
      <c r="A665" s="54">
        <v>155646</v>
      </c>
      <c r="B665" s="54" t="s">
        <v>149</v>
      </c>
      <c r="C665" s="55">
        <v>29</v>
      </c>
      <c r="D665" s="55">
        <v>26</v>
      </c>
      <c r="E665" s="55">
        <v>9</v>
      </c>
      <c r="F665" s="55">
        <v>297</v>
      </c>
      <c r="G665" s="55">
        <v>246</v>
      </c>
      <c r="H665" s="55">
        <v>40</v>
      </c>
      <c r="I665" s="55">
        <v>11.42</v>
      </c>
      <c r="J665" s="55">
        <v>9.4600000000000009</v>
      </c>
      <c r="K665" s="55">
        <v>1.54</v>
      </c>
      <c r="L665" s="55">
        <v>58</v>
      </c>
      <c r="M665" s="54" t="s">
        <v>43</v>
      </c>
      <c r="N665" s="54" t="s">
        <v>1400</v>
      </c>
      <c r="O665" s="54" t="s">
        <v>7</v>
      </c>
      <c r="P665" s="54">
        <f t="shared" si="40"/>
        <v>29</v>
      </c>
      <c r="Q665">
        <f t="shared" si="41"/>
        <v>29</v>
      </c>
      <c r="R665">
        <f t="shared" si="42"/>
        <v>29</v>
      </c>
      <c r="S665" t="b">
        <f t="shared" si="43"/>
        <v>0</v>
      </c>
    </row>
    <row r="666" spans="1:19" x14ac:dyDescent="0.2">
      <c r="A666" s="54">
        <v>155722</v>
      </c>
      <c r="B666" s="54" t="s">
        <v>942</v>
      </c>
      <c r="C666" s="55">
        <v>14</v>
      </c>
      <c r="D666" s="55">
        <v>13</v>
      </c>
      <c r="E666" s="55">
        <v>3</v>
      </c>
      <c r="F666" s="55">
        <v>0</v>
      </c>
      <c r="G666" s="55">
        <v>0</v>
      </c>
      <c r="H666" s="55">
        <v>0</v>
      </c>
      <c r="I666" s="55">
        <v>0</v>
      </c>
      <c r="J666" s="55">
        <v>0</v>
      </c>
      <c r="K666" s="55">
        <v>0</v>
      </c>
      <c r="L666" s="55">
        <v>0</v>
      </c>
      <c r="M666" s="54" t="s">
        <v>30</v>
      </c>
      <c r="N666" s="54" t="s">
        <v>1401</v>
      </c>
      <c r="O666" s="54" t="s">
        <v>7</v>
      </c>
      <c r="P666" s="54">
        <f t="shared" si="40"/>
        <v>0</v>
      </c>
      <c r="Q666">
        <f t="shared" si="41"/>
        <v>0</v>
      </c>
      <c r="R666">
        <f t="shared" si="42"/>
        <v>0</v>
      </c>
      <c r="S666" t="b">
        <f t="shared" si="43"/>
        <v>0</v>
      </c>
    </row>
    <row r="667" spans="1:19" x14ac:dyDescent="0.2">
      <c r="A667" s="54">
        <v>155741</v>
      </c>
      <c r="B667" s="54" t="s">
        <v>1282</v>
      </c>
      <c r="C667" s="55">
        <v>297</v>
      </c>
      <c r="D667" s="55">
        <v>288</v>
      </c>
      <c r="E667" s="55">
        <v>2</v>
      </c>
      <c r="F667" s="55">
        <v>0</v>
      </c>
      <c r="G667" s="55">
        <v>0</v>
      </c>
      <c r="H667" s="55">
        <v>0</v>
      </c>
      <c r="I667" s="55">
        <v>0</v>
      </c>
      <c r="J667" s="55">
        <v>0</v>
      </c>
      <c r="K667" s="55">
        <v>0</v>
      </c>
      <c r="L667" s="55">
        <v>0</v>
      </c>
      <c r="M667" s="54" t="s">
        <v>30</v>
      </c>
      <c r="N667" s="54" t="s">
        <v>1401</v>
      </c>
      <c r="O667" s="54" t="s">
        <v>6</v>
      </c>
      <c r="P667" s="54">
        <f t="shared" si="40"/>
        <v>0</v>
      </c>
      <c r="Q667">
        <f t="shared" si="41"/>
        <v>0</v>
      </c>
      <c r="R667">
        <f t="shared" si="42"/>
        <v>0</v>
      </c>
      <c r="S667" t="b">
        <f t="shared" si="43"/>
        <v>0</v>
      </c>
    </row>
    <row r="668" spans="1:19" x14ac:dyDescent="0.2">
      <c r="A668" s="54">
        <v>156030</v>
      </c>
      <c r="B668" s="54" t="s">
        <v>371</v>
      </c>
      <c r="C668" s="55">
        <v>38</v>
      </c>
      <c r="D668" s="55">
        <v>25</v>
      </c>
      <c r="E668" s="55">
        <v>13</v>
      </c>
      <c r="F668" s="55">
        <v>65</v>
      </c>
      <c r="G668" s="55">
        <v>10</v>
      </c>
      <c r="H668" s="55">
        <v>0</v>
      </c>
      <c r="I668" s="55">
        <v>2.6</v>
      </c>
      <c r="J668" s="55">
        <v>0.4</v>
      </c>
      <c r="K668" s="55">
        <v>0</v>
      </c>
      <c r="L668" s="55">
        <v>0</v>
      </c>
      <c r="M668" s="54" t="s">
        <v>45</v>
      </c>
      <c r="N668" s="54" t="s">
        <v>47</v>
      </c>
      <c r="O668" s="54" t="s">
        <v>7</v>
      </c>
      <c r="P668" s="54">
        <f t="shared" si="40"/>
        <v>38</v>
      </c>
      <c r="Q668">
        <f t="shared" si="41"/>
        <v>38</v>
      </c>
      <c r="R668">
        <f t="shared" si="42"/>
        <v>0</v>
      </c>
      <c r="S668" t="b">
        <f t="shared" si="43"/>
        <v>0</v>
      </c>
    </row>
    <row r="669" spans="1:19" x14ac:dyDescent="0.2">
      <c r="A669" s="54">
        <v>156114</v>
      </c>
      <c r="B669" s="54" t="s">
        <v>469</v>
      </c>
      <c r="C669" s="55">
        <v>47</v>
      </c>
      <c r="D669" s="55">
        <v>25</v>
      </c>
      <c r="E669" s="55">
        <v>11</v>
      </c>
      <c r="F669" s="55">
        <v>28</v>
      </c>
      <c r="G669" s="55">
        <v>0</v>
      </c>
      <c r="H669" s="55">
        <v>0</v>
      </c>
      <c r="I669" s="55">
        <v>1.1200000000000001</v>
      </c>
      <c r="J669" s="55">
        <v>0</v>
      </c>
      <c r="K669" s="55">
        <v>0</v>
      </c>
      <c r="L669" s="55">
        <v>0</v>
      </c>
      <c r="M669" s="54" t="s">
        <v>43</v>
      </c>
      <c r="N669" s="54" t="s">
        <v>1400</v>
      </c>
      <c r="O669" s="54" t="s">
        <v>7</v>
      </c>
      <c r="P669" s="54">
        <f t="shared" si="40"/>
        <v>0</v>
      </c>
      <c r="Q669">
        <f t="shared" si="41"/>
        <v>0</v>
      </c>
      <c r="R669">
        <f t="shared" si="42"/>
        <v>0</v>
      </c>
      <c r="S669" t="b">
        <f t="shared" si="43"/>
        <v>0</v>
      </c>
    </row>
    <row r="670" spans="1:19" x14ac:dyDescent="0.2">
      <c r="A670" s="54">
        <v>156561</v>
      </c>
      <c r="B670" s="54" t="s">
        <v>242</v>
      </c>
      <c r="C670" s="55">
        <v>49</v>
      </c>
      <c r="D670" s="55">
        <v>37</v>
      </c>
      <c r="E670" s="55">
        <v>9</v>
      </c>
      <c r="F670" s="55">
        <v>184</v>
      </c>
      <c r="G670" s="55">
        <v>177</v>
      </c>
      <c r="H670" s="55">
        <v>130</v>
      </c>
      <c r="I670" s="55">
        <v>4.97</v>
      </c>
      <c r="J670" s="55">
        <v>4.78</v>
      </c>
      <c r="K670" s="55">
        <v>3.51</v>
      </c>
      <c r="L670" s="55">
        <v>4</v>
      </c>
      <c r="M670" s="54" t="s">
        <v>43</v>
      </c>
      <c r="N670" s="54" t="s">
        <v>1400</v>
      </c>
      <c r="O670" s="54" t="s">
        <v>7</v>
      </c>
      <c r="P670" s="54">
        <f t="shared" si="40"/>
        <v>49</v>
      </c>
      <c r="Q670">
        <f t="shared" si="41"/>
        <v>49</v>
      </c>
      <c r="R670">
        <f t="shared" si="42"/>
        <v>49</v>
      </c>
      <c r="S670" t="b">
        <f t="shared" si="43"/>
        <v>0</v>
      </c>
    </row>
    <row r="671" spans="1:19" x14ac:dyDescent="0.2">
      <c r="A671" s="54">
        <v>156634</v>
      </c>
      <c r="B671" s="54" t="s">
        <v>373</v>
      </c>
      <c r="C671" s="55">
        <v>8</v>
      </c>
      <c r="D671" s="55">
        <v>7</v>
      </c>
      <c r="E671" s="55">
        <v>9</v>
      </c>
      <c r="F671" s="55">
        <v>61</v>
      </c>
      <c r="G671" s="55">
        <v>9</v>
      </c>
      <c r="H671" s="55">
        <v>0</v>
      </c>
      <c r="I671" s="55">
        <v>8.7100000000000009</v>
      </c>
      <c r="J671" s="55">
        <v>1.29</v>
      </c>
      <c r="K671" s="55">
        <v>0</v>
      </c>
      <c r="L671" s="55">
        <v>0</v>
      </c>
      <c r="M671" s="54" t="s">
        <v>43</v>
      </c>
      <c r="N671" s="54" t="s">
        <v>1400</v>
      </c>
      <c r="O671" s="54" t="s">
        <v>7</v>
      </c>
      <c r="P671" s="54">
        <f t="shared" si="40"/>
        <v>8</v>
      </c>
      <c r="Q671">
        <f t="shared" si="41"/>
        <v>8</v>
      </c>
      <c r="R671">
        <f t="shared" si="42"/>
        <v>8</v>
      </c>
      <c r="S671" t="b">
        <f t="shared" si="43"/>
        <v>0</v>
      </c>
    </row>
    <row r="672" spans="1:19" x14ac:dyDescent="0.2">
      <c r="A672" s="54">
        <v>156843</v>
      </c>
      <c r="B672" s="54" t="s">
        <v>245</v>
      </c>
      <c r="C672" s="55">
        <v>43</v>
      </c>
      <c r="D672" s="55">
        <v>36</v>
      </c>
      <c r="E672" s="55">
        <v>9</v>
      </c>
      <c r="F672" s="55">
        <v>85</v>
      </c>
      <c r="G672" s="55">
        <v>55</v>
      </c>
      <c r="H672" s="55">
        <v>0</v>
      </c>
      <c r="I672" s="55">
        <v>2.36</v>
      </c>
      <c r="J672" s="55">
        <v>1.53</v>
      </c>
      <c r="K672" s="55">
        <v>0</v>
      </c>
      <c r="L672" s="55">
        <v>0</v>
      </c>
      <c r="M672" s="54" t="s">
        <v>43</v>
      </c>
      <c r="N672" s="54" t="s">
        <v>1400</v>
      </c>
      <c r="O672" s="54" t="s">
        <v>7</v>
      </c>
      <c r="P672" s="54">
        <f t="shared" si="40"/>
        <v>43</v>
      </c>
      <c r="Q672">
        <f t="shared" si="41"/>
        <v>43</v>
      </c>
      <c r="R672">
        <f t="shared" si="42"/>
        <v>43</v>
      </c>
      <c r="S672" t="b">
        <f t="shared" si="43"/>
        <v>0</v>
      </c>
    </row>
    <row r="673" spans="1:19" x14ac:dyDescent="0.2">
      <c r="A673" s="54">
        <v>156865</v>
      </c>
      <c r="B673" s="54" t="s">
        <v>1271</v>
      </c>
      <c r="C673" s="55">
        <v>190</v>
      </c>
      <c r="D673" s="55">
        <v>159</v>
      </c>
      <c r="E673" s="55">
        <v>1</v>
      </c>
      <c r="F673" s="55">
        <v>3</v>
      </c>
      <c r="G673" s="55">
        <v>3</v>
      </c>
      <c r="H673" s="55">
        <v>3</v>
      </c>
      <c r="I673" s="55">
        <v>0.02</v>
      </c>
      <c r="J673" s="55">
        <v>0.02</v>
      </c>
      <c r="K673" s="55">
        <v>0.02</v>
      </c>
      <c r="L673" s="55">
        <v>0</v>
      </c>
      <c r="M673" s="54" t="s">
        <v>30</v>
      </c>
      <c r="N673" s="54" t="s">
        <v>1401</v>
      </c>
      <c r="O673" s="54" t="s">
        <v>6</v>
      </c>
      <c r="P673" s="54">
        <f t="shared" si="40"/>
        <v>0</v>
      </c>
      <c r="Q673">
        <f t="shared" si="41"/>
        <v>0</v>
      </c>
      <c r="R673">
        <f t="shared" si="42"/>
        <v>0</v>
      </c>
      <c r="S673" t="b">
        <f t="shared" si="43"/>
        <v>0</v>
      </c>
    </row>
    <row r="674" spans="1:19" x14ac:dyDescent="0.2">
      <c r="A674" s="54">
        <v>157038</v>
      </c>
      <c r="B674" s="54" t="s">
        <v>1002</v>
      </c>
      <c r="C674" s="55">
        <v>19</v>
      </c>
      <c r="D674" s="55">
        <v>17</v>
      </c>
      <c r="E674" s="55">
        <v>4</v>
      </c>
      <c r="F674" s="55">
        <v>0</v>
      </c>
      <c r="G674" s="55">
        <v>0</v>
      </c>
      <c r="H674" s="55">
        <v>0</v>
      </c>
      <c r="I674" s="55">
        <v>0</v>
      </c>
      <c r="J674" s="55">
        <v>0</v>
      </c>
      <c r="K674" s="55">
        <v>0</v>
      </c>
      <c r="L674" s="55">
        <v>0</v>
      </c>
      <c r="M674" s="54" t="s">
        <v>30</v>
      </c>
      <c r="N674" s="54" t="s">
        <v>1401</v>
      </c>
      <c r="O674" s="54" t="s">
        <v>7</v>
      </c>
      <c r="P674" s="54">
        <f t="shared" si="40"/>
        <v>0</v>
      </c>
      <c r="Q674">
        <f t="shared" si="41"/>
        <v>0</v>
      </c>
      <c r="R674">
        <f t="shared" si="42"/>
        <v>0</v>
      </c>
      <c r="S674" t="b">
        <f t="shared" si="43"/>
        <v>0</v>
      </c>
    </row>
    <row r="675" spans="1:19" x14ac:dyDescent="0.2">
      <c r="A675" s="54">
        <v>157071</v>
      </c>
      <c r="B675" s="54" t="s">
        <v>133</v>
      </c>
      <c r="C675" s="55">
        <v>151</v>
      </c>
      <c r="D675" s="55">
        <v>140</v>
      </c>
      <c r="E675" s="55">
        <v>34</v>
      </c>
      <c r="F675" s="55">
        <v>674</v>
      </c>
      <c r="G675" s="55">
        <v>35</v>
      </c>
      <c r="H675" s="55">
        <v>27</v>
      </c>
      <c r="I675" s="55">
        <v>4.8099999999999996</v>
      </c>
      <c r="J675" s="55">
        <v>0.25</v>
      </c>
      <c r="K675" s="55">
        <v>0.19</v>
      </c>
      <c r="L675" s="55">
        <v>0</v>
      </c>
      <c r="M675" s="54" t="s">
        <v>47</v>
      </c>
      <c r="N675" s="54" t="s">
        <v>47</v>
      </c>
      <c r="O675" s="54" t="s">
        <v>6</v>
      </c>
      <c r="P675" s="54">
        <f t="shared" si="40"/>
        <v>151</v>
      </c>
      <c r="Q675">
        <f t="shared" si="41"/>
        <v>151</v>
      </c>
      <c r="R675">
        <f t="shared" si="42"/>
        <v>0</v>
      </c>
      <c r="S675" t="b">
        <f t="shared" si="43"/>
        <v>0</v>
      </c>
    </row>
    <row r="676" spans="1:19" x14ac:dyDescent="0.2">
      <c r="A676" s="54">
        <v>157301</v>
      </c>
      <c r="B676" s="54" t="s">
        <v>667</v>
      </c>
      <c r="C676" s="55">
        <v>13</v>
      </c>
      <c r="D676" s="55">
        <v>15</v>
      </c>
      <c r="E676" s="55">
        <v>19</v>
      </c>
      <c r="F676" s="55">
        <v>0</v>
      </c>
      <c r="G676" s="55">
        <v>0</v>
      </c>
      <c r="H676" s="55">
        <v>0</v>
      </c>
      <c r="I676" s="55">
        <v>0</v>
      </c>
      <c r="J676" s="55">
        <v>0</v>
      </c>
      <c r="K676" s="55">
        <v>0</v>
      </c>
      <c r="L676" s="55">
        <v>0</v>
      </c>
      <c r="M676" s="54" t="s">
        <v>45</v>
      </c>
      <c r="N676" s="54" t="s">
        <v>47</v>
      </c>
      <c r="O676" s="54" t="s">
        <v>7</v>
      </c>
      <c r="P676" s="54">
        <f t="shared" si="40"/>
        <v>0</v>
      </c>
      <c r="Q676">
        <f t="shared" si="41"/>
        <v>0</v>
      </c>
      <c r="R676">
        <f t="shared" si="42"/>
        <v>0</v>
      </c>
      <c r="S676" t="b">
        <f t="shared" si="43"/>
        <v>0</v>
      </c>
    </row>
    <row r="677" spans="1:19" x14ac:dyDescent="0.2">
      <c r="A677" s="54">
        <v>157396</v>
      </c>
      <c r="B677" s="54" t="s">
        <v>846</v>
      </c>
      <c r="C677" s="55">
        <v>8</v>
      </c>
      <c r="D677" s="55">
        <v>40</v>
      </c>
      <c r="E677" s="55">
        <v>3</v>
      </c>
      <c r="F677" s="55">
        <v>11</v>
      </c>
      <c r="G677" s="55">
        <v>5</v>
      </c>
      <c r="H677" s="55">
        <v>5</v>
      </c>
      <c r="I677" s="55">
        <v>0.28000000000000003</v>
      </c>
      <c r="J677" s="55">
        <v>0.13</v>
      </c>
      <c r="K677" s="55">
        <v>0.13</v>
      </c>
      <c r="L677" s="55">
        <v>0</v>
      </c>
      <c r="M677" s="54" t="s">
        <v>30</v>
      </c>
      <c r="N677" s="54" t="s">
        <v>1401</v>
      </c>
      <c r="O677" s="54" t="s">
        <v>7</v>
      </c>
      <c r="P677" s="54">
        <f t="shared" si="40"/>
        <v>0</v>
      </c>
      <c r="Q677">
        <f t="shared" si="41"/>
        <v>0</v>
      </c>
      <c r="R677">
        <f t="shared" si="42"/>
        <v>0</v>
      </c>
      <c r="S677" t="b">
        <f t="shared" si="43"/>
        <v>0</v>
      </c>
    </row>
    <row r="678" spans="1:19" x14ac:dyDescent="0.2">
      <c r="A678" s="54">
        <v>157441</v>
      </c>
      <c r="B678" s="54" t="s">
        <v>500</v>
      </c>
      <c r="C678" s="55">
        <v>650</v>
      </c>
      <c r="D678" s="55">
        <v>250</v>
      </c>
      <c r="E678" s="55">
        <v>6</v>
      </c>
      <c r="F678" s="55">
        <v>27</v>
      </c>
      <c r="G678" s="55">
        <v>27</v>
      </c>
      <c r="H678" s="55">
        <v>27</v>
      </c>
      <c r="I678" s="55">
        <v>0.11</v>
      </c>
      <c r="J678" s="55">
        <v>0.11</v>
      </c>
      <c r="K678" s="55">
        <v>0.11</v>
      </c>
      <c r="L678" s="55">
        <v>64</v>
      </c>
      <c r="M678" s="54" t="s">
        <v>43</v>
      </c>
      <c r="N678" s="54" t="s">
        <v>1400</v>
      </c>
      <c r="O678" s="54" t="s">
        <v>6</v>
      </c>
      <c r="P678" s="54">
        <f t="shared" si="40"/>
        <v>0</v>
      </c>
      <c r="Q678">
        <f t="shared" si="41"/>
        <v>0</v>
      </c>
      <c r="R678">
        <f t="shared" si="42"/>
        <v>0</v>
      </c>
      <c r="S678" t="b">
        <f t="shared" si="43"/>
        <v>0</v>
      </c>
    </row>
    <row r="679" spans="1:19" x14ac:dyDescent="0.2">
      <c r="A679" s="54">
        <v>157648</v>
      </c>
      <c r="B679" s="54" t="s">
        <v>1319</v>
      </c>
      <c r="C679" s="55">
        <v>0</v>
      </c>
      <c r="D679" s="55">
        <v>4</v>
      </c>
      <c r="E679" s="55">
        <v>0</v>
      </c>
      <c r="F679" s="55">
        <v>2</v>
      </c>
      <c r="G679" s="55">
        <v>2</v>
      </c>
      <c r="H679" s="55">
        <v>2</v>
      </c>
      <c r="I679" s="55">
        <v>0.5</v>
      </c>
      <c r="J679" s="55">
        <v>0.5</v>
      </c>
      <c r="K679" s="55">
        <v>0.5</v>
      </c>
      <c r="L679" s="55">
        <v>0</v>
      </c>
      <c r="M679" s="54" t="s">
        <v>30</v>
      </c>
      <c r="N679" s="54" t="s">
        <v>1401</v>
      </c>
      <c r="O679" s="54" t="s">
        <v>7</v>
      </c>
      <c r="P679" s="54">
        <f t="shared" si="40"/>
        <v>0</v>
      </c>
      <c r="Q679">
        <f t="shared" si="41"/>
        <v>0</v>
      </c>
      <c r="R679">
        <f t="shared" si="42"/>
        <v>0</v>
      </c>
      <c r="S679" t="b">
        <f t="shared" si="43"/>
        <v>0</v>
      </c>
    </row>
    <row r="680" spans="1:19" x14ac:dyDescent="0.2">
      <c r="A680" s="54">
        <v>157728</v>
      </c>
      <c r="B680" s="54" t="s">
        <v>432</v>
      </c>
      <c r="C680" s="55">
        <v>95</v>
      </c>
      <c r="D680" s="55">
        <v>45</v>
      </c>
      <c r="E680" s="55">
        <v>8</v>
      </c>
      <c r="F680" s="55">
        <v>20</v>
      </c>
      <c r="G680" s="55">
        <v>14</v>
      </c>
      <c r="H680" s="55">
        <v>0</v>
      </c>
      <c r="I680" s="55">
        <v>0.44</v>
      </c>
      <c r="J680" s="55">
        <v>0.31</v>
      </c>
      <c r="K680" s="55">
        <v>0</v>
      </c>
      <c r="L680" s="55">
        <v>0</v>
      </c>
      <c r="M680" s="54" t="s">
        <v>43</v>
      </c>
      <c r="N680" s="54" t="s">
        <v>1400</v>
      </c>
      <c r="O680" s="54" t="s">
        <v>7</v>
      </c>
      <c r="P680" s="54">
        <f t="shared" si="40"/>
        <v>0</v>
      </c>
      <c r="Q680">
        <f t="shared" si="41"/>
        <v>0</v>
      </c>
      <c r="R680">
        <f t="shared" si="42"/>
        <v>0</v>
      </c>
      <c r="S680" t="b">
        <f t="shared" si="43"/>
        <v>0</v>
      </c>
    </row>
    <row r="681" spans="1:19" x14ac:dyDescent="0.2">
      <c r="A681" s="54">
        <v>157734</v>
      </c>
      <c r="B681" s="54" t="s">
        <v>398</v>
      </c>
      <c r="C681" s="55">
        <v>68</v>
      </c>
      <c r="D681" s="55">
        <v>73</v>
      </c>
      <c r="E681" s="55">
        <v>15</v>
      </c>
      <c r="F681" s="55">
        <v>21</v>
      </c>
      <c r="G681" s="55">
        <v>19</v>
      </c>
      <c r="H681" s="55">
        <v>4</v>
      </c>
      <c r="I681" s="55">
        <v>0.28999999999999998</v>
      </c>
      <c r="J681" s="55">
        <v>0.26</v>
      </c>
      <c r="K681" s="55">
        <v>0.05</v>
      </c>
      <c r="L681" s="55">
        <v>6</v>
      </c>
      <c r="M681" s="54" t="s">
        <v>45</v>
      </c>
      <c r="N681" s="54" t="s">
        <v>47</v>
      </c>
      <c r="O681" s="54" t="s">
        <v>7</v>
      </c>
      <c r="P681" s="54">
        <f t="shared" si="40"/>
        <v>0</v>
      </c>
      <c r="Q681">
        <f t="shared" si="41"/>
        <v>0</v>
      </c>
      <c r="R681">
        <f t="shared" si="42"/>
        <v>0</v>
      </c>
      <c r="S681" t="b">
        <f t="shared" si="43"/>
        <v>0</v>
      </c>
    </row>
    <row r="682" spans="1:19" x14ac:dyDescent="0.2">
      <c r="A682" s="54">
        <v>157765</v>
      </c>
      <c r="B682" s="54" t="s">
        <v>1183</v>
      </c>
      <c r="C682" s="55">
        <v>72</v>
      </c>
      <c r="D682" s="55">
        <v>71</v>
      </c>
      <c r="E682" s="55">
        <v>3</v>
      </c>
      <c r="F682" s="55">
        <v>14</v>
      </c>
      <c r="G682" s="55">
        <v>14</v>
      </c>
      <c r="H682" s="55">
        <v>14</v>
      </c>
      <c r="I682" s="55">
        <v>0.2</v>
      </c>
      <c r="J682" s="55">
        <v>0.2</v>
      </c>
      <c r="K682" s="55">
        <v>0.2</v>
      </c>
      <c r="L682" s="55">
        <v>2</v>
      </c>
      <c r="M682" s="54" t="s">
        <v>30</v>
      </c>
      <c r="N682" s="54" t="s">
        <v>1401</v>
      </c>
      <c r="O682" s="54" t="s">
        <v>7</v>
      </c>
      <c r="P682" s="54">
        <f t="shared" si="40"/>
        <v>0</v>
      </c>
      <c r="Q682">
        <f t="shared" si="41"/>
        <v>0</v>
      </c>
      <c r="R682">
        <f t="shared" si="42"/>
        <v>0</v>
      </c>
      <c r="S682" t="b">
        <f t="shared" si="43"/>
        <v>0</v>
      </c>
    </row>
    <row r="683" spans="1:19" x14ac:dyDescent="0.2">
      <c r="A683" s="54">
        <v>157831</v>
      </c>
      <c r="B683" s="54" t="s">
        <v>228</v>
      </c>
      <c r="C683" s="55">
        <v>5</v>
      </c>
      <c r="D683" s="55">
        <v>70</v>
      </c>
      <c r="E683" s="55">
        <v>9</v>
      </c>
      <c r="F683" s="55">
        <v>251</v>
      </c>
      <c r="G683" s="55">
        <v>0</v>
      </c>
      <c r="H683" s="55">
        <v>0</v>
      </c>
      <c r="I683" s="55">
        <v>3.59</v>
      </c>
      <c r="J683" s="55">
        <v>0</v>
      </c>
      <c r="K683" s="55">
        <v>0</v>
      </c>
      <c r="L683" s="55">
        <v>0</v>
      </c>
      <c r="M683" s="54" t="s">
        <v>43</v>
      </c>
      <c r="N683" s="54" t="s">
        <v>1400</v>
      </c>
      <c r="O683" s="54" t="s">
        <v>7</v>
      </c>
      <c r="P683" s="54">
        <f t="shared" si="40"/>
        <v>5</v>
      </c>
      <c r="Q683">
        <f t="shared" si="41"/>
        <v>5</v>
      </c>
      <c r="R683">
        <f t="shared" si="42"/>
        <v>0</v>
      </c>
      <c r="S683" t="b">
        <f t="shared" si="43"/>
        <v>0</v>
      </c>
    </row>
    <row r="684" spans="1:19" x14ac:dyDescent="0.2">
      <c r="A684" s="54">
        <v>157911</v>
      </c>
      <c r="B684" s="54" t="s">
        <v>1289</v>
      </c>
      <c r="C684" s="55">
        <v>415</v>
      </c>
      <c r="D684" s="55">
        <v>350</v>
      </c>
      <c r="E684" s="55">
        <v>5</v>
      </c>
      <c r="F684" s="55">
        <v>88</v>
      </c>
      <c r="G684" s="55">
        <v>88</v>
      </c>
      <c r="H684" s="55">
        <v>26</v>
      </c>
      <c r="I684" s="55">
        <v>0.25</v>
      </c>
      <c r="J684" s="55">
        <v>0.25</v>
      </c>
      <c r="K684" s="55">
        <v>7.0000000000000007E-2</v>
      </c>
      <c r="L684" s="55">
        <v>59</v>
      </c>
      <c r="M684" s="54" t="s">
        <v>30</v>
      </c>
      <c r="N684" s="54" t="s">
        <v>1401</v>
      </c>
      <c r="O684" s="54" t="s">
        <v>6</v>
      </c>
      <c r="P684" s="54">
        <f t="shared" si="40"/>
        <v>0</v>
      </c>
      <c r="Q684">
        <f t="shared" si="41"/>
        <v>0</v>
      </c>
      <c r="R684">
        <f t="shared" si="42"/>
        <v>0</v>
      </c>
      <c r="S684" t="b">
        <f t="shared" si="43"/>
        <v>0</v>
      </c>
    </row>
    <row r="685" spans="1:19" x14ac:dyDescent="0.2">
      <c r="A685" s="54">
        <v>158258</v>
      </c>
      <c r="B685" s="54" t="s">
        <v>361</v>
      </c>
      <c r="C685" s="55">
        <v>250</v>
      </c>
      <c r="D685" s="55">
        <v>223</v>
      </c>
      <c r="E685" s="55">
        <v>40</v>
      </c>
      <c r="F685" s="55">
        <v>66</v>
      </c>
      <c r="G685" s="55">
        <v>66</v>
      </c>
      <c r="H685" s="55">
        <v>25</v>
      </c>
      <c r="I685" s="55">
        <v>0.3</v>
      </c>
      <c r="J685" s="55">
        <v>0.3</v>
      </c>
      <c r="K685" s="55">
        <v>0.11</v>
      </c>
      <c r="L685" s="55">
        <v>106</v>
      </c>
      <c r="M685" s="54" t="s">
        <v>47</v>
      </c>
      <c r="N685" s="54" t="s">
        <v>47</v>
      </c>
      <c r="O685" s="54" t="s">
        <v>6</v>
      </c>
      <c r="P685" s="54">
        <f t="shared" si="40"/>
        <v>0</v>
      </c>
      <c r="Q685">
        <f t="shared" si="41"/>
        <v>0</v>
      </c>
      <c r="R685">
        <f t="shared" si="42"/>
        <v>0</v>
      </c>
      <c r="S685" t="b">
        <f t="shared" si="43"/>
        <v>0</v>
      </c>
    </row>
    <row r="686" spans="1:19" x14ac:dyDescent="0.2">
      <c r="A686" s="54">
        <v>158327</v>
      </c>
      <c r="B686" s="54" t="s">
        <v>615</v>
      </c>
      <c r="C686" s="55">
        <v>323</v>
      </c>
      <c r="D686" s="55">
        <v>263</v>
      </c>
      <c r="E686" s="55">
        <v>12</v>
      </c>
      <c r="F686" s="55">
        <v>1</v>
      </c>
      <c r="G686" s="55">
        <v>0</v>
      </c>
      <c r="H686" s="55">
        <v>0</v>
      </c>
      <c r="I686" s="55">
        <v>0</v>
      </c>
      <c r="J686" s="55">
        <v>0</v>
      </c>
      <c r="K686" s="55">
        <v>0</v>
      </c>
      <c r="L686" s="55">
        <v>0</v>
      </c>
      <c r="M686" s="54" t="s">
        <v>43</v>
      </c>
      <c r="N686" s="54" t="s">
        <v>1400</v>
      </c>
      <c r="O686" s="54" t="s">
        <v>6</v>
      </c>
      <c r="P686" s="54">
        <f t="shared" si="40"/>
        <v>0</v>
      </c>
      <c r="Q686">
        <f t="shared" si="41"/>
        <v>0</v>
      </c>
      <c r="R686">
        <f t="shared" si="42"/>
        <v>0</v>
      </c>
      <c r="S686" t="b">
        <f t="shared" si="43"/>
        <v>0</v>
      </c>
    </row>
    <row r="687" spans="1:19" x14ac:dyDescent="0.2">
      <c r="A687" s="54">
        <v>158401</v>
      </c>
      <c r="B687" s="54" t="s">
        <v>1139</v>
      </c>
      <c r="C687" s="55">
        <v>47</v>
      </c>
      <c r="D687" s="55">
        <v>47</v>
      </c>
      <c r="E687" s="55">
        <v>1</v>
      </c>
      <c r="F687" s="55">
        <v>155</v>
      </c>
      <c r="G687" s="55">
        <v>155</v>
      </c>
      <c r="H687" s="55">
        <v>155</v>
      </c>
      <c r="I687" s="55">
        <v>3.3</v>
      </c>
      <c r="J687" s="55">
        <v>3.3</v>
      </c>
      <c r="K687" s="55">
        <v>3.3</v>
      </c>
      <c r="L687" s="55">
        <v>0</v>
      </c>
      <c r="M687" s="54" t="s">
        <v>30</v>
      </c>
      <c r="N687" s="54" t="s">
        <v>1401</v>
      </c>
      <c r="O687" s="54" t="s">
        <v>7</v>
      </c>
      <c r="P687" s="54">
        <f t="shared" si="40"/>
        <v>47</v>
      </c>
      <c r="Q687">
        <f t="shared" si="41"/>
        <v>47</v>
      </c>
      <c r="R687">
        <f t="shared" si="42"/>
        <v>47</v>
      </c>
      <c r="S687" t="b">
        <f t="shared" si="43"/>
        <v>0</v>
      </c>
    </row>
    <row r="688" spans="1:19" x14ac:dyDescent="0.2">
      <c r="A688" s="54">
        <v>158519</v>
      </c>
      <c r="B688" s="54" t="s">
        <v>460</v>
      </c>
      <c r="C688" s="55">
        <v>14</v>
      </c>
      <c r="D688" s="55">
        <v>13</v>
      </c>
      <c r="E688" s="55">
        <v>6</v>
      </c>
      <c r="F688" s="55">
        <v>42</v>
      </c>
      <c r="G688" s="55">
        <v>42</v>
      </c>
      <c r="H688" s="55">
        <v>42</v>
      </c>
      <c r="I688" s="55">
        <v>3.23</v>
      </c>
      <c r="J688" s="55">
        <v>3.23</v>
      </c>
      <c r="K688" s="55">
        <v>3.23</v>
      </c>
      <c r="L688" s="55">
        <v>12</v>
      </c>
      <c r="M688" s="54" t="s">
        <v>43</v>
      </c>
      <c r="N688" s="54" t="s">
        <v>1400</v>
      </c>
      <c r="O688" s="54" t="s">
        <v>7</v>
      </c>
      <c r="P688" s="54">
        <f t="shared" si="40"/>
        <v>14</v>
      </c>
      <c r="Q688">
        <f t="shared" si="41"/>
        <v>14</v>
      </c>
      <c r="R688">
        <f t="shared" si="42"/>
        <v>14</v>
      </c>
      <c r="S688" t="b">
        <f t="shared" si="43"/>
        <v>0</v>
      </c>
    </row>
    <row r="689" spans="1:19" x14ac:dyDescent="0.2">
      <c r="A689" s="54">
        <v>158758</v>
      </c>
      <c r="B689" s="54" t="s">
        <v>600</v>
      </c>
      <c r="C689" s="55">
        <v>53</v>
      </c>
      <c r="D689" s="55">
        <v>80</v>
      </c>
      <c r="E689" s="55">
        <v>7</v>
      </c>
      <c r="F689" s="55">
        <v>2</v>
      </c>
      <c r="G689" s="55">
        <v>2</v>
      </c>
      <c r="H689" s="55">
        <v>1</v>
      </c>
      <c r="I689" s="55">
        <v>0.03</v>
      </c>
      <c r="J689" s="55">
        <v>0.03</v>
      </c>
      <c r="K689" s="55">
        <v>0.01</v>
      </c>
      <c r="L689" s="55">
        <v>0</v>
      </c>
      <c r="M689" s="54" t="s">
        <v>43</v>
      </c>
      <c r="N689" s="54" t="s">
        <v>1400</v>
      </c>
      <c r="O689" s="54" t="s">
        <v>7</v>
      </c>
      <c r="P689" s="54">
        <f t="shared" si="40"/>
        <v>0</v>
      </c>
      <c r="Q689">
        <f t="shared" si="41"/>
        <v>0</v>
      </c>
      <c r="R689">
        <f t="shared" si="42"/>
        <v>0</v>
      </c>
      <c r="S689" t="b">
        <f t="shared" si="43"/>
        <v>0</v>
      </c>
    </row>
    <row r="690" spans="1:19" x14ac:dyDescent="0.2">
      <c r="A690" s="54">
        <v>159536</v>
      </c>
      <c r="B690" s="54" t="s">
        <v>1322</v>
      </c>
      <c r="C690" s="55">
        <v>0</v>
      </c>
      <c r="D690" s="55">
        <v>60</v>
      </c>
      <c r="E690" s="55">
        <v>0</v>
      </c>
      <c r="F690" s="55">
        <v>0</v>
      </c>
      <c r="G690" s="55">
        <v>0</v>
      </c>
      <c r="H690" s="55">
        <v>0</v>
      </c>
      <c r="I690" s="55">
        <v>0</v>
      </c>
      <c r="J690" s="55">
        <v>0</v>
      </c>
      <c r="K690" s="55">
        <v>0</v>
      </c>
      <c r="L690" s="55">
        <v>0</v>
      </c>
      <c r="M690" s="54" t="s">
        <v>30</v>
      </c>
      <c r="N690" s="54" t="s">
        <v>1401</v>
      </c>
      <c r="O690" s="54" t="s">
        <v>7</v>
      </c>
      <c r="P690" s="54">
        <f t="shared" si="40"/>
        <v>0</v>
      </c>
      <c r="Q690">
        <f t="shared" si="41"/>
        <v>0</v>
      </c>
      <c r="R690">
        <f t="shared" si="42"/>
        <v>0</v>
      </c>
      <c r="S690" t="b">
        <f t="shared" si="43"/>
        <v>0</v>
      </c>
    </row>
    <row r="691" spans="1:19" x14ac:dyDescent="0.2">
      <c r="A691" s="54">
        <v>160259</v>
      </c>
      <c r="B691" s="54" t="s">
        <v>282</v>
      </c>
      <c r="C691" s="55">
        <v>84</v>
      </c>
      <c r="D691" s="55">
        <v>77</v>
      </c>
      <c r="E691" s="55">
        <v>35</v>
      </c>
      <c r="F691" s="55">
        <v>153</v>
      </c>
      <c r="G691" s="55">
        <v>135</v>
      </c>
      <c r="H691" s="55">
        <v>0</v>
      </c>
      <c r="I691" s="55">
        <v>1.99</v>
      </c>
      <c r="J691" s="55">
        <v>1.75</v>
      </c>
      <c r="K691" s="55">
        <v>0</v>
      </c>
      <c r="L691" s="55">
        <v>12</v>
      </c>
      <c r="M691" s="54" t="s">
        <v>47</v>
      </c>
      <c r="N691" s="54" t="s">
        <v>47</v>
      </c>
      <c r="O691" s="54" t="s">
        <v>7</v>
      </c>
      <c r="P691" s="54">
        <f t="shared" si="40"/>
        <v>84</v>
      </c>
      <c r="Q691">
        <f t="shared" si="41"/>
        <v>0</v>
      </c>
      <c r="R691">
        <f t="shared" si="42"/>
        <v>84</v>
      </c>
      <c r="S691" t="b">
        <f t="shared" si="43"/>
        <v>0</v>
      </c>
    </row>
    <row r="692" spans="1:19" x14ac:dyDescent="0.2">
      <c r="A692" s="54">
        <v>160268</v>
      </c>
      <c r="B692" s="54" t="s">
        <v>695</v>
      </c>
      <c r="C692" s="55">
        <v>1</v>
      </c>
      <c r="D692" s="55">
        <v>4</v>
      </c>
      <c r="E692" s="55">
        <v>2</v>
      </c>
      <c r="F692" s="55">
        <v>3</v>
      </c>
      <c r="G692" s="55">
        <v>3</v>
      </c>
      <c r="H692" s="55">
        <v>3</v>
      </c>
      <c r="I692" s="55">
        <v>0.75</v>
      </c>
      <c r="J692" s="55">
        <v>0.75</v>
      </c>
      <c r="K692" s="55">
        <v>0.75</v>
      </c>
      <c r="L692" s="55">
        <v>0</v>
      </c>
      <c r="M692" s="54" t="s">
        <v>30</v>
      </c>
      <c r="N692" s="54" t="s">
        <v>1401</v>
      </c>
      <c r="O692" s="54" t="s">
        <v>7</v>
      </c>
      <c r="P692" s="54">
        <f t="shared" si="40"/>
        <v>1</v>
      </c>
      <c r="Q692">
        <f t="shared" si="41"/>
        <v>0</v>
      </c>
      <c r="R692">
        <f t="shared" si="42"/>
        <v>1</v>
      </c>
      <c r="S692" t="b">
        <f t="shared" si="43"/>
        <v>0</v>
      </c>
    </row>
    <row r="693" spans="1:19" x14ac:dyDescent="0.2">
      <c r="A693" s="54">
        <v>163049</v>
      </c>
      <c r="B693" s="54" t="s">
        <v>1169</v>
      </c>
      <c r="C693" s="55">
        <v>60</v>
      </c>
      <c r="D693" s="55">
        <v>60</v>
      </c>
      <c r="E693" s="55">
        <v>5</v>
      </c>
      <c r="F693" s="55">
        <v>44</v>
      </c>
      <c r="G693" s="55">
        <v>44</v>
      </c>
      <c r="H693" s="55">
        <v>27</v>
      </c>
      <c r="I693" s="55">
        <v>0.73</v>
      </c>
      <c r="J693" s="55">
        <v>0.73</v>
      </c>
      <c r="K693" s="55">
        <v>0.45</v>
      </c>
      <c r="L693" s="55">
        <v>9</v>
      </c>
      <c r="M693" s="54" t="s">
        <v>30</v>
      </c>
      <c r="N693" s="54" t="s">
        <v>1401</v>
      </c>
      <c r="O693" s="54" t="s">
        <v>7</v>
      </c>
      <c r="P693" s="54">
        <f t="shared" si="40"/>
        <v>0</v>
      </c>
      <c r="Q693">
        <f t="shared" si="41"/>
        <v>0</v>
      </c>
      <c r="R693">
        <f t="shared" si="42"/>
        <v>0</v>
      </c>
      <c r="S693" t="b">
        <f t="shared" si="43"/>
        <v>0</v>
      </c>
    </row>
    <row r="694" spans="1:19" x14ac:dyDescent="0.2">
      <c r="A694" s="54">
        <v>163159</v>
      </c>
      <c r="B694" s="54" t="s">
        <v>800</v>
      </c>
      <c r="C694" s="55">
        <v>5</v>
      </c>
      <c r="D694" s="55">
        <v>92</v>
      </c>
      <c r="E694" s="55">
        <v>0</v>
      </c>
      <c r="F694" s="55">
        <v>0</v>
      </c>
      <c r="G694" s="55">
        <v>0</v>
      </c>
      <c r="H694" s="55">
        <v>0</v>
      </c>
      <c r="I694" s="55">
        <v>0</v>
      </c>
      <c r="J694" s="55">
        <v>0</v>
      </c>
      <c r="K694" s="55">
        <v>0</v>
      </c>
      <c r="L694" s="55">
        <v>0</v>
      </c>
      <c r="M694" s="54" t="s">
        <v>30</v>
      </c>
      <c r="N694" s="54" t="s">
        <v>1401</v>
      </c>
      <c r="O694" s="54" t="s">
        <v>7</v>
      </c>
      <c r="P694" s="54">
        <f t="shared" si="40"/>
        <v>0</v>
      </c>
      <c r="Q694">
        <f t="shared" si="41"/>
        <v>0</v>
      </c>
      <c r="R694">
        <f t="shared" si="42"/>
        <v>0</v>
      </c>
      <c r="S694" t="b">
        <f t="shared" si="43"/>
        <v>0</v>
      </c>
    </row>
    <row r="695" spans="1:19" x14ac:dyDescent="0.2">
      <c r="A695" s="54">
        <v>163211</v>
      </c>
      <c r="B695" s="54" t="s">
        <v>567</v>
      </c>
      <c r="C695" s="55">
        <v>200</v>
      </c>
      <c r="D695" s="55">
        <v>560</v>
      </c>
      <c r="E695" s="55">
        <v>49</v>
      </c>
      <c r="F695" s="55">
        <v>9</v>
      </c>
      <c r="G695" s="55">
        <v>2</v>
      </c>
      <c r="H695" s="55">
        <v>0</v>
      </c>
      <c r="I695" s="55">
        <v>0.02</v>
      </c>
      <c r="J695" s="55">
        <v>0</v>
      </c>
      <c r="K695" s="55">
        <v>0</v>
      </c>
      <c r="L695" s="55">
        <v>1</v>
      </c>
      <c r="M695" s="54" t="s">
        <v>47</v>
      </c>
      <c r="N695" s="54" t="s">
        <v>47</v>
      </c>
      <c r="O695" s="54" t="s">
        <v>5</v>
      </c>
      <c r="P695" s="54">
        <f t="shared" si="40"/>
        <v>0</v>
      </c>
      <c r="Q695">
        <f t="shared" si="41"/>
        <v>0</v>
      </c>
      <c r="R695">
        <f t="shared" si="42"/>
        <v>0</v>
      </c>
      <c r="S695" t="b">
        <f t="shared" si="43"/>
        <v>0</v>
      </c>
    </row>
    <row r="696" spans="1:19" x14ac:dyDescent="0.2">
      <c r="A696" s="54">
        <v>163254</v>
      </c>
      <c r="B696" s="54" t="s">
        <v>702</v>
      </c>
      <c r="C696" s="55">
        <v>1</v>
      </c>
      <c r="D696" s="55">
        <v>25</v>
      </c>
      <c r="E696" s="55">
        <v>3</v>
      </c>
      <c r="F696" s="55">
        <v>7</v>
      </c>
      <c r="G696" s="55">
        <v>7</v>
      </c>
      <c r="H696" s="55">
        <v>7</v>
      </c>
      <c r="I696" s="55">
        <v>0.28000000000000003</v>
      </c>
      <c r="J696" s="55">
        <v>0.28000000000000003</v>
      </c>
      <c r="K696" s="55">
        <v>0.28000000000000003</v>
      </c>
      <c r="L696" s="55">
        <v>0</v>
      </c>
      <c r="M696" s="54" t="s">
        <v>30</v>
      </c>
      <c r="N696" s="54" t="s">
        <v>1401</v>
      </c>
      <c r="O696" s="54" t="s">
        <v>7</v>
      </c>
      <c r="P696" s="54">
        <f t="shared" si="40"/>
        <v>0</v>
      </c>
      <c r="Q696">
        <f t="shared" si="41"/>
        <v>0</v>
      </c>
      <c r="R696">
        <f t="shared" si="42"/>
        <v>0</v>
      </c>
      <c r="S696" t="b">
        <f t="shared" si="43"/>
        <v>0</v>
      </c>
    </row>
    <row r="697" spans="1:19" x14ac:dyDescent="0.2">
      <c r="A697" s="54">
        <v>164112</v>
      </c>
      <c r="B697" s="54" t="s">
        <v>344</v>
      </c>
      <c r="C697" s="55">
        <v>27</v>
      </c>
      <c r="D697" s="55">
        <v>56</v>
      </c>
      <c r="E697" s="55">
        <v>7</v>
      </c>
      <c r="F697" s="55">
        <v>80</v>
      </c>
      <c r="G697" s="55">
        <v>28</v>
      </c>
      <c r="H697" s="55">
        <v>24</v>
      </c>
      <c r="I697" s="55">
        <v>1.43</v>
      </c>
      <c r="J697" s="55">
        <v>0.5</v>
      </c>
      <c r="K697" s="55">
        <v>0.43</v>
      </c>
      <c r="L697" s="55">
        <v>0</v>
      </c>
      <c r="M697" s="54" t="s">
        <v>43</v>
      </c>
      <c r="N697" s="54" t="s">
        <v>1400</v>
      </c>
      <c r="O697" s="54" t="s">
        <v>7</v>
      </c>
      <c r="P697" s="54">
        <f t="shared" si="40"/>
        <v>0</v>
      </c>
      <c r="Q697">
        <f t="shared" si="41"/>
        <v>0</v>
      </c>
      <c r="R697">
        <f t="shared" si="42"/>
        <v>0</v>
      </c>
      <c r="S697" t="b">
        <f t="shared" si="43"/>
        <v>0</v>
      </c>
    </row>
    <row r="698" spans="1:19" x14ac:dyDescent="0.2">
      <c r="A698" s="54">
        <v>164265</v>
      </c>
      <c r="B698" s="54" t="s">
        <v>861</v>
      </c>
      <c r="C698" s="55">
        <v>9</v>
      </c>
      <c r="D698" s="55">
        <v>8</v>
      </c>
      <c r="E698" s="55">
        <v>2</v>
      </c>
      <c r="F698" s="55">
        <v>91</v>
      </c>
      <c r="G698" s="55">
        <v>54</v>
      </c>
      <c r="H698" s="55">
        <v>54</v>
      </c>
      <c r="I698" s="55">
        <v>11.38</v>
      </c>
      <c r="J698" s="55">
        <v>6.75</v>
      </c>
      <c r="K698" s="55">
        <v>6.75</v>
      </c>
      <c r="L698" s="55">
        <v>42</v>
      </c>
      <c r="M698" s="54" t="s">
        <v>30</v>
      </c>
      <c r="N698" s="54" t="s">
        <v>1401</v>
      </c>
      <c r="O698" s="54" t="s">
        <v>7</v>
      </c>
      <c r="P698" s="54">
        <f t="shared" si="40"/>
        <v>9</v>
      </c>
      <c r="Q698">
        <f t="shared" si="41"/>
        <v>9</v>
      </c>
      <c r="R698">
        <f t="shared" si="42"/>
        <v>9</v>
      </c>
      <c r="S698" t="b">
        <f t="shared" si="43"/>
        <v>0</v>
      </c>
    </row>
    <row r="699" spans="1:19" x14ac:dyDescent="0.2">
      <c r="A699" s="54">
        <v>164535</v>
      </c>
      <c r="B699" s="54" t="s">
        <v>592</v>
      </c>
      <c r="C699" s="55">
        <v>0</v>
      </c>
      <c r="D699" s="55">
        <v>13</v>
      </c>
      <c r="E699" s="55">
        <v>12</v>
      </c>
      <c r="F699" s="55">
        <v>5</v>
      </c>
      <c r="G699" s="55">
        <v>0</v>
      </c>
      <c r="H699" s="55">
        <v>0</v>
      </c>
      <c r="I699" s="55">
        <v>0.38</v>
      </c>
      <c r="J699" s="55">
        <v>0</v>
      </c>
      <c r="K699" s="55">
        <v>0</v>
      </c>
      <c r="L699" s="55">
        <v>0</v>
      </c>
      <c r="M699" s="54" t="s">
        <v>43</v>
      </c>
      <c r="N699" s="54" t="s">
        <v>1400</v>
      </c>
      <c r="O699" s="54" t="s">
        <v>7</v>
      </c>
      <c r="P699" s="54">
        <f t="shared" si="40"/>
        <v>0</v>
      </c>
      <c r="Q699">
        <f t="shared" si="41"/>
        <v>0</v>
      </c>
      <c r="R699">
        <f t="shared" si="42"/>
        <v>0</v>
      </c>
      <c r="S699" t="b">
        <f t="shared" si="43"/>
        <v>0</v>
      </c>
    </row>
    <row r="700" spans="1:19" x14ac:dyDescent="0.2">
      <c r="A700" s="54">
        <v>164536</v>
      </c>
      <c r="B700" s="54" t="s">
        <v>454</v>
      </c>
      <c r="C700" s="55">
        <v>196</v>
      </c>
      <c r="D700" s="55">
        <v>195</v>
      </c>
      <c r="E700" s="55">
        <v>25</v>
      </c>
      <c r="F700" s="55">
        <v>67</v>
      </c>
      <c r="G700" s="55">
        <v>8</v>
      </c>
      <c r="H700" s="55">
        <v>2</v>
      </c>
      <c r="I700" s="55">
        <v>0.34</v>
      </c>
      <c r="J700" s="55">
        <v>0.04</v>
      </c>
      <c r="K700" s="55">
        <v>0.01</v>
      </c>
      <c r="L700" s="55">
        <v>7</v>
      </c>
      <c r="M700" s="54" t="s">
        <v>47</v>
      </c>
      <c r="N700" s="54" t="s">
        <v>47</v>
      </c>
      <c r="O700" s="54" t="s">
        <v>6</v>
      </c>
      <c r="P700" s="54">
        <f t="shared" si="40"/>
        <v>0</v>
      </c>
      <c r="Q700">
        <f t="shared" si="41"/>
        <v>0</v>
      </c>
      <c r="R700">
        <f t="shared" si="42"/>
        <v>0</v>
      </c>
      <c r="S700" t="b">
        <f t="shared" si="43"/>
        <v>0</v>
      </c>
    </row>
    <row r="701" spans="1:19" x14ac:dyDescent="0.2">
      <c r="A701" s="54">
        <v>164778</v>
      </c>
      <c r="B701" s="54" t="s">
        <v>818</v>
      </c>
      <c r="C701" s="55">
        <v>6</v>
      </c>
      <c r="D701" s="55">
        <v>6</v>
      </c>
      <c r="E701" s="55">
        <v>5</v>
      </c>
      <c r="F701" s="55">
        <v>86</v>
      </c>
      <c r="G701" s="55">
        <v>86</v>
      </c>
      <c r="H701" s="55">
        <v>2</v>
      </c>
      <c r="I701" s="55">
        <v>14.33</v>
      </c>
      <c r="J701" s="55">
        <v>14.33</v>
      </c>
      <c r="K701" s="55">
        <v>0.33</v>
      </c>
      <c r="L701" s="55">
        <v>0</v>
      </c>
      <c r="M701" s="54" t="s">
        <v>30</v>
      </c>
      <c r="N701" s="54" t="s">
        <v>1401</v>
      </c>
      <c r="O701" s="54" t="s">
        <v>7</v>
      </c>
      <c r="P701" s="54">
        <f t="shared" si="40"/>
        <v>6</v>
      </c>
      <c r="Q701">
        <f t="shared" si="41"/>
        <v>6</v>
      </c>
      <c r="R701">
        <f t="shared" si="42"/>
        <v>6</v>
      </c>
      <c r="S701" t="b">
        <f t="shared" si="43"/>
        <v>0</v>
      </c>
    </row>
    <row r="702" spans="1:19" x14ac:dyDescent="0.2">
      <c r="A702" s="54">
        <v>164827</v>
      </c>
      <c r="B702" s="54" t="s">
        <v>1097</v>
      </c>
      <c r="C702" s="55">
        <v>33</v>
      </c>
      <c r="D702" s="55">
        <v>30</v>
      </c>
      <c r="E702" s="55">
        <v>1</v>
      </c>
      <c r="F702" s="55">
        <v>17</v>
      </c>
      <c r="G702" s="55">
        <v>17</v>
      </c>
      <c r="H702" s="55">
        <v>17</v>
      </c>
      <c r="I702" s="55">
        <v>0.56999999999999995</v>
      </c>
      <c r="J702" s="55">
        <v>0.56999999999999995</v>
      </c>
      <c r="K702" s="55">
        <v>0.56999999999999995</v>
      </c>
      <c r="L702" s="55">
        <v>0</v>
      </c>
      <c r="M702" s="54" t="s">
        <v>30</v>
      </c>
      <c r="N702" s="54" t="s">
        <v>1401</v>
      </c>
      <c r="O702" s="54" t="s">
        <v>7</v>
      </c>
      <c r="P702" s="54">
        <f t="shared" si="40"/>
        <v>0</v>
      </c>
      <c r="Q702">
        <f t="shared" si="41"/>
        <v>0</v>
      </c>
      <c r="R702">
        <f t="shared" si="42"/>
        <v>0</v>
      </c>
      <c r="S702" t="b">
        <f t="shared" si="43"/>
        <v>0</v>
      </c>
    </row>
    <row r="703" spans="1:19" x14ac:dyDescent="0.2">
      <c r="A703" s="54">
        <v>164977</v>
      </c>
      <c r="B703" s="54" t="s">
        <v>334</v>
      </c>
      <c r="C703" s="55">
        <v>5</v>
      </c>
      <c r="D703" s="55">
        <v>22</v>
      </c>
      <c r="E703" s="55">
        <v>8</v>
      </c>
      <c r="F703" s="55">
        <v>108</v>
      </c>
      <c r="G703" s="55">
        <v>96</v>
      </c>
      <c r="H703" s="55">
        <v>37</v>
      </c>
      <c r="I703" s="55">
        <v>4.91</v>
      </c>
      <c r="J703" s="55">
        <v>4.3600000000000003</v>
      </c>
      <c r="K703" s="55">
        <v>1.68</v>
      </c>
      <c r="L703" s="55">
        <v>25</v>
      </c>
      <c r="M703" s="54" t="s">
        <v>43</v>
      </c>
      <c r="N703" s="54" t="s">
        <v>1400</v>
      </c>
      <c r="O703" s="54" t="s">
        <v>7</v>
      </c>
      <c r="P703" s="54">
        <f t="shared" si="40"/>
        <v>5</v>
      </c>
      <c r="Q703">
        <f t="shared" si="41"/>
        <v>5</v>
      </c>
      <c r="R703">
        <f t="shared" si="42"/>
        <v>5</v>
      </c>
      <c r="S703" t="b">
        <f t="shared" si="43"/>
        <v>0</v>
      </c>
    </row>
    <row r="704" spans="1:19" x14ac:dyDescent="0.2">
      <c r="A704" s="54">
        <v>164979</v>
      </c>
      <c r="B704" s="54" t="s">
        <v>820</v>
      </c>
      <c r="C704" s="55">
        <v>6</v>
      </c>
      <c r="D704" s="55">
        <v>25</v>
      </c>
      <c r="E704" s="55">
        <v>0</v>
      </c>
      <c r="F704" s="55">
        <v>0</v>
      </c>
      <c r="G704" s="55">
        <v>0</v>
      </c>
      <c r="H704" s="55">
        <v>0</v>
      </c>
      <c r="I704" s="55">
        <v>0</v>
      </c>
      <c r="J704" s="55">
        <v>0</v>
      </c>
      <c r="K704" s="55">
        <v>0</v>
      </c>
      <c r="L704" s="55">
        <v>0</v>
      </c>
      <c r="M704" s="54" t="s">
        <v>30</v>
      </c>
      <c r="N704" s="54" t="s">
        <v>1401</v>
      </c>
      <c r="O704" s="54" t="s">
        <v>7</v>
      </c>
      <c r="P704" s="54">
        <f t="shared" si="40"/>
        <v>0</v>
      </c>
      <c r="Q704">
        <f t="shared" si="41"/>
        <v>0</v>
      </c>
      <c r="R704">
        <f t="shared" si="42"/>
        <v>0</v>
      </c>
      <c r="S704" t="b">
        <f t="shared" si="43"/>
        <v>0</v>
      </c>
    </row>
    <row r="705" spans="1:19" x14ac:dyDescent="0.2">
      <c r="A705" s="54">
        <v>165139</v>
      </c>
      <c r="B705" s="54" t="s">
        <v>959</v>
      </c>
      <c r="C705" s="55">
        <v>15</v>
      </c>
      <c r="D705" s="55">
        <v>18</v>
      </c>
      <c r="E705" s="55">
        <v>3</v>
      </c>
      <c r="F705" s="55">
        <v>1</v>
      </c>
      <c r="G705" s="55">
        <v>1</v>
      </c>
      <c r="H705" s="55">
        <v>0</v>
      </c>
      <c r="I705" s="55">
        <v>0.06</v>
      </c>
      <c r="J705" s="55">
        <v>0.06</v>
      </c>
      <c r="K705" s="55">
        <v>0</v>
      </c>
      <c r="L705" s="55">
        <v>0</v>
      </c>
      <c r="M705" s="54" t="s">
        <v>30</v>
      </c>
      <c r="N705" s="54" t="s">
        <v>1401</v>
      </c>
      <c r="O705" s="54" t="s">
        <v>7</v>
      </c>
      <c r="P705" s="54">
        <f t="shared" si="40"/>
        <v>0</v>
      </c>
      <c r="Q705">
        <f t="shared" si="41"/>
        <v>0</v>
      </c>
      <c r="R705">
        <f t="shared" si="42"/>
        <v>0</v>
      </c>
      <c r="S705" t="b">
        <f t="shared" si="43"/>
        <v>0</v>
      </c>
    </row>
    <row r="706" spans="1:19" x14ac:dyDescent="0.2">
      <c r="A706" s="54">
        <v>166224</v>
      </c>
      <c r="B706" s="54" t="s">
        <v>480</v>
      </c>
      <c r="C706" s="55">
        <v>22</v>
      </c>
      <c r="D706" s="55">
        <v>24</v>
      </c>
      <c r="E706" s="55">
        <v>33</v>
      </c>
      <c r="F706" s="55">
        <v>9</v>
      </c>
      <c r="G706" s="55">
        <v>4</v>
      </c>
      <c r="H706" s="55">
        <v>1</v>
      </c>
      <c r="I706" s="55">
        <v>0.38</v>
      </c>
      <c r="J706" s="55">
        <v>0.17</v>
      </c>
      <c r="K706" s="55">
        <v>0.04</v>
      </c>
      <c r="L706" s="55">
        <v>7</v>
      </c>
      <c r="M706" s="54" t="s">
        <v>47</v>
      </c>
      <c r="N706" s="54" t="s">
        <v>47</v>
      </c>
      <c r="O706" s="54" t="s">
        <v>7</v>
      </c>
      <c r="P706" s="54">
        <f t="shared" ref="P706:P769" si="44">IF(I706&gt;=2, C706, IF(J706&gt;=0.75, C706, 0))</f>
        <v>0</v>
      </c>
      <c r="Q706">
        <f t="shared" ref="Q706:Q769" si="45">IF(I706&gt;=2, C706, IF(AND(J706&gt;=0.75, D706&gt;=550), C706, 0))</f>
        <v>0</v>
      </c>
      <c r="R706">
        <f t="shared" ref="R706:R769" si="46">IF(J706&gt;=0.75, C706, 0)</f>
        <v>0</v>
      </c>
      <c r="S706" t="b">
        <f t="shared" si="43"/>
        <v>0</v>
      </c>
    </row>
    <row r="707" spans="1:19" x14ac:dyDescent="0.2">
      <c r="A707" s="54">
        <v>166614</v>
      </c>
      <c r="B707" s="54" t="s">
        <v>554</v>
      </c>
      <c r="C707" s="55">
        <v>19</v>
      </c>
      <c r="D707" s="55">
        <v>18</v>
      </c>
      <c r="E707" s="55">
        <v>6</v>
      </c>
      <c r="F707" s="55">
        <v>12</v>
      </c>
      <c r="G707" s="55">
        <v>8</v>
      </c>
      <c r="H707" s="55">
        <v>8</v>
      </c>
      <c r="I707" s="55">
        <v>0.67</v>
      </c>
      <c r="J707" s="55">
        <v>0.44</v>
      </c>
      <c r="K707" s="55">
        <v>0.44</v>
      </c>
      <c r="L707" s="55">
        <v>62</v>
      </c>
      <c r="M707" s="54" t="s">
        <v>43</v>
      </c>
      <c r="N707" s="54" t="s">
        <v>1400</v>
      </c>
      <c r="O707" s="54" t="s">
        <v>7</v>
      </c>
      <c r="P707" s="54">
        <f t="shared" si="44"/>
        <v>0</v>
      </c>
      <c r="Q707">
        <f t="shared" si="45"/>
        <v>0</v>
      </c>
      <c r="R707">
        <f t="shared" si="46"/>
        <v>0</v>
      </c>
      <c r="S707" t="b">
        <f t="shared" ref="S707:S770" si="47">IF(A707=A708,TRUE,FALSE)</f>
        <v>0</v>
      </c>
    </row>
    <row r="708" spans="1:19" x14ac:dyDescent="0.2">
      <c r="A708" s="54">
        <v>167139</v>
      </c>
      <c r="B708" s="54" t="s">
        <v>175</v>
      </c>
      <c r="C708" s="55">
        <v>160</v>
      </c>
      <c r="D708" s="55">
        <v>99</v>
      </c>
      <c r="E708" s="55">
        <v>17</v>
      </c>
      <c r="F708" s="55">
        <v>360</v>
      </c>
      <c r="G708" s="55">
        <v>332</v>
      </c>
      <c r="H708" s="55">
        <v>29</v>
      </c>
      <c r="I708" s="55">
        <v>3.64</v>
      </c>
      <c r="J708" s="55">
        <v>3.35</v>
      </c>
      <c r="K708" s="55">
        <v>0.28999999999999998</v>
      </c>
      <c r="L708" s="55">
        <v>5</v>
      </c>
      <c r="M708" s="54" t="s">
        <v>45</v>
      </c>
      <c r="N708" s="54" t="s">
        <v>47</v>
      </c>
      <c r="O708" s="54" t="s">
        <v>7</v>
      </c>
      <c r="P708" s="54">
        <f t="shared" si="44"/>
        <v>160</v>
      </c>
      <c r="Q708">
        <f t="shared" si="45"/>
        <v>160</v>
      </c>
      <c r="R708">
        <f t="shared" si="46"/>
        <v>160</v>
      </c>
      <c r="S708" t="b">
        <f t="shared" si="47"/>
        <v>0</v>
      </c>
    </row>
    <row r="709" spans="1:19" x14ac:dyDescent="0.2">
      <c r="A709" s="54">
        <v>168226</v>
      </c>
      <c r="B709" s="54" t="s">
        <v>824</v>
      </c>
      <c r="C709" s="55">
        <v>7</v>
      </c>
      <c r="D709" s="55">
        <v>18</v>
      </c>
      <c r="E709" s="55">
        <v>2</v>
      </c>
      <c r="F709" s="55">
        <v>10</v>
      </c>
      <c r="G709" s="55">
        <v>6</v>
      </c>
      <c r="H709" s="55">
        <v>6</v>
      </c>
      <c r="I709" s="55">
        <v>0.56000000000000005</v>
      </c>
      <c r="J709" s="55">
        <v>0.33</v>
      </c>
      <c r="K709" s="55">
        <v>0.33</v>
      </c>
      <c r="L709" s="55">
        <v>1</v>
      </c>
      <c r="M709" s="54" t="s">
        <v>30</v>
      </c>
      <c r="N709" s="54" t="s">
        <v>1401</v>
      </c>
      <c r="O709" s="54" t="s">
        <v>7</v>
      </c>
      <c r="P709" s="54">
        <f t="shared" si="44"/>
        <v>0</v>
      </c>
      <c r="Q709">
        <f t="shared" si="45"/>
        <v>0</v>
      </c>
      <c r="R709">
        <f t="shared" si="46"/>
        <v>0</v>
      </c>
      <c r="S709" t="b">
        <f t="shared" si="47"/>
        <v>0</v>
      </c>
    </row>
    <row r="710" spans="1:19" x14ac:dyDescent="0.2">
      <c r="A710" s="54">
        <v>168376</v>
      </c>
      <c r="B710" s="54" t="s">
        <v>990</v>
      </c>
      <c r="C710" s="55">
        <v>18</v>
      </c>
      <c r="D710" s="55">
        <v>18</v>
      </c>
      <c r="E710" s="55">
        <v>2</v>
      </c>
      <c r="F710" s="55">
        <v>21</v>
      </c>
      <c r="G710" s="55">
        <v>21</v>
      </c>
      <c r="H710" s="55">
        <v>21</v>
      </c>
      <c r="I710" s="55">
        <v>1.17</v>
      </c>
      <c r="J710" s="55">
        <v>1.17</v>
      </c>
      <c r="K710" s="55">
        <v>1.17</v>
      </c>
      <c r="L710" s="55">
        <v>0</v>
      </c>
      <c r="M710" s="54" t="s">
        <v>30</v>
      </c>
      <c r="N710" s="54" t="s">
        <v>1401</v>
      </c>
      <c r="O710" s="54" t="s">
        <v>7</v>
      </c>
      <c r="P710" s="54">
        <f t="shared" si="44"/>
        <v>18</v>
      </c>
      <c r="Q710">
        <f t="shared" si="45"/>
        <v>0</v>
      </c>
      <c r="R710">
        <f t="shared" si="46"/>
        <v>18</v>
      </c>
      <c r="S710" t="b">
        <f t="shared" si="47"/>
        <v>0</v>
      </c>
    </row>
    <row r="711" spans="1:19" x14ac:dyDescent="0.2">
      <c r="A711" s="54">
        <v>169396</v>
      </c>
      <c r="B711" s="54" t="s">
        <v>805</v>
      </c>
      <c r="C711" s="55">
        <v>6</v>
      </c>
      <c r="D711" s="55">
        <v>6</v>
      </c>
      <c r="E711" s="55">
        <v>1</v>
      </c>
      <c r="F711" s="55">
        <v>28</v>
      </c>
      <c r="G711" s="55">
        <v>22</v>
      </c>
      <c r="H711" s="55">
        <v>22</v>
      </c>
      <c r="I711" s="55">
        <v>4.67</v>
      </c>
      <c r="J711" s="55">
        <v>3.67</v>
      </c>
      <c r="K711" s="55">
        <v>3.67</v>
      </c>
      <c r="L711" s="55">
        <v>0</v>
      </c>
      <c r="M711" s="54" t="s">
        <v>30</v>
      </c>
      <c r="N711" s="54" t="s">
        <v>1401</v>
      </c>
      <c r="O711" s="54" t="s">
        <v>7</v>
      </c>
      <c r="P711" s="54">
        <f t="shared" si="44"/>
        <v>6</v>
      </c>
      <c r="Q711">
        <f t="shared" si="45"/>
        <v>6</v>
      </c>
      <c r="R711">
        <f t="shared" si="46"/>
        <v>6</v>
      </c>
      <c r="S711" t="b">
        <f t="shared" si="47"/>
        <v>0</v>
      </c>
    </row>
    <row r="712" spans="1:19" x14ac:dyDescent="0.2">
      <c r="A712" s="54">
        <v>169787</v>
      </c>
      <c r="B712" s="54" t="s">
        <v>318</v>
      </c>
      <c r="C712" s="55">
        <v>515</v>
      </c>
      <c r="D712" s="55">
        <v>549</v>
      </c>
      <c r="E712" s="55">
        <v>46</v>
      </c>
      <c r="F712" s="55">
        <v>165</v>
      </c>
      <c r="G712" s="55">
        <v>58</v>
      </c>
      <c r="H712" s="55">
        <v>13</v>
      </c>
      <c r="I712" s="55">
        <v>0.3</v>
      </c>
      <c r="J712" s="55">
        <v>0.11</v>
      </c>
      <c r="K712" s="55">
        <v>0.02</v>
      </c>
      <c r="L712" s="55">
        <v>128</v>
      </c>
      <c r="M712" s="54" t="s">
        <v>47</v>
      </c>
      <c r="N712" s="54" t="s">
        <v>47</v>
      </c>
      <c r="O712" s="54" t="s">
        <v>6</v>
      </c>
      <c r="P712" s="54">
        <f t="shared" si="44"/>
        <v>0</v>
      </c>
      <c r="Q712">
        <f t="shared" si="45"/>
        <v>0</v>
      </c>
      <c r="R712">
        <f t="shared" si="46"/>
        <v>0</v>
      </c>
      <c r="S712" t="b">
        <f t="shared" si="47"/>
        <v>0</v>
      </c>
    </row>
    <row r="713" spans="1:19" x14ac:dyDescent="0.2">
      <c r="A713" s="54">
        <v>170121</v>
      </c>
      <c r="B713" s="54" t="s">
        <v>1307</v>
      </c>
      <c r="C713" s="55">
        <v>0</v>
      </c>
      <c r="D713" s="55">
        <v>37</v>
      </c>
      <c r="E713" s="55">
        <v>1</v>
      </c>
      <c r="F713" s="55">
        <v>0</v>
      </c>
      <c r="G713" s="55">
        <v>0</v>
      </c>
      <c r="H713" s="55">
        <v>0</v>
      </c>
      <c r="I713" s="55">
        <v>0</v>
      </c>
      <c r="J713" s="55">
        <v>0</v>
      </c>
      <c r="K713" s="55">
        <v>0</v>
      </c>
      <c r="L713" s="55">
        <v>0</v>
      </c>
      <c r="M713" s="54" t="s">
        <v>30</v>
      </c>
      <c r="N713" s="54" t="s">
        <v>1401</v>
      </c>
      <c r="O713" s="54" t="s">
        <v>7</v>
      </c>
      <c r="P713" s="54">
        <f t="shared" si="44"/>
        <v>0</v>
      </c>
      <c r="Q713">
        <f t="shared" si="45"/>
        <v>0</v>
      </c>
      <c r="R713">
        <f t="shared" si="46"/>
        <v>0</v>
      </c>
      <c r="S713" t="b">
        <f t="shared" si="47"/>
        <v>0</v>
      </c>
    </row>
    <row r="714" spans="1:19" x14ac:dyDescent="0.2">
      <c r="A714" s="54">
        <v>170384</v>
      </c>
      <c r="B714" s="54" t="s">
        <v>588</v>
      </c>
      <c r="C714" s="55">
        <v>20</v>
      </c>
      <c r="D714" s="55">
        <v>18</v>
      </c>
      <c r="E714" s="55">
        <v>8</v>
      </c>
      <c r="F714" s="55">
        <v>4</v>
      </c>
      <c r="G714" s="55">
        <v>0</v>
      </c>
      <c r="H714" s="55">
        <v>0</v>
      </c>
      <c r="I714" s="55">
        <v>0.22</v>
      </c>
      <c r="J714" s="55">
        <v>0</v>
      </c>
      <c r="K714" s="55">
        <v>0</v>
      </c>
      <c r="L714" s="55">
        <v>0</v>
      </c>
      <c r="M714" s="54" t="s">
        <v>43</v>
      </c>
      <c r="N714" s="54" t="s">
        <v>1400</v>
      </c>
      <c r="O714" s="54" t="s">
        <v>7</v>
      </c>
      <c r="P714" s="54">
        <f t="shared" si="44"/>
        <v>0</v>
      </c>
      <c r="Q714">
        <f t="shared" si="45"/>
        <v>0</v>
      </c>
      <c r="R714">
        <f t="shared" si="46"/>
        <v>0</v>
      </c>
      <c r="S714" t="b">
        <f t="shared" si="47"/>
        <v>0</v>
      </c>
    </row>
    <row r="715" spans="1:19" x14ac:dyDescent="0.2">
      <c r="A715" s="54">
        <v>170572</v>
      </c>
      <c r="B715" s="54" t="s">
        <v>919</v>
      </c>
      <c r="C715" s="55">
        <v>13</v>
      </c>
      <c r="D715" s="55">
        <v>69</v>
      </c>
      <c r="E715" s="55">
        <v>1</v>
      </c>
      <c r="F715" s="55">
        <v>33</v>
      </c>
      <c r="G715" s="55">
        <v>33</v>
      </c>
      <c r="H715" s="55">
        <v>33</v>
      </c>
      <c r="I715" s="55">
        <v>0.48</v>
      </c>
      <c r="J715" s="55">
        <v>0.48</v>
      </c>
      <c r="K715" s="55">
        <v>0.48</v>
      </c>
      <c r="L715" s="55">
        <v>70</v>
      </c>
      <c r="M715" s="54" t="s">
        <v>30</v>
      </c>
      <c r="N715" s="54" t="s">
        <v>1401</v>
      </c>
      <c r="O715" s="54" t="s">
        <v>7</v>
      </c>
      <c r="P715" s="54">
        <f t="shared" si="44"/>
        <v>0</v>
      </c>
      <c r="Q715">
        <f t="shared" si="45"/>
        <v>0</v>
      </c>
      <c r="R715">
        <f t="shared" si="46"/>
        <v>0</v>
      </c>
      <c r="S715" t="b">
        <f t="shared" si="47"/>
        <v>0</v>
      </c>
    </row>
    <row r="716" spans="1:19" x14ac:dyDescent="0.2">
      <c r="A716" s="54">
        <v>170623</v>
      </c>
      <c r="B716" s="54" t="s">
        <v>985</v>
      </c>
      <c r="C716" s="55">
        <v>17</v>
      </c>
      <c r="D716" s="55">
        <v>28</v>
      </c>
      <c r="E716" s="55">
        <v>5</v>
      </c>
      <c r="F716" s="55">
        <v>14</v>
      </c>
      <c r="G716" s="55">
        <v>14</v>
      </c>
      <c r="H716" s="55">
        <v>7</v>
      </c>
      <c r="I716" s="55">
        <v>0.5</v>
      </c>
      <c r="J716" s="55">
        <v>0.5</v>
      </c>
      <c r="K716" s="55">
        <v>0.25</v>
      </c>
      <c r="L716" s="55">
        <v>74</v>
      </c>
      <c r="M716" s="54" t="s">
        <v>30</v>
      </c>
      <c r="N716" s="54" t="s">
        <v>1401</v>
      </c>
      <c r="O716" s="54" t="s">
        <v>7</v>
      </c>
      <c r="P716" s="54">
        <f t="shared" si="44"/>
        <v>0</v>
      </c>
      <c r="Q716">
        <f t="shared" si="45"/>
        <v>0</v>
      </c>
      <c r="R716">
        <f t="shared" si="46"/>
        <v>0</v>
      </c>
      <c r="S716" t="b">
        <f t="shared" si="47"/>
        <v>0</v>
      </c>
    </row>
    <row r="717" spans="1:19" x14ac:dyDescent="0.2">
      <c r="A717" s="54">
        <v>171614</v>
      </c>
      <c r="B717" s="54" t="s">
        <v>961</v>
      </c>
      <c r="C717" s="55">
        <v>15</v>
      </c>
      <c r="D717" s="55">
        <v>15</v>
      </c>
      <c r="E717" s="55">
        <v>5</v>
      </c>
      <c r="F717" s="55">
        <v>13</v>
      </c>
      <c r="G717" s="55">
        <v>13</v>
      </c>
      <c r="H717" s="55">
        <v>0</v>
      </c>
      <c r="I717" s="55">
        <v>0.87</v>
      </c>
      <c r="J717" s="55">
        <v>0.87</v>
      </c>
      <c r="K717" s="55">
        <v>0</v>
      </c>
      <c r="L717" s="55">
        <v>0</v>
      </c>
      <c r="M717" s="54" t="s">
        <v>30</v>
      </c>
      <c r="N717" s="54" t="s">
        <v>1401</v>
      </c>
      <c r="O717" s="54" t="s">
        <v>7</v>
      </c>
      <c r="P717" s="54">
        <f t="shared" si="44"/>
        <v>15</v>
      </c>
      <c r="Q717">
        <f t="shared" si="45"/>
        <v>0</v>
      </c>
      <c r="R717">
        <f t="shared" si="46"/>
        <v>15</v>
      </c>
      <c r="S717" t="b">
        <f t="shared" si="47"/>
        <v>0</v>
      </c>
    </row>
    <row r="718" spans="1:19" x14ac:dyDescent="0.2">
      <c r="A718" s="54">
        <v>171769</v>
      </c>
      <c r="B718" s="54" t="s">
        <v>1109</v>
      </c>
      <c r="C718" s="55">
        <v>35</v>
      </c>
      <c r="D718" s="55">
        <v>35</v>
      </c>
      <c r="E718" s="55">
        <v>4</v>
      </c>
      <c r="F718" s="55">
        <v>29</v>
      </c>
      <c r="G718" s="55">
        <v>25</v>
      </c>
      <c r="H718" s="55">
        <v>25</v>
      </c>
      <c r="I718" s="55">
        <v>0.83</v>
      </c>
      <c r="J718" s="55">
        <v>0.71</v>
      </c>
      <c r="K718" s="55">
        <v>0.71</v>
      </c>
      <c r="L718" s="55">
        <v>0</v>
      </c>
      <c r="M718" s="54" t="s">
        <v>30</v>
      </c>
      <c r="N718" s="54" t="s">
        <v>1401</v>
      </c>
      <c r="O718" s="54" t="s">
        <v>7</v>
      </c>
      <c r="P718" s="54">
        <f t="shared" si="44"/>
        <v>0</v>
      </c>
      <c r="Q718">
        <f t="shared" si="45"/>
        <v>0</v>
      </c>
      <c r="R718">
        <f t="shared" si="46"/>
        <v>0</v>
      </c>
      <c r="S718" t="b">
        <f t="shared" si="47"/>
        <v>0</v>
      </c>
    </row>
    <row r="719" spans="1:19" x14ac:dyDescent="0.2">
      <c r="A719" s="54">
        <v>172684</v>
      </c>
      <c r="B719" s="54" t="s">
        <v>530</v>
      </c>
      <c r="C719" s="55">
        <v>20</v>
      </c>
      <c r="D719" s="55">
        <v>15</v>
      </c>
      <c r="E719" s="55">
        <v>11</v>
      </c>
      <c r="F719" s="55">
        <v>12</v>
      </c>
      <c r="G719" s="55">
        <v>4</v>
      </c>
      <c r="H719" s="55">
        <v>4</v>
      </c>
      <c r="I719" s="55">
        <v>0.8</v>
      </c>
      <c r="J719" s="55">
        <v>0.27</v>
      </c>
      <c r="K719" s="55">
        <v>0.27</v>
      </c>
      <c r="L719" s="55">
        <v>0</v>
      </c>
      <c r="M719" s="54" t="s">
        <v>43</v>
      </c>
      <c r="N719" s="54" t="s">
        <v>1400</v>
      </c>
      <c r="O719" s="54" t="s">
        <v>7</v>
      </c>
      <c r="P719" s="54">
        <f t="shared" si="44"/>
        <v>0</v>
      </c>
      <c r="Q719">
        <f t="shared" si="45"/>
        <v>0</v>
      </c>
      <c r="R719">
        <f t="shared" si="46"/>
        <v>0</v>
      </c>
      <c r="S719" t="b">
        <f t="shared" si="47"/>
        <v>0</v>
      </c>
    </row>
    <row r="720" spans="1:19" x14ac:dyDescent="0.2">
      <c r="A720" s="54">
        <v>172686</v>
      </c>
      <c r="B720" s="54" t="s">
        <v>188</v>
      </c>
      <c r="C720" s="55">
        <v>1</v>
      </c>
      <c r="D720" s="55">
        <v>73</v>
      </c>
      <c r="E720" s="55">
        <v>9</v>
      </c>
      <c r="F720" s="55">
        <v>331</v>
      </c>
      <c r="G720" s="55">
        <v>296</v>
      </c>
      <c r="H720" s="55">
        <v>123</v>
      </c>
      <c r="I720" s="55">
        <v>4.53</v>
      </c>
      <c r="J720" s="55">
        <v>4.05</v>
      </c>
      <c r="K720" s="55">
        <v>1.68</v>
      </c>
      <c r="L720" s="55">
        <v>11</v>
      </c>
      <c r="M720" s="54" t="s">
        <v>43</v>
      </c>
      <c r="N720" s="54" t="s">
        <v>1400</v>
      </c>
      <c r="O720" s="54" t="s">
        <v>7</v>
      </c>
      <c r="P720" s="54">
        <f t="shared" si="44"/>
        <v>1</v>
      </c>
      <c r="Q720">
        <f t="shared" si="45"/>
        <v>1</v>
      </c>
      <c r="R720">
        <f t="shared" si="46"/>
        <v>1</v>
      </c>
      <c r="S720" t="b">
        <f t="shared" si="47"/>
        <v>0</v>
      </c>
    </row>
    <row r="721" spans="1:19" x14ac:dyDescent="0.2">
      <c r="A721" s="54">
        <v>173528</v>
      </c>
      <c r="B721" s="54" t="s">
        <v>285</v>
      </c>
      <c r="C721" s="55">
        <v>75</v>
      </c>
      <c r="D721" s="55">
        <v>82</v>
      </c>
      <c r="E721" s="55">
        <v>45</v>
      </c>
      <c r="F721" s="55">
        <v>153</v>
      </c>
      <c r="G721" s="55">
        <v>124</v>
      </c>
      <c r="H721" s="55">
        <v>123</v>
      </c>
      <c r="I721" s="55">
        <v>1.87</v>
      </c>
      <c r="J721" s="55">
        <v>1.51</v>
      </c>
      <c r="K721" s="55">
        <v>1.5</v>
      </c>
      <c r="L721" s="55">
        <v>6</v>
      </c>
      <c r="M721" s="54" t="s">
        <v>47</v>
      </c>
      <c r="N721" s="54" t="s">
        <v>47</v>
      </c>
      <c r="O721" s="54" t="s">
        <v>7</v>
      </c>
      <c r="P721" s="54">
        <f t="shared" si="44"/>
        <v>75</v>
      </c>
      <c r="Q721">
        <f t="shared" si="45"/>
        <v>0</v>
      </c>
      <c r="R721">
        <f t="shared" si="46"/>
        <v>75</v>
      </c>
      <c r="S721" t="b">
        <f t="shared" si="47"/>
        <v>0</v>
      </c>
    </row>
    <row r="722" spans="1:19" x14ac:dyDescent="0.2">
      <c r="A722" s="54">
        <v>174235</v>
      </c>
      <c r="B722" s="54" t="s">
        <v>426</v>
      </c>
      <c r="C722" s="55">
        <v>44</v>
      </c>
      <c r="D722" s="55">
        <v>40</v>
      </c>
      <c r="E722" s="55">
        <v>33</v>
      </c>
      <c r="F722" s="55">
        <v>23</v>
      </c>
      <c r="G722" s="55">
        <v>15</v>
      </c>
      <c r="H722" s="55">
        <v>0</v>
      </c>
      <c r="I722" s="55">
        <v>0.57999999999999996</v>
      </c>
      <c r="J722" s="55">
        <v>0.38</v>
      </c>
      <c r="K722" s="55">
        <v>0</v>
      </c>
      <c r="L722" s="55">
        <v>22</v>
      </c>
      <c r="M722" s="54" t="s">
        <v>47</v>
      </c>
      <c r="N722" s="54" t="s">
        <v>47</v>
      </c>
      <c r="O722" s="54" t="s">
        <v>7</v>
      </c>
      <c r="P722" s="54">
        <f t="shared" si="44"/>
        <v>0</v>
      </c>
      <c r="Q722">
        <f t="shared" si="45"/>
        <v>0</v>
      </c>
      <c r="R722">
        <f t="shared" si="46"/>
        <v>0</v>
      </c>
      <c r="S722" t="b">
        <f t="shared" si="47"/>
        <v>0</v>
      </c>
    </row>
    <row r="723" spans="1:19" x14ac:dyDescent="0.2">
      <c r="A723" s="54">
        <v>175106</v>
      </c>
      <c r="B723" s="54" t="s">
        <v>772</v>
      </c>
      <c r="C723" s="55">
        <v>4</v>
      </c>
      <c r="D723" s="55">
        <v>10</v>
      </c>
      <c r="E723" s="55">
        <v>3</v>
      </c>
      <c r="F723" s="55">
        <v>0</v>
      </c>
      <c r="G723" s="55">
        <v>0</v>
      </c>
      <c r="H723" s="55">
        <v>0</v>
      </c>
      <c r="I723" s="55">
        <v>0</v>
      </c>
      <c r="J723" s="55">
        <v>0</v>
      </c>
      <c r="K723" s="55">
        <v>0</v>
      </c>
      <c r="L723" s="55">
        <v>0</v>
      </c>
      <c r="M723" s="54" t="s">
        <v>30</v>
      </c>
      <c r="N723" s="54" t="s">
        <v>1401</v>
      </c>
      <c r="O723" s="54" t="s">
        <v>7</v>
      </c>
      <c r="P723" s="54">
        <f t="shared" si="44"/>
        <v>0</v>
      </c>
      <c r="Q723">
        <f t="shared" si="45"/>
        <v>0</v>
      </c>
      <c r="R723">
        <f t="shared" si="46"/>
        <v>0</v>
      </c>
      <c r="S723" t="b">
        <f t="shared" si="47"/>
        <v>0</v>
      </c>
    </row>
    <row r="724" spans="1:19" x14ac:dyDescent="0.2">
      <c r="A724" s="54">
        <v>175721</v>
      </c>
      <c r="B724" s="54" t="s">
        <v>139</v>
      </c>
      <c r="C724" s="55">
        <v>2200</v>
      </c>
      <c r="D724" s="55">
        <v>1570</v>
      </c>
      <c r="E724" s="55">
        <v>23</v>
      </c>
      <c r="F724" s="55">
        <v>2726</v>
      </c>
      <c r="G724" s="55">
        <v>1271</v>
      </c>
      <c r="H724" s="55">
        <v>367</v>
      </c>
      <c r="I724" s="55">
        <v>1.74</v>
      </c>
      <c r="J724" s="55">
        <v>0.81</v>
      </c>
      <c r="K724" s="55">
        <v>0.23</v>
      </c>
      <c r="L724" s="55">
        <v>792</v>
      </c>
      <c r="M724" s="54" t="s">
        <v>45</v>
      </c>
      <c r="N724" s="54" t="s">
        <v>47</v>
      </c>
      <c r="O724" s="54" t="s">
        <v>5</v>
      </c>
      <c r="P724" s="54">
        <f t="shared" si="44"/>
        <v>2200</v>
      </c>
      <c r="Q724">
        <f t="shared" si="45"/>
        <v>2200</v>
      </c>
      <c r="R724">
        <f t="shared" si="46"/>
        <v>2200</v>
      </c>
      <c r="S724" t="b">
        <f t="shared" si="47"/>
        <v>0</v>
      </c>
    </row>
    <row r="725" spans="1:19" x14ac:dyDescent="0.2">
      <c r="A725" s="54">
        <v>175962</v>
      </c>
      <c r="B725" s="54" t="s">
        <v>1069</v>
      </c>
      <c r="C725" s="55">
        <v>29</v>
      </c>
      <c r="D725" s="55">
        <v>8</v>
      </c>
      <c r="E725" s="55">
        <v>2</v>
      </c>
      <c r="F725" s="55">
        <v>0</v>
      </c>
      <c r="G725" s="55">
        <v>0</v>
      </c>
      <c r="H725" s="55">
        <v>0</v>
      </c>
      <c r="I725" s="55">
        <v>0</v>
      </c>
      <c r="J725" s="55">
        <v>0</v>
      </c>
      <c r="K725" s="55">
        <v>0</v>
      </c>
      <c r="L725" s="55">
        <v>0</v>
      </c>
      <c r="M725" s="54" t="s">
        <v>30</v>
      </c>
      <c r="N725" s="54" t="s">
        <v>1401</v>
      </c>
      <c r="O725" s="54" t="s">
        <v>7</v>
      </c>
      <c r="P725" s="54">
        <f t="shared" si="44"/>
        <v>0</v>
      </c>
      <c r="Q725">
        <f t="shared" si="45"/>
        <v>0</v>
      </c>
      <c r="R725">
        <f t="shared" si="46"/>
        <v>0</v>
      </c>
      <c r="S725" t="b">
        <f t="shared" si="47"/>
        <v>0</v>
      </c>
    </row>
    <row r="726" spans="1:19" x14ac:dyDescent="0.2">
      <c r="A726" s="54">
        <v>176517</v>
      </c>
      <c r="B726" s="54" t="s">
        <v>806</v>
      </c>
      <c r="C726" s="55">
        <v>6</v>
      </c>
      <c r="D726" s="55">
        <v>6</v>
      </c>
      <c r="E726" s="55">
        <v>1</v>
      </c>
      <c r="F726" s="55">
        <v>0</v>
      </c>
      <c r="G726" s="55">
        <v>0</v>
      </c>
      <c r="H726" s="55">
        <v>0</v>
      </c>
      <c r="I726" s="55">
        <v>0</v>
      </c>
      <c r="J726" s="55">
        <v>0</v>
      </c>
      <c r="K726" s="55">
        <v>0</v>
      </c>
      <c r="L726" s="55">
        <v>0</v>
      </c>
      <c r="M726" s="54" t="s">
        <v>30</v>
      </c>
      <c r="N726" s="54" t="s">
        <v>1401</v>
      </c>
      <c r="O726" s="54" t="s">
        <v>7</v>
      </c>
      <c r="P726" s="54">
        <f t="shared" si="44"/>
        <v>0</v>
      </c>
      <c r="Q726">
        <f t="shared" si="45"/>
        <v>0</v>
      </c>
      <c r="R726">
        <f t="shared" si="46"/>
        <v>0</v>
      </c>
      <c r="S726" t="b">
        <f t="shared" si="47"/>
        <v>0</v>
      </c>
    </row>
    <row r="727" spans="1:19" x14ac:dyDescent="0.2">
      <c r="A727" s="54">
        <v>177293</v>
      </c>
      <c r="B727" s="54" t="s">
        <v>581</v>
      </c>
      <c r="C727" s="55">
        <v>46</v>
      </c>
      <c r="D727" s="55">
        <v>44</v>
      </c>
      <c r="E727" s="55">
        <v>36</v>
      </c>
      <c r="F727" s="55">
        <v>5</v>
      </c>
      <c r="G727" s="55">
        <v>5</v>
      </c>
      <c r="H727" s="55">
        <v>5</v>
      </c>
      <c r="I727" s="55">
        <v>0.11</v>
      </c>
      <c r="J727" s="55">
        <v>0.11</v>
      </c>
      <c r="K727" s="55">
        <v>0.11</v>
      </c>
      <c r="L727" s="55">
        <v>25</v>
      </c>
      <c r="M727" s="54" t="s">
        <v>47</v>
      </c>
      <c r="N727" s="54" t="s">
        <v>47</v>
      </c>
      <c r="O727" s="54" t="s">
        <v>7</v>
      </c>
      <c r="P727" s="54">
        <f t="shared" si="44"/>
        <v>0</v>
      </c>
      <c r="Q727">
        <f t="shared" si="45"/>
        <v>0</v>
      </c>
      <c r="R727">
        <f t="shared" si="46"/>
        <v>0</v>
      </c>
      <c r="S727" t="b">
        <f t="shared" si="47"/>
        <v>0</v>
      </c>
    </row>
    <row r="728" spans="1:19" x14ac:dyDescent="0.2">
      <c r="A728" s="54">
        <v>179811</v>
      </c>
      <c r="B728" s="54" t="s">
        <v>147</v>
      </c>
      <c r="C728" s="55">
        <v>48</v>
      </c>
      <c r="D728" s="55">
        <v>43</v>
      </c>
      <c r="E728" s="55">
        <v>13</v>
      </c>
      <c r="F728" s="55">
        <v>373</v>
      </c>
      <c r="G728" s="55">
        <v>61</v>
      </c>
      <c r="H728" s="55">
        <v>22</v>
      </c>
      <c r="I728" s="55">
        <v>8.67</v>
      </c>
      <c r="J728" s="55">
        <v>1.42</v>
      </c>
      <c r="K728" s="55">
        <v>0.51</v>
      </c>
      <c r="L728" s="55">
        <v>20</v>
      </c>
      <c r="M728" s="54" t="s">
        <v>45</v>
      </c>
      <c r="N728" s="54" t="s">
        <v>47</v>
      </c>
      <c r="O728" s="54" t="s">
        <v>7</v>
      </c>
      <c r="P728" s="54">
        <f t="shared" si="44"/>
        <v>48</v>
      </c>
      <c r="Q728">
        <f t="shared" si="45"/>
        <v>48</v>
      </c>
      <c r="R728">
        <f t="shared" si="46"/>
        <v>48</v>
      </c>
      <c r="S728" t="b">
        <f t="shared" si="47"/>
        <v>0</v>
      </c>
    </row>
    <row r="729" spans="1:19" x14ac:dyDescent="0.2">
      <c r="A729" s="54">
        <v>179820</v>
      </c>
      <c r="B729" s="54" t="s">
        <v>934</v>
      </c>
      <c r="C729" s="55">
        <v>14</v>
      </c>
      <c r="D729" s="55">
        <v>14</v>
      </c>
      <c r="E729" s="55">
        <v>2</v>
      </c>
      <c r="F729" s="55">
        <v>7</v>
      </c>
      <c r="G729" s="55">
        <v>7</v>
      </c>
      <c r="H729" s="55">
        <v>7</v>
      </c>
      <c r="I729" s="55">
        <v>0.5</v>
      </c>
      <c r="J729" s="55">
        <v>0.5</v>
      </c>
      <c r="K729" s="55">
        <v>0.5</v>
      </c>
      <c r="L729" s="55">
        <v>10</v>
      </c>
      <c r="M729" s="54" t="s">
        <v>30</v>
      </c>
      <c r="N729" s="54" t="s">
        <v>1401</v>
      </c>
      <c r="O729" s="54" t="s">
        <v>7</v>
      </c>
      <c r="P729" s="54">
        <f t="shared" si="44"/>
        <v>0</v>
      </c>
      <c r="Q729">
        <f t="shared" si="45"/>
        <v>0</v>
      </c>
      <c r="R729">
        <f t="shared" si="46"/>
        <v>0</v>
      </c>
      <c r="S729" t="b">
        <f t="shared" si="47"/>
        <v>0</v>
      </c>
    </row>
    <row r="730" spans="1:19" x14ac:dyDescent="0.2">
      <c r="A730" s="54">
        <v>180045</v>
      </c>
      <c r="B730" s="54" t="s">
        <v>996</v>
      </c>
      <c r="C730" s="55">
        <v>18</v>
      </c>
      <c r="D730" s="55">
        <v>80</v>
      </c>
      <c r="E730" s="55">
        <v>4</v>
      </c>
      <c r="F730" s="55">
        <v>29</v>
      </c>
      <c r="G730" s="55">
        <v>29</v>
      </c>
      <c r="H730" s="55">
        <v>9</v>
      </c>
      <c r="I730" s="55">
        <v>0.36</v>
      </c>
      <c r="J730" s="55">
        <v>0.36</v>
      </c>
      <c r="K730" s="55">
        <v>0.11</v>
      </c>
      <c r="L730" s="55">
        <v>14</v>
      </c>
      <c r="M730" s="54" t="s">
        <v>30</v>
      </c>
      <c r="N730" s="54" t="s">
        <v>1401</v>
      </c>
      <c r="O730" s="54" t="s">
        <v>7</v>
      </c>
      <c r="P730" s="54">
        <f t="shared" si="44"/>
        <v>0</v>
      </c>
      <c r="Q730">
        <f t="shared" si="45"/>
        <v>0</v>
      </c>
      <c r="R730">
        <f t="shared" si="46"/>
        <v>0</v>
      </c>
      <c r="S730" t="b">
        <f t="shared" si="47"/>
        <v>0</v>
      </c>
    </row>
    <row r="731" spans="1:19" x14ac:dyDescent="0.2">
      <c r="A731" s="54">
        <v>182144</v>
      </c>
      <c r="B731" s="54" t="s">
        <v>1341</v>
      </c>
      <c r="C731" s="55">
        <v>0</v>
      </c>
      <c r="D731" s="55">
        <v>20</v>
      </c>
      <c r="E731" s="55">
        <v>0</v>
      </c>
      <c r="F731" s="55">
        <v>1</v>
      </c>
      <c r="G731" s="55">
        <v>1</v>
      </c>
      <c r="H731" s="55">
        <v>1</v>
      </c>
      <c r="I731" s="55">
        <v>0.05</v>
      </c>
      <c r="J731" s="55">
        <v>0.05</v>
      </c>
      <c r="K731" s="55">
        <v>0.05</v>
      </c>
      <c r="L731" s="55">
        <v>0</v>
      </c>
      <c r="M731" s="54" t="s">
        <v>30</v>
      </c>
      <c r="N731" s="54" t="s">
        <v>1401</v>
      </c>
      <c r="O731" s="54" t="s">
        <v>7</v>
      </c>
      <c r="P731" s="54">
        <f t="shared" si="44"/>
        <v>0</v>
      </c>
      <c r="Q731">
        <f t="shared" si="45"/>
        <v>0</v>
      </c>
      <c r="R731">
        <f t="shared" si="46"/>
        <v>0</v>
      </c>
      <c r="S731" t="b">
        <f t="shared" si="47"/>
        <v>0</v>
      </c>
    </row>
    <row r="732" spans="1:19" x14ac:dyDescent="0.2">
      <c r="A732" s="54">
        <v>183514</v>
      </c>
      <c r="B732" s="54" t="s">
        <v>845</v>
      </c>
      <c r="C732" s="55">
        <v>8</v>
      </c>
      <c r="D732" s="55">
        <v>6</v>
      </c>
      <c r="E732" s="55">
        <v>2</v>
      </c>
      <c r="F732" s="55">
        <v>36</v>
      </c>
      <c r="G732" s="55">
        <v>36</v>
      </c>
      <c r="H732" s="55">
        <v>36</v>
      </c>
      <c r="I732" s="55">
        <v>6</v>
      </c>
      <c r="J732" s="55">
        <v>6</v>
      </c>
      <c r="K732" s="55">
        <v>6</v>
      </c>
      <c r="L732" s="55">
        <v>0</v>
      </c>
      <c r="M732" s="54" t="s">
        <v>30</v>
      </c>
      <c r="N732" s="54" t="s">
        <v>1401</v>
      </c>
      <c r="O732" s="54" t="s">
        <v>7</v>
      </c>
      <c r="P732" s="54">
        <f t="shared" si="44"/>
        <v>8</v>
      </c>
      <c r="Q732">
        <f t="shared" si="45"/>
        <v>8</v>
      </c>
      <c r="R732">
        <f t="shared" si="46"/>
        <v>8</v>
      </c>
      <c r="S732" t="b">
        <f t="shared" si="47"/>
        <v>0</v>
      </c>
    </row>
    <row r="733" spans="1:19" x14ac:dyDescent="0.2">
      <c r="A733" s="54">
        <v>183838</v>
      </c>
      <c r="B733" s="54" t="s">
        <v>1001</v>
      </c>
      <c r="C733" s="55">
        <v>19</v>
      </c>
      <c r="D733" s="55">
        <v>115</v>
      </c>
      <c r="E733" s="55">
        <v>3</v>
      </c>
      <c r="F733" s="55">
        <v>35</v>
      </c>
      <c r="G733" s="55">
        <v>35</v>
      </c>
      <c r="H733" s="55">
        <v>35</v>
      </c>
      <c r="I733" s="55">
        <v>0.3</v>
      </c>
      <c r="J733" s="55">
        <v>0.3</v>
      </c>
      <c r="K733" s="55">
        <v>0.3</v>
      </c>
      <c r="L733" s="55">
        <v>30</v>
      </c>
      <c r="M733" s="54" t="s">
        <v>30</v>
      </c>
      <c r="N733" s="54" t="s">
        <v>1401</v>
      </c>
      <c r="O733" s="54" t="s">
        <v>6</v>
      </c>
      <c r="P733" s="54">
        <f t="shared" si="44"/>
        <v>0</v>
      </c>
      <c r="Q733">
        <f t="shared" si="45"/>
        <v>0</v>
      </c>
      <c r="R733">
        <f t="shared" si="46"/>
        <v>0</v>
      </c>
      <c r="S733" t="b">
        <f t="shared" si="47"/>
        <v>0</v>
      </c>
    </row>
    <row r="734" spans="1:19" x14ac:dyDescent="0.2">
      <c r="A734" s="54">
        <v>183946</v>
      </c>
      <c r="B734" s="54" t="s">
        <v>1197</v>
      </c>
      <c r="C734" s="55">
        <v>82</v>
      </c>
      <c r="D734" s="55">
        <v>86</v>
      </c>
      <c r="E734" s="55">
        <v>3</v>
      </c>
      <c r="F734" s="55">
        <v>509</v>
      </c>
      <c r="G734" s="55">
        <v>433</v>
      </c>
      <c r="H734" s="55">
        <v>433</v>
      </c>
      <c r="I734" s="55">
        <v>5.92</v>
      </c>
      <c r="J734" s="55">
        <v>5.03</v>
      </c>
      <c r="K734" s="55">
        <v>5.03</v>
      </c>
      <c r="L734" s="55">
        <v>40</v>
      </c>
      <c r="M734" s="54" t="s">
        <v>30</v>
      </c>
      <c r="N734" s="54" t="s">
        <v>1401</v>
      </c>
      <c r="O734" s="54" t="s">
        <v>7</v>
      </c>
      <c r="P734" s="54">
        <f t="shared" si="44"/>
        <v>82</v>
      </c>
      <c r="Q734">
        <f t="shared" si="45"/>
        <v>82</v>
      </c>
      <c r="R734">
        <f t="shared" si="46"/>
        <v>82</v>
      </c>
      <c r="S734" t="b">
        <f t="shared" si="47"/>
        <v>0</v>
      </c>
    </row>
    <row r="735" spans="1:19" x14ac:dyDescent="0.2">
      <c r="A735" s="54">
        <v>183987</v>
      </c>
      <c r="B735" s="54" t="s">
        <v>472</v>
      </c>
      <c r="C735" s="55">
        <v>65</v>
      </c>
      <c r="D735" s="55">
        <v>27</v>
      </c>
      <c r="E735" s="55">
        <v>6</v>
      </c>
      <c r="F735" s="55">
        <v>28</v>
      </c>
      <c r="G735" s="55">
        <v>28</v>
      </c>
      <c r="H735" s="55">
        <v>28</v>
      </c>
      <c r="I735" s="55">
        <v>1.04</v>
      </c>
      <c r="J735" s="55">
        <v>1.04</v>
      </c>
      <c r="K735" s="55">
        <v>1.04</v>
      </c>
      <c r="L735" s="55">
        <v>15</v>
      </c>
      <c r="M735" s="54" t="s">
        <v>43</v>
      </c>
      <c r="N735" s="54" t="s">
        <v>1400</v>
      </c>
      <c r="O735" s="54" t="s">
        <v>7</v>
      </c>
      <c r="P735" s="54">
        <f t="shared" si="44"/>
        <v>65</v>
      </c>
      <c r="Q735">
        <f t="shared" si="45"/>
        <v>0</v>
      </c>
      <c r="R735">
        <f t="shared" si="46"/>
        <v>65</v>
      </c>
      <c r="S735" t="b">
        <f t="shared" si="47"/>
        <v>0</v>
      </c>
    </row>
    <row r="736" spans="1:19" x14ac:dyDescent="0.2">
      <c r="A736" s="54">
        <v>184553</v>
      </c>
      <c r="B736" s="54" t="s">
        <v>1323</v>
      </c>
      <c r="C736" s="55">
        <v>0</v>
      </c>
      <c r="D736" s="55">
        <v>14</v>
      </c>
      <c r="E736" s="55">
        <v>0</v>
      </c>
      <c r="F736" s="55">
        <v>0</v>
      </c>
      <c r="G736" s="55">
        <v>0</v>
      </c>
      <c r="H736" s="55">
        <v>0</v>
      </c>
      <c r="I736" s="55">
        <v>0</v>
      </c>
      <c r="J736" s="55">
        <v>0</v>
      </c>
      <c r="K736" s="55">
        <v>0</v>
      </c>
      <c r="L736" s="55">
        <v>0</v>
      </c>
      <c r="M736" s="54" t="s">
        <v>30</v>
      </c>
      <c r="N736" s="54" t="s">
        <v>1401</v>
      </c>
      <c r="O736" s="54" t="s">
        <v>7</v>
      </c>
      <c r="P736" s="54">
        <f t="shared" si="44"/>
        <v>0</v>
      </c>
      <c r="Q736">
        <f t="shared" si="45"/>
        <v>0</v>
      </c>
      <c r="R736">
        <f t="shared" si="46"/>
        <v>0</v>
      </c>
      <c r="S736" t="b">
        <f t="shared" si="47"/>
        <v>0</v>
      </c>
    </row>
    <row r="737" spans="1:19" x14ac:dyDescent="0.2">
      <c r="A737" s="54">
        <v>185176</v>
      </c>
      <c r="B737" s="54" t="s">
        <v>205</v>
      </c>
      <c r="C737" s="55">
        <v>49</v>
      </c>
      <c r="D737" s="55">
        <v>53</v>
      </c>
      <c r="E737" s="55">
        <v>9</v>
      </c>
      <c r="F737" s="55">
        <v>297</v>
      </c>
      <c r="G737" s="55">
        <v>297</v>
      </c>
      <c r="H737" s="55">
        <v>219</v>
      </c>
      <c r="I737" s="55">
        <v>5.6</v>
      </c>
      <c r="J737" s="55">
        <v>5.6</v>
      </c>
      <c r="K737" s="55">
        <v>4.13</v>
      </c>
      <c r="L737" s="55">
        <v>53</v>
      </c>
      <c r="M737" s="54" t="s">
        <v>43</v>
      </c>
      <c r="N737" s="54" t="s">
        <v>1400</v>
      </c>
      <c r="O737" s="54" t="s">
        <v>7</v>
      </c>
      <c r="P737" s="54">
        <f t="shared" si="44"/>
        <v>49</v>
      </c>
      <c r="Q737">
        <f t="shared" si="45"/>
        <v>49</v>
      </c>
      <c r="R737">
        <f t="shared" si="46"/>
        <v>49</v>
      </c>
      <c r="S737" t="b">
        <f t="shared" si="47"/>
        <v>0</v>
      </c>
    </row>
    <row r="738" spans="1:19" x14ac:dyDescent="0.2">
      <c r="A738" s="54">
        <v>185240</v>
      </c>
      <c r="B738" s="54" t="s">
        <v>1004</v>
      </c>
      <c r="C738" s="55">
        <v>19</v>
      </c>
      <c r="D738" s="55">
        <v>20</v>
      </c>
      <c r="E738" s="55">
        <v>0</v>
      </c>
      <c r="F738" s="55">
        <v>0</v>
      </c>
      <c r="G738" s="55">
        <v>0</v>
      </c>
      <c r="H738" s="55">
        <v>0</v>
      </c>
      <c r="I738" s="55">
        <v>0</v>
      </c>
      <c r="J738" s="55">
        <v>0</v>
      </c>
      <c r="K738" s="55">
        <v>0</v>
      </c>
      <c r="L738" s="55">
        <v>0</v>
      </c>
      <c r="M738" s="54" t="s">
        <v>30</v>
      </c>
      <c r="N738" s="54" t="s">
        <v>1401</v>
      </c>
      <c r="O738" s="54" t="s">
        <v>7</v>
      </c>
      <c r="P738" s="54">
        <f t="shared" si="44"/>
        <v>0</v>
      </c>
      <c r="Q738">
        <f t="shared" si="45"/>
        <v>0</v>
      </c>
      <c r="R738">
        <f t="shared" si="46"/>
        <v>0</v>
      </c>
      <c r="S738" t="b">
        <f t="shared" si="47"/>
        <v>0</v>
      </c>
    </row>
    <row r="739" spans="1:19" x14ac:dyDescent="0.2">
      <c r="A739" s="54">
        <v>185357</v>
      </c>
      <c r="B739" s="54" t="s">
        <v>190</v>
      </c>
      <c r="C739" s="55">
        <v>100</v>
      </c>
      <c r="D739" s="55">
        <v>241</v>
      </c>
      <c r="E739" s="55">
        <v>43</v>
      </c>
      <c r="F739" s="55">
        <v>323</v>
      </c>
      <c r="G739" s="55">
        <v>69</v>
      </c>
      <c r="H739" s="55">
        <v>44</v>
      </c>
      <c r="I739" s="55">
        <v>1.34</v>
      </c>
      <c r="J739" s="55">
        <v>0.28999999999999998</v>
      </c>
      <c r="K739" s="55">
        <v>0.18</v>
      </c>
      <c r="L739" s="55">
        <v>0</v>
      </c>
      <c r="M739" s="54" t="s">
        <v>47</v>
      </c>
      <c r="N739" s="54" t="s">
        <v>47</v>
      </c>
      <c r="O739" s="54" t="s">
        <v>6</v>
      </c>
      <c r="P739" s="54">
        <f t="shared" si="44"/>
        <v>0</v>
      </c>
      <c r="Q739">
        <f t="shared" si="45"/>
        <v>0</v>
      </c>
      <c r="R739">
        <f t="shared" si="46"/>
        <v>0</v>
      </c>
      <c r="S739" t="b">
        <f t="shared" si="47"/>
        <v>0</v>
      </c>
    </row>
    <row r="740" spans="1:19" x14ac:dyDescent="0.2">
      <c r="A740" s="54">
        <v>185502</v>
      </c>
      <c r="B740" s="54" t="s">
        <v>718</v>
      </c>
      <c r="C740" s="55">
        <v>2</v>
      </c>
      <c r="D740" s="55">
        <v>12</v>
      </c>
      <c r="E740" s="55">
        <v>2</v>
      </c>
      <c r="F740" s="55">
        <v>0</v>
      </c>
      <c r="G740" s="55">
        <v>0</v>
      </c>
      <c r="H740" s="55">
        <v>0</v>
      </c>
      <c r="I740" s="55">
        <v>0</v>
      </c>
      <c r="J740" s="55">
        <v>0</v>
      </c>
      <c r="K740" s="55">
        <v>0</v>
      </c>
      <c r="L740" s="55">
        <v>0</v>
      </c>
      <c r="M740" s="54" t="s">
        <v>30</v>
      </c>
      <c r="N740" s="54" t="s">
        <v>1401</v>
      </c>
      <c r="O740" s="54" t="s">
        <v>7</v>
      </c>
      <c r="P740" s="54">
        <f t="shared" si="44"/>
        <v>0</v>
      </c>
      <c r="Q740">
        <f t="shared" si="45"/>
        <v>0</v>
      </c>
      <c r="R740">
        <f t="shared" si="46"/>
        <v>0</v>
      </c>
      <c r="S740" t="b">
        <f t="shared" si="47"/>
        <v>0</v>
      </c>
    </row>
    <row r="741" spans="1:19" x14ac:dyDescent="0.2">
      <c r="A741" s="54">
        <v>186139</v>
      </c>
      <c r="B741" s="54" t="s">
        <v>1263</v>
      </c>
      <c r="C741" s="55">
        <v>162</v>
      </c>
      <c r="D741" s="55">
        <v>162</v>
      </c>
      <c r="E741" s="55">
        <v>4</v>
      </c>
      <c r="F741" s="55">
        <v>5</v>
      </c>
      <c r="G741" s="55">
        <v>2</v>
      </c>
      <c r="H741" s="55">
        <v>0</v>
      </c>
      <c r="I741" s="55">
        <v>0.03</v>
      </c>
      <c r="J741" s="55">
        <v>0.01</v>
      </c>
      <c r="K741" s="55">
        <v>0</v>
      </c>
      <c r="L741" s="55">
        <v>2</v>
      </c>
      <c r="M741" s="54" t="s">
        <v>30</v>
      </c>
      <c r="N741" s="54" t="s">
        <v>1401</v>
      </c>
      <c r="O741" s="54" t="s">
        <v>6</v>
      </c>
      <c r="P741" s="54">
        <f t="shared" si="44"/>
        <v>0</v>
      </c>
      <c r="Q741">
        <f t="shared" si="45"/>
        <v>0</v>
      </c>
      <c r="R741">
        <f t="shared" si="46"/>
        <v>0</v>
      </c>
      <c r="S741" t="b">
        <f t="shared" si="47"/>
        <v>0</v>
      </c>
    </row>
    <row r="742" spans="1:19" x14ac:dyDescent="0.2">
      <c r="A742" s="54">
        <v>186227</v>
      </c>
      <c r="B742" s="54" t="s">
        <v>1258</v>
      </c>
      <c r="C742" s="55">
        <v>156</v>
      </c>
      <c r="D742" s="55">
        <v>12</v>
      </c>
      <c r="E742" s="55">
        <v>2</v>
      </c>
      <c r="F742" s="55">
        <v>3</v>
      </c>
      <c r="G742" s="55">
        <v>3</v>
      </c>
      <c r="H742" s="55">
        <v>3</v>
      </c>
      <c r="I742" s="55">
        <v>0.25</v>
      </c>
      <c r="J742" s="55">
        <v>0.25</v>
      </c>
      <c r="K742" s="55">
        <v>0.25</v>
      </c>
      <c r="L742" s="55">
        <v>4</v>
      </c>
      <c r="M742" s="54" t="s">
        <v>30</v>
      </c>
      <c r="N742" s="54" t="s">
        <v>1401</v>
      </c>
      <c r="O742" s="54" t="s">
        <v>7</v>
      </c>
      <c r="P742" s="54">
        <f t="shared" si="44"/>
        <v>0</v>
      </c>
      <c r="Q742">
        <f t="shared" si="45"/>
        <v>0</v>
      </c>
      <c r="R742">
        <f t="shared" si="46"/>
        <v>0</v>
      </c>
      <c r="S742" t="b">
        <f t="shared" si="47"/>
        <v>0</v>
      </c>
    </row>
    <row r="743" spans="1:19" x14ac:dyDescent="0.2">
      <c r="A743" s="54">
        <v>186720</v>
      </c>
      <c r="B743" s="54" t="s">
        <v>1191</v>
      </c>
      <c r="C743" s="55">
        <v>78</v>
      </c>
      <c r="D743" s="55">
        <v>74</v>
      </c>
      <c r="E743" s="55">
        <v>5</v>
      </c>
      <c r="F743" s="55">
        <v>46</v>
      </c>
      <c r="G743" s="55">
        <v>46</v>
      </c>
      <c r="H743" s="55">
        <v>46</v>
      </c>
      <c r="I743" s="55">
        <v>0.62</v>
      </c>
      <c r="J743" s="55">
        <v>0.62</v>
      </c>
      <c r="K743" s="55">
        <v>0.62</v>
      </c>
      <c r="L743" s="55">
        <v>0</v>
      </c>
      <c r="M743" s="54" t="s">
        <v>30</v>
      </c>
      <c r="N743" s="54" t="s">
        <v>1401</v>
      </c>
      <c r="O743" s="54" t="s">
        <v>7</v>
      </c>
      <c r="P743" s="54">
        <f t="shared" si="44"/>
        <v>0</v>
      </c>
      <c r="Q743">
        <f t="shared" si="45"/>
        <v>0</v>
      </c>
      <c r="R743">
        <f t="shared" si="46"/>
        <v>0</v>
      </c>
      <c r="S743" t="b">
        <f t="shared" si="47"/>
        <v>0</v>
      </c>
    </row>
    <row r="744" spans="1:19" x14ac:dyDescent="0.2">
      <c r="A744" s="54">
        <v>186872</v>
      </c>
      <c r="B744" s="54" t="s">
        <v>116</v>
      </c>
      <c r="C744" s="55">
        <v>98</v>
      </c>
      <c r="D744" s="55">
        <v>98</v>
      </c>
      <c r="E744" s="55">
        <v>9</v>
      </c>
      <c r="F744" s="55">
        <v>766</v>
      </c>
      <c r="G744" s="55">
        <v>118</v>
      </c>
      <c r="H744" s="55">
        <v>48</v>
      </c>
      <c r="I744" s="55">
        <v>7.82</v>
      </c>
      <c r="J744" s="55">
        <v>1.2</v>
      </c>
      <c r="K744" s="55">
        <v>0.49</v>
      </c>
      <c r="L744" s="55">
        <v>84</v>
      </c>
      <c r="M744" s="54" t="s">
        <v>43</v>
      </c>
      <c r="N744" s="54" t="s">
        <v>1400</v>
      </c>
      <c r="O744" s="54" t="s">
        <v>7</v>
      </c>
      <c r="P744" s="54">
        <f t="shared" si="44"/>
        <v>98</v>
      </c>
      <c r="Q744">
        <f t="shared" si="45"/>
        <v>98</v>
      </c>
      <c r="R744">
        <f t="shared" si="46"/>
        <v>98</v>
      </c>
      <c r="S744" t="b">
        <f t="shared" si="47"/>
        <v>0</v>
      </c>
    </row>
    <row r="745" spans="1:19" x14ac:dyDescent="0.2">
      <c r="A745" s="54">
        <v>187291</v>
      </c>
      <c r="B745" s="54" t="s">
        <v>1070</v>
      </c>
      <c r="C745" s="55">
        <v>29</v>
      </c>
      <c r="D745" s="55">
        <v>29</v>
      </c>
      <c r="E745" s="55">
        <v>3</v>
      </c>
      <c r="F745" s="55">
        <v>0</v>
      </c>
      <c r="G745" s="55">
        <v>0</v>
      </c>
      <c r="H745" s="55">
        <v>0</v>
      </c>
      <c r="I745" s="55">
        <v>0</v>
      </c>
      <c r="J745" s="55">
        <v>0</v>
      </c>
      <c r="K745" s="55">
        <v>0</v>
      </c>
      <c r="L745" s="55">
        <v>0</v>
      </c>
      <c r="M745" s="54" t="s">
        <v>30</v>
      </c>
      <c r="N745" s="54" t="s">
        <v>1401</v>
      </c>
      <c r="O745" s="54" t="s">
        <v>7</v>
      </c>
      <c r="P745" s="54">
        <f t="shared" si="44"/>
        <v>0</v>
      </c>
      <c r="Q745">
        <f t="shared" si="45"/>
        <v>0</v>
      </c>
      <c r="R745">
        <f t="shared" si="46"/>
        <v>0</v>
      </c>
      <c r="S745" t="b">
        <f t="shared" si="47"/>
        <v>0</v>
      </c>
    </row>
    <row r="746" spans="1:19" x14ac:dyDescent="0.2">
      <c r="A746" s="54">
        <v>187670</v>
      </c>
      <c r="B746" s="54" t="s">
        <v>121</v>
      </c>
      <c r="C746" s="55">
        <v>75</v>
      </c>
      <c r="D746" s="55">
        <v>105</v>
      </c>
      <c r="E746" s="55">
        <v>12</v>
      </c>
      <c r="F746" s="55">
        <v>768</v>
      </c>
      <c r="G746" s="55">
        <v>383</v>
      </c>
      <c r="H746" s="55">
        <v>68</v>
      </c>
      <c r="I746" s="55">
        <v>7.31</v>
      </c>
      <c r="J746" s="55">
        <v>3.65</v>
      </c>
      <c r="K746" s="55">
        <v>0.65</v>
      </c>
      <c r="L746" s="55">
        <v>140</v>
      </c>
      <c r="M746" s="54" t="s">
        <v>43</v>
      </c>
      <c r="N746" s="54" t="s">
        <v>1400</v>
      </c>
      <c r="O746" s="54" t="s">
        <v>6</v>
      </c>
      <c r="P746" s="54">
        <f t="shared" si="44"/>
        <v>75</v>
      </c>
      <c r="Q746">
        <f t="shared" si="45"/>
        <v>75</v>
      </c>
      <c r="R746">
        <f t="shared" si="46"/>
        <v>75</v>
      </c>
      <c r="S746" t="b">
        <f t="shared" si="47"/>
        <v>0</v>
      </c>
    </row>
    <row r="747" spans="1:19" x14ac:dyDescent="0.2">
      <c r="A747" s="54">
        <v>189441</v>
      </c>
      <c r="B747" s="54" t="s">
        <v>497</v>
      </c>
      <c r="C747" s="55">
        <v>50</v>
      </c>
      <c r="D747" s="55">
        <v>82</v>
      </c>
      <c r="E747" s="55">
        <v>37</v>
      </c>
      <c r="F747" s="55">
        <v>35</v>
      </c>
      <c r="G747" s="55">
        <v>9</v>
      </c>
      <c r="H747" s="55">
        <v>5</v>
      </c>
      <c r="I747" s="55">
        <v>0.43</v>
      </c>
      <c r="J747" s="55">
        <v>0.11</v>
      </c>
      <c r="K747" s="55">
        <v>0.06</v>
      </c>
      <c r="L747" s="55">
        <v>18</v>
      </c>
      <c r="M747" s="54" t="s">
        <v>47</v>
      </c>
      <c r="N747" s="54" t="s">
        <v>47</v>
      </c>
      <c r="O747" s="54" t="s">
        <v>7</v>
      </c>
      <c r="P747" s="54">
        <f t="shared" si="44"/>
        <v>0</v>
      </c>
      <c r="Q747">
        <f t="shared" si="45"/>
        <v>0</v>
      </c>
      <c r="R747">
        <f t="shared" si="46"/>
        <v>0</v>
      </c>
      <c r="S747" t="b">
        <f t="shared" si="47"/>
        <v>0</v>
      </c>
    </row>
    <row r="748" spans="1:19" x14ac:dyDescent="0.2">
      <c r="A748" s="54">
        <v>190854</v>
      </c>
      <c r="B748" s="54" t="s">
        <v>1071</v>
      </c>
      <c r="C748" s="55">
        <v>29</v>
      </c>
      <c r="D748" s="55">
        <v>20</v>
      </c>
      <c r="E748" s="55">
        <v>3</v>
      </c>
      <c r="F748" s="55">
        <v>3</v>
      </c>
      <c r="G748" s="55">
        <v>3</v>
      </c>
      <c r="H748" s="55">
        <v>3</v>
      </c>
      <c r="I748" s="55">
        <v>0.15</v>
      </c>
      <c r="J748" s="55">
        <v>0.15</v>
      </c>
      <c r="K748" s="55">
        <v>0.15</v>
      </c>
      <c r="L748" s="55">
        <v>0</v>
      </c>
      <c r="M748" s="54" t="s">
        <v>30</v>
      </c>
      <c r="N748" s="54" t="s">
        <v>1401</v>
      </c>
      <c r="O748" s="54" t="s">
        <v>7</v>
      </c>
      <c r="P748" s="54">
        <f t="shared" si="44"/>
        <v>0</v>
      </c>
      <c r="Q748">
        <f t="shared" si="45"/>
        <v>0</v>
      </c>
      <c r="R748">
        <f t="shared" si="46"/>
        <v>0</v>
      </c>
      <c r="S748" t="b">
        <f t="shared" si="47"/>
        <v>0</v>
      </c>
    </row>
    <row r="749" spans="1:19" x14ac:dyDescent="0.2">
      <c r="A749" s="54">
        <v>191133</v>
      </c>
      <c r="B749" s="54" t="s">
        <v>1190</v>
      </c>
      <c r="C749" s="55">
        <v>75</v>
      </c>
      <c r="D749" s="55">
        <v>75</v>
      </c>
      <c r="E749" s="55">
        <v>4</v>
      </c>
      <c r="F749" s="55">
        <v>0</v>
      </c>
      <c r="G749" s="55">
        <v>0</v>
      </c>
      <c r="H749" s="55">
        <v>0</v>
      </c>
      <c r="I749" s="55">
        <v>0</v>
      </c>
      <c r="J749" s="55">
        <v>0</v>
      </c>
      <c r="K749" s="55">
        <v>0</v>
      </c>
      <c r="L749" s="55">
        <v>0</v>
      </c>
      <c r="M749" s="54" t="s">
        <v>30</v>
      </c>
      <c r="N749" s="54" t="s">
        <v>1401</v>
      </c>
      <c r="O749" s="54" t="s">
        <v>7</v>
      </c>
      <c r="P749" s="54">
        <f t="shared" si="44"/>
        <v>0</v>
      </c>
      <c r="Q749">
        <f t="shared" si="45"/>
        <v>0</v>
      </c>
      <c r="R749">
        <f t="shared" si="46"/>
        <v>0</v>
      </c>
      <c r="S749" t="b">
        <f t="shared" si="47"/>
        <v>0</v>
      </c>
    </row>
    <row r="750" spans="1:19" x14ac:dyDescent="0.2">
      <c r="A750" s="54">
        <v>191881</v>
      </c>
      <c r="B750" s="54" t="s">
        <v>892</v>
      </c>
      <c r="C750" s="55">
        <v>10</v>
      </c>
      <c r="D750" s="55">
        <v>9</v>
      </c>
      <c r="E750" s="55">
        <v>5</v>
      </c>
      <c r="F750" s="55">
        <v>0</v>
      </c>
      <c r="G750" s="55">
        <v>0</v>
      </c>
      <c r="H750" s="55">
        <v>0</v>
      </c>
      <c r="I750" s="55">
        <v>0</v>
      </c>
      <c r="J750" s="55">
        <v>0</v>
      </c>
      <c r="K750" s="55">
        <v>0</v>
      </c>
      <c r="L750" s="55">
        <v>0</v>
      </c>
      <c r="M750" s="54" t="s">
        <v>30</v>
      </c>
      <c r="N750" s="54" t="s">
        <v>1401</v>
      </c>
      <c r="O750" s="54" t="s">
        <v>7</v>
      </c>
      <c r="P750" s="54">
        <f t="shared" si="44"/>
        <v>0</v>
      </c>
      <c r="Q750">
        <f t="shared" si="45"/>
        <v>0</v>
      </c>
      <c r="R750">
        <f t="shared" si="46"/>
        <v>0</v>
      </c>
      <c r="S750" t="b">
        <f t="shared" si="47"/>
        <v>0</v>
      </c>
    </row>
    <row r="751" spans="1:19" x14ac:dyDescent="0.2">
      <c r="A751" s="54">
        <v>193092</v>
      </c>
      <c r="B751" s="54" t="s">
        <v>1351</v>
      </c>
      <c r="C751" s="55">
        <v>0</v>
      </c>
      <c r="D751" s="55">
        <v>8</v>
      </c>
      <c r="E751" s="55">
        <v>0</v>
      </c>
      <c r="F751" s="55">
        <v>13</v>
      </c>
      <c r="G751" s="55">
        <v>13</v>
      </c>
      <c r="H751" s="55">
        <v>13</v>
      </c>
      <c r="I751" s="55">
        <v>1.63</v>
      </c>
      <c r="J751" s="55">
        <v>1.63</v>
      </c>
      <c r="K751" s="55">
        <v>1.63</v>
      </c>
      <c r="L751" s="55">
        <v>0</v>
      </c>
      <c r="M751" s="54" t="s">
        <v>30</v>
      </c>
      <c r="N751" s="54" t="s">
        <v>1401</v>
      </c>
      <c r="O751" s="54" t="s">
        <v>7</v>
      </c>
      <c r="P751" s="54">
        <f t="shared" si="44"/>
        <v>0</v>
      </c>
      <c r="Q751">
        <f t="shared" si="45"/>
        <v>0</v>
      </c>
      <c r="R751">
        <f t="shared" si="46"/>
        <v>0</v>
      </c>
      <c r="S751" t="b">
        <f t="shared" si="47"/>
        <v>0</v>
      </c>
    </row>
    <row r="752" spans="1:19" x14ac:dyDescent="0.2">
      <c r="A752" s="54">
        <v>193151</v>
      </c>
      <c r="B752" s="54" t="s">
        <v>1064</v>
      </c>
      <c r="C752" s="55">
        <v>27</v>
      </c>
      <c r="D752" s="55">
        <v>41</v>
      </c>
      <c r="E752" s="55">
        <v>0</v>
      </c>
      <c r="F752" s="55">
        <v>0</v>
      </c>
      <c r="G752" s="55">
        <v>0</v>
      </c>
      <c r="H752" s="55">
        <v>0</v>
      </c>
      <c r="I752" s="55">
        <v>0</v>
      </c>
      <c r="J752" s="55">
        <v>0</v>
      </c>
      <c r="K752" s="55">
        <v>0</v>
      </c>
      <c r="L752" s="55">
        <v>0</v>
      </c>
      <c r="M752" s="54" t="s">
        <v>30</v>
      </c>
      <c r="N752" s="54" t="s">
        <v>1401</v>
      </c>
      <c r="O752" s="54" t="s">
        <v>7</v>
      </c>
      <c r="P752" s="54">
        <f t="shared" si="44"/>
        <v>0</v>
      </c>
      <c r="Q752">
        <f t="shared" si="45"/>
        <v>0</v>
      </c>
      <c r="R752">
        <f t="shared" si="46"/>
        <v>0</v>
      </c>
      <c r="S752" t="b">
        <f t="shared" si="47"/>
        <v>0</v>
      </c>
    </row>
    <row r="753" spans="1:19" x14ac:dyDescent="0.2">
      <c r="A753" s="54">
        <v>193186</v>
      </c>
      <c r="B753" s="54" t="s">
        <v>604</v>
      </c>
      <c r="C753" s="55">
        <v>0</v>
      </c>
      <c r="D753" s="55">
        <v>25</v>
      </c>
      <c r="E753" s="55">
        <v>12</v>
      </c>
      <c r="F753" s="55">
        <v>2</v>
      </c>
      <c r="G753" s="55">
        <v>0</v>
      </c>
      <c r="H753" s="55">
        <v>0</v>
      </c>
      <c r="I753" s="55">
        <v>0.08</v>
      </c>
      <c r="J753" s="55">
        <v>0</v>
      </c>
      <c r="K753" s="55">
        <v>0</v>
      </c>
      <c r="L753" s="55">
        <v>0</v>
      </c>
      <c r="M753" s="54" t="s">
        <v>43</v>
      </c>
      <c r="N753" s="54" t="s">
        <v>1400</v>
      </c>
      <c r="O753" s="54" t="s">
        <v>7</v>
      </c>
      <c r="P753" s="54">
        <f t="shared" si="44"/>
        <v>0</v>
      </c>
      <c r="Q753">
        <f t="shared" si="45"/>
        <v>0</v>
      </c>
      <c r="R753">
        <f t="shared" si="46"/>
        <v>0</v>
      </c>
      <c r="S753" t="b">
        <f t="shared" si="47"/>
        <v>0</v>
      </c>
    </row>
    <row r="754" spans="1:19" x14ac:dyDescent="0.2">
      <c r="A754" s="54">
        <v>193540</v>
      </c>
      <c r="B754" s="54" t="s">
        <v>349</v>
      </c>
      <c r="C754" s="55">
        <v>80</v>
      </c>
      <c r="D754" s="55">
        <v>70</v>
      </c>
      <c r="E754" s="55">
        <v>16</v>
      </c>
      <c r="F754" s="55">
        <v>82</v>
      </c>
      <c r="G754" s="55">
        <v>0</v>
      </c>
      <c r="H754" s="55">
        <v>0</v>
      </c>
      <c r="I754" s="55">
        <v>1.17</v>
      </c>
      <c r="J754" s="55">
        <v>0</v>
      </c>
      <c r="K754" s="55">
        <v>0</v>
      </c>
      <c r="L754" s="55">
        <v>0</v>
      </c>
      <c r="M754" s="54" t="s">
        <v>45</v>
      </c>
      <c r="N754" s="54" t="s">
        <v>47</v>
      </c>
      <c r="O754" s="54" t="s">
        <v>7</v>
      </c>
      <c r="P754" s="54">
        <f t="shared" si="44"/>
        <v>0</v>
      </c>
      <c r="Q754">
        <f t="shared" si="45"/>
        <v>0</v>
      </c>
      <c r="R754">
        <f t="shared" si="46"/>
        <v>0</v>
      </c>
      <c r="S754" t="b">
        <f t="shared" si="47"/>
        <v>0</v>
      </c>
    </row>
    <row r="755" spans="1:19" x14ac:dyDescent="0.2">
      <c r="A755" s="54">
        <v>193670</v>
      </c>
      <c r="B755" s="54" t="s">
        <v>1123</v>
      </c>
      <c r="C755" s="55">
        <v>39</v>
      </c>
      <c r="D755" s="55">
        <v>40</v>
      </c>
      <c r="E755" s="55">
        <v>2</v>
      </c>
      <c r="F755" s="55">
        <v>15</v>
      </c>
      <c r="G755" s="55">
        <v>15</v>
      </c>
      <c r="H755" s="55">
        <v>15</v>
      </c>
      <c r="I755" s="55">
        <v>0.38</v>
      </c>
      <c r="J755" s="55">
        <v>0.38</v>
      </c>
      <c r="K755" s="55">
        <v>0.38</v>
      </c>
      <c r="L755" s="55">
        <v>0</v>
      </c>
      <c r="M755" s="54" t="s">
        <v>30</v>
      </c>
      <c r="N755" s="54" t="s">
        <v>1401</v>
      </c>
      <c r="O755" s="54" t="s">
        <v>7</v>
      </c>
      <c r="P755" s="54">
        <f t="shared" si="44"/>
        <v>0</v>
      </c>
      <c r="Q755">
        <f t="shared" si="45"/>
        <v>0</v>
      </c>
      <c r="R755">
        <f t="shared" si="46"/>
        <v>0</v>
      </c>
      <c r="S755" t="b">
        <f t="shared" si="47"/>
        <v>0</v>
      </c>
    </row>
    <row r="756" spans="1:19" x14ac:dyDescent="0.2">
      <c r="A756" s="54">
        <v>193887</v>
      </c>
      <c r="B756" s="54" t="s">
        <v>576</v>
      </c>
      <c r="C756" s="55">
        <v>0</v>
      </c>
      <c r="D756" s="55">
        <v>8</v>
      </c>
      <c r="E756" s="55">
        <v>12</v>
      </c>
      <c r="F756" s="55">
        <v>6</v>
      </c>
      <c r="G756" s="55">
        <v>0</v>
      </c>
      <c r="H756" s="55">
        <v>0</v>
      </c>
      <c r="I756" s="55">
        <v>0.75</v>
      </c>
      <c r="J756" s="55">
        <v>0</v>
      </c>
      <c r="K756" s="55">
        <v>0</v>
      </c>
      <c r="L756" s="55">
        <v>0</v>
      </c>
      <c r="M756" s="54" t="s">
        <v>43</v>
      </c>
      <c r="N756" s="54" t="s">
        <v>1400</v>
      </c>
      <c r="O756" s="54" t="s">
        <v>7</v>
      </c>
      <c r="P756" s="54">
        <f t="shared" si="44"/>
        <v>0</v>
      </c>
      <c r="Q756">
        <f t="shared" si="45"/>
        <v>0</v>
      </c>
      <c r="R756">
        <f t="shared" si="46"/>
        <v>0</v>
      </c>
      <c r="S756" t="b">
        <f t="shared" si="47"/>
        <v>0</v>
      </c>
    </row>
    <row r="757" spans="1:19" x14ac:dyDescent="0.2">
      <c r="A757" s="54">
        <v>194258</v>
      </c>
      <c r="B757" s="54" t="s">
        <v>1332</v>
      </c>
      <c r="C757" s="55">
        <v>0</v>
      </c>
      <c r="D757" s="55">
        <v>20</v>
      </c>
      <c r="E757" s="55">
        <v>0</v>
      </c>
      <c r="F757" s="55">
        <v>5</v>
      </c>
      <c r="G757" s="55">
        <v>5</v>
      </c>
      <c r="H757" s="55">
        <v>5</v>
      </c>
      <c r="I757" s="55">
        <v>0.25</v>
      </c>
      <c r="J757" s="55">
        <v>0.25</v>
      </c>
      <c r="K757" s="55">
        <v>0.25</v>
      </c>
      <c r="L757" s="55">
        <v>0</v>
      </c>
      <c r="M757" s="54" t="s">
        <v>30</v>
      </c>
      <c r="N757" s="54" t="s">
        <v>1401</v>
      </c>
      <c r="O757" s="54" t="s">
        <v>7</v>
      </c>
      <c r="P757" s="54">
        <f t="shared" si="44"/>
        <v>0</v>
      </c>
      <c r="Q757">
        <f t="shared" si="45"/>
        <v>0</v>
      </c>
      <c r="R757">
        <f t="shared" si="46"/>
        <v>0</v>
      </c>
      <c r="S757" t="b">
        <f t="shared" si="47"/>
        <v>0</v>
      </c>
    </row>
    <row r="758" spans="1:19" x14ac:dyDescent="0.2">
      <c r="A758" s="54">
        <v>194782</v>
      </c>
      <c r="B758" s="54" t="s">
        <v>1119</v>
      </c>
      <c r="C758" s="55">
        <v>38</v>
      </c>
      <c r="D758" s="55">
        <v>38</v>
      </c>
      <c r="E758" s="55">
        <v>1</v>
      </c>
      <c r="F758" s="55">
        <v>0</v>
      </c>
      <c r="G758" s="55">
        <v>0</v>
      </c>
      <c r="H758" s="55">
        <v>0</v>
      </c>
      <c r="I758" s="55">
        <v>0</v>
      </c>
      <c r="J758" s="55">
        <v>0</v>
      </c>
      <c r="K758" s="55">
        <v>0</v>
      </c>
      <c r="L758" s="55">
        <v>0</v>
      </c>
      <c r="M758" s="54" t="s">
        <v>30</v>
      </c>
      <c r="N758" s="54" t="s">
        <v>1401</v>
      </c>
      <c r="O758" s="54" t="s">
        <v>7</v>
      </c>
      <c r="P758" s="54">
        <f t="shared" si="44"/>
        <v>0</v>
      </c>
      <c r="Q758">
        <f t="shared" si="45"/>
        <v>0</v>
      </c>
      <c r="R758">
        <f t="shared" si="46"/>
        <v>0</v>
      </c>
      <c r="S758" t="b">
        <f t="shared" si="47"/>
        <v>0</v>
      </c>
    </row>
    <row r="759" spans="1:19" x14ac:dyDescent="0.2">
      <c r="A759" s="54">
        <v>195409</v>
      </c>
      <c r="B759" s="54" t="s">
        <v>202</v>
      </c>
      <c r="C759" s="55">
        <v>39</v>
      </c>
      <c r="D759" s="55">
        <v>41</v>
      </c>
      <c r="E759" s="55">
        <v>8</v>
      </c>
      <c r="F759" s="55">
        <v>346</v>
      </c>
      <c r="G759" s="55">
        <v>346</v>
      </c>
      <c r="H759" s="55">
        <v>346</v>
      </c>
      <c r="I759" s="55">
        <v>8.44</v>
      </c>
      <c r="J759" s="55">
        <v>8.44</v>
      </c>
      <c r="K759" s="55">
        <v>8.44</v>
      </c>
      <c r="L759" s="55">
        <v>34</v>
      </c>
      <c r="M759" s="54" t="s">
        <v>43</v>
      </c>
      <c r="N759" s="54" t="s">
        <v>1400</v>
      </c>
      <c r="O759" s="54" t="s">
        <v>7</v>
      </c>
      <c r="P759" s="54">
        <f t="shared" si="44"/>
        <v>39</v>
      </c>
      <c r="Q759">
        <f t="shared" si="45"/>
        <v>39</v>
      </c>
      <c r="R759">
        <f t="shared" si="46"/>
        <v>39</v>
      </c>
      <c r="S759" t="b">
        <f t="shared" si="47"/>
        <v>0</v>
      </c>
    </row>
    <row r="760" spans="1:19" x14ac:dyDescent="0.2">
      <c r="A760" s="54">
        <v>197632</v>
      </c>
      <c r="B760" s="54" t="s">
        <v>1352</v>
      </c>
      <c r="C760" s="55">
        <v>0</v>
      </c>
      <c r="D760" s="55">
        <v>15</v>
      </c>
      <c r="E760" s="55">
        <v>0</v>
      </c>
      <c r="F760" s="55">
        <v>0</v>
      </c>
      <c r="G760" s="55">
        <v>0</v>
      </c>
      <c r="H760" s="55">
        <v>0</v>
      </c>
      <c r="I760" s="55">
        <v>0</v>
      </c>
      <c r="J760" s="55">
        <v>0</v>
      </c>
      <c r="K760" s="55">
        <v>0</v>
      </c>
      <c r="L760" s="55">
        <v>0</v>
      </c>
      <c r="M760" s="54" t="s">
        <v>30</v>
      </c>
      <c r="N760" s="54" t="s">
        <v>1401</v>
      </c>
      <c r="O760" s="54" t="s">
        <v>7</v>
      </c>
      <c r="P760" s="54">
        <f t="shared" si="44"/>
        <v>0</v>
      </c>
      <c r="Q760">
        <f t="shared" si="45"/>
        <v>0</v>
      </c>
      <c r="R760">
        <f t="shared" si="46"/>
        <v>0</v>
      </c>
      <c r="S760" t="b">
        <f t="shared" si="47"/>
        <v>0</v>
      </c>
    </row>
    <row r="761" spans="1:19" x14ac:dyDescent="0.2">
      <c r="A761" s="54">
        <v>197700</v>
      </c>
      <c r="B761" s="54" t="s">
        <v>87</v>
      </c>
      <c r="C761" s="55">
        <v>170</v>
      </c>
      <c r="D761" s="55">
        <v>168</v>
      </c>
      <c r="E761" s="55">
        <v>9</v>
      </c>
      <c r="F761" s="55">
        <v>955</v>
      </c>
      <c r="G761" s="55">
        <v>808</v>
      </c>
      <c r="H761" s="55">
        <v>37</v>
      </c>
      <c r="I761" s="55">
        <v>5.68</v>
      </c>
      <c r="J761" s="55">
        <v>4.8099999999999996</v>
      </c>
      <c r="K761" s="55">
        <v>0.22</v>
      </c>
      <c r="L761" s="55">
        <v>38</v>
      </c>
      <c r="M761" s="54" t="s">
        <v>43</v>
      </c>
      <c r="N761" s="54" t="s">
        <v>1400</v>
      </c>
      <c r="O761" s="54" t="s">
        <v>6</v>
      </c>
      <c r="P761" s="54">
        <f t="shared" si="44"/>
        <v>170</v>
      </c>
      <c r="Q761">
        <f t="shared" si="45"/>
        <v>170</v>
      </c>
      <c r="R761">
        <f t="shared" si="46"/>
        <v>170</v>
      </c>
      <c r="S761" t="b">
        <f t="shared" si="47"/>
        <v>0</v>
      </c>
    </row>
    <row r="762" spans="1:19" x14ac:dyDescent="0.2">
      <c r="A762" s="54">
        <v>198111</v>
      </c>
      <c r="B762" s="54" t="s">
        <v>1011</v>
      </c>
      <c r="C762" s="55">
        <v>20</v>
      </c>
      <c r="D762" s="55">
        <v>20</v>
      </c>
      <c r="E762" s="55">
        <v>3</v>
      </c>
      <c r="F762" s="55">
        <v>5</v>
      </c>
      <c r="G762" s="55">
        <v>5</v>
      </c>
      <c r="H762" s="55">
        <v>5</v>
      </c>
      <c r="I762" s="55">
        <v>0.25</v>
      </c>
      <c r="J762" s="55">
        <v>0.25</v>
      </c>
      <c r="K762" s="55">
        <v>0.25</v>
      </c>
      <c r="L762" s="55">
        <v>0</v>
      </c>
      <c r="M762" s="54" t="s">
        <v>30</v>
      </c>
      <c r="N762" s="54" t="s">
        <v>1401</v>
      </c>
      <c r="O762" s="54" t="s">
        <v>7</v>
      </c>
      <c r="P762" s="54">
        <f t="shared" si="44"/>
        <v>0</v>
      </c>
      <c r="Q762">
        <f t="shared" si="45"/>
        <v>0</v>
      </c>
      <c r="R762">
        <f t="shared" si="46"/>
        <v>0</v>
      </c>
      <c r="S762" t="b">
        <f t="shared" si="47"/>
        <v>0</v>
      </c>
    </row>
    <row r="763" spans="1:19" x14ac:dyDescent="0.2">
      <c r="A763" s="54">
        <v>198139</v>
      </c>
      <c r="B763" s="54" t="s">
        <v>523</v>
      </c>
      <c r="C763" s="55">
        <v>25</v>
      </c>
      <c r="D763" s="55">
        <v>16</v>
      </c>
      <c r="E763" s="55">
        <v>29</v>
      </c>
      <c r="F763" s="55">
        <v>12</v>
      </c>
      <c r="G763" s="55">
        <v>12</v>
      </c>
      <c r="H763" s="55">
        <v>12</v>
      </c>
      <c r="I763" s="55">
        <v>0.75</v>
      </c>
      <c r="J763" s="55">
        <v>0.75</v>
      </c>
      <c r="K763" s="55">
        <v>0.75</v>
      </c>
      <c r="L763" s="55">
        <v>4</v>
      </c>
      <c r="M763" s="54" t="s">
        <v>47</v>
      </c>
      <c r="N763" s="54" t="s">
        <v>47</v>
      </c>
      <c r="O763" s="54" t="s">
        <v>7</v>
      </c>
      <c r="P763" s="54">
        <f t="shared" si="44"/>
        <v>25</v>
      </c>
      <c r="Q763">
        <f t="shared" si="45"/>
        <v>0</v>
      </c>
      <c r="R763">
        <f t="shared" si="46"/>
        <v>25</v>
      </c>
      <c r="S763" t="b">
        <f t="shared" si="47"/>
        <v>0</v>
      </c>
    </row>
    <row r="764" spans="1:19" x14ac:dyDescent="0.2">
      <c r="A764" s="54">
        <v>198166</v>
      </c>
      <c r="B764" s="54" t="s">
        <v>854</v>
      </c>
      <c r="C764" s="55">
        <v>8</v>
      </c>
      <c r="D764" s="55">
        <v>8</v>
      </c>
      <c r="E764" s="55">
        <v>5</v>
      </c>
      <c r="F764" s="55">
        <v>0</v>
      </c>
      <c r="G764" s="55">
        <v>0</v>
      </c>
      <c r="H764" s="55">
        <v>0</v>
      </c>
      <c r="I764" s="55">
        <v>0</v>
      </c>
      <c r="J764" s="55">
        <v>0</v>
      </c>
      <c r="K764" s="55">
        <v>0</v>
      </c>
      <c r="L764" s="55">
        <v>0</v>
      </c>
      <c r="M764" s="54" t="s">
        <v>30</v>
      </c>
      <c r="N764" s="54" t="s">
        <v>1401</v>
      </c>
      <c r="O764" s="54" t="s">
        <v>7</v>
      </c>
      <c r="P764" s="54">
        <f t="shared" si="44"/>
        <v>0</v>
      </c>
      <c r="Q764">
        <f t="shared" si="45"/>
        <v>0</v>
      </c>
      <c r="R764">
        <f t="shared" si="46"/>
        <v>0</v>
      </c>
      <c r="S764" t="b">
        <f t="shared" si="47"/>
        <v>0</v>
      </c>
    </row>
    <row r="765" spans="1:19" x14ac:dyDescent="0.2">
      <c r="A765" s="54">
        <v>198534</v>
      </c>
      <c r="B765" s="54" t="s">
        <v>1274</v>
      </c>
      <c r="C765" s="55">
        <v>215</v>
      </c>
      <c r="D765" s="55">
        <v>180</v>
      </c>
      <c r="E765" s="55">
        <v>1</v>
      </c>
      <c r="F765" s="55">
        <v>0</v>
      </c>
      <c r="G765" s="55">
        <v>0</v>
      </c>
      <c r="H765" s="55">
        <v>0</v>
      </c>
      <c r="I765" s="55">
        <v>0</v>
      </c>
      <c r="J765" s="55">
        <v>0</v>
      </c>
      <c r="K765" s="55">
        <v>0</v>
      </c>
      <c r="L765" s="55">
        <v>0</v>
      </c>
      <c r="M765" s="54" t="s">
        <v>30</v>
      </c>
      <c r="N765" s="54" t="s">
        <v>1401</v>
      </c>
      <c r="O765" s="54" t="s">
        <v>6</v>
      </c>
      <c r="P765" s="54">
        <f t="shared" si="44"/>
        <v>0</v>
      </c>
      <c r="Q765">
        <f t="shared" si="45"/>
        <v>0</v>
      </c>
      <c r="R765">
        <f t="shared" si="46"/>
        <v>0</v>
      </c>
      <c r="S765" t="b">
        <f t="shared" si="47"/>
        <v>0</v>
      </c>
    </row>
    <row r="766" spans="1:19" x14ac:dyDescent="0.2">
      <c r="A766" s="54">
        <v>198541</v>
      </c>
      <c r="B766" s="54" t="s">
        <v>880</v>
      </c>
      <c r="C766" s="55">
        <v>10</v>
      </c>
      <c r="D766" s="55">
        <v>1</v>
      </c>
      <c r="E766" s="55">
        <v>2</v>
      </c>
      <c r="F766" s="55">
        <v>288</v>
      </c>
      <c r="G766" s="55">
        <v>272</v>
      </c>
      <c r="H766" s="55">
        <v>272</v>
      </c>
      <c r="I766" s="55">
        <v>288</v>
      </c>
      <c r="J766" s="55">
        <v>272</v>
      </c>
      <c r="K766" s="55">
        <v>272</v>
      </c>
      <c r="L766" s="55">
        <v>58</v>
      </c>
      <c r="M766" s="54" t="s">
        <v>30</v>
      </c>
      <c r="N766" s="54" t="s">
        <v>1401</v>
      </c>
      <c r="O766" s="54" t="s">
        <v>7</v>
      </c>
      <c r="P766" s="54">
        <f t="shared" si="44"/>
        <v>10</v>
      </c>
      <c r="Q766">
        <f t="shared" si="45"/>
        <v>10</v>
      </c>
      <c r="R766">
        <f t="shared" si="46"/>
        <v>10</v>
      </c>
      <c r="S766" t="b">
        <f t="shared" si="47"/>
        <v>0</v>
      </c>
    </row>
    <row r="767" spans="1:19" x14ac:dyDescent="0.2">
      <c r="A767" s="54">
        <v>198552</v>
      </c>
      <c r="B767" s="54" t="s">
        <v>1036</v>
      </c>
      <c r="C767" s="55">
        <v>23</v>
      </c>
      <c r="D767" s="55">
        <v>17</v>
      </c>
      <c r="E767" s="55">
        <v>4</v>
      </c>
      <c r="F767" s="55">
        <v>28</v>
      </c>
      <c r="G767" s="55">
        <v>28</v>
      </c>
      <c r="H767" s="55">
        <v>28</v>
      </c>
      <c r="I767" s="55">
        <v>1.65</v>
      </c>
      <c r="J767" s="55">
        <v>1.65</v>
      </c>
      <c r="K767" s="55">
        <v>1.65</v>
      </c>
      <c r="L767" s="55">
        <v>0</v>
      </c>
      <c r="M767" s="54" t="s">
        <v>30</v>
      </c>
      <c r="N767" s="54" t="s">
        <v>1401</v>
      </c>
      <c r="O767" s="54" t="s">
        <v>7</v>
      </c>
      <c r="P767" s="54">
        <f t="shared" si="44"/>
        <v>23</v>
      </c>
      <c r="Q767">
        <f t="shared" si="45"/>
        <v>0</v>
      </c>
      <c r="R767">
        <f t="shared" si="46"/>
        <v>23</v>
      </c>
      <c r="S767" t="b">
        <f t="shared" si="47"/>
        <v>0</v>
      </c>
    </row>
    <row r="768" spans="1:19" x14ac:dyDescent="0.2">
      <c r="A768" s="54">
        <v>198611</v>
      </c>
      <c r="B768" s="54" t="s">
        <v>183</v>
      </c>
      <c r="C768" s="55">
        <v>105</v>
      </c>
      <c r="D768" s="55">
        <v>105</v>
      </c>
      <c r="E768" s="55">
        <v>11</v>
      </c>
      <c r="F768" s="55">
        <v>345</v>
      </c>
      <c r="G768" s="55">
        <v>34</v>
      </c>
      <c r="H768" s="55">
        <v>10</v>
      </c>
      <c r="I768" s="55">
        <v>3.29</v>
      </c>
      <c r="J768" s="55">
        <v>0.32</v>
      </c>
      <c r="K768" s="55">
        <v>0.1</v>
      </c>
      <c r="L768" s="55">
        <v>0</v>
      </c>
      <c r="M768" s="54" t="s">
        <v>43</v>
      </c>
      <c r="N768" s="54" t="s">
        <v>1400</v>
      </c>
      <c r="O768" s="54" t="s">
        <v>6</v>
      </c>
      <c r="P768" s="54">
        <f t="shared" si="44"/>
        <v>105</v>
      </c>
      <c r="Q768">
        <f t="shared" si="45"/>
        <v>105</v>
      </c>
      <c r="R768">
        <f t="shared" si="46"/>
        <v>0</v>
      </c>
      <c r="S768" t="b">
        <f t="shared" si="47"/>
        <v>0</v>
      </c>
    </row>
    <row r="769" spans="1:19" x14ac:dyDescent="0.2">
      <c r="A769" s="54">
        <v>198651</v>
      </c>
      <c r="B769" s="54" t="s">
        <v>1251</v>
      </c>
      <c r="C769" s="55">
        <v>140</v>
      </c>
      <c r="D769" s="55">
        <v>106</v>
      </c>
      <c r="E769" s="55">
        <v>4</v>
      </c>
      <c r="F769" s="55">
        <v>0</v>
      </c>
      <c r="G769" s="55">
        <v>0</v>
      </c>
      <c r="H769" s="55">
        <v>0</v>
      </c>
      <c r="I769" s="55">
        <v>0</v>
      </c>
      <c r="J769" s="55">
        <v>0</v>
      </c>
      <c r="K769" s="55">
        <v>0</v>
      </c>
      <c r="L769" s="55">
        <v>0</v>
      </c>
      <c r="M769" s="54" t="s">
        <v>30</v>
      </c>
      <c r="N769" s="54" t="s">
        <v>1401</v>
      </c>
      <c r="O769" s="54" t="s">
        <v>6</v>
      </c>
      <c r="P769" s="54">
        <f t="shared" si="44"/>
        <v>0</v>
      </c>
      <c r="Q769">
        <f t="shared" si="45"/>
        <v>0</v>
      </c>
      <c r="R769">
        <f t="shared" si="46"/>
        <v>0</v>
      </c>
      <c r="S769" t="b">
        <f t="shared" si="47"/>
        <v>0</v>
      </c>
    </row>
    <row r="770" spans="1:19" x14ac:dyDescent="0.2">
      <c r="A770" s="54">
        <v>200469</v>
      </c>
      <c r="B770" s="54" t="s">
        <v>1003</v>
      </c>
      <c r="C770" s="55">
        <v>19</v>
      </c>
      <c r="D770" s="55">
        <v>10</v>
      </c>
      <c r="E770" s="55">
        <v>0</v>
      </c>
      <c r="F770" s="55">
        <v>8</v>
      </c>
      <c r="G770" s="55">
        <v>8</v>
      </c>
      <c r="H770" s="55">
        <v>8</v>
      </c>
      <c r="I770" s="55">
        <v>0.8</v>
      </c>
      <c r="J770" s="55">
        <v>0.8</v>
      </c>
      <c r="K770" s="55">
        <v>0.8</v>
      </c>
      <c r="L770" s="55">
        <v>0</v>
      </c>
      <c r="M770" s="54" t="s">
        <v>30</v>
      </c>
      <c r="N770" s="54" t="s">
        <v>1401</v>
      </c>
      <c r="O770" s="54" t="s">
        <v>7</v>
      </c>
      <c r="P770" s="54">
        <f t="shared" ref="P770:P833" si="48">IF(I770&gt;=2, C770, IF(J770&gt;=0.75, C770, 0))</f>
        <v>19</v>
      </c>
      <c r="Q770">
        <f t="shared" ref="Q770:Q833" si="49">IF(I770&gt;=2, C770, IF(AND(J770&gt;=0.75, D770&gt;=550), C770, 0))</f>
        <v>0</v>
      </c>
      <c r="R770">
        <f t="shared" ref="R770:R833" si="50">IF(J770&gt;=0.75, C770, 0)</f>
        <v>19</v>
      </c>
      <c r="S770" t="b">
        <f t="shared" si="47"/>
        <v>0</v>
      </c>
    </row>
    <row r="771" spans="1:19" x14ac:dyDescent="0.2">
      <c r="A771" s="54">
        <v>201477</v>
      </c>
      <c r="B771" s="54" t="s">
        <v>392</v>
      </c>
      <c r="C771" s="55">
        <v>52</v>
      </c>
      <c r="D771" s="55">
        <v>55</v>
      </c>
      <c r="E771" s="55">
        <v>38</v>
      </c>
      <c r="F771" s="55">
        <v>101</v>
      </c>
      <c r="G771" s="55">
        <v>101</v>
      </c>
      <c r="H771" s="55">
        <v>100</v>
      </c>
      <c r="I771" s="55">
        <v>1.84</v>
      </c>
      <c r="J771" s="55">
        <v>1.84</v>
      </c>
      <c r="K771" s="55">
        <v>1.82</v>
      </c>
      <c r="L771" s="55">
        <v>36</v>
      </c>
      <c r="M771" s="54" t="s">
        <v>47</v>
      </c>
      <c r="N771" s="54" t="s">
        <v>47</v>
      </c>
      <c r="O771" s="54" t="s">
        <v>7</v>
      </c>
      <c r="P771" s="54">
        <f t="shared" si="48"/>
        <v>52</v>
      </c>
      <c r="Q771">
        <f t="shared" si="49"/>
        <v>0</v>
      </c>
      <c r="R771">
        <f t="shared" si="50"/>
        <v>52</v>
      </c>
      <c r="S771" t="b">
        <f t="shared" ref="S771:S834" si="51">IF(A771=A772,TRUE,FALSE)</f>
        <v>0</v>
      </c>
    </row>
    <row r="772" spans="1:19" x14ac:dyDescent="0.2">
      <c r="A772" s="54">
        <v>202077</v>
      </c>
      <c r="B772" s="54" t="s">
        <v>752</v>
      </c>
      <c r="C772" s="55">
        <v>3</v>
      </c>
      <c r="D772" s="55">
        <v>6</v>
      </c>
      <c r="E772" s="55">
        <v>4</v>
      </c>
      <c r="F772" s="55">
        <v>12</v>
      </c>
      <c r="G772" s="55">
        <v>12</v>
      </c>
      <c r="H772" s="55">
        <v>0</v>
      </c>
      <c r="I772" s="55">
        <v>2</v>
      </c>
      <c r="J772" s="55">
        <v>2</v>
      </c>
      <c r="K772" s="55">
        <v>0</v>
      </c>
      <c r="L772" s="55">
        <v>5</v>
      </c>
      <c r="M772" s="54" t="s">
        <v>30</v>
      </c>
      <c r="N772" s="54" t="s">
        <v>1401</v>
      </c>
      <c r="O772" s="54" t="s">
        <v>7</v>
      </c>
      <c r="P772" s="54">
        <f t="shared" si="48"/>
        <v>3</v>
      </c>
      <c r="Q772">
        <f t="shared" si="49"/>
        <v>3</v>
      </c>
      <c r="R772">
        <f t="shared" si="50"/>
        <v>3</v>
      </c>
      <c r="S772" t="b">
        <f t="shared" si="51"/>
        <v>0</v>
      </c>
    </row>
    <row r="773" spans="1:19" x14ac:dyDescent="0.2">
      <c r="A773" s="54">
        <v>202744</v>
      </c>
      <c r="B773" s="54" t="s">
        <v>976</v>
      </c>
      <c r="C773" s="55">
        <v>16</v>
      </c>
      <c r="D773" s="55">
        <v>16</v>
      </c>
      <c r="E773" s="55">
        <v>3</v>
      </c>
      <c r="F773" s="55">
        <v>45</v>
      </c>
      <c r="G773" s="55">
        <v>38</v>
      </c>
      <c r="H773" s="55">
        <v>38</v>
      </c>
      <c r="I773" s="55">
        <v>2.81</v>
      </c>
      <c r="J773" s="55">
        <v>2.38</v>
      </c>
      <c r="K773" s="55">
        <v>2.38</v>
      </c>
      <c r="L773" s="55">
        <v>0</v>
      </c>
      <c r="M773" s="54" t="s">
        <v>30</v>
      </c>
      <c r="N773" s="54" t="s">
        <v>1401</v>
      </c>
      <c r="O773" s="54" t="s">
        <v>7</v>
      </c>
      <c r="P773" s="54">
        <f t="shared" si="48"/>
        <v>16</v>
      </c>
      <c r="Q773">
        <f t="shared" si="49"/>
        <v>16</v>
      </c>
      <c r="R773">
        <f t="shared" si="50"/>
        <v>16</v>
      </c>
      <c r="S773" t="b">
        <f t="shared" si="51"/>
        <v>0</v>
      </c>
    </row>
    <row r="774" spans="1:19" x14ac:dyDescent="0.2">
      <c r="A774" s="54">
        <v>203187</v>
      </c>
      <c r="B774" s="54" t="s">
        <v>834</v>
      </c>
      <c r="C774" s="55">
        <v>8</v>
      </c>
      <c r="D774" s="55">
        <v>4</v>
      </c>
      <c r="E774" s="55">
        <v>1</v>
      </c>
      <c r="F774" s="55">
        <v>0</v>
      </c>
      <c r="G774" s="55">
        <v>0</v>
      </c>
      <c r="H774" s="55">
        <v>0</v>
      </c>
      <c r="I774" s="55">
        <v>0</v>
      </c>
      <c r="J774" s="55">
        <v>0</v>
      </c>
      <c r="K774" s="55">
        <v>0</v>
      </c>
      <c r="L774" s="55">
        <v>0</v>
      </c>
      <c r="M774" s="54" t="s">
        <v>30</v>
      </c>
      <c r="N774" s="54" t="s">
        <v>1401</v>
      </c>
      <c r="O774" s="54" t="s">
        <v>7</v>
      </c>
      <c r="P774" s="54">
        <f t="shared" si="48"/>
        <v>0</v>
      </c>
      <c r="Q774">
        <f t="shared" si="49"/>
        <v>0</v>
      </c>
      <c r="R774">
        <f t="shared" si="50"/>
        <v>0</v>
      </c>
      <c r="S774" t="b">
        <f t="shared" si="51"/>
        <v>0</v>
      </c>
    </row>
    <row r="775" spans="1:19" x14ac:dyDescent="0.2">
      <c r="A775" s="54">
        <v>204092</v>
      </c>
      <c r="B775" s="54" t="s">
        <v>1177</v>
      </c>
      <c r="C775" s="55">
        <v>70</v>
      </c>
      <c r="D775" s="55">
        <v>70</v>
      </c>
      <c r="E775" s="55">
        <v>4</v>
      </c>
      <c r="F775" s="55">
        <v>257</v>
      </c>
      <c r="G775" s="55">
        <v>257</v>
      </c>
      <c r="H775" s="55">
        <v>255</v>
      </c>
      <c r="I775" s="55">
        <v>3.67</v>
      </c>
      <c r="J775" s="55">
        <v>3.67</v>
      </c>
      <c r="K775" s="55">
        <v>3.64</v>
      </c>
      <c r="L775" s="55">
        <v>168</v>
      </c>
      <c r="M775" s="54" t="s">
        <v>30</v>
      </c>
      <c r="N775" s="54" t="s">
        <v>1401</v>
      </c>
      <c r="O775" s="54" t="s">
        <v>7</v>
      </c>
      <c r="P775" s="54">
        <f t="shared" si="48"/>
        <v>70</v>
      </c>
      <c r="Q775">
        <f t="shared" si="49"/>
        <v>70</v>
      </c>
      <c r="R775">
        <f t="shared" si="50"/>
        <v>70</v>
      </c>
      <c r="S775" t="b">
        <f t="shared" si="51"/>
        <v>0</v>
      </c>
    </row>
    <row r="776" spans="1:19" x14ac:dyDescent="0.2">
      <c r="A776" s="54">
        <v>204302</v>
      </c>
      <c r="B776" s="54" t="s">
        <v>531</v>
      </c>
      <c r="C776" s="55">
        <v>55</v>
      </c>
      <c r="D776" s="55">
        <v>50</v>
      </c>
      <c r="E776" s="55">
        <v>10</v>
      </c>
      <c r="F776" s="55">
        <v>59</v>
      </c>
      <c r="G776" s="55">
        <v>45</v>
      </c>
      <c r="H776" s="55">
        <v>2</v>
      </c>
      <c r="I776" s="55">
        <v>1.18</v>
      </c>
      <c r="J776" s="55">
        <v>0.9</v>
      </c>
      <c r="K776" s="55">
        <v>0.04</v>
      </c>
      <c r="L776" s="55">
        <v>0</v>
      </c>
      <c r="M776" s="54" t="s">
        <v>43</v>
      </c>
      <c r="N776" s="54" t="s">
        <v>1400</v>
      </c>
      <c r="O776" s="54" t="s">
        <v>7</v>
      </c>
      <c r="P776" s="54">
        <f t="shared" si="48"/>
        <v>55</v>
      </c>
      <c r="Q776">
        <f t="shared" si="49"/>
        <v>0</v>
      </c>
      <c r="R776">
        <f t="shared" si="50"/>
        <v>55</v>
      </c>
      <c r="S776" t="b">
        <f t="shared" si="51"/>
        <v>0</v>
      </c>
    </row>
    <row r="777" spans="1:19" x14ac:dyDescent="0.2">
      <c r="A777" s="54">
        <v>204311</v>
      </c>
      <c r="B777" s="54" t="s">
        <v>339</v>
      </c>
      <c r="C777" s="55">
        <v>26</v>
      </c>
      <c r="D777" s="55">
        <v>20</v>
      </c>
      <c r="E777" s="55">
        <v>27</v>
      </c>
      <c r="F777" s="55">
        <v>43</v>
      </c>
      <c r="G777" s="55">
        <v>30</v>
      </c>
      <c r="H777" s="55">
        <v>2</v>
      </c>
      <c r="I777" s="55">
        <v>2.15</v>
      </c>
      <c r="J777" s="55">
        <v>1.5</v>
      </c>
      <c r="K777" s="55">
        <v>0.1</v>
      </c>
      <c r="L777" s="55">
        <v>13</v>
      </c>
      <c r="M777" s="54" t="s">
        <v>47</v>
      </c>
      <c r="N777" s="54" t="s">
        <v>47</v>
      </c>
      <c r="O777" s="54" t="s">
        <v>7</v>
      </c>
      <c r="P777" s="54">
        <f t="shared" si="48"/>
        <v>26</v>
      </c>
      <c r="Q777">
        <f t="shared" si="49"/>
        <v>26</v>
      </c>
      <c r="R777">
        <f t="shared" si="50"/>
        <v>26</v>
      </c>
      <c r="S777" t="b">
        <f t="shared" si="51"/>
        <v>0</v>
      </c>
    </row>
    <row r="778" spans="1:19" x14ac:dyDescent="0.2">
      <c r="A778" s="54">
        <v>205040</v>
      </c>
      <c r="B778" s="54" t="s">
        <v>1359</v>
      </c>
      <c r="C778" s="55">
        <v>0</v>
      </c>
      <c r="D778" s="55">
        <v>4</v>
      </c>
      <c r="E778" s="55">
        <v>0</v>
      </c>
      <c r="F778" s="55">
        <v>0</v>
      </c>
      <c r="G778" s="55">
        <v>0</v>
      </c>
      <c r="H778" s="55">
        <v>0</v>
      </c>
      <c r="I778" s="55">
        <v>0</v>
      </c>
      <c r="J778" s="55">
        <v>0</v>
      </c>
      <c r="K778" s="55">
        <v>0</v>
      </c>
      <c r="L778" s="55">
        <v>0</v>
      </c>
      <c r="M778" s="54" t="s">
        <v>30</v>
      </c>
      <c r="N778" s="54" t="s">
        <v>1401</v>
      </c>
      <c r="O778" s="54" t="s">
        <v>7</v>
      </c>
      <c r="P778" s="54">
        <f t="shared" si="48"/>
        <v>0</v>
      </c>
      <c r="Q778">
        <f t="shared" si="49"/>
        <v>0</v>
      </c>
      <c r="R778">
        <f t="shared" si="50"/>
        <v>0</v>
      </c>
      <c r="S778" t="b">
        <f t="shared" si="51"/>
        <v>0</v>
      </c>
    </row>
    <row r="779" spans="1:19" x14ac:dyDescent="0.2">
      <c r="A779" s="54">
        <v>205183</v>
      </c>
      <c r="B779" s="54" t="s">
        <v>387</v>
      </c>
      <c r="C779" s="55">
        <v>5</v>
      </c>
      <c r="D779" s="55">
        <v>10</v>
      </c>
      <c r="E779" s="55">
        <v>6</v>
      </c>
      <c r="F779" s="55">
        <v>38</v>
      </c>
      <c r="G779" s="55">
        <v>38</v>
      </c>
      <c r="H779" s="55">
        <v>0</v>
      </c>
      <c r="I779" s="55">
        <v>3.8</v>
      </c>
      <c r="J779" s="55">
        <v>3.8</v>
      </c>
      <c r="K779" s="55">
        <v>0</v>
      </c>
      <c r="L779" s="55">
        <v>0</v>
      </c>
      <c r="M779" s="54" t="s">
        <v>43</v>
      </c>
      <c r="N779" s="54" t="s">
        <v>1400</v>
      </c>
      <c r="O779" s="54" t="s">
        <v>7</v>
      </c>
      <c r="P779" s="54">
        <f t="shared" si="48"/>
        <v>5</v>
      </c>
      <c r="Q779">
        <f t="shared" si="49"/>
        <v>5</v>
      </c>
      <c r="R779">
        <f t="shared" si="50"/>
        <v>5</v>
      </c>
      <c r="S779" t="b">
        <f t="shared" si="51"/>
        <v>0</v>
      </c>
    </row>
    <row r="780" spans="1:19" x14ac:dyDescent="0.2">
      <c r="A780" s="54">
        <v>205360</v>
      </c>
      <c r="B780" s="54" t="s">
        <v>277</v>
      </c>
      <c r="C780" s="55">
        <v>356</v>
      </c>
      <c r="D780" s="55">
        <v>320</v>
      </c>
      <c r="E780" s="55">
        <v>14</v>
      </c>
      <c r="F780" s="55">
        <v>320</v>
      </c>
      <c r="G780" s="55">
        <v>32</v>
      </c>
      <c r="H780" s="55">
        <v>1</v>
      </c>
      <c r="I780" s="55">
        <v>1</v>
      </c>
      <c r="J780" s="55">
        <v>0.1</v>
      </c>
      <c r="K780" s="55">
        <v>0</v>
      </c>
      <c r="L780" s="55">
        <v>1</v>
      </c>
      <c r="M780" s="54" t="s">
        <v>45</v>
      </c>
      <c r="N780" s="54" t="s">
        <v>47</v>
      </c>
      <c r="O780" s="54" t="s">
        <v>6</v>
      </c>
      <c r="P780" s="54">
        <f t="shared" si="48"/>
        <v>0</v>
      </c>
      <c r="Q780">
        <f t="shared" si="49"/>
        <v>0</v>
      </c>
      <c r="R780">
        <f t="shared" si="50"/>
        <v>0</v>
      </c>
      <c r="S780" t="b">
        <f t="shared" si="51"/>
        <v>0</v>
      </c>
    </row>
    <row r="781" spans="1:19" x14ac:dyDescent="0.2">
      <c r="A781" s="54">
        <v>205859</v>
      </c>
      <c r="B781" s="54" t="s">
        <v>1313</v>
      </c>
      <c r="C781" s="55">
        <v>0</v>
      </c>
      <c r="D781" s="55">
        <v>30</v>
      </c>
      <c r="E781" s="55">
        <v>5</v>
      </c>
      <c r="F781" s="55">
        <v>4</v>
      </c>
      <c r="G781" s="55">
        <v>4</v>
      </c>
      <c r="H781" s="55">
        <v>0</v>
      </c>
      <c r="I781" s="55">
        <v>0.13</v>
      </c>
      <c r="J781" s="55">
        <v>0.13</v>
      </c>
      <c r="K781" s="55">
        <v>0</v>
      </c>
      <c r="L781" s="55">
        <v>0</v>
      </c>
      <c r="M781" s="54" t="s">
        <v>30</v>
      </c>
      <c r="N781" s="54" t="s">
        <v>1401</v>
      </c>
      <c r="O781" s="54" t="s">
        <v>7</v>
      </c>
      <c r="P781" s="54">
        <f t="shared" si="48"/>
        <v>0</v>
      </c>
      <c r="Q781">
        <f t="shared" si="49"/>
        <v>0</v>
      </c>
      <c r="R781">
        <f t="shared" si="50"/>
        <v>0</v>
      </c>
      <c r="S781" t="b">
        <f t="shared" si="51"/>
        <v>0</v>
      </c>
    </row>
    <row r="782" spans="1:19" x14ac:dyDescent="0.2">
      <c r="A782" s="54">
        <v>206457</v>
      </c>
      <c r="B782" s="54" t="s">
        <v>610</v>
      </c>
      <c r="C782" s="55">
        <v>18</v>
      </c>
      <c r="D782" s="55">
        <v>20</v>
      </c>
      <c r="E782" s="55">
        <v>50</v>
      </c>
      <c r="F782" s="55">
        <v>1</v>
      </c>
      <c r="G782" s="55">
        <v>1</v>
      </c>
      <c r="H782" s="55">
        <v>0</v>
      </c>
      <c r="I782" s="55">
        <v>0.05</v>
      </c>
      <c r="J782" s="55">
        <v>0.05</v>
      </c>
      <c r="K782" s="55">
        <v>0</v>
      </c>
      <c r="L782" s="55">
        <v>0</v>
      </c>
      <c r="M782" s="54" t="s">
        <v>47</v>
      </c>
      <c r="N782" s="54" t="s">
        <v>47</v>
      </c>
      <c r="O782" s="54" t="s">
        <v>7</v>
      </c>
      <c r="P782" s="54">
        <f t="shared" si="48"/>
        <v>0</v>
      </c>
      <c r="Q782">
        <f t="shared" si="49"/>
        <v>0</v>
      </c>
      <c r="R782">
        <f t="shared" si="50"/>
        <v>0</v>
      </c>
      <c r="S782" t="b">
        <f t="shared" si="51"/>
        <v>0</v>
      </c>
    </row>
    <row r="783" spans="1:19" x14ac:dyDescent="0.2">
      <c r="A783" s="54">
        <v>206493</v>
      </c>
      <c r="B783" s="54" t="s">
        <v>910</v>
      </c>
      <c r="C783" s="55">
        <v>12</v>
      </c>
      <c r="D783" s="55">
        <v>2</v>
      </c>
      <c r="E783" s="55">
        <v>3</v>
      </c>
      <c r="F783" s="55">
        <v>0</v>
      </c>
      <c r="G783" s="55">
        <v>0</v>
      </c>
      <c r="H783" s="55">
        <v>0</v>
      </c>
      <c r="I783" s="55">
        <v>0</v>
      </c>
      <c r="J783" s="55">
        <v>0</v>
      </c>
      <c r="K783" s="55">
        <v>0</v>
      </c>
      <c r="L783" s="55">
        <v>0</v>
      </c>
      <c r="M783" s="54" t="s">
        <v>30</v>
      </c>
      <c r="N783" s="54" t="s">
        <v>1401</v>
      </c>
      <c r="O783" s="54" t="s">
        <v>7</v>
      </c>
      <c r="P783" s="54">
        <f t="shared" si="48"/>
        <v>0</v>
      </c>
      <c r="Q783">
        <f t="shared" si="49"/>
        <v>0</v>
      </c>
      <c r="R783">
        <f t="shared" si="50"/>
        <v>0</v>
      </c>
      <c r="S783" t="b">
        <f t="shared" si="51"/>
        <v>0</v>
      </c>
    </row>
    <row r="784" spans="1:19" x14ac:dyDescent="0.2">
      <c r="A784" s="54">
        <v>208174</v>
      </c>
      <c r="B784" s="54" t="s">
        <v>1151</v>
      </c>
      <c r="C784" s="55">
        <v>52</v>
      </c>
      <c r="D784" s="55">
        <v>51</v>
      </c>
      <c r="E784" s="55">
        <v>5</v>
      </c>
      <c r="F784" s="55">
        <v>240</v>
      </c>
      <c r="G784" s="55">
        <v>240</v>
      </c>
      <c r="H784" s="55">
        <v>223</v>
      </c>
      <c r="I784" s="55">
        <v>4.71</v>
      </c>
      <c r="J784" s="55">
        <v>4.71</v>
      </c>
      <c r="K784" s="55">
        <v>4.37</v>
      </c>
      <c r="L784" s="55">
        <v>1</v>
      </c>
      <c r="M784" s="54" t="s">
        <v>30</v>
      </c>
      <c r="N784" s="54" t="s">
        <v>1401</v>
      </c>
      <c r="O784" s="54" t="s">
        <v>7</v>
      </c>
      <c r="P784" s="54">
        <f t="shared" si="48"/>
        <v>52</v>
      </c>
      <c r="Q784">
        <f t="shared" si="49"/>
        <v>52</v>
      </c>
      <c r="R784">
        <f t="shared" si="50"/>
        <v>52</v>
      </c>
      <c r="S784" t="b">
        <f t="shared" si="51"/>
        <v>0</v>
      </c>
    </row>
    <row r="785" spans="1:19" x14ac:dyDescent="0.2">
      <c r="A785" s="54">
        <v>208421</v>
      </c>
      <c r="B785" s="54" t="s">
        <v>963</v>
      </c>
      <c r="C785" s="55">
        <v>15</v>
      </c>
      <c r="D785" s="55">
        <v>13</v>
      </c>
      <c r="E785" s="55">
        <v>0</v>
      </c>
      <c r="F785" s="55">
        <v>0</v>
      </c>
      <c r="G785" s="55">
        <v>0</v>
      </c>
      <c r="H785" s="55">
        <v>0</v>
      </c>
      <c r="I785" s="55">
        <v>0</v>
      </c>
      <c r="J785" s="55">
        <v>0</v>
      </c>
      <c r="K785" s="55">
        <v>0</v>
      </c>
      <c r="L785" s="55">
        <v>0</v>
      </c>
      <c r="M785" s="54" t="s">
        <v>30</v>
      </c>
      <c r="N785" s="54" t="s">
        <v>1401</v>
      </c>
      <c r="O785" s="54" t="s">
        <v>7</v>
      </c>
      <c r="P785" s="54">
        <f t="shared" si="48"/>
        <v>0</v>
      </c>
      <c r="Q785">
        <f t="shared" si="49"/>
        <v>0</v>
      </c>
      <c r="R785">
        <f t="shared" si="50"/>
        <v>0</v>
      </c>
      <c r="S785" t="b">
        <f t="shared" si="51"/>
        <v>0</v>
      </c>
    </row>
    <row r="786" spans="1:19" x14ac:dyDescent="0.2">
      <c r="A786" s="54">
        <v>208498</v>
      </c>
      <c r="B786" s="54" t="s">
        <v>835</v>
      </c>
      <c r="C786" s="55">
        <v>8</v>
      </c>
      <c r="D786" s="55">
        <v>7</v>
      </c>
      <c r="E786" s="55">
        <v>1</v>
      </c>
      <c r="F786" s="55">
        <v>0</v>
      </c>
      <c r="G786" s="55">
        <v>0</v>
      </c>
      <c r="H786" s="55">
        <v>0</v>
      </c>
      <c r="I786" s="55">
        <v>0</v>
      </c>
      <c r="J786" s="55">
        <v>0</v>
      </c>
      <c r="K786" s="55">
        <v>0</v>
      </c>
      <c r="L786" s="55">
        <v>0</v>
      </c>
      <c r="M786" s="54" t="s">
        <v>30</v>
      </c>
      <c r="N786" s="54" t="s">
        <v>1401</v>
      </c>
      <c r="O786" s="54" t="s">
        <v>7</v>
      </c>
      <c r="P786" s="54">
        <f t="shared" si="48"/>
        <v>0</v>
      </c>
      <c r="Q786">
        <f t="shared" si="49"/>
        <v>0</v>
      </c>
      <c r="R786">
        <f t="shared" si="50"/>
        <v>0</v>
      </c>
      <c r="S786" t="b">
        <f t="shared" si="51"/>
        <v>0</v>
      </c>
    </row>
    <row r="787" spans="1:19" x14ac:dyDescent="0.2">
      <c r="A787" s="54">
        <v>209124</v>
      </c>
      <c r="B787" s="54" t="s">
        <v>918</v>
      </c>
      <c r="C787" s="55">
        <v>13</v>
      </c>
      <c r="D787" s="55">
        <v>12</v>
      </c>
      <c r="E787" s="55">
        <v>1</v>
      </c>
      <c r="F787" s="55">
        <v>8</v>
      </c>
      <c r="G787" s="55">
        <v>8</v>
      </c>
      <c r="H787" s="55">
        <v>8</v>
      </c>
      <c r="I787" s="55">
        <v>0.67</v>
      </c>
      <c r="J787" s="55">
        <v>0.67</v>
      </c>
      <c r="K787" s="55">
        <v>0.67</v>
      </c>
      <c r="L787" s="55">
        <v>16</v>
      </c>
      <c r="M787" s="54" t="s">
        <v>30</v>
      </c>
      <c r="N787" s="54" t="s">
        <v>1401</v>
      </c>
      <c r="O787" s="54" t="s">
        <v>7</v>
      </c>
      <c r="P787" s="54">
        <f t="shared" si="48"/>
        <v>0</v>
      </c>
      <c r="Q787">
        <f t="shared" si="49"/>
        <v>0</v>
      </c>
      <c r="R787">
        <f t="shared" si="50"/>
        <v>0</v>
      </c>
      <c r="S787" t="b">
        <f t="shared" si="51"/>
        <v>0</v>
      </c>
    </row>
    <row r="788" spans="1:19" x14ac:dyDescent="0.2">
      <c r="A788" s="54">
        <v>209176</v>
      </c>
      <c r="B788" s="54" t="s">
        <v>1057</v>
      </c>
      <c r="C788" s="55">
        <v>26</v>
      </c>
      <c r="D788" s="55">
        <v>40</v>
      </c>
      <c r="E788" s="55">
        <v>10</v>
      </c>
      <c r="F788" s="55">
        <v>0</v>
      </c>
      <c r="G788" s="55">
        <v>0</v>
      </c>
      <c r="H788" s="55">
        <v>0</v>
      </c>
      <c r="I788" s="55">
        <v>0</v>
      </c>
      <c r="J788" s="55">
        <v>0</v>
      </c>
      <c r="K788" s="55">
        <v>0</v>
      </c>
      <c r="L788" s="55">
        <v>0</v>
      </c>
      <c r="M788" s="54" t="s">
        <v>43</v>
      </c>
      <c r="N788" s="54" t="s">
        <v>1400</v>
      </c>
      <c r="O788" s="54" t="s">
        <v>7</v>
      </c>
      <c r="P788" s="54">
        <f t="shared" si="48"/>
        <v>0</v>
      </c>
      <c r="Q788">
        <f t="shared" si="49"/>
        <v>0</v>
      </c>
      <c r="R788">
        <f t="shared" si="50"/>
        <v>0</v>
      </c>
      <c r="S788" t="b">
        <f t="shared" si="51"/>
        <v>0</v>
      </c>
    </row>
    <row r="789" spans="1:19" x14ac:dyDescent="0.2">
      <c r="A789" s="54">
        <v>209541</v>
      </c>
      <c r="B789" s="54" t="s">
        <v>991</v>
      </c>
      <c r="C789" s="55">
        <v>18</v>
      </c>
      <c r="D789" s="55">
        <v>18</v>
      </c>
      <c r="E789" s="55">
        <v>2</v>
      </c>
      <c r="F789" s="55">
        <v>0</v>
      </c>
      <c r="G789" s="55">
        <v>0</v>
      </c>
      <c r="H789" s="55">
        <v>0</v>
      </c>
      <c r="I789" s="55">
        <v>0</v>
      </c>
      <c r="J789" s="55">
        <v>0</v>
      </c>
      <c r="K789" s="55">
        <v>0</v>
      </c>
      <c r="L789" s="55">
        <v>0</v>
      </c>
      <c r="M789" s="54" t="s">
        <v>30</v>
      </c>
      <c r="N789" s="54" t="s">
        <v>1401</v>
      </c>
      <c r="O789" s="54" t="s">
        <v>7</v>
      </c>
      <c r="P789" s="54">
        <f t="shared" si="48"/>
        <v>0</v>
      </c>
      <c r="Q789">
        <f t="shared" si="49"/>
        <v>0</v>
      </c>
      <c r="R789">
        <f t="shared" si="50"/>
        <v>0</v>
      </c>
      <c r="S789" t="b">
        <f t="shared" si="51"/>
        <v>0</v>
      </c>
    </row>
    <row r="790" spans="1:19" x14ac:dyDescent="0.2">
      <c r="A790" s="54">
        <v>209634</v>
      </c>
      <c r="B790" s="54" t="s">
        <v>975</v>
      </c>
      <c r="C790" s="55">
        <v>16</v>
      </c>
      <c r="D790" s="55">
        <v>16</v>
      </c>
      <c r="E790" s="55">
        <v>2</v>
      </c>
      <c r="F790" s="55">
        <v>27</v>
      </c>
      <c r="G790" s="55">
        <v>27</v>
      </c>
      <c r="H790" s="55">
        <v>27</v>
      </c>
      <c r="I790" s="55">
        <v>1.69</v>
      </c>
      <c r="J790" s="55">
        <v>1.69</v>
      </c>
      <c r="K790" s="55">
        <v>1.69</v>
      </c>
      <c r="L790" s="55">
        <v>0</v>
      </c>
      <c r="M790" s="54" t="s">
        <v>30</v>
      </c>
      <c r="N790" s="54" t="s">
        <v>1401</v>
      </c>
      <c r="O790" s="54" t="s">
        <v>7</v>
      </c>
      <c r="P790" s="54">
        <f t="shared" si="48"/>
        <v>16</v>
      </c>
      <c r="Q790">
        <f t="shared" si="49"/>
        <v>0</v>
      </c>
      <c r="R790">
        <f t="shared" si="50"/>
        <v>16</v>
      </c>
      <c r="S790" t="b">
        <f t="shared" si="51"/>
        <v>0</v>
      </c>
    </row>
    <row r="791" spans="1:19" x14ac:dyDescent="0.2">
      <c r="A791" s="54">
        <v>210057</v>
      </c>
      <c r="B791" s="54" t="s">
        <v>685</v>
      </c>
      <c r="C791" s="55">
        <v>1</v>
      </c>
      <c r="D791" s="55">
        <v>6</v>
      </c>
      <c r="E791" s="55">
        <v>1</v>
      </c>
      <c r="F791" s="55">
        <v>5</v>
      </c>
      <c r="G791" s="55">
        <v>5</v>
      </c>
      <c r="H791" s="55">
        <v>5</v>
      </c>
      <c r="I791" s="55">
        <v>0.83</v>
      </c>
      <c r="J791" s="55">
        <v>0.83</v>
      </c>
      <c r="K791" s="55">
        <v>0.83</v>
      </c>
      <c r="L791" s="55">
        <v>0</v>
      </c>
      <c r="M791" s="54" t="s">
        <v>30</v>
      </c>
      <c r="N791" s="54" t="s">
        <v>1401</v>
      </c>
      <c r="O791" s="54" t="s">
        <v>7</v>
      </c>
      <c r="P791" s="54">
        <f t="shared" si="48"/>
        <v>1</v>
      </c>
      <c r="Q791">
        <f t="shared" si="49"/>
        <v>0</v>
      </c>
      <c r="R791">
        <f t="shared" si="50"/>
        <v>1</v>
      </c>
      <c r="S791" t="b">
        <f t="shared" si="51"/>
        <v>0</v>
      </c>
    </row>
    <row r="792" spans="1:19" x14ac:dyDescent="0.2">
      <c r="A792" s="54">
        <v>210651</v>
      </c>
      <c r="B792" s="54" t="s">
        <v>678</v>
      </c>
      <c r="C792" s="55">
        <v>150</v>
      </c>
      <c r="D792" s="55">
        <v>180</v>
      </c>
      <c r="E792" s="55">
        <v>10</v>
      </c>
      <c r="F792" s="55">
        <v>0</v>
      </c>
      <c r="G792" s="55">
        <v>0</v>
      </c>
      <c r="H792" s="55">
        <v>0</v>
      </c>
      <c r="I792" s="55">
        <v>0</v>
      </c>
      <c r="J792" s="55">
        <v>0</v>
      </c>
      <c r="K792" s="55">
        <v>0</v>
      </c>
      <c r="L792" s="55">
        <v>0</v>
      </c>
      <c r="M792" s="54" t="s">
        <v>43</v>
      </c>
      <c r="N792" s="54" t="s">
        <v>1400</v>
      </c>
      <c r="O792" s="54" t="s">
        <v>6</v>
      </c>
      <c r="P792" s="54">
        <f t="shared" si="48"/>
        <v>0</v>
      </c>
      <c r="Q792">
        <f t="shared" si="49"/>
        <v>0</v>
      </c>
      <c r="R792">
        <f t="shared" si="50"/>
        <v>0</v>
      </c>
      <c r="S792" t="b">
        <f t="shared" si="51"/>
        <v>0</v>
      </c>
    </row>
    <row r="793" spans="1:19" x14ac:dyDescent="0.2">
      <c r="A793" s="54">
        <v>210852</v>
      </c>
      <c r="B793" s="54" t="s">
        <v>513</v>
      </c>
      <c r="C793" s="55">
        <v>21</v>
      </c>
      <c r="D793" s="55">
        <v>24</v>
      </c>
      <c r="E793" s="55">
        <v>24</v>
      </c>
      <c r="F793" s="55">
        <v>14</v>
      </c>
      <c r="G793" s="55">
        <v>5</v>
      </c>
      <c r="H793" s="55">
        <v>0</v>
      </c>
      <c r="I793" s="55">
        <v>0.57999999999999996</v>
      </c>
      <c r="J793" s="55">
        <v>0.21</v>
      </c>
      <c r="K793" s="55">
        <v>0</v>
      </c>
      <c r="L793" s="55">
        <v>0</v>
      </c>
      <c r="M793" s="54" t="s">
        <v>45</v>
      </c>
      <c r="N793" s="54" t="s">
        <v>47</v>
      </c>
      <c r="O793" s="54" t="s">
        <v>7</v>
      </c>
      <c r="P793" s="54">
        <f t="shared" si="48"/>
        <v>0</v>
      </c>
      <c r="Q793">
        <f t="shared" si="49"/>
        <v>0</v>
      </c>
      <c r="R793">
        <f t="shared" si="50"/>
        <v>0</v>
      </c>
      <c r="S793" t="b">
        <f t="shared" si="51"/>
        <v>0</v>
      </c>
    </row>
    <row r="794" spans="1:19" x14ac:dyDescent="0.2">
      <c r="A794" s="54">
        <v>211120</v>
      </c>
      <c r="B794" s="54" t="s">
        <v>1285</v>
      </c>
      <c r="C794" s="55">
        <v>360</v>
      </c>
      <c r="D794" s="55">
        <v>360</v>
      </c>
      <c r="E794" s="55">
        <v>2</v>
      </c>
      <c r="F794" s="55">
        <v>0</v>
      </c>
      <c r="G794" s="55">
        <v>0</v>
      </c>
      <c r="H794" s="55">
        <v>0</v>
      </c>
      <c r="I794" s="55">
        <v>0</v>
      </c>
      <c r="J794" s="55">
        <v>0</v>
      </c>
      <c r="K794" s="55">
        <v>0</v>
      </c>
      <c r="L794" s="55">
        <v>0</v>
      </c>
      <c r="M794" s="54" t="s">
        <v>30</v>
      </c>
      <c r="N794" s="54" t="s">
        <v>1401</v>
      </c>
      <c r="O794" s="54" t="s">
        <v>6</v>
      </c>
      <c r="P794" s="54">
        <f t="shared" si="48"/>
        <v>0</v>
      </c>
      <c r="Q794">
        <f t="shared" si="49"/>
        <v>0</v>
      </c>
      <c r="R794">
        <f t="shared" si="50"/>
        <v>0</v>
      </c>
      <c r="S794" t="b">
        <f t="shared" si="51"/>
        <v>0</v>
      </c>
    </row>
    <row r="795" spans="1:19" x14ac:dyDescent="0.2">
      <c r="A795" s="54">
        <v>211664</v>
      </c>
      <c r="B795" s="54" t="s">
        <v>687</v>
      </c>
      <c r="C795" s="55">
        <v>1</v>
      </c>
      <c r="D795" s="55">
        <v>5</v>
      </c>
      <c r="E795" s="55">
        <v>1</v>
      </c>
      <c r="F795" s="55">
        <v>0</v>
      </c>
      <c r="G795" s="55">
        <v>0</v>
      </c>
      <c r="H795" s="55">
        <v>0</v>
      </c>
      <c r="I795" s="55">
        <v>0</v>
      </c>
      <c r="J795" s="55">
        <v>0</v>
      </c>
      <c r="K795" s="55">
        <v>0</v>
      </c>
      <c r="L795" s="55">
        <v>0</v>
      </c>
      <c r="M795" s="54" t="s">
        <v>30</v>
      </c>
      <c r="N795" s="54" t="s">
        <v>1401</v>
      </c>
      <c r="O795" s="54" t="s">
        <v>7</v>
      </c>
      <c r="P795" s="54">
        <f t="shared" si="48"/>
        <v>0</v>
      </c>
      <c r="Q795">
        <f t="shared" si="49"/>
        <v>0</v>
      </c>
      <c r="R795">
        <f t="shared" si="50"/>
        <v>0</v>
      </c>
      <c r="S795" t="b">
        <f t="shared" si="51"/>
        <v>0</v>
      </c>
    </row>
    <row r="796" spans="1:19" x14ac:dyDescent="0.2">
      <c r="A796" s="54">
        <v>211950</v>
      </c>
      <c r="B796" s="54" t="s">
        <v>1033</v>
      </c>
      <c r="C796" s="55">
        <v>23</v>
      </c>
      <c r="D796" s="55">
        <v>23</v>
      </c>
      <c r="E796" s="55">
        <v>1</v>
      </c>
      <c r="F796" s="55">
        <v>20</v>
      </c>
      <c r="G796" s="55">
        <v>20</v>
      </c>
      <c r="H796" s="55">
        <v>20</v>
      </c>
      <c r="I796" s="55">
        <v>0.87</v>
      </c>
      <c r="J796" s="55">
        <v>0.87</v>
      </c>
      <c r="K796" s="55">
        <v>0.87</v>
      </c>
      <c r="L796" s="55">
        <v>2</v>
      </c>
      <c r="M796" s="54" t="s">
        <v>30</v>
      </c>
      <c r="N796" s="54" t="s">
        <v>1401</v>
      </c>
      <c r="O796" s="54" t="s">
        <v>7</v>
      </c>
      <c r="P796" s="54">
        <f t="shared" si="48"/>
        <v>23</v>
      </c>
      <c r="Q796">
        <f t="shared" si="49"/>
        <v>0</v>
      </c>
      <c r="R796">
        <f t="shared" si="50"/>
        <v>23</v>
      </c>
      <c r="S796" t="b">
        <f t="shared" si="51"/>
        <v>0</v>
      </c>
    </row>
    <row r="797" spans="1:19" x14ac:dyDescent="0.2">
      <c r="A797" s="54">
        <v>212348</v>
      </c>
      <c r="B797" s="54" t="s">
        <v>507</v>
      </c>
      <c r="C797" s="55">
        <v>32</v>
      </c>
      <c r="D797" s="55">
        <v>5</v>
      </c>
      <c r="E797" s="55">
        <v>6</v>
      </c>
      <c r="F797" s="55">
        <v>20</v>
      </c>
      <c r="G797" s="55">
        <v>7</v>
      </c>
      <c r="H797" s="55">
        <v>0</v>
      </c>
      <c r="I797" s="55">
        <v>4</v>
      </c>
      <c r="J797" s="55">
        <v>1.4</v>
      </c>
      <c r="K797" s="55">
        <v>0</v>
      </c>
      <c r="L797" s="55">
        <v>25</v>
      </c>
      <c r="M797" s="54" t="s">
        <v>43</v>
      </c>
      <c r="N797" s="54" t="s">
        <v>1400</v>
      </c>
      <c r="O797" s="54" t="s">
        <v>7</v>
      </c>
      <c r="P797" s="54">
        <f t="shared" si="48"/>
        <v>32</v>
      </c>
      <c r="Q797">
        <f t="shared" si="49"/>
        <v>32</v>
      </c>
      <c r="R797">
        <f t="shared" si="50"/>
        <v>32</v>
      </c>
      <c r="S797" t="b">
        <f t="shared" si="51"/>
        <v>0</v>
      </c>
    </row>
    <row r="798" spans="1:19" x14ac:dyDescent="0.2">
      <c r="A798" s="54">
        <v>213641</v>
      </c>
      <c r="B798" s="54" t="s">
        <v>654</v>
      </c>
      <c r="C798" s="55">
        <v>2</v>
      </c>
      <c r="D798" s="55">
        <v>20</v>
      </c>
      <c r="E798" s="55">
        <v>6</v>
      </c>
      <c r="F798" s="55">
        <v>0</v>
      </c>
      <c r="G798" s="55">
        <v>0</v>
      </c>
      <c r="H798" s="55">
        <v>0</v>
      </c>
      <c r="I798" s="55">
        <v>0</v>
      </c>
      <c r="J798" s="55">
        <v>0</v>
      </c>
      <c r="K798" s="55">
        <v>0</v>
      </c>
      <c r="L798" s="55">
        <v>0</v>
      </c>
      <c r="M798" s="54" t="s">
        <v>43</v>
      </c>
      <c r="N798" s="54" t="s">
        <v>1400</v>
      </c>
      <c r="O798" s="54" t="s">
        <v>7</v>
      </c>
      <c r="P798" s="54">
        <f t="shared" si="48"/>
        <v>0</v>
      </c>
      <c r="Q798">
        <f t="shared" si="49"/>
        <v>0</v>
      </c>
      <c r="R798">
        <f t="shared" si="50"/>
        <v>0</v>
      </c>
      <c r="S798" t="b">
        <f t="shared" si="51"/>
        <v>0</v>
      </c>
    </row>
    <row r="799" spans="1:19" x14ac:dyDescent="0.2">
      <c r="A799" s="54">
        <v>213659</v>
      </c>
      <c r="B799" s="54" t="s">
        <v>593</v>
      </c>
      <c r="C799" s="55">
        <v>13</v>
      </c>
      <c r="D799" s="55">
        <v>5</v>
      </c>
      <c r="E799" s="55">
        <v>43</v>
      </c>
      <c r="F799" s="55">
        <v>3</v>
      </c>
      <c r="G799" s="55">
        <v>3</v>
      </c>
      <c r="H799" s="55">
        <v>0</v>
      </c>
      <c r="I799" s="55">
        <v>0.6</v>
      </c>
      <c r="J799" s="55">
        <v>0.6</v>
      </c>
      <c r="K799" s="55">
        <v>0</v>
      </c>
      <c r="L799" s="55">
        <v>0</v>
      </c>
      <c r="M799" s="54" t="s">
        <v>47</v>
      </c>
      <c r="N799" s="54" t="s">
        <v>47</v>
      </c>
      <c r="O799" s="54" t="s">
        <v>7</v>
      </c>
      <c r="P799" s="54">
        <f t="shared" si="48"/>
        <v>0</v>
      </c>
      <c r="Q799">
        <f t="shared" si="49"/>
        <v>0</v>
      </c>
      <c r="R799">
        <f t="shared" si="50"/>
        <v>0</v>
      </c>
      <c r="S799" t="b">
        <f t="shared" si="51"/>
        <v>0</v>
      </c>
    </row>
    <row r="800" spans="1:19" x14ac:dyDescent="0.2">
      <c r="A800" s="54">
        <v>214275</v>
      </c>
      <c r="B800" s="54" t="s">
        <v>1234</v>
      </c>
      <c r="C800" s="55">
        <v>124</v>
      </c>
      <c r="D800" s="55">
        <v>105</v>
      </c>
      <c r="E800" s="55">
        <v>1</v>
      </c>
      <c r="F800" s="55">
        <v>89</v>
      </c>
      <c r="G800" s="55">
        <v>80</v>
      </c>
      <c r="H800" s="55">
        <v>80</v>
      </c>
      <c r="I800" s="55">
        <v>0.85</v>
      </c>
      <c r="J800" s="55">
        <v>0.76</v>
      </c>
      <c r="K800" s="55">
        <v>0.76</v>
      </c>
      <c r="L800" s="55">
        <v>3</v>
      </c>
      <c r="M800" s="54" t="s">
        <v>30</v>
      </c>
      <c r="N800" s="54" t="s">
        <v>1401</v>
      </c>
      <c r="O800" s="54" t="s">
        <v>6</v>
      </c>
      <c r="P800" s="54">
        <f t="shared" si="48"/>
        <v>124</v>
      </c>
      <c r="Q800">
        <f t="shared" si="49"/>
        <v>0</v>
      </c>
      <c r="R800">
        <f t="shared" si="50"/>
        <v>124</v>
      </c>
      <c r="S800" t="b">
        <f t="shared" si="51"/>
        <v>0</v>
      </c>
    </row>
    <row r="801" spans="1:19" x14ac:dyDescent="0.2">
      <c r="A801" s="54">
        <v>216488</v>
      </c>
      <c r="B801" s="54" t="s">
        <v>1000</v>
      </c>
      <c r="C801" s="55">
        <v>19</v>
      </c>
      <c r="D801" s="55">
        <v>17</v>
      </c>
      <c r="E801" s="55">
        <v>3</v>
      </c>
      <c r="F801" s="55">
        <v>5</v>
      </c>
      <c r="G801" s="55">
        <v>5</v>
      </c>
      <c r="H801" s="55">
        <v>5</v>
      </c>
      <c r="I801" s="55">
        <v>0.28999999999999998</v>
      </c>
      <c r="J801" s="55">
        <v>0.28999999999999998</v>
      </c>
      <c r="K801" s="55">
        <v>0.28999999999999998</v>
      </c>
      <c r="L801" s="55">
        <v>7</v>
      </c>
      <c r="M801" s="54" t="s">
        <v>30</v>
      </c>
      <c r="N801" s="54" t="s">
        <v>1401</v>
      </c>
      <c r="O801" s="54" t="s">
        <v>7</v>
      </c>
      <c r="P801" s="54">
        <f t="shared" si="48"/>
        <v>0</v>
      </c>
      <c r="Q801">
        <f t="shared" si="49"/>
        <v>0</v>
      </c>
      <c r="R801">
        <f t="shared" si="50"/>
        <v>0</v>
      </c>
      <c r="S801" t="b">
        <f t="shared" si="51"/>
        <v>0</v>
      </c>
    </row>
    <row r="802" spans="1:19" x14ac:dyDescent="0.2">
      <c r="A802" s="54">
        <v>216777</v>
      </c>
      <c r="B802" s="54" t="s">
        <v>1317</v>
      </c>
      <c r="C802" s="55">
        <v>0</v>
      </c>
      <c r="D802" s="55">
        <v>15</v>
      </c>
      <c r="E802" s="55">
        <v>0</v>
      </c>
      <c r="F802" s="55">
        <v>54</v>
      </c>
      <c r="G802" s="55">
        <v>54</v>
      </c>
      <c r="H802" s="55">
        <v>54</v>
      </c>
      <c r="I802" s="55">
        <v>3.6</v>
      </c>
      <c r="J802" s="55">
        <v>3.6</v>
      </c>
      <c r="K802" s="55">
        <v>3.6</v>
      </c>
      <c r="L802" s="55">
        <v>0</v>
      </c>
      <c r="M802" s="54" t="s">
        <v>30</v>
      </c>
      <c r="N802" s="54" t="s">
        <v>1401</v>
      </c>
      <c r="O802" s="54" t="s">
        <v>7</v>
      </c>
      <c r="P802" s="54">
        <f t="shared" si="48"/>
        <v>0</v>
      </c>
      <c r="Q802">
        <f t="shared" si="49"/>
        <v>0</v>
      </c>
      <c r="R802">
        <f t="shared" si="50"/>
        <v>0</v>
      </c>
      <c r="S802" t="b">
        <f t="shared" si="51"/>
        <v>0</v>
      </c>
    </row>
    <row r="803" spans="1:19" x14ac:dyDescent="0.2">
      <c r="A803" s="54">
        <v>216820</v>
      </c>
      <c r="B803" s="54" t="s">
        <v>216</v>
      </c>
      <c r="C803" s="55">
        <v>100</v>
      </c>
      <c r="D803" s="55">
        <v>115</v>
      </c>
      <c r="E803" s="55">
        <v>21</v>
      </c>
      <c r="F803" s="55">
        <v>254</v>
      </c>
      <c r="G803" s="55">
        <v>220</v>
      </c>
      <c r="H803" s="55">
        <v>196</v>
      </c>
      <c r="I803" s="55">
        <v>2.21</v>
      </c>
      <c r="J803" s="55">
        <v>1.91</v>
      </c>
      <c r="K803" s="55">
        <v>1.7</v>
      </c>
      <c r="L803" s="55">
        <v>4</v>
      </c>
      <c r="M803" s="54" t="s">
        <v>45</v>
      </c>
      <c r="N803" s="54" t="s">
        <v>47</v>
      </c>
      <c r="O803" s="54" t="s">
        <v>6</v>
      </c>
      <c r="P803" s="54">
        <f t="shared" si="48"/>
        <v>100</v>
      </c>
      <c r="Q803">
        <f t="shared" si="49"/>
        <v>100</v>
      </c>
      <c r="R803">
        <f t="shared" si="50"/>
        <v>100</v>
      </c>
      <c r="S803" t="b">
        <f t="shared" si="51"/>
        <v>0</v>
      </c>
    </row>
    <row r="804" spans="1:19" x14ac:dyDescent="0.2">
      <c r="A804" s="54">
        <v>216931</v>
      </c>
      <c r="B804" s="54" t="s">
        <v>1219</v>
      </c>
      <c r="C804" s="55">
        <v>106</v>
      </c>
      <c r="D804" s="55">
        <v>110</v>
      </c>
      <c r="E804" s="55">
        <v>5</v>
      </c>
      <c r="F804" s="55">
        <v>75</v>
      </c>
      <c r="G804" s="55">
        <v>75</v>
      </c>
      <c r="H804" s="55">
        <v>24</v>
      </c>
      <c r="I804" s="55">
        <v>0.68</v>
      </c>
      <c r="J804" s="55">
        <v>0.68</v>
      </c>
      <c r="K804" s="55">
        <v>0.22</v>
      </c>
      <c r="L804" s="55">
        <v>57</v>
      </c>
      <c r="M804" s="54" t="s">
        <v>30</v>
      </c>
      <c r="N804" s="54" t="s">
        <v>1401</v>
      </c>
      <c r="O804" s="54" t="s">
        <v>6</v>
      </c>
      <c r="P804" s="54">
        <f t="shared" si="48"/>
        <v>0</v>
      </c>
      <c r="Q804">
        <f t="shared" si="49"/>
        <v>0</v>
      </c>
      <c r="R804">
        <f t="shared" si="50"/>
        <v>0</v>
      </c>
      <c r="S804" t="b">
        <f t="shared" si="51"/>
        <v>0</v>
      </c>
    </row>
    <row r="805" spans="1:19" x14ac:dyDescent="0.2">
      <c r="A805" s="54">
        <v>217054</v>
      </c>
      <c r="B805" s="54" t="s">
        <v>727</v>
      </c>
      <c r="C805" s="55">
        <v>2</v>
      </c>
      <c r="D805" s="55">
        <v>30</v>
      </c>
      <c r="E805" s="55">
        <v>2</v>
      </c>
      <c r="F805" s="55">
        <v>71</v>
      </c>
      <c r="G805" s="55">
        <v>71</v>
      </c>
      <c r="H805" s="55">
        <v>71</v>
      </c>
      <c r="I805" s="55">
        <v>2.37</v>
      </c>
      <c r="J805" s="55">
        <v>2.37</v>
      </c>
      <c r="K805" s="55">
        <v>2.37</v>
      </c>
      <c r="L805" s="55">
        <v>20</v>
      </c>
      <c r="M805" s="54" t="s">
        <v>30</v>
      </c>
      <c r="N805" s="54" t="s">
        <v>1401</v>
      </c>
      <c r="O805" s="54" t="s">
        <v>7</v>
      </c>
      <c r="P805" s="54">
        <f t="shared" si="48"/>
        <v>2</v>
      </c>
      <c r="Q805">
        <f t="shared" si="49"/>
        <v>2</v>
      </c>
      <c r="R805">
        <f t="shared" si="50"/>
        <v>2</v>
      </c>
      <c r="S805" t="b">
        <f t="shared" si="51"/>
        <v>0</v>
      </c>
    </row>
    <row r="806" spans="1:19" x14ac:dyDescent="0.2">
      <c r="A806" s="54">
        <v>217880</v>
      </c>
      <c r="B806" s="54" t="s">
        <v>557</v>
      </c>
      <c r="C806" s="55">
        <v>21</v>
      </c>
      <c r="D806" s="55">
        <v>25</v>
      </c>
      <c r="E806" s="55">
        <v>16</v>
      </c>
      <c r="F806" s="55">
        <v>8</v>
      </c>
      <c r="G806" s="55">
        <v>8</v>
      </c>
      <c r="H806" s="55">
        <v>0</v>
      </c>
      <c r="I806" s="55">
        <v>0.32</v>
      </c>
      <c r="J806" s="55">
        <v>0.32</v>
      </c>
      <c r="K806" s="55">
        <v>0</v>
      </c>
      <c r="L806" s="55">
        <v>0</v>
      </c>
      <c r="M806" s="54" t="s">
        <v>45</v>
      </c>
      <c r="N806" s="54" t="s">
        <v>47</v>
      </c>
      <c r="O806" s="54" t="s">
        <v>7</v>
      </c>
      <c r="P806" s="54">
        <f t="shared" si="48"/>
        <v>0</v>
      </c>
      <c r="Q806">
        <f t="shared" si="49"/>
        <v>0</v>
      </c>
      <c r="R806">
        <f t="shared" si="50"/>
        <v>0</v>
      </c>
      <c r="S806" t="b">
        <f t="shared" si="51"/>
        <v>0</v>
      </c>
    </row>
    <row r="807" spans="1:19" x14ac:dyDescent="0.2">
      <c r="A807" s="54">
        <v>218005</v>
      </c>
      <c r="B807" s="54" t="s">
        <v>841</v>
      </c>
      <c r="C807" s="55">
        <v>8</v>
      </c>
      <c r="D807" s="55">
        <v>20</v>
      </c>
      <c r="E807" s="55">
        <v>2</v>
      </c>
      <c r="F807" s="55">
        <v>19</v>
      </c>
      <c r="G807" s="55">
        <v>19</v>
      </c>
      <c r="H807" s="55">
        <v>19</v>
      </c>
      <c r="I807" s="55">
        <v>0.95</v>
      </c>
      <c r="J807" s="55">
        <v>0.95</v>
      </c>
      <c r="K807" s="55">
        <v>0.95</v>
      </c>
      <c r="L807" s="55">
        <v>0</v>
      </c>
      <c r="M807" s="54" t="s">
        <v>30</v>
      </c>
      <c r="N807" s="54" t="s">
        <v>1401</v>
      </c>
      <c r="O807" s="54" t="s">
        <v>7</v>
      </c>
      <c r="P807" s="54">
        <f t="shared" si="48"/>
        <v>8</v>
      </c>
      <c r="Q807">
        <f t="shared" si="49"/>
        <v>0</v>
      </c>
      <c r="R807">
        <f t="shared" si="50"/>
        <v>8</v>
      </c>
      <c r="S807" t="b">
        <f t="shared" si="51"/>
        <v>0</v>
      </c>
    </row>
    <row r="808" spans="1:19" x14ac:dyDescent="0.2">
      <c r="A808" s="54">
        <v>219125</v>
      </c>
      <c r="B808" s="54" t="s">
        <v>360</v>
      </c>
      <c r="C808" s="55">
        <v>9</v>
      </c>
      <c r="D808" s="55">
        <v>8</v>
      </c>
      <c r="E808" s="55">
        <v>9</v>
      </c>
      <c r="F808" s="55">
        <v>40</v>
      </c>
      <c r="G808" s="55">
        <v>15</v>
      </c>
      <c r="H808" s="55">
        <v>0</v>
      </c>
      <c r="I808" s="55">
        <v>5</v>
      </c>
      <c r="J808" s="55">
        <v>1.88</v>
      </c>
      <c r="K808" s="55">
        <v>0</v>
      </c>
      <c r="L808" s="55">
        <v>30</v>
      </c>
      <c r="M808" s="54" t="s">
        <v>43</v>
      </c>
      <c r="N808" s="54" t="s">
        <v>1400</v>
      </c>
      <c r="O808" s="54" t="s">
        <v>7</v>
      </c>
      <c r="P808" s="54">
        <f t="shared" si="48"/>
        <v>9</v>
      </c>
      <c r="Q808">
        <f t="shared" si="49"/>
        <v>9</v>
      </c>
      <c r="R808">
        <f t="shared" si="50"/>
        <v>9</v>
      </c>
      <c r="S808" t="b">
        <f t="shared" si="51"/>
        <v>0</v>
      </c>
    </row>
    <row r="809" spans="1:19" x14ac:dyDescent="0.2">
      <c r="A809" s="54">
        <v>221765</v>
      </c>
      <c r="B809" s="54" t="s">
        <v>778</v>
      </c>
      <c r="C809" s="55">
        <v>4</v>
      </c>
      <c r="D809" s="55">
        <v>4</v>
      </c>
      <c r="E809" s="55">
        <v>0</v>
      </c>
      <c r="F809" s="55">
        <v>0</v>
      </c>
      <c r="G809" s="55">
        <v>0</v>
      </c>
      <c r="H809" s="55">
        <v>0</v>
      </c>
      <c r="I809" s="55">
        <v>0</v>
      </c>
      <c r="J809" s="55">
        <v>0</v>
      </c>
      <c r="K809" s="55">
        <v>0</v>
      </c>
      <c r="L809" s="55">
        <v>0</v>
      </c>
      <c r="M809" s="54" t="s">
        <v>30</v>
      </c>
      <c r="N809" s="54" t="s">
        <v>1401</v>
      </c>
      <c r="O809" s="54" t="s">
        <v>7</v>
      </c>
      <c r="P809" s="54">
        <f t="shared" si="48"/>
        <v>0</v>
      </c>
      <c r="Q809">
        <f t="shared" si="49"/>
        <v>0</v>
      </c>
      <c r="R809">
        <f t="shared" si="50"/>
        <v>0</v>
      </c>
      <c r="S809" t="b">
        <f t="shared" si="51"/>
        <v>0</v>
      </c>
    </row>
    <row r="810" spans="1:19" x14ac:dyDescent="0.2">
      <c r="A810" s="54">
        <v>222038</v>
      </c>
      <c r="B810" s="54" t="s">
        <v>443</v>
      </c>
      <c r="C810" s="55">
        <v>11</v>
      </c>
      <c r="D810" s="55">
        <v>20</v>
      </c>
      <c r="E810" s="55">
        <v>6</v>
      </c>
      <c r="F810" s="55">
        <v>25</v>
      </c>
      <c r="G810" s="55">
        <v>22</v>
      </c>
      <c r="H810" s="55">
        <v>2</v>
      </c>
      <c r="I810" s="55">
        <v>1.25</v>
      </c>
      <c r="J810" s="55">
        <v>1.1000000000000001</v>
      </c>
      <c r="K810" s="55">
        <v>0.1</v>
      </c>
      <c r="L810" s="55">
        <v>10</v>
      </c>
      <c r="M810" s="54" t="s">
        <v>43</v>
      </c>
      <c r="N810" s="54" t="s">
        <v>1400</v>
      </c>
      <c r="O810" s="54" t="s">
        <v>7</v>
      </c>
      <c r="P810" s="54">
        <f t="shared" si="48"/>
        <v>11</v>
      </c>
      <c r="Q810">
        <f t="shared" si="49"/>
        <v>0</v>
      </c>
      <c r="R810">
        <f t="shared" si="50"/>
        <v>11</v>
      </c>
      <c r="S810" t="b">
        <f t="shared" si="51"/>
        <v>0</v>
      </c>
    </row>
    <row r="811" spans="1:19" x14ac:dyDescent="0.2">
      <c r="A811" s="54">
        <v>223835</v>
      </c>
      <c r="B811" s="54" t="s">
        <v>246</v>
      </c>
      <c r="C811" s="55">
        <v>147</v>
      </c>
      <c r="D811" s="55">
        <v>80</v>
      </c>
      <c r="E811" s="55">
        <v>7</v>
      </c>
      <c r="F811" s="55">
        <v>366</v>
      </c>
      <c r="G811" s="55">
        <v>366</v>
      </c>
      <c r="H811" s="55">
        <v>306</v>
      </c>
      <c r="I811" s="55">
        <v>4.58</v>
      </c>
      <c r="J811" s="55">
        <v>4.58</v>
      </c>
      <c r="K811" s="55">
        <v>3.83</v>
      </c>
      <c r="L811" s="55">
        <v>69</v>
      </c>
      <c r="M811" s="54" t="s">
        <v>43</v>
      </c>
      <c r="N811" s="54" t="s">
        <v>1400</v>
      </c>
      <c r="O811" s="54" t="s">
        <v>7</v>
      </c>
      <c r="P811" s="54">
        <f t="shared" si="48"/>
        <v>147</v>
      </c>
      <c r="Q811">
        <f t="shared" si="49"/>
        <v>147</v>
      </c>
      <c r="R811">
        <f t="shared" si="50"/>
        <v>147</v>
      </c>
      <c r="S811" t="b">
        <f t="shared" si="51"/>
        <v>0</v>
      </c>
    </row>
    <row r="812" spans="1:19" x14ac:dyDescent="0.2">
      <c r="A812" s="54">
        <v>224325</v>
      </c>
      <c r="B812" s="54" t="s">
        <v>1333</v>
      </c>
      <c r="C812" s="55">
        <v>0</v>
      </c>
      <c r="D812" s="55">
        <v>5</v>
      </c>
      <c r="E812" s="55">
        <v>0</v>
      </c>
      <c r="F812" s="55">
        <v>0</v>
      </c>
      <c r="G812" s="55">
        <v>0</v>
      </c>
      <c r="H812" s="55">
        <v>0</v>
      </c>
      <c r="I812" s="55">
        <v>0</v>
      </c>
      <c r="J812" s="55">
        <v>0</v>
      </c>
      <c r="K812" s="55">
        <v>0</v>
      </c>
      <c r="L812" s="55">
        <v>0</v>
      </c>
      <c r="M812" s="54" t="s">
        <v>30</v>
      </c>
      <c r="N812" s="54" t="s">
        <v>1401</v>
      </c>
      <c r="O812" s="54" t="s">
        <v>7</v>
      </c>
      <c r="P812" s="54">
        <f t="shared" si="48"/>
        <v>0</v>
      </c>
      <c r="Q812">
        <f t="shared" si="49"/>
        <v>0</v>
      </c>
      <c r="R812">
        <f t="shared" si="50"/>
        <v>0</v>
      </c>
      <c r="S812" t="b">
        <f t="shared" si="51"/>
        <v>0</v>
      </c>
    </row>
    <row r="813" spans="1:19" x14ac:dyDescent="0.2">
      <c r="A813" s="54">
        <v>225032</v>
      </c>
      <c r="B813" s="54" t="s">
        <v>929</v>
      </c>
      <c r="C813" s="55">
        <v>13</v>
      </c>
      <c r="D813" s="55">
        <v>10</v>
      </c>
      <c r="E813" s="55">
        <v>5</v>
      </c>
      <c r="F813" s="55">
        <v>0</v>
      </c>
      <c r="G813" s="55">
        <v>0</v>
      </c>
      <c r="H813" s="55">
        <v>0</v>
      </c>
      <c r="I813" s="55">
        <v>0</v>
      </c>
      <c r="J813" s="55">
        <v>0</v>
      </c>
      <c r="K813" s="55">
        <v>0</v>
      </c>
      <c r="L813" s="55">
        <v>0</v>
      </c>
      <c r="M813" s="54" t="s">
        <v>30</v>
      </c>
      <c r="N813" s="54" t="s">
        <v>1401</v>
      </c>
      <c r="O813" s="54" t="s">
        <v>7</v>
      </c>
      <c r="P813" s="54">
        <f t="shared" si="48"/>
        <v>0</v>
      </c>
      <c r="Q813">
        <f t="shared" si="49"/>
        <v>0</v>
      </c>
      <c r="R813">
        <f t="shared" si="50"/>
        <v>0</v>
      </c>
      <c r="S813" t="b">
        <f t="shared" si="51"/>
        <v>0</v>
      </c>
    </row>
    <row r="814" spans="1:19" x14ac:dyDescent="0.2">
      <c r="A814" s="54">
        <v>228009</v>
      </c>
      <c r="B814" s="54" t="s">
        <v>1326</v>
      </c>
      <c r="C814" s="55">
        <v>0</v>
      </c>
      <c r="D814" s="55">
        <v>7</v>
      </c>
      <c r="E814" s="55">
        <v>0</v>
      </c>
      <c r="F814" s="55">
        <v>0</v>
      </c>
      <c r="G814" s="55">
        <v>0</v>
      </c>
      <c r="H814" s="55">
        <v>0</v>
      </c>
      <c r="I814" s="55">
        <v>0</v>
      </c>
      <c r="J814" s="55">
        <v>0</v>
      </c>
      <c r="K814" s="55">
        <v>0</v>
      </c>
      <c r="L814" s="55">
        <v>0</v>
      </c>
      <c r="M814" s="54" t="s">
        <v>30</v>
      </c>
      <c r="N814" s="54" t="s">
        <v>1401</v>
      </c>
      <c r="O814" s="54" t="s">
        <v>7</v>
      </c>
      <c r="P814" s="54">
        <f t="shared" si="48"/>
        <v>0</v>
      </c>
      <c r="Q814">
        <f t="shared" si="49"/>
        <v>0</v>
      </c>
      <c r="R814">
        <f t="shared" si="50"/>
        <v>0</v>
      </c>
      <c r="S814" t="b">
        <f t="shared" si="51"/>
        <v>0</v>
      </c>
    </row>
    <row r="815" spans="1:19" x14ac:dyDescent="0.2">
      <c r="A815" s="54">
        <v>228700</v>
      </c>
      <c r="B815" s="54" t="s">
        <v>429</v>
      </c>
      <c r="C815" s="55">
        <v>608</v>
      </c>
      <c r="D815" s="55">
        <v>550</v>
      </c>
      <c r="E815" s="55">
        <v>16</v>
      </c>
      <c r="F815" s="55">
        <v>66</v>
      </c>
      <c r="G815" s="55">
        <v>21</v>
      </c>
      <c r="H815" s="55">
        <v>7</v>
      </c>
      <c r="I815" s="55">
        <v>0.12</v>
      </c>
      <c r="J815" s="55">
        <v>0.04</v>
      </c>
      <c r="K815" s="55">
        <v>0.01</v>
      </c>
      <c r="L815" s="55">
        <v>15</v>
      </c>
      <c r="M815" s="54" t="s">
        <v>45</v>
      </c>
      <c r="N815" s="54" t="s">
        <v>47</v>
      </c>
      <c r="O815" s="54" t="s">
        <v>5</v>
      </c>
      <c r="P815" s="54">
        <f t="shared" si="48"/>
        <v>0</v>
      </c>
      <c r="Q815">
        <f t="shared" si="49"/>
        <v>0</v>
      </c>
      <c r="R815">
        <f t="shared" si="50"/>
        <v>0</v>
      </c>
      <c r="S815" t="b">
        <f t="shared" si="51"/>
        <v>0</v>
      </c>
    </row>
    <row r="816" spans="1:19" x14ac:dyDescent="0.2">
      <c r="A816" s="54">
        <v>228826</v>
      </c>
      <c r="B816" s="54" t="s">
        <v>1082</v>
      </c>
      <c r="C816" s="55">
        <v>30</v>
      </c>
      <c r="D816" s="55">
        <v>30</v>
      </c>
      <c r="E816" s="55">
        <v>3</v>
      </c>
      <c r="F816" s="55">
        <v>16</v>
      </c>
      <c r="G816" s="55">
        <v>16</v>
      </c>
      <c r="H816" s="55">
        <v>9</v>
      </c>
      <c r="I816" s="55">
        <v>0.53</v>
      </c>
      <c r="J816" s="55">
        <v>0.53</v>
      </c>
      <c r="K816" s="55">
        <v>0.3</v>
      </c>
      <c r="L816" s="55">
        <v>2</v>
      </c>
      <c r="M816" s="54" t="s">
        <v>30</v>
      </c>
      <c r="N816" s="54" t="s">
        <v>1401</v>
      </c>
      <c r="O816" s="54" t="s">
        <v>7</v>
      </c>
      <c r="P816" s="54">
        <f t="shared" si="48"/>
        <v>0</v>
      </c>
      <c r="Q816">
        <f t="shared" si="49"/>
        <v>0</v>
      </c>
      <c r="R816">
        <f t="shared" si="50"/>
        <v>0</v>
      </c>
      <c r="S816" t="b">
        <f t="shared" si="51"/>
        <v>0</v>
      </c>
    </row>
    <row r="817" spans="1:19" x14ac:dyDescent="0.2">
      <c r="A817" s="54">
        <v>230170</v>
      </c>
      <c r="B817" s="54" t="s">
        <v>1063</v>
      </c>
      <c r="C817" s="55">
        <v>27</v>
      </c>
      <c r="D817" s="55">
        <v>19</v>
      </c>
      <c r="E817" s="55">
        <v>0</v>
      </c>
      <c r="F817" s="55">
        <v>0</v>
      </c>
      <c r="G817" s="55">
        <v>0</v>
      </c>
      <c r="H817" s="55">
        <v>0</v>
      </c>
      <c r="I817" s="55">
        <v>0</v>
      </c>
      <c r="J817" s="55">
        <v>0</v>
      </c>
      <c r="K817" s="55">
        <v>0</v>
      </c>
      <c r="L817" s="55">
        <v>0</v>
      </c>
      <c r="M817" s="54" t="s">
        <v>30</v>
      </c>
      <c r="N817" s="54" t="s">
        <v>1401</v>
      </c>
      <c r="O817" s="54" t="s">
        <v>7</v>
      </c>
      <c r="P817" s="54">
        <f t="shared" si="48"/>
        <v>0</v>
      </c>
      <c r="Q817">
        <f t="shared" si="49"/>
        <v>0</v>
      </c>
      <c r="R817">
        <f t="shared" si="50"/>
        <v>0</v>
      </c>
      <c r="S817" t="b">
        <f t="shared" si="51"/>
        <v>0</v>
      </c>
    </row>
    <row r="818" spans="1:19" x14ac:dyDescent="0.2">
      <c r="A818" s="54">
        <v>230607</v>
      </c>
      <c r="B818" s="54" t="s">
        <v>300</v>
      </c>
      <c r="C818" s="55">
        <v>2</v>
      </c>
      <c r="D818" s="55">
        <v>116</v>
      </c>
      <c r="E818" s="55">
        <v>6</v>
      </c>
      <c r="F818" s="55">
        <v>133</v>
      </c>
      <c r="G818" s="55">
        <v>99</v>
      </c>
      <c r="H818" s="55">
        <v>96</v>
      </c>
      <c r="I818" s="55">
        <v>1.1499999999999999</v>
      </c>
      <c r="J818" s="55">
        <v>0.85</v>
      </c>
      <c r="K818" s="55">
        <v>0.83</v>
      </c>
      <c r="L818" s="55">
        <v>21</v>
      </c>
      <c r="M818" s="54" t="s">
        <v>43</v>
      </c>
      <c r="N818" s="54" t="s">
        <v>1400</v>
      </c>
      <c r="O818" s="54" t="s">
        <v>6</v>
      </c>
      <c r="P818" s="54">
        <f t="shared" si="48"/>
        <v>2</v>
      </c>
      <c r="Q818">
        <f t="shared" si="49"/>
        <v>0</v>
      </c>
      <c r="R818">
        <f t="shared" si="50"/>
        <v>2</v>
      </c>
      <c r="S818" t="b">
        <f t="shared" si="51"/>
        <v>0</v>
      </c>
    </row>
    <row r="819" spans="1:19" x14ac:dyDescent="0.2">
      <c r="A819" s="54">
        <v>232200</v>
      </c>
      <c r="B819" s="54" t="s">
        <v>895</v>
      </c>
      <c r="C819" s="55">
        <v>10</v>
      </c>
      <c r="D819" s="55">
        <v>16</v>
      </c>
      <c r="E819" s="55">
        <v>0</v>
      </c>
      <c r="F819" s="55">
        <v>0</v>
      </c>
      <c r="G819" s="55">
        <v>0</v>
      </c>
      <c r="H819" s="55">
        <v>0</v>
      </c>
      <c r="I819" s="55">
        <v>0</v>
      </c>
      <c r="J819" s="55">
        <v>0</v>
      </c>
      <c r="K819" s="55">
        <v>0</v>
      </c>
      <c r="L819" s="55">
        <v>0</v>
      </c>
      <c r="M819" s="54" t="s">
        <v>30</v>
      </c>
      <c r="N819" s="54" t="s">
        <v>1401</v>
      </c>
      <c r="O819" s="54" t="s">
        <v>7</v>
      </c>
      <c r="P819" s="54">
        <f t="shared" si="48"/>
        <v>0</v>
      </c>
      <c r="Q819">
        <f t="shared" si="49"/>
        <v>0</v>
      </c>
      <c r="R819">
        <f t="shared" si="50"/>
        <v>0</v>
      </c>
      <c r="S819" t="b">
        <f t="shared" si="51"/>
        <v>0</v>
      </c>
    </row>
    <row r="820" spans="1:19" x14ac:dyDescent="0.2">
      <c r="A820" s="54">
        <v>232925</v>
      </c>
      <c r="B820" s="54" t="s">
        <v>883</v>
      </c>
      <c r="C820" s="55">
        <v>10</v>
      </c>
      <c r="D820" s="55">
        <v>10</v>
      </c>
      <c r="E820" s="55">
        <v>3</v>
      </c>
      <c r="F820" s="55">
        <v>25</v>
      </c>
      <c r="G820" s="55">
        <v>20</v>
      </c>
      <c r="H820" s="55">
        <v>20</v>
      </c>
      <c r="I820" s="55">
        <v>2.5</v>
      </c>
      <c r="J820" s="55">
        <v>2</v>
      </c>
      <c r="K820" s="55">
        <v>2</v>
      </c>
      <c r="L820" s="55">
        <v>35</v>
      </c>
      <c r="M820" s="54" t="s">
        <v>30</v>
      </c>
      <c r="N820" s="54" t="s">
        <v>1401</v>
      </c>
      <c r="O820" s="54" t="s">
        <v>7</v>
      </c>
      <c r="P820" s="54">
        <f t="shared" si="48"/>
        <v>10</v>
      </c>
      <c r="Q820">
        <f t="shared" si="49"/>
        <v>10</v>
      </c>
      <c r="R820">
        <f t="shared" si="50"/>
        <v>10</v>
      </c>
      <c r="S820" t="b">
        <f t="shared" si="51"/>
        <v>0</v>
      </c>
    </row>
    <row r="821" spans="1:19" x14ac:dyDescent="0.2">
      <c r="A821" s="54">
        <v>233432</v>
      </c>
      <c r="B821" s="54" t="s">
        <v>887</v>
      </c>
      <c r="C821" s="55">
        <v>10</v>
      </c>
      <c r="D821" s="55">
        <v>10</v>
      </c>
      <c r="E821" s="55">
        <v>3</v>
      </c>
      <c r="F821" s="55">
        <v>43</v>
      </c>
      <c r="G821" s="55">
        <v>43</v>
      </c>
      <c r="H821" s="55">
        <v>43</v>
      </c>
      <c r="I821" s="55">
        <v>4.3</v>
      </c>
      <c r="J821" s="55">
        <v>4.3</v>
      </c>
      <c r="K821" s="55">
        <v>4.3</v>
      </c>
      <c r="L821" s="55">
        <v>0</v>
      </c>
      <c r="M821" s="54" t="s">
        <v>30</v>
      </c>
      <c r="N821" s="54" t="s">
        <v>1401</v>
      </c>
      <c r="O821" s="54" t="s">
        <v>7</v>
      </c>
      <c r="P821" s="54">
        <f t="shared" si="48"/>
        <v>10</v>
      </c>
      <c r="Q821">
        <f t="shared" si="49"/>
        <v>10</v>
      </c>
      <c r="R821">
        <f t="shared" si="50"/>
        <v>10</v>
      </c>
      <c r="S821" t="b">
        <f t="shared" si="51"/>
        <v>0</v>
      </c>
    </row>
    <row r="822" spans="1:19" x14ac:dyDescent="0.2">
      <c r="A822" s="54">
        <v>235511</v>
      </c>
      <c r="B822" s="54" t="s">
        <v>968</v>
      </c>
      <c r="C822" s="55">
        <v>16</v>
      </c>
      <c r="D822" s="55">
        <v>16</v>
      </c>
      <c r="E822" s="55">
        <v>1</v>
      </c>
      <c r="F822" s="55">
        <v>0</v>
      </c>
      <c r="G822" s="55">
        <v>0</v>
      </c>
      <c r="H822" s="55">
        <v>0</v>
      </c>
      <c r="I822" s="55">
        <v>0</v>
      </c>
      <c r="J822" s="55">
        <v>0</v>
      </c>
      <c r="K822" s="55">
        <v>0</v>
      </c>
      <c r="L822" s="55">
        <v>0</v>
      </c>
      <c r="M822" s="54" t="s">
        <v>30</v>
      </c>
      <c r="N822" s="54" t="s">
        <v>1401</v>
      </c>
      <c r="O822" s="54" t="s">
        <v>7</v>
      </c>
      <c r="P822" s="54">
        <f t="shared" si="48"/>
        <v>0</v>
      </c>
      <c r="Q822">
        <f t="shared" si="49"/>
        <v>0</v>
      </c>
      <c r="R822">
        <f t="shared" si="50"/>
        <v>0</v>
      </c>
      <c r="S822" t="b">
        <f t="shared" si="51"/>
        <v>0</v>
      </c>
    </row>
    <row r="823" spans="1:19" x14ac:dyDescent="0.2">
      <c r="A823" s="54">
        <v>236186</v>
      </c>
      <c r="B823" s="54" t="s">
        <v>851</v>
      </c>
      <c r="C823" s="55">
        <v>8</v>
      </c>
      <c r="D823" s="55">
        <v>8</v>
      </c>
      <c r="E823" s="55">
        <v>4</v>
      </c>
      <c r="F823" s="55">
        <v>5</v>
      </c>
      <c r="G823" s="55">
        <v>5</v>
      </c>
      <c r="H823" s="55">
        <v>0</v>
      </c>
      <c r="I823" s="55">
        <v>0.63</v>
      </c>
      <c r="J823" s="55">
        <v>0.63</v>
      </c>
      <c r="K823" s="55">
        <v>0</v>
      </c>
      <c r="L823" s="55">
        <v>0</v>
      </c>
      <c r="M823" s="54" t="s">
        <v>30</v>
      </c>
      <c r="N823" s="54" t="s">
        <v>1401</v>
      </c>
      <c r="O823" s="54" t="s">
        <v>7</v>
      </c>
      <c r="P823" s="54">
        <f t="shared" si="48"/>
        <v>0</v>
      </c>
      <c r="Q823">
        <f t="shared" si="49"/>
        <v>0</v>
      </c>
      <c r="R823">
        <f t="shared" si="50"/>
        <v>0</v>
      </c>
      <c r="S823" t="b">
        <f t="shared" si="51"/>
        <v>0</v>
      </c>
    </row>
    <row r="824" spans="1:19" x14ac:dyDescent="0.2">
      <c r="A824" s="54">
        <v>236367</v>
      </c>
      <c r="B824" s="54" t="s">
        <v>921</v>
      </c>
      <c r="C824" s="55">
        <v>13</v>
      </c>
      <c r="D824" s="55">
        <v>13</v>
      </c>
      <c r="E824" s="55">
        <v>2</v>
      </c>
      <c r="F824" s="55">
        <v>7</v>
      </c>
      <c r="G824" s="55">
        <v>7</v>
      </c>
      <c r="H824" s="55">
        <v>7</v>
      </c>
      <c r="I824" s="55">
        <v>0.54</v>
      </c>
      <c r="J824" s="55">
        <v>0.54</v>
      </c>
      <c r="K824" s="55">
        <v>0.54</v>
      </c>
      <c r="L824" s="55">
        <v>2</v>
      </c>
      <c r="M824" s="54" t="s">
        <v>30</v>
      </c>
      <c r="N824" s="54" t="s">
        <v>1401</v>
      </c>
      <c r="O824" s="54" t="s">
        <v>7</v>
      </c>
      <c r="P824" s="54">
        <f t="shared" si="48"/>
        <v>0</v>
      </c>
      <c r="Q824">
        <f t="shared" si="49"/>
        <v>0</v>
      </c>
      <c r="R824">
        <f t="shared" si="50"/>
        <v>0</v>
      </c>
      <c r="S824" t="b">
        <f t="shared" si="51"/>
        <v>0</v>
      </c>
    </row>
    <row r="825" spans="1:19" x14ac:dyDescent="0.2">
      <c r="A825" s="54">
        <v>237178</v>
      </c>
      <c r="B825" s="54" t="s">
        <v>987</v>
      </c>
      <c r="C825" s="55">
        <v>18</v>
      </c>
      <c r="D825" s="55">
        <v>175</v>
      </c>
      <c r="E825" s="55">
        <v>1</v>
      </c>
      <c r="F825" s="55">
        <v>19</v>
      </c>
      <c r="G825" s="55">
        <v>19</v>
      </c>
      <c r="H825" s="55">
        <v>19</v>
      </c>
      <c r="I825" s="55">
        <v>0.11</v>
      </c>
      <c r="J825" s="55">
        <v>0.11</v>
      </c>
      <c r="K825" s="55">
        <v>0.11</v>
      </c>
      <c r="L825" s="55">
        <v>0</v>
      </c>
      <c r="M825" s="54" t="s">
        <v>30</v>
      </c>
      <c r="N825" s="54" t="s">
        <v>1401</v>
      </c>
      <c r="O825" s="54" t="s">
        <v>6</v>
      </c>
      <c r="P825" s="54">
        <f t="shared" si="48"/>
        <v>0</v>
      </c>
      <c r="Q825">
        <f t="shared" si="49"/>
        <v>0</v>
      </c>
      <c r="R825">
        <f t="shared" si="50"/>
        <v>0</v>
      </c>
      <c r="S825" t="b">
        <f t="shared" si="51"/>
        <v>0</v>
      </c>
    </row>
    <row r="826" spans="1:19" x14ac:dyDescent="0.2">
      <c r="A826" s="54">
        <v>237422</v>
      </c>
      <c r="B826" s="54" t="s">
        <v>584</v>
      </c>
      <c r="C826" s="55">
        <v>15</v>
      </c>
      <c r="D826" s="55">
        <v>16</v>
      </c>
      <c r="E826" s="55">
        <v>7</v>
      </c>
      <c r="F826" s="55">
        <v>11</v>
      </c>
      <c r="G826" s="55">
        <v>6</v>
      </c>
      <c r="H826" s="55">
        <v>6</v>
      </c>
      <c r="I826" s="55">
        <v>0.69</v>
      </c>
      <c r="J826" s="55">
        <v>0.38</v>
      </c>
      <c r="K826" s="55">
        <v>0.38</v>
      </c>
      <c r="L826" s="55">
        <v>4</v>
      </c>
      <c r="M826" s="54" t="s">
        <v>43</v>
      </c>
      <c r="N826" s="54" t="s">
        <v>1400</v>
      </c>
      <c r="O826" s="54" t="s">
        <v>7</v>
      </c>
      <c r="P826" s="54">
        <f t="shared" si="48"/>
        <v>0</v>
      </c>
      <c r="Q826">
        <f t="shared" si="49"/>
        <v>0</v>
      </c>
      <c r="R826">
        <f t="shared" si="50"/>
        <v>0</v>
      </c>
      <c r="S826" t="b">
        <f t="shared" si="51"/>
        <v>0</v>
      </c>
    </row>
    <row r="827" spans="1:19" x14ac:dyDescent="0.2">
      <c r="A827" s="54">
        <v>239968</v>
      </c>
      <c r="B827" s="54" t="s">
        <v>1010</v>
      </c>
      <c r="C827" s="55">
        <v>20</v>
      </c>
      <c r="D827" s="55">
        <v>25</v>
      </c>
      <c r="E827" s="55">
        <v>3</v>
      </c>
      <c r="F827" s="55">
        <v>0</v>
      </c>
      <c r="G827" s="55">
        <v>0</v>
      </c>
      <c r="H827" s="55">
        <v>0</v>
      </c>
      <c r="I827" s="55">
        <v>0</v>
      </c>
      <c r="J827" s="55">
        <v>0</v>
      </c>
      <c r="K827" s="55">
        <v>0</v>
      </c>
      <c r="L827" s="55">
        <v>0</v>
      </c>
      <c r="M827" s="54" t="s">
        <v>30</v>
      </c>
      <c r="N827" s="54" t="s">
        <v>1401</v>
      </c>
      <c r="O827" s="54" t="s">
        <v>7</v>
      </c>
      <c r="P827" s="54">
        <f t="shared" si="48"/>
        <v>0</v>
      </c>
      <c r="Q827">
        <f t="shared" si="49"/>
        <v>0</v>
      </c>
      <c r="R827">
        <f t="shared" si="50"/>
        <v>0</v>
      </c>
      <c r="S827" t="b">
        <f t="shared" si="51"/>
        <v>0</v>
      </c>
    </row>
    <row r="828" spans="1:19" x14ac:dyDescent="0.2">
      <c r="A828" s="54">
        <v>241689</v>
      </c>
      <c r="B828" s="54" t="s">
        <v>466</v>
      </c>
      <c r="C828" s="55">
        <v>1</v>
      </c>
      <c r="D828" s="55">
        <v>6</v>
      </c>
      <c r="E828" s="55">
        <v>8</v>
      </c>
      <c r="F828" s="55">
        <v>28</v>
      </c>
      <c r="G828" s="55">
        <v>28</v>
      </c>
      <c r="H828" s="55">
        <v>9</v>
      </c>
      <c r="I828" s="55">
        <v>4.67</v>
      </c>
      <c r="J828" s="55">
        <v>4.67</v>
      </c>
      <c r="K828" s="55">
        <v>1.5</v>
      </c>
      <c r="L828" s="55">
        <v>84</v>
      </c>
      <c r="M828" s="54" t="s">
        <v>43</v>
      </c>
      <c r="N828" s="54" t="s">
        <v>1400</v>
      </c>
      <c r="O828" s="54" t="s">
        <v>7</v>
      </c>
      <c r="P828" s="54">
        <f t="shared" si="48"/>
        <v>1</v>
      </c>
      <c r="Q828">
        <f t="shared" si="49"/>
        <v>1</v>
      </c>
      <c r="R828">
        <f t="shared" si="50"/>
        <v>1</v>
      </c>
      <c r="S828" t="b">
        <f t="shared" si="51"/>
        <v>0</v>
      </c>
    </row>
    <row r="829" spans="1:19" x14ac:dyDescent="0.2">
      <c r="A829" s="54">
        <v>242096</v>
      </c>
      <c r="B829" s="54" t="s">
        <v>875</v>
      </c>
      <c r="C829" s="55">
        <v>10</v>
      </c>
      <c r="D829" s="55">
        <v>10</v>
      </c>
      <c r="E829" s="55">
        <v>1</v>
      </c>
      <c r="F829" s="55">
        <v>0</v>
      </c>
      <c r="G829" s="55">
        <v>0</v>
      </c>
      <c r="H829" s="55">
        <v>0</v>
      </c>
      <c r="I829" s="55">
        <v>0</v>
      </c>
      <c r="J829" s="55">
        <v>0</v>
      </c>
      <c r="K829" s="55">
        <v>0</v>
      </c>
      <c r="L829" s="55">
        <v>0</v>
      </c>
      <c r="M829" s="54" t="s">
        <v>30</v>
      </c>
      <c r="N829" s="54" t="s">
        <v>1401</v>
      </c>
      <c r="O829" s="54" t="s">
        <v>7</v>
      </c>
      <c r="P829" s="54">
        <f t="shared" si="48"/>
        <v>0</v>
      </c>
      <c r="Q829">
        <f t="shared" si="49"/>
        <v>0</v>
      </c>
      <c r="R829">
        <f t="shared" si="50"/>
        <v>0</v>
      </c>
      <c r="S829" t="b">
        <f t="shared" si="51"/>
        <v>0</v>
      </c>
    </row>
    <row r="830" spans="1:19" x14ac:dyDescent="0.2">
      <c r="A830" s="54">
        <v>252871</v>
      </c>
      <c r="B830" s="54" t="s">
        <v>524</v>
      </c>
      <c r="C830" s="55">
        <v>1</v>
      </c>
      <c r="D830" s="55">
        <v>6</v>
      </c>
      <c r="E830" s="55">
        <v>6</v>
      </c>
      <c r="F830" s="55">
        <v>4</v>
      </c>
      <c r="G830" s="55">
        <v>4</v>
      </c>
      <c r="H830" s="55">
        <v>0</v>
      </c>
      <c r="I830" s="55">
        <v>0.67</v>
      </c>
      <c r="J830" s="55">
        <v>0.67</v>
      </c>
      <c r="K830" s="55">
        <v>0</v>
      </c>
      <c r="L830" s="55">
        <v>3</v>
      </c>
      <c r="M830" s="54" t="s">
        <v>43</v>
      </c>
      <c r="N830" s="54" t="s">
        <v>1400</v>
      </c>
      <c r="O830" s="54" t="s">
        <v>7</v>
      </c>
      <c r="P830" s="54">
        <f t="shared" si="48"/>
        <v>0</v>
      </c>
      <c r="Q830">
        <f t="shared" si="49"/>
        <v>0</v>
      </c>
      <c r="R830">
        <f t="shared" si="50"/>
        <v>0</v>
      </c>
      <c r="S830" t="b">
        <f t="shared" si="51"/>
        <v>0</v>
      </c>
    </row>
    <row r="831" spans="1:19" x14ac:dyDescent="0.2">
      <c r="A831" s="54">
        <v>270032</v>
      </c>
      <c r="B831" s="54" t="s">
        <v>1068</v>
      </c>
      <c r="C831" s="55">
        <v>28</v>
      </c>
      <c r="D831" s="55">
        <v>28</v>
      </c>
      <c r="E831" s="55">
        <v>5</v>
      </c>
      <c r="F831" s="55">
        <v>6</v>
      </c>
      <c r="G831" s="55">
        <v>6</v>
      </c>
      <c r="H831" s="55">
        <v>0</v>
      </c>
      <c r="I831" s="55">
        <v>0.21</v>
      </c>
      <c r="J831" s="55">
        <v>0.21</v>
      </c>
      <c r="K831" s="55">
        <v>0</v>
      </c>
      <c r="L831" s="55">
        <v>3</v>
      </c>
      <c r="M831" s="54" t="s">
        <v>30</v>
      </c>
      <c r="N831" s="54" t="s">
        <v>1401</v>
      </c>
      <c r="O831" s="54" t="s">
        <v>7</v>
      </c>
      <c r="P831" s="54">
        <f t="shared" si="48"/>
        <v>0</v>
      </c>
      <c r="Q831">
        <f t="shared" si="49"/>
        <v>0</v>
      </c>
      <c r="R831">
        <f t="shared" si="50"/>
        <v>0</v>
      </c>
      <c r="S831" t="b">
        <f t="shared" si="51"/>
        <v>0</v>
      </c>
    </row>
    <row r="832" spans="1:19" x14ac:dyDescent="0.2">
      <c r="A832" s="54">
        <v>270751</v>
      </c>
      <c r="B832" s="54" t="s">
        <v>1112</v>
      </c>
      <c r="C832" s="55">
        <v>35</v>
      </c>
      <c r="D832" s="55">
        <v>48</v>
      </c>
      <c r="E832" s="55">
        <v>0</v>
      </c>
      <c r="F832" s="55">
        <v>0</v>
      </c>
      <c r="G832" s="55">
        <v>0</v>
      </c>
      <c r="H832" s="55">
        <v>0</v>
      </c>
      <c r="I832" s="55">
        <v>0</v>
      </c>
      <c r="J832" s="55">
        <v>0</v>
      </c>
      <c r="K832" s="55">
        <v>0</v>
      </c>
      <c r="L832" s="55">
        <v>0</v>
      </c>
      <c r="M832" s="54" t="s">
        <v>30</v>
      </c>
      <c r="N832" s="54" t="s">
        <v>1401</v>
      </c>
      <c r="O832" s="54" t="s">
        <v>7</v>
      </c>
      <c r="P832" s="54">
        <f t="shared" si="48"/>
        <v>0</v>
      </c>
      <c r="Q832">
        <f t="shared" si="49"/>
        <v>0</v>
      </c>
      <c r="R832">
        <f t="shared" si="50"/>
        <v>0</v>
      </c>
      <c r="S832" t="b">
        <f t="shared" si="51"/>
        <v>0</v>
      </c>
    </row>
    <row r="833" spans="1:19" x14ac:dyDescent="0.2">
      <c r="A833" s="54">
        <v>277916</v>
      </c>
      <c r="B833" s="54" t="s">
        <v>649</v>
      </c>
      <c r="C833" s="55">
        <v>7</v>
      </c>
      <c r="D833" s="55">
        <v>7</v>
      </c>
      <c r="E833" s="55">
        <v>22</v>
      </c>
      <c r="F833" s="55">
        <v>0</v>
      </c>
      <c r="G833" s="55">
        <v>0</v>
      </c>
      <c r="H833" s="55">
        <v>0</v>
      </c>
      <c r="I833" s="55">
        <v>0</v>
      </c>
      <c r="J833" s="55">
        <v>0</v>
      </c>
      <c r="K833" s="55">
        <v>0</v>
      </c>
      <c r="L833" s="55">
        <v>0</v>
      </c>
      <c r="M833" s="54" t="s">
        <v>45</v>
      </c>
      <c r="N833" s="54" t="s">
        <v>47</v>
      </c>
      <c r="O833" s="54" t="s">
        <v>7</v>
      </c>
      <c r="P833" s="54">
        <f t="shared" si="48"/>
        <v>0</v>
      </c>
      <c r="Q833">
        <f t="shared" si="49"/>
        <v>0</v>
      </c>
      <c r="R833">
        <f t="shared" si="50"/>
        <v>0</v>
      </c>
      <c r="S833" t="b">
        <f t="shared" si="51"/>
        <v>0</v>
      </c>
    </row>
    <row r="834" spans="1:19" x14ac:dyDescent="0.2">
      <c r="A834" s="54">
        <v>293426</v>
      </c>
      <c r="B834" s="54" t="s">
        <v>449</v>
      </c>
      <c r="C834" s="55">
        <v>8</v>
      </c>
      <c r="D834" s="55">
        <v>16</v>
      </c>
      <c r="E834" s="55">
        <v>30</v>
      </c>
      <c r="F834" s="55">
        <v>34</v>
      </c>
      <c r="G834" s="55">
        <v>25</v>
      </c>
      <c r="H834" s="55">
        <v>0</v>
      </c>
      <c r="I834" s="55">
        <v>2.13</v>
      </c>
      <c r="J834" s="55">
        <v>1.56</v>
      </c>
      <c r="K834" s="55">
        <v>0</v>
      </c>
      <c r="L834" s="55">
        <v>34</v>
      </c>
      <c r="M834" s="54" t="s">
        <v>47</v>
      </c>
      <c r="N834" s="54" t="s">
        <v>47</v>
      </c>
      <c r="O834" s="54" t="s">
        <v>7</v>
      </c>
      <c r="P834" s="54">
        <f t="shared" ref="P834:P897" si="52">IF(I834&gt;=2, C834, IF(J834&gt;=0.75, C834, 0))</f>
        <v>8</v>
      </c>
      <c r="Q834">
        <f t="shared" ref="Q834:Q897" si="53">IF(I834&gt;=2, C834, IF(AND(J834&gt;=0.75, D834&gt;=550), C834, 0))</f>
        <v>8</v>
      </c>
      <c r="R834">
        <f t="shared" ref="R834:R897" si="54">IF(J834&gt;=0.75, C834, 0)</f>
        <v>8</v>
      </c>
      <c r="S834" t="b">
        <f t="shared" si="51"/>
        <v>0</v>
      </c>
    </row>
    <row r="835" spans="1:19" x14ac:dyDescent="0.2">
      <c r="A835" s="54">
        <v>300074</v>
      </c>
      <c r="B835" s="54" t="s">
        <v>198</v>
      </c>
      <c r="C835" s="55">
        <v>1</v>
      </c>
      <c r="D835" s="55">
        <v>200</v>
      </c>
      <c r="E835" s="55">
        <v>12</v>
      </c>
      <c r="F835" s="55">
        <v>270</v>
      </c>
      <c r="G835" s="55">
        <v>247</v>
      </c>
      <c r="H835" s="55">
        <v>88</v>
      </c>
      <c r="I835" s="55">
        <v>1.35</v>
      </c>
      <c r="J835" s="55">
        <v>1.24</v>
      </c>
      <c r="K835" s="55">
        <v>0.44</v>
      </c>
      <c r="L835" s="55">
        <v>73</v>
      </c>
      <c r="M835" s="54" t="s">
        <v>43</v>
      </c>
      <c r="N835" s="54" t="s">
        <v>1400</v>
      </c>
      <c r="O835" s="54" t="s">
        <v>6</v>
      </c>
      <c r="P835" s="54">
        <f t="shared" si="52"/>
        <v>1</v>
      </c>
      <c r="Q835">
        <f t="shared" si="53"/>
        <v>0</v>
      </c>
      <c r="R835">
        <f t="shared" si="54"/>
        <v>1</v>
      </c>
      <c r="S835" t="b">
        <f t="shared" ref="S835:S898" si="55">IF(A835=A836,TRUE,FALSE)</f>
        <v>0</v>
      </c>
    </row>
    <row r="836" spans="1:19" x14ac:dyDescent="0.2">
      <c r="A836" s="54">
        <v>300075</v>
      </c>
      <c r="B836" s="54" t="s">
        <v>1149</v>
      </c>
      <c r="C836" s="55">
        <v>52</v>
      </c>
      <c r="D836" s="55">
        <v>55</v>
      </c>
      <c r="E836" s="55">
        <v>2</v>
      </c>
      <c r="F836" s="55">
        <v>51</v>
      </c>
      <c r="G836" s="55">
        <v>51</v>
      </c>
      <c r="H836" s="55">
        <v>51</v>
      </c>
      <c r="I836" s="55">
        <v>0.93</v>
      </c>
      <c r="J836" s="55">
        <v>0.93</v>
      </c>
      <c r="K836" s="55">
        <v>0.93</v>
      </c>
      <c r="L836" s="55">
        <v>114</v>
      </c>
      <c r="M836" s="54" t="s">
        <v>30</v>
      </c>
      <c r="N836" s="54" t="s">
        <v>1401</v>
      </c>
      <c r="O836" s="54" t="s">
        <v>7</v>
      </c>
      <c r="P836" s="54">
        <f t="shared" si="52"/>
        <v>52</v>
      </c>
      <c r="Q836">
        <f t="shared" si="53"/>
        <v>0</v>
      </c>
      <c r="R836">
        <f t="shared" si="54"/>
        <v>52</v>
      </c>
      <c r="S836" t="b">
        <f t="shared" si="55"/>
        <v>0</v>
      </c>
    </row>
    <row r="837" spans="1:19" x14ac:dyDescent="0.2">
      <c r="A837" s="54">
        <v>300173</v>
      </c>
      <c r="B837" s="54" t="s">
        <v>1167</v>
      </c>
      <c r="C837" s="55">
        <v>60</v>
      </c>
      <c r="D837" s="55">
        <v>88</v>
      </c>
      <c r="E837" s="55">
        <v>2</v>
      </c>
      <c r="F837" s="55">
        <v>136</v>
      </c>
      <c r="G837" s="55">
        <v>136</v>
      </c>
      <c r="H837" s="55">
        <v>136</v>
      </c>
      <c r="I837" s="55">
        <v>1.55</v>
      </c>
      <c r="J837" s="55">
        <v>1.55</v>
      </c>
      <c r="K837" s="55">
        <v>1.55</v>
      </c>
      <c r="L837" s="55">
        <v>45</v>
      </c>
      <c r="M837" s="54" t="s">
        <v>30</v>
      </c>
      <c r="N837" s="54" t="s">
        <v>1401</v>
      </c>
      <c r="O837" s="54" t="s">
        <v>7</v>
      </c>
      <c r="P837" s="54">
        <f t="shared" si="52"/>
        <v>60</v>
      </c>
      <c r="Q837">
        <f t="shared" si="53"/>
        <v>0</v>
      </c>
      <c r="R837">
        <f t="shared" si="54"/>
        <v>60</v>
      </c>
      <c r="S837" t="b">
        <f t="shared" si="55"/>
        <v>0</v>
      </c>
    </row>
    <row r="838" spans="1:19" x14ac:dyDescent="0.2">
      <c r="A838" s="54">
        <v>300623</v>
      </c>
      <c r="B838" s="54" t="s">
        <v>1102</v>
      </c>
      <c r="C838" s="55">
        <v>33</v>
      </c>
      <c r="D838" s="55">
        <v>28</v>
      </c>
      <c r="E838" s="55">
        <v>4</v>
      </c>
      <c r="F838" s="55">
        <v>3</v>
      </c>
      <c r="G838" s="55">
        <v>3</v>
      </c>
      <c r="H838" s="55">
        <v>2</v>
      </c>
      <c r="I838" s="55">
        <v>0.11</v>
      </c>
      <c r="J838" s="55">
        <v>0.11</v>
      </c>
      <c r="K838" s="55">
        <v>7.0000000000000007E-2</v>
      </c>
      <c r="L838" s="55">
        <v>3</v>
      </c>
      <c r="M838" s="54" t="s">
        <v>30</v>
      </c>
      <c r="N838" s="54" t="s">
        <v>1401</v>
      </c>
      <c r="O838" s="54" t="s">
        <v>7</v>
      </c>
      <c r="P838" s="54">
        <f t="shared" si="52"/>
        <v>0</v>
      </c>
      <c r="Q838">
        <f t="shared" si="53"/>
        <v>0</v>
      </c>
      <c r="R838">
        <f t="shared" si="54"/>
        <v>0</v>
      </c>
      <c r="S838" t="b">
        <f t="shared" si="55"/>
        <v>0</v>
      </c>
    </row>
    <row r="839" spans="1:19" x14ac:dyDescent="0.2">
      <c r="A839" s="54">
        <v>300687</v>
      </c>
      <c r="B839" s="54" t="s">
        <v>447</v>
      </c>
      <c r="C839" s="55">
        <v>120</v>
      </c>
      <c r="D839" s="55">
        <v>175</v>
      </c>
      <c r="E839" s="55">
        <v>46</v>
      </c>
      <c r="F839" s="55">
        <v>30</v>
      </c>
      <c r="G839" s="55">
        <v>23</v>
      </c>
      <c r="H839" s="55">
        <v>12</v>
      </c>
      <c r="I839" s="55">
        <v>0.17</v>
      </c>
      <c r="J839" s="55">
        <v>0.13</v>
      </c>
      <c r="K839" s="55">
        <v>7.0000000000000007E-2</v>
      </c>
      <c r="L839" s="55">
        <v>12</v>
      </c>
      <c r="M839" s="54" t="s">
        <v>47</v>
      </c>
      <c r="N839" s="54" t="s">
        <v>47</v>
      </c>
      <c r="O839" s="54" t="s">
        <v>6</v>
      </c>
      <c r="P839" s="54">
        <f t="shared" si="52"/>
        <v>0</v>
      </c>
      <c r="Q839">
        <f t="shared" si="53"/>
        <v>0</v>
      </c>
      <c r="R839">
        <f t="shared" si="54"/>
        <v>0</v>
      </c>
      <c r="S839" t="b">
        <f t="shared" si="55"/>
        <v>0</v>
      </c>
    </row>
    <row r="840" spans="1:19" x14ac:dyDescent="0.2">
      <c r="A840" s="54">
        <v>301497</v>
      </c>
      <c r="B840" s="54" t="s">
        <v>898</v>
      </c>
      <c r="C840" s="55">
        <v>11</v>
      </c>
      <c r="D840" s="55">
        <v>7</v>
      </c>
      <c r="E840" s="55">
        <v>2</v>
      </c>
      <c r="F840" s="55">
        <v>59</v>
      </c>
      <c r="G840" s="55">
        <v>59</v>
      </c>
      <c r="H840" s="55">
        <v>59</v>
      </c>
      <c r="I840" s="55">
        <v>8.43</v>
      </c>
      <c r="J840" s="55">
        <v>8.43</v>
      </c>
      <c r="K840" s="55">
        <v>8.43</v>
      </c>
      <c r="L840" s="55">
        <v>0</v>
      </c>
      <c r="M840" s="54" t="s">
        <v>30</v>
      </c>
      <c r="N840" s="54" t="s">
        <v>1401</v>
      </c>
      <c r="O840" s="54" t="s">
        <v>7</v>
      </c>
      <c r="P840" s="54">
        <f t="shared" si="52"/>
        <v>11</v>
      </c>
      <c r="Q840">
        <f t="shared" si="53"/>
        <v>11</v>
      </c>
      <c r="R840">
        <f t="shared" si="54"/>
        <v>11</v>
      </c>
      <c r="S840" t="b">
        <f t="shared" si="55"/>
        <v>0</v>
      </c>
    </row>
    <row r="841" spans="1:19" x14ac:dyDescent="0.2">
      <c r="A841" s="54">
        <v>301506</v>
      </c>
      <c r="B841" s="54" t="s">
        <v>345</v>
      </c>
      <c r="C841" s="55">
        <v>0</v>
      </c>
      <c r="D841" s="55">
        <v>20</v>
      </c>
      <c r="E841" s="55">
        <v>14</v>
      </c>
      <c r="F841" s="55">
        <v>117</v>
      </c>
      <c r="G841" s="55">
        <v>0</v>
      </c>
      <c r="H841" s="55">
        <v>0</v>
      </c>
      <c r="I841" s="55">
        <v>5.85</v>
      </c>
      <c r="J841" s="55">
        <v>0</v>
      </c>
      <c r="K841" s="55">
        <v>0</v>
      </c>
      <c r="L841" s="55">
        <v>0</v>
      </c>
      <c r="M841" s="54" t="s">
        <v>45</v>
      </c>
      <c r="N841" s="54" t="s">
        <v>47</v>
      </c>
      <c r="O841" s="54" t="s">
        <v>7</v>
      </c>
      <c r="P841" s="54">
        <f t="shared" si="52"/>
        <v>0</v>
      </c>
      <c r="Q841">
        <f t="shared" si="53"/>
        <v>0</v>
      </c>
      <c r="R841">
        <f t="shared" si="54"/>
        <v>0</v>
      </c>
      <c r="S841" t="b">
        <f t="shared" si="55"/>
        <v>0</v>
      </c>
    </row>
    <row r="842" spans="1:19" x14ac:dyDescent="0.2">
      <c r="A842" s="54">
        <v>302284</v>
      </c>
      <c r="B842" s="54" t="s">
        <v>821</v>
      </c>
      <c r="C842" s="55">
        <v>6</v>
      </c>
      <c r="D842" s="55">
        <v>9</v>
      </c>
      <c r="E842" s="55">
        <v>0</v>
      </c>
      <c r="F842" s="55">
        <v>0</v>
      </c>
      <c r="G842" s="55">
        <v>0</v>
      </c>
      <c r="H842" s="55">
        <v>0</v>
      </c>
      <c r="I842" s="55">
        <v>0</v>
      </c>
      <c r="J842" s="55">
        <v>0</v>
      </c>
      <c r="K842" s="55">
        <v>0</v>
      </c>
      <c r="L842" s="55">
        <v>0</v>
      </c>
      <c r="M842" s="54" t="s">
        <v>30</v>
      </c>
      <c r="N842" s="54" t="s">
        <v>1401</v>
      </c>
      <c r="O842" s="54" t="s">
        <v>7</v>
      </c>
      <c r="P842" s="54">
        <f t="shared" si="52"/>
        <v>0</v>
      </c>
      <c r="Q842">
        <f t="shared" si="53"/>
        <v>0</v>
      </c>
      <c r="R842">
        <f t="shared" si="54"/>
        <v>0</v>
      </c>
      <c r="S842" t="b">
        <f t="shared" si="55"/>
        <v>0</v>
      </c>
    </row>
    <row r="843" spans="1:19" x14ac:dyDescent="0.2">
      <c r="A843" s="54">
        <v>302704</v>
      </c>
      <c r="B843" s="54" t="s">
        <v>1059</v>
      </c>
      <c r="C843" s="55">
        <v>27</v>
      </c>
      <c r="D843" s="55">
        <v>27</v>
      </c>
      <c r="E843" s="55">
        <v>1</v>
      </c>
      <c r="F843" s="55">
        <v>42</v>
      </c>
      <c r="G843" s="55">
        <v>42</v>
      </c>
      <c r="H843" s="55">
        <v>42</v>
      </c>
      <c r="I843" s="55">
        <v>1.56</v>
      </c>
      <c r="J843" s="55">
        <v>1.56</v>
      </c>
      <c r="K843" s="55">
        <v>1.56</v>
      </c>
      <c r="L843" s="55">
        <v>21</v>
      </c>
      <c r="M843" s="54" t="s">
        <v>30</v>
      </c>
      <c r="N843" s="54" t="s">
        <v>1401</v>
      </c>
      <c r="O843" s="54" t="s">
        <v>7</v>
      </c>
      <c r="P843" s="54">
        <f t="shared" si="52"/>
        <v>27</v>
      </c>
      <c r="Q843">
        <f t="shared" si="53"/>
        <v>0</v>
      </c>
      <c r="R843">
        <f t="shared" si="54"/>
        <v>27</v>
      </c>
      <c r="S843" t="b">
        <f t="shared" si="55"/>
        <v>0</v>
      </c>
    </row>
    <row r="844" spans="1:19" x14ac:dyDescent="0.2">
      <c r="A844" s="54">
        <v>302836</v>
      </c>
      <c r="B844" s="54" t="s">
        <v>66</v>
      </c>
      <c r="C844" s="55">
        <v>8</v>
      </c>
      <c r="D844" s="55">
        <v>505</v>
      </c>
      <c r="E844" s="55">
        <v>7</v>
      </c>
      <c r="F844" s="55">
        <v>1749</v>
      </c>
      <c r="G844" s="55">
        <v>1749</v>
      </c>
      <c r="H844" s="55">
        <v>750</v>
      </c>
      <c r="I844" s="55">
        <v>3.46</v>
      </c>
      <c r="J844" s="55">
        <v>3.46</v>
      </c>
      <c r="K844" s="55">
        <v>1.49</v>
      </c>
      <c r="L844" s="55">
        <v>109</v>
      </c>
      <c r="M844" s="54" t="s">
        <v>43</v>
      </c>
      <c r="N844" s="54" t="s">
        <v>1400</v>
      </c>
      <c r="O844" s="54" t="s">
        <v>6</v>
      </c>
      <c r="P844" s="54">
        <f t="shared" si="52"/>
        <v>8</v>
      </c>
      <c r="Q844">
        <f t="shared" si="53"/>
        <v>8</v>
      </c>
      <c r="R844">
        <f t="shared" si="54"/>
        <v>8</v>
      </c>
      <c r="S844" t="b">
        <f t="shared" si="55"/>
        <v>0</v>
      </c>
    </row>
    <row r="845" spans="1:19" x14ac:dyDescent="0.2">
      <c r="A845" s="54">
        <v>302910</v>
      </c>
      <c r="B845" s="54" t="s">
        <v>717</v>
      </c>
      <c r="C845" s="55">
        <v>2</v>
      </c>
      <c r="D845" s="55">
        <v>10</v>
      </c>
      <c r="E845" s="55">
        <v>2</v>
      </c>
      <c r="F845" s="55">
        <v>25</v>
      </c>
      <c r="G845" s="55">
        <v>13</v>
      </c>
      <c r="H845" s="55">
        <v>13</v>
      </c>
      <c r="I845" s="55">
        <v>2.5</v>
      </c>
      <c r="J845" s="55">
        <v>1.3</v>
      </c>
      <c r="K845" s="55">
        <v>1.3</v>
      </c>
      <c r="L845" s="55">
        <v>58</v>
      </c>
      <c r="M845" s="54" t="s">
        <v>30</v>
      </c>
      <c r="N845" s="54" t="s">
        <v>1401</v>
      </c>
      <c r="O845" s="54" t="s">
        <v>7</v>
      </c>
      <c r="P845" s="54">
        <f t="shared" si="52"/>
        <v>2</v>
      </c>
      <c r="Q845">
        <f t="shared" si="53"/>
        <v>2</v>
      </c>
      <c r="R845">
        <f t="shared" si="54"/>
        <v>2</v>
      </c>
      <c r="S845" t="b">
        <f t="shared" si="55"/>
        <v>0</v>
      </c>
    </row>
    <row r="846" spans="1:19" x14ac:dyDescent="0.2">
      <c r="A846" s="54">
        <v>302987</v>
      </c>
      <c r="B846" s="54" t="s">
        <v>556</v>
      </c>
      <c r="C846" s="55">
        <v>16</v>
      </c>
      <c r="D846" s="55">
        <v>28</v>
      </c>
      <c r="E846" s="55">
        <v>50</v>
      </c>
      <c r="F846" s="55">
        <v>8</v>
      </c>
      <c r="G846" s="55">
        <v>1</v>
      </c>
      <c r="H846" s="55">
        <v>0</v>
      </c>
      <c r="I846" s="55">
        <v>0.28999999999999998</v>
      </c>
      <c r="J846" s="55">
        <v>0.04</v>
      </c>
      <c r="K846" s="55">
        <v>0</v>
      </c>
      <c r="L846" s="55">
        <v>0</v>
      </c>
      <c r="M846" s="54" t="s">
        <v>47</v>
      </c>
      <c r="N846" s="54" t="s">
        <v>47</v>
      </c>
      <c r="O846" s="54" t="s">
        <v>7</v>
      </c>
      <c r="P846" s="54">
        <f t="shared" si="52"/>
        <v>0</v>
      </c>
      <c r="Q846">
        <f t="shared" si="53"/>
        <v>0</v>
      </c>
      <c r="R846">
        <f t="shared" si="54"/>
        <v>0</v>
      </c>
      <c r="S846" t="b">
        <f t="shared" si="55"/>
        <v>0</v>
      </c>
    </row>
    <row r="847" spans="1:19" x14ac:dyDescent="0.2">
      <c r="A847" s="54">
        <v>303208</v>
      </c>
      <c r="B847" s="54" t="s">
        <v>1140</v>
      </c>
      <c r="C847" s="55">
        <v>47</v>
      </c>
      <c r="D847" s="55">
        <v>15</v>
      </c>
      <c r="E847" s="55">
        <v>2</v>
      </c>
      <c r="F847" s="55">
        <v>0</v>
      </c>
      <c r="G847" s="55">
        <v>0</v>
      </c>
      <c r="H847" s="55">
        <v>0</v>
      </c>
      <c r="I847" s="55">
        <v>0</v>
      </c>
      <c r="J847" s="55">
        <v>0</v>
      </c>
      <c r="K847" s="55">
        <v>0</v>
      </c>
      <c r="L847" s="55">
        <v>0</v>
      </c>
      <c r="M847" s="54" t="s">
        <v>30</v>
      </c>
      <c r="N847" s="54" t="s">
        <v>1401</v>
      </c>
      <c r="O847" s="54" t="s">
        <v>7</v>
      </c>
      <c r="P847" s="54">
        <f t="shared" si="52"/>
        <v>0</v>
      </c>
      <c r="Q847">
        <f t="shared" si="53"/>
        <v>0</v>
      </c>
      <c r="R847">
        <f t="shared" si="54"/>
        <v>0</v>
      </c>
      <c r="S847" t="b">
        <f t="shared" si="55"/>
        <v>0</v>
      </c>
    </row>
    <row r="848" spans="1:19" x14ac:dyDescent="0.2">
      <c r="A848" s="54">
        <v>303223</v>
      </c>
      <c r="B848" s="54" t="s">
        <v>164</v>
      </c>
      <c r="C848" s="55">
        <v>247</v>
      </c>
      <c r="D848" s="55">
        <v>232</v>
      </c>
      <c r="E848" s="55">
        <v>33</v>
      </c>
      <c r="F848" s="55">
        <v>745</v>
      </c>
      <c r="G848" s="55">
        <v>166</v>
      </c>
      <c r="H848" s="55">
        <v>140</v>
      </c>
      <c r="I848" s="55">
        <v>3.21</v>
      </c>
      <c r="J848" s="55">
        <v>0.72</v>
      </c>
      <c r="K848" s="55">
        <v>0.6</v>
      </c>
      <c r="L848" s="55">
        <v>36</v>
      </c>
      <c r="M848" s="54" t="s">
        <v>47</v>
      </c>
      <c r="N848" s="54" t="s">
        <v>47</v>
      </c>
      <c r="O848" s="54" t="s">
        <v>6</v>
      </c>
      <c r="P848" s="54">
        <f t="shared" si="52"/>
        <v>247</v>
      </c>
      <c r="Q848">
        <f t="shared" si="53"/>
        <v>247</v>
      </c>
      <c r="R848">
        <f t="shared" si="54"/>
        <v>0</v>
      </c>
      <c r="S848" t="b">
        <f t="shared" si="55"/>
        <v>0</v>
      </c>
    </row>
    <row r="849" spans="1:19" x14ac:dyDescent="0.2">
      <c r="A849" s="54">
        <v>303269</v>
      </c>
      <c r="B849" s="54" t="s">
        <v>1150</v>
      </c>
      <c r="C849" s="55">
        <v>52</v>
      </c>
      <c r="D849" s="55">
        <v>52</v>
      </c>
      <c r="E849" s="55">
        <v>3</v>
      </c>
      <c r="F849" s="55">
        <v>274</v>
      </c>
      <c r="G849" s="55">
        <v>274</v>
      </c>
      <c r="H849" s="55">
        <v>274</v>
      </c>
      <c r="I849" s="55">
        <v>5.27</v>
      </c>
      <c r="J849" s="55">
        <v>5.27</v>
      </c>
      <c r="K849" s="55">
        <v>5.27</v>
      </c>
      <c r="L849" s="55">
        <v>45</v>
      </c>
      <c r="M849" s="54" t="s">
        <v>30</v>
      </c>
      <c r="N849" s="54" t="s">
        <v>1401</v>
      </c>
      <c r="O849" s="54" t="s">
        <v>7</v>
      </c>
      <c r="P849" s="54">
        <f t="shared" si="52"/>
        <v>52</v>
      </c>
      <c r="Q849">
        <f t="shared" si="53"/>
        <v>52</v>
      </c>
      <c r="R849">
        <f t="shared" si="54"/>
        <v>52</v>
      </c>
      <c r="S849" t="b">
        <f t="shared" si="55"/>
        <v>0</v>
      </c>
    </row>
    <row r="850" spans="1:19" x14ac:dyDescent="0.2">
      <c r="A850" s="54">
        <v>303321</v>
      </c>
      <c r="B850" s="54" t="s">
        <v>756</v>
      </c>
      <c r="C850" s="55">
        <v>3</v>
      </c>
      <c r="D850" s="55">
        <v>1</v>
      </c>
      <c r="E850" s="55">
        <v>4</v>
      </c>
      <c r="F850" s="55">
        <v>0</v>
      </c>
      <c r="G850" s="55">
        <v>0</v>
      </c>
      <c r="H850" s="55">
        <v>0</v>
      </c>
      <c r="I850" s="55">
        <v>0</v>
      </c>
      <c r="J850" s="55">
        <v>0</v>
      </c>
      <c r="K850" s="55">
        <v>0</v>
      </c>
      <c r="L850" s="55">
        <v>0</v>
      </c>
      <c r="M850" s="54" t="s">
        <v>30</v>
      </c>
      <c r="N850" s="54" t="s">
        <v>1401</v>
      </c>
      <c r="O850" s="54" t="s">
        <v>7</v>
      </c>
      <c r="P850" s="54">
        <f t="shared" si="52"/>
        <v>0</v>
      </c>
      <c r="Q850">
        <f t="shared" si="53"/>
        <v>0</v>
      </c>
      <c r="R850">
        <f t="shared" si="54"/>
        <v>0</v>
      </c>
      <c r="S850" t="b">
        <f t="shared" si="55"/>
        <v>0</v>
      </c>
    </row>
    <row r="851" spans="1:19" x14ac:dyDescent="0.2">
      <c r="A851" s="54">
        <v>303536</v>
      </c>
      <c r="B851" s="54" t="s">
        <v>823</v>
      </c>
      <c r="C851" s="55">
        <v>7</v>
      </c>
      <c r="D851" s="55">
        <v>5</v>
      </c>
      <c r="E851" s="55">
        <v>1</v>
      </c>
      <c r="F851" s="55">
        <v>2</v>
      </c>
      <c r="G851" s="55">
        <v>2</v>
      </c>
      <c r="H851" s="55">
        <v>2</v>
      </c>
      <c r="I851" s="55">
        <v>0.4</v>
      </c>
      <c r="J851" s="55">
        <v>0.4</v>
      </c>
      <c r="K851" s="55">
        <v>0.4</v>
      </c>
      <c r="L851" s="55">
        <v>0</v>
      </c>
      <c r="M851" s="54" t="s">
        <v>30</v>
      </c>
      <c r="N851" s="54" t="s">
        <v>1401</v>
      </c>
      <c r="O851" s="54" t="s">
        <v>7</v>
      </c>
      <c r="P851" s="54">
        <f t="shared" si="52"/>
        <v>0</v>
      </c>
      <c r="Q851">
        <f t="shared" si="53"/>
        <v>0</v>
      </c>
      <c r="R851">
        <f t="shared" si="54"/>
        <v>0</v>
      </c>
      <c r="S851" t="b">
        <f t="shared" si="55"/>
        <v>0</v>
      </c>
    </row>
    <row r="852" spans="1:19" x14ac:dyDescent="0.2">
      <c r="A852" s="54">
        <v>304014</v>
      </c>
      <c r="B852" s="54" t="s">
        <v>688</v>
      </c>
      <c r="C852" s="55">
        <v>1</v>
      </c>
      <c r="D852" s="55">
        <v>15</v>
      </c>
      <c r="E852" s="55">
        <v>1</v>
      </c>
      <c r="F852" s="55">
        <v>0</v>
      </c>
      <c r="G852" s="55">
        <v>0</v>
      </c>
      <c r="H852" s="55">
        <v>0</v>
      </c>
      <c r="I852" s="55">
        <v>0</v>
      </c>
      <c r="J852" s="55">
        <v>0</v>
      </c>
      <c r="K852" s="55">
        <v>0</v>
      </c>
      <c r="L852" s="55">
        <v>0</v>
      </c>
      <c r="M852" s="54" t="s">
        <v>30</v>
      </c>
      <c r="N852" s="54" t="s">
        <v>1401</v>
      </c>
      <c r="O852" s="54" t="s">
        <v>7</v>
      </c>
      <c r="P852" s="54">
        <f t="shared" si="52"/>
        <v>0</v>
      </c>
      <c r="Q852">
        <f t="shared" si="53"/>
        <v>0</v>
      </c>
      <c r="R852">
        <f t="shared" si="54"/>
        <v>0</v>
      </c>
      <c r="S852" t="b">
        <f t="shared" si="55"/>
        <v>0</v>
      </c>
    </row>
    <row r="853" spans="1:19" x14ac:dyDescent="0.2">
      <c r="A853" s="54">
        <v>304016</v>
      </c>
      <c r="B853" s="54" t="s">
        <v>463</v>
      </c>
      <c r="C853" s="55">
        <v>15</v>
      </c>
      <c r="D853" s="55">
        <v>5</v>
      </c>
      <c r="E853" s="55">
        <v>9</v>
      </c>
      <c r="F853" s="55">
        <v>30</v>
      </c>
      <c r="G853" s="55">
        <v>0</v>
      </c>
      <c r="H853" s="55">
        <v>0</v>
      </c>
      <c r="I853" s="55">
        <v>6</v>
      </c>
      <c r="J853" s="55">
        <v>0</v>
      </c>
      <c r="K853" s="55">
        <v>0</v>
      </c>
      <c r="L853" s="55">
        <v>0</v>
      </c>
      <c r="M853" s="54" t="s">
        <v>43</v>
      </c>
      <c r="N853" s="54" t="s">
        <v>1400</v>
      </c>
      <c r="O853" s="54" t="s">
        <v>7</v>
      </c>
      <c r="P853" s="54">
        <f t="shared" si="52"/>
        <v>15</v>
      </c>
      <c r="Q853">
        <f t="shared" si="53"/>
        <v>15</v>
      </c>
      <c r="R853">
        <f t="shared" si="54"/>
        <v>0</v>
      </c>
      <c r="S853" t="b">
        <f t="shared" si="55"/>
        <v>0</v>
      </c>
    </row>
    <row r="854" spans="1:19" x14ac:dyDescent="0.2">
      <c r="A854" s="54">
        <v>304056</v>
      </c>
      <c r="B854" s="54" t="s">
        <v>569</v>
      </c>
      <c r="C854" s="55">
        <v>1</v>
      </c>
      <c r="D854" s="55">
        <v>5</v>
      </c>
      <c r="E854" s="55">
        <v>9</v>
      </c>
      <c r="F854" s="55">
        <v>7</v>
      </c>
      <c r="G854" s="55">
        <v>7</v>
      </c>
      <c r="H854" s="55">
        <v>7</v>
      </c>
      <c r="I854" s="55">
        <v>1.4</v>
      </c>
      <c r="J854" s="55">
        <v>1.4</v>
      </c>
      <c r="K854" s="55">
        <v>1.4</v>
      </c>
      <c r="L854" s="55">
        <v>0</v>
      </c>
      <c r="M854" s="54" t="s">
        <v>43</v>
      </c>
      <c r="N854" s="54" t="s">
        <v>1400</v>
      </c>
      <c r="O854" s="54" t="s">
        <v>7</v>
      </c>
      <c r="P854" s="54">
        <f t="shared" si="52"/>
        <v>1</v>
      </c>
      <c r="Q854">
        <f t="shared" si="53"/>
        <v>0</v>
      </c>
      <c r="R854">
        <f t="shared" si="54"/>
        <v>1</v>
      </c>
      <c r="S854" t="b">
        <f t="shared" si="55"/>
        <v>0</v>
      </c>
    </row>
    <row r="855" spans="1:19" x14ac:dyDescent="0.2">
      <c r="A855" s="54">
        <v>305183</v>
      </c>
      <c r="B855" s="54" t="s">
        <v>869</v>
      </c>
      <c r="C855" s="55">
        <v>10</v>
      </c>
      <c r="D855" s="55">
        <v>10</v>
      </c>
      <c r="E855" s="55">
        <v>1</v>
      </c>
      <c r="F855" s="55">
        <v>5</v>
      </c>
      <c r="G855" s="55">
        <v>5</v>
      </c>
      <c r="H855" s="55">
        <v>5</v>
      </c>
      <c r="I855" s="55">
        <v>0.5</v>
      </c>
      <c r="J855" s="55">
        <v>0.5</v>
      </c>
      <c r="K855" s="55">
        <v>0.5</v>
      </c>
      <c r="L855" s="55">
        <v>0</v>
      </c>
      <c r="M855" s="54" t="s">
        <v>30</v>
      </c>
      <c r="N855" s="54" t="s">
        <v>1401</v>
      </c>
      <c r="O855" s="54" t="s">
        <v>7</v>
      </c>
      <c r="P855" s="54">
        <f t="shared" si="52"/>
        <v>0</v>
      </c>
      <c r="Q855">
        <f t="shared" si="53"/>
        <v>0</v>
      </c>
      <c r="R855">
        <f t="shared" si="54"/>
        <v>0</v>
      </c>
      <c r="S855" t="b">
        <f t="shared" si="55"/>
        <v>0</v>
      </c>
    </row>
    <row r="856" spans="1:19" x14ac:dyDescent="0.2">
      <c r="A856" s="54">
        <v>305270</v>
      </c>
      <c r="B856" s="54" t="s">
        <v>631</v>
      </c>
      <c r="C856" s="55">
        <v>4</v>
      </c>
      <c r="D856" s="55">
        <v>4</v>
      </c>
      <c r="E856" s="55">
        <v>20</v>
      </c>
      <c r="F856" s="55">
        <v>0</v>
      </c>
      <c r="G856" s="55">
        <v>0</v>
      </c>
      <c r="H856" s="55">
        <v>0</v>
      </c>
      <c r="I856" s="55">
        <v>0</v>
      </c>
      <c r="J856" s="55">
        <v>0</v>
      </c>
      <c r="K856" s="55">
        <v>0</v>
      </c>
      <c r="L856" s="55">
        <v>0</v>
      </c>
      <c r="M856" s="54" t="s">
        <v>45</v>
      </c>
      <c r="N856" s="54" t="s">
        <v>47</v>
      </c>
      <c r="O856" s="54" t="s">
        <v>7</v>
      </c>
      <c r="P856" s="54">
        <f t="shared" si="52"/>
        <v>0</v>
      </c>
      <c r="Q856">
        <f t="shared" si="53"/>
        <v>0</v>
      </c>
      <c r="R856">
        <f t="shared" si="54"/>
        <v>0</v>
      </c>
      <c r="S856" t="b">
        <f t="shared" si="55"/>
        <v>0</v>
      </c>
    </row>
    <row r="857" spans="1:19" x14ac:dyDescent="0.2">
      <c r="A857" s="54">
        <v>305520</v>
      </c>
      <c r="B857" s="54" t="s">
        <v>1276</v>
      </c>
      <c r="C857" s="55">
        <v>225</v>
      </c>
      <c r="D857" s="55">
        <v>1</v>
      </c>
      <c r="E857" s="55">
        <v>0</v>
      </c>
      <c r="F857" s="55">
        <v>2</v>
      </c>
      <c r="G857" s="55">
        <v>2</v>
      </c>
      <c r="H857" s="55">
        <v>2</v>
      </c>
      <c r="I857" s="55">
        <v>2</v>
      </c>
      <c r="J857" s="55">
        <v>2</v>
      </c>
      <c r="K857" s="55">
        <v>2</v>
      </c>
      <c r="L857" s="55">
        <v>1</v>
      </c>
      <c r="M857" s="54" t="s">
        <v>30</v>
      </c>
      <c r="N857" s="54" t="s">
        <v>1401</v>
      </c>
      <c r="O857" s="54" t="s">
        <v>7</v>
      </c>
      <c r="P857" s="54">
        <f t="shared" si="52"/>
        <v>225</v>
      </c>
      <c r="Q857">
        <f t="shared" si="53"/>
        <v>225</v>
      </c>
      <c r="R857">
        <f t="shared" si="54"/>
        <v>225</v>
      </c>
      <c r="S857" t="b">
        <f t="shared" si="55"/>
        <v>0</v>
      </c>
    </row>
    <row r="858" spans="1:19" x14ac:dyDescent="0.2">
      <c r="A858" s="54">
        <v>305582</v>
      </c>
      <c r="B858" s="54" t="s">
        <v>866</v>
      </c>
      <c r="C858" s="55">
        <v>9</v>
      </c>
      <c r="D858" s="55">
        <v>9</v>
      </c>
      <c r="E858" s="55">
        <v>5</v>
      </c>
      <c r="F858" s="55">
        <v>20</v>
      </c>
      <c r="G858" s="55">
        <v>20</v>
      </c>
      <c r="H858" s="55">
        <v>20</v>
      </c>
      <c r="I858" s="55">
        <v>2.2200000000000002</v>
      </c>
      <c r="J858" s="55">
        <v>2.2200000000000002</v>
      </c>
      <c r="K858" s="55">
        <v>2.2200000000000002</v>
      </c>
      <c r="L858" s="55">
        <v>0</v>
      </c>
      <c r="M858" s="54" t="s">
        <v>30</v>
      </c>
      <c r="N858" s="54" t="s">
        <v>1401</v>
      </c>
      <c r="O858" s="54" t="s">
        <v>7</v>
      </c>
      <c r="P858" s="54">
        <f t="shared" si="52"/>
        <v>9</v>
      </c>
      <c r="Q858">
        <f t="shared" si="53"/>
        <v>9</v>
      </c>
      <c r="R858">
        <f t="shared" si="54"/>
        <v>9</v>
      </c>
      <c r="S858" t="b">
        <f t="shared" si="55"/>
        <v>0</v>
      </c>
    </row>
    <row r="859" spans="1:19" x14ac:dyDescent="0.2">
      <c r="A859" s="54">
        <v>305674</v>
      </c>
      <c r="B859" s="54" t="s">
        <v>1122</v>
      </c>
      <c r="C859" s="55">
        <v>39</v>
      </c>
      <c r="D859" s="55">
        <v>41</v>
      </c>
      <c r="E859" s="55">
        <v>1</v>
      </c>
      <c r="F859" s="55">
        <v>0</v>
      </c>
      <c r="G859" s="55">
        <v>0</v>
      </c>
      <c r="H859" s="55">
        <v>0</v>
      </c>
      <c r="I859" s="55">
        <v>0</v>
      </c>
      <c r="J859" s="55">
        <v>0</v>
      </c>
      <c r="K859" s="55">
        <v>0</v>
      </c>
      <c r="L859" s="55">
        <v>0</v>
      </c>
      <c r="M859" s="54" t="s">
        <v>30</v>
      </c>
      <c r="N859" s="54" t="s">
        <v>1401</v>
      </c>
      <c r="O859" s="54" t="s">
        <v>7</v>
      </c>
      <c r="P859" s="54">
        <f t="shared" si="52"/>
        <v>0</v>
      </c>
      <c r="Q859">
        <f t="shared" si="53"/>
        <v>0</v>
      </c>
      <c r="R859">
        <f t="shared" si="54"/>
        <v>0</v>
      </c>
      <c r="S859" t="b">
        <f t="shared" si="55"/>
        <v>0</v>
      </c>
    </row>
    <row r="860" spans="1:19" x14ac:dyDescent="0.2">
      <c r="A860" s="54">
        <v>305835</v>
      </c>
      <c r="B860" s="54" t="s">
        <v>1115</v>
      </c>
      <c r="C860" s="55">
        <v>36</v>
      </c>
      <c r="D860" s="55">
        <v>34</v>
      </c>
      <c r="E860" s="55">
        <v>2</v>
      </c>
      <c r="F860" s="55">
        <v>3</v>
      </c>
      <c r="G860" s="55">
        <v>3</v>
      </c>
      <c r="H860" s="55">
        <v>3</v>
      </c>
      <c r="I860" s="55">
        <v>0.09</v>
      </c>
      <c r="J860" s="55">
        <v>0.09</v>
      </c>
      <c r="K860" s="55">
        <v>0.09</v>
      </c>
      <c r="L860" s="55">
        <v>0</v>
      </c>
      <c r="M860" s="54" t="s">
        <v>30</v>
      </c>
      <c r="N860" s="54" t="s">
        <v>1401</v>
      </c>
      <c r="O860" s="54" t="s">
        <v>7</v>
      </c>
      <c r="P860" s="54">
        <f t="shared" si="52"/>
        <v>0</v>
      </c>
      <c r="Q860">
        <f t="shared" si="53"/>
        <v>0</v>
      </c>
      <c r="R860">
        <f t="shared" si="54"/>
        <v>0</v>
      </c>
      <c r="S860" t="b">
        <f t="shared" si="55"/>
        <v>0</v>
      </c>
    </row>
    <row r="861" spans="1:19" x14ac:dyDescent="0.2">
      <c r="A861" s="54">
        <v>305896</v>
      </c>
      <c r="B861" s="54" t="s">
        <v>129</v>
      </c>
      <c r="C861" s="55">
        <v>152</v>
      </c>
      <c r="D861" s="55">
        <v>130</v>
      </c>
      <c r="E861" s="55">
        <v>8</v>
      </c>
      <c r="F861" s="55">
        <v>669</v>
      </c>
      <c r="G861" s="55">
        <v>434</v>
      </c>
      <c r="H861" s="55">
        <v>327</v>
      </c>
      <c r="I861" s="55">
        <v>5.15</v>
      </c>
      <c r="J861" s="55">
        <v>3.34</v>
      </c>
      <c r="K861" s="55">
        <v>2.52</v>
      </c>
      <c r="L861" s="55">
        <v>19</v>
      </c>
      <c r="M861" s="54" t="s">
        <v>43</v>
      </c>
      <c r="N861" s="54" t="s">
        <v>1400</v>
      </c>
      <c r="O861" s="54" t="s">
        <v>6</v>
      </c>
      <c r="P861" s="54">
        <f t="shared" si="52"/>
        <v>152</v>
      </c>
      <c r="Q861">
        <f t="shared" si="53"/>
        <v>152</v>
      </c>
      <c r="R861">
        <f t="shared" si="54"/>
        <v>152</v>
      </c>
      <c r="S861" t="b">
        <f t="shared" si="55"/>
        <v>0</v>
      </c>
    </row>
    <row r="862" spans="1:19" x14ac:dyDescent="0.2">
      <c r="A862" s="54">
        <v>305994</v>
      </c>
      <c r="B862" s="54" t="s">
        <v>666</v>
      </c>
      <c r="C862" s="55">
        <v>4</v>
      </c>
      <c r="D862" s="55">
        <v>18</v>
      </c>
      <c r="E862" s="55">
        <v>6</v>
      </c>
      <c r="F862" s="55">
        <v>0</v>
      </c>
      <c r="G862" s="55">
        <v>0</v>
      </c>
      <c r="H862" s="55">
        <v>0</v>
      </c>
      <c r="I862" s="55">
        <v>0</v>
      </c>
      <c r="J862" s="55">
        <v>0</v>
      </c>
      <c r="K862" s="55">
        <v>0</v>
      </c>
      <c r="L862" s="55">
        <v>0</v>
      </c>
      <c r="M862" s="54" t="s">
        <v>43</v>
      </c>
      <c r="N862" s="54" t="s">
        <v>1400</v>
      </c>
      <c r="O862" s="54" t="s">
        <v>7</v>
      </c>
      <c r="P862" s="54">
        <f t="shared" si="52"/>
        <v>0</v>
      </c>
      <c r="Q862">
        <f t="shared" si="53"/>
        <v>0</v>
      </c>
      <c r="R862">
        <f t="shared" si="54"/>
        <v>0</v>
      </c>
      <c r="S862" t="b">
        <f t="shared" si="55"/>
        <v>0</v>
      </c>
    </row>
    <row r="863" spans="1:19" x14ac:dyDescent="0.2">
      <c r="A863" s="54">
        <v>305996</v>
      </c>
      <c r="B863" s="54" t="s">
        <v>459</v>
      </c>
      <c r="C863" s="55">
        <v>16</v>
      </c>
      <c r="D863" s="55">
        <v>12</v>
      </c>
      <c r="E863" s="55">
        <v>6</v>
      </c>
      <c r="F863" s="55">
        <v>48</v>
      </c>
      <c r="G863" s="55">
        <v>48</v>
      </c>
      <c r="H863" s="55">
        <v>48</v>
      </c>
      <c r="I863" s="55">
        <v>4</v>
      </c>
      <c r="J863" s="55">
        <v>4</v>
      </c>
      <c r="K863" s="55">
        <v>4</v>
      </c>
      <c r="L863" s="55">
        <v>62</v>
      </c>
      <c r="M863" s="54" t="s">
        <v>43</v>
      </c>
      <c r="N863" s="54" t="s">
        <v>1400</v>
      </c>
      <c r="O863" s="54" t="s">
        <v>7</v>
      </c>
      <c r="P863" s="54">
        <f t="shared" si="52"/>
        <v>16</v>
      </c>
      <c r="Q863">
        <f t="shared" si="53"/>
        <v>16</v>
      </c>
      <c r="R863">
        <f t="shared" si="54"/>
        <v>16</v>
      </c>
      <c r="S863" t="b">
        <f t="shared" si="55"/>
        <v>0</v>
      </c>
    </row>
    <row r="864" spans="1:19" x14ac:dyDescent="0.2">
      <c r="A864" s="54">
        <v>305997</v>
      </c>
      <c r="B864" s="54" t="s">
        <v>179</v>
      </c>
      <c r="C864" s="55">
        <v>32</v>
      </c>
      <c r="D864" s="55">
        <v>27</v>
      </c>
      <c r="E864" s="55">
        <v>6</v>
      </c>
      <c r="F864" s="55">
        <v>193</v>
      </c>
      <c r="G864" s="55">
        <v>170</v>
      </c>
      <c r="H864" s="55">
        <v>0</v>
      </c>
      <c r="I864" s="55">
        <v>7.15</v>
      </c>
      <c r="J864" s="55">
        <v>6.3</v>
      </c>
      <c r="K864" s="55">
        <v>0</v>
      </c>
      <c r="L864" s="55">
        <v>8</v>
      </c>
      <c r="M864" s="54" t="s">
        <v>43</v>
      </c>
      <c r="N864" s="54" t="s">
        <v>1400</v>
      </c>
      <c r="O864" s="54" t="s">
        <v>7</v>
      </c>
      <c r="P864" s="54">
        <f t="shared" si="52"/>
        <v>32</v>
      </c>
      <c r="Q864">
        <f t="shared" si="53"/>
        <v>32</v>
      </c>
      <c r="R864">
        <f t="shared" si="54"/>
        <v>32</v>
      </c>
      <c r="S864" t="b">
        <f t="shared" si="55"/>
        <v>0</v>
      </c>
    </row>
    <row r="865" spans="1:19" x14ac:dyDescent="0.2">
      <c r="A865" s="54">
        <v>305998</v>
      </c>
      <c r="B865" s="54" t="s">
        <v>628</v>
      </c>
      <c r="C865" s="55">
        <v>17</v>
      </c>
      <c r="D865" s="55">
        <v>17</v>
      </c>
      <c r="E865" s="55">
        <v>6</v>
      </c>
      <c r="F865" s="55">
        <v>0</v>
      </c>
      <c r="G865" s="55">
        <v>0</v>
      </c>
      <c r="H865" s="55">
        <v>0</v>
      </c>
      <c r="I865" s="55">
        <v>0</v>
      </c>
      <c r="J865" s="55">
        <v>0</v>
      </c>
      <c r="K865" s="55">
        <v>0</v>
      </c>
      <c r="L865" s="55">
        <v>0</v>
      </c>
      <c r="M865" s="54" t="s">
        <v>43</v>
      </c>
      <c r="N865" s="54" t="s">
        <v>1400</v>
      </c>
      <c r="O865" s="54" t="s">
        <v>7</v>
      </c>
      <c r="P865" s="54">
        <f t="shared" si="52"/>
        <v>0</v>
      </c>
      <c r="Q865">
        <f t="shared" si="53"/>
        <v>0</v>
      </c>
      <c r="R865">
        <f t="shared" si="54"/>
        <v>0</v>
      </c>
      <c r="S865" t="b">
        <f t="shared" si="55"/>
        <v>0</v>
      </c>
    </row>
    <row r="866" spans="1:19" x14ac:dyDescent="0.2">
      <c r="A866" s="54">
        <v>305999</v>
      </c>
      <c r="B866" s="54" t="s">
        <v>626</v>
      </c>
      <c r="C866" s="55">
        <v>28</v>
      </c>
      <c r="D866" s="55">
        <v>24</v>
      </c>
      <c r="E866" s="55">
        <v>6</v>
      </c>
      <c r="F866" s="55">
        <v>0</v>
      </c>
      <c r="G866" s="55">
        <v>0</v>
      </c>
      <c r="H866" s="55">
        <v>0</v>
      </c>
      <c r="I866" s="55">
        <v>0</v>
      </c>
      <c r="J866" s="55">
        <v>0</v>
      </c>
      <c r="K866" s="55">
        <v>0</v>
      </c>
      <c r="L866" s="55">
        <v>0</v>
      </c>
      <c r="M866" s="54" t="s">
        <v>43</v>
      </c>
      <c r="N866" s="54" t="s">
        <v>1400</v>
      </c>
      <c r="O866" s="54" t="s">
        <v>7</v>
      </c>
      <c r="P866" s="54">
        <f t="shared" si="52"/>
        <v>0</v>
      </c>
      <c r="Q866">
        <f t="shared" si="53"/>
        <v>0</v>
      </c>
      <c r="R866">
        <f t="shared" si="54"/>
        <v>0</v>
      </c>
      <c r="S866" t="b">
        <f t="shared" si="55"/>
        <v>0</v>
      </c>
    </row>
    <row r="867" spans="1:19" x14ac:dyDescent="0.2">
      <c r="A867" s="54">
        <v>306000</v>
      </c>
      <c r="B867" s="54" t="s">
        <v>660</v>
      </c>
      <c r="C867" s="55">
        <v>20</v>
      </c>
      <c r="D867" s="55">
        <v>17</v>
      </c>
      <c r="E867" s="55">
        <v>6</v>
      </c>
      <c r="F867" s="55">
        <v>0</v>
      </c>
      <c r="G867" s="55">
        <v>0</v>
      </c>
      <c r="H867" s="55">
        <v>0</v>
      </c>
      <c r="I867" s="55">
        <v>0</v>
      </c>
      <c r="J867" s="55">
        <v>0</v>
      </c>
      <c r="K867" s="55">
        <v>0</v>
      </c>
      <c r="L867" s="55">
        <v>0</v>
      </c>
      <c r="M867" s="54" t="s">
        <v>43</v>
      </c>
      <c r="N867" s="54" t="s">
        <v>1400</v>
      </c>
      <c r="O867" s="54" t="s">
        <v>7</v>
      </c>
      <c r="P867" s="54">
        <f t="shared" si="52"/>
        <v>0</v>
      </c>
      <c r="Q867">
        <f t="shared" si="53"/>
        <v>0</v>
      </c>
      <c r="R867">
        <f t="shared" si="54"/>
        <v>0</v>
      </c>
      <c r="S867" t="b">
        <f t="shared" si="55"/>
        <v>0</v>
      </c>
    </row>
    <row r="868" spans="1:19" x14ac:dyDescent="0.2">
      <c r="A868" s="54">
        <v>306001</v>
      </c>
      <c r="B868" s="54" t="s">
        <v>638</v>
      </c>
      <c r="C868" s="55">
        <v>25</v>
      </c>
      <c r="D868" s="55">
        <v>20</v>
      </c>
      <c r="E868" s="55">
        <v>6</v>
      </c>
      <c r="F868" s="55">
        <v>0</v>
      </c>
      <c r="G868" s="55">
        <v>0</v>
      </c>
      <c r="H868" s="55">
        <v>0</v>
      </c>
      <c r="I868" s="55">
        <v>0</v>
      </c>
      <c r="J868" s="55">
        <v>0</v>
      </c>
      <c r="K868" s="55">
        <v>0</v>
      </c>
      <c r="L868" s="55">
        <v>0</v>
      </c>
      <c r="M868" s="54" t="s">
        <v>43</v>
      </c>
      <c r="N868" s="54" t="s">
        <v>1400</v>
      </c>
      <c r="O868" s="54" t="s">
        <v>7</v>
      </c>
      <c r="P868" s="54">
        <f t="shared" si="52"/>
        <v>0</v>
      </c>
      <c r="Q868">
        <f t="shared" si="53"/>
        <v>0</v>
      </c>
      <c r="R868">
        <f t="shared" si="54"/>
        <v>0</v>
      </c>
      <c r="S868" t="b">
        <f t="shared" si="55"/>
        <v>0</v>
      </c>
    </row>
    <row r="869" spans="1:19" x14ac:dyDescent="0.2">
      <c r="A869" s="54">
        <v>306038</v>
      </c>
      <c r="B869" s="54" t="s">
        <v>160</v>
      </c>
      <c r="C869" s="55">
        <v>105</v>
      </c>
      <c r="D869" s="55">
        <v>90</v>
      </c>
      <c r="E869" s="55">
        <v>49</v>
      </c>
      <c r="F869" s="55">
        <v>526</v>
      </c>
      <c r="G869" s="55">
        <v>472</v>
      </c>
      <c r="H869" s="55">
        <v>231</v>
      </c>
      <c r="I869" s="55">
        <v>5.84</v>
      </c>
      <c r="J869" s="55">
        <v>5.24</v>
      </c>
      <c r="K869" s="55">
        <v>2.57</v>
      </c>
      <c r="L869" s="55">
        <v>10</v>
      </c>
      <c r="M869" s="54" t="s">
        <v>47</v>
      </c>
      <c r="N869" s="54" t="s">
        <v>47</v>
      </c>
      <c r="O869" s="54" t="s">
        <v>7</v>
      </c>
      <c r="P869" s="54">
        <f t="shared" si="52"/>
        <v>105</v>
      </c>
      <c r="Q869">
        <f t="shared" si="53"/>
        <v>105</v>
      </c>
      <c r="R869">
        <f t="shared" si="54"/>
        <v>105</v>
      </c>
      <c r="S869" t="b">
        <f t="shared" si="55"/>
        <v>0</v>
      </c>
    </row>
    <row r="870" spans="1:19" x14ac:dyDescent="0.2">
      <c r="A870" s="54">
        <v>306040</v>
      </c>
      <c r="B870" s="54" t="s">
        <v>849</v>
      </c>
      <c r="C870" s="55">
        <v>8</v>
      </c>
      <c r="D870" s="55">
        <v>34</v>
      </c>
      <c r="E870" s="55">
        <v>4</v>
      </c>
      <c r="F870" s="55">
        <v>34</v>
      </c>
      <c r="G870" s="55">
        <v>34</v>
      </c>
      <c r="H870" s="55">
        <v>30</v>
      </c>
      <c r="I870" s="55">
        <v>1</v>
      </c>
      <c r="J870" s="55">
        <v>1</v>
      </c>
      <c r="K870" s="55">
        <v>0.88</v>
      </c>
      <c r="L870" s="55">
        <v>56</v>
      </c>
      <c r="M870" s="54" t="s">
        <v>30</v>
      </c>
      <c r="N870" s="54" t="s">
        <v>1401</v>
      </c>
      <c r="O870" s="54" t="s">
        <v>7</v>
      </c>
      <c r="P870" s="54">
        <f t="shared" si="52"/>
        <v>8</v>
      </c>
      <c r="Q870">
        <f t="shared" si="53"/>
        <v>0</v>
      </c>
      <c r="R870">
        <f t="shared" si="54"/>
        <v>8</v>
      </c>
      <c r="S870" t="b">
        <f t="shared" si="55"/>
        <v>0</v>
      </c>
    </row>
    <row r="871" spans="1:19" x14ac:dyDescent="0.2">
      <c r="A871" s="54">
        <v>307831</v>
      </c>
      <c r="B871" s="54" t="s">
        <v>341</v>
      </c>
      <c r="C871" s="55">
        <v>28</v>
      </c>
      <c r="D871" s="55">
        <v>28</v>
      </c>
      <c r="E871" s="55">
        <v>7</v>
      </c>
      <c r="F871" s="55">
        <v>100</v>
      </c>
      <c r="G871" s="55">
        <v>100</v>
      </c>
      <c r="H871" s="55">
        <v>6</v>
      </c>
      <c r="I871" s="55">
        <v>3.57</v>
      </c>
      <c r="J871" s="55">
        <v>3.57</v>
      </c>
      <c r="K871" s="55">
        <v>0.21</v>
      </c>
      <c r="L871" s="55">
        <v>169</v>
      </c>
      <c r="M871" s="54" t="s">
        <v>43</v>
      </c>
      <c r="N871" s="54" t="s">
        <v>1400</v>
      </c>
      <c r="O871" s="54" t="s">
        <v>7</v>
      </c>
      <c r="P871" s="54">
        <f t="shared" si="52"/>
        <v>28</v>
      </c>
      <c r="Q871">
        <f t="shared" si="53"/>
        <v>28</v>
      </c>
      <c r="R871">
        <f t="shared" si="54"/>
        <v>28</v>
      </c>
      <c r="S871" t="b">
        <f t="shared" si="55"/>
        <v>0</v>
      </c>
    </row>
    <row r="872" spans="1:19" x14ac:dyDescent="0.2">
      <c r="A872" s="54">
        <v>307838</v>
      </c>
      <c r="B872" s="54" t="s">
        <v>366</v>
      </c>
      <c r="C872" s="55">
        <v>10</v>
      </c>
      <c r="D872" s="55">
        <v>32</v>
      </c>
      <c r="E872" s="55">
        <v>6</v>
      </c>
      <c r="F872" s="55">
        <v>83</v>
      </c>
      <c r="G872" s="55">
        <v>83</v>
      </c>
      <c r="H872" s="55">
        <v>83</v>
      </c>
      <c r="I872" s="55">
        <v>2.59</v>
      </c>
      <c r="J872" s="55">
        <v>2.59</v>
      </c>
      <c r="K872" s="55">
        <v>2.59</v>
      </c>
      <c r="L872" s="55">
        <v>14</v>
      </c>
      <c r="M872" s="54" t="s">
        <v>43</v>
      </c>
      <c r="N872" s="54" t="s">
        <v>1400</v>
      </c>
      <c r="O872" s="54" t="s">
        <v>7</v>
      </c>
      <c r="P872" s="54">
        <f t="shared" si="52"/>
        <v>10</v>
      </c>
      <c r="Q872">
        <f t="shared" si="53"/>
        <v>10</v>
      </c>
      <c r="R872">
        <f t="shared" si="54"/>
        <v>10</v>
      </c>
      <c r="S872" t="b">
        <f t="shared" si="55"/>
        <v>0</v>
      </c>
    </row>
    <row r="873" spans="1:19" x14ac:dyDescent="0.2">
      <c r="A873" s="54">
        <v>308828</v>
      </c>
      <c r="B873" s="54" t="s">
        <v>788</v>
      </c>
      <c r="C873" s="55">
        <v>5</v>
      </c>
      <c r="D873" s="55">
        <v>140</v>
      </c>
      <c r="E873" s="55">
        <v>2</v>
      </c>
      <c r="F873" s="55">
        <v>0</v>
      </c>
      <c r="G873" s="55">
        <v>0</v>
      </c>
      <c r="H873" s="55">
        <v>0</v>
      </c>
      <c r="I873" s="55">
        <v>0</v>
      </c>
      <c r="J873" s="55">
        <v>0</v>
      </c>
      <c r="K873" s="55">
        <v>0</v>
      </c>
      <c r="L873" s="55">
        <v>0</v>
      </c>
      <c r="M873" s="54" t="s">
        <v>30</v>
      </c>
      <c r="N873" s="54" t="s">
        <v>1401</v>
      </c>
      <c r="O873" s="54" t="s">
        <v>6</v>
      </c>
      <c r="P873" s="54">
        <f t="shared" si="52"/>
        <v>0</v>
      </c>
      <c r="Q873">
        <f t="shared" si="53"/>
        <v>0</v>
      </c>
      <c r="R873">
        <f t="shared" si="54"/>
        <v>0</v>
      </c>
      <c r="S873" t="b">
        <f t="shared" si="55"/>
        <v>0</v>
      </c>
    </row>
    <row r="874" spans="1:19" x14ac:dyDescent="0.2">
      <c r="A874" s="54">
        <v>308856</v>
      </c>
      <c r="B874" s="54" t="s">
        <v>439</v>
      </c>
      <c r="C874" s="55">
        <v>275</v>
      </c>
      <c r="D874" s="55">
        <v>350</v>
      </c>
      <c r="E874" s="55">
        <v>11</v>
      </c>
      <c r="F874" s="55">
        <v>55</v>
      </c>
      <c r="G874" s="55">
        <v>23</v>
      </c>
      <c r="H874" s="55">
        <v>10</v>
      </c>
      <c r="I874" s="55">
        <v>0.16</v>
      </c>
      <c r="J874" s="55">
        <v>7.0000000000000007E-2</v>
      </c>
      <c r="K874" s="55">
        <v>0.03</v>
      </c>
      <c r="L874" s="55">
        <v>36</v>
      </c>
      <c r="M874" s="54" t="s">
        <v>43</v>
      </c>
      <c r="N874" s="54" t="s">
        <v>1400</v>
      </c>
      <c r="O874" s="54" t="s">
        <v>6</v>
      </c>
      <c r="P874" s="54">
        <f t="shared" si="52"/>
        <v>0</v>
      </c>
      <c r="Q874">
        <f t="shared" si="53"/>
        <v>0</v>
      </c>
      <c r="R874">
        <f t="shared" si="54"/>
        <v>0</v>
      </c>
      <c r="S874" t="b">
        <f t="shared" si="55"/>
        <v>0</v>
      </c>
    </row>
    <row r="875" spans="1:19" x14ac:dyDescent="0.2">
      <c r="A875" s="54">
        <v>309173</v>
      </c>
      <c r="B875" s="54" t="s">
        <v>882</v>
      </c>
      <c r="C875" s="55">
        <v>10</v>
      </c>
      <c r="D875" s="55">
        <v>7</v>
      </c>
      <c r="E875" s="55">
        <v>2</v>
      </c>
      <c r="F875" s="55">
        <v>19</v>
      </c>
      <c r="G875" s="55">
        <v>19</v>
      </c>
      <c r="H875" s="55">
        <v>19</v>
      </c>
      <c r="I875" s="55">
        <v>2.71</v>
      </c>
      <c r="J875" s="55">
        <v>2.71</v>
      </c>
      <c r="K875" s="55">
        <v>2.71</v>
      </c>
      <c r="L875" s="55">
        <v>17</v>
      </c>
      <c r="M875" s="54" t="s">
        <v>30</v>
      </c>
      <c r="N875" s="54" t="s">
        <v>1401</v>
      </c>
      <c r="O875" s="54" t="s">
        <v>7</v>
      </c>
      <c r="P875" s="54">
        <f t="shared" si="52"/>
        <v>10</v>
      </c>
      <c r="Q875">
        <f t="shared" si="53"/>
        <v>10</v>
      </c>
      <c r="R875">
        <f t="shared" si="54"/>
        <v>10</v>
      </c>
      <c r="S875" t="b">
        <f t="shared" si="55"/>
        <v>0</v>
      </c>
    </row>
    <row r="876" spans="1:19" x14ac:dyDescent="0.2">
      <c r="A876" s="54">
        <v>309225</v>
      </c>
      <c r="B876" s="54" t="s">
        <v>979</v>
      </c>
      <c r="C876" s="55">
        <v>16</v>
      </c>
      <c r="D876" s="55">
        <v>16</v>
      </c>
      <c r="E876" s="55">
        <v>5</v>
      </c>
      <c r="F876" s="55">
        <v>100</v>
      </c>
      <c r="G876" s="55">
        <v>100</v>
      </c>
      <c r="H876" s="55">
        <v>68</v>
      </c>
      <c r="I876" s="55">
        <v>6.25</v>
      </c>
      <c r="J876" s="55">
        <v>6.25</v>
      </c>
      <c r="K876" s="55">
        <v>4.25</v>
      </c>
      <c r="L876" s="55">
        <v>1</v>
      </c>
      <c r="M876" s="54" t="s">
        <v>30</v>
      </c>
      <c r="N876" s="54" t="s">
        <v>1401</v>
      </c>
      <c r="O876" s="54" t="s">
        <v>7</v>
      </c>
      <c r="P876" s="54">
        <f t="shared" si="52"/>
        <v>16</v>
      </c>
      <c r="Q876">
        <f t="shared" si="53"/>
        <v>16</v>
      </c>
      <c r="R876">
        <f t="shared" si="54"/>
        <v>16</v>
      </c>
      <c r="S876" t="b">
        <f t="shared" si="55"/>
        <v>0</v>
      </c>
    </row>
    <row r="877" spans="1:19" x14ac:dyDescent="0.2">
      <c r="A877" s="54">
        <v>309450</v>
      </c>
      <c r="B877" s="54" t="s">
        <v>913</v>
      </c>
      <c r="C877" s="55">
        <v>12</v>
      </c>
      <c r="D877" s="55">
        <v>14</v>
      </c>
      <c r="E877" s="55">
        <v>5</v>
      </c>
      <c r="F877" s="55">
        <v>0</v>
      </c>
      <c r="G877" s="55">
        <v>0</v>
      </c>
      <c r="H877" s="55">
        <v>0</v>
      </c>
      <c r="I877" s="55">
        <v>0</v>
      </c>
      <c r="J877" s="55">
        <v>0</v>
      </c>
      <c r="K877" s="55">
        <v>0</v>
      </c>
      <c r="L877" s="55">
        <v>0</v>
      </c>
      <c r="M877" s="54" t="s">
        <v>30</v>
      </c>
      <c r="N877" s="54" t="s">
        <v>1401</v>
      </c>
      <c r="O877" s="54" t="s">
        <v>7</v>
      </c>
      <c r="P877" s="54">
        <f t="shared" si="52"/>
        <v>0</v>
      </c>
      <c r="Q877">
        <f t="shared" si="53"/>
        <v>0</v>
      </c>
      <c r="R877">
        <f t="shared" si="54"/>
        <v>0</v>
      </c>
      <c r="S877" t="b">
        <f t="shared" si="55"/>
        <v>0</v>
      </c>
    </row>
    <row r="878" spans="1:19" x14ac:dyDescent="0.2">
      <c r="A878" s="54">
        <v>309455</v>
      </c>
      <c r="B878" s="54" t="s">
        <v>629</v>
      </c>
      <c r="C878" s="55">
        <v>0</v>
      </c>
      <c r="D878" s="55">
        <v>10</v>
      </c>
      <c r="E878" s="55">
        <v>23</v>
      </c>
      <c r="F878" s="55">
        <v>1</v>
      </c>
      <c r="G878" s="55">
        <v>1</v>
      </c>
      <c r="H878" s="55">
        <v>1</v>
      </c>
      <c r="I878" s="55">
        <v>0.1</v>
      </c>
      <c r="J878" s="55">
        <v>0.1</v>
      </c>
      <c r="K878" s="55">
        <v>0.1</v>
      </c>
      <c r="L878" s="55">
        <v>2</v>
      </c>
      <c r="M878" s="54" t="s">
        <v>45</v>
      </c>
      <c r="N878" s="54" t="s">
        <v>47</v>
      </c>
      <c r="O878" s="54" t="s">
        <v>7</v>
      </c>
      <c r="P878" s="54">
        <f t="shared" si="52"/>
        <v>0</v>
      </c>
      <c r="Q878">
        <f t="shared" si="53"/>
        <v>0</v>
      </c>
      <c r="R878">
        <f t="shared" si="54"/>
        <v>0</v>
      </c>
      <c r="S878" t="b">
        <f t="shared" si="55"/>
        <v>0</v>
      </c>
    </row>
    <row r="879" spans="1:19" x14ac:dyDescent="0.2">
      <c r="A879" s="54">
        <v>309618</v>
      </c>
      <c r="B879" s="54" t="s">
        <v>1158</v>
      </c>
      <c r="C879" s="55">
        <v>55</v>
      </c>
      <c r="D879" s="55">
        <v>55</v>
      </c>
      <c r="E879" s="55">
        <v>2</v>
      </c>
      <c r="F879" s="55">
        <v>33</v>
      </c>
      <c r="G879" s="55">
        <v>33</v>
      </c>
      <c r="H879" s="55">
        <v>33</v>
      </c>
      <c r="I879" s="55">
        <v>0.6</v>
      </c>
      <c r="J879" s="55">
        <v>0.6</v>
      </c>
      <c r="K879" s="55">
        <v>0.6</v>
      </c>
      <c r="L879" s="55">
        <v>29</v>
      </c>
      <c r="M879" s="54" t="s">
        <v>30</v>
      </c>
      <c r="N879" s="54" t="s">
        <v>1401</v>
      </c>
      <c r="O879" s="54" t="s">
        <v>7</v>
      </c>
      <c r="P879" s="54">
        <f t="shared" si="52"/>
        <v>0</v>
      </c>
      <c r="Q879">
        <f t="shared" si="53"/>
        <v>0</v>
      </c>
      <c r="R879">
        <f t="shared" si="54"/>
        <v>0</v>
      </c>
      <c r="S879" t="b">
        <f t="shared" si="55"/>
        <v>0</v>
      </c>
    </row>
    <row r="880" spans="1:19" x14ac:dyDescent="0.2">
      <c r="A880" s="54">
        <v>309704</v>
      </c>
      <c r="B880" s="54" t="s">
        <v>263</v>
      </c>
      <c r="C880" s="55">
        <v>198</v>
      </c>
      <c r="D880" s="55">
        <v>157</v>
      </c>
      <c r="E880" s="55">
        <v>41</v>
      </c>
      <c r="F880" s="55">
        <v>222</v>
      </c>
      <c r="G880" s="55">
        <v>222</v>
      </c>
      <c r="H880" s="55">
        <v>143</v>
      </c>
      <c r="I880" s="55">
        <v>1.41</v>
      </c>
      <c r="J880" s="55">
        <v>1.41</v>
      </c>
      <c r="K880" s="55">
        <v>0.91</v>
      </c>
      <c r="L880" s="55">
        <v>18</v>
      </c>
      <c r="M880" s="54" t="s">
        <v>47</v>
      </c>
      <c r="N880" s="54" t="s">
        <v>47</v>
      </c>
      <c r="O880" s="54" t="s">
        <v>6</v>
      </c>
      <c r="P880" s="54">
        <f t="shared" si="52"/>
        <v>198</v>
      </c>
      <c r="Q880">
        <f t="shared" si="53"/>
        <v>0</v>
      </c>
      <c r="R880">
        <f t="shared" si="54"/>
        <v>198</v>
      </c>
      <c r="S880" t="b">
        <f t="shared" si="55"/>
        <v>0</v>
      </c>
    </row>
    <row r="881" spans="1:19" x14ac:dyDescent="0.2">
      <c r="A881" s="54">
        <v>309995</v>
      </c>
      <c r="B881" s="54" t="s">
        <v>107</v>
      </c>
      <c r="C881" s="55">
        <v>458</v>
      </c>
      <c r="D881" s="55">
        <v>450</v>
      </c>
      <c r="E881" s="55">
        <v>10</v>
      </c>
      <c r="F881" s="55">
        <v>868</v>
      </c>
      <c r="G881" s="55">
        <v>113</v>
      </c>
      <c r="H881" s="55">
        <v>4</v>
      </c>
      <c r="I881" s="55">
        <v>1.93</v>
      </c>
      <c r="J881" s="55">
        <v>0.25</v>
      </c>
      <c r="K881" s="55">
        <v>0.01</v>
      </c>
      <c r="L881" s="55">
        <v>73</v>
      </c>
      <c r="M881" s="54" t="s">
        <v>43</v>
      </c>
      <c r="N881" s="54" t="s">
        <v>1400</v>
      </c>
      <c r="O881" s="54" t="s">
        <v>6</v>
      </c>
      <c r="P881" s="54">
        <f t="shared" si="52"/>
        <v>0</v>
      </c>
      <c r="Q881">
        <f t="shared" si="53"/>
        <v>0</v>
      </c>
      <c r="R881">
        <f t="shared" si="54"/>
        <v>0</v>
      </c>
      <c r="S881" t="b">
        <f t="shared" si="55"/>
        <v>0</v>
      </c>
    </row>
    <row r="882" spans="1:19" x14ac:dyDescent="0.2">
      <c r="A882" s="54">
        <v>310328</v>
      </c>
      <c r="B882" s="54" t="s">
        <v>613</v>
      </c>
      <c r="C882" s="55">
        <v>3</v>
      </c>
      <c r="D882" s="55">
        <v>12</v>
      </c>
      <c r="E882" s="55">
        <v>6</v>
      </c>
      <c r="F882" s="55">
        <v>1</v>
      </c>
      <c r="G882" s="55">
        <v>1</v>
      </c>
      <c r="H882" s="55">
        <v>0</v>
      </c>
      <c r="I882" s="55">
        <v>0.08</v>
      </c>
      <c r="J882" s="55">
        <v>0.08</v>
      </c>
      <c r="K882" s="55">
        <v>0</v>
      </c>
      <c r="L882" s="55">
        <v>9</v>
      </c>
      <c r="M882" s="54" t="s">
        <v>43</v>
      </c>
      <c r="N882" s="54" t="s">
        <v>1400</v>
      </c>
      <c r="O882" s="54" t="s">
        <v>7</v>
      </c>
      <c r="P882" s="54">
        <f t="shared" si="52"/>
        <v>0</v>
      </c>
      <c r="Q882">
        <f t="shared" si="53"/>
        <v>0</v>
      </c>
      <c r="R882">
        <f t="shared" si="54"/>
        <v>0</v>
      </c>
      <c r="S882" t="b">
        <f t="shared" si="55"/>
        <v>0</v>
      </c>
    </row>
    <row r="883" spans="1:19" x14ac:dyDescent="0.2">
      <c r="A883" s="54">
        <v>310479</v>
      </c>
      <c r="B883" s="54" t="s">
        <v>416</v>
      </c>
      <c r="C883" s="55">
        <v>44</v>
      </c>
      <c r="D883" s="55">
        <v>45</v>
      </c>
      <c r="E883" s="55">
        <v>8</v>
      </c>
      <c r="F883" s="55">
        <v>29</v>
      </c>
      <c r="G883" s="55">
        <v>13</v>
      </c>
      <c r="H883" s="55">
        <v>13</v>
      </c>
      <c r="I883" s="55">
        <v>0.64</v>
      </c>
      <c r="J883" s="55">
        <v>0.28999999999999998</v>
      </c>
      <c r="K883" s="55">
        <v>0.28999999999999998</v>
      </c>
      <c r="L883" s="55">
        <v>30</v>
      </c>
      <c r="M883" s="54" t="s">
        <v>43</v>
      </c>
      <c r="N883" s="54" t="s">
        <v>1400</v>
      </c>
      <c r="O883" s="54" t="s">
        <v>7</v>
      </c>
      <c r="P883" s="54">
        <f t="shared" si="52"/>
        <v>0</v>
      </c>
      <c r="Q883">
        <f t="shared" si="53"/>
        <v>0</v>
      </c>
      <c r="R883">
        <f t="shared" si="54"/>
        <v>0</v>
      </c>
      <c r="S883" t="b">
        <f t="shared" si="55"/>
        <v>0</v>
      </c>
    </row>
    <row r="884" spans="1:19" x14ac:dyDescent="0.2">
      <c r="A884" s="54">
        <v>310911</v>
      </c>
      <c r="B884" s="54" t="s">
        <v>218</v>
      </c>
      <c r="C884" s="55">
        <v>58</v>
      </c>
      <c r="D884" s="55">
        <v>51</v>
      </c>
      <c r="E884" s="55">
        <v>10</v>
      </c>
      <c r="F884" s="55">
        <v>263</v>
      </c>
      <c r="G884" s="55">
        <v>26</v>
      </c>
      <c r="H884" s="55">
        <v>0</v>
      </c>
      <c r="I884" s="55">
        <v>5.16</v>
      </c>
      <c r="J884" s="55">
        <v>0.51</v>
      </c>
      <c r="K884" s="55">
        <v>0</v>
      </c>
      <c r="L884" s="55">
        <v>0</v>
      </c>
      <c r="M884" s="54" t="s">
        <v>43</v>
      </c>
      <c r="N884" s="54" t="s">
        <v>1400</v>
      </c>
      <c r="O884" s="54" t="s">
        <v>7</v>
      </c>
      <c r="P884" s="54">
        <f t="shared" si="52"/>
        <v>58</v>
      </c>
      <c r="Q884">
        <f t="shared" si="53"/>
        <v>58</v>
      </c>
      <c r="R884">
        <f t="shared" si="54"/>
        <v>0</v>
      </c>
      <c r="S884" t="b">
        <f t="shared" si="55"/>
        <v>0</v>
      </c>
    </row>
    <row r="885" spans="1:19" x14ac:dyDescent="0.2">
      <c r="A885" s="54">
        <v>311124</v>
      </c>
      <c r="B885" s="54" t="s">
        <v>1031</v>
      </c>
      <c r="C885" s="55">
        <v>22</v>
      </c>
      <c r="D885" s="55">
        <v>20</v>
      </c>
      <c r="E885" s="55">
        <v>0</v>
      </c>
      <c r="F885" s="55">
        <v>0</v>
      </c>
      <c r="G885" s="55">
        <v>0</v>
      </c>
      <c r="H885" s="55">
        <v>0</v>
      </c>
      <c r="I885" s="55">
        <v>0</v>
      </c>
      <c r="J885" s="55">
        <v>0</v>
      </c>
      <c r="K885" s="55">
        <v>0</v>
      </c>
      <c r="L885" s="55">
        <v>0</v>
      </c>
      <c r="M885" s="54" t="s">
        <v>30</v>
      </c>
      <c r="N885" s="54" t="s">
        <v>1401</v>
      </c>
      <c r="O885" s="54" t="s">
        <v>7</v>
      </c>
      <c r="P885" s="54">
        <f t="shared" si="52"/>
        <v>0</v>
      </c>
      <c r="Q885">
        <f t="shared" si="53"/>
        <v>0</v>
      </c>
      <c r="R885">
        <f t="shared" si="54"/>
        <v>0</v>
      </c>
      <c r="S885" t="b">
        <f t="shared" si="55"/>
        <v>0</v>
      </c>
    </row>
    <row r="886" spans="1:19" x14ac:dyDescent="0.2">
      <c r="A886" s="54">
        <v>311450</v>
      </c>
      <c r="B886" s="54" t="s">
        <v>306</v>
      </c>
      <c r="C886" s="55">
        <v>17</v>
      </c>
      <c r="D886" s="55">
        <v>14</v>
      </c>
      <c r="E886" s="55">
        <v>12</v>
      </c>
      <c r="F886" s="55">
        <v>49</v>
      </c>
      <c r="G886" s="55">
        <v>6</v>
      </c>
      <c r="H886" s="55">
        <v>0</v>
      </c>
      <c r="I886" s="55">
        <v>3.5</v>
      </c>
      <c r="J886" s="55">
        <v>0.43</v>
      </c>
      <c r="K886" s="55">
        <v>0</v>
      </c>
      <c r="L886" s="55">
        <v>0</v>
      </c>
      <c r="M886" s="54" t="s">
        <v>43</v>
      </c>
      <c r="N886" s="54" t="s">
        <v>1400</v>
      </c>
      <c r="O886" s="54" t="s">
        <v>7</v>
      </c>
      <c r="P886" s="54">
        <f t="shared" si="52"/>
        <v>17</v>
      </c>
      <c r="Q886">
        <f t="shared" si="53"/>
        <v>17</v>
      </c>
      <c r="R886">
        <f t="shared" si="54"/>
        <v>0</v>
      </c>
      <c r="S886" t="b">
        <f t="shared" si="55"/>
        <v>0</v>
      </c>
    </row>
    <row r="887" spans="1:19" x14ac:dyDescent="0.2">
      <c r="A887" s="54">
        <v>311621</v>
      </c>
      <c r="B887" s="54" t="s">
        <v>804</v>
      </c>
      <c r="C887" s="55">
        <v>6</v>
      </c>
      <c r="D887" s="55">
        <v>7</v>
      </c>
      <c r="E887" s="55">
        <v>1</v>
      </c>
      <c r="F887" s="55">
        <v>0</v>
      </c>
      <c r="G887" s="55">
        <v>0</v>
      </c>
      <c r="H887" s="55">
        <v>0</v>
      </c>
      <c r="I887" s="55">
        <v>0</v>
      </c>
      <c r="J887" s="55">
        <v>0</v>
      </c>
      <c r="K887" s="55">
        <v>0</v>
      </c>
      <c r="L887" s="55">
        <v>0</v>
      </c>
      <c r="M887" s="54" t="s">
        <v>30</v>
      </c>
      <c r="N887" s="54" t="s">
        <v>1401</v>
      </c>
      <c r="O887" s="54" t="s">
        <v>7</v>
      </c>
      <c r="P887" s="54">
        <f t="shared" si="52"/>
        <v>0</v>
      </c>
      <c r="Q887">
        <f t="shared" si="53"/>
        <v>0</v>
      </c>
      <c r="R887">
        <f t="shared" si="54"/>
        <v>0</v>
      </c>
      <c r="S887" t="b">
        <f t="shared" si="55"/>
        <v>0</v>
      </c>
    </row>
    <row r="888" spans="1:19" x14ac:dyDescent="0.2">
      <c r="A888" s="54">
        <v>312157</v>
      </c>
      <c r="B888" s="54" t="s">
        <v>1192</v>
      </c>
      <c r="C888" s="55">
        <v>80</v>
      </c>
      <c r="D888" s="55">
        <v>80</v>
      </c>
      <c r="E888" s="55">
        <v>1</v>
      </c>
      <c r="F888" s="55">
        <v>0</v>
      </c>
      <c r="G888" s="55">
        <v>0</v>
      </c>
      <c r="H888" s="55">
        <v>0</v>
      </c>
      <c r="I888" s="55">
        <v>0</v>
      </c>
      <c r="J888" s="55">
        <v>0</v>
      </c>
      <c r="K888" s="55">
        <v>0</v>
      </c>
      <c r="L888" s="55">
        <v>0</v>
      </c>
      <c r="M888" s="54" t="s">
        <v>30</v>
      </c>
      <c r="N888" s="54" t="s">
        <v>1401</v>
      </c>
      <c r="O888" s="54" t="s">
        <v>7</v>
      </c>
      <c r="P888" s="54">
        <f t="shared" si="52"/>
        <v>0</v>
      </c>
      <c r="Q888">
        <f t="shared" si="53"/>
        <v>0</v>
      </c>
      <c r="R888">
        <f t="shared" si="54"/>
        <v>0</v>
      </c>
      <c r="S888" t="b">
        <f t="shared" si="55"/>
        <v>0</v>
      </c>
    </row>
    <row r="889" spans="1:19" x14ac:dyDescent="0.2">
      <c r="A889" s="54">
        <v>313325</v>
      </c>
      <c r="B889" s="54" t="s">
        <v>521</v>
      </c>
      <c r="C889" s="55">
        <v>1</v>
      </c>
      <c r="D889" s="55">
        <v>6</v>
      </c>
      <c r="E889" s="55">
        <v>6</v>
      </c>
      <c r="F889" s="55">
        <v>13</v>
      </c>
      <c r="G889" s="55">
        <v>13</v>
      </c>
      <c r="H889" s="55">
        <v>5</v>
      </c>
      <c r="I889" s="55">
        <v>2.17</v>
      </c>
      <c r="J889" s="55">
        <v>2.17</v>
      </c>
      <c r="K889" s="55">
        <v>0.83</v>
      </c>
      <c r="L889" s="55">
        <v>10</v>
      </c>
      <c r="M889" s="54" t="s">
        <v>43</v>
      </c>
      <c r="N889" s="54" t="s">
        <v>1400</v>
      </c>
      <c r="O889" s="54" t="s">
        <v>7</v>
      </c>
      <c r="P889" s="54">
        <f t="shared" si="52"/>
        <v>1</v>
      </c>
      <c r="Q889">
        <f t="shared" si="53"/>
        <v>1</v>
      </c>
      <c r="R889">
        <f t="shared" si="54"/>
        <v>1</v>
      </c>
      <c r="S889" t="b">
        <f t="shared" si="55"/>
        <v>0</v>
      </c>
    </row>
    <row r="890" spans="1:19" x14ac:dyDescent="0.2">
      <c r="A890" s="54">
        <v>313390</v>
      </c>
      <c r="B890" s="54" t="s">
        <v>669</v>
      </c>
      <c r="C890" s="55">
        <v>18</v>
      </c>
      <c r="D890" s="55">
        <v>12</v>
      </c>
      <c r="E890" s="55">
        <v>6</v>
      </c>
      <c r="F890" s="55">
        <v>0</v>
      </c>
      <c r="G890" s="55">
        <v>0</v>
      </c>
      <c r="H890" s="55">
        <v>0</v>
      </c>
      <c r="I890" s="55">
        <v>0</v>
      </c>
      <c r="J890" s="55">
        <v>0</v>
      </c>
      <c r="K890" s="55">
        <v>0</v>
      </c>
      <c r="L890" s="55">
        <v>0</v>
      </c>
      <c r="M890" s="54" t="s">
        <v>43</v>
      </c>
      <c r="N890" s="54" t="s">
        <v>1400</v>
      </c>
      <c r="O890" s="54" t="s">
        <v>7</v>
      </c>
      <c r="P890" s="54">
        <f t="shared" si="52"/>
        <v>0</v>
      </c>
      <c r="Q890">
        <f t="shared" si="53"/>
        <v>0</v>
      </c>
      <c r="R890">
        <f t="shared" si="54"/>
        <v>0</v>
      </c>
      <c r="S890" t="b">
        <f t="shared" si="55"/>
        <v>0</v>
      </c>
    </row>
    <row r="891" spans="1:19" x14ac:dyDescent="0.2">
      <c r="A891" s="54">
        <v>313412</v>
      </c>
      <c r="B891" s="54" t="s">
        <v>799</v>
      </c>
      <c r="C891" s="55">
        <v>5</v>
      </c>
      <c r="D891" s="55">
        <v>5</v>
      </c>
      <c r="E891" s="55">
        <v>5</v>
      </c>
      <c r="F891" s="55">
        <v>17</v>
      </c>
      <c r="G891" s="55">
        <v>17</v>
      </c>
      <c r="H891" s="55">
        <v>7</v>
      </c>
      <c r="I891" s="55">
        <v>3.4</v>
      </c>
      <c r="J891" s="55">
        <v>3.4</v>
      </c>
      <c r="K891" s="55">
        <v>1.4</v>
      </c>
      <c r="L891" s="55">
        <v>2</v>
      </c>
      <c r="M891" s="54" t="s">
        <v>30</v>
      </c>
      <c r="N891" s="54" t="s">
        <v>1401</v>
      </c>
      <c r="O891" s="54" t="s">
        <v>7</v>
      </c>
      <c r="P891" s="54">
        <f t="shared" si="52"/>
        <v>5</v>
      </c>
      <c r="Q891">
        <f t="shared" si="53"/>
        <v>5</v>
      </c>
      <c r="R891">
        <f t="shared" si="54"/>
        <v>5</v>
      </c>
      <c r="S891" t="b">
        <f t="shared" si="55"/>
        <v>0</v>
      </c>
    </row>
    <row r="892" spans="1:19" x14ac:dyDescent="0.2">
      <c r="A892" s="54">
        <v>313790</v>
      </c>
      <c r="B892" s="54" t="s">
        <v>99</v>
      </c>
      <c r="C892" s="55">
        <v>295</v>
      </c>
      <c r="D892" s="55">
        <v>150</v>
      </c>
      <c r="E892" s="55">
        <v>13</v>
      </c>
      <c r="F892" s="55">
        <v>1107</v>
      </c>
      <c r="G892" s="55">
        <v>48</v>
      </c>
      <c r="H892" s="55">
        <v>30</v>
      </c>
      <c r="I892" s="55">
        <v>7.38</v>
      </c>
      <c r="J892" s="55">
        <v>0.32</v>
      </c>
      <c r="K892" s="55">
        <v>0.2</v>
      </c>
      <c r="L892" s="55">
        <v>0</v>
      </c>
      <c r="M892" s="54" t="s">
        <v>45</v>
      </c>
      <c r="N892" s="54" t="s">
        <v>47</v>
      </c>
      <c r="O892" s="54" t="s">
        <v>6</v>
      </c>
      <c r="P892" s="54">
        <f t="shared" si="52"/>
        <v>295</v>
      </c>
      <c r="Q892">
        <f t="shared" si="53"/>
        <v>295</v>
      </c>
      <c r="R892">
        <f t="shared" si="54"/>
        <v>0</v>
      </c>
      <c r="S892" t="b">
        <f t="shared" si="55"/>
        <v>0</v>
      </c>
    </row>
    <row r="893" spans="1:19" x14ac:dyDescent="0.2">
      <c r="A893" s="54">
        <v>313841</v>
      </c>
      <c r="B893" s="54" t="s">
        <v>786</v>
      </c>
      <c r="C893" s="55">
        <v>5</v>
      </c>
      <c r="D893" s="55">
        <v>3</v>
      </c>
      <c r="E893" s="55">
        <v>2</v>
      </c>
      <c r="F893" s="55">
        <v>0</v>
      </c>
      <c r="G893" s="55">
        <v>0</v>
      </c>
      <c r="H893" s="55">
        <v>0</v>
      </c>
      <c r="I893" s="55">
        <v>0</v>
      </c>
      <c r="J893" s="55">
        <v>0</v>
      </c>
      <c r="K893" s="55">
        <v>0</v>
      </c>
      <c r="L893" s="55">
        <v>0</v>
      </c>
      <c r="M893" s="54" t="s">
        <v>30</v>
      </c>
      <c r="N893" s="54" t="s">
        <v>1401</v>
      </c>
      <c r="O893" s="54" t="s">
        <v>7</v>
      </c>
      <c r="P893" s="54">
        <f t="shared" si="52"/>
        <v>0</v>
      </c>
      <c r="Q893">
        <f t="shared" si="53"/>
        <v>0</v>
      </c>
      <c r="R893">
        <f t="shared" si="54"/>
        <v>0</v>
      </c>
      <c r="S893" t="b">
        <f t="shared" si="55"/>
        <v>0</v>
      </c>
    </row>
    <row r="894" spans="1:19" x14ac:dyDescent="0.2">
      <c r="A894" s="54">
        <v>313885</v>
      </c>
      <c r="B894" s="54" t="s">
        <v>802</v>
      </c>
      <c r="C894" s="55">
        <v>5</v>
      </c>
      <c r="D894" s="55">
        <v>3</v>
      </c>
      <c r="E894" s="55">
        <v>0</v>
      </c>
      <c r="F894" s="55">
        <v>0</v>
      </c>
      <c r="G894" s="55">
        <v>0</v>
      </c>
      <c r="H894" s="55">
        <v>0</v>
      </c>
      <c r="I894" s="55">
        <v>0</v>
      </c>
      <c r="J894" s="55">
        <v>0</v>
      </c>
      <c r="K894" s="55">
        <v>0</v>
      </c>
      <c r="L894" s="55">
        <v>0</v>
      </c>
      <c r="M894" s="54" t="s">
        <v>30</v>
      </c>
      <c r="N894" s="54" t="s">
        <v>1401</v>
      </c>
      <c r="O894" s="54" t="s">
        <v>7</v>
      </c>
      <c r="P894" s="54">
        <f t="shared" si="52"/>
        <v>0</v>
      </c>
      <c r="Q894">
        <f t="shared" si="53"/>
        <v>0</v>
      </c>
      <c r="R894">
        <f t="shared" si="54"/>
        <v>0</v>
      </c>
      <c r="S894" t="b">
        <f t="shared" si="55"/>
        <v>0</v>
      </c>
    </row>
    <row r="895" spans="1:19" x14ac:dyDescent="0.2">
      <c r="A895" s="54">
        <v>313924</v>
      </c>
      <c r="B895" s="54" t="s">
        <v>481</v>
      </c>
      <c r="C895" s="55">
        <v>61</v>
      </c>
      <c r="D895" s="55">
        <v>46</v>
      </c>
      <c r="E895" s="55">
        <v>9</v>
      </c>
      <c r="F895" s="55">
        <v>52</v>
      </c>
      <c r="G895" s="55">
        <v>52</v>
      </c>
      <c r="H895" s="55">
        <v>52</v>
      </c>
      <c r="I895" s="55">
        <v>1.1299999999999999</v>
      </c>
      <c r="J895" s="55">
        <v>1.1299999999999999</v>
      </c>
      <c r="K895" s="55">
        <v>1.1299999999999999</v>
      </c>
      <c r="L895" s="55">
        <v>0</v>
      </c>
      <c r="M895" s="54" t="s">
        <v>43</v>
      </c>
      <c r="N895" s="54" t="s">
        <v>1400</v>
      </c>
      <c r="O895" s="54" t="s">
        <v>7</v>
      </c>
      <c r="P895" s="54">
        <f t="shared" si="52"/>
        <v>61</v>
      </c>
      <c r="Q895">
        <f t="shared" si="53"/>
        <v>0</v>
      </c>
      <c r="R895">
        <f t="shared" si="54"/>
        <v>61</v>
      </c>
      <c r="S895" t="b">
        <f t="shared" si="55"/>
        <v>0</v>
      </c>
    </row>
    <row r="896" spans="1:19" x14ac:dyDescent="0.2">
      <c r="A896" s="54">
        <v>314695</v>
      </c>
      <c r="B896" s="54" t="s">
        <v>743</v>
      </c>
      <c r="C896" s="55">
        <v>3</v>
      </c>
      <c r="D896" s="55">
        <v>3</v>
      </c>
      <c r="E896" s="55">
        <v>1</v>
      </c>
      <c r="F896" s="55">
        <v>10</v>
      </c>
      <c r="G896" s="55">
        <v>10</v>
      </c>
      <c r="H896" s="55">
        <v>10</v>
      </c>
      <c r="I896" s="55">
        <v>3.33</v>
      </c>
      <c r="J896" s="55">
        <v>3.33</v>
      </c>
      <c r="K896" s="55">
        <v>3.33</v>
      </c>
      <c r="L896" s="55">
        <v>1</v>
      </c>
      <c r="M896" s="54" t="s">
        <v>30</v>
      </c>
      <c r="N896" s="54" t="s">
        <v>1401</v>
      </c>
      <c r="O896" s="54" t="s">
        <v>7</v>
      </c>
      <c r="P896" s="54">
        <f t="shared" si="52"/>
        <v>3</v>
      </c>
      <c r="Q896">
        <f t="shared" si="53"/>
        <v>3</v>
      </c>
      <c r="R896">
        <f t="shared" si="54"/>
        <v>3</v>
      </c>
      <c r="S896" t="b">
        <f t="shared" si="55"/>
        <v>0</v>
      </c>
    </row>
    <row r="897" spans="1:19" x14ac:dyDescent="0.2">
      <c r="A897" s="54">
        <v>315176</v>
      </c>
      <c r="B897" s="54" t="s">
        <v>582</v>
      </c>
      <c r="C897" s="55">
        <v>83</v>
      </c>
      <c r="D897" s="55">
        <v>64</v>
      </c>
      <c r="E897" s="55">
        <v>13</v>
      </c>
      <c r="F897" s="55">
        <v>5</v>
      </c>
      <c r="G897" s="55">
        <v>0</v>
      </c>
      <c r="H897" s="55">
        <v>0</v>
      </c>
      <c r="I897" s="55">
        <v>0.08</v>
      </c>
      <c r="J897" s="55">
        <v>0</v>
      </c>
      <c r="K897" s="55">
        <v>0</v>
      </c>
      <c r="L897" s="55">
        <v>0</v>
      </c>
      <c r="M897" s="54" t="s">
        <v>45</v>
      </c>
      <c r="N897" s="54" t="s">
        <v>47</v>
      </c>
      <c r="O897" s="54" t="s">
        <v>7</v>
      </c>
      <c r="P897" s="54">
        <f t="shared" si="52"/>
        <v>0</v>
      </c>
      <c r="Q897">
        <f t="shared" si="53"/>
        <v>0</v>
      </c>
      <c r="R897">
        <f t="shared" si="54"/>
        <v>0</v>
      </c>
      <c r="S897" t="b">
        <f t="shared" si="55"/>
        <v>0</v>
      </c>
    </row>
    <row r="898" spans="1:19" x14ac:dyDescent="0.2">
      <c r="A898" s="54">
        <v>315246</v>
      </c>
      <c r="B898" s="54" t="s">
        <v>680</v>
      </c>
      <c r="C898" s="55">
        <v>57</v>
      </c>
      <c r="D898" s="55">
        <v>27</v>
      </c>
      <c r="E898" s="55">
        <v>49</v>
      </c>
      <c r="F898" s="55">
        <v>0</v>
      </c>
      <c r="G898" s="55">
        <v>0</v>
      </c>
      <c r="H898" s="55">
        <v>0</v>
      </c>
      <c r="I898" s="55">
        <v>0</v>
      </c>
      <c r="J898" s="55">
        <v>0</v>
      </c>
      <c r="K898" s="55">
        <v>0</v>
      </c>
      <c r="L898" s="55">
        <v>0</v>
      </c>
      <c r="M898" s="54" t="s">
        <v>47</v>
      </c>
      <c r="N898" s="54" t="s">
        <v>47</v>
      </c>
      <c r="O898" s="54" t="s">
        <v>7</v>
      </c>
      <c r="P898" s="54">
        <f t="shared" ref="P898:P961" si="56">IF(I898&gt;=2, C898, IF(J898&gt;=0.75, C898, 0))</f>
        <v>0</v>
      </c>
      <c r="Q898">
        <f t="shared" ref="Q898:Q961" si="57">IF(I898&gt;=2, C898, IF(AND(J898&gt;=0.75, D898&gt;=550), C898, 0))</f>
        <v>0</v>
      </c>
      <c r="R898">
        <f t="shared" ref="R898:R961" si="58">IF(J898&gt;=0.75, C898, 0)</f>
        <v>0</v>
      </c>
      <c r="S898" t="b">
        <f t="shared" si="55"/>
        <v>0</v>
      </c>
    </row>
    <row r="899" spans="1:19" x14ac:dyDescent="0.2">
      <c r="A899" s="54">
        <v>315428</v>
      </c>
      <c r="B899" s="54" t="s">
        <v>409</v>
      </c>
      <c r="C899" s="55">
        <v>28</v>
      </c>
      <c r="D899" s="55">
        <v>48</v>
      </c>
      <c r="E899" s="55">
        <v>13</v>
      </c>
      <c r="F899" s="55">
        <v>43</v>
      </c>
      <c r="G899" s="55">
        <v>6</v>
      </c>
      <c r="H899" s="55">
        <v>0</v>
      </c>
      <c r="I899" s="55">
        <v>0.9</v>
      </c>
      <c r="J899" s="55">
        <v>0.13</v>
      </c>
      <c r="K899" s="55">
        <v>0</v>
      </c>
      <c r="L899" s="55">
        <v>12</v>
      </c>
      <c r="M899" s="54" t="s">
        <v>45</v>
      </c>
      <c r="N899" s="54" t="s">
        <v>47</v>
      </c>
      <c r="O899" s="54" t="s">
        <v>7</v>
      </c>
      <c r="P899" s="54">
        <f t="shared" si="56"/>
        <v>0</v>
      </c>
      <c r="Q899">
        <f t="shared" si="57"/>
        <v>0</v>
      </c>
      <c r="R899">
        <f t="shared" si="58"/>
        <v>0</v>
      </c>
      <c r="S899" t="b">
        <f t="shared" ref="S899:S962" si="59">IF(A899=A900,TRUE,FALSE)</f>
        <v>0</v>
      </c>
    </row>
    <row r="900" spans="1:19" x14ac:dyDescent="0.2">
      <c r="A900" s="54">
        <v>315562</v>
      </c>
      <c r="B900" s="54" t="s">
        <v>1030</v>
      </c>
      <c r="C900" s="55">
        <v>22</v>
      </c>
      <c r="D900" s="55">
        <v>22</v>
      </c>
      <c r="E900" s="55">
        <v>3</v>
      </c>
      <c r="F900" s="55">
        <v>43</v>
      </c>
      <c r="G900" s="55">
        <v>43</v>
      </c>
      <c r="H900" s="55">
        <v>34</v>
      </c>
      <c r="I900" s="55">
        <v>1.95</v>
      </c>
      <c r="J900" s="55">
        <v>1.95</v>
      </c>
      <c r="K900" s="55">
        <v>1.55</v>
      </c>
      <c r="L900" s="55">
        <v>19</v>
      </c>
      <c r="M900" s="54" t="s">
        <v>30</v>
      </c>
      <c r="N900" s="54" t="s">
        <v>1401</v>
      </c>
      <c r="O900" s="54" t="s">
        <v>7</v>
      </c>
      <c r="P900" s="54">
        <f t="shared" si="56"/>
        <v>22</v>
      </c>
      <c r="Q900">
        <f t="shared" si="57"/>
        <v>0</v>
      </c>
      <c r="R900">
        <f t="shared" si="58"/>
        <v>22</v>
      </c>
      <c r="S900" t="b">
        <f t="shared" si="59"/>
        <v>0</v>
      </c>
    </row>
    <row r="901" spans="1:19" x14ac:dyDescent="0.2">
      <c r="A901" s="54">
        <v>316023</v>
      </c>
      <c r="B901" s="54" t="s">
        <v>456</v>
      </c>
      <c r="C901" s="55">
        <v>28</v>
      </c>
      <c r="D901" s="55">
        <v>26</v>
      </c>
      <c r="E901" s="55">
        <v>11</v>
      </c>
      <c r="F901" s="55">
        <v>32</v>
      </c>
      <c r="G901" s="55">
        <v>7</v>
      </c>
      <c r="H901" s="55">
        <v>0</v>
      </c>
      <c r="I901" s="55">
        <v>1.23</v>
      </c>
      <c r="J901" s="55">
        <v>0.27</v>
      </c>
      <c r="K901" s="55">
        <v>0</v>
      </c>
      <c r="L901" s="55">
        <v>0</v>
      </c>
      <c r="M901" s="54" t="s">
        <v>43</v>
      </c>
      <c r="N901" s="54" t="s">
        <v>1400</v>
      </c>
      <c r="O901" s="54" t="s">
        <v>7</v>
      </c>
      <c r="P901" s="54">
        <f t="shared" si="56"/>
        <v>0</v>
      </c>
      <c r="Q901">
        <f t="shared" si="57"/>
        <v>0</v>
      </c>
      <c r="R901">
        <f t="shared" si="58"/>
        <v>0</v>
      </c>
      <c r="S901" t="b">
        <f t="shared" si="59"/>
        <v>0</v>
      </c>
    </row>
    <row r="902" spans="1:19" x14ac:dyDescent="0.2">
      <c r="A902" s="54">
        <v>316129</v>
      </c>
      <c r="B902" s="54" t="s">
        <v>1137</v>
      </c>
      <c r="C902" s="55">
        <v>45</v>
      </c>
      <c r="D902" s="55">
        <v>70</v>
      </c>
      <c r="E902" s="55">
        <v>6</v>
      </c>
      <c r="F902" s="55">
        <v>16</v>
      </c>
      <c r="G902" s="55">
        <v>15</v>
      </c>
      <c r="H902" s="55">
        <v>15</v>
      </c>
      <c r="I902" s="55">
        <v>0.23</v>
      </c>
      <c r="J902" s="55">
        <v>0.21</v>
      </c>
      <c r="K902" s="55">
        <v>0.21</v>
      </c>
      <c r="L902" s="55">
        <v>21</v>
      </c>
      <c r="M902" s="54" t="s">
        <v>43</v>
      </c>
      <c r="N902" s="54" t="s">
        <v>1400</v>
      </c>
      <c r="O902" s="54" t="s">
        <v>7</v>
      </c>
      <c r="P902" s="54">
        <f t="shared" si="56"/>
        <v>0</v>
      </c>
      <c r="Q902">
        <f t="shared" si="57"/>
        <v>0</v>
      </c>
      <c r="R902">
        <f t="shared" si="58"/>
        <v>0</v>
      </c>
      <c r="S902" t="b">
        <f t="shared" si="59"/>
        <v>0</v>
      </c>
    </row>
    <row r="903" spans="1:19" x14ac:dyDescent="0.2">
      <c r="A903" s="54">
        <v>316358</v>
      </c>
      <c r="B903" s="54" t="s">
        <v>1358</v>
      </c>
      <c r="C903" s="55">
        <v>0</v>
      </c>
      <c r="D903" s="55">
        <v>20</v>
      </c>
      <c r="E903" s="55">
        <v>0</v>
      </c>
      <c r="F903" s="55">
        <v>0</v>
      </c>
      <c r="G903" s="55">
        <v>0</v>
      </c>
      <c r="H903" s="55">
        <v>0</v>
      </c>
      <c r="I903" s="55">
        <v>0</v>
      </c>
      <c r="J903" s="55">
        <v>0</v>
      </c>
      <c r="K903" s="55">
        <v>0</v>
      </c>
      <c r="L903" s="55">
        <v>0</v>
      </c>
      <c r="M903" s="54" t="s">
        <v>30</v>
      </c>
      <c r="N903" s="54" t="s">
        <v>1401</v>
      </c>
      <c r="O903" s="54" t="s">
        <v>7</v>
      </c>
      <c r="P903" s="54">
        <f t="shared" si="56"/>
        <v>0</v>
      </c>
      <c r="Q903">
        <f t="shared" si="57"/>
        <v>0</v>
      </c>
      <c r="R903">
        <f t="shared" si="58"/>
        <v>0</v>
      </c>
      <c r="S903" t="b">
        <f t="shared" si="59"/>
        <v>0</v>
      </c>
    </row>
    <row r="904" spans="1:19" x14ac:dyDescent="0.2">
      <c r="A904" s="54">
        <v>316390</v>
      </c>
      <c r="B904" s="54" t="s">
        <v>819</v>
      </c>
      <c r="C904" s="55">
        <v>6</v>
      </c>
      <c r="D904" s="55">
        <v>11</v>
      </c>
      <c r="E904" s="55">
        <v>5</v>
      </c>
      <c r="F904" s="55">
        <v>0</v>
      </c>
      <c r="G904" s="55">
        <v>0</v>
      </c>
      <c r="H904" s="55">
        <v>0</v>
      </c>
      <c r="I904" s="55">
        <v>0</v>
      </c>
      <c r="J904" s="55">
        <v>0</v>
      </c>
      <c r="K904" s="55">
        <v>0</v>
      </c>
      <c r="L904" s="55">
        <v>0</v>
      </c>
      <c r="M904" s="54" t="s">
        <v>30</v>
      </c>
      <c r="N904" s="54" t="s">
        <v>1401</v>
      </c>
      <c r="O904" s="54" t="s">
        <v>7</v>
      </c>
      <c r="P904" s="54">
        <f t="shared" si="56"/>
        <v>0</v>
      </c>
      <c r="Q904">
        <f t="shared" si="57"/>
        <v>0</v>
      </c>
      <c r="R904">
        <f t="shared" si="58"/>
        <v>0</v>
      </c>
      <c r="S904" t="b">
        <f t="shared" si="59"/>
        <v>0</v>
      </c>
    </row>
    <row r="905" spans="1:19" x14ac:dyDescent="0.2">
      <c r="A905" s="54">
        <v>316715</v>
      </c>
      <c r="B905" s="54" t="s">
        <v>956</v>
      </c>
      <c r="C905" s="55">
        <v>15</v>
      </c>
      <c r="D905" s="55">
        <v>40</v>
      </c>
      <c r="E905" s="55">
        <v>2</v>
      </c>
      <c r="F905" s="55">
        <v>6</v>
      </c>
      <c r="G905" s="55">
        <v>6</v>
      </c>
      <c r="H905" s="55">
        <v>6</v>
      </c>
      <c r="I905" s="55">
        <v>0.15</v>
      </c>
      <c r="J905" s="55">
        <v>0.15</v>
      </c>
      <c r="K905" s="55">
        <v>0.15</v>
      </c>
      <c r="L905" s="55">
        <v>3</v>
      </c>
      <c r="M905" s="54" t="s">
        <v>30</v>
      </c>
      <c r="N905" s="54" t="s">
        <v>1401</v>
      </c>
      <c r="O905" s="54" t="s">
        <v>7</v>
      </c>
      <c r="P905" s="54">
        <f t="shared" si="56"/>
        <v>0</v>
      </c>
      <c r="Q905">
        <f t="shared" si="57"/>
        <v>0</v>
      </c>
      <c r="R905">
        <f t="shared" si="58"/>
        <v>0</v>
      </c>
      <c r="S905" t="b">
        <f t="shared" si="59"/>
        <v>0</v>
      </c>
    </row>
    <row r="906" spans="1:19" x14ac:dyDescent="0.2">
      <c r="A906" s="54">
        <v>316716</v>
      </c>
      <c r="B906" s="54" t="s">
        <v>241</v>
      </c>
      <c r="C906" s="55">
        <v>724</v>
      </c>
      <c r="D906" s="55">
        <v>580</v>
      </c>
      <c r="E906" s="55">
        <v>28</v>
      </c>
      <c r="F906" s="55">
        <v>229</v>
      </c>
      <c r="G906" s="55">
        <v>174</v>
      </c>
      <c r="H906" s="55">
        <v>57</v>
      </c>
      <c r="I906" s="55">
        <v>0.39</v>
      </c>
      <c r="J906" s="55">
        <v>0.3</v>
      </c>
      <c r="K906" s="55">
        <v>0.1</v>
      </c>
      <c r="L906" s="55">
        <v>1048</v>
      </c>
      <c r="M906" s="54" t="s">
        <v>47</v>
      </c>
      <c r="N906" s="54" t="s">
        <v>47</v>
      </c>
      <c r="O906" s="54" t="s">
        <v>5</v>
      </c>
      <c r="P906" s="54">
        <f t="shared" si="56"/>
        <v>0</v>
      </c>
      <c r="Q906">
        <f t="shared" si="57"/>
        <v>0</v>
      </c>
      <c r="R906">
        <f t="shared" si="58"/>
        <v>0</v>
      </c>
      <c r="S906" t="b">
        <f t="shared" si="59"/>
        <v>0</v>
      </c>
    </row>
    <row r="907" spans="1:19" x14ac:dyDescent="0.2">
      <c r="A907" s="54">
        <v>316775</v>
      </c>
      <c r="B907" s="54" t="s">
        <v>776</v>
      </c>
      <c r="C907" s="55">
        <v>4</v>
      </c>
      <c r="D907" s="55">
        <v>160</v>
      </c>
      <c r="E907" s="55">
        <v>0</v>
      </c>
      <c r="F907" s="55">
        <v>0</v>
      </c>
      <c r="G907" s="55">
        <v>0</v>
      </c>
      <c r="H907" s="55">
        <v>0</v>
      </c>
      <c r="I907" s="55">
        <v>0</v>
      </c>
      <c r="J907" s="55">
        <v>0</v>
      </c>
      <c r="K907" s="55">
        <v>0</v>
      </c>
      <c r="L907" s="55">
        <v>0</v>
      </c>
      <c r="M907" s="54" t="s">
        <v>30</v>
      </c>
      <c r="N907" s="54" t="s">
        <v>1401</v>
      </c>
      <c r="O907" s="54" t="s">
        <v>6</v>
      </c>
      <c r="P907" s="54">
        <f t="shared" si="56"/>
        <v>0</v>
      </c>
      <c r="Q907">
        <f t="shared" si="57"/>
        <v>0</v>
      </c>
      <c r="R907">
        <f t="shared" si="58"/>
        <v>0</v>
      </c>
      <c r="S907" t="b">
        <f t="shared" si="59"/>
        <v>0</v>
      </c>
    </row>
    <row r="908" spans="1:19" x14ac:dyDescent="0.2">
      <c r="A908" s="54">
        <v>317139</v>
      </c>
      <c r="B908" s="54" t="s">
        <v>1247</v>
      </c>
      <c r="C908" s="55">
        <v>137</v>
      </c>
      <c r="D908" s="55">
        <v>137</v>
      </c>
      <c r="E908" s="55">
        <v>3</v>
      </c>
      <c r="F908" s="55">
        <v>23</v>
      </c>
      <c r="G908" s="55">
        <v>23</v>
      </c>
      <c r="H908" s="55">
        <v>23</v>
      </c>
      <c r="I908" s="55">
        <v>0.17</v>
      </c>
      <c r="J908" s="55">
        <v>0.17</v>
      </c>
      <c r="K908" s="55">
        <v>0.17</v>
      </c>
      <c r="L908" s="55">
        <v>0</v>
      </c>
      <c r="M908" s="54" t="s">
        <v>30</v>
      </c>
      <c r="N908" s="54" t="s">
        <v>1401</v>
      </c>
      <c r="O908" s="54" t="s">
        <v>6</v>
      </c>
      <c r="P908" s="54">
        <f t="shared" si="56"/>
        <v>0</v>
      </c>
      <c r="Q908">
        <f t="shared" si="57"/>
        <v>0</v>
      </c>
      <c r="R908">
        <f t="shared" si="58"/>
        <v>0</v>
      </c>
      <c r="S908" t="b">
        <f t="shared" si="59"/>
        <v>0</v>
      </c>
    </row>
    <row r="909" spans="1:19" x14ac:dyDescent="0.2">
      <c r="A909" s="54">
        <v>317556</v>
      </c>
      <c r="B909" s="54" t="s">
        <v>1024</v>
      </c>
      <c r="C909" s="55">
        <v>22</v>
      </c>
      <c r="D909" s="55">
        <v>24</v>
      </c>
      <c r="E909" s="55">
        <v>1</v>
      </c>
      <c r="F909" s="55">
        <v>3</v>
      </c>
      <c r="G909" s="55">
        <v>3</v>
      </c>
      <c r="H909" s="55">
        <v>3</v>
      </c>
      <c r="I909" s="55">
        <v>0.13</v>
      </c>
      <c r="J909" s="55">
        <v>0.13</v>
      </c>
      <c r="K909" s="55">
        <v>0.13</v>
      </c>
      <c r="L909" s="55">
        <v>0</v>
      </c>
      <c r="M909" s="54" t="s">
        <v>30</v>
      </c>
      <c r="N909" s="54" t="s">
        <v>1401</v>
      </c>
      <c r="O909" s="54" t="s">
        <v>7</v>
      </c>
      <c r="P909" s="54">
        <f t="shared" si="56"/>
        <v>0</v>
      </c>
      <c r="Q909">
        <f t="shared" si="57"/>
        <v>0</v>
      </c>
      <c r="R909">
        <f t="shared" si="58"/>
        <v>0</v>
      </c>
      <c r="S909" t="b">
        <f t="shared" si="59"/>
        <v>0</v>
      </c>
    </row>
    <row r="910" spans="1:19" x14ac:dyDescent="0.2">
      <c r="A910" s="54">
        <v>317638</v>
      </c>
      <c r="B910" s="54" t="s">
        <v>478</v>
      </c>
      <c r="C910" s="55">
        <v>23</v>
      </c>
      <c r="D910" s="55">
        <v>23</v>
      </c>
      <c r="E910" s="55">
        <v>8</v>
      </c>
      <c r="F910" s="55">
        <v>26</v>
      </c>
      <c r="G910" s="55">
        <v>26</v>
      </c>
      <c r="H910" s="55">
        <v>0</v>
      </c>
      <c r="I910" s="55">
        <v>1.1299999999999999</v>
      </c>
      <c r="J910" s="55">
        <v>1.1299999999999999</v>
      </c>
      <c r="K910" s="55">
        <v>0</v>
      </c>
      <c r="L910" s="55">
        <v>32</v>
      </c>
      <c r="M910" s="54" t="s">
        <v>43</v>
      </c>
      <c r="N910" s="54" t="s">
        <v>1400</v>
      </c>
      <c r="O910" s="54" t="s">
        <v>7</v>
      </c>
      <c r="P910" s="54">
        <f t="shared" si="56"/>
        <v>23</v>
      </c>
      <c r="Q910">
        <f t="shared" si="57"/>
        <v>0</v>
      </c>
      <c r="R910">
        <f t="shared" si="58"/>
        <v>23</v>
      </c>
      <c r="S910" t="b">
        <f t="shared" si="59"/>
        <v>0</v>
      </c>
    </row>
    <row r="911" spans="1:19" x14ac:dyDescent="0.2">
      <c r="A911" s="54">
        <v>317802</v>
      </c>
      <c r="B911" s="54" t="s">
        <v>862</v>
      </c>
      <c r="C911" s="55">
        <v>9</v>
      </c>
      <c r="D911" s="55">
        <v>1</v>
      </c>
      <c r="E911" s="55">
        <v>3</v>
      </c>
      <c r="F911" s="55">
        <v>0</v>
      </c>
      <c r="G911" s="55">
        <v>0</v>
      </c>
      <c r="H911" s="55">
        <v>0</v>
      </c>
      <c r="I911" s="55">
        <v>0</v>
      </c>
      <c r="J911" s="55">
        <v>0</v>
      </c>
      <c r="K911" s="55">
        <v>0</v>
      </c>
      <c r="L911" s="55">
        <v>0</v>
      </c>
      <c r="M911" s="54" t="s">
        <v>30</v>
      </c>
      <c r="N911" s="54" t="s">
        <v>1401</v>
      </c>
      <c r="O911" s="54" t="s">
        <v>7</v>
      </c>
      <c r="P911" s="54">
        <f t="shared" si="56"/>
        <v>0</v>
      </c>
      <c r="Q911">
        <f t="shared" si="57"/>
        <v>0</v>
      </c>
      <c r="R911">
        <f t="shared" si="58"/>
        <v>0</v>
      </c>
      <c r="S911" t="b">
        <f t="shared" si="59"/>
        <v>0</v>
      </c>
    </row>
    <row r="912" spans="1:19" x14ac:dyDescent="0.2">
      <c r="A912" s="54">
        <v>318133</v>
      </c>
      <c r="B912" s="54" t="s">
        <v>811</v>
      </c>
      <c r="C912" s="55">
        <v>6</v>
      </c>
      <c r="D912" s="55">
        <v>4</v>
      </c>
      <c r="E912" s="55">
        <v>2</v>
      </c>
      <c r="F912" s="55">
        <v>4</v>
      </c>
      <c r="G912" s="55">
        <v>4</v>
      </c>
      <c r="H912" s="55">
        <v>4</v>
      </c>
      <c r="I912" s="55">
        <v>1</v>
      </c>
      <c r="J912" s="55">
        <v>1</v>
      </c>
      <c r="K912" s="55">
        <v>1</v>
      </c>
      <c r="L912" s="55">
        <v>0</v>
      </c>
      <c r="M912" s="54" t="s">
        <v>30</v>
      </c>
      <c r="N912" s="54" t="s">
        <v>1401</v>
      </c>
      <c r="O912" s="54" t="s">
        <v>7</v>
      </c>
      <c r="P912" s="54">
        <f t="shared" si="56"/>
        <v>6</v>
      </c>
      <c r="Q912">
        <f t="shared" si="57"/>
        <v>0</v>
      </c>
      <c r="R912">
        <f t="shared" si="58"/>
        <v>6</v>
      </c>
      <c r="S912" t="b">
        <f t="shared" si="59"/>
        <v>0</v>
      </c>
    </row>
    <row r="913" spans="1:19" x14ac:dyDescent="0.2">
      <c r="A913" s="54">
        <v>318176</v>
      </c>
      <c r="B913" s="54" t="s">
        <v>1099</v>
      </c>
      <c r="C913" s="55">
        <v>33</v>
      </c>
      <c r="D913" s="55">
        <v>25</v>
      </c>
      <c r="E913" s="55">
        <v>2</v>
      </c>
      <c r="F913" s="55">
        <v>1</v>
      </c>
      <c r="G913" s="55">
        <v>1</v>
      </c>
      <c r="H913" s="55">
        <v>1</v>
      </c>
      <c r="I913" s="55">
        <v>0.04</v>
      </c>
      <c r="J913" s="55">
        <v>0.04</v>
      </c>
      <c r="K913" s="55">
        <v>0.04</v>
      </c>
      <c r="L913" s="55">
        <v>0</v>
      </c>
      <c r="M913" s="54" t="s">
        <v>30</v>
      </c>
      <c r="N913" s="54" t="s">
        <v>1401</v>
      </c>
      <c r="O913" s="54" t="s">
        <v>7</v>
      </c>
      <c r="P913" s="54">
        <f t="shared" si="56"/>
        <v>0</v>
      </c>
      <c r="Q913">
        <f t="shared" si="57"/>
        <v>0</v>
      </c>
      <c r="R913">
        <f t="shared" si="58"/>
        <v>0</v>
      </c>
      <c r="S913" t="b">
        <f t="shared" si="59"/>
        <v>0</v>
      </c>
    </row>
    <row r="914" spans="1:19" x14ac:dyDescent="0.2">
      <c r="A914" s="54">
        <v>318425</v>
      </c>
      <c r="B914" s="54" t="s">
        <v>544</v>
      </c>
      <c r="C914" s="55">
        <v>25</v>
      </c>
      <c r="D914" s="55">
        <v>40</v>
      </c>
      <c r="E914" s="55">
        <v>25</v>
      </c>
      <c r="F914" s="55">
        <v>14</v>
      </c>
      <c r="G914" s="55">
        <v>0</v>
      </c>
      <c r="H914" s="55">
        <v>0</v>
      </c>
      <c r="I914" s="55">
        <v>0.35</v>
      </c>
      <c r="J914" s="55">
        <v>0</v>
      </c>
      <c r="K914" s="55">
        <v>0</v>
      </c>
      <c r="L914" s="55">
        <v>0</v>
      </c>
      <c r="M914" s="54" t="s">
        <v>47</v>
      </c>
      <c r="N914" s="54" t="s">
        <v>47</v>
      </c>
      <c r="O914" s="54" t="s">
        <v>7</v>
      </c>
      <c r="P914" s="54">
        <f t="shared" si="56"/>
        <v>0</v>
      </c>
      <c r="Q914">
        <f t="shared" si="57"/>
        <v>0</v>
      </c>
      <c r="R914">
        <f t="shared" si="58"/>
        <v>0</v>
      </c>
      <c r="S914" t="b">
        <f t="shared" si="59"/>
        <v>0</v>
      </c>
    </row>
    <row r="915" spans="1:19" x14ac:dyDescent="0.2">
      <c r="A915" s="54">
        <v>318537</v>
      </c>
      <c r="B915" s="54" t="s">
        <v>1331</v>
      </c>
      <c r="C915" s="55">
        <v>0</v>
      </c>
      <c r="D915" s="55">
        <v>8</v>
      </c>
      <c r="E915" s="55">
        <v>0</v>
      </c>
      <c r="F915" s="55">
        <v>11</v>
      </c>
      <c r="G915" s="55">
        <v>11</v>
      </c>
      <c r="H915" s="55">
        <v>11</v>
      </c>
      <c r="I915" s="55">
        <v>1.38</v>
      </c>
      <c r="J915" s="55">
        <v>1.38</v>
      </c>
      <c r="K915" s="55">
        <v>1.38</v>
      </c>
      <c r="L915" s="55">
        <v>46</v>
      </c>
      <c r="M915" s="54" t="s">
        <v>30</v>
      </c>
      <c r="N915" s="54" t="s">
        <v>1401</v>
      </c>
      <c r="O915" s="54" t="s">
        <v>7</v>
      </c>
      <c r="P915" s="54">
        <f t="shared" si="56"/>
        <v>0</v>
      </c>
      <c r="Q915">
        <f t="shared" si="57"/>
        <v>0</v>
      </c>
      <c r="R915">
        <f t="shared" si="58"/>
        <v>0</v>
      </c>
      <c r="S915" t="b">
        <f t="shared" si="59"/>
        <v>0</v>
      </c>
    </row>
    <row r="916" spans="1:19" x14ac:dyDescent="0.2">
      <c r="A916" s="54">
        <v>318806</v>
      </c>
      <c r="B916" s="54" t="s">
        <v>937</v>
      </c>
      <c r="C916" s="55">
        <v>14</v>
      </c>
      <c r="D916" s="55">
        <v>15</v>
      </c>
      <c r="E916" s="55">
        <v>2</v>
      </c>
      <c r="F916" s="55">
        <v>3</v>
      </c>
      <c r="G916" s="55">
        <v>3</v>
      </c>
      <c r="H916" s="55">
        <v>3</v>
      </c>
      <c r="I916" s="55">
        <v>0.2</v>
      </c>
      <c r="J916" s="55">
        <v>0.2</v>
      </c>
      <c r="K916" s="55">
        <v>0.2</v>
      </c>
      <c r="L916" s="55">
        <v>2</v>
      </c>
      <c r="M916" s="54" t="s">
        <v>30</v>
      </c>
      <c r="N916" s="54" t="s">
        <v>1401</v>
      </c>
      <c r="O916" s="54" t="s">
        <v>7</v>
      </c>
      <c r="P916" s="54">
        <f t="shared" si="56"/>
        <v>0</v>
      </c>
      <c r="Q916">
        <f t="shared" si="57"/>
        <v>0</v>
      </c>
      <c r="R916">
        <f t="shared" si="58"/>
        <v>0</v>
      </c>
      <c r="S916" t="b">
        <f t="shared" si="59"/>
        <v>0</v>
      </c>
    </row>
    <row r="917" spans="1:19" x14ac:dyDescent="0.2">
      <c r="A917" s="54">
        <v>319013</v>
      </c>
      <c r="B917" s="54" t="s">
        <v>659</v>
      </c>
      <c r="C917" s="55">
        <v>0</v>
      </c>
      <c r="D917" s="55">
        <v>16</v>
      </c>
      <c r="E917" s="55">
        <v>23</v>
      </c>
      <c r="F917" s="55">
        <v>0</v>
      </c>
      <c r="G917" s="55">
        <v>0</v>
      </c>
      <c r="H917" s="55">
        <v>0</v>
      </c>
      <c r="I917" s="55">
        <v>0</v>
      </c>
      <c r="J917" s="55">
        <v>0</v>
      </c>
      <c r="K917" s="55">
        <v>0</v>
      </c>
      <c r="L917" s="55">
        <v>0</v>
      </c>
      <c r="M917" s="54" t="s">
        <v>45</v>
      </c>
      <c r="N917" s="54" t="s">
        <v>47</v>
      </c>
      <c r="O917" s="54" t="s">
        <v>7</v>
      </c>
      <c r="P917" s="54">
        <f t="shared" si="56"/>
        <v>0</v>
      </c>
      <c r="Q917">
        <f t="shared" si="57"/>
        <v>0</v>
      </c>
      <c r="R917">
        <f t="shared" si="58"/>
        <v>0</v>
      </c>
      <c r="S917" t="b">
        <f t="shared" si="59"/>
        <v>0</v>
      </c>
    </row>
    <row r="918" spans="1:19" x14ac:dyDescent="0.2">
      <c r="A918" s="54">
        <v>319148</v>
      </c>
      <c r="B918" s="54" t="s">
        <v>1016</v>
      </c>
      <c r="C918" s="55">
        <v>20</v>
      </c>
      <c r="D918" s="55">
        <v>16</v>
      </c>
      <c r="E918" s="55">
        <v>5</v>
      </c>
      <c r="F918" s="55">
        <v>23</v>
      </c>
      <c r="G918" s="55">
        <v>23</v>
      </c>
      <c r="H918" s="55">
        <v>16</v>
      </c>
      <c r="I918" s="55">
        <v>1.44</v>
      </c>
      <c r="J918" s="55">
        <v>1.44</v>
      </c>
      <c r="K918" s="55">
        <v>1</v>
      </c>
      <c r="L918" s="55">
        <v>5</v>
      </c>
      <c r="M918" s="54" t="s">
        <v>30</v>
      </c>
      <c r="N918" s="54" t="s">
        <v>1401</v>
      </c>
      <c r="O918" s="54" t="s">
        <v>7</v>
      </c>
      <c r="P918" s="54">
        <f t="shared" si="56"/>
        <v>20</v>
      </c>
      <c r="Q918">
        <f t="shared" si="57"/>
        <v>0</v>
      </c>
      <c r="R918">
        <f t="shared" si="58"/>
        <v>20</v>
      </c>
      <c r="S918" t="b">
        <f t="shared" si="59"/>
        <v>0</v>
      </c>
    </row>
    <row r="919" spans="1:19" x14ac:dyDescent="0.2">
      <c r="A919" s="54">
        <v>319164</v>
      </c>
      <c r="B919" s="54" t="s">
        <v>1334</v>
      </c>
      <c r="C919" s="55">
        <v>0</v>
      </c>
      <c r="D919" s="55">
        <v>25</v>
      </c>
      <c r="E919" s="55">
        <v>0</v>
      </c>
      <c r="F919" s="55">
        <v>0</v>
      </c>
      <c r="G919" s="55">
        <v>0</v>
      </c>
      <c r="H919" s="55">
        <v>0</v>
      </c>
      <c r="I919" s="55">
        <v>0</v>
      </c>
      <c r="J919" s="55">
        <v>0</v>
      </c>
      <c r="K919" s="55">
        <v>0</v>
      </c>
      <c r="L919" s="55">
        <v>0</v>
      </c>
      <c r="M919" s="54" t="s">
        <v>30</v>
      </c>
      <c r="N919" s="54" t="s">
        <v>1401</v>
      </c>
      <c r="O919" s="54" t="s">
        <v>7</v>
      </c>
      <c r="P919" s="54">
        <f t="shared" si="56"/>
        <v>0</v>
      </c>
      <c r="Q919">
        <f t="shared" si="57"/>
        <v>0</v>
      </c>
      <c r="R919">
        <f t="shared" si="58"/>
        <v>0</v>
      </c>
      <c r="S919" t="b">
        <f t="shared" si="59"/>
        <v>0</v>
      </c>
    </row>
    <row r="920" spans="1:19" x14ac:dyDescent="0.2">
      <c r="A920" s="54">
        <v>319698</v>
      </c>
      <c r="B920" s="54" t="s">
        <v>583</v>
      </c>
      <c r="C920" s="55">
        <v>2037</v>
      </c>
      <c r="D920" s="55">
        <v>400</v>
      </c>
      <c r="E920" s="55">
        <v>6</v>
      </c>
      <c r="F920" s="55">
        <v>100</v>
      </c>
      <c r="G920" s="55">
        <v>5</v>
      </c>
      <c r="H920" s="55">
        <v>5</v>
      </c>
      <c r="I920" s="55">
        <v>0.25</v>
      </c>
      <c r="J920" s="55">
        <v>0.01</v>
      </c>
      <c r="K920" s="55">
        <v>0.01</v>
      </c>
      <c r="L920" s="55">
        <v>1</v>
      </c>
      <c r="M920" s="54" t="s">
        <v>43</v>
      </c>
      <c r="N920" s="54" t="s">
        <v>1400</v>
      </c>
      <c r="O920" s="54" t="s">
        <v>6</v>
      </c>
      <c r="P920" s="54">
        <f t="shared" si="56"/>
        <v>0</v>
      </c>
      <c r="Q920">
        <f t="shared" si="57"/>
        <v>0</v>
      </c>
      <c r="R920">
        <f t="shared" si="58"/>
        <v>0</v>
      </c>
      <c r="S920" t="b">
        <f t="shared" si="59"/>
        <v>0</v>
      </c>
    </row>
    <row r="921" spans="1:19" x14ac:dyDescent="0.2">
      <c r="A921" s="54">
        <v>320631</v>
      </c>
      <c r="B921" s="54" t="s">
        <v>304</v>
      </c>
      <c r="C921" s="55">
        <v>0</v>
      </c>
      <c r="D921" s="55">
        <v>63</v>
      </c>
      <c r="E921" s="55">
        <v>12</v>
      </c>
      <c r="F921" s="55">
        <v>163</v>
      </c>
      <c r="G921" s="55">
        <v>23</v>
      </c>
      <c r="H921" s="55">
        <v>8</v>
      </c>
      <c r="I921" s="55">
        <v>2.59</v>
      </c>
      <c r="J921" s="55">
        <v>0.37</v>
      </c>
      <c r="K921" s="55">
        <v>0.13</v>
      </c>
      <c r="L921" s="55">
        <v>28</v>
      </c>
      <c r="M921" s="54" t="s">
        <v>43</v>
      </c>
      <c r="N921" s="54" t="s">
        <v>1400</v>
      </c>
      <c r="O921" s="54" t="s">
        <v>7</v>
      </c>
      <c r="P921" s="54">
        <f t="shared" si="56"/>
        <v>0</v>
      </c>
      <c r="Q921">
        <f t="shared" si="57"/>
        <v>0</v>
      </c>
      <c r="R921">
        <f t="shared" si="58"/>
        <v>0</v>
      </c>
      <c r="S921" t="b">
        <f t="shared" si="59"/>
        <v>0</v>
      </c>
    </row>
    <row r="922" spans="1:19" x14ac:dyDescent="0.2">
      <c r="A922" s="54">
        <v>320923</v>
      </c>
      <c r="B922" s="54" t="s">
        <v>206</v>
      </c>
      <c r="C922" s="55">
        <v>67</v>
      </c>
      <c r="D922" s="55">
        <v>80</v>
      </c>
      <c r="E922" s="55">
        <v>12</v>
      </c>
      <c r="F922" s="55">
        <v>300</v>
      </c>
      <c r="G922" s="55">
        <v>94</v>
      </c>
      <c r="H922" s="55">
        <v>41</v>
      </c>
      <c r="I922" s="55">
        <v>3.75</v>
      </c>
      <c r="J922" s="55">
        <v>1.18</v>
      </c>
      <c r="K922" s="55">
        <v>0.51</v>
      </c>
      <c r="L922" s="55">
        <v>0</v>
      </c>
      <c r="M922" s="54" t="s">
        <v>43</v>
      </c>
      <c r="N922" s="54" t="s">
        <v>1400</v>
      </c>
      <c r="O922" s="54" t="s">
        <v>7</v>
      </c>
      <c r="P922" s="54">
        <f t="shared" si="56"/>
        <v>67</v>
      </c>
      <c r="Q922">
        <f t="shared" si="57"/>
        <v>67</v>
      </c>
      <c r="R922">
        <f t="shared" si="58"/>
        <v>67</v>
      </c>
      <c r="S922" t="b">
        <f t="shared" si="59"/>
        <v>0</v>
      </c>
    </row>
    <row r="923" spans="1:19" x14ac:dyDescent="0.2">
      <c r="A923" s="54">
        <v>321168</v>
      </c>
      <c r="B923" s="54" t="s">
        <v>520</v>
      </c>
      <c r="C923" s="55">
        <v>36</v>
      </c>
      <c r="D923" s="55">
        <v>115</v>
      </c>
      <c r="E923" s="55">
        <v>7</v>
      </c>
      <c r="F923" s="55">
        <v>13</v>
      </c>
      <c r="G923" s="55">
        <v>13</v>
      </c>
      <c r="H923" s="55">
        <v>0</v>
      </c>
      <c r="I923" s="55">
        <v>0.11</v>
      </c>
      <c r="J923" s="55">
        <v>0.11</v>
      </c>
      <c r="K923" s="55">
        <v>0</v>
      </c>
      <c r="L923" s="55">
        <v>17</v>
      </c>
      <c r="M923" s="54" t="s">
        <v>43</v>
      </c>
      <c r="N923" s="54" t="s">
        <v>1400</v>
      </c>
      <c r="O923" s="54" t="s">
        <v>6</v>
      </c>
      <c r="P923" s="54">
        <f t="shared" si="56"/>
        <v>0</v>
      </c>
      <c r="Q923">
        <f t="shared" si="57"/>
        <v>0</v>
      </c>
      <c r="R923">
        <f t="shared" si="58"/>
        <v>0</v>
      </c>
      <c r="S923" t="b">
        <f t="shared" si="59"/>
        <v>0</v>
      </c>
    </row>
    <row r="924" spans="1:19" x14ac:dyDescent="0.2">
      <c r="A924" s="54">
        <v>321213</v>
      </c>
      <c r="B924" s="54" t="s">
        <v>1037</v>
      </c>
      <c r="C924" s="55">
        <v>23</v>
      </c>
      <c r="D924" s="55">
        <v>7</v>
      </c>
      <c r="E924" s="55">
        <v>5</v>
      </c>
      <c r="F924" s="55">
        <v>19</v>
      </c>
      <c r="G924" s="55">
        <v>19</v>
      </c>
      <c r="H924" s="55">
        <v>19</v>
      </c>
      <c r="I924" s="55">
        <v>2.71</v>
      </c>
      <c r="J924" s="55">
        <v>2.71</v>
      </c>
      <c r="K924" s="55">
        <v>2.71</v>
      </c>
      <c r="L924" s="55">
        <v>3</v>
      </c>
      <c r="M924" s="54" t="s">
        <v>30</v>
      </c>
      <c r="N924" s="54" t="s">
        <v>1401</v>
      </c>
      <c r="O924" s="54" t="s">
        <v>7</v>
      </c>
      <c r="P924" s="54">
        <f t="shared" si="56"/>
        <v>23</v>
      </c>
      <c r="Q924">
        <f t="shared" si="57"/>
        <v>23</v>
      </c>
      <c r="R924">
        <f t="shared" si="58"/>
        <v>23</v>
      </c>
      <c r="S924" t="b">
        <f t="shared" si="59"/>
        <v>0</v>
      </c>
    </row>
    <row r="925" spans="1:19" x14ac:dyDescent="0.2">
      <c r="A925" s="54">
        <v>321423</v>
      </c>
      <c r="B925" s="54" t="s">
        <v>822</v>
      </c>
      <c r="C925" s="55">
        <v>7</v>
      </c>
      <c r="D925" s="55">
        <v>6</v>
      </c>
      <c r="E925" s="55">
        <v>1</v>
      </c>
      <c r="F925" s="55">
        <v>0</v>
      </c>
      <c r="G925" s="55">
        <v>0</v>
      </c>
      <c r="H925" s="55">
        <v>0</v>
      </c>
      <c r="I925" s="55">
        <v>0</v>
      </c>
      <c r="J925" s="55">
        <v>0</v>
      </c>
      <c r="K925" s="55">
        <v>0</v>
      </c>
      <c r="L925" s="55">
        <v>0</v>
      </c>
      <c r="M925" s="54" t="s">
        <v>30</v>
      </c>
      <c r="N925" s="54" t="s">
        <v>1401</v>
      </c>
      <c r="O925" s="54" t="s">
        <v>7</v>
      </c>
      <c r="P925" s="54">
        <f t="shared" si="56"/>
        <v>0</v>
      </c>
      <c r="Q925">
        <f t="shared" si="57"/>
        <v>0</v>
      </c>
      <c r="R925">
        <f t="shared" si="58"/>
        <v>0</v>
      </c>
      <c r="S925" t="b">
        <f t="shared" si="59"/>
        <v>0</v>
      </c>
    </row>
    <row r="926" spans="1:19" x14ac:dyDescent="0.2">
      <c r="A926" s="54">
        <v>321467</v>
      </c>
      <c r="B926" s="54" t="s">
        <v>413</v>
      </c>
      <c r="C926" s="55">
        <v>9</v>
      </c>
      <c r="D926" s="55">
        <v>36</v>
      </c>
      <c r="E926" s="55">
        <v>8</v>
      </c>
      <c r="F926" s="55">
        <v>46</v>
      </c>
      <c r="G926" s="55">
        <v>25</v>
      </c>
      <c r="H926" s="55">
        <v>6</v>
      </c>
      <c r="I926" s="55">
        <v>1.28</v>
      </c>
      <c r="J926" s="55">
        <v>0.69</v>
      </c>
      <c r="K926" s="55">
        <v>0.17</v>
      </c>
      <c r="L926" s="55">
        <v>78</v>
      </c>
      <c r="M926" s="54" t="s">
        <v>43</v>
      </c>
      <c r="N926" s="54" t="s">
        <v>1400</v>
      </c>
      <c r="O926" s="54" t="s">
        <v>7</v>
      </c>
      <c r="P926" s="54">
        <f t="shared" si="56"/>
        <v>0</v>
      </c>
      <c r="Q926">
        <f t="shared" si="57"/>
        <v>0</v>
      </c>
      <c r="R926">
        <f t="shared" si="58"/>
        <v>0</v>
      </c>
      <c r="S926" t="b">
        <f t="shared" si="59"/>
        <v>0</v>
      </c>
    </row>
    <row r="927" spans="1:19" x14ac:dyDescent="0.2">
      <c r="A927" s="54">
        <v>321548</v>
      </c>
      <c r="B927" s="54" t="s">
        <v>632</v>
      </c>
      <c r="C927" s="55">
        <v>2</v>
      </c>
      <c r="D927" s="55">
        <v>10</v>
      </c>
      <c r="E927" s="55">
        <v>6</v>
      </c>
      <c r="F927" s="55">
        <v>0</v>
      </c>
      <c r="G927" s="55">
        <v>0</v>
      </c>
      <c r="H927" s="55">
        <v>0</v>
      </c>
      <c r="I927" s="55">
        <v>0</v>
      </c>
      <c r="J927" s="55">
        <v>0</v>
      </c>
      <c r="K927" s="55">
        <v>0</v>
      </c>
      <c r="L927" s="55">
        <v>0</v>
      </c>
      <c r="M927" s="54" t="s">
        <v>43</v>
      </c>
      <c r="N927" s="54" t="s">
        <v>1400</v>
      </c>
      <c r="O927" s="54" t="s">
        <v>7</v>
      </c>
      <c r="P927" s="54">
        <f t="shared" si="56"/>
        <v>0</v>
      </c>
      <c r="Q927">
        <f t="shared" si="57"/>
        <v>0</v>
      </c>
      <c r="R927">
        <f t="shared" si="58"/>
        <v>0</v>
      </c>
      <c r="S927" t="b">
        <f t="shared" si="59"/>
        <v>0</v>
      </c>
    </row>
    <row r="928" spans="1:19" x14ac:dyDescent="0.2">
      <c r="A928" s="54">
        <v>321708</v>
      </c>
      <c r="B928" s="54" t="s">
        <v>690</v>
      </c>
      <c r="C928" s="55">
        <v>1</v>
      </c>
      <c r="D928" s="55">
        <v>2</v>
      </c>
      <c r="E928" s="55">
        <v>2</v>
      </c>
      <c r="F928" s="55">
        <v>9</v>
      </c>
      <c r="G928" s="55">
        <v>9</v>
      </c>
      <c r="H928" s="55">
        <v>9</v>
      </c>
      <c r="I928" s="55">
        <v>4.5</v>
      </c>
      <c r="J928" s="55">
        <v>4.5</v>
      </c>
      <c r="K928" s="55">
        <v>4.5</v>
      </c>
      <c r="L928" s="55">
        <v>7</v>
      </c>
      <c r="M928" s="54" t="s">
        <v>30</v>
      </c>
      <c r="N928" s="54" t="s">
        <v>1401</v>
      </c>
      <c r="O928" s="54" t="s">
        <v>7</v>
      </c>
      <c r="P928" s="54">
        <f t="shared" si="56"/>
        <v>1</v>
      </c>
      <c r="Q928">
        <f t="shared" si="57"/>
        <v>1</v>
      </c>
      <c r="R928">
        <f t="shared" si="58"/>
        <v>1</v>
      </c>
      <c r="S928" t="b">
        <f t="shared" si="59"/>
        <v>0</v>
      </c>
    </row>
    <row r="929" spans="1:19" x14ac:dyDescent="0.2">
      <c r="A929" s="54">
        <v>321757</v>
      </c>
      <c r="B929" s="54" t="s">
        <v>543</v>
      </c>
      <c r="C929" s="55">
        <v>12</v>
      </c>
      <c r="D929" s="55">
        <v>6</v>
      </c>
      <c r="E929" s="55">
        <v>6</v>
      </c>
      <c r="F929" s="55">
        <v>4</v>
      </c>
      <c r="G929" s="55">
        <v>0</v>
      </c>
      <c r="H929" s="55">
        <v>0</v>
      </c>
      <c r="I929" s="55">
        <v>0.67</v>
      </c>
      <c r="J929" s="55">
        <v>0</v>
      </c>
      <c r="K929" s="55">
        <v>0</v>
      </c>
      <c r="L929" s="55">
        <v>0</v>
      </c>
      <c r="M929" s="54" t="s">
        <v>43</v>
      </c>
      <c r="N929" s="54" t="s">
        <v>1400</v>
      </c>
      <c r="O929" s="54" t="s">
        <v>7</v>
      </c>
      <c r="P929" s="54">
        <f t="shared" si="56"/>
        <v>0</v>
      </c>
      <c r="Q929">
        <f t="shared" si="57"/>
        <v>0</v>
      </c>
      <c r="R929">
        <f t="shared" si="58"/>
        <v>0</v>
      </c>
      <c r="S929" t="b">
        <f t="shared" si="59"/>
        <v>0</v>
      </c>
    </row>
    <row r="930" spans="1:19" x14ac:dyDescent="0.2">
      <c r="A930" s="54">
        <v>321833</v>
      </c>
      <c r="B930" s="54" t="s">
        <v>201</v>
      </c>
      <c r="C930" s="55">
        <v>206</v>
      </c>
      <c r="D930" s="55">
        <v>250</v>
      </c>
      <c r="E930" s="55">
        <v>10</v>
      </c>
      <c r="F930" s="55">
        <v>729</v>
      </c>
      <c r="G930" s="55">
        <v>65</v>
      </c>
      <c r="H930" s="55">
        <v>65</v>
      </c>
      <c r="I930" s="55">
        <v>2.92</v>
      </c>
      <c r="J930" s="55">
        <v>0.26</v>
      </c>
      <c r="K930" s="55">
        <v>0.26</v>
      </c>
      <c r="L930" s="55">
        <v>0</v>
      </c>
      <c r="M930" s="54" t="s">
        <v>43</v>
      </c>
      <c r="N930" s="54" t="s">
        <v>1400</v>
      </c>
      <c r="O930" s="54" t="s">
        <v>6</v>
      </c>
      <c r="P930" s="54">
        <f t="shared" si="56"/>
        <v>206</v>
      </c>
      <c r="Q930">
        <f t="shared" si="57"/>
        <v>206</v>
      </c>
      <c r="R930">
        <f t="shared" si="58"/>
        <v>0</v>
      </c>
      <c r="S930" t="b">
        <f t="shared" si="59"/>
        <v>0</v>
      </c>
    </row>
    <row r="931" spans="1:19" x14ac:dyDescent="0.2">
      <c r="A931" s="54">
        <v>321952</v>
      </c>
      <c r="B931" s="54" t="s">
        <v>1120</v>
      </c>
      <c r="C931" s="55">
        <v>38</v>
      </c>
      <c r="D931" s="55">
        <v>30</v>
      </c>
      <c r="E931" s="55">
        <v>2</v>
      </c>
      <c r="F931" s="55">
        <v>1</v>
      </c>
      <c r="G931" s="55">
        <v>1</v>
      </c>
      <c r="H931" s="55">
        <v>1</v>
      </c>
      <c r="I931" s="55">
        <v>0.03</v>
      </c>
      <c r="J931" s="55">
        <v>0.03</v>
      </c>
      <c r="K931" s="55">
        <v>0.03</v>
      </c>
      <c r="L931" s="55">
        <v>0</v>
      </c>
      <c r="M931" s="54" t="s">
        <v>30</v>
      </c>
      <c r="N931" s="54" t="s">
        <v>1401</v>
      </c>
      <c r="O931" s="54" t="s">
        <v>7</v>
      </c>
      <c r="P931" s="54">
        <f t="shared" si="56"/>
        <v>0</v>
      </c>
      <c r="Q931">
        <f t="shared" si="57"/>
        <v>0</v>
      </c>
      <c r="R931">
        <f t="shared" si="58"/>
        <v>0</v>
      </c>
      <c r="S931" t="b">
        <f t="shared" si="59"/>
        <v>0</v>
      </c>
    </row>
    <row r="932" spans="1:19" x14ac:dyDescent="0.2">
      <c r="A932" s="54">
        <v>322022</v>
      </c>
      <c r="B932" s="54" t="s">
        <v>935</v>
      </c>
      <c r="C932" s="55">
        <v>14</v>
      </c>
      <c r="D932" s="55">
        <v>215</v>
      </c>
      <c r="E932" s="55">
        <v>2</v>
      </c>
      <c r="F932" s="55">
        <v>27</v>
      </c>
      <c r="G932" s="55">
        <v>27</v>
      </c>
      <c r="H932" s="55">
        <v>27</v>
      </c>
      <c r="I932" s="55">
        <v>0.13</v>
      </c>
      <c r="J932" s="55">
        <v>0.13</v>
      </c>
      <c r="K932" s="55">
        <v>0.13</v>
      </c>
      <c r="L932" s="55">
        <v>68</v>
      </c>
      <c r="M932" s="54" t="s">
        <v>30</v>
      </c>
      <c r="N932" s="54" t="s">
        <v>1401</v>
      </c>
      <c r="O932" s="54" t="s">
        <v>6</v>
      </c>
      <c r="P932" s="54">
        <f t="shared" si="56"/>
        <v>0</v>
      </c>
      <c r="Q932">
        <f t="shared" si="57"/>
        <v>0</v>
      </c>
      <c r="R932">
        <f t="shared" si="58"/>
        <v>0</v>
      </c>
      <c r="S932" t="b">
        <f t="shared" si="59"/>
        <v>0</v>
      </c>
    </row>
    <row r="933" spans="1:19" x14ac:dyDescent="0.2">
      <c r="A933" s="54">
        <v>322144</v>
      </c>
      <c r="B933" s="54" t="s">
        <v>888</v>
      </c>
      <c r="C933" s="55">
        <v>10</v>
      </c>
      <c r="D933" s="55">
        <v>7</v>
      </c>
      <c r="E933" s="55">
        <v>4</v>
      </c>
      <c r="F933" s="55">
        <v>9</v>
      </c>
      <c r="G933" s="55">
        <v>9</v>
      </c>
      <c r="H933" s="55">
        <v>6</v>
      </c>
      <c r="I933" s="55">
        <v>1.29</v>
      </c>
      <c r="J933" s="55">
        <v>1.29</v>
      </c>
      <c r="K933" s="55">
        <v>0.86</v>
      </c>
      <c r="L933" s="55">
        <v>0</v>
      </c>
      <c r="M933" s="54" t="s">
        <v>30</v>
      </c>
      <c r="N933" s="54" t="s">
        <v>1401</v>
      </c>
      <c r="O933" s="54" t="s">
        <v>7</v>
      </c>
      <c r="P933" s="54">
        <f t="shared" si="56"/>
        <v>10</v>
      </c>
      <c r="Q933">
        <f t="shared" si="57"/>
        <v>0</v>
      </c>
      <c r="R933">
        <f t="shared" si="58"/>
        <v>10</v>
      </c>
      <c r="S933" t="b">
        <f t="shared" si="59"/>
        <v>0</v>
      </c>
    </row>
    <row r="934" spans="1:19" x14ac:dyDescent="0.2">
      <c r="A934" s="54">
        <v>322489</v>
      </c>
      <c r="B934" s="54" t="s">
        <v>931</v>
      </c>
      <c r="C934" s="55">
        <v>14</v>
      </c>
      <c r="D934" s="55">
        <v>15</v>
      </c>
      <c r="E934" s="55">
        <v>1</v>
      </c>
      <c r="F934" s="55">
        <v>0</v>
      </c>
      <c r="G934" s="55">
        <v>0</v>
      </c>
      <c r="H934" s="55">
        <v>0</v>
      </c>
      <c r="I934" s="55">
        <v>0</v>
      </c>
      <c r="J934" s="55">
        <v>0</v>
      </c>
      <c r="K934" s="55">
        <v>0</v>
      </c>
      <c r="L934" s="55">
        <v>0</v>
      </c>
      <c r="M934" s="54" t="s">
        <v>30</v>
      </c>
      <c r="N934" s="54" t="s">
        <v>1401</v>
      </c>
      <c r="O934" s="54" t="s">
        <v>7</v>
      </c>
      <c r="P934" s="54">
        <f t="shared" si="56"/>
        <v>0</v>
      </c>
      <c r="Q934">
        <f t="shared" si="57"/>
        <v>0</v>
      </c>
      <c r="R934">
        <f t="shared" si="58"/>
        <v>0</v>
      </c>
      <c r="S934" t="b">
        <f t="shared" si="59"/>
        <v>0</v>
      </c>
    </row>
    <row r="935" spans="1:19" x14ac:dyDescent="0.2">
      <c r="A935" s="54">
        <v>322540</v>
      </c>
      <c r="B935" s="54" t="s">
        <v>829</v>
      </c>
      <c r="C935" s="55">
        <v>7</v>
      </c>
      <c r="D935" s="55">
        <v>7</v>
      </c>
      <c r="E935" s="55">
        <v>4</v>
      </c>
      <c r="F935" s="55">
        <v>5</v>
      </c>
      <c r="G935" s="55">
        <v>5</v>
      </c>
      <c r="H935" s="55">
        <v>5</v>
      </c>
      <c r="I935" s="55">
        <v>0.71</v>
      </c>
      <c r="J935" s="55">
        <v>0.71</v>
      </c>
      <c r="K935" s="55">
        <v>0.71</v>
      </c>
      <c r="L935" s="55">
        <v>2</v>
      </c>
      <c r="M935" s="54" t="s">
        <v>30</v>
      </c>
      <c r="N935" s="54" t="s">
        <v>1401</v>
      </c>
      <c r="O935" s="54" t="s">
        <v>7</v>
      </c>
      <c r="P935" s="54">
        <f t="shared" si="56"/>
        <v>0</v>
      </c>
      <c r="Q935">
        <f t="shared" si="57"/>
        <v>0</v>
      </c>
      <c r="R935">
        <f t="shared" si="58"/>
        <v>0</v>
      </c>
      <c r="S935" t="b">
        <f t="shared" si="59"/>
        <v>0</v>
      </c>
    </row>
    <row r="936" spans="1:19" x14ac:dyDescent="0.2">
      <c r="A936" s="54">
        <v>322638</v>
      </c>
      <c r="B936" s="54" t="s">
        <v>332</v>
      </c>
      <c r="C936" s="55">
        <v>10</v>
      </c>
      <c r="D936" s="55">
        <v>225</v>
      </c>
      <c r="E936" s="55">
        <v>19</v>
      </c>
      <c r="F936" s="55">
        <v>85</v>
      </c>
      <c r="G936" s="55">
        <v>30</v>
      </c>
      <c r="H936" s="55">
        <v>27</v>
      </c>
      <c r="I936" s="55">
        <v>0.38</v>
      </c>
      <c r="J936" s="55">
        <v>0.13</v>
      </c>
      <c r="K936" s="55">
        <v>0.12</v>
      </c>
      <c r="L936" s="55">
        <v>81</v>
      </c>
      <c r="M936" s="54" t="s">
        <v>45</v>
      </c>
      <c r="N936" s="54" t="s">
        <v>47</v>
      </c>
      <c r="O936" s="54" t="s">
        <v>6</v>
      </c>
      <c r="P936" s="54">
        <f t="shared" si="56"/>
        <v>0</v>
      </c>
      <c r="Q936">
        <f t="shared" si="57"/>
        <v>0</v>
      </c>
      <c r="R936">
        <f t="shared" si="58"/>
        <v>0</v>
      </c>
      <c r="S936" t="b">
        <f t="shared" si="59"/>
        <v>0</v>
      </c>
    </row>
    <row r="937" spans="1:19" x14ac:dyDescent="0.2">
      <c r="A937" s="54">
        <v>322803</v>
      </c>
      <c r="B937" s="54" t="s">
        <v>401</v>
      </c>
      <c r="C937" s="55">
        <v>31</v>
      </c>
      <c r="D937" s="55">
        <v>12</v>
      </c>
      <c r="E937" s="55">
        <v>12</v>
      </c>
      <c r="F937" s="55">
        <v>56</v>
      </c>
      <c r="G937" s="55">
        <v>10</v>
      </c>
      <c r="H937" s="55">
        <v>0</v>
      </c>
      <c r="I937" s="55">
        <v>4.67</v>
      </c>
      <c r="J937" s="55">
        <v>0.83</v>
      </c>
      <c r="K937" s="55">
        <v>0</v>
      </c>
      <c r="L937" s="55">
        <v>11</v>
      </c>
      <c r="M937" s="54" t="s">
        <v>43</v>
      </c>
      <c r="N937" s="54" t="s">
        <v>1400</v>
      </c>
      <c r="O937" s="54" t="s">
        <v>7</v>
      </c>
      <c r="P937" s="54">
        <f t="shared" si="56"/>
        <v>31</v>
      </c>
      <c r="Q937">
        <f t="shared" si="57"/>
        <v>31</v>
      </c>
      <c r="R937">
        <f t="shared" si="58"/>
        <v>31</v>
      </c>
      <c r="S937" t="b">
        <f t="shared" si="59"/>
        <v>0</v>
      </c>
    </row>
    <row r="938" spans="1:19" x14ac:dyDescent="0.2">
      <c r="A938" s="54">
        <v>323066</v>
      </c>
      <c r="B938" s="54" t="s">
        <v>623</v>
      </c>
      <c r="C938" s="55">
        <v>6</v>
      </c>
      <c r="D938" s="55">
        <v>4</v>
      </c>
      <c r="E938" s="55">
        <v>11</v>
      </c>
      <c r="F938" s="55">
        <v>0</v>
      </c>
      <c r="G938" s="55">
        <v>0</v>
      </c>
      <c r="H938" s="55">
        <v>0</v>
      </c>
      <c r="I938" s="55">
        <v>0</v>
      </c>
      <c r="J938" s="55">
        <v>0</v>
      </c>
      <c r="K938" s="55">
        <v>0</v>
      </c>
      <c r="L938" s="55">
        <v>0</v>
      </c>
      <c r="M938" s="54" t="s">
        <v>43</v>
      </c>
      <c r="N938" s="54" t="s">
        <v>1400</v>
      </c>
      <c r="O938" s="54" t="s">
        <v>7</v>
      </c>
      <c r="P938" s="54">
        <f t="shared" si="56"/>
        <v>0</v>
      </c>
      <c r="Q938">
        <f t="shared" si="57"/>
        <v>0</v>
      </c>
      <c r="R938">
        <f t="shared" si="58"/>
        <v>0</v>
      </c>
      <c r="S938" t="b">
        <f t="shared" si="59"/>
        <v>0</v>
      </c>
    </row>
    <row r="939" spans="1:19" x14ac:dyDescent="0.2">
      <c r="A939" s="54">
        <v>323370</v>
      </c>
      <c r="B939" s="54" t="s">
        <v>905</v>
      </c>
      <c r="C939" s="55">
        <v>12</v>
      </c>
      <c r="D939" s="55">
        <v>12</v>
      </c>
      <c r="E939" s="55">
        <v>1</v>
      </c>
      <c r="F939" s="55">
        <v>0</v>
      </c>
      <c r="G939" s="55">
        <v>0</v>
      </c>
      <c r="H939" s="55">
        <v>0</v>
      </c>
      <c r="I939" s="55">
        <v>0</v>
      </c>
      <c r="J939" s="55">
        <v>0</v>
      </c>
      <c r="K939" s="55">
        <v>0</v>
      </c>
      <c r="L939" s="55">
        <v>0</v>
      </c>
      <c r="M939" s="54" t="s">
        <v>30</v>
      </c>
      <c r="N939" s="54" t="s">
        <v>1401</v>
      </c>
      <c r="O939" s="54" t="s">
        <v>7</v>
      </c>
      <c r="P939" s="54">
        <f t="shared" si="56"/>
        <v>0</v>
      </c>
      <c r="Q939">
        <f t="shared" si="57"/>
        <v>0</v>
      </c>
      <c r="R939">
        <f t="shared" si="58"/>
        <v>0</v>
      </c>
      <c r="S939" t="b">
        <f t="shared" si="59"/>
        <v>0</v>
      </c>
    </row>
    <row r="940" spans="1:19" x14ac:dyDescent="0.2">
      <c r="A940" s="54">
        <v>323651</v>
      </c>
      <c r="B940" s="54" t="s">
        <v>650</v>
      </c>
      <c r="C940" s="55">
        <v>0</v>
      </c>
      <c r="D940" s="55">
        <v>20</v>
      </c>
      <c r="E940" s="55">
        <v>12</v>
      </c>
      <c r="F940" s="55">
        <v>0</v>
      </c>
      <c r="G940" s="55">
        <v>0</v>
      </c>
      <c r="H940" s="55">
        <v>0</v>
      </c>
      <c r="I940" s="55">
        <v>0</v>
      </c>
      <c r="J940" s="55">
        <v>0</v>
      </c>
      <c r="K940" s="55">
        <v>0</v>
      </c>
      <c r="L940" s="55">
        <v>0</v>
      </c>
      <c r="M940" s="54" t="s">
        <v>43</v>
      </c>
      <c r="N940" s="54" t="s">
        <v>1400</v>
      </c>
      <c r="O940" s="54" t="s">
        <v>7</v>
      </c>
      <c r="P940" s="54">
        <f t="shared" si="56"/>
        <v>0</v>
      </c>
      <c r="Q940">
        <f t="shared" si="57"/>
        <v>0</v>
      </c>
      <c r="R940">
        <f t="shared" si="58"/>
        <v>0</v>
      </c>
      <c r="S940" t="b">
        <f t="shared" si="59"/>
        <v>0</v>
      </c>
    </row>
    <row r="941" spans="1:19" x14ac:dyDescent="0.2">
      <c r="A941" s="54">
        <v>323664</v>
      </c>
      <c r="B941" s="54" t="s">
        <v>115</v>
      </c>
      <c r="C941" s="55">
        <v>1240</v>
      </c>
      <c r="D941" s="55">
        <v>1335</v>
      </c>
      <c r="E941" s="55">
        <v>12</v>
      </c>
      <c r="F941" s="55">
        <v>1542</v>
      </c>
      <c r="G941" s="55">
        <v>1152</v>
      </c>
      <c r="H941" s="55">
        <v>106</v>
      </c>
      <c r="I941" s="55">
        <v>1.1599999999999999</v>
      </c>
      <c r="J941" s="55">
        <v>0.86</v>
      </c>
      <c r="K941" s="55">
        <v>0.08</v>
      </c>
      <c r="L941" s="55">
        <v>614</v>
      </c>
      <c r="M941" s="54" t="s">
        <v>43</v>
      </c>
      <c r="N941" s="54" t="s">
        <v>1400</v>
      </c>
      <c r="O941" s="54" t="s">
        <v>5</v>
      </c>
      <c r="P941" s="54">
        <f t="shared" si="56"/>
        <v>1240</v>
      </c>
      <c r="Q941">
        <f t="shared" si="57"/>
        <v>1240</v>
      </c>
      <c r="R941">
        <f t="shared" si="58"/>
        <v>1240</v>
      </c>
      <c r="S941" t="b">
        <f t="shared" si="59"/>
        <v>0</v>
      </c>
    </row>
    <row r="942" spans="1:19" x14ac:dyDescent="0.2">
      <c r="A942" s="54">
        <v>324011</v>
      </c>
      <c r="B942" s="54" t="s">
        <v>917</v>
      </c>
      <c r="C942" s="55">
        <v>13</v>
      </c>
      <c r="D942" s="55">
        <v>10</v>
      </c>
      <c r="E942" s="55">
        <v>1</v>
      </c>
      <c r="F942" s="55">
        <v>0</v>
      </c>
      <c r="G942" s="55">
        <v>0</v>
      </c>
      <c r="H942" s="55">
        <v>0</v>
      </c>
      <c r="I942" s="55">
        <v>0</v>
      </c>
      <c r="J942" s="55">
        <v>0</v>
      </c>
      <c r="K942" s="55">
        <v>0</v>
      </c>
      <c r="L942" s="55">
        <v>0</v>
      </c>
      <c r="M942" s="54" t="s">
        <v>30</v>
      </c>
      <c r="N942" s="54" t="s">
        <v>1401</v>
      </c>
      <c r="O942" s="54" t="s">
        <v>7</v>
      </c>
      <c r="P942" s="54">
        <f t="shared" si="56"/>
        <v>0</v>
      </c>
      <c r="Q942">
        <f t="shared" si="57"/>
        <v>0</v>
      </c>
      <c r="R942">
        <f t="shared" si="58"/>
        <v>0</v>
      </c>
      <c r="S942" t="b">
        <f t="shared" si="59"/>
        <v>0</v>
      </c>
    </row>
    <row r="943" spans="1:19" x14ac:dyDescent="0.2">
      <c r="A943" s="54">
        <v>324163</v>
      </c>
      <c r="B943" s="54" t="s">
        <v>323</v>
      </c>
      <c r="C943" s="55">
        <v>2</v>
      </c>
      <c r="D943" s="55">
        <v>44</v>
      </c>
      <c r="E943" s="55">
        <v>8</v>
      </c>
      <c r="F943" s="55">
        <v>117</v>
      </c>
      <c r="G943" s="55">
        <v>69</v>
      </c>
      <c r="H943" s="55">
        <v>0</v>
      </c>
      <c r="I943" s="55">
        <v>2.66</v>
      </c>
      <c r="J943" s="55">
        <v>1.57</v>
      </c>
      <c r="K943" s="55">
        <v>0</v>
      </c>
      <c r="L943" s="55">
        <v>0</v>
      </c>
      <c r="M943" s="54" t="s">
        <v>43</v>
      </c>
      <c r="N943" s="54" t="s">
        <v>1400</v>
      </c>
      <c r="O943" s="54" t="s">
        <v>7</v>
      </c>
      <c r="P943" s="54">
        <f t="shared" si="56"/>
        <v>2</v>
      </c>
      <c r="Q943">
        <f t="shared" si="57"/>
        <v>2</v>
      </c>
      <c r="R943">
        <f t="shared" si="58"/>
        <v>2</v>
      </c>
      <c r="S943" t="b">
        <f t="shared" si="59"/>
        <v>0</v>
      </c>
    </row>
    <row r="944" spans="1:19" x14ac:dyDescent="0.2">
      <c r="A944" s="54">
        <v>324380</v>
      </c>
      <c r="B944" s="54" t="s">
        <v>378</v>
      </c>
      <c r="C944" s="55">
        <v>43</v>
      </c>
      <c r="D944" s="55">
        <v>41</v>
      </c>
      <c r="E944" s="55">
        <v>7</v>
      </c>
      <c r="F944" s="55">
        <v>55</v>
      </c>
      <c r="G944" s="55">
        <v>41</v>
      </c>
      <c r="H944" s="55">
        <v>17</v>
      </c>
      <c r="I944" s="55">
        <v>1.34</v>
      </c>
      <c r="J944" s="55">
        <v>1</v>
      </c>
      <c r="K944" s="55">
        <v>0.41</v>
      </c>
      <c r="L944" s="55">
        <v>262</v>
      </c>
      <c r="M944" s="54" t="s">
        <v>43</v>
      </c>
      <c r="N944" s="54" t="s">
        <v>1400</v>
      </c>
      <c r="O944" s="54" t="s">
        <v>7</v>
      </c>
      <c r="P944" s="54">
        <f t="shared" si="56"/>
        <v>43</v>
      </c>
      <c r="Q944">
        <f t="shared" si="57"/>
        <v>0</v>
      </c>
      <c r="R944">
        <f t="shared" si="58"/>
        <v>43</v>
      </c>
      <c r="S944" t="b">
        <f t="shared" si="59"/>
        <v>0</v>
      </c>
    </row>
    <row r="945" spans="1:19" x14ac:dyDescent="0.2">
      <c r="A945" s="54">
        <v>324451</v>
      </c>
      <c r="B945" s="54" t="s">
        <v>1353</v>
      </c>
      <c r="C945" s="55">
        <v>0</v>
      </c>
      <c r="D945" s="55">
        <v>6</v>
      </c>
      <c r="E945" s="55">
        <v>0</v>
      </c>
      <c r="F945" s="55">
        <v>0</v>
      </c>
      <c r="G945" s="55">
        <v>0</v>
      </c>
      <c r="H945" s="55">
        <v>0</v>
      </c>
      <c r="I945" s="55">
        <v>0</v>
      </c>
      <c r="J945" s="55">
        <v>0</v>
      </c>
      <c r="K945" s="55">
        <v>0</v>
      </c>
      <c r="L945" s="55">
        <v>0</v>
      </c>
      <c r="M945" s="54" t="s">
        <v>30</v>
      </c>
      <c r="N945" s="54" t="s">
        <v>1401</v>
      </c>
      <c r="O945" s="54" t="s">
        <v>7</v>
      </c>
      <c r="P945" s="54">
        <f t="shared" si="56"/>
        <v>0</v>
      </c>
      <c r="Q945">
        <f t="shared" si="57"/>
        <v>0</v>
      </c>
      <c r="R945">
        <f t="shared" si="58"/>
        <v>0</v>
      </c>
      <c r="S945" t="b">
        <f t="shared" si="59"/>
        <v>0</v>
      </c>
    </row>
    <row r="946" spans="1:19" x14ac:dyDescent="0.2">
      <c r="A946" s="54">
        <v>325338</v>
      </c>
      <c r="B946" s="54" t="s">
        <v>125</v>
      </c>
      <c r="C946" s="55">
        <v>20</v>
      </c>
      <c r="D946" s="55">
        <v>180</v>
      </c>
      <c r="E946" s="55">
        <v>13</v>
      </c>
      <c r="F946" s="55">
        <v>1043</v>
      </c>
      <c r="G946" s="55">
        <v>927</v>
      </c>
      <c r="H946" s="55">
        <v>824</v>
      </c>
      <c r="I946" s="55">
        <v>5.79</v>
      </c>
      <c r="J946" s="55">
        <v>5.15</v>
      </c>
      <c r="K946" s="55">
        <v>4.58</v>
      </c>
      <c r="L946" s="55">
        <v>12</v>
      </c>
      <c r="M946" s="54" t="s">
        <v>45</v>
      </c>
      <c r="N946" s="54" t="s">
        <v>47</v>
      </c>
      <c r="O946" s="54" t="s">
        <v>6</v>
      </c>
      <c r="P946" s="54">
        <f t="shared" si="56"/>
        <v>20</v>
      </c>
      <c r="Q946">
        <f t="shared" si="57"/>
        <v>20</v>
      </c>
      <c r="R946">
        <f t="shared" si="58"/>
        <v>20</v>
      </c>
      <c r="S946" t="b">
        <f t="shared" si="59"/>
        <v>0</v>
      </c>
    </row>
    <row r="947" spans="1:19" x14ac:dyDescent="0.2">
      <c r="A947" s="54">
        <v>325444</v>
      </c>
      <c r="B947" s="54" t="s">
        <v>742</v>
      </c>
      <c r="C947" s="55">
        <v>3</v>
      </c>
      <c r="D947" s="55">
        <v>3</v>
      </c>
      <c r="E947" s="55">
        <v>1</v>
      </c>
      <c r="F947" s="55">
        <v>9</v>
      </c>
      <c r="G947" s="55">
        <v>1</v>
      </c>
      <c r="H947" s="55">
        <v>1</v>
      </c>
      <c r="I947" s="55">
        <v>3</v>
      </c>
      <c r="J947" s="55">
        <v>0.33</v>
      </c>
      <c r="K947" s="55">
        <v>0.33</v>
      </c>
      <c r="L947" s="55">
        <v>0</v>
      </c>
      <c r="M947" s="54" t="s">
        <v>30</v>
      </c>
      <c r="N947" s="54" t="s">
        <v>1401</v>
      </c>
      <c r="O947" s="54" t="s">
        <v>7</v>
      </c>
      <c r="P947" s="54">
        <f t="shared" si="56"/>
        <v>3</v>
      </c>
      <c r="Q947">
        <f t="shared" si="57"/>
        <v>3</v>
      </c>
      <c r="R947">
        <f t="shared" si="58"/>
        <v>0</v>
      </c>
      <c r="S947" t="b">
        <f t="shared" si="59"/>
        <v>0</v>
      </c>
    </row>
    <row r="948" spans="1:19" x14ac:dyDescent="0.2">
      <c r="A948" s="54">
        <v>325495</v>
      </c>
      <c r="B948" s="54" t="s">
        <v>598</v>
      </c>
      <c r="C948" s="55">
        <v>45</v>
      </c>
      <c r="D948" s="55">
        <v>37</v>
      </c>
      <c r="E948" s="55">
        <v>14</v>
      </c>
      <c r="F948" s="55">
        <v>5</v>
      </c>
      <c r="G948" s="55">
        <v>5</v>
      </c>
      <c r="H948" s="55">
        <v>5</v>
      </c>
      <c r="I948" s="55">
        <v>0.14000000000000001</v>
      </c>
      <c r="J948" s="55">
        <v>0.14000000000000001</v>
      </c>
      <c r="K948" s="55">
        <v>0.14000000000000001</v>
      </c>
      <c r="L948" s="55">
        <v>1</v>
      </c>
      <c r="M948" s="54" t="s">
        <v>45</v>
      </c>
      <c r="N948" s="54" t="s">
        <v>47</v>
      </c>
      <c r="O948" s="54" t="s">
        <v>7</v>
      </c>
      <c r="P948" s="54">
        <f t="shared" si="56"/>
        <v>0</v>
      </c>
      <c r="Q948">
        <f t="shared" si="57"/>
        <v>0</v>
      </c>
      <c r="R948">
        <f t="shared" si="58"/>
        <v>0</v>
      </c>
      <c r="S948" t="b">
        <f t="shared" si="59"/>
        <v>0</v>
      </c>
    </row>
    <row r="949" spans="1:19" x14ac:dyDescent="0.2">
      <c r="A949" s="54">
        <v>325652</v>
      </c>
      <c r="B949" s="54" t="s">
        <v>646</v>
      </c>
      <c r="C949" s="55">
        <v>7</v>
      </c>
      <c r="D949" s="55">
        <v>320</v>
      </c>
      <c r="E949" s="55">
        <v>45</v>
      </c>
      <c r="F949" s="55">
        <v>7</v>
      </c>
      <c r="G949" s="55">
        <v>7</v>
      </c>
      <c r="H949" s="55">
        <v>7</v>
      </c>
      <c r="I949" s="55">
        <v>0.02</v>
      </c>
      <c r="J949" s="55">
        <v>0.02</v>
      </c>
      <c r="K949" s="55">
        <v>0.02</v>
      </c>
      <c r="L949" s="55">
        <v>9</v>
      </c>
      <c r="M949" s="54" t="s">
        <v>47</v>
      </c>
      <c r="N949" s="54" t="s">
        <v>47</v>
      </c>
      <c r="O949" s="54" t="s">
        <v>6</v>
      </c>
      <c r="P949" s="54">
        <f t="shared" si="56"/>
        <v>0</v>
      </c>
      <c r="Q949">
        <f t="shared" si="57"/>
        <v>0</v>
      </c>
      <c r="R949">
        <f t="shared" si="58"/>
        <v>0</v>
      </c>
      <c r="S949" t="b">
        <f t="shared" si="59"/>
        <v>0</v>
      </c>
    </row>
    <row r="950" spans="1:19" x14ac:dyDescent="0.2">
      <c r="A950" s="54">
        <v>325705</v>
      </c>
      <c r="B950" s="54" t="s">
        <v>782</v>
      </c>
      <c r="C950" s="55">
        <v>5</v>
      </c>
      <c r="D950" s="55">
        <v>350</v>
      </c>
      <c r="E950" s="55">
        <v>1</v>
      </c>
      <c r="F950" s="55">
        <v>0</v>
      </c>
      <c r="G950" s="55">
        <v>0</v>
      </c>
      <c r="H950" s="55">
        <v>0</v>
      </c>
      <c r="I950" s="55">
        <v>0</v>
      </c>
      <c r="J950" s="55">
        <v>0</v>
      </c>
      <c r="K950" s="55">
        <v>0</v>
      </c>
      <c r="L950" s="55">
        <v>0</v>
      </c>
      <c r="M950" s="54" t="s">
        <v>30</v>
      </c>
      <c r="N950" s="54" t="s">
        <v>1401</v>
      </c>
      <c r="O950" s="54" t="s">
        <v>6</v>
      </c>
      <c r="P950" s="54">
        <f t="shared" si="56"/>
        <v>0</v>
      </c>
      <c r="Q950">
        <f t="shared" si="57"/>
        <v>0</v>
      </c>
      <c r="R950">
        <f t="shared" si="58"/>
        <v>0</v>
      </c>
      <c r="S950" t="b">
        <f t="shared" si="59"/>
        <v>0</v>
      </c>
    </row>
    <row r="951" spans="1:19" x14ac:dyDescent="0.2">
      <c r="A951" s="54">
        <v>326007</v>
      </c>
      <c r="B951" s="54" t="s">
        <v>1168</v>
      </c>
      <c r="C951" s="55">
        <v>60</v>
      </c>
      <c r="D951" s="55">
        <v>60</v>
      </c>
      <c r="E951" s="55">
        <v>3</v>
      </c>
      <c r="F951" s="55">
        <v>149</v>
      </c>
      <c r="G951" s="55">
        <v>126</v>
      </c>
      <c r="H951" s="55">
        <v>126</v>
      </c>
      <c r="I951" s="55">
        <v>2.48</v>
      </c>
      <c r="J951" s="55">
        <v>2.1</v>
      </c>
      <c r="K951" s="55">
        <v>2.1</v>
      </c>
      <c r="L951" s="55">
        <v>3</v>
      </c>
      <c r="M951" s="54" t="s">
        <v>30</v>
      </c>
      <c r="N951" s="54" t="s">
        <v>1401</v>
      </c>
      <c r="O951" s="54" t="s">
        <v>7</v>
      </c>
      <c r="P951" s="54">
        <f t="shared" si="56"/>
        <v>60</v>
      </c>
      <c r="Q951">
        <f t="shared" si="57"/>
        <v>60</v>
      </c>
      <c r="R951">
        <f t="shared" si="58"/>
        <v>60</v>
      </c>
      <c r="S951" t="b">
        <f t="shared" si="59"/>
        <v>0</v>
      </c>
    </row>
    <row r="952" spans="1:19" x14ac:dyDescent="0.2">
      <c r="A952" s="54">
        <v>326208</v>
      </c>
      <c r="B952" s="54" t="s">
        <v>774</v>
      </c>
      <c r="C952" s="55">
        <v>4</v>
      </c>
      <c r="D952" s="55">
        <v>28</v>
      </c>
      <c r="E952" s="55">
        <v>4</v>
      </c>
      <c r="F952" s="55">
        <v>79</v>
      </c>
      <c r="G952" s="55">
        <v>22</v>
      </c>
      <c r="H952" s="55">
        <v>22</v>
      </c>
      <c r="I952" s="55">
        <v>2.82</v>
      </c>
      <c r="J952" s="55">
        <v>0.79</v>
      </c>
      <c r="K952" s="55">
        <v>0.79</v>
      </c>
      <c r="L952" s="55">
        <v>0</v>
      </c>
      <c r="M952" s="54" t="s">
        <v>30</v>
      </c>
      <c r="N952" s="54" t="s">
        <v>1401</v>
      </c>
      <c r="O952" s="54" t="s">
        <v>7</v>
      </c>
      <c r="P952" s="54">
        <f t="shared" si="56"/>
        <v>4</v>
      </c>
      <c r="Q952">
        <f t="shared" si="57"/>
        <v>4</v>
      </c>
      <c r="R952">
        <f t="shared" si="58"/>
        <v>4</v>
      </c>
      <c r="S952" t="b">
        <f t="shared" si="59"/>
        <v>0</v>
      </c>
    </row>
    <row r="953" spans="1:19" x14ac:dyDescent="0.2">
      <c r="A953" s="54">
        <v>326240</v>
      </c>
      <c r="B953" s="54" t="s">
        <v>404</v>
      </c>
      <c r="C953" s="55">
        <v>0</v>
      </c>
      <c r="D953" s="55">
        <v>54</v>
      </c>
      <c r="E953" s="55">
        <v>19</v>
      </c>
      <c r="F953" s="55">
        <v>58</v>
      </c>
      <c r="G953" s="55">
        <v>24</v>
      </c>
      <c r="H953" s="55">
        <v>1</v>
      </c>
      <c r="I953" s="55">
        <v>1.07</v>
      </c>
      <c r="J953" s="55">
        <v>0.44</v>
      </c>
      <c r="K953" s="55">
        <v>0.02</v>
      </c>
      <c r="L953" s="55">
        <v>2</v>
      </c>
      <c r="M953" s="54" t="s">
        <v>45</v>
      </c>
      <c r="N953" s="54" t="s">
        <v>47</v>
      </c>
      <c r="O953" s="54" t="s">
        <v>7</v>
      </c>
      <c r="P953" s="54">
        <f t="shared" si="56"/>
        <v>0</v>
      </c>
      <c r="Q953">
        <f t="shared" si="57"/>
        <v>0</v>
      </c>
      <c r="R953">
        <f t="shared" si="58"/>
        <v>0</v>
      </c>
      <c r="S953" t="b">
        <f t="shared" si="59"/>
        <v>0</v>
      </c>
    </row>
    <row r="954" spans="1:19" x14ac:dyDescent="0.2">
      <c r="A954" s="54">
        <v>326529</v>
      </c>
      <c r="B954" s="54" t="s">
        <v>966</v>
      </c>
      <c r="C954" s="55">
        <v>16</v>
      </c>
      <c r="D954" s="55">
        <v>18</v>
      </c>
      <c r="E954" s="55">
        <v>1</v>
      </c>
      <c r="F954" s="55">
        <v>0</v>
      </c>
      <c r="G954" s="55">
        <v>0</v>
      </c>
      <c r="H954" s="55">
        <v>0</v>
      </c>
      <c r="I954" s="55">
        <v>0</v>
      </c>
      <c r="J954" s="55">
        <v>0</v>
      </c>
      <c r="K954" s="55">
        <v>0</v>
      </c>
      <c r="L954" s="55">
        <v>0</v>
      </c>
      <c r="M954" s="54" t="s">
        <v>30</v>
      </c>
      <c r="N954" s="54" t="s">
        <v>1401</v>
      </c>
      <c r="O954" s="54" t="s">
        <v>7</v>
      </c>
      <c r="P954" s="54">
        <f t="shared" si="56"/>
        <v>0</v>
      </c>
      <c r="Q954">
        <f t="shared" si="57"/>
        <v>0</v>
      </c>
      <c r="R954">
        <f t="shared" si="58"/>
        <v>0</v>
      </c>
      <c r="S954" t="b">
        <f t="shared" si="59"/>
        <v>0</v>
      </c>
    </row>
    <row r="955" spans="1:19" x14ac:dyDescent="0.2">
      <c r="A955" s="54">
        <v>326543</v>
      </c>
      <c r="B955" s="54" t="s">
        <v>1019</v>
      </c>
      <c r="C955" s="55">
        <v>21</v>
      </c>
      <c r="D955" s="55">
        <v>25</v>
      </c>
      <c r="E955" s="55">
        <v>1</v>
      </c>
      <c r="F955" s="55">
        <v>4</v>
      </c>
      <c r="G955" s="55">
        <v>4</v>
      </c>
      <c r="H955" s="55">
        <v>4</v>
      </c>
      <c r="I955" s="55">
        <v>0.16</v>
      </c>
      <c r="J955" s="55">
        <v>0.16</v>
      </c>
      <c r="K955" s="55">
        <v>0.16</v>
      </c>
      <c r="L955" s="55">
        <v>0</v>
      </c>
      <c r="M955" s="54" t="s">
        <v>30</v>
      </c>
      <c r="N955" s="54" t="s">
        <v>1401</v>
      </c>
      <c r="O955" s="54" t="s">
        <v>7</v>
      </c>
      <c r="P955" s="54">
        <f t="shared" si="56"/>
        <v>0</v>
      </c>
      <c r="Q955">
        <f t="shared" si="57"/>
        <v>0</v>
      </c>
      <c r="R955">
        <f t="shared" si="58"/>
        <v>0</v>
      </c>
      <c r="S955" t="b">
        <f t="shared" si="59"/>
        <v>0</v>
      </c>
    </row>
    <row r="956" spans="1:19" x14ac:dyDescent="0.2">
      <c r="A956" s="54">
        <v>326934</v>
      </c>
      <c r="B956" s="54" t="s">
        <v>1293</v>
      </c>
      <c r="C956" s="55">
        <v>500</v>
      </c>
      <c r="D956" s="55">
        <v>3000</v>
      </c>
      <c r="E956" s="55">
        <v>4</v>
      </c>
      <c r="F956" s="55">
        <v>0</v>
      </c>
      <c r="G956" s="55">
        <v>0</v>
      </c>
      <c r="H956" s="55">
        <v>0</v>
      </c>
      <c r="I956" s="55">
        <v>0</v>
      </c>
      <c r="J956" s="55">
        <v>0</v>
      </c>
      <c r="K956" s="55">
        <v>0</v>
      </c>
      <c r="L956" s="55">
        <v>1</v>
      </c>
      <c r="M956" s="54" t="s">
        <v>30</v>
      </c>
      <c r="N956" s="54" t="s">
        <v>1401</v>
      </c>
      <c r="O956" s="54" t="s">
        <v>5</v>
      </c>
      <c r="P956" s="54">
        <f t="shared" si="56"/>
        <v>0</v>
      </c>
      <c r="Q956">
        <f t="shared" si="57"/>
        <v>0</v>
      </c>
      <c r="R956">
        <f t="shared" si="58"/>
        <v>0</v>
      </c>
      <c r="S956" t="b">
        <f t="shared" si="59"/>
        <v>0</v>
      </c>
    </row>
    <row r="957" spans="1:19" x14ac:dyDescent="0.2">
      <c r="A957" s="54">
        <v>326941</v>
      </c>
      <c r="B957" s="54" t="s">
        <v>368</v>
      </c>
      <c r="C957" s="55">
        <v>1358</v>
      </c>
      <c r="D957" s="55">
        <v>80</v>
      </c>
      <c r="E957" s="55">
        <v>9</v>
      </c>
      <c r="F957" s="55">
        <v>188</v>
      </c>
      <c r="G957" s="55">
        <v>28</v>
      </c>
      <c r="H957" s="55">
        <v>0</v>
      </c>
      <c r="I957" s="55">
        <v>2.35</v>
      </c>
      <c r="J957" s="55">
        <v>0.35</v>
      </c>
      <c r="K957" s="55">
        <v>0</v>
      </c>
      <c r="L957" s="55">
        <v>0</v>
      </c>
      <c r="M957" s="54" t="s">
        <v>43</v>
      </c>
      <c r="N957" s="54" t="s">
        <v>1400</v>
      </c>
      <c r="O957" s="54" t="s">
        <v>7</v>
      </c>
      <c r="P957" s="54">
        <f t="shared" si="56"/>
        <v>1358</v>
      </c>
      <c r="Q957">
        <f t="shared" si="57"/>
        <v>1358</v>
      </c>
      <c r="R957">
        <f t="shared" si="58"/>
        <v>0</v>
      </c>
      <c r="S957" t="b">
        <f t="shared" si="59"/>
        <v>0</v>
      </c>
    </row>
    <row r="958" spans="1:19" x14ac:dyDescent="0.2">
      <c r="A958" s="54">
        <v>327017</v>
      </c>
      <c r="B958" s="54" t="s">
        <v>837</v>
      </c>
      <c r="C958" s="55">
        <v>8</v>
      </c>
      <c r="D958" s="55">
        <v>8</v>
      </c>
      <c r="E958" s="55">
        <v>1</v>
      </c>
      <c r="F958" s="55">
        <v>16</v>
      </c>
      <c r="G958" s="55">
        <v>16</v>
      </c>
      <c r="H958" s="55">
        <v>16</v>
      </c>
      <c r="I958" s="55">
        <v>2</v>
      </c>
      <c r="J958" s="55">
        <v>2</v>
      </c>
      <c r="K958" s="55">
        <v>2</v>
      </c>
      <c r="L958" s="55">
        <v>0</v>
      </c>
      <c r="M958" s="54" t="s">
        <v>30</v>
      </c>
      <c r="N958" s="54" t="s">
        <v>1401</v>
      </c>
      <c r="O958" s="54" t="s">
        <v>7</v>
      </c>
      <c r="P958" s="54">
        <f t="shared" si="56"/>
        <v>8</v>
      </c>
      <c r="Q958">
        <f t="shared" si="57"/>
        <v>8</v>
      </c>
      <c r="R958">
        <f t="shared" si="58"/>
        <v>8</v>
      </c>
      <c r="S958" t="b">
        <f t="shared" si="59"/>
        <v>0</v>
      </c>
    </row>
    <row r="959" spans="1:19" x14ac:dyDescent="0.2">
      <c r="A959" s="54">
        <v>327051</v>
      </c>
      <c r="B959" s="54" t="s">
        <v>1013</v>
      </c>
      <c r="C959" s="55">
        <v>20</v>
      </c>
      <c r="D959" s="55">
        <v>20</v>
      </c>
      <c r="E959" s="55">
        <v>4</v>
      </c>
      <c r="F959" s="55">
        <v>67</v>
      </c>
      <c r="G959" s="55">
        <v>67</v>
      </c>
      <c r="H959" s="55">
        <v>67</v>
      </c>
      <c r="I959" s="55">
        <v>3.35</v>
      </c>
      <c r="J959" s="55">
        <v>3.35</v>
      </c>
      <c r="K959" s="55">
        <v>3.35</v>
      </c>
      <c r="L959" s="55">
        <v>25</v>
      </c>
      <c r="M959" s="54" t="s">
        <v>30</v>
      </c>
      <c r="N959" s="54" t="s">
        <v>1401</v>
      </c>
      <c r="O959" s="54" t="s">
        <v>7</v>
      </c>
      <c r="P959" s="54">
        <f t="shared" si="56"/>
        <v>20</v>
      </c>
      <c r="Q959">
        <f t="shared" si="57"/>
        <v>20</v>
      </c>
      <c r="R959">
        <f t="shared" si="58"/>
        <v>20</v>
      </c>
      <c r="S959" t="b">
        <f t="shared" si="59"/>
        <v>0</v>
      </c>
    </row>
    <row r="960" spans="1:19" x14ac:dyDescent="0.2">
      <c r="A960" s="54">
        <v>327053</v>
      </c>
      <c r="B960" s="54" t="s">
        <v>562</v>
      </c>
      <c r="C960" s="55">
        <v>10</v>
      </c>
      <c r="D960" s="55">
        <v>10</v>
      </c>
      <c r="E960" s="55">
        <v>18</v>
      </c>
      <c r="F960" s="55">
        <v>7</v>
      </c>
      <c r="G960" s="55">
        <v>3</v>
      </c>
      <c r="H960" s="55">
        <v>0</v>
      </c>
      <c r="I960" s="55">
        <v>0.7</v>
      </c>
      <c r="J960" s="55">
        <v>0.3</v>
      </c>
      <c r="K960" s="55">
        <v>0</v>
      </c>
      <c r="L960" s="55">
        <v>0</v>
      </c>
      <c r="M960" s="54" t="s">
        <v>45</v>
      </c>
      <c r="N960" s="54" t="s">
        <v>47</v>
      </c>
      <c r="O960" s="54" t="s">
        <v>7</v>
      </c>
      <c r="P960" s="54">
        <f t="shared" si="56"/>
        <v>0</v>
      </c>
      <c r="Q960">
        <f t="shared" si="57"/>
        <v>0</v>
      </c>
      <c r="R960">
        <f t="shared" si="58"/>
        <v>0</v>
      </c>
      <c r="S960" t="b">
        <f t="shared" si="59"/>
        <v>0</v>
      </c>
    </row>
    <row r="961" spans="1:19" x14ac:dyDescent="0.2">
      <c r="A961" s="54">
        <v>327072</v>
      </c>
      <c r="B961" s="54" t="s">
        <v>1348</v>
      </c>
      <c r="C961" s="55">
        <v>0</v>
      </c>
      <c r="D961" s="55">
        <v>15</v>
      </c>
      <c r="E961" s="55">
        <v>0</v>
      </c>
      <c r="F961" s="55">
        <v>0</v>
      </c>
      <c r="G961" s="55">
        <v>0</v>
      </c>
      <c r="H961" s="55">
        <v>0</v>
      </c>
      <c r="I961" s="55">
        <v>0</v>
      </c>
      <c r="J961" s="55">
        <v>0</v>
      </c>
      <c r="K961" s="55">
        <v>0</v>
      </c>
      <c r="L961" s="55">
        <v>0</v>
      </c>
      <c r="M961" s="54" t="s">
        <v>30</v>
      </c>
      <c r="N961" s="54" t="s">
        <v>1401</v>
      </c>
      <c r="O961" s="54" t="s">
        <v>7</v>
      </c>
      <c r="P961" s="54">
        <f t="shared" si="56"/>
        <v>0</v>
      </c>
      <c r="Q961">
        <f t="shared" si="57"/>
        <v>0</v>
      </c>
      <c r="R961">
        <f t="shared" si="58"/>
        <v>0</v>
      </c>
      <c r="S961" t="b">
        <f t="shared" si="59"/>
        <v>0</v>
      </c>
    </row>
    <row r="962" spans="1:19" x14ac:dyDescent="0.2">
      <c r="A962" s="54">
        <v>327314</v>
      </c>
      <c r="B962" s="54" t="s">
        <v>751</v>
      </c>
      <c r="C962" s="55">
        <v>3</v>
      </c>
      <c r="D962" s="55">
        <v>8</v>
      </c>
      <c r="E962" s="55">
        <v>3</v>
      </c>
      <c r="F962" s="55">
        <v>3</v>
      </c>
      <c r="G962" s="55">
        <v>2</v>
      </c>
      <c r="H962" s="55">
        <v>2</v>
      </c>
      <c r="I962" s="55">
        <v>0.38</v>
      </c>
      <c r="J962" s="55">
        <v>0.25</v>
      </c>
      <c r="K962" s="55">
        <v>0.25</v>
      </c>
      <c r="L962" s="55">
        <v>0</v>
      </c>
      <c r="M962" s="54" t="s">
        <v>30</v>
      </c>
      <c r="N962" s="54" t="s">
        <v>1401</v>
      </c>
      <c r="O962" s="54" t="s">
        <v>7</v>
      </c>
      <c r="P962" s="54">
        <f t="shared" ref="P962:P1025" si="60">IF(I962&gt;=2, C962, IF(J962&gt;=0.75, C962, 0))</f>
        <v>0</v>
      </c>
      <c r="Q962">
        <f t="shared" ref="Q962:Q1025" si="61">IF(I962&gt;=2, C962, IF(AND(J962&gt;=0.75, D962&gt;=550), C962, 0))</f>
        <v>0</v>
      </c>
      <c r="R962">
        <f t="shared" ref="R962:R1025" si="62">IF(J962&gt;=0.75, C962, 0)</f>
        <v>0</v>
      </c>
      <c r="S962" t="b">
        <f t="shared" si="59"/>
        <v>0</v>
      </c>
    </row>
    <row r="963" spans="1:19" x14ac:dyDescent="0.2">
      <c r="A963" s="54">
        <v>327328</v>
      </c>
      <c r="B963" s="54" t="s">
        <v>692</v>
      </c>
      <c r="C963" s="55">
        <v>1</v>
      </c>
      <c r="D963" s="55">
        <v>25</v>
      </c>
      <c r="E963" s="55">
        <v>2</v>
      </c>
      <c r="F963" s="55">
        <v>30</v>
      </c>
      <c r="G963" s="55">
        <v>30</v>
      </c>
      <c r="H963" s="55">
        <v>30</v>
      </c>
      <c r="I963" s="55">
        <v>1.2</v>
      </c>
      <c r="J963" s="55">
        <v>1.2</v>
      </c>
      <c r="K963" s="55">
        <v>1.2</v>
      </c>
      <c r="L963" s="55">
        <v>0</v>
      </c>
      <c r="M963" s="54" t="s">
        <v>30</v>
      </c>
      <c r="N963" s="54" t="s">
        <v>1401</v>
      </c>
      <c r="O963" s="54" t="s">
        <v>7</v>
      </c>
      <c r="P963" s="54">
        <f t="shared" si="60"/>
        <v>1</v>
      </c>
      <c r="Q963">
        <f t="shared" si="61"/>
        <v>0</v>
      </c>
      <c r="R963">
        <f t="shared" si="62"/>
        <v>1</v>
      </c>
      <c r="S963" t="b">
        <f t="shared" ref="S963:S1026" si="63">IF(A963=A964,TRUE,FALSE)</f>
        <v>0</v>
      </c>
    </row>
    <row r="964" spans="1:19" x14ac:dyDescent="0.2">
      <c r="A964" s="54">
        <v>327329</v>
      </c>
      <c r="B964" s="54" t="s">
        <v>1114</v>
      </c>
      <c r="C964" s="55">
        <v>36</v>
      </c>
      <c r="D964" s="55">
        <v>28</v>
      </c>
      <c r="E964" s="55">
        <v>2</v>
      </c>
      <c r="F964" s="55">
        <v>10</v>
      </c>
      <c r="G964" s="55">
        <v>10</v>
      </c>
      <c r="H964" s="55">
        <v>10</v>
      </c>
      <c r="I964" s="55">
        <v>0.36</v>
      </c>
      <c r="J964" s="55">
        <v>0.36</v>
      </c>
      <c r="K964" s="55">
        <v>0.36</v>
      </c>
      <c r="L964" s="55">
        <v>0</v>
      </c>
      <c r="M964" s="54" t="s">
        <v>30</v>
      </c>
      <c r="N964" s="54" t="s">
        <v>1401</v>
      </c>
      <c r="O964" s="54" t="s">
        <v>7</v>
      </c>
      <c r="P964" s="54">
        <f t="shared" si="60"/>
        <v>0</v>
      </c>
      <c r="Q964">
        <f t="shared" si="61"/>
        <v>0</v>
      </c>
      <c r="R964">
        <f t="shared" si="62"/>
        <v>0</v>
      </c>
      <c r="S964" t="b">
        <f t="shared" si="63"/>
        <v>0</v>
      </c>
    </row>
    <row r="965" spans="1:19" x14ac:dyDescent="0.2">
      <c r="A965" s="54">
        <v>327410</v>
      </c>
      <c r="B965" s="54" t="s">
        <v>984</v>
      </c>
      <c r="C965" s="55">
        <v>17</v>
      </c>
      <c r="D965" s="55">
        <v>17</v>
      </c>
      <c r="E965" s="55">
        <v>4</v>
      </c>
      <c r="F965" s="55">
        <v>3</v>
      </c>
      <c r="G965" s="55">
        <v>3</v>
      </c>
      <c r="H965" s="55">
        <v>0</v>
      </c>
      <c r="I965" s="55">
        <v>0.18</v>
      </c>
      <c r="J965" s="55">
        <v>0.18</v>
      </c>
      <c r="K965" s="55">
        <v>0</v>
      </c>
      <c r="L965" s="55">
        <v>0</v>
      </c>
      <c r="M965" s="54" t="s">
        <v>30</v>
      </c>
      <c r="N965" s="54" t="s">
        <v>1401</v>
      </c>
      <c r="O965" s="54" t="s">
        <v>7</v>
      </c>
      <c r="P965" s="54">
        <f t="shared" si="60"/>
        <v>0</v>
      </c>
      <c r="Q965">
        <f t="shared" si="61"/>
        <v>0</v>
      </c>
      <c r="R965">
        <f t="shared" si="62"/>
        <v>0</v>
      </c>
      <c r="S965" t="b">
        <f t="shared" si="63"/>
        <v>0</v>
      </c>
    </row>
    <row r="966" spans="1:19" x14ac:dyDescent="0.2">
      <c r="A966" s="54">
        <v>327518</v>
      </c>
      <c r="B966" s="54" t="s">
        <v>962</v>
      </c>
      <c r="C966" s="55">
        <v>15</v>
      </c>
      <c r="D966" s="55">
        <v>16</v>
      </c>
      <c r="E966" s="55">
        <v>0</v>
      </c>
      <c r="F966" s="55">
        <v>0</v>
      </c>
      <c r="G966" s="55">
        <v>0</v>
      </c>
      <c r="H966" s="55">
        <v>0</v>
      </c>
      <c r="I966" s="55">
        <v>0</v>
      </c>
      <c r="J966" s="55">
        <v>0</v>
      </c>
      <c r="K966" s="55">
        <v>0</v>
      </c>
      <c r="L966" s="55">
        <v>0</v>
      </c>
      <c r="M966" s="54" t="s">
        <v>30</v>
      </c>
      <c r="N966" s="54" t="s">
        <v>1401</v>
      </c>
      <c r="O966" s="54" t="s">
        <v>7</v>
      </c>
      <c r="P966" s="54">
        <f t="shared" si="60"/>
        <v>0</v>
      </c>
      <c r="Q966">
        <f t="shared" si="61"/>
        <v>0</v>
      </c>
      <c r="R966">
        <f t="shared" si="62"/>
        <v>0</v>
      </c>
      <c r="S966" t="b">
        <f t="shared" si="63"/>
        <v>0</v>
      </c>
    </row>
    <row r="967" spans="1:19" x14ac:dyDescent="0.2">
      <c r="A967" s="54">
        <v>327530</v>
      </c>
      <c r="B967" s="54" t="s">
        <v>771</v>
      </c>
      <c r="C967" s="55">
        <v>4</v>
      </c>
      <c r="D967" s="55">
        <v>30</v>
      </c>
      <c r="E967" s="55">
        <v>2</v>
      </c>
      <c r="F967" s="55">
        <v>0</v>
      </c>
      <c r="G967" s="55">
        <v>0</v>
      </c>
      <c r="H967" s="55">
        <v>0</v>
      </c>
      <c r="I967" s="55">
        <v>0</v>
      </c>
      <c r="J967" s="55">
        <v>0</v>
      </c>
      <c r="K967" s="55">
        <v>0</v>
      </c>
      <c r="L967" s="55">
        <v>0</v>
      </c>
      <c r="M967" s="54" t="s">
        <v>30</v>
      </c>
      <c r="N967" s="54" t="s">
        <v>1401</v>
      </c>
      <c r="O967" s="54" t="s">
        <v>7</v>
      </c>
      <c r="P967" s="54">
        <f t="shared" si="60"/>
        <v>0</v>
      </c>
      <c r="Q967">
        <f t="shared" si="61"/>
        <v>0</v>
      </c>
      <c r="R967">
        <f t="shared" si="62"/>
        <v>0</v>
      </c>
      <c r="S967" t="b">
        <f t="shared" si="63"/>
        <v>0</v>
      </c>
    </row>
    <row r="968" spans="1:19" x14ac:dyDescent="0.2">
      <c r="A968" s="54">
        <v>327587</v>
      </c>
      <c r="B968" s="54" t="s">
        <v>1278</v>
      </c>
      <c r="C968" s="55">
        <v>245</v>
      </c>
      <c r="D968" s="55">
        <v>225</v>
      </c>
      <c r="E968" s="55">
        <v>3</v>
      </c>
      <c r="F968" s="55">
        <v>22</v>
      </c>
      <c r="G968" s="55">
        <v>22</v>
      </c>
      <c r="H968" s="55">
        <v>22</v>
      </c>
      <c r="I968" s="55">
        <v>0.1</v>
      </c>
      <c r="J968" s="55">
        <v>0.1</v>
      </c>
      <c r="K968" s="55">
        <v>0.1</v>
      </c>
      <c r="L968" s="55">
        <v>19</v>
      </c>
      <c r="M968" s="54" t="s">
        <v>30</v>
      </c>
      <c r="N968" s="54" t="s">
        <v>1401</v>
      </c>
      <c r="O968" s="54" t="s">
        <v>6</v>
      </c>
      <c r="P968" s="54">
        <f t="shared" si="60"/>
        <v>0</v>
      </c>
      <c r="Q968">
        <f t="shared" si="61"/>
        <v>0</v>
      </c>
      <c r="R968">
        <f t="shared" si="62"/>
        <v>0</v>
      </c>
      <c r="S968" t="b">
        <f t="shared" si="63"/>
        <v>0</v>
      </c>
    </row>
    <row r="969" spans="1:19" x14ac:dyDescent="0.2">
      <c r="A969" s="54">
        <v>327717</v>
      </c>
      <c r="B969" s="54" t="s">
        <v>877</v>
      </c>
      <c r="C969" s="55">
        <v>10</v>
      </c>
      <c r="D969" s="55">
        <v>10</v>
      </c>
      <c r="E969" s="55">
        <v>1</v>
      </c>
      <c r="F969" s="55">
        <v>0</v>
      </c>
      <c r="G969" s="55">
        <v>0</v>
      </c>
      <c r="H969" s="55">
        <v>0</v>
      </c>
      <c r="I969" s="55">
        <v>0</v>
      </c>
      <c r="J969" s="55">
        <v>0</v>
      </c>
      <c r="K969" s="55">
        <v>0</v>
      </c>
      <c r="L969" s="55">
        <v>0</v>
      </c>
      <c r="M969" s="54" t="s">
        <v>30</v>
      </c>
      <c r="N969" s="54" t="s">
        <v>1401</v>
      </c>
      <c r="O969" s="54" t="s">
        <v>7</v>
      </c>
      <c r="P969" s="54">
        <f t="shared" si="60"/>
        <v>0</v>
      </c>
      <c r="Q969">
        <f t="shared" si="61"/>
        <v>0</v>
      </c>
      <c r="R969">
        <f t="shared" si="62"/>
        <v>0</v>
      </c>
      <c r="S969" t="b">
        <f t="shared" si="63"/>
        <v>0</v>
      </c>
    </row>
    <row r="970" spans="1:19" x14ac:dyDescent="0.2">
      <c r="A970" s="54">
        <v>327726</v>
      </c>
      <c r="B970" s="54" t="s">
        <v>1259</v>
      </c>
      <c r="C970" s="55">
        <v>156</v>
      </c>
      <c r="D970" s="55">
        <v>156</v>
      </c>
      <c r="E970" s="55">
        <v>3</v>
      </c>
      <c r="F970" s="55">
        <v>127</v>
      </c>
      <c r="G970" s="55">
        <v>123</v>
      </c>
      <c r="H970" s="55">
        <v>119</v>
      </c>
      <c r="I970" s="55">
        <v>0.81</v>
      </c>
      <c r="J970" s="55">
        <v>0.79</v>
      </c>
      <c r="K970" s="55">
        <v>0.76</v>
      </c>
      <c r="L970" s="55">
        <v>25</v>
      </c>
      <c r="M970" s="54" t="s">
        <v>30</v>
      </c>
      <c r="N970" s="54" t="s">
        <v>1401</v>
      </c>
      <c r="O970" s="54" t="s">
        <v>6</v>
      </c>
      <c r="P970" s="54">
        <f t="shared" si="60"/>
        <v>156</v>
      </c>
      <c r="Q970">
        <f t="shared" si="61"/>
        <v>0</v>
      </c>
      <c r="R970">
        <f t="shared" si="62"/>
        <v>156</v>
      </c>
      <c r="S970" t="b">
        <f t="shared" si="63"/>
        <v>0</v>
      </c>
    </row>
    <row r="971" spans="1:19" x14ac:dyDescent="0.2">
      <c r="A971" s="54">
        <v>327790</v>
      </c>
      <c r="B971" s="54" t="s">
        <v>1094</v>
      </c>
      <c r="C971" s="55">
        <v>32</v>
      </c>
      <c r="D971" s="55">
        <v>32</v>
      </c>
      <c r="E971" s="55">
        <v>3</v>
      </c>
      <c r="F971" s="55">
        <v>62</v>
      </c>
      <c r="G971" s="55">
        <v>41</v>
      </c>
      <c r="H971" s="55">
        <v>41</v>
      </c>
      <c r="I971" s="55">
        <v>1.94</v>
      </c>
      <c r="J971" s="55">
        <v>1.28</v>
      </c>
      <c r="K971" s="55">
        <v>1.28</v>
      </c>
      <c r="L971" s="55">
        <v>34</v>
      </c>
      <c r="M971" s="54" t="s">
        <v>30</v>
      </c>
      <c r="N971" s="54" t="s">
        <v>1401</v>
      </c>
      <c r="O971" s="54" t="s">
        <v>7</v>
      </c>
      <c r="P971" s="54">
        <f t="shared" si="60"/>
        <v>32</v>
      </c>
      <c r="Q971">
        <f t="shared" si="61"/>
        <v>0</v>
      </c>
      <c r="R971">
        <f t="shared" si="62"/>
        <v>32</v>
      </c>
      <c r="S971" t="b">
        <f t="shared" si="63"/>
        <v>0</v>
      </c>
    </row>
    <row r="972" spans="1:19" x14ac:dyDescent="0.2">
      <c r="A972" s="54">
        <v>327797</v>
      </c>
      <c r="B972" s="54" t="s">
        <v>128</v>
      </c>
      <c r="C972" s="55">
        <v>4184</v>
      </c>
      <c r="D972" s="55">
        <v>4500</v>
      </c>
      <c r="E972" s="55">
        <v>10</v>
      </c>
      <c r="F972" s="55">
        <v>711</v>
      </c>
      <c r="G972" s="55">
        <v>450</v>
      </c>
      <c r="H972" s="55">
        <v>253</v>
      </c>
      <c r="I972" s="55">
        <v>0.16</v>
      </c>
      <c r="J972" s="55">
        <v>0.1</v>
      </c>
      <c r="K972" s="55">
        <v>0.06</v>
      </c>
      <c r="L972" s="55">
        <v>568</v>
      </c>
      <c r="M972" s="54" t="s">
        <v>43</v>
      </c>
      <c r="N972" s="54" t="s">
        <v>1400</v>
      </c>
      <c r="O972" s="54" t="s">
        <v>5</v>
      </c>
      <c r="P972" s="54">
        <f t="shared" si="60"/>
        <v>0</v>
      </c>
      <c r="Q972">
        <f t="shared" si="61"/>
        <v>0</v>
      </c>
      <c r="R972">
        <f t="shared" si="62"/>
        <v>0</v>
      </c>
      <c r="S972" t="b">
        <f t="shared" si="63"/>
        <v>0</v>
      </c>
    </row>
    <row r="973" spans="1:19" x14ac:dyDescent="0.2">
      <c r="A973" s="54">
        <v>328024</v>
      </c>
      <c r="B973" s="54" t="s">
        <v>313</v>
      </c>
      <c r="C973" s="55">
        <v>85</v>
      </c>
      <c r="D973" s="55">
        <v>64</v>
      </c>
      <c r="E973" s="55">
        <v>17</v>
      </c>
      <c r="F973" s="55">
        <v>69</v>
      </c>
      <c r="G973" s="55">
        <v>0</v>
      </c>
      <c r="H973" s="55">
        <v>0</v>
      </c>
      <c r="I973" s="55">
        <v>1.08</v>
      </c>
      <c r="J973" s="55">
        <v>0</v>
      </c>
      <c r="K973" s="55">
        <v>0</v>
      </c>
      <c r="L973" s="55">
        <v>0</v>
      </c>
      <c r="M973" s="54" t="s">
        <v>45</v>
      </c>
      <c r="N973" s="54" t="s">
        <v>47</v>
      </c>
      <c r="O973" s="54" t="s">
        <v>7</v>
      </c>
      <c r="P973" s="54">
        <f t="shared" si="60"/>
        <v>0</v>
      </c>
      <c r="Q973">
        <f t="shared" si="61"/>
        <v>0</v>
      </c>
      <c r="R973">
        <f t="shared" si="62"/>
        <v>0</v>
      </c>
      <c r="S973" t="b">
        <f t="shared" si="63"/>
        <v>0</v>
      </c>
    </row>
    <row r="974" spans="1:19" x14ac:dyDescent="0.2">
      <c r="A974" s="54">
        <v>328070</v>
      </c>
      <c r="B974" s="54" t="s">
        <v>630</v>
      </c>
      <c r="C974" s="55">
        <v>45</v>
      </c>
      <c r="D974" s="55">
        <v>50</v>
      </c>
      <c r="E974" s="55">
        <v>48</v>
      </c>
      <c r="F974" s="55">
        <v>0</v>
      </c>
      <c r="G974" s="55">
        <v>0</v>
      </c>
      <c r="H974" s="55">
        <v>0</v>
      </c>
      <c r="I974" s="55">
        <v>0</v>
      </c>
      <c r="J974" s="55">
        <v>0</v>
      </c>
      <c r="K974" s="55">
        <v>0</v>
      </c>
      <c r="L974" s="55">
        <v>0</v>
      </c>
      <c r="M974" s="54" t="s">
        <v>47</v>
      </c>
      <c r="N974" s="54" t="s">
        <v>47</v>
      </c>
      <c r="O974" s="54" t="s">
        <v>7</v>
      </c>
      <c r="P974" s="54">
        <f t="shared" si="60"/>
        <v>0</v>
      </c>
      <c r="Q974">
        <f t="shared" si="61"/>
        <v>0</v>
      </c>
      <c r="R974">
        <f t="shared" si="62"/>
        <v>0</v>
      </c>
      <c r="S974" t="b">
        <f t="shared" si="63"/>
        <v>0</v>
      </c>
    </row>
    <row r="975" spans="1:19" x14ac:dyDescent="0.2">
      <c r="A975" s="54">
        <v>328078</v>
      </c>
      <c r="B975" s="54" t="s">
        <v>1299</v>
      </c>
      <c r="C975" s="55">
        <v>800</v>
      </c>
      <c r="D975" s="55">
        <v>30</v>
      </c>
      <c r="E975" s="55">
        <v>5</v>
      </c>
      <c r="F975" s="55">
        <v>32</v>
      </c>
      <c r="G975" s="55">
        <v>32</v>
      </c>
      <c r="H975" s="55">
        <v>20</v>
      </c>
      <c r="I975" s="55">
        <v>1.07</v>
      </c>
      <c r="J975" s="55">
        <v>1.07</v>
      </c>
      <c r="K975" s="55">
        <v>0.67</v>
      </c>
      <c r="L975" s="55">
        <v>80</v>
      </c>
      <c r="M975" s="54" t="s">
        <v>30</v>
      </c>
      <c r="N975" s="54" t="s">
        <v>1401</v>
      </c>
      <c r="O975" s="54" t="s">
        <v>7</v>
      </c>
      <c r="P975" s="54">
        <f t="shared" si="60"/>
        <v>800</v>
      </c>
      <c r="Q975">
        <f t="shared" si="61"/>
        <v>0</v>
      </c>
      <c r="R975">
        <f t="shared" si="62"/>
        <v>800</v>
      </c>
      <c r="S975" t="b">
        <f t="shared" si="63"/>
        <v>0</v>
      </c>
    </row>
    <row r="976" spans="1:19" x14ac:dyDescent="0.2">
      <c r="A976" s="54">
        <v>328079</v>
      </c>
      <c r="B976" s="54" t="s">
        <v>91</v>
      </c>
      <c r="C976" s="55">
        <v>96</v>
      </c>
      <c r="D976" s="55">
        <v>2700</v>
      </c>
      <c r="E976" s="55">
        <v>22</v>
      </c>
      <c r="F976" s="55">
        <v>1504</v>
      </c>
      <c r="G976" s="55">
        <v>218</v>
      </c>
      <c r="H976" s="55">
        <v>50</v>
      </c>
      <c r="I976" s="55">
        <v>0.56000000000000005</v>
      </c>
      <c r="J976" s="55">
        <v>0.08</v>
      </c>
      <c r="K976" s="55">
        <v>0.02</v>
      </c>
      <c r="L976" s="55">
        <v>113</v>
      </c>
      <c r="M976" s="54" t="s">
        <v>45</v>
      </c>
      <c r="N976" s="54" t="s">
        <v>47</v>
      </c>
      <c r="O976" s="54" t="s">
        <v>5</v>
      </c>
      <c r="P976" s="54">
        <f t="shared" si="60"/>
        <v>0</v>
      </c>
      <c r="Q976">
        <f t="shared" si="61"/>
        <v>0</v>
      </c>
      <c r="R976">
        <f t="shared" si="62"/>
        <v>0</v>
      </c>
      <c r="S976" t="b">
        <f t="shared" si="63"/>
        <v>0</v>
      </c>
    </row>
    <row r="977" spans="1:19" x14ac:dyDescent="0.2">
      <c r="A977" s="54">
        <v>328235</v>
      </c>
      <c r="B977" s="54" t="s">
        <v>1156</v>
      </c>
      <c r="C977" s="55">
        <v>54</v>
      </c>
      <c r="D977" s="55">
        <v>40</v>
      </c>
      <c r="E977" s="55">
        <v>0</v>
      </c>
      <c r="F977" s="55">
        <v>0</v>
      </c>
      <c r="G977" s="55">
        <v>0</v>
      </c>
      <c r="H977" s="55">
        <v>0</v>
      </c>
      <c r="I977" s="55">
        <v>0</v>
      </c>
      <c r="J977" s="55">
        <v>0</v>
      </c>
      <c r="K977" s="55">
        <v>0</v>
      </c>
      <c r="L977" s="55">
        <v>0</v>
      </c>
      <c r="M977" s="54" t="s">
        <v>30</v>
      </c>
      <c r="N977" s="54" t="s">
        <v>1401</v>
      </c>
      <c r="O977" s="54" t="s">
        <v>7</v>
      </c>
      <c r="P977" s="54">
        <f t="shared" si="60"/>
        <v>0</v>
      </c>
      <c r="Q977">
        <f t="shared" si="61"/>
        <v>0</v>
      </c>
      <c r="R977">
        <f t="shared" si="62"/>
        <v>0</v>
      </c>
      <c r="S977" t="b">
        <f t="shared" si="63"/>
        <v>0</v>
      </c>
    </row>
    <row r="978" spans="1:19" x14ac:dyDescent="0.2">
      <c r="A978" s="54">
        <v>328240</v>
      </c>
      <c r="B978" s="54" t="s">
        <v>545</v>
      </c>
      <c r="C978" s="55">
        <v>88</v>
      </c>
      <c r="D978" s="55">
        <v>92</v>
      </c>
      <c r="E978" s="55">
        <v>13</v>
      </c>
      <c r="F978" s="55">
        <v>10</v>
      </c>
      <c r="G978" s="55">
        <v>0</v>
      </c>
      <c r="H978" s="55">
        <v>0</v>
      </c>
      <c r="I978" s="55">
        <v>0.11</v>
      </c>
      <c r="J978" s="55">
        <v>0</v>
      </c>
      <c r="K978" s="55">
        <v>0</v>
      </c>
      <c r="L978" s="55">
        <v>0</v>
      </c>
      <c r="M978" s="54" t="s">
        <v>45</v>
      </c>
      <c r="N978" s="54" t="s">
        <v>47</v>
      </c>
      <c r="O978" s="54" t="s">
        <v>7</v>
      </c>
      <c r="P978" s="54">
        <f t="shared" si="60"/>
        <v>0</v>
      </c>
      <c r="Q978">
        <f t="shared" si="61"/>
        <v>0</v>
      </c>
      <c r="R978">
        <f t="shared" si="62"/>
        <v>0</v>
      </c>
      <c r="S978" t="b">
        <f t="shared" si="63"/>
        <v>0</v>
      </c>
    </row>
    <row r="979" spans="1:19" x14ac:dyDescent="0.2">
      <c r="A979" s="54">
        <v>328301</v>
      </c>
      <c r="B979" s="54" t="s">
        <v>1182</v>
      </c>
      <c r="C979" s="55">
        <v>72</v>
      </c>
      <c r="D979" s="55">
        <v>72</v>
      </c>
      <c r="E979" s="55">
        <v>1</v>
      </c>
      <c r="F979" s="55">
        <v>0</v>
      </c>
      <c r="G979" s="55">
        <v>0</v>
      </c>
      <c r="H979" s="55">
        <v>0</v>
      </c>
      <c r="I979" s="55">
        <v>0</v>
      </c>
      <c r="J979" s="55">
        <v>0</v>
      </c>
      <c r="K979" s="55">
        <v>0</v>
      </c>
      <c r="L979" s="55">
        <v>0</v>
      </c>
      <c r="M979" s="54" t="s">
        <v>30</v>
      </c>
      <c r="N979" s="54" t="s">
        <v>1401</v>
      </c>
      <c r="O979" s="54" t="s">
        <v>7</v>
      </c>
      <c r="P979" s="54">
        <f t="shared" si="60"/>
        <v>0</v>
      </c>
      <c r="Q979">
        <f t="shared" si="61"/>
        <v>0</v>
      </c>
      <c r="R979">
        <f t="shared" si="62"/>
        <v>0</v>
      </c>
      <c r="S979" t="b">
        <f t="shared" si="63"/>
        <v>0</v>
      </c>
    </row>
    <row r="980" spans="1:19" x14ac:dyDescent="0.2">
      <c r="A980" s="54">
        <v>328319</v>
      </c>
      <c r="B980" s="54" t="s">
        <v>864</v>
      </c>
      <c r="C980" s="55">
        <v>9</v>
      </c>
      <c r="D980" s="55">
        <v>9</v>
      </c>
      <c r="E980" s="55">
        <v>3</v>
      </c>
      <c r="F980" s="55">
        <v>0</v>
      </c>
      <c r="G980" s="55">
        <v>0</v>
      </c>
      <c r="H980" s="55">
        <v>0</v>
      </c>
      <c r="I980" s="55">
        <v>0</v>
      </c>
      <c r="J980" s="55">
        <v>0</v>
      </c>
      <c r="K980" s="55">
        <v>0</v>
      </c>
      <c r="L980" s="55">
        <v>0</v>
      </c>
      <c r="M980" s="54" t="s">
        <v>30</v>
      </c>
      <c r="N980" s="54" t="s">
        <v>1401</v>
      </c>
      <c r="O980" s="54" t="s">
        <v>7</v>
      </c>
      <c r="P980" s="54">
        <f t="shared" si="60"/>
        <v>0</v>
      </c>
      <c r="Q980">
        <f t="shared" si="61"/>
        <v>0</v>
      </c>
      <c r="R980">
        <f t="shared" si="62"/>
        <v>0</v>
      </c>
      <c r="S980" t="b">
        <f t="shared" si="63"/>
        <v>0</v>
      </c>
    </row>
    <row r="981" spans="1:19" x14ac:dyDescent="0.2">
      <c r="A981" s="54">
        <v>328345</v>
      </c>
      <c r="B981" s="54" t="s">
        <v>707</v>
      </c>
      <c r="C981" s="55">
        <v>1</v>
      </c>
      <c r="D981" s="55">
        <v>1</v>
      </c>
      <c r="E981" s="55">
        <v>5</v>
      </c>
      <c r="F981" s="55">
        <v>0</v>
      </c>
      <c r="G981" s="55">
        <v>0</v>
      </c>
      <c r="H981" s="55">
        <v>0</v>
      </c>
      <c r="I981" s="55">
        <v>0</v>
      </c>
      <c r="J981" s="55">
        <v>0</v>
      </c>
      <c r="K981" s="55">
        <v>0</v>
      </c>
      <c r="L981" s="55">
        <v>0</v>
      </c>
      <c r="M981" s="54" t="s">
        <v>30</v>
      </c>
      <c r="N981" s="54" t="s">
        <v>1401</v>
      </c>
      <c r="O981" s="54" t="s">
        <v>7</v>
      </c>
      <c r="P981" s="54">
        <f t="shared" si="60"/>
        <v>0</v>
      </c>
      <c r="Q981">
        <f t="shared" si="61"/>
        <v>0</v>
      </c>
      <c r="R981">
        <f t="shared" si="62"/>
        <v>0</v>
      </c>
      <c r="S981" t="b">
        <f t="shared" si="63"/>
        <v>0</v>
      </c>
    </row>
    <row r="982" spans="1:19" x14ac:dyDescent="0.2">
      <c r="A982" s="54">
        <v>336327</v>
      </c>
      <c r="B982" s="54" t="s">
        <v>372</v>
      </c>
      <c r="C982" s="55">
        <v>82</v>
      </c>
      <c r="D982" s="55">
        <v>119</v>
      </c>
      <c r="E982" s="55">
        <v>12</v>
      </c>
      <c r="F982" s="55">
        <v>66</v>
      </c>
      <c r="G982" s="55">
        <v>33</v>
      </c>
      <c r="H982" s="55">
        <v>1</v>
      </c>
      <c r="I982" s="55">
        <v>0.55000000000000004</v>
      </c>
      <c r="J982" s="55">
        <v>0.28000000000000003</v>
      </c>
      <c r="K982" s="55">
        <v>0.01</v>
      </c>
      <c r="L982" s="55">
        <v>6</v>
      </c>
      <c r="M982" s="54" t="s">
        <v>43</v>
      </c>
      <c r="N982" s="54" t="s">
        <v>1400</v>
      </c>
      <c r="O982" s="54" t="s">
        <v>6</v>
      </c>
      <c r="P982" s="54">
        <f t="shared" si="60"/>
        <v>0</v>
      </c>
      <c r="Q982">
        <f t="shared" si="61"/>
        <v>0</v>
      </c>
      <c r="R982">
        <f t="shared" si="62"/>
        <v>0</v>
      </c>
      <c r="S982" t="b">
        <f t="shared" si="63"/>
        <v>0</v>
      </c>
    </row>
    <row r="983" spans="1:19" x14ac:dyDescent="0.2">
      <c r="A983" s="54">
        <v>361351</v>
      </c>
      <c r="B983" s="54" t="s">
        <v>1277</v>
      </c>
      <c r="C983" s="55">
        <v>228</v>
      </c>
      <c r="D983" s="55">
        <v>201</v>
      </c>
      <c r="E983" s="55">
        <v>1</v>
      </c>
      <c r="F983" s="55">
        <v>0</v>
      </c>
      <c r="G983" s="55">
        <v>0</v>
      </c>
      <c r="H983" s="55">
        <v>0</v>
      </c>
      <c r="I983" s="55">
        <v>0</v>
      </c>
      <c r="J983" s="55">
        <v>0</v>
      </c>
      <c r="K983" s="55">
        <v>0</v>
      </c>
      <c r="L983" s="55">
        <v>0</v>
      </c>
      <c r="M983" s="54" t="s">
        <v>30</v>
      </c>
      <c r="N983" s="54" t="s">
        <v>1401</v>
      </c>
      <c r="O983" s="54" t="s">
        <v>6</v>
      </c>
      <c r="P983" s="54">
        <f t="shared" si="60"/>
        <v>0</v>
      </c>
      <c r="Q983">
        <f t="shared" si="61"/>
        <v>0</v>
      </c>
      <c r="R983">
        <f t="shared" si="62"/>
        <v>0</v>
      </c>
      <c r="S983" t="b">
        <f t="shared" si="63"/>
        <v>0</v>
      </c>
    </row>
    <row r="984" spans="1:19" x14ac:dyDescent="0.2">
      <c r="A984" s="54">
        <v>365837</v>
      </c>
      <c r="B984" s="54" t="s">
        <v>214</v>
      </c>
      <c r="C984" s="55">
        <v>0</v>
      </c>
      <c r="D984" s="55">
        <v>23</v>
      </c>
      <c r="E984" s="55">
        <v>24</v>
      </c>
      <c r="F984" s="55">
        <v>536</v>
      </c>
      <c r="G984" s="55">
        <v>253</v>
      </c>
      <c r="H984" s="55">
        <v>228</v>
      </c>
      <c r="I984" s="55">
        <v>23.3</v>
      </c>
      <c r="J984" s="55">
        <v>11</v>
      </c>
      <c r="K984" s="55">
        <v>9.91</v>
      </c>
      <c r="L984" s="55">
        <v>12</v>
      </c>
      <c r="M984" s="54" t="s">
        <v>45</v>
      </c>
      <c r="N984" s="54" t="s">
        <v>47</v>
      </c>
      <c r="O984" s="54" t="s">
        <v>7</v>
      </c>
      <c r="P984" s="54">
        <f t="shared" si="60"/>
        <v>0</v>
      </c>
      <c r="Q984">
        <f t="shared" si="61"/>
        <v>0</v>
      </c>
      <c r="R984">
        <f t="shared" si="62"/>
        <v>0</v>
      </c>
      <c r="S984" t="b">
        <f t="shared" si="63"/>
        <v>0</v>
      </c>
    </row>
    <row r="985" spans="1:19" x14ac:dyDescent="0.2">
      <c r="A985" s="54">
        <v>409151</v>
      </c>
      <c r="B985" s="54" t="s">
        <v>939</v>
      </c>
      <c r="C985" s="55">
        <v>14</v>
      </c>
      <c r="D985" s="55">
        <v>10</v>
      </c>
      <c r="E985" s="55">
        <v>2</v>
      </c>
      <c r="F985" s="55">
        <v>10</v>
      </c>
      <c r="G985" s="55">
        <v>10</v>
      </c>
      <c r="H985" s="55">
        <v>10</v>
      </c>
      <c r="I985" s="55">
        <v>1</v>
      </c>
      <c r="J985" s="55">
        <v>1</v>
      </c>
      <c r="K985" s="55">
        <v>1</v>
      </c>
      <c r="L985" s="55">
        <v>19</v>
      </c>
      <c r="M985" s="54" t="s">
        <v>30</v>
      </c>
      <c r="N985" s="54" t="s">
        <v>1401</v>
      </c>
      <c r="O985" s="54" t="s">
        <v>7</v>
      </c>
      <c r="P985" s="54">
        <f t="shared" si="60"/>
        <v>14</v>
      </c>
      <c r="Q985">
        <f t="shared" si="61"/>
        <v>0</v>
      </c>
      <c r="R985">
        <f t="shared" si="62"/>
        <v>14</v>
      </c>
      <c r="S985" t="b">
        <f t="shared" si="63"/>
        <v>0</v>
      </c>
    </row>
    <row r="986" spans="1:19" x14ac:dyDescent="0.2">
      <c r="A986" s="54">
        <v>411270</v>
      </c>
      <c r="B986" s="54" t="s">
        <v>838</v>
      </c>
      <c r="C986" s="55">
        <v>8</v>
      </c>
      <c r="D986" s="55">
        <v>8</v>
      </c>
      <c r="E986" s="55">
        <v>2</v>
      </c>
      <c r="F986" s="55">
        <v>35</v>
      </c>
      <c r="G986" s="55">
        <v>35</v>
      </c>
      <c r="H986" s="55">
        <v>35</v>
      </c>
      <c r="I986" s="55">
        <v>4.38</v>
      </c>
      <c r="J986" s="55">
        <v>4.38</v>
      </c>
      <c r="K986" s="55">
        <v>4.38</v>
      </c>
      <c r="L986" s="55">
        <v>30</v>
      </c>
      <c r="M986" s="54" t="s">
        <v>30</v>
      </c>
      <c r="N986" s="54" t="s">
        <v>1401</v>
      </c>
      <c r="O986" s="54" t="s">
        <v>7</v>
      </c>
      <c r="P986" s="54">
        <f t="shared" si="60"/>
        <v>8</v>
      </c>
      <c r="Q986">
        <f t="shared" si="61"/>
        <v>8</v>
      </c>
      <c r="R986">
        <f t="shared" si="62"/>
        <v>8</v>
      </c>
      <c r="S986" t="b">
        <f t="shared" si="63"/>
        <v>0</v>
      </c>
    </row>
    <row r="987" spans="1:19" x14ac:dyDescent="0.2">
      <c r="A987" s="54">
        <v>413118</v>
      </c>
      <c r="B987" s="54" t="s">
        <v>1040</v>
      </c>
      <c r="C987" s="55">
        <v>24</v>
      </c>
      <c r="D987" s="55">
        <v>24</v>
      </c>
      <c r="E987" s="55">
        <v>3</v>
      </c>
      <c r="F987" s="55">
        <v>4</v>
      </c>
      <c r="G987" s="55">
        <v>4</v>
      </c>
      <c r="H987" s="55">
        <v>4</v>
      </c>
      <c r="I987" s="55">
        <v>0.17</v>
      </c>
      <c r="J987" s="55">
        <v>0.17</v>
      </c>
      <c r="K987" s="55">
        <v>0.17</v>
      </c>
      <c r="L987" s="55">
        <v>0</v>
      </c>
      <c r="M987" s="54" t="s">
        <v>30</v>
      </c>
      <c r="N987" s="54" t="s">
        <v>1401</v>
      </c>
      <c r="O987" s="54" t="s">
        <v>7</v>
      </c>
      <c r="P987" s="54">
        <f t="shared" si="60"/>
        <v>0</v>
      </c>
      <c r="Q987">
        <f t="shared" si="61"/>
        <v>0</v>
      </c>
      <c r="R987">
        <f t="shared" si="62"/>
        <v>0</v>
      </c>
      <c r="S987" t="b">
        <f t="shared" si="63"/>
        <v>0</v>
      </c>
    </row>
    <row r="988" spans="1:19" x14ac:dyDescent="0.2">
      <c r="A988" s="54">
        <v>422611</v>
      </c>
      <c r="B988" s="54" t="s">
        <v>445</v>
      </c>
      <c r="C988" s="55">
        <v>62</v>
      </c>
      <c r="D988" s="55">
        <v>72</v>
      </c>
      <c r="E988" s="55">
        <v>12</v>
      </c>
      <c r="F988" s="55">
        <v>36</v>
      </c>
      <c r="G988" s="55">
        <v>0</v>
      </c>
      <c r="H988" s="55">
        <v>0</v>
      </c>
      <c r="I988" s="55">
        <v>0.5</v>
      </c>
      <c r="J988" s="55">
        <v>0</v>
      </c>
      <c r="K988" s="55">
        <v>0</v>
      </c>
      <c r="L988" s="55">
        <v>0</v>
      </c>
      <c r="M988" s="54" t="s">
        <v>43</v>
      </c>
      <c r="N988" s="54" t="s">
        <v>1400</v>
      </c>
      <c r="O988" s="54" t="s">
        <v>7</v>
      </c>
      <c r="P988" s="54">
        <f t="shared" si="60"/>
        <v>0</v>
      </c>
      <c r="Q988">
        <f t="shared" si="61"/>
        <v>0</v>
      </c>
      <c r="R988">
        <f t="shared" si="62"/>
        <v>0</v>
      </c>
      <c r="S988" t="b">
        <f t="shared" si="63"/>
        <v>0</v>
      </c>
    </row>
    <row r="989" spans="1:19" x14ac:dyDescent="0.2">
      <c r="A989" s="54">
        <v>427790</v>
      </c>
      <c r="B989" s="54" t="s">
        <v>761</v>
      </c>
      <c r="C989" s="55">
        <v>3</v>
      </c>
      <c r="D989" s="55">
        <v>39</v>
      </c>
      <c r="E989" s="55">
        <v>0</v>
      </c>
      <c r="F989" s="55">
        <v>30</v>
      </c>
      <c r="G989" s="55">
        <v>7</v>
      </c>
      <c r="H989" s="55">
        <v>0</v>
      </c>
      <c r="I989" s="55">
        <v>0.77</v>
      </c>
      <c r="J989" s="55">
        <v>0.18</v>
      </c>
      <c r="K989" s="55">
        <v>0</v>
      </c>
      <c r="L989" s="55">
        <v>1</v>
      </c>
      <c r="M989" s="54" t="s">
        <v>30</v>
      </c>
      <c r="N989" s="54" t="s">
        <v>1401</v>
      </c>
      <c r="O989" s="54" t="s">
        <v>7</v>
      </c>
      <c r="P989" s="54">
        <f t="shared" si="60"/>
        <v>0</v>
      </c>
      <c r="Q989">
        <f t="shared" si="61"/>
        <v>0</v>
      </c>
      <c r="R989">
        <f t="shared" si="62"/>
        <v>0</v>
      </c>
      <c r="S989" t="b">
        <f t="shared" si="63"/>
        <v>0</v>
      </c>
    </row>
    <row r="990" spans="1:19" x14ac:dyDescent="0.2">
      <c r="A990" s="54">
        <v>437670</v>
      </c>
      <c r="B990" s="54" t="s">
        <v>1254</v>
      </c>
      <c r="C990" s="55">
        <v>150</v>
      </c>
      <c r="D990" s="55">
        <v>5</v>
      </c>
      <c r="E990" s="55">
        <v>2</v>
      </c>
      <c r="F990" s="55">
        <v>0</v>
      </c>
      <c r="G990" s="55">
        <v>0</v>
      </c>
      <c r="H990" s="55">
        <v>0</v>
      </c>
      <c r="I990" s="55">
        <v>0</v>
      </c>
      <c r="J990" s="55">
        <v>0</v>
      </c>
      <c r="K990" s="55">
        <v>0</v>
      </c>
      <c r="L990" s="55">
        <v>0</v>
      </c>
      <c r="M990" s="54" t="s">
        <v>30</v>
      </c>
      <c r="N990" s="54" t="s">
        <v>1401</v>
      </c>
      <c r="O990" s="54" t="s">
        <v>7</v>
      </c>
      <c r="P990" s="54">
        <f t="shared" si="60"/>
        <v>0</v>
      </c>
      <c r="Q990">
        <f t="shared" si="61"/>
        <v>0</v>
      </c>
      <c r="R990">
        <f t="shared" si="62"/>
        <v>0</v>
      </c>
      <c r="S990" t="b">
        <f t="shared" si="63"/>
        <v>0</v>
      </c>
    </row>
    <row r="991" spans="1:19" x14ac:dyDescent="0.2">
      <c r="A991" s="54">
        <v>440255</v>
      </c>
      <c r="B991" s="54" t="s">
        <v>1015</v>
      </c>
      <c r="C991" s="55">
        <v>20</v>
      </c>
      <c r="D991" s="55">
        <v>20</v>
      </c>
      <c r="E991" s="55">
        <v>5</v>
      </c>
      <c r="F991" s="55">
        <v>32</v>
      </c>
      <c r="G991" s="55">
        <v>32</v>
      </c>
      <c r="H991" s="55">
        <v>15</v>
      </c>
      <c r="I991" s="55">
        <v>1.6</v>
      </c>
      <c r="J991" s="55">
        <v>1.6</v>
      </c>
      <c r="K991" s="55">
        <v>0.75</v>
      </c>
      <c r="L991" s="55">
        <v>12</v>
      </c>
      <c r="M991" s="54" t="s">
        <v>30</v>
      </c>
      <c r="N991" s="54" t="s">
        <v>1401</v>
      </c>
      <c r="O991" s="54" t="s">
        <v>7</v>
      </c>
      <c r="P991" s="54">
        <f t="shared" si="60"/>
        <v>20</v>
      </c>
      <c r="Q991">
        <f t="shared" si="61"/>
        <v>0</v>
      </c>
      <c r="R991">
        <f t="shared" si="62"/>
        <v>20</v>
      </c>
      <c r="S991" t="b">
        <f t="shared" si="63"/>
        <v>0</v>
      </c>
    </row>
    <row r="992" spans="1:19" x14ac:dyDescent="0.2">
      <c r="A992" s="54">
        <v>441034</v>
      </c>
      <c r="B992" s="54" t="s">
        <v>383</v>
      </c>
      <c r="C992" s="55">
        <v>210</v>
      </c>
      <c r="D992" s="55">
        <v>40</v>
      </c>
      <c r="E992" s="55">
        <v>8</v>
      </c>
      <c r="F992" s="55">
        <v>54</v>
      </c>
      <c r="G992" s="55">
        <v>37</v>
      </c>
      <c r="H992" s="55">
        <v>36</v>
      </c>
      <c r="I992" s="55">
        <v>1.35</v>
      </c>
      <c r="J992" s="55">
        <v>0.93</v>
      </c>
      <c r="K992" s="55">
        <v>0.9</v>
      </c>
      <c r="L992" s="55">
        <v>0</v>
      </c>
      <c r="M992" s="54" t="s">
        <v>43</v>
      </c>
      <c r="N992" s="54" t="s">
        <v>1400</v>
      </c>
      <c r="O992" s="54" t="s">
        <v>7</v>
      </c>
      <c r="P992" s="54">
        <f t="shared" si="60"/>
        <v>210</v>
      </c>
      <c r="Q992">
        <f t="shared" si="61"/>
        <v>0</v>
      </c>
      <c r="R992">
        <f t="shared" si="62"/>
        <v>210</v>
      </c>
      <c r="S992" t="b">
        <f t="shared" si="63"/>
        <v>0</v>
      </c>
    </row>
    <row r="993" spans="1:19" x14ac:dyDescent="0.2">
      <c r="A993" s="54">
        <v>442328</v>
      </c>
      <c r="B993" s="54" t="s">
        <v>570</v>
      </c>
      <c r="C993" s="55">
        <v>18</v>
      </c>
      <c r="D993" s="55">
        <v>25</v>
      </c>
      <c r="E993" s="55">
        <v>13</v>
      </c>
      <c r="F993" s="55">
        <v>9</v>
      </c>
      <c r="G993" s="55">
        <v>3</v>
      </c>
      <c r="H993" s="55">
        <v>1</v>
      </c>
      <c r="I993" s="55">
        <v>0.36</v>
      </c>
      <c r="J993" s="55">
        <v>0.12</v>
      </c>
      <c r="K993" s="55">
        <v>0.04</v>
      </c>
      <c r="L993" s="55">
        <v>8</v>
      </c>
      <c r="M993" s="54" t="s">
        <v>45</v>
      </c>
      <c r="N993" s="54" t="s">
        <v>47</v>
      </c>
      <c r="O993" s="54" t="s">
        <v>7</v>
      </c>
      <c r="P993" s="54">
        <f t="shared" si="60"/>
        <v>0</v>
      </c>
      <c r="Q993">
        <f t="shared" si="61"/>
        <v>0</v>
      </c>
      <c r="R993">
        <f t="shared" si="62"/>
        <v>0</v>
      </c>
      <c r="S993" t="b">
        <f t="shared" si="63"/>
        <v>0</v>
      </c>
    </row>
    <row r="994" spans="1:19" x14ac:dyDescent="0.2">
      <c r="A994" s="54">
        <v>442850</v>
      </c>
      <c r="B994" s="54" t="s">
        <v>579</v>
      </c>
      <c r="C994" s="55">
        <v>36</v>
      </c>
      <c r="D994" s="55">
        <v>51</v>
      </c>
      <c r="E994" s="55">
        <v>21</v>
      </c>
      <c r="F994" s="55">
        <v>20</v>
      </c>
      <c r="G994" s="55">
        <v>19</v>
      </c>
      <c r="H994" s="55">
        <v>19</v>
      </c>
      <c r="I994" s="55">
        <v>0.39</v>
      </c>
      <c r="J994" s="55">
        <v>0.37</v>
      </c>
      <c r="K994" s="55">
        <v>0.37</v>
      </c>
      <c r="L994" s="55">
        <v>0</v>
      </c>
      <c r="M994" s="54" t="s">
        <v>45</v>
      </c>
      <c r="N994" s="54" t="s">
        <v>47</v>
      </c>
      <c r="O994" s="54" t="s">
        <v>7</v>
      </c>
      <c r="P994" s="54">
        <f t="shared" si="60"/>
        <v>0</v>
      </c>
      <c r="Q994">
        <f t="shared" si="61"/>
        <v>0</v>
      </c>
      <c r="R994">
        <f t="shared" si="62"/>
        <v>0</v>
      </c>
      <c r="S994" t="b">
        <f t="shared" si="63"/>
        <v>0</v>
      </c>
    </row>
    <row r="995" spans="1:19" x14ac:dyDescent="0.2">
      <c r="A995" s="54">
        <v>443479</v>
      </c>
      <c r="B995" s="54" t="s">
        <v>779</v>
      </c>
      <c r="C995" s="55">
        <v>4</v>
      </c>
      <c r="D995" s="55">
        <v>3</v>
      </c>
      <c r="E995" s="55">
        <v>0</v>
      </c>
      <c r="F995" s="55">
        <v>0</v>
      </c>
      <c r="G995" s="55">
        <v>0</v>
      </c>
      <c r="H995" s="55">
        <v>0</v>
      </c>
      <c r="I995" s="55">
        <v>0</v>
      </c>
      <c r="J995" s="55">
        <v>0</v>
      </c>
      <c r="K995" s="55">
        <v>0</v>
      </c>
      <c r="L995" s="55">
        <v>0</v>
      </c>
      <c r="M995" s="54" t="s">
        <v>30</v>
      </c>
      <c r="N995" s="54" t="s">
        <v>1401</v>
      </c>
      <c r="O995" s="54" t="s">
        <v>7</v>
      </c>
      <c r="P995" s="54">
        <f t="shared" si="60"/>
        <v>0</v>
      </c>
      <c r="Q995">
        <f t="shared" si="61"/>
        <v>0</v>
      </c>
      <c r="R995">
        <f t="shared" si="62"/>
        <v>0</v>
      </c>
      <c r="S995" t="b">
        <f t="shared" si="63"/>
        <v>0</v>
      </c>
    </row>
    <row r="996" spans="1:19" x14ac:dyDescent="0.2">
      <c r="A996" s="54">
        <v>443871</v>
      </c>
      <c r="B996" s="54" t="s">
        <v>998</v>
      </c>
      <c r="C996" s="55">
        <v>18</v>
      </c>
      <c r="D996" s="55">
        <v>18</v>
      </c>
      <c r="E996" s="55">
        <v>0</v>
      </c>
      <c r="F996" s="55">
        <v>0</v>
      </c>
      <c r="G996" s="55">
        <v>0</v>
      </c>
      <c r="H996" s="55">
        <v>0</v>
      </c>
      <c r="I996" s="55">
        <v>0</v>
      </c>
      <c r="J996" s="55">
        <v>0</v>
      </c>
      <c r="K996" s="55">
        <v>0</v>
      </c>
      <c r="L996" s="55">
        <v>4</v>
      </c>
      <c r="M996" s="54" t="s">
        <v>30</v>
      </c>
      <c r="N996" s="54" t="s">
        <v>1401</v>
      </c>
      <c r="O996" s="54" t="s">
        <v>7</v>
      </c>
      <c r="P996" s="54">
        <f t="shared" si="60"/>
        <v>0</v>
      </c>
      <c r="Q996">
        <f t="shared" si="61"/>
        <v>0</v>
      </c>
      <c r="R996">
        <f t="shared" si="62"/>
        <v>0</v>
      </c>
      <c r="S996" t="b">
        <f t="shared" si="63"/>
        <v>0</v>
      </c>
    </row>
    <row r="997" spans="1:19" x14ac:dyDescent="0.2">
      <c r="A997" s="54">
        <v>444824</v>
      </c>
      <c r="B997" s="54" t="s">
        <v>1055</v>
      </c>
      <c r="C997" s="55">
        <v>26</v>
      </c>
      <c r="D997" s="55">
        <v>10</v>
      </c>
      <c r="E997" s="55">
        <v>1</v>
      </c>
      <c r="F997" s="55">
        <v>26</v>
      </c>
      <c r="G997" s="55">
        <v>4</v>
      </c>
      <c r="H997" s="55">
        <v>4</v>
      </c>
      <c r="I997" s="55">
        <v>2.6</v>
      </c>
      <c r="J997" s="55">
        <v>0.4</v>
      </c>
      <c r="K997" s="55">
        <v>0.4</v>
      </c>
      <c r="L997" s="55">
        <v>0</v>
      </c>
      <c r="M997" s="54" t="s">
        <v>30</v>
      </c>
      <c r="N997" s="54" t="s">
        <v>1401</v>
      </c>
      <c r="O997" s="54" t="s">
        <v>7</v>
      </c>
      <c r="P997" s="54">
        <f t="shared" si="60"/>
        <v>26</v>
      </c>
      <c r="Q997">
        <f t="shared" si="61"/>
        <v>26</v>
      </c>
      <c r="R997">
        <f t="shared" si="62"/>
        <v>0</v>
      </c>
      <c r="S997" t="b">
        <f t="shared" si="63"/>
        <v>0</v>
      </c>
    </row>
    <row r="998" spans="1:19" x14ac:dyDescent="0.2">
      <c r="A998" s="54">
        <v>445084</v>
      </c>
      <c r="B998" s="54" t="s">
        <v>1330</v>
      </c>
      <c r="C998" s="55">
        <v>0</v>
      </c>
      <c r="D998" s="55">
        <v>12</v>
      </c>
      <c r="E998" s="55">
        <v>0</v>
      </c>
      <c r="F998" s="55">
        <v>0</v>
      </c>
      <c r="G998" s="55">
        <v>0</v>
      </c>
      <c r="H998" s="55">
        <v>0</v>
      </c>
      <c r="I998" s="55">
        <v>0</v>
      </c>
      <c r="J998" s="55">
        <v>0</v>
      </c>
      <c r="K998" s="55">
        <v>0</v>
      </c>
      <c r="L998" s="55">
        <v>0</v>
      </c>
      <c r="M998" s="54" t="s">
        <v>30</v>
      </c>
      <c r="N998" s="54" t="s">
        <v>1401</v>
      </c>
      <c r="O998" s="54" t="s">
        <v>7</v>
      </c>
      <c r="P998" s="54">
        <f t="shared" si="60"/>
        <v>0</v>
      </c>
      <c r="Q998">
        <f t="shared" si="61"/>
        <v>0</v>
      </c>
      <c r="R998">
        <f t="shared" si="62"/>
        <v>0</v>
      </c>
      <c r="S998" t="b">
        <f t="shared" si="63"/>
        <v>0</v>
      </c>
    </row>
    <row r="999" spans="1:19" x14ac:dyDescent="0.2">
      <c r="A999" s="54">
        <v>446518</v>
      </c>
      <c r="B999" s="54" t="s">
        <v>155</v>
      </c>
      <c r="C999" s="55">
        <v>344</v>
      </c>
      <c r="D999" s="55">
        <v>343</v>
      </c>
      <c r="E999" s="55">
        <v>40</v>
      </c>
      <c r="F999" s="55">
        <v>600</v>
      </c>
      <c r="G999" s="55">
        <v>531</v>
      </c>
      <c r="H999" s="55">
        <v>464</v>
      </c>
      <c r="I999" s="55">
        <v>1.75</v>
      </c>
      <c r="J999" s="55">
        <v>1.55</v>
      </c>
      <c r="K999" s="55">
        <v>1.35</v>
      </c>
      <c r="L999" s="55">
        <v>0</v>
      </c>
      <c r="M999" s="54" t="s">
        <v>47</v>
      </c>
      <c r="N999" s="54" t="s">
        <v>47</v>
      </c>
      <c r="O999" s="54" t="s">
        <v>6</v>
      </c>
      <c r="P999" s="54">
        <f t="shared" si="60"/>
        <v>344</v>
      </c>
      <c r="Q999">
        <f t="shared" si="61"/>
        <v>0</v>
      </c>
      <c r="R999">
        <f t="shared" si="62"/>
        <v>344</v>
      </c>
      <c r="S999" t="b">
        <f t="shared" si="63"/>
        <v>0</v>
      </c>
    </row>
    <row r="1000" spans="1:19" x14ac:dyDescent="0.2">
      <c r="A1000" s="54">
        <v>447257</v>
      </c>
      <c r="B1000" s="54" t="s">
        <v>1106</v>
      </c>
      <c r="C1000" s="55">
        <v>35</v>
      </c>
      <c r="D1000" s="55">
        <v>38</v>
      </c>
      <c r="E1000" s="55">
        <v>1</v>
      </c>
      <c r="F1000" s="55">
        <v>18</v>
      </c>
      <c r="G1000" s="55">
        <v>18</v>
      </c>
      <c r="H1000" s="55">
        <v>18</v>
      </c>
      <c r="I1000" s="55">
        <v>0.47</v>
      </c>
      <c r="J1000" s="55">
        <v>0.47</v>
      </c>
      <c r="K1000" s="55">
        <v>0.47</v>
      </c>
      <c r="L1000" s="55">
        <v>0</v>
      </c>
      <c r="M1000" s="54" t="s">
        <v>30</v>
      </c>
      <c r="N1000" s="54" t="s">
        <v>1401</v>
      </c>
      <c r="O1000" s="54" t="s">
        <v>7</v>
      </c>
      <c r="P1000" s="54">
        <f t="shared" si="60"/>
        <v>0</v>
      </c>
      <c r="Q1000">
        <f t="shared" si="61"/>
        <v>0</v>
      </c>
      <c r="R1000">
        <f t="shared" si="62"/>
        <v>0</v>
      </c>
      <c r="S1000" t="b">
        <f t="shared" si="63"/>
        <v>0</v>
      </c>
    </row>
    <row r="1001" spans="1:19" x14ac:dyDescent="0.2">
      <c r="A1001" s="54">
        <v>447364</v>
      </c>
      <c r="B1001" s="54" t="s">
        <v>817</v>
      </c>
      <c r="C1001" s="55">
        <v>6</v>
      </c>
      <c r="D1001" s="55">
        <v>8</v>
      </c>
      <c r="E1001" s="55">
        <v>4</v>
      </c>
      <c r="F1001" s="55">
        <v>0</v>
      </c>
      <c r="G1001" s="55">
        <v>0</v>
      </c>
      <c r="H1001" s="55">
        <v>0</v>
      </c>
      <c r="I1001" s="55">
        <v>0</v>
      </c>
      <c r="J1001" s="55">
        <v>0</v>
      </c>
      <c r="K1001" s="55">
        <v>0</v>
      </c>
      <c r="L1001" s="55">
        <v>0</v>
      </c>
      <c r="M1001" s="54" t="s">
        <v>30</v>
      </c>
      <c r="N1001" s="54" t="s">
        <v>1401</v>
      </c>
      <c r="O1001" s="54" t="s">
        <v>7</v>
      </c>
      <c r="P1001" s="54">
        <f t="shared" si="60"/>
        <v>0</v>
      </c>
      <c r="Q1001">
        <f t="shared" si="61"/>
        <v>0</v>
      </c>
      <c r="R1001">
        <f t="shared" si="62"/>
        <v>0</v>
      </c>
      <c r="S1001" t="b">
        <f t="shared" si="63"/>
        <v>0</v>
      </c>
    </row>
    <row r="1002" spans="1:19" x14ac:dyDescent="0.2">
      <c r="A1002" s="54">
        <v>448018</v>
      </c>
      <c r="B1002" s="54" t="s">
        <v>872</v>
      </c>
      <c r="C1002" s="55">
        <v>10</v>
      </c>
      <c r="D1002" s="55">
        <v>10</v>
      </c>
      <c r="E1002" s="55">
        <v>1</v>
      </c>
      <c r="F1002" s="55">
        <v>7</v>
      </c>
      <c r="G1002" s="55">
        <v>7</v>
      </c>
      <c r="H1002" s="55">
        <v>7</v>
      </c>
      <c r="I1002" s="55">
        <v>0.7</v>
      </c>
      <c r="J1002" s="55">
        <v>0.7</v>
      </c>
      <c r="K1002" s="55">
        <v>0.7</v>
      </c>
      <c r="L1002" s="55">
        <v>0</v>
      </c>
      <c r="M1002" s="54" t="s">
        <v>30</v>
      </c>
      <c r="N1002" s="54" t="s">
        <v>1401</v>
      </c>
      <c r="O1002" s="54" t="s">
        <v>7</v>
      </c>
      <c r="P1002" s="54">
        <f t="shared" si="60"/>
        <v>0</v>
      </c>
      <c r="Q1002">
        <f t="shared" si="61"/>
        <v>0</v>
      </c>
      <c r="R1002">
        <f t="shared" si="62"/>
        <v>0</v>
      </c>
      <c r="S1002" t="b">
        <f t="shared" si="63"/>
        <v>0</v>
      </c>
    </row>
    <row r="1003" spans="1:19" x14ac:dyDescent="0.2">
      <c r="A1003" s="54">
        <v>448278</v>
      </c>
      <c r="B1003" s="54" t="s">
        <v>385</v>
      </c>
      <c r="C1003" s="55">
        <v>2</v>
      </c>
      <c r="D1003" s="55">
        <v>13</v>
      </c>
      <c r="E1003" s="55">
        <v>13</v>
      </c>
      <c r="F1003" s="55">
        <v>62</v>
      </c>
      <c r="G1003" s="55">
        <v>25</v>
      </c>
      <c r="H1003" s="55">
        <v>25</v>
      </c>
      <c r="I1003" s="55">
        <v>4.7699999999999996</v>
      </c>
      <c r="J1003" s="55">
        <v>1.92</v>
      </c>
      <c r="K1003" s="55">
        <v>1.92</v>
      </c>
      <c r="L1003" s="55">
        <v>18</v>
      </c>
      <c r="M1003" s="54" t="s">
        <v>45</v>
      </c>
      <c r="N1003" s="54" t="s">
        <v>47</v>
      </c>
      <c r="O1003" s="54" t="s">
        <v>7</v>
      </c>
      <c r="P1003" s="54">
        <f t="shared" si="60"/>
        <v>2</v>
      </c>
      <c r="Q1003">
        <f t="shared" si="61"/>
        <v>2</v>
      </c>
      <c r="R1003">
        <f t="shared" si="62"/>
        <v>2</v>
      </c>
      <c r="S1003" t="b">
        <f t="shared" si="63"/>
        <v>0</v>
      </c>
    </row>
    <row r="1004" spans="1:19" x14ac:dyDescent="0.2">
      <c r="A1004" s="54">
        <v>448412</v>
      </c>
      <c r="B1004" s="54" t="s">
        <v>925</v>
      </c>
      <c r="C1004" s="55">
        <v>13</v>
      </c>
      <c r="D1004" s="55">
        <v>13</v>
      </c>
      <c r="E1004" s="55">
        <v>4</v>
      </c>
      <c r="F1004" s="55">
        <v>0</v>
      </c>
      <c r="G1004" s="55">
        <v>0</v>
      </c>
      <c r="H1004" s="55">
        <v>0</v>
      </c>
      <c r="I1004" s="55">
        <v>0</v>
      </c>
      <c r="J1004" s="55">
        <v>0</v>
      </c>
      <c r="K1004" s="55">
        <v>0</v>
      </c>
      <c r="L1004" s="55">
        <v>0</v>
      </c>
      <c r="M1004" s="54" t="s">
        <v>30</v>
      </c>
      <c r="N1004" s="54" t="s">
        <v>1401</v>
      </c>
      <c r="O1004" s="54" t="s">
        <v>7</v>
      </c>
      <c r="P1004" s="54">
        <f t="shared" si="60"/>
        <v>0</v>
      </c>
      <c r="Q1004">
        <f t="shared" si="61"/>
        <v>0</v>
      </c>
      <c r="R1004">
        <f t="shared" si="62"/>
        <v>0</v>
      </c>
      <c r="S1004" t="b">
        <f t="shared" si="63"/>
        <v>0</v>
      </c>
    </row>
    <row r="1005" spans="1:19" x14ac:dyDescent="0.2">
      <c r="A1005" s="54">
        <v>448619</v>
      </c>
      <c r="B1005" s="54" t="s">
        <v>1018</v>
      </c>
      <c r="C1005" s="55">
        <v>20</v>
      </c>
      <c r="D1005" s="55">
        <v>22</v>
      </c>
      <c r="E1005" s="55">
        <v>0</v>
      </c>
      <c r="F1005" s="55">
        <v>0</v>
      </c>
      <c r="G1005" s="55">
        <v>0</v>
      </c>
      <c r="H1005" s="55">
        <v>0</v>
      </c>
      <c r="I1005" s="55">
        <v>0</v>
      </c>
      <c r="J1005" s="55">
        <v>0</v>
      </c>
      <c r="K1005" s="55">
        <v>0</v>
      </c>
      <c r="L1005" s="55">
        <v>0</v>
      </c>
      <c r="M1005" s="54" t="s">
        <v>30</v>
      </c>
      <c r="N1005" s="54" t="s">
        <v>1401</v>
      </c>
      <c r="O1005" s="54" t="s">
        <v>7</v>
      </c>
      <c r="P1005" s="54">
        <f t="shared" si="60"/>
        <v>0</v>
      </c>
      <c r="Q1005">
        <f t="shared" si="61"/>
        <v>0</v>
      </c>
      <c r="R1005">
        <f t="shared" si="62"/>
        <v>0</v>
      </c>
      <c r="S1005" t="b">
        <f t="shared" si="63"/>
        <v>0</v>
      </c>
    </row>
    <row r="1006" spans="1:19" x14ac:dyDescent="0.2">
      <c r="A1006" s="54">
        <v>451087</v>
      </c>
      <c r="B1006" s="54" t="s">
        <v>138</v>
      </c>
      <c r="C1006" s="55">
        <v>191</v>
      </c>
      <c r="D1006" s="55">
        <v>180</v>
      </c>
      <c r="E1006" s="55">
        <v>11</v>
      </c>
      <c r="F1006" s="55">
        <v>777</v>
      </c>
      <c r="G1006" s="55">
        <v>467</v>
      </c>
      <c r="H1006" s="55">
        <v>291</v>
      </c>
      <c r="I1006" s="55">
        <v>4.32</v>
      </c>
      <c r="J1006" s="55">
        <v>2.59</v>
      </c>
      <c r="K1006" s="55">
        <v>1.62</v>
      </c>
      <c r="L1006" s="55">
        <v>1</v>
      </c>
      <c r="M1006" s="54" t="s">
        <v>43</v>
      </c>
      <c r="N1006" s="54" t="s">
        <v>1400</v>
      </c>
      <c r="O1006" s="54" t="s">
        <v>6</v>
      </c>
      <c r="P1006" s="54">
        <f t="shared" si="60"/>
        <v>191</v>
      </c>
      <c r="Q1006">
        <f t="shared" si="61"/>
        <v>191</v>
      </c>
      <c r="R1006">
        <f t="shared" si="62"/>
        <v>191</v>
      </c>
      <c r="S1006" t="b">
        <f t="shared" si="63"/>
        <v>0</v>
      </c>
    </row>
    <row r="1007" spans="1:19" x14ac:dyDescent="0.2">
      <c r="A1007" s="54">
        <v>451247</v>
      </c>
      <c r="B1007" s="54" t="s">
        <v>1354</v>
      </c>
      <c r="C1007" s="55">
        <v>0</v>
      </c>
      <c r="D1007" s="55">
        <v>9</v>
      </c>
      <c r="E1007" s="55">
        <v>0</v>
      </c>
      <c r="F1007" s="55">
        <v>0</v>
      </c>
      <c r="G1007" s="55">
        <v>0</v>
      </c>
      <c r="H1007" s="55">
        <v>0</v>
      </c>
      <c r="I1007" s="55">
        <v>0</v>
      </c>
      <c r="J1007" s="55">
        <v>0</v>
      </c>
      <c r="K1007" s="55">
        <v>0</v>
      </c>
      <c r="L1007" s="55">
        <v>0</v>
      </c>
      <c r="M1007" s="54" t="s">
        <v>30</v>
      </c>
      <c r="N1007" s="54" t="s">
        <v>1401</v>
      </c>
      <c r="O1007" s="54" t="s">
        <v>7</v>
      </c>
      <c r="P1007" s="54">
        <f t="shared" si="60"/>
        <v>0</v>
      </c>
      <c r="Q1007">
        <f t="shared" si="61"/>
        <v>0</v>
      </c>
      <c r="R1007">
        <f t="shared" si="62"/>
        <v>0</v>
      </c>
      <c r="S1007" t="b">
        <f t="shared" si="63"/>
        <v>0</v>
      </c>
    </row>
    <row r="1008" spans="1:19" x14ac:dyDescent="0.2">
      <c r="A1008" s="54">
        <v>451492</v>
      </c>
      <c r="B1008" s="54" t="s">
        <v>585</v>
      </c>
      <c r="C1008" s="55">
        <v>1</v>
      </c>
      <c r="D1008" s="55">
        <v>8</v>
      </c>
      <c r="E1008" s="55">
        <v>6</v>
      </c>
      <c r="F1008" s="55">
        <v>5</v>
      </c>
      <c r="G1008" s="55">
        <v>5</v>
      </c>
      <c r="H1008" s="55">
        <v>0</v>
      </c>
      <c r="I1008" s="55">
        <v>0.63</v>
      </c>
      <c r="J1008" s="55">
        <v>0.63</v>
      </c>
      <c r="K1008" s="55">
        <v>0</v>
      </c>
      <c r="L1008" s="55">
        <v>0</v>
      </c>
      <c r="M1008" s="54" t="s">
        <v>43</v>
      </c>
      <c r="N1008" s="54" t="s">
        <v>1400</v>
      </c>
      <c r="O1008" s="54" t="s">
        <v>7</v>
      </c>
      <c r="P1008" s="54">
        <f t="shared" si="60"/>
        <v>0</v>
      </c>
      <c r="Q1008">
        <f t="shared" si="61"/>
        <v>0</v>
      </c>
      <c r="R1008">
        <f t="shared" si="62"/>
        <v>0</v>
      </c>
      <c r="S1008" t="b">
        <f t="shared" si="63"/>
        <v>0</v>
      </c>
    </row>
    <row r="1009" spans="1:19" x14ac:dyDescent="0.2">
      <c r="A1009" s="54">
        <v>451573</v>
      </c>
      <c r="B1009" s="54" t="s">
        <v>1043</v>
      </c>
      <c r="C1009" s="55">
        <v>25</v>
      </c>
      <c r="D1009" s="55">
        <v>25</v>
      </c>
      <c r="E1009" s="55">
        <v>3</v>
      </c>
      <c r="F1009" s="55">
        <v>0</v>
      </c>
      <c r="G1009" s="55">
        <v>0</v>
      </c>
      <c r="H1009" s="55">
        <v>0</v>
      </c>
      <c r="I1009" s="55">
        <v>0</v>
      </c>
      <c r="J1009" s="55">
        <v>0</v>
      </c>
      <c r="K1009" s="55">
        <v>0</v>
      </c>
      <c r="L1009" s="55">
        <v>0</v>
      </c>
      <c r="M1009" s="54" t="s">
        <v>30</v>
      </c>
      <c r="N1009" s="54" t="s">
        <v>1401</v>
      </c>
      <c r="O1009" s="54" t="s">
        <v>7</v>
      </c>
      <c r="P1009" s="54">
        <f t="shared" si="60"/>
        <v>0</v>
      </c>
      <c r="Q1009">
        <f t="shared" si="61"/>
        <v>0</v>
      </c>
      <c r="R1009">
        <f t="shared" si="62"/>
        <v>0</v>
      </c>
      <c r="S1009" t="b">
        <f t="shared" si="63"/>
        <v>0</v>
      </c>
    </row>
    <row r="1010" spans="1:19" x14ac:dyDescent="0.2">
      <c r="A1010" s="54">
        <v>451996</v>
      </c>
      <c r="B1010" s="54" t="s">
        <v>960</v>
      </c>
      <c r="C1010" s="55">
        <v>15</v>
      </c>
      <c r="D1010" s="55">
        <v>13</v>
      </c>
      <c r="E1010" s="55">
        <v>4</v>
      </c>
      <c r="F1010" s="55">
        <v>0</v>
      </c>
      <c r="G1010" s="55">
        <v>0</v>
      </c>
      <c r="H1010" s="55">
        <v>0</v>
      </c>
      <c r="I1010" s="55">
        <v>0</v>
      </c>
      <c r="J1010" s="55">
        <v>0</v>
      </c>
      <c r="K1010" s="55">
        <v>0</v>
      </c>
      <c r="L1010" s="55">
        <v>0</v>
      </c>
      <c r="M1010" s="54" t="s">
        <v>30</v>
      </c>
      <c r="N1010" s="54" t="s">
        <v>1401</v>
      </c>
      <c r="O1010" s="54" t="s">
        <v>7</v>
      </c>
      <c r="P1010" s="54">
        <f t="shared" si="60"/>
        <v>0</v>
      </c>
      <c r="Q1010">
        <f t="shared" si="61"/>
        <v>0</v>
      </c>
      <c r="R1010">
        <f t="shared" si="62"/>
        <v>0</v>
      </c>
      <c r="S1010" t="b">
        <f t="shared" si="63"/>
        <v>0</v>
      </c>
    </row>
    <row r="1011" spans="1:19" x14ac:dyDescent="0.2">
      <c r="A1011" s="54">
        <v>452068</v>
      </c>
      <c r="B1011" s="54" t="s">
        <v>796</v>
      </c>
      <c r="C1011" s="55">
        <v>5</v>
      </c>
      <c r="D1011" s="55">
        <v>25</v>
      </c>
      <c r="E1011" s="55">
        <v>4</v>
      </c>
      <c r="F1011" s="55">
        <v>70</v>
      </c>
      <c r="G1011" s="55">
        <v>51</v>
      </c>
      <c r="H1011" s="55">
        <v>43</v>
      </c>
      <c r="I1011" s="55">
        <v>2.8</v>
      </c>
      <c r="J1011" s="55">
        <v>2.04</v>
      </c>
      <c r="K1011" s="55">
        <v>1.72</v>
      </c>
      <c r="L1011" s="55">
        <v>48</v>
      </c>
      <c r="M1011" s="54" t="s">
        <v>30</v>
      </c>
      <c r="N1011" s="54" t="s">
        <v>1401</v>
      </c>
      <c r="O1011" s="54" t="s">
        <v>7</v>
      </c>
      <c r="P1011" s="54">
        <f t="shared" si="60"/>
        <v>5</v>
      </c>
      <c r="Q1011">
        <f t="shared" si="61"/>
        <v>5</v>
      </c>
      <c r="R1011">
        <f t="shared" si="62"/>
        <v>5</v>
      </c>
      <c r="S1011" t="b">
        <f t="shared" si="63"/>
        <v>0</v>
      </c>
    </row>
    <row r="1012" spans="1:19" x14ac:dyDescent="0.2">
      <c r="A1012" s="54">
        <v>452290</v>
      </c>
      <c r="B1012" s="54" t="s">
        <v>335</v>
      </c>
      <c r="C1012" s="55">
        <v>2</v>
      </c>
      <c r="D1012" s="55">
        <v>10</v>
      </c>
      <c r="E1012" s="55">
        <v>7</v>
      </c>
      <c r="F1012" s="55">
        <v>59</v>
      </c>
      <c r="G1012" s="55">
        <v>13</v>
      </c>
      <c r="H1012" s="55">
        <v>10</v>
      </c>
      <c r="I1012" s="55">
        <v>5.9</v>
      </c>
      <c r="J1012" s="55">
        <v>1.3</v>
      </c>
      <c r="K1012" s="55">
        <v>1</v>
      </c>
      <c r="L1012" s="55">
        <v>4</v>
      </c>
      <c r="M1012" s="54" t="s">
        <v>43</v>
      </c>
      <c r="N1012" s="54" t="s">
        <v>1400</v>
      </c>
      <c r="O1012" s="54" t="s">
        <v>7</v>
      </c>
      <c r="P1012" s="54">
        <f t="shared" si="60"/>
        <v>2</v>
      </c>
      <c r="Q1012">
        <f t="shared" si="61"/>
        <v>2</v>
      </c>
      <c r="R1012">
        <f t="shared" si="62"/>
        <v>2</v>
      </c>
      <c r="S1012" t="b">
        <f t="shared" si="63"/>
        <v>0</v>
      </c>
    </row>
    <row r="1013" spans="1:19" x14ac:dyDescent="0.2">
      <c r="A1013" s="54">
        <v>452353</v>
      </c>
      <c r="B1013" s="54" t="s">
        <v>1176</v>
      </c>
      <c r="C1013" s="55">
        <v>70</v>
      </c>
      <c r="D1013" s="55">
        <v>75</v>
      </c>
      <c r="E1013" s="55">
        <v>3</v>
      </c>
      <c r="F1013" s="55">
        <v>124</v>
      </c>
      <c r="G1013" s="55">
        <v>94</v>
      </c>
      <c r="H1013" s="55">
        <v>94</v>
      </c>
      <c r="I1013" s="55">
        <v>1.65</v>
      </c>
      <c r="J1013" s="55">
        <v>1.25</v>
      </c>
      <c r="K1013" s="55">
        <v>1.25</v>
      </c>
      <c r="L1013" s="55">
        <v>0</v>
      </c>
      <c r="M1013" s="54" t="s">
        <v>30</v>
      </c>
      <c r="N1013" s="54" t="s">
        <v>1401</v>
      </c>
      <c r="O1013" s="54" t="s">
        <v>7</v>
      </c>
      <c r="P1013" s="54">
        <f t="shared" si="60"/>
        <v>70</v>
      </c>
      <c r="Q1013">
        <f t="shared" si="61"/>
        <v>0</v>
      </c>
      <c r="R1013">
        <f t="shared" si="62"/>
        <v>70</v>
      </c>
      <c r="S1013" t="b">
        <f t="shared" si="63"/>
        <v>0</v>
      </c>
    </row>
    <row r="1014" spans="1:19" x14ac:dyDescent="0.2">
      <c r="A1014" s="54">
        <v>452370</v>
      </c>
      <c r="B1014" s="54" t="s">
        <v>1035</v>
      </c>
      <c r="C1014" s="55">
        <v>23</v>
      </c>
      <c r="D1014" s="55">
        <v>20</v>
      </c>
      <c r="E1014" s="55">
        <v>3</v>
      </c>
      <c r="F1014" s="55">
        <v>0</v>
      </c>
      <c r="G1014" s="55">
        <v>0</v>
      </c>
      <c r="H1014" s="55">
        <v>0</v>
      </c>
      <c r="I1014" s="55">
        <v>0</v>
      </c>
      <c r="J1014" s="55">
        <v>0</v>
      </c>
      <c r="K1014" s="55">
        <v>0</v>
      </c>
      <c r="L1014" s="55">
        <v>0</v>
      </c>
      <c r="M1014" s="54" t="s">
        <v>30</v>
      </c>
      <c r="N1014" s="54" t="s">
        <v>1401</v>
      </c>
      <c r="O1014" s="54" t="s">
        <v>7</v>
      </c>
      <c r="P1014" s="54">
        <f t="shared" si="60"/>
        <v>0</v>
      </c>
      <c r="Q1014">
        <f t="shared" si="61"/>
        <v>0</v>
      </c>
      <c r="R1014">
        <f t="shared" si="62"/>
        <v>0</v>
      </c>
      <c r="S1014" t="b">
        <f t="shared" si="63"/>
        <v>0</v>
      </c>
    </row>
    <row r="1015" spans="1:19" x14ac:dyDescent="0.2">
      <c r="A1015" s="54">
        <v>453249</v>
      </c>
      <c r="B1015" s="54" t="s">
        <v>1104</v>
      </c>
      <c r="C1015" s="55">
        <v>34</v>
      </c>
      <c r="D1015" s="55">
        <v>41</v>
      </c>
      <c r="E1015" s="55">
        <v>3</v>
      </c>
      <c r="F1015" s="55">
        <v>11</v>
      </c>
      <c r="G1015" s="55">
        <v>11</v>
      </c>
      <c r="H1015" s="55">
        <v>11</v>
      </c>
      <c r="I1015" s="55">
        <v>0.27</v>
      </c>
      <c r="J1015" s="55">
        <v>0.27</v>
      </c>
      <c r="K1015" s="55">
        <v>0.27</v>
      </c>
      <c r="L1015" s="55">
        <v>17</v>
      </c>
      <c r="M1015" s="54" t="s">
        <v>30</v>
      </c>
      <c r="N1015" s="54" t="s">
        <v>1401</v>
      </c>
      <c r="O1015" s="54" t="s">
        <v>7</v>
      </c>
      <c r="P1015" s="54">
        <f t="shared" si="60"/>
        <v>0</v>
      </c>
      <c r="Q1015">
        <f t="shared" si="61"/>
        <v>0</v>
      </c>
      <c r="R1015">
        <f t="shared" si="62"/>
        <v>0</v>
      </c>
      <c r="S1015" t="b">
        <f t="shared" si="63"/>
        <v>0</v>
      </c>
    </row>
    <row r="1016" spans="1:19" x14ac:dyDescent="0.2">
      <c r="A1016" s="54">
        <v>454236</v>
      </c>
      <c r="B1016" s="54" t="s">
        <v>674</v>
      </c>
      <c r="C1016" s="55">
        <v>2</v>
      </c>
      <c r="D1016" s="55">
        <v>36</v>
      </c>
      <c r="E1016" s="55">
        <v>7</v>
      </c>
      <c r="F1016" s="55">
        <v>0</v>
      </c>
      <c r="G1016" s="55">
        <v>0</v>
      </c>
      <c r="H1016" s="55">
        <v>0</v>
      </c>
      <c r="I1016" s="55">
        <v>0</v>
      </c>
      <c r="J1016" s="55">
        <v>0</v>
      </c>
      <c r="K1016" s="55">
        <v>0</v>
      </c>
      <c r="L1016" s="55">
        <v>0</v>
      </c>
      <c r="M1016" s="54" t="s">
        <v>43</v>
      </c>
      <c r="N1016" s="54" t="s">
        <v>1400</v>
      </c>
      <c r="O1016" s="54" t="s">
        <v>7</v>
      </c>
      <c r="P1016" s="54">
        <f t="shared" si="60"/>
        <v>0</v>
      </c>
      <c r="Q1016">
        <f t="shared" si="61"/>
        <v>0</v>
      </c>
      <c r="R1016">
        <f t="shared" si="62"/>
        <v>0</v>
      </c>
      <c r="S1016" t="b">
        <f t="shared" si="63"/>
        <v>0</v>
      </c>
    </row>
    <row r="1017" spans="1:19" x14ac:dyDescent="0.2">
      <c r="A1017" s="54">
        <v>454239</v>
      </c>
      <c r="B1017" s="54" t="s">
        <v>759</v>
      </c>
      <c r="C1017" s="55">
        <v>3</v>
      </c>
      <c r="D1017" s="55">
        <v>5</v>
      </c>
      <c r="E1017" s="55">
        <v>5</v>
      </c>
      <c r="F1017" s="55">
        <v>55</v>
      </c>
      <c r="G1017" s="55">
        <v>55</v>
      </c>
      <c r="H1017" s="55">
        <v>4</v>
      </c>
      <c r="I1017" s="55">
        <v>11</v>
      </c>
      <c r="J1017" s="55">
        <v>11</v>
      </c>
      <c r="K1017" s="55">
        <v>0.8</v>
      </c>
      <c r="L1017" s="55">
        <v>4</v>
      </c>
      <c r="M1017" s="54" t="s">
        <v>30</v>
      </c>
      <c r="N1017" s="54" t="s">
        <v>1401</v>
      </c>
      <c r="O1017" s="54" t="s">
        <v>7</v>
      </c>
      <c r="P1017" s="54">
        <f t="shared" si="60"/>
        <v>3</v>
      </c>
      <c r="Q1017">
        <f t="shared" si="61"/>
        <v>3</v>
      </c>
      <c r="R1017">
        <f t="shared" si="62"/>
        <v>3</v>
      </c>
      <c r="S1017" t="b">
        <f t="shared" si="63"/>
        <v>0</v>
      </c>
    </row>
    <row r="1018" spans="1:19" x14ac:dyDescent="0.2">
      <c r="A1018" s="54">
        <v>454367</v>
      </c>
      <c r="B1018" s="54" t="s">
        <v>177</v>
      </c>
      <c r="C1018" s="55">
        <v>403</v>
      </c>
      <c r="D1018" s="55">
        <v>400</v>
      </c>
      <c r="E1018" s="55">
        <v>12</v>
      </c>
      <c r="F1018" s="55">
        <v>326</v>
      </c>
      <c r="G1018" s="55">
        <v>53</v>
      </c>
      <c r="H1018" s="55">
        <v>52</v>
      </c>
      <c r="I1018" s="55">
        <v>0.82</v>
      </c>
      <c r="J1018" s="55">
        <v>0.13</v>
      </c>
      <c r="K1018" s="55">
        <v>0.13</v>
      </c>
      <c r="L1018" s="55">
        <v>2</v>
      </c>
      <c r="M1018" s="54" t="s">
        <v>43</v>
      </c>
      <c r="N1018" s="54" t="s">
        <v>1400</v>
      </c>
      <c r="O1018" s="54" t="s">
        <v>6</v>
      </c>
      <c r="P1018" s="54">
        <f t="shared" si="60"/>
        <v>0</v>
      </c>
      <c r="Q1018">
        <f t="shared" si="61"/>
        <v>0</v>
      </c>
      <c r="R1018">
        <f t="shared" si="62"/>
        <v>0</v>
      </c>
      <c r="S1018" t="b">
        <f t="shared" si="63"/>
        <v>0</v>
      </c>
    </row>
    <row r="1019" spans="1:19" x14ac:dyDescent="0.2">
      <c r="A1019" s="54">
        <v>454683</v>
      </c>
      <c r="B1019" s="54" t="s">
        <v>754</v>
      </c>
      <c r="C1019" s="55">
        <v>3</v>
      </c>
      <c r="D1019" s="55">
        <v>6</v>
      </c>
      <c r="E1019" s="55">
        <v>4</v>
      </c>
      <c r="F1019" s="55">
        <v>0</v>
      </c>
      <c r="G1019" s="55">
        <v>0</v>
      </c>
      <c r="H1019" s="55">
        <v>0</v>
      </c>
      <c r="I1019" s="55">
        <v>0</v>
      </c>
      <c r="J1019" s="55">
        <v>0</v>
      </c>
      <c r="K1019" s="55">
        <v>0</v>
      </c>
      <c r="L1019" s="55">
        <v>0</v>
      </c>
      <c r="M1019" s="54" t="s">
        <v>30</v>
      </c>
      <c r="N1019" s="54" t="s">
        <v>1401</v>
      </c>
      <c r="O1019" s="54" t="s">
        <v>7</v>
      </c>
      <c r="P1019" s="54">
        <f t="shared" si="60"/>
        <v>0</v>
      </c>
      <c r="Q1019">
        <f t="shared" si="61"/>
        <v>0</v>
      </c>
      <c r="R1019">
        <f t="shared" si="62"/>
        <v>0</v>
      </c>
      <c r="S1019" t="b">
        <f t="shared" si="63"/>
        <v>0</v>
      </c>
    </row>
    <row r="1020" spans="1:19" x14ac:dyDescent="0.2">
      <c r="A1020" s="54">
        <v>455172</v>
      </c>
      <c r="B1020" s="54" t="s">
        <v>1145</v>
      </c>
      <c r="C1020" s="55">
        <v>51</v>
      </c>
      <c r="D1020" s="55">
        <v>45</v>
      </c>
      <c r="E1020" s="55">
        <v>2</v>
      </c>
      <c r="F1020" s="55">
        <v>0</v>
      </c>
      <c r="G1020" s="55">
        <v>0</v>
      </c>
      <c r="H1020" s="55">
        <v>0</v>
      </c>
      <c r="I1020" s="55">
        <v>0</v>
      </c>
      <c r="J1020" s="55">
        <v>0</v>
      </c>
      <c r="K1020" s="55">
        <v>0</v>
      </c>
      <c r="L1020" s="55">
        <v>0</v>
      </c>
      <c r="M1020" s="54" t="s">
        <v>30</v>
      </c>
      <c r="N1020" s="54" t="s">
        <v>1401</v>
      </c>
      <c r="O1020" s="54" t="s">
        <v>7</v>
      </c>
      <c r="P1020" s="54">
        <f t="shared" si="60"/>
        <v>0</v>
      </c>
      <c r="Q1020">
        <f t="shared" si="61"/>
        <v>0</v>
      </c>
      <c r="R1020">
        <f t="shared" si="62"/>
        <v>0</v>
      </c>
      <c r="S1020" t="b">
        <f t="shared" si="63"/>
        <v>0</v>
      </c>
    </row>
    <row r="1021" spans="1:19" x14ac:dyDescent="0.2">
      <c r="A1021" s="54">
        <v>455491</v>
      </c>
      <c r="B1021" s="54" t="s">
        <v>1113</v>
      </c>
      <c r="C1021" s="55">
        <v>36</v>
      </c>
      <c r="D1021" s="55">
        <v>36</v>
      </c>
      <c r="E1021" s="55">
        <v>1</v>
      </c>
      <c r="F1021" s="55">
        <v>0</v>
      </c>
      <c r="G1021" s="55">
        <v>0</v>
      </c>
      <c r="H1021" s="55">
        <v>0</v>
      </c>
      <c r="I1021" s="55">
        <v>0</v>
      </c>
      <c r="J1021" s="55">
        <v>0</v>
      </c>
      <c r="K1021" s="55">
        <v>0</v>
      </c>
      <c r="L1021" s="55">
        <v>0</v>
      </c>
      <c r="M1021" s="54" t="s">
        <v>30</v>
      </c>
      <c r="N1021" s="54" t="s">
        <v>1401</v>
      </c>
      <c r="O1021" s="54" t="s">
        <v>7</v>
      </c>
      <c r="P1021" s="54">
        <f t="shared" si="60"/>
        <v>0</v>
      </c>
      <c r="Q1021">
        <f t="shared" si="61"/>
        <v>0</v>
      </c>
      <c r="R1021">
        <f t="shared" si="62"/>
        <v>0</v>
      </c>
      <c r="S1021" t="b">
        <f t="shared" si="63"/>
        <v>0</v>
      </c>
    </row>
    <row r="1022" spans="1:19" x14ac:dyDescent="0.2">
      <c r="A1022" s="54">
        <v>456321</v>
      </c>
      <c r="B1022" s="54" t="s">
        <v>903</v>
      </c>
      <c r="C1022" s="55">
        <v>11</v>
      </c>
      <c r="D1022" s="55">
        <v>10</v>
      </c>
      <c r="E1022" s="55">
        <v>0</v>
      </c>
      <c r="F1022" s="55">
        <v>0</v>
      </c>
      <c r="G1022" s="55">
        <v>0</v>
      </c>
      <c r="H1022" s="55">
        <v>0</v>
      </c>
      <c r="I1022" s="55">
        <v>0</v>
      </c>
      <c r="J1022" s="55">
        <v>0</v>
      </c>
      <c r="K1022" s="55">
        <v>0</v>
      </c>
      <c r="L1022" s="55">
        <v>0</v>
      </c>
      <c r="M1022" s="54" t="s">
        <v>30</v>
      </c>
      <c r="N1022" s="54" t="s">
        <v>1401</v>
      </c>
      <c r="O1022" s="54" t="s">
        <v>7</v>
      </c>
      <c r="P1022" s="54">
        <f t="shared" si="60"/>
        <v>0</v>
      </c>
      <c r="Q1022">
        <f t="shared" si="61"/>
        <v>0</v>
      </c>
      <c r="R1022">
        <f t="shared" si="62"/>
        <v>0</v>
      </c>
      <c r="S1022" t="b">
        <f t="shared" si="63"/>
        <v>0</v>
      </c>
    </row>
    <row r="1023" spans="1:19" x14ac:dyDescent="0.2">
      <c r="A1023" s="54">
        <v>456328</v>
      </c>
      <c r="B1023" s="54" t="s">
        <v>645</v>
      </c>
      <c r="C1023" s="55">
        <v>1</v>
      </c>
      <c r="D1023" s="55">
        <v>40</v>
      </c>
      <c r="E1023" s="55">
        <v>6</v>
      </c>
      <c r="F1023" s="55">
        <v>0</v>
      </c>
      <c r="G1023" s="55">
        <v>0</v>
      </c>
      <c r="H1023" s="55">
        <v>0</v>
      </c>
      <c r="I1023" s="55">
        <v>0</v>
      </c>
      <c r="J1023" s="55">
        <v>0</v>
      </c>
      <c r="K1023" s="55">
        <v>0</v>
      </c>
      <c r="L1023" s="55">
        <v>0</v>
      </c>
      <c r="M1023" s="54" t="s">
        <v>43</v>
      </c>
      <c r="N1023" s="54" t="s">
        <v>1400</v>
      </c>
      <c r="O1023" s="54" t="s">
        <v>7</v>
      </c>
      <c r="P1023" s="54">
        <f t="shared" si="60"/>
        <v>0</v>
      </c>
      <c r="Q1023">
        <f t="shared" si="61"/>
        <v>0</v>
      </c>
      <c r="R1023">
        <f t="shared" si="62"/>
        <v>0</v>
      </c>
      <c r="S1023" t="b">
        <f t="shared" si="63"/>
        <v>0</v>
      </c>
    </row>
    <row r="1024" spans="1:19" x14ac:dyDescent="0.2">
      <c r="A1024" s="54">
        <v>456357</v>
      </c>
      <c r="B1024" s="54" t="s">
        <v>757</v>
      </c>
      <c r="C1024" s="55">
        <v>3</v>
      </c>
      <c r="D1024" s="55">
        <v>4</v>
      </c>
      <c r="E1024" s="55">
        <v>5</v>
      </c>
      <c r="F1024" s="55">
        <v>24</v>
      </c>
      <c r="G1024" s="55">
        <v>24</v>
      </c>
      <c r="H1024" s="55">
        <v>0</v>
      </c>
      <c r="I1024" s="55">
        <v>6</v>
      </c>
      <c r="J1024" s="55">
        <v>6</v>
      </c>
      <c r="K1024" s="55">
        <v>0</v>
      </c>
      <c r="L1024" s="55">
        <v>44</v>
      </c>
      <c r="M1024" s="54" t="s">
        <v>30</v>
      </c>
      <c r="N1024" s="54" t="s">
        <v>1401</v>
      </c>
      <c r="O1024" s="54" t="s">
        <v>7</v>
      </c>
      <c r="P1024" s="54">
        <f t="shared" si="60"/>
        <v>3</v>
      </c>
      <c r="Q1024">
        <f t="shared" si="61"/>
        <v>3</v>
      </c>
      <c r="R1024">
        <f t="shared" si="62"/>
        <v>3</v>
      </c>
      <c r="S1024" t="b">
        <f t="shared" si="63"/>
        <v>0</v>
      </c>
    </row>
    <row r="1025" spans="1:19" x14ac:dyDescent="0.2">
      <c r="A1025" s="54">
        <v>457172</v>
      </c>
      <c r="B1025" s="54" t="s">
        <v>792</v>
      </c>
      <c r="C1025" s="55">
        <v>5</v>
      </c>
      <c r="D1025" s="55">
        <v>4</v>
      </c>
      <c r="E1025" s="55">
        <v>3</v>
      </c>
      <c r="F1025" s="55">
        <v>0</v>
      </c>
      <c r="G1025" s="55">
        <v>0</v>
      </c>
      <c r="H1025" s="55">
        <v>0</v>
      </c>
      <c r="I1025" s="55">
        <v>0</v>
      </c>
      <c r="J1025" s="55">
        <v>0</v>
      </c>
      <c r="K1025" s="55">
        <v>0</v>
      </c>
      <c r="L1025" s="55">
        <v>0</v>
      </c>
      <c r="M1025" s="54" t="s">
        <v>30</v>
      </c>
      <c r="N1025" s="54" t="s">
        <v>1401</v>
      </c>
      <c r="O1025" s="54" t="s">
        <v>7</v>
      </c>
      <c r="P1025" s="54">
        <f t="shared" si="60"/>
        <v>0</v>
      </c>
      <c r="Q1025">
        <f t="shared" si="61"/>
        <v>0</v>
      </c>
      <c r="R1025">
        <f t="shared" si="62"/>
        <v>0</v>
      </c>
      <c r="S1025" t="b">
        <f t="shared" si="63"/>
        <v>0</v>
      </c>
    </row>
    <row r="1026" spans="1:19" x14ac:dyDescent="0.2">
      <c r="A1026" s="54">
        <v>458250</v>
      </c>
      <c r="B1026" s="54" t="s">
        <v>1297</v>
      </c>
      <c r="C1026" s="55">
        <v>630</v>
      </c>
      <c r="D1026" s="55">
        <v>2</v>
      </c>
      <c r="E1026" s="55">
        <v>1</v>
      </c>
      <c r="F1026" s="55">
        <v>0</v>
      </c>
      <c r="G1026" s="55">
        <v>0</v>
      </c>
      <c r="H1026" s="55">
        <v>0</v>
      </c>
      <c r="I1026" s="55">
        <v>0</v>
      </c>
      <c r="J1026" s="55">
        <v>0</v>
      </c>
      <c r="K1026" s="55">
        <v>0</v>
      </c>
      <c r="L1026" s="55">
        <v>0</v>
      </c>
      <c r="M1026" s="54" t="s">
        <v>30</v>
      </c>
      <c r="N1026" s="54" t="s">
        <v>1401</v>
      </c>
      <c r="O1026" s="54" t="s">
        <v>7</v>
      </c>
      <c r="P1026" s="54">
        <f t="shared" ref="P1026:P1089" si="64">IF(I1026&gt;=2, C1026, IF(J1026&gt;=0.75, C1026, 0))</f>
        <v>0</v>
      </c>
      <c r="Q1026">
        <f t="shared" ref="Q1026:Q1089" si="65">IF(I1026&gt;=2, C1026, IF(AND(J1026&gt;=0.75, D1026&gt;=550), C1026, 0))</f>
        <v>0</v>
      </c>
      <c r="R1026">
        <f t="shared" ref="R1026:R1089" si="66">IF(J1026&gt;=0.75, C1026, 0)</f>
        <v>0</v>
      </c>
      <c r="S1026" t="b">
        <f t="shared" si="63"/>
        <v>0</v>
      </c>
    </row>
    <row r="1027" spans="1:19" x14ac:dyDescent="0.2">
      <c r="A1027" s="54">
        <v>458279</v>
      </c>
      <c r="B1027" s="54" t="s">
        <v>637</v>
      </c>
      <c r="C1027" s="55">
        <v>0</v>
      </c>
      <c r="D1027" s="55">
        <v>30</v>
      </c>
      <c r="E1027" s="55">
        <v>20</v>
      </c>
      <c r="F1027" s="55">
        <v>0</v>
      </c>
      <c r="G1027" s="55">
        <v>0</v>
      </c>
      <c r="H1027" s="55">
        <v>0</v>
      </c>
      <c r="I1027" s="55">
        <v>0</v>
      </c>
      <c r="J1027" s="55">
        <v>0</v>
      </c>
      <c r="K1027" s="55">
        <v>0</v>
      </c>
      <c r="L1027" s="55">
        <v>0</v>
      </c>
      <c r="M1027" s="54" t="s">
        <v>45</v>
      </c>
      <c r="N1027" s="54" t="s">
        <v>47</v>
      </c>
      <c r="O1027" s="54" t="s">
        <v>7</v>
      </c>
      <c r="P1027" s="54">
        <f t="shared" si="64"/>
        <v>0</v>
      </c>
      <c r="Q1027">
        <f t="shared" si="65"/>
        <v>0</v>
      </c>
      <c r="R1027">
        <f t="shared" si="66"/>
        <v>0</v>
      </c>
      <c r="S1027" t="b">
        <f t="shared" ref="S1027:S1090" si="67">IF(A1027=A1028,TRUE,FALSE)</f>
        <v>0</v>
      </c>
    </row>
    <row r="1028" spans="1:19" x14ac:dyDescent="0.2">
      <c r="A1028" s="54">
        <v>458584</v>
      </c>
      <c r="B1028" s="54" t="s">
        <v>736</v>
      </c>
      <c r="C1028" s="55">
        <v>2</v>
      </c>
      <c r="D1028" s="55">
        <v>17</v>
      </c>
      <c r="E1028" s="55">
        <v>5</v>
      </c>
      <c r="F1028" s="55">
        <v>14</v>
      </c>
      <c r="G1028" s="55">
        <v>14</v>
      </c>
      <c r="H1028" s="55">
        <v>2</v>
      </c>
      <c r="I1028" s="55">
        <v>0.82</v>
      </c>
      <c r="J1028" s="55">
        <v>0.82</v>
      </c>
      <c r="K1028" s="55">
        <v>0.12</v>
      </c>
      <c r="L1028" s="55">
        <v>26</v>
      </c>
      <c r="M1028" s="54" t="s">
        <v>30</v>
      </c>
      <c r="N1028" s="54" t="s">
        <v>1401</v>
      </c>
      <c r="O1028" s="54" t="s">
        <v>7</v>
      </c>
      <c r="P1028" s="54">
        <f t="shared" si="64"/>
        <v>2</v>
      </c>
      <c r="Q1028">
        <f t="shared" si="65"/>
        <v>0</v>
      </c>
      <c r="R1028">
        <f t="shared" si="66"/>
        <v>2</v>
      </c>
      <c r="S1028" t="b">
        <f t="shared" si="67"/>
        <v>0</v>
      </c>
    </row>
    <row r="1029" spans="1:19" x14ac:dyDescent="0.2">
      <c r="A1029" s="54">
        <v>458721</v>
      </c>
      <c r="B1029" s="54" t="s">
        <v>430</v>
      </c>
      <c r="C1029" s="55">
        <v>23</v>
      </c>
      <c r="D1029" s="55">
        <v>46</v>
      </c>
      <c r="E1029" s="55">
        <v>7</v>
      </c>
      <c r="F1029" s="55">
        <v>33</v>
      </c>
      <c r="G1029" s="55">
        <v>17</v>
      </c>
      <c r="H1029" s="55">
        <v>0</v>
      </c>
      <c r="I1029" s="55">
        <v>0.72</v>
      </c>
      <c r="J1029" s="55">
        <v>0.37</v>
      </c>
      <c r="K1029" s="55">
        <v>0</v>
      </c>
      <c r="L1029" s="55">
        <v>38</v>
      </c>
      <c r="M1029" s="54" t="s">
        <v>43</v>
      </c>
      <c r="N1029" s="54" t="s">
        <v>1400</v>
      </c>
      <c r="O1029" s="54" t="s">
        <v>7</v>
      </c>
      <c r="P1029" s="54">
        <f t="shared" si="64"/>
        <v>0</v>
      </c>
      <c r="Q1029">
        <f t="shared" si="65"/>
        <v>0</v>
      </c>
      <c r="R1029">
        <f t="shared" si="66"/>
        <v>0</v>
      </c>
      <c r="S1029" t="b">
        <f t="shared" si="67"/>
        <v>0</v>
      </c>
    </row>
    <row r="1030" spans="1:19" x14ac:dyDescent="0.2">
      <c r="A1030" s="54">
        <v>458741</v>
      </c>
      <c r="B1030" s="54" t="s">
        <v>794</v>
      </c>
      <c r="C1030" s="55">
        <v>5</v>
      </c>
      <c r="D1030" s="55">
        <v>6</v>
      </c>
      <c r="E1030" s="55">
        <v>4</v>
      </c>
      <c r="F1030" s="55">
        <v>6</v>
      </c>
      <c r="G1030" s="55">
        <v>6</v>
      </c>
      <c r="H1030" s="55">
        <v>0</v>
      </c>
      <c r="I1030" s="55">
        <v>1</v>
      </c>
      <c r="J1030" s="55">
        <v>1</v>
      </c>
      <c r="K1030" s="55">
        <v>0</v>
      </c>
      <c r="L1030" s="55">
        <v>5</v>
      </c>
      <c r="M1030" s="54" t="s">
        <v>30</v>
      </c>
      <c r="N1030" s="54" t="s">
        <v>1401</v>
      </c>
      <c r="O1030" s="54" t="s">
        <v>7</v>
      </c>
      <c r="P1030" s="54">
        <f t="shared" si="64"/>
        <v>5</v>
      </c>
      <c r="Q1030">
        <f t="shared" si="65"/>
        <v>0</v>
      </c>
      <c r="R1030">
        <f t="shared" si="66"/>
        <v>5</v>
      </c>
      <c r="S1030" t="b">
        <f t="shared" si="67"/>
        <v>0</v>
      </c>
    </row>
    <row r="1031" spans="1:19" x14ac:dyDescent="0.2">
      <c r="A1031" s="54">
        <v>459269</v>
      </c>
      <c r="B1031" s="54" t="s">
        <v>112</v>
      </c>
      <c r="C1031" s="55">
        <v>104</v>
      </c>
      <c r="D1031" s="55">
        <v>10</v>
      </c>
      <c r="E1031" s="55">
        <v>12</v>
      </c>
      <c r="F1031" s="55">
        <v>345</v>
      </c>
      <c r="G1031" s="55">
        <v>265</v>
      </c>
      <c r="H1031" s="55">
        <v>22</v>
      </c>
      <c r="I1031" s="55">
        <v>34.5</v>
      </c>
      <c r="J1031" s="55">
        <v>26.5</v>
      </c>
      <c r="K1031" s="55">
        <v>2.2000000000000002</v>
      </c>
      <c r="L1031" s="55">
        <v>9</v>
      </c>
      <c r="M1031" s="54" t="s">
        <v>43</v>
      </c>
      <c r="N1031" s="54" t="s">
        <v>1400</v>
      </c>
      <c r="O1031" s="54" t="s">
        <v>7</v>
      </c>
      <c r="P1031" s="54">
        <f t="shared" si="64"/>
        <v>104</v>
      </c>
      <c r="Q1031">
        <f t="shared" si="65"/>
        <v>104</v>
      </c>
      <c r="R1031">
        <f t="shared" si="66"/>
        <v>104</v>
      </c>
      <c r="S1031" t="b">
        <f t="shared" si="67"/>
        <v>0</v>
      </c>
    </row>
    <row r="1032" spans="1:19" x14ac:dyDescent="0.2">
      <c r="A1032" s="54">
        <v>459683</v>
      </c>
      <c r="B1032" s="54" t="s">
        <v>639</v>
      </c>
      <c r="C1032" s="55">
        <v>45</v>
      </c>
      <c r="D1032" s="55">
        <v>40</v>
      </c>
      <c r="E1032" s="55">
        <v>18</v>
      </c>
      <c r="F1032" s="55">
        <v>0</v>
      </c>
      <c r="G1032" s="55">
        <v>0</v>
      </c>
      <c r="H1032" s="55">
        <v>0</v>
      </c>
      <c r="I1032" s="55">
        <v>0</v>
      </c>
      <c r="J1032" s="55">
        <v>0</v>
      </c>
      <c r="K1032" s="55">
        <v>0</v>
      </c>
      <c r="L1032" s="55">
        <v>0</v>
      </c>
      <c r="M1032" s="54" t="s">
        <v>45</v>
      </c>
      <c r="N1032" s="54" t="s">
        <v>47</v>
      </c>
      <c r="O1032" s="54" t="s">
        <v>7</v>
      </c>
      <c r="P1032" s="54">
        <f t="shared" si="64"/>
        <v>0</v>
      </c>
      <c r="Q1032">
        <f t="shared" si="65"/>
        <v>0</v>
      </c>
      <c r="R1032">
        <f t="shared" si="66"/>
        <v>0</v>
      </c>
      <c r="S1032" t="b">
        <f t="shared" si="67"/>
        <v>0</v>
      </c>
    </row>
    <row r="1033" spans="1:19" x14ac:dyDescent="0.2">
      <c r="A1033" s="54">
        <v>459792</v>
      </c>
      <c r="B1033" s="54" t="s">
        <v>1034</v>
      </c>
      <c r="C1033" s="55">
        <v>23</v>
      </c>
      <c r="D1033" s="55">
        <v>20</v>
      </c>
      <c r="E1033" s="55">
        <v>3</v>
      </c>
      <c r="F1033" s="55">
        <v>0</v>
      </c>
      <c r="G1033" s="55">
        <v>0</v>
      </c>
      <c r="H1033" s="55">
        <v>0</v>
      </c>
      <c r="I1033" s="55">
        <v>0</v>
      </c>
      <c r="J1033" s="55">
        <v>0</v>
      </c>
      <c r="K1033" s="55">
        <v>0</v>
      </c>
      <c r="L1033" s="55">
        <v>0</v>
      </c>
      <c r="M1033" s="54" t="s">
        <v>30</v>
      </c>
      <c r="N1033" s="54" t="s">
        <v>1401</v>
      </c>
      <c r="O1033" s="54" t="s">
        <v>7</v>
      </c>
      <c r="P1033" s="54">
        <f t="shared" si="64"/>
        <v>0</v>
      </c>
      <c r="Q1033">
        <f t="shared" si="65"/>
        <v>0</v>
      </c>
      <c r="R1033">
        <f t="shared" si="66"/>
        <v>0</v>
      </c>
      <c r="S1033" t="b">
        <f t="shared" si="67"/>
        <v>0</v>
      </c>
    </row>
    <row r="1034" spans="1:19" x14ac:dyDescent="0.2">
      <c r="A1034" s="54">
        <v>459858</v>
      </c>
      <c r="B1034" s="54" t="s">
        <v>1225</v>
      </c>
      <c r="C1034" s="55">
        <v>113</v>
      </c>
      <c r="D1034" s="55">
        <v>65</v>
      </c>
      <c r="E1034" s="55">
        <v>4</v>
      </c>
      <c r="F1034" s="55">
        <v>7</v>
      </c>
      <c r="G1034" s="55">
        <v>5</v>
      </c>
      <c r="H1034" s="55">
        <v>0</v>
      </c>
      <c r="I1034" s="55">
        <v>0.11</v>
      </c>
      <c r="J1034" s="55">
        <v>0.08</v>
      </c>
      <c r="K1034" s="55">
        <v>0</v>
      </c>
      <c r="L1034" s="55">
        <v>0</v>
      </c>
      <c r="M1034" s="54" t="s">
        <v>30</v>
      </c>
      <c r="N1034" s="54" t="s">
        <v>1401</v>
      </c>
      <c r="O1034" s="54" t="s">
        <v>7</v>
      </c>
      <c r="P1034" s="54">
        <f t="shared" si="64"/>
        <v>0</v>
      </c>
      <c r="Q1034">
        <f t="shared" si="65"/>
        <v>0</v>
      </c>
      <c r="R1034">
        <f t="shared" si="66"/>
        <v>0</v>
      </c>
      <c r="S1034" t="b">
        <f t="shared" si="67"/>
        <v>0</v>
      </c>
    </row>
    <row r="1035" spans="1:19" x14ac:dyDescent="0.2">
      <c r="A1035" s="54">
        <v>459920</v>
      </c>
      <c r="B1035" s="54" t="s">
        <v>1058</v>
      </c>
      <c r="C1035" s="55">
        <v>27</v>
      </c>
      <c r="D1035" s="55">
        <v>37</v>
      </c>
      <c r="E1035" s="55">
        <v>1</v>
      </c>
      <c r="F1035" s="55">
        <v>0</v>
      </c>
      <c r="G1035" s="55">
        <v>0</v>
      </c>
      <c r="H1035" s="55">
        <v>0</v>
      </c>
      <c r="I1035" s="55">
        <v>0</v>
      </c>
      <c r="J1035" s="55">
        <v>0</v>
      </c>
      <c r="K1035" s="55">
        <v>0</v>
      </c>
      <c r="L1035" s="55">
        <v>0</v>
      </c>
      <c r="M1035" s="54" t="s">
        <v>30</v>
      </c>
      <c r="N1035" s="54" t="s">
        <v>1401</v>
      </c>
      <c r="O1035" s="54" t="s">
        <v>7</v>
      </c>
      <c r="P1035" s="54">
        <f t="shared" si="64"/>
        <v>0</v>
      </c>
      <c r="Q1035">
        <f t="shared" si="65"/>
        <v>0</v>
      </c>
      <c r="R1035">
        <f t="shared" si="66"/>
        <v>0</v>
      </c>
      <c r="S1035" t="b">
        <f t="shared" si="67"/>
        <v>0</v>
      </c>
    </row>
    <row r="1036" spans="1:19" x14ac:dyDescent="0.2">
      <c r="A1036" s="54">
        <v>460013</v>
      </c>
      <c r="B1036" s="54" t="s">
        <v>812</v>
      </c>
      <c r="C1036" s="55">
        <v>6</v>
      </c>
      <c r="D1036" s="55">
        <v>32</v>
      </c>
      <c r="E1036" s="55">
        <v>2</v>
      </c>
      <c r="F1036" s="55">
        <v>0</v>
      </c>
      <c r="G1036" s="55">
        <v>0</v>
      </c>
      <c r="H1036" s="55">
        <v>0</v>
      </c>
      <c r="I1036" s="55">
        <v>0</v>
      </c>
      <c r="J1036" s="55">
        <v>0</v>
      </c>
      <c r="K1036" s="55">
        <v>0</v>
      </c>
      <c r="L1036" s="55">
        <v>0</v>
      </c>
      <c r="M1036" s="54" t="s">
        <v>30</v>
      </c>
      <c r="N1036" s="54" t="s">
        <v>1401</v>
      </c>
      <c r="O1036" s="54" t="s">
        <v>7</v>
      </c>
      <c r="P1036" s="54">
        <f t="shared" si="64"/>
        <v>0</v>
      </c>
      <c r="Q1036">
        <f t="shared" si="65"/>
        <v>0</v>
      </c>
      <c r="R1036">
        <f t="shared" si="66"/>
        <v>0</v>
      </c>
      <c r="S1036" t="b">
        <f t="shared" si="67"/>
        <v>0</v>
      </c>
    </row>
    <row r="1037" spans="1:19" x14ac:dyDescent="0.2">
      <c r="A1037" s="54">
        <v>460768</v>
      </c>
      <c r="B1037" s="54" t="s">
        <v>897</v>
      </c>
      <c r="C1037" s="55">
        <v>11</v>
      </c>
      <c r="D1037" s="55">
        <v>11</v>
      </c>
      <c r="E1037" s="55">
        <v>2</v>
      </c>
      <c r="F1037" s="55">
        <v>9</v>
      </c>
      <c r="G1037" s="55">
        <v>9</v>
      </c>
      <c r="H1037" s="55">
        <v>9</v>
      </c>
      <c r="I1037" s="55">
        <v>0.82</v>
      </c>
      <c r="J1037" s="55">
        <v>0.82</v>
      </c>
      <c r="K1037" s="55">
        <v>0.82</v>
      </c>
      <c r="L1037" s="55">
        <v>0</v>
      </c>
      <c r="M1037" s="54" t="s">
        <v>30</v>
      </c>
      <c r="N1037" s="54" t="s">
        <v>1401</v>
      </c>
      <c r="O1037" s="54" t="s">
        <v>7</v>
      </c>
      <c r="P1037" s="54">
        <f t="shared" si="64"/>
        <v>11</v>
      </c>
      <c r="Q1037">
        <f t="shared" si="65"/>
        <v>0</v>
      </c>
      <c r="R1037">
        <f t="shared" si="66"/>
        <v>11</v>
      </c>
      <c r="S1037" t="b">
        <f t="shared" si="67"/>
        <v>0</v>
      </c>
    </row>
    <row r="1038" spans="1:19" x14ac:dyDescent="0.2">
      <c r="A1038" s="54">
        <v>460848</v>
      </c>
      <c r="B1038" s="54" t="s">
        <v>1065</v>
      </c>
      <c r="C1038" s="55">
        <v>28</v>
      </c>
      <c r="D1038" s="55">
        <v>28</v>
      </c>
      <c r="E1038" s="55">
        <v>1</v>
      </c>
      <c r="F1038" s="55">
        <v>53</v>
      </c>
      <c r="G1038" s="55">
        <v>53</v>
      </c>
      <c r="H1038" s="55">
        <v>53</v>
      </c>
      <c r="I1038" s="55">
        <v>1.89</v>
      </c>
      <c r="J1038" s="55">
        <v>1.89</v>
      </c>
      <c r="K1038" s="55">
        <v>1.89</v>
      </c>
      <c r="L1038" s="55">
        <v>45</v>
      </c>
      <c r="M1038" s="54" t="s">
        <v>30</v>
      </c>
      <c r="N1038" s="54" t="s">
        <v>1401</v>
      </c>
      <c r="O1038" s="54" t="s">
        <v>7</v>
      </c>
      <c r="P1038" s="54">
        <f t="shared" si="64"/>
        <v>28</v>
      </c>
      <c r="Q1038">
        <f t="shared" si="65"/>
        <v>0</v>
      </c>
      <c r="R1038">
        <f t="shared" si="66"/>
        <v>28</v>
      </c>
      <c r="S1038" t="b">
        <f t="shared" si="67"/>
        <v>0</v>
      </c>
    </row>
    <row r="1039" spans="1:19" x14ac:dyDescent="0.2">
      <c r="A1039" s="54">
        <v>460944</v>
      </c>
      <c r="B1039" s="54" t="s">
        <v>1096</v>
      </c>
      <c r="C1039" s="55">
        <v>32</v>
      </c>
      <c r="D1039" s="55">
        <v>25</v>
      </c>
      <c r="E1039" s="55">
        <v>0</v>
      </c>
      <c r="F1039" s="55">
        <v>0</v>
      </c>
      <c r="G1039" s="55">
        <v>0</v>
      </c>
      <c r="H1039" s="55">
        <v>0</v>
      </c>
      <c r="I1039" s="55">
        <v>0</v>
      </c>
      <c r="J1039" s="55">
        <v>0</v>
      </c>
      <c r="K1039" s="55">
        <v>0</v>
      </c>
      <c r="L1039" s="55">
        <v>0</v>
      </c>
      <c r="M1039" s="54" t="s">
        <v>30</v>
      </c>
      <c r="N1039" s="54" t="s">
        <v>1401</v>
      </c>
      <c r="O1039" s="54" t="s">
        <v>7</v>
      </c>
      <c r="P1039" s="54">
        <f t="shared" si="64"/>
        <v>0</v>
      </c>
      <c r="Q1039">
        <f t="shared" si="65"/>
        <v>0</v>
      </c>
      <c r="R1039">
        <f t="shared" si="66"/>
        <v>0</v>
      </c>
      <c r="S1039" t="b">
        <f t="shared" si="67"/>
        <v>0</v>
      </c>
    </row>
    <row r="1040" spans="1:19" x14ac:dyDescent="0.2">
      <c r="A1040" s="54">
        <v>461052</v>
      </c>
      <c r="B1040" s="54" t="s">
        <v>1087</v>
      </c>
      <c r="C1040" s="55">
        <v>31</v>
      </c>
      <c r="D1040" s="55">
        <v>35</v>
      </c>
      <c r="E1040" s="55">
        <v>1</v>
      </c>
      <c r="F1040" s="55">
        <v>0</v>
      </c>
      <c r="G1040" s="55">
        <v>0</v>
      </c>
      <c r="H1040" s="55">
        <v>0</v>
      </c>
      <c r="I1040" s="55">
        <v>0</v>
      </c>
      <c r="J1040" s="55">
        <v>0</v>
      </c>
      <c r="K1040" s="55">
        <v>0</v>
      </c>
      <c r="L1040" s="55">
        <v>0</v>
      </c>
      <c r="M1040" s="54" t="s">
        <v>30</v>
      </c>
      <c r="N1040" s="54" t="s">
        <v>1401</v>
      </c>
      <c r="O1040" s="54" t="s">
        <v>7</v>
      </c>
      <c r="P1040" s="54">
        <f t="shared" si="64"/>
        <v>0</v>
      </c>
      <c r="Q1040">
        <f t="shared" si="65"/>
        <v>0</v>
      </c>
      <c r="R1040">
        <f t="shared" si="66"/>
        <v>0</v>
      </c>
      <c r="S1040" t="b">
        <f t="shared" si="67"/>
        <v>0</v>
      </c>
    </row>
    <row r="1041" spans="1:19" x14ac:dyDescent="0.2">
      <c r="A1041" s="54">
        <v>461447</v>
      </c>
      <c r="B1041" s="54" t="s">
        <v>578</v>
      </c>
      <c r="C1041" s="55">
        <v>1</v>
      </c>
      <c r="D1041" s="55">
        <v>2</v>
      </c>
      <c r="E1041" s="55">
        <v>7</v>
      </c>
      <c r="F1041" s="55">
        <v>1</v>
      </c>
      <c r="G1041" s="55">
        <v>1</v>
      </c>
      <c r="H1041" s="55">
        <v>0</v>
      </c>
      <c r="I1041" s="55">
        <v>0.5</v>
      </c>
      <c r="J1041" s="55">
        <v>0.5</v>
      </c>
      <c r="K1041" s="55">
        <v>0</v>
      </c>
      <c r="L1041" s="55">
        <v>0</v>
      </c>
      <c r="M1041" s="54" t="s">
        <v>43</v>
      </c>
      <c r="N1041" s="54" t="s">
        <v>1400</v>
      </c>
      <c r="O1041" s="54" t="s">
        <v>7</v>
      </c>
      <c r="P1041" s="54">
        <f t="shared" si="64"/>
        <v>0</v>
      </c>
      <c r="Q1041">
        <f t="shared" si="65"/>
        <v>0</v>
      </c>
      <c r="R1041">
        <f t="shared" si="66"/>
        <v>0</v>
      </c>
      <c r="S1041" t="b">
        <f t="shared" si="67"/>
        <v>0</v>
      </c>
    </row>
    <row r="1042" spans="1:19" x14ac:dyDescent="0.2">
      <c r="A1042" s="54">
        <v>461472</v>
      </c>
      <c r="B1042" s="54" t="s">
        <v>767</v>
      </c>
      <c r="C1042" s="55">
        <v>4</v>
      </c>
      <c r="D1042" s="55">
        <v>1</v>
      </c>
      <c r="E1042" s="55">
        <v>2</v>
      </c>
      <c r="F1042" s="55">
        <v>0</v>
      </c>
      <c r="G1042" s="55">
        <v>0</v>
      </c>
      <c r="H1042" s="55">
        <v>0</v>
      </c>
      <c r="I1042" s="55">
        <v>0</v>
      </c>
      <c r="J1042" s="55">
        <v>0</v>
      </c>
      <c r="K1042" s="55">
        <v>0</v>
      </c>
      <c r="L1042" s="55">
        <v>0</v>
      </c>
      <c r="M1042" s="54" t="s">
        <v>30</v>
      </c>
      <c r="N1042" s="54" t="s">
        <v>1401</v>
      </c>
      <c r="O1042" s="54" t="s">
        <v>7</v>
      </c>
      <c r="P1042" s="54">
        <f t="shared" si="64"/>
        <v>0</v>
      </c>
      <c r="Q1042">
        <f t="shared" si="65"/>
        <v>0</v>
      </c>
      <c r="R1042">
        <f t="shared" si="66"/>
        <v>0</v>
      </c>
      <c r="S1042" t="b">
        <f t="shared" si="67"/>
        <v>0</v>
      </c>
    </row>
    <row r="1043" spans="1:19" x14ac:dyDescent="0.2">
      <c r="A1043" s="54">
        <v>461574</v>
      </c>
      <c r="B1043" s="54" t="s">
        <v>1062</v>
      </c>
      <c r="C1043" s="55">
        <v>27</v>
      </c>
      <c r="D1043" s="55">
        <v>30</v>
      </c>
      <c r="E1043" s="55">
        <v>2</v>
      </c>
      <c r="F1043" s="55">
        <v>9</v>
      </c>
      <c r="G1043" s="55">
        <v>9</v>
      </c>
      <c r="H1043" s="55">
        <v>9</v>
      </c>
      <c r="I1043" s="55">
        <v>0.3</v>
      </c>
      <c r="J1043" s="55">
        <v>0.3</v>
      </c>
      <c r="K1043" s="55">
        <v>0.3</v>
      </c>
      <c r="L1043" s="55">
        <v>0</v>
      </c>
      <c r="M1043" s="54" t="s">
        <v>30</v>
      </c>
      <c r="N1043" s="54" t="s">
        <v>1401</v>
      </c>
      <c r="O1043" s="54" t="s">
        <v>7</v>
      </c>
      <c r="P1043" s="54">
        <f t="shared" si="64"/>
        <v>0</v>
      </c>
      <c r="Q1043">
        <f t="shared" si="65"/>
        <v>0</v>
      </c>
      <c r="R1043">
        <f t="shared" si="66"/>
        <v>0</v>
      </c>
      <c r="S1043" t="b">
        <f t="shared" si="67"/>
        <v>0</v>
      </c>
    </row>
    <row r="1044" spans="1:19" x14ac:dyDescent="0.2">
      <c r="A1044" s="54">
        <v>461758</v>
      </c>
      <c r="B1044" s="54" t="s">
        <v>527</v>
      </c>
      <c r="C1044" s="55">
        <v>9</v>
      </c>
      <c r="D1044" s="55">
        <v>5</v>
      </c>
      <c r="E1044" s="55">
        <v>6</v>
      </c>
      <c r="F1044" s="55">
        <v>12</v>
      </c>
      <c r="G1044" s="55">
        <v>12</v>
      </c>
      <c r="H1044" s="55">
        <v>12</v>
      </c>
      <c r="I1044" s="55">
        <v>2.4</v>
      </c>
      <c r="J1044" s="55">
        <v>2.4</v>
      </c>
      <c r="K1044" s="55">
        <v>2.4</v>
      </c>
      <c r="L1044" s="55">
        <v>18</v>
      </c>
      <c r="M1044" s="54" t="s">
        <v>43</v>
      </c>
      <c r="N1044" s="54" t="s">
        <v>1400</v>
      </c>
      <c r="O1044" s="54" t="s">
        <v>7</v>
      </c>
      <c r="P1044" s="54">
        <f t="shared" si="64"/>
        <v>9</v>
      </c>
      <c r="Q1044">
        <f t="shared" si="65"/>
        <v>9</v>
      </c>
      <c r="R1044">
        <f t="shared" si="66"/>
        <v>9</v>
      </c>
      <c r="S1044" t="b">
        <f t="shared" si="67"/>
        <v>0</v>
      </c>
    </row>
    <row r="1045" spans="1:19" x14ac:dyDescent="0.2">
      <c r="A1045" s="54">
        <v>461977</v>
      </c>
      <c r="B1045" s="54" t="s">
        <v>376</v>
      </c>
      <c r="C1045" s="55">
        <v>18</v>
      </c>
      <c r="D1045" s="55">
        <v>10</v>
      </c>
      <c r="E1045" s="55">
        <v>9</v>
      </c>
      <c r="F1045" s="55">
        <v>32</v>
      </c>
      <c r="G1045" s="55">
        <v>13</v>
      </c>
      <c r="H1045" s="55">
        <v>0</v>
      </c>
      <c r="I1045" s="55">
        <v>3.2</v>
      </c>
      <c r="J1045" s="55">
        <v>1.3</v>
      </c>
      <c r="K1045" s="55">
        <v>0</v>
      </c>
      <c r="L1045" s="55">
        <v>0</v>
      </c>
      <c r="M1045" s="54" t="s">
        <v>43</v>
      </c>
      <c r="N1045" s="54" t="s">
        <v>1400</v>
      </c>
      <c r="O1045" s="54" t="s">
        <v>7</v>
      </c>
      <c r="P1045" s="54">
        <f t="shared" si="64"/>
        <v>18</v>
      </c>
      <c r="Q1045">
        <f t="shared" si="65"/>
        <v>18</v>
      </c>
      <c r="R1045">
        <f t="shared" si="66"/>
        <v>18</v>
      </c>
      <c r="S1045" t="b">
        <f t="shared" si="67"/>
        <v>0</v>
      </c>
    </row>
    <row r="1046" spans="1:19" x14ac:dyDescent="0.2">
      <c r="A1046" s="54">
        <v>462439</v>
      </c>
      <c r="B1046" s="54" t="s">
        <v>664</v>
      </c>
      <c r="C1046" s="55">
        <v>4</v>
      </c>
      <c r="D1046" s="55">
        <v>23</v>
      </c>
      <c r="E1046" s="55">
        <v>6</v>
      </c>
      <c r="F1046" s="55">
        <v>0</v>
      </c>
      <c r="G1046" s="55">
        <v>0</v>
      </c>
      <c r="H1046" s="55">
        <v>0</v>
      </c>
      <c r="I1046" s="55">
        <v>0</v>
      </c>
      <c r="J1046" s="55">
        <v>0</v>
      </c>
      <c r="K1046" s="55">
        <v>0</v>
      </c>
      <c r="L1046" s="55">
        <v>0</v>
      </c>
      <c r="M1046" s="54" t="s">
        <v>43</v>
      </c>
      <c r="N1046" s="54" t="s">
        <v>1400</v>
      </c>
      <c r="O1046" s="54" t="s">
        <v>7</v>
      </c>
      <c r="P1046" s="54">
        <f t="shared" si="64"/>
        <v>0</v>
      </c>
      <c r="Q1046">
        <f t="shared" si="65"/>
        <v>0</v>
      </c>
      <c r="R1046">
        <f t="shared" si="66"/>
        <v>0</v>
      </c>
      <c r="S1046" t="b">
        <f t="shared" si="67"/>
        <v>0</v>
      </c>
    </row>
    <row r="1047" spans="1:19" x14ac:dyDescent="0.2">
      <c r="A1047" s="54">
        <v>462446</v>
      </c>
      <c r="B1047" s="54" t="s">
        <v>721</v>
      </c>
      <c r="C1047" s="55">
        <v>2</v>
      </c>
      <c r="D1047" s="55">
        <v>16</v>
      </c>
      <c r="E1047" s="55">
        <v>2</v>
      </c>
      <c r="F1047" s="55">
        <v>11</v>
      </c>
      <c r="G1047" s="55">
        <v>11</v>
      </c>
      <c r="H1047" s="55">
        <v>11</v>
      </c>
      <c r="I1047" s="55">
        <v>0.69</v>
      </c>
      <c r="J1047" s="55">
        <v>0.69</v>
      </c>
      <c r="K1047" s="55">
        <v>0.69</v>
      </c>
      <c r="L1047" s="55">
        <v>3</v>
      </c>
      <c r="M1047" s="54" t="s">
        <v>30</v>
      </c>
      <c r="N1047" s="54" t="s">
        <v>1401</v>
      </c>
      <c r="O1047" s="54" t="s">
        <v>7</v>
      </c>
      <c r="P1047" s="54">
        <f t="shared" si="64"/>
        <v>0</v>
      </c>
      <c r="Q1047">
        <f t="shared" si="65"/>
        <v>0</v>
      </c>
      <c r="R1047">
        <f t="shared" si="66"/>
        <v>0</v>
      </c>
      <c r="S1047" t="b">
        <f t="shared" si="67"/>
        <v>0</v>
      </c>
    </row>
    <row r="1048" spans="1:19" x14ac:dyDescent="0.2">
      <c r="A1048" s="54">
        <v>462480</v>
      </c>
      <c r="B1048" s="54" t="s">
        <v>1321</v>
      </c>
      <c r="C1048" s="55">
        <v>0</v>
      </c>
      <c r="D1048" s="55">
        <v>20</v>
      </c>
      <c r="E1048" s="55">
        <v>0</v>
      </c>
      <c r="F1048" s="55">
        <v>0</v>
      </c>
      <c r="G1048" s="55">
        <v>0</v>
      </c>
      <c r="H1048" s="55">
        <v>0</v>
      </c>
      <c r="I1048" s="55">
        <v>0</v>
      </c>
      <c r="J1048" s="55">
        <v>0</v>
      </c>
      <c r="K1048" s="55">
        <v>0</v>
      </c>
      <c r="L1048" s="55">
        <v>0</v>
      </c>
      <c r="M1048" s="54" t="s">
        <v>30</v>
      </c>
      <c r="N1048" s="54" t="s">
        <v>1401</v>
      </c>
      <c r="O1048" s="54" t="s">
        <v>7</v>
      </c>
      <c r="P1048" s="54">
        <f t="shared" si="64"/>
        <v>0</v>
      </c>
      <c r="Q1048">
        <f t="shared" si="65"/>
        <v>0</v>
      </c>
      <c r="R1048">
        <f t="shared" si="66"/>
        <v>0</v>
      </c>
      <c r="S1048" t="b">
        <f t="shared" si="67"/>
        <v>0</v>
      </c>
    </row>
    <row r="1049" spans="1:19" x14ac:dyDescent="0.2">
      <c r="A1049" s="54">
        <v>462592</v>
      </c>
      <c r="B1049" s="54" t="s">
        <v>803</v>
      </c>
      <c r="C1049" s="55">
        <v>6</v>
      </c>
      <c r="D1049" s="55">
        <v>6</v>
      </c>
      <c r="E1049" s="55">
        <v>1</v>
      </c>
      <c r="F1049" s="55">
        <v>0</v>
      </c>
      <c r="G1049" s="55">
        <v>0</v>
      </c>
      <c r="H1049" s="55">
        <v>0</v>
      </c>
      <c r="I1049" s="55">
        <v>0</v>
      </c>
      <c r="J1049" s="55">
        <v>0</v>
      </c>
      <c r="K1049" s="55">
        <v>0</v>
      </c>
      <c r="L1049" s="55">
        <v>0</v>
      </c>
      <c r="M1049" s="54" t="s">
        <v>30</v>
      </c>
      <c r="N1049" s="54" t="s">
        <v>1401</v>
      </c>
      <c r="O1049" s="54" t="s">
        <v>7</v>
      </c>
      <c r="P1049" s="54">
        <f t="shared" si="64"/>
        <v>0</v>
      </c>
      <c r="Q1049">
        <f t="shared" si="65"/>
        <v>0</v>
      </c>
      <c r="R1049">
        <f t="shared" si="66"/>
        <v>0</v>
      </c>
      <c r="S1049" t="b">
        <f t="shared" si="67"/>
        <v>0</v>
      </c>
    </row>
    <row r="1050" spans="1:19" x14ac:dyDescent="0.2">
      <c r="A1050" s="54">
        <v>462647</v>
      </c>
      <c r="B1050" s="54" t="s">
        <v>352</v>
      </c>
      <c r="C1050" s="55">
        <v>2</v>
      </c>
      <c r="D1050" s="55">
        <v>32</v>
      </c>
      <c r="E1050" s="55">
        <v>6</v>
      </c>
      <c r="F1050" s="55">
        <v>68</v>
      </c>
      <c r="G1050" s="55">
        <v>68</v>
      </c>
      <c r="H1050" s="55">
        <v>46</v>
      </c>
      <c r="I1050" s="55">
        <v>2.13</v>
      </c>
      <c r="J1050" s="55">
        <v>2.13</v>
      </c>
      <c r="K1050" s="55">
        <v>1.44</v>
      </c>
      <c r="L1050" s="55">
        <v>80</v>
      </c>
      <c r="M1050" s="54" t="s">
        <v>43</v>
      </c>
      <c r="N1050" s="54" t="s">
        <v>1400</v>
      </c>
      <c r="O1050" s="54" t="s">
        <v>7</v>
      </c>
      <c r="P1050" s="54">
        <f t="shared" si="64"/>
        <v>2</v>
      </c>
      <c r="Q1050">
        <f t="shared" si="65"/>
        <v>2</v>
      </c>
      <c r="R1050">
        <f t="shared" si="66"/>
        <v>2</v>
      </c>
      <c r="S1050" t="b">
        <f t="shared" si="67"/>
        <v>0</v>
      </c>
    </row>
    <row r="1051" spans="1:19" x14ac:dyDescent="0.2">
      <c r="A1051" s="54">
        <v>462933</v>
      </c>
      <c r="B1051" s="54" t="s">
        <v>333</v>
      </c>
      <c r="C1051" s="55">
        <v>151</v>
      </c>
      <c r="D1051" s="55">
        <v>5</v>
      </c>
      <c r="E1051" s="55">
        <v>7</v>
      </c>
      <c r="F1051" s="55">
        <v>128</v>
      </c>
      <c r="G1051" s="55">
        <v>128</v>
      </c>
      <c r="H1051" s="55">
        <v>118</v>
      </c>
      <c r="I1051" s="55">
        <v>25.6</v>
      </c>
      <c r="J1051" s="55">
        <v>25.6</v>
      </c>
      <c r="K1051" s="55">
        <v>23.6</v>
      </c>
      <c r="L1051" s="55">
        <v>53</v>
      </c>
      <c r="M1051" s="54" t="s">
        <v>43</v>
      </c>
      <c r="N1051" s="54" t="s">
        <v>1400</v>
      </c>
      <c r="O1051" s="54" t="s">
        <v>7</v>
      </c>
      <c r="P1051" s="54">
        <f t="shared" si="64"/>
        <v>151</v>
      </c>
      <c r="Q1051">
        <f t="shared" si="65"/>
        <v>151</v>
      </c>
      <c r="R1051">
        <f t="shared" si="66"/>
        <v>151</v>
      </c>
      <c r="S1051" t="b">
        <f t="shared" si="67"/>
        <v>0</v>
      </c>
    </row>
    <row r="1052" spans="1:19" x14ac:dyDescent="0.2">
      <c r="A1052" s="54">
        <v>463052</v>
      </c>
      <c r="B1052" s="54" t="s">
        <v>785</v>
      </c>
      <c r="C1052" s="55">
        <v>5</v>
      </c>
      <c r="D1052" s="55">
        <v>6</v>
      </c>
      <c r="E1052" s="55">
        <v>1</v>
      </c>
      <c r="F1052" s="55">
        <v>0</v>
      </c>
      <c r="G1052" s="55">
        <v>0</v>
      </c>
      <c r="H1052" s="55">
        <v>0</v>
      </c>
      <c r="I1052" s="55">
        <v>0</v>
      </c>
      <c r="J1052" s="55">
        <v>0</v>
      </c>
      <c r="K1052" s="55">
        <v>0</v>
      </c>
      <c r="L1052" s="55">
        <v>0</v>
      </c>
      <c r="M1052" s="54" t="s">
        <v>30</v>
      </c>
      <c r="N1052" s="54" t="s">
        <v>1401</v>
      </c>
      <c r="O1052" s="54" t="s">
        <v>7</v>
      </c>
      <c r="P1052" s="54">
        <f t="shared" si="64"/>
        <v>0</v>
      </c>
      <c r="Q1052">
        <f t="shared" si="65"/>
        <v>0</v>
      </c>
      <c r="R1052">
        <f t="shared" si="66"/>
        <v>0</v>
      </c>
      <c r="S1052" t="b">
        <f t="shared" si="67"/>
        <v>0</v>
      </c>
    </row>
    <row r="1053" spans="1:19" x14ac:dyDescent="0.2">
      <c r="A1053" s="54">
        <v>463227</v>
      </c>
      <c r="B1053" s="54" t="s">
        <v>770</v>
      </c>
      <c r="C1053" s="55">
        <v>4</v>
      </c>
      <c r="D1053" s="55">
        <v>110</v>
      </c>
      <c r="E1053" s="55">
        <v>2</v>
      </c>
      <c r="F1053" s="55">
        <v>8</v>
      </c>
      <c r="G1053" s="55">
        <v>8</v>
      </c>
      <c r="H1053" s="55">
        <v>8</v>
      </c>
      <c r="I1053" s="55">
        <v>7.0000000000000007E-2</v>
      </c>
      <c r="J1053" s="55">
        <v>7.0000000000000007E-2</v>
      </c>
      <c r="K1053" s="55">
        <v>7.0000000000000007E-2</v>
      </c>
      <c r="L1053" s="55">
        <v>1</v>
      </c>
      <c r="M1053" s="54" t="s">
        <v>30</v>
      </c>
      <c r="N1053" s="54" t="s">
        <v>1401</v>
      </c>
      <c r="O1053" s="54" t="s">
        <v>6</v>
      </c>
      <c r="P1053" s="54">
        <f t="shared" si="64"/>
        <v>0</v>
      </c>
      <c r="Q1053">
        <f t="shared" si="65"/>
        <v>0</v>
      </c>
      <c r="R1053">
        <f t="shared" si="66"/>
        <v>0</v>
      </c>
      <c r="S1053" t="b">
        <f t="shared" si="67"/>
        <v>0</v>
      </c>
    </row>
    <row r="1054" spans="1:19" x14ac:dyDescent="0.2">
      <c r="A1054" s="54">
        <v>464190</v>
      </c>
      <c r="B1054" s="54" t="s">
        <v>951</v>
      </c>
      <c r="C1054" s="55">
        <v>15</v>
      </c>
      <c r="D1054" s="55">
        <v>15</v>
      </c>
      <c r="E1054" s="55">
        <v>1</v>
      </c>
      <c r="F1054" s="55">
        <v>5</v>
      </c>
      <c r="G1054" s="55">
        <v>5</v>
      </c>
      <c r="H1054" s="55">
        <v>5</v>
      </c>
      <c r="I1054" s="55">
        <v>0.33</v>
      </c>
      <c r="J1054" s="55">
        <v>0.33</v>
      </c>
      <c r="K1054" s="55">
        <v>0.33</v>
      </c>
      <c r="L1054" s="55">
        <v>1</v>
      </c>
      <c r="M1054" s="54" t="s">
        <v>30</v>
      </c>
      <c r="N1054" s="54" t="s">
        <v>1401</v>
      </c>
      <c r="O1054" s="54" t="s">
        <v>7</v>
      </c>
      <c r="P1054" s="54">
        <f t="shared" si="64"/>
        <v>0</v>
      </c>
      <c r="Q1054">
        <f t="shared" si="65"/>
        <v>0</v>
      </c>
      <c r="R1054">
        <f t="shared" si="66"/>
        <v>0</v>
      </c>
      <c r="S1054" t="b">
        <f t="shared" si="67"/>
        <v>0</v>
      </c>
    </row>
    <row r="1055" spans="1:19" x14ac:dyDescent="0.2">
      <c r="A1055" s="54">
        <v>464691</v>
      </c>
      <c r="B1055" s="54" t="s">
        <v>518</v>
      </c>
      <c r="C1055" s="55">
        <v>66</v>
      </c>
      <c r="D1055" s="55">
        <v>20</v>
      </c>
      <c r="E1055" s="55">
        <v>9</v>
      </c>
      <c r="F1055" s="55">
        <v>17</v>
      </c>
      <c r="G1055" s="55">
        <v>13</v>
      </c>
      <c r="H1055" s="55">
        <v>0</v>
      </c>
      <c r="I1055" s="55">
        <v>0.85</v>
      </c>
      <c r="J1055" s="55">
        <v>0.65</v>
      </c>
      <c r="K1055" s="55">
        <v>0</v>
      </c>
      <c r="L1055" s="55">
        <v>14</v>
      </c>
      <c r="M1055" s="54" t="s">
        <v>43</v>
      </c>
      <c r="N1055" s="54" t="s">
        <v>1400</v>
      </c>
      <c r="O1055" s="54" t="s">
        <v>7</v>
      </c>
      <c r="P1055" s="54">
        <f t="shared" si="64"/>
        <v>0</v>
      </c>
      <c r="Q1055">
        <f t="shared" si="65"/>
        <v>0</v>
      </c>
      <c r="R1055">
        <f t="shared" si="66"/>
        <v>0</v>
      </c>
      <c r="S1055" t="b">
        <f t="shared" si="67"/>
        <v>0</v>
      </c>
    </row>
    <row r="1056" spans="1:19" x14ac:dyDescent="0.2">
      <c r="A1056" s="54">
        <v>465215</v>
      </c>
      <c r="B1056" s="54" t="s">
        <v>967</v>
      </c>
      <c r="C1056" s="55">
        <v>16</v>
      </c>
      <c r="D1056" s="55">
        <v>16</v>
      </c>
      <c r="E1056" s="55">
        <v>1</v>
      </c>
      <c r="F1056" s="55">
        <v>0</v>
      </c>
      <c r="G1056" s="55">
        <v>0</v>
      </c>
      <c r="H1056" s="55">
        <v>0</v>
      </c>
      <c r="I1056" s="55">
        <v>0</v>
      </c>
      <c r="J1056" s="55">
        <v>0</v>
      </c>
      <c r="K1056" s="55">
        <v>0</v>
      </c>
      <c r="L1056" s="55">
        <v>0</v>
      </c>
      <c r="M1056" s="54" t="s">
        <v>30</v>
      </c>
      <c r="N1056" s="54" t="s">
        <v>1401</v>
      </c>
      <c r="O1056" s="54" t="s">
        <v>7</v>
      </c>
      <c r="P1056" s="54">
        <f t="shared" si="64"/>
        <v>0</v>
      </c>
      <c r="Q1056">
        <f t="shared" si="65"/>
        <v>0</v>
      </c>
      <c r="R1056">
        <f t="shared" si="66"/>
        <v>0</v>
      </c>
      <c r="S1056" t="b">
        <f t="shared" si="67"/>
        <v>0</v>
      </c>
    </row>
    <row r="1057" spans="1:19" x14ac:dyDescent="0.2">
      <c r="A1057" s="54">
        <v>465304</v>
      </c>
      <c r="B1057" s="54" t="s">
        <v>455</v>
      </c>
      <c r="C1057" s="55">
        <v>18</v>
      </c>
      <c r="D1057" s="55">
        <v>24</v>
      </c>
      <c r="E1057" s="55">
        <v>27</v>
      </c>
      <c r="F1057" s="55">
        <v>33</v>
      </c>
      <c r="G1057" s="55">
        <v>26</v>
      </c>
      <c r="H1057" s="55">
        <v>0</v>
      </c>
      <c r="I1057" s="55">
        <v>1.38</v>
      </c>
      <c r="J1057" s="55">
        <v>1.08</v>
      </c>
      <c r="K1057" s="55">
        <v>0</v>
      </c>
      <c r="L1057" s="55">
        <v>3</v>
      </c>
      <c r="M1057" s="54" t="s">
        <v>47</v>
      </c>
      <c r="N1057" s="54" t="s">
        <v>47</v>
      </c>
      <c r="O1057" s="54" t="s">
        <v>7</v>
      </c>
      <c r="P1057" s="54">
        <f t="shared" si="64"/>
        <v>18</v>
      </c>
      <c r="Q1057">
        <f t="shared" si="65"/>
        <v>0</v>
      </c>
      <c r="R1057">
        <f t="shared" si="66"/>
        <v>18</v>
      </c>
      <c r="S1057" t="b">
        <f t="shared" si="67"/>
        <v>0</v>
      </c>
    </row>
    <row r="1058" spans="1:19" x14ac:dyDescent="0.2">
      <c r="A1058" s="54">
        <v>465572</v>
      </c>
      <c r="B1058" s="54" t="s">
        <v>1213</v>
      </c>
      <c r="C1058" s="55">
        <v>99</v>
      </c>
      <c r="D1058" s="55">
        <v>20</v>
      </c>
      <c r="E1058" s="55">
        <v>5</v>
      </c>
      <c r="F1058" s="55">
        <v>104</v>
      </c>
      <c r="G1058" s="55">
        <v>104</v>
      </c>
      <c r="H1058" s="55">
        <v>104</v>
      </c>
      <c r="I1058" s="55">
        <v>5.2</v>
      </c>
      <c r="J1058" s="55">
        <v>5.2</v>
      </c>
      <c r="K1058" s="55">
        <v>5.2</v>
      </c>
      <c r="L1058" s="55">
        <v>18</v>
      </c>
      <c r="M1058" s="54" t="s">
        <v>30</v>
      </c>
      <c r="N1058" s="54" t="s">
        <v>1401</v>
      </c>
      <c r="O1058" s="54" t="s">
        <v>7</v>
      </c>
      <c r="P1058" s="54">
        <f t="shared" si="64"/>
        <v>99</v>
      </c>
      <c r="Q1058">
        <f t="shared" si="65"/>
        <v>99</v>
      </c>
      <c r="R1058">
        <f t="shared" si="66"/>
        <v>99</v>
      </c>
      <c r="S1058" t="b">
        <f t="shared" si="67"/>
        <v>0</v>
      </c>
    </row>
    <row r="1059" spans="1:19" x14ac:dyDescent="0.2">
      <c r="A1059" s="54">
        <v>465596</v>
      </c>
      <c r="B1059" s="54" t="s">
        <v>1360</v>
      </c>
      <c r="C1059" s="55">
        <v>0</v>
      </c>
      <c r="D1059" s="55">
        <v>5</v>
      </c>
      <c r="E1059" s="55">
        <v>0</v>
      </c>
      <c r="F1059" s="55">
        <v>0</v>
      </c>
      <c r="G1059" s="55">
        <v>0</v>
      </c>
      <c r="H1059" s="55">
        <v>0</v>
      </c>
      <c r="I1059" s="55">
        <v>0</v>
      </c>
      <c r="J1059" s="55">
        <v>0</v>
      </c>
      <c r="K1059" s="55">
        <v>0</v>
      </c>
      <c r="L1059" s="55">
        <v>0</v>
      </c>
      <c r="M1059" s="54" t="s">
        <v>30</v>
      </c>
      <c r="N1059" s="54" t="s">
        <v>1401</v>
      </c>
      <c r="O1059" s="54" t="s">
        <v>7</v>
      </c>
      <c r="P1059" s="54">
        <f t="shared" si="64"/>
        <v>0</v>
      </c>
      <c r="Q1059">
        <f t="shared" si="65"/>
        <v>0</v>
      </c>
      <c r="R1059">
        <f t="shared" si="66"/>
        <v>0</v>
      </c>
      <c r="S1059" t="b">
        <f t="shared" si="67"/>
        <v>0</v>
      </c>
    </row>
    <row r="1060" spans="1:19" x14ac:dyDescent="0.2">
      <c r="A1060" s="54">
        <v>465602</v>
      </c>
      <c r="B1060" s="54" t="s">
        <v>471</v>
      </c>
      <c r="C1060" s="55">
        <v>13</v>
      </c>
      <c r="D1060" s="55">
        <v>15</v>
      </c>
      <c r="E1060" s="55">
        <v>13</v>
      </c>
      <c r="F1060" s="55">
        <v>29</v>
      </c>
      <c r="G1060" s="55">
        <v>21</v>
      </c>
      <c r="H1060" s="55">
        <v>21</v>
      </c>
      <c r="I1060" s="55">
        <v>1.93</v>
      </c>
      <c r="J1060" s="55">
        <v>1.4</v>
      </c>
      <c r="K1060" s="55">
        <v>1.4</v>
      </c>
      <c r="L1060" s="55">
        <v>2</v>
      </c>
      <c r="M1060" s="54" t="s">
        <v>45</v>
      </c>
      <c r="N1060" s="54" t="s">
        <v>47</v>
      </c>
      <c r="O1060" s="54" t="s">
        <v>7</v>
      </c>
      <c r="P1060" s="54">
        <f t="shared" si="64"/>
        <v>13</v>
      </c>
      <c r="Q1060">
        <f t="shared" si="65"/>
        <v>0</v>
      </c>
      <c r="R1060">
        <f t="shared" si="66"/>
        <v>13</v>
      </c>
      <c r="S1060" t="b">
        <f t="shared" si="67"/>
        <v>0</v>
      </c>
    </row>
    <row r="1061" spans="1:19" x14ac:dyDescent="0.2">
      <c r="A1061" s="54">
        <v>465793</v>
      </c>
      <c r="B1061" s="54" t="s">
        <v>1347</v>
      </c>
      <c r="C1061" s="55">
        <v>0</v>
      </c>
      <c r="D1061" s="55">
        <v>3</v>
      </c>
      <c r="E1061" s="55">
        <v>0</v>
      </c>
      <c r="F1061" s="55">
        <v>5</v>
      </c>
      <c r="G1061" s="55">
        <v>5</v>
      </c>
      <c r="H1061" s="55">
        <v>5</v>
      </c>
      <c r="I1061" s="55">
        <v>1.67</v>
      </c>
      <c r="J1061" s="55">
        <v>1.67</v>
      </c>
      <c r="K1061" s="55">
        <v>1.67</v>
      </c>
      <c r="L1061" s="55">
        <v>0</v>
      </c>
      <c r="M1061" s="54" t="s">
        <v>30</v>
      </c>
      <c r="N1061" s="54" t="s">
        <v>1401</v>
      </c>
      <c r="O1061" s="54" t="s">
        <v>7</v>
      </c>
      <c r="P1061" s="54">
        <f t="shared" si="64"/>
        <v>0</v>
      </c>
      <c r="Q1061">
        <f t="shared" si="65"/>
        <v>0</v>
      </c>
      <c r="R1061">
        <f t="shared" si="66"/>
        <v>0</v>
      </c>
      <c r="S1061" t="b">
        <f t="shared" si="67"/>
        <v>0</v>
      </c>
    </row>
    <row r="1062" spans="1:19" x14ac:dyDescent="0.2">
      <c r="A1062" s="54">
        <v>465880</v>
      </c>
      <c r="B1062" s="54" t="s">
        <v>1052</v>
      </c>
      <c r="C1062" s="55">
        <v>25</v>
      </c>
      <c r="D1062" s="55">
        <v>20</v>
      </c>
      <c r="E1062" s="55">
        <v>0</v>
      </c>
      <c r="F1062" s="55">
        <v>0</v>
      </c>
      <c r="G1062" s="55">
        <v>0</v>
      </c>
      <c r="H1062" s="55">
        <v>0</v>
      </c>
      <c r="I1062" s="55">
        <v>0</v>
      </c>
      <c r="J1062" s="55">
        <v>0</v>
      </c>
      <c r="K1062" s="55">
        <v>0</v>
      </c>
      <c r="L1062" s="55">
        <v>0</v>
      </c>
      <c r="M1062" s="54" t="s">
        <v>30</v>
      </c>
      <c r="N1062" s="54" t="s">
        <v>1401</v>
      </c>
      <c r="O1062" s="54" t="s">
        <v>7</v>
      </c>
      <c r="P1062" s="54">
        <f t="shared" si="64"/>
        <v>0</v>
      </c>
      <c r="Q1062">
        <f t="shared" si="65"/>
        <v>0</v>
      </c>
      <c r="R1062">
        <f t="shared" si="66"/>
        <v>0</v>
      </c>
      <c r="S1062" t="b">
        <f t="shared" si="67"/>
        <v>0</v>
      </c>
    </row>
    <row r="1063" spans="1:19" x14ac:dyDescent="0.2">
      <c r="A1063" s="54">
        <v>465953</v>
      </c>
      <c r="B1063" s="54" t="s">
        <v>1291</v>
      </c>
      <c r="C1063" s="55">
        <v>456</v>
      </c>
      <c r="D1063" s="55">
        <v>411</v>
      </c>
      <c r="E1063" s="55">
        <v>1</v>
      </c>
      <c r="F1063" s="55">
        <v>0</v>
      </c>
      <c r="G1063" s="55">
        <v>0</v>
      </c>
      <c r="H1063" s="55">
        <v>0</v>
      </c>
      <c r="I1063" s="55">
        <v>0</v>
      </c>
      <c r="J1063" s="55">
        <v>0</v>
      </c>
      <c r="K1063" s="55">
        <v>0</v>
      </c>
      <c r="L1063" s="55">
        <v>0</v>
      </c>
      <c r="M1063" s="54" t="s">
        <v>30</v>
      </c>
      <c r="N1063" s="54" t="s">
        <v>1401</v>
      </c>
      <c r="O1063" s="54" t="s">
        <v>6</v>
      </c>
      <c r="P1063" s="54">
        <f t="shared" si="64"/>
        <v>0</v>
      </c>
      <c r="Q1063">
        <f t="shared" si="65"/>
        <v>0</v>
      </c>
      <c r="R1063">
        <f t="shared" si="66"/>
        <v>0</v>
      </c>
      <c r="S1063" t="b">
        <f t="shared" si="67"/>
        <v>0</v>
      </c>
    </row>
    <row r="1064" spans="1:19" x14ac:dyDescent="0.2">
      <c r="A1064" s="54">
        <v>465967</v>
      </c>
      <c r="B1064" s="54" t="s">
        <v>461</v>
      </c>
      <c r="C1064" s="55">
        <v>109</v>
      </c>
      <c r="D1064" s="55">
        <v>125</v>
      </c>
      <c r="E1064" s="55">
        <v>10</v>
      </c>
      <c r="F1064" s="55">
        <v>30</v>
      </c>
      <c r="G1064" s="55">
        <v>0</v>
      </c>
      <c r="H1064" s="55">
        <v>0</v>
      </c>
      <c r="I1064" s="55">
        <v>0.24</v>
      </c>
      <c r="J1064" s="55">
        <v>0</v>
      </c>
      <c r="K1064" s="55">
        <v>0</v>
      </c>
      <c r="L1064" s="55">
        <v>2</v>
      </c>
      <c r="M1064" s="54" t="s">
        <v>43</v>
      </c>
      <c r="N1064" s="54" t="s">
        <v>1400</v>
      </c>
      <c r="O1064" s="54" t="s">
        <v>6</v>
      </c>
      <c r="P1064" s="54">
        <f t="shared" si="64"/>
        <v>0</v>
      </c>
      <c r="Q1064">
        <f t="shared" si="65"/>
        <v>0</v>
      </c>
      <c r="R1064">
        <f t="shared" si="66"/>
        <v>0</v>
      </c>
      <c r="S1064" t="b">
        <f t="shared" si="67"/>
        <v>0</v>
      </c>
    </row>
    <row r="1065" spans="1:19" x14ac:dyDescent="0.2">
      <c r="A1065" s="54">
        <v>465977</v>
      </c>
      <c r="B1065" s="54" t="s">
        <v>312</v>
      </c>
      <c r="C1065" s="55">
        <v>1</v>
      </c>
      <c r="D1065" s="55">
        <v>90</v>
      </c>
      <c r="E1065" s="55">
        <v>18</v>
      </c>
      <c r="F1065" s="55">
        <v>181</v>
      </c>
      <c r="G1065" s="55">
        <v>55</v>
      </c>
      <c r="H1065" s="55">
        <v>55</v>
      </c>
      <c r="I1065" s="55">
        <v>2.0099999999999998</v>
      </c>
      <c r="J1065" s="55">
        <v>0.61</v>
      </c>
      <c r="K1065" s="55">
        <v>0.61</v>
      </c>
      <c r="L1065" s="55">
        <v>0</v>
      </c>
      <c r="M1065" s="54" t="s">
        <v>45</v>
      </c>
      <c r="N1065" s="54" t="s">
        <v>47</v>
      </c>
      <c r="O1065" s="54" t="s">
        <v>7</v>
      </c>
      <c r="P1065" s="54">
        <f t="shared" si="64"/>
        <v>1</v>
      </c>
      <c r="Q1065">
        <f t="shared" si="65"/>
        <v>1</v>
      </c>
      <c r="R1065">
        <f t="shared" si="66"/>
        <v>0</v>
      </c>
      <c r="S1065" t="b">
        <f t="shared" si="67"/>
        <v>0</v>
      </c>
    </row>
    <row r="1066" spans="1:19" x14ac:dyDescent="0.2">
      <c r="A1066" s="54">
        <v>466044</v>
      </c>
      <c r="B1066" s="54" t="s">
        <v>199</v>
      </c>
      <c r="C1066" s="55">
        <v>70</v>
      </c>
      <c r="D1066" s="55">
        <v>82</v>
      </c>
      <c r="E1066" s="55">
        <v>9</v>
      </c>
      <c r="F1066" s="55">
        <v>297</v>
      </c>
      <c r="G1066" s="55">
        <v>282</v>
      </c>
      <c r="H1066" s="55">
        <v>115</v>
      </c>
      <c r="I1066" s="55">
        <v>3.62</v>
      </c>
      <c r="J1066" s="55">
        <v>3.44</v>
      </c>
      <c r="K1066" s="55">
        <v>1.4</v>
      </c>
      <c r="L1066" s="55">
        <v>98</v>
      </c>
      <c r="M1066" s="54" t="s">
        <v>43</v>
      </c>
      <c r="N1066" s="54" t="s">
        <v>1400</v>
      </c>
      <c r="O1066" s="54" t="s">
        <v>7</v>
      </c>
      <c r="P1066" s="54">
        <f t="shared" si="64"/>
        <v>70</v>
      </c>
      <c r="Q1066">
        <f t="shared" si="65"/>
        <v>70</v>
      </c>
      <c r="R1066">
        <f t="shared" si="66"/>
        <v>70</v>
      </c>
      <c r="S1066" t="b">
        <f t="shared" si="67"/>
        <v>0</v>
      </c>
    </row>
    <row r="1067" spans="1:19" x14ac:dyDescent="0.2">
      <c r="A1067" s="54">
        <v>466199</v>
      </c>
      <c r="B1067" s="54" t="s">
        <v>701</v>
      </c>
      <c r="C1067" s="55">
        <v>1</v>
      </c>
      <c r="D1067" s="55">
        <v>1</v>
      </c>
      <c r="E1067" s="55">
        <v>3</v>
      </c>
      <c r="F1067" s="55">
        <v>11</v>
      </c>
      <c r="G1067" s="55">
        <v>0</v>
      </c>
      <c r="H1067" s="55">
        <v>0</v>
      </c>
      <c r="I1067" s="55">
        <v>11</v>
      </c>
      <c r="J1067" s="55">
        <v>0</v>
      </c>
      <c r="K1067" s="55">
        <v>0</v>
      </c>
      <c r="L1067" s="55">
        <v>3</v>
      </c>
      <c r="M1067" s="54" t="s">
        <v>30</v>
      </c>
      <c r="N1067" s="54" t="s">
        <v>1401</v>
      </c>
      <c r="O1067" s="54" t="s">
        <v>7</v>
      </c>
      <c r="P1067" s="54">
        <f t="shared" si="64"/>
        <v>1</v>
      </c>
      <c r="Q1067">
        <f t="shared" si="65"/>
        <v>1</v>
      </c>
      <c r="R1067">
        <f t="shared" si="66"/>
        <v>0</v>
      </c>
      <c r="S1067" t="b">
        <f t="shared" si="67"/>
        <v>0</v>
      </c>
    </row>
    <row r="1068" spans="1:19" x14ac:dyDescent="0.2">
      <c r="A1068" s="54">
        <v>466244</v>
      </c>
      <c r="B1068" s="54" t="s">
        <v>926</v>
      </c>
      <c r="C1068" s="55">
        <v>13</v>
      </c>
      <c r="D1068" s="55">
        <v>28</v>
      </c>
      <c r="E1068" s="55">
        <v>4</v>
      </c>
      <c r="F1068" s="55">
        <v>0</v>
      </c>
      <c r="G1068" s="55">
        <v>0</v>
      </c>
      <c r="H1068" s="55">
        <v>0</v>
      </c>
      <c r="I1068" s="55">
        <v>0</v>
      </c>
      <c r="J1068" s="55">
        <v>0</v>
      </c>
      <c r="K1068" s="55">
        <v>0</v>
      </c>
      <c r="L1068" s="55">
        <v>0</v>
      </c>
      <c r="M1068" s="54" t="s">
        <v>30</v>
      </c>
      <c r="N1068" s="54" t="s">
        <v>1401</v>
      </c>
      <c r="O1068" s="54" t="s">
        <v>7</v>
      </c>
      <c r="P1068" s="54">
        <f t="shared" si="64"/>
        <v>0</v>
      </c>
      <c r="Q1068">
        <f t="shared" si="65"/>
        <v>0</v>
      </c>
      <c r="R1068">
        <f t="shared" si="66"/>
        <v>0</v>
      </c>
      <c r="S1068" t="b">
        <f t="shared" si="67"/>
        <v>0</v>
      </c>
    </row>
    <row r="1069" spans="1:19" x14ac:dyDescent="0.2">
      <c r="A1069" s="54">
        <v>466249</v>
      </c>
      <c r="B1069" s="54" t="s">
        <v>1079</v>
      </c>
      <c r="C1069" s="55">
        <v>30</v>
      </c>
      <c r="D1069" s="55">
        <v>20</v>
      </c>
      <c r="E1069" s="55">
        <v>2</v>
      </c>
      <c r="F1069" s="55">
        <v>0</v>
      </c>
      <c r="G1069" s="55">
        <v>0</v>
      </c>
      <c r="H1069" s="55">
        <v>0</v>
      </c>
      <c r="I1069" s="55">
        <v>0</v>
      </c>
      <c r="J1069" s="55">
        <v>0</v>
      </c>
      <c r="K1069" s="55">
        <v>0</v>
      </c>
      <c r="L1069" s="55">
        <v>0</v>
      </c>
      <c r="M1069" s="54" t="s">
        <v>30</v>
      </c>
      <c r="N1069" s="54" t="s">
        <v>1401</v>
      </c>
      <c r="O1069" s="54" t="s">
        <v>7</v>
      </c>
      <c r="P1069" s="54">
        <f t="shared" si="64"/>
        <v>0</v>
      </c>
      <c r="Q1069">
        <f t="shared" si="65"/>
        <v>0</v>
      </c>
      <c r="R1069">
        <f t="shared" si="66"/>
        <v>0</v>
      </c>
      <c r="S1069" t="b">
        <f t="shared" si="67"/>
        <v>0</v>
      </c>
    </row>
    <row r="1070" spans="1:19" x14ac:dyDescent="0.2">
      <c r="A1070" s="54">
        <v>466251</v>
      </c>
      <c r="B1070" s="54" t="s">
        <v>712</v>
      </c>
      <c r="C1070" s="55">
        <v>2</v>
      </c>
      <c r="D1070" s="55">
        <v>11</v>
      </c>
      <c r="E1070" s="55">
        <v>1</v>
      </c>
      <c r="F1070" s="55">
        <v>0</v>
      </c>
      <c r="G1070" s="55">
        <v>0</v>
      </c>
      <c r="H1070" s="55">
        <v>0</v>
      </c>
      <c r="I1070" s="55">
        <v>0</v>
      </c>
      <c r="J1070" s="55">
        <v>0</v>
      </c>
      <c r="K1070" s="55">
        <v>0</v>
      </c>
      <c r="L1070" s="55">
        <v>0</v>
      </c>
      <c r="M1070" s="54" t="s">
        <v>30</v>
      </c>
      <c r="N1070" s="54" t="s">
        <v>1401</v>
      </c>
      <c r="O1070" s="54" t="s">
        <v>7</v>
      </c>
      <c r="P1070" s="54">
        <f t="shared" si="64"/>
        <v>0</v>
      </c>
      <c r="Q1070">
        <f t="shared" si="65"/>
        <v>0</v>
      </c>
      <c r="R1070">
        <f t="shared" si="66"/>
        <v>0</v>
      </c>
      <c r="S1070" t="b">
        <f t="shared" si="67"/>
        <v>0</v>
      </c>
    </row>
    <row r="1071" spans="1:19" x14ac:dyDescent="0.2">
      <c r="A1071" s="54">
        <v>466325</v>
      </c>
      <c r="B1071" s="54" t="s">
        <v>1227</v>
      </c>
      <c r="C1071" s="55">
        <v>115</v>
      </c>
      <c r="D1071" s="55">
        <v>115</v>
      </c>
      <c r="E1071" s="55">
        <v>1</v>
      </c>
      <c r="F1071" s="55">
        <v>0</v>
      </c>
      <c r="G1071" s="55">
        <v>0</v>
      </c>
      <c r="H1071" s="55">
        <v>0</v>
      </c>
      <c r="I1071" s="55">
        <v>0</v>
      </c>
      <c r="J1071" s="55">
        <v>0</v>
      </c>
      <c r="K1071" s="55">
        <v>0</v>
      </c>
      <c r="L1071" s="55">
        <v>0</v>
      </c>
      <c r="M1071" s="54" t="s">
        <v>30</v>
      </c>
      <c r="N1071" s="54" t="s">
        <v>1401</v>
      </c>
      <c r="O1071" s="54" t="s">
        <v>6</v>
      </c>
      <c r="P1071" s="54">
        <f t="shared" si="64"/>
        <v>0</v>
      </c>
      <c r="Q1071">
        <f t="shared" si="65"/>
        <v>0</v>
      </c>
      <c r="R1071">
        <f t="shared" si="66"/>
        <v>0</v>
      </c>
      <c r="S1071" t="b">
        <f t="shared" si="67"/>
        <v>0</v>
      </c>
    </row>
    <row r="1072" spans="1:19" x14ac:dyDescent="0.2">
      <c r="A1072" s="54">
        <v>466375</v>
      </c>
      <c r="B1072" s="54" t="s">
        <v>1088</v>
      </c>
      <c r="C1072" s="55">
        <v>31</v>
      </c>
      <c r="D1072" s="55">
        <v>32</v>
      </c>
      <c r="E1072" s="55">
        <v>2</v>
      </c>
      <c r="F1072" s="55">
        <v>34</v>
      </c>
      <c r="G1072" s="55">
        <v>34</v>
      </c>
      <c r="H1072" s="55">
        <v>34</v>
      </c>
      <c r="I1072" s="55">
        <v>1.06</v>
      </c>
      <c r="J1072" s="55">
        <v>1.06</v>
      </c>
      <c r="K1072" s="55">
        <v>1.06</v>
      </c>
      <c r="L1072" s="55">
        <v>23</v>
      </c>
      <c r="M1072" s="54" t="s">
        <v>30</v>
      </c>
      <c r="N1072" s="54" t="s">
        <v>1401</v>
      </c>
      <c r="O1072" s="54" t="s">
        <v>7</v>
      </c>
      <c r="P1072" s="54">
        <f t="shared" si="64"/>
        <v>31</v>
      </c>
      <c r="Q1072">
        <f t="shared" si="65"/>
        <v>0</v>
      </c>
      <c r="R1072">
        <f t="shared" si="66"/>
        <v>31</v>
      </c>
      <c r="S1072" t="b">
        <f t="shared" si="67"/>
        <v>0</v>
      </c>
    </row>
    <row r="1073" spans="1:19" x14ac:dyDescent="0.2">
      <c r="A1073" s="54">
        <v>466395</v>
      </c>
      <c r="B1073" s="54" t="s">
        <v>1136</v>
      </c>
      <c r="C1073" s="55">
        <v>45</v>
      </c>
      <c r="D1073" s="55">
        <v>45</v>
      </c>
      <c r="E1073" s="55">
        <v>1</v>
      </c>
      <c r="F1073" s="55">
        <v>1</v>
      </c>
      <c r="G1073" s="55">
        <v>1</v>
      </c>
      <c r="H1073" s="55">
        <v>1</v>
      </c>
      <c r="I1073" s="55">
        <v>0.02</v>
      </c>
      <c r="J1073" s="55">
        <v>0.02</v>
      </c>
      <c r="K1073" s="55">
        <v>0.02</v>
      </c>
      <c r="L1073" s="55">
        <v>0</v>
      </c>
      <c r="M1073" s="54" t="s">
        <v>30</v>
      </c>
      <c r="N1073" s="54" t="s">
        <v>1401</v>
      </c>
      <c r="O1073" s="54" t="s">
        <v>7</v>
      </c>
      <c r="P1073" s="54">
        <f t="shared" si="64"/>
        <v>0</v>
      </c>
      <c r="Q1073">
        <f t="shared" si="65"/>
        <v>0</v>
      </c>
      <c r="R1073">
        <f t="shared" si="66"/>
        <v>0</v>
      </c>
      <c r="S1073" t="b">
        <f t="shared" si="67"/>
        <v>0</v>
      </c>
    </row>
    <row r="1074" spans="1:19" x14ac:dyDescent="0.2">
      <c r="A1074" s="54">
        <v>466403</v>
      </c>
      <c r="B1074" s="54" t="s">
        <v>1361</v>
      </c>
      <c r="C1074" s="55">
        <v>0</v>
      </c>
      <c r="D1074" s="55">
        <v>41</v>
      </c>
      <c r="E1074" s="55">
        <v>0</v>
      </c>
      <c r="F1074" s="55">
        <v>0</v>
      </c>
      <c r="G1074" s="55">
        <v>0</v>
      </c>
      <c r="H1074" s="55">
        <v>0</v>
      </c>
      <c r="I1074" s="55">
        <v>0</v>
      </c>
      <c r="J1074" s="55">
        <v>0</v>
      </c>
      <c r="K1074" s="55">
        <v>0</v>
      </c>
      <c r="L1074" s="55">
        <v>0</v>
      </c>
      <c r="M1074" s="54" t="s">
        <v>30</v>
      </c>
      <c r="N1074" s="54" t="s">
        <v>1401</v>
      </c>
      <c r="O1074" s="54" t="s">
        <v>7</v>
      </c>
      <c r="P1074" s="54">
        <f t="shared" si="64"/>
        <v>0</v>
      </c>
      <c r="Q1074">
        <f t="shared" si="65"/>
        <v>0</v>
      </c>
      <c r="R1074">
        <f t="shared" si="66"/>
        <v>0</v>
      </c>
      <c r="S1074" t="b">
        <f t="shared" si="67"/>
        <v>0</v>
      </c>
    </row>
    <row r="1075" spans="1:19" x14ac:dyDescent="0.2">
      <c r="A1075" s="54">
        <v>466424</v>
      </c>
      <c r="B1075" s="54" t="s">
        <v>886</v>
      </c>
      <c r="C1075" s="55">
        <v>10</v>
      </c>
      <c r="D1075" s="55">
        <v>24</v>
      </c>
      <c r="E1075" s="55">
        <v>3</v>
      </c>
      <c r="F1075" s="55">
        <v>0</v>
      </c>
      <c r="G1075" s="55">
        <v>0</v>
      </c>
      <c r="H1075" s="55">
        <v>0</v>
      </c>
      <c r="I1075" s="55">
        <v>0</v>
      </c>
      <c r="J1075" s="55">
        <v>0</v>
      </c>
      <c r="K1075" s="55">
        <v>0</v>
      </c>
      <c r="L1075" s="55">
        <v>0</v>
      </c>
      <c r="M1075" s="54" t="s">
        <v>30</v>
      </c>
      <c r="N1075" s="54" t="s">
        <v>1401</v>
      </c>
      <c r="O1075" s="54" t="s">
        <v>7</v>
      </c>
      <c r="P1075" s="54">
        <f t="shared" si="64"/>
        <v>0</v>
      </c>
      <c r="Q1075">
        <f t="shared" si="65"/>
        <v>0</v>
      </c>
      <c r="R1075">
        <f t="shared" si="66"/>
        <v>0</v>
      </c>
      <c r="S1075" t="b">
        <f t="shared" si="67"/>
        <v>0</v>
      </c>
    </row>
    <row r="1076" spans="1:19" x14ac:dyDescent="0.2">
      <c r="A1076" s="54">
        <v>466485</v>
      </c>
      <c r="B1076" s="54" t="s">
        <v>1268</v>
      </c>
      <c r="C1076" s="55">
        <v>178</v>
      </c>
      <c r="D1076" s="55">
        <v>140</v>
      </c>
      <c r="E1076" s="55">
        <v>5</v>
      </c>
      <c r="F1076" s="55">
        <v>0</v>
      </c>
      <c r="G1076" s="55">
        <v>0</v>
      </c>
      <c r="H1076" s="55">
        <v>0</v>
      </c>
      <c r="I1076" s="55">
        <v>0</v>
      </c>
      <c r="J1076" s="55">
        <v>0</v>
      </c>
      <c r="K1076" s="55">
        <v>0</v>
      </c>
      <c r="L1076" s="55">
        <v>0</v>
      </c>
      <c r="M1076" s="54" t="s">
        <v>30</v>
      </c>
      <c r="N1076" s="54" t="s">
        <v>1401</v>
      </c>
      <c r="O1076" s="54" t="s">
        <v>6</v>
      </c>
      <c r="P1076" s="54">
        <f t="shared" si="64"/>
        <v>0</v>
      </c>
      <c r="Q1076">
        <f t="shared" si="65"/>
        <v>0</v>
      </c>
      <c r="R1076">
        <f t="shared" si="66"/>
        <v>0</v>
      </c>
      <c r="S1076" t="b">
        <f t="shared" si="67"/>
        <v>0</v>
      </c>
    </row>
    <row r="1077" spans="1:19" x14ac:dyDescent="0.2">
      <c r="A1077" s="54">
        <v>466491</v>
      </c>
      <c r="B1077" s="54" t="s">
        <v>172</v>
      </c>
      <c r="C1077" s="55">
        <v>3</v>
      </c>
      <c r="D1077" s="55">
        <v>135</v>
      </c>
      <c r="E1077" s="55">
        <v>9</v>
      </c>
      <c r="F1077" s="55">
        <v>391</v>
      </c>
      <c r="G1077" s="55">
        <v>7</v>
      </c>
      <c r="H1077" s="55">
        <v>4</v>
      </c>
      <c r="I1077" s="55">
        <v>2.9</v>
      </c>
      <c r="J1077" s="55">
        <v>0.05</v>
      </c>
      <c r="K1077" s="55">
        <v>0.03</v>
      </c>
      <c r="L1077" s="55">
        <v>3</v>
      </c>
      <c r="M1077" s="54" t="s">
        <v>43</v>
      </c>
      <c r="N1077" s="54" t="s">
        <v>1400</v>
      </c>
      <c r="O1077" s="54" t="s">
        <v>6</v>
      </c>
      <c r="P1077" s="54">
        <f t="shared" si="64"/>
        <v>3</v>
      </c>
      <c r="Q1077">
        <f t="shared" si="65"/>
        <v>3</v>
      </c>
      <c r="R1077">
        <f t="shared" si="66"/>
        <v>0</v>
      </c>
      <c r="S1077" t="b">
        <f t="shared" si="67"/>
        <v>0</v>
      </c>
    </row>
    <row r="1078" spans="1:19" x14ac:dyDescent="0.2">
      <c r="A1078" s="54">
        <v>466928</v>
      </c>
      <c r="B1078" s="54" t="s">
        <v>706</v>
      </c>
      <c r="C1078" s="55">
        <v>1</v>
      </c>
      <c r="D1078" s="55">
        <v>1</v>
      </c>
      <c r="E1078" s="55">
        <v>4</v>
      </c>
      <c r="F1078" s="55">
        <v>0</v>
      </c>
      <c r="G1078" s="55">
        <v>0</v>
      </c>
      <c r="H1078" s="55">
        <v>0</v>
      </c>
      <c r="I1078" s="55">
        <v>0</v>
      </c>
      <c r="J1078" s="55">
        <v>0</v>
      </c>
      <c r="K1078" s="55">
        <v>0</v>
      </c>
      <c r="L1078" s="55">
        <v>0</v>
      </c>
      <c r="M1078" s="54" t="s">
        <v>30</v>
      </c>
      <c r="N1078" s="54" t="s">
        <v>1401</v>
      </c>
      <c r="O1078" s="54" t="s">
        <v>7</v>
      </c>
      <c r="P1078" s="54">
        <f t="shared" si="64"/>
        <v>0</v>
      </c>
      <c r="Q1078">
        <f t="shared" si="65"/>
        <v>0</v>
      </c>
      <c r="R1078">
        <f t="shared" si="66"/>
        <v>0</v>
      </c>
      <c r="S1078" t="b">
        <f t="shared" si="67"/>
        <v>0</v>
      </c>
    </row>
    <row r="1079" spans="1:19" x14ac:dyDescent="0.2">
      <c r="A1079" s="54">
        <v>467078</v>
      </c>
      <c r="B1079" s="54" t="s">
        <v>840</v>
      </c>
      <c r="C1079" s="55">
        <v>8</v>
      </c>
      <c r="D1079" s="55">
        <v>7</v>
      </c>
      <c r="E1079" s="55">
        <v>2</v>
      </c>
      <c r="F1079" s="55">
        <v>0</v>
      </c>
      <c r="G1079" s="55">
        <v>0</v>
      </c>
      <c r="H1079" s="55">
        <v>0</v>
      </c>
      <c r="I1079" s="55">
        <v>0</v>
      </c>
      <c r="J1079" s="55">
        <v>0</v>
      </c>
      <c r="K1079" s="55">
        <v>0</v>
      </c>
      <c r="L1079" s="55">
        <v>0</v>
      </c>
      <c r="M1079" s="54" t="s">
        <v>30</v>
      </c>
      <c r="N1079" s="54" t="s">
        <v>1401</v>
      </c>
      <c r="O1079" s="54" t="s">
        <v>7</v>
      </c>
      <c r="P1079" s="54">
        <f t="shared" si="64"/>
        <v>0</v>
      </c>
      <c r="Q1079">
        <f t="shared" si="65"/>
        <v>0</v>
      </c>
      <c r="R1079">
        <f t="shared" si="66"/>
        <v>0</v>
      </c>
      <c r="S1079" t="b">
        <f t="shared" si="67"/>
        <v>0</v>
      </c>
    </row>
    <row r="1080" spans="1:19" x14ac:dyDescent="0.2">
      <c r="A1080" s="54">
        <v>467119</v>
      </c>
      <c r="B1080" s="54" t="s">
        <v>251</v>
      </c>
      <c r="C1080" s="55">
        <v>164</v>
      </c>
      <c r="D1080" s="55">
        <v>140</v>
      </c>
      <c r="E1080" s="55">
        <v>14</v>
      </c>
      <c r="F1080" s="55">
        <v>492</v>
      </c>
      <c r="G1080" s="55">
        <v>377</v>
      </c>
      <c r="H1080" s="55">
        <v>340</v>
      </c>
      <c r="I1080" s="55">
        <v>3.51</v>
      </c>
      <c r="J1080" s="55">
        <v>2.69</v>
      </c>
      <c r="K1080" s="55">
        <v>2.4300000000000002</v>
      </c>
      <c r="L1080" s="55">
        <v>301</v>
      </c>
      <c r="M1080" s="54" t="s">
        <v>45</v>
      </c>
      <c r="N1080" s="54" t="s">
        <v>47</v>
      </c>
      <c r="O1080" s="54" t="s">
        <v>6</v>
      </c>
      <c r="P1080" s="54">
        <f t="shared" si="64"/>
        <v>164</v>
      </c>
      <c r="Q1080">
        <f t="shared" si="65"/>
        <v>164</v>
      </c>
      <c r="R1080">
        <f t="shared" si="66"/>
        <v>164</v>
      </c>
      <c r="S1080" t="b">
        <f t="shared" si="67"/>
        <v>0</v>
      </c>
    </row>
    <row r="1081" spans="1:19" x14ac:dyDescent="0.2">
      <c r="A1081" s="54">
        <v>467660</v>
      </c>
      <c r="B1081" s="54" t="s">
        <v>575</v>
      </c>
      <c r="C1081" s="55">
        <v>26</v>
      </c>
      <c r="D1081" s="55">
        <v>19</v>
      </c>
      <c r="E1081" s="55">
        <v>6</v>
      </c>
      <c r="F1081" s="55">
        <v>6</v>
      </c>
      <c r="G1081" s="55">
        <v>6</v>
      </c>
      <c r="H1081" s="55">
        <v>6</v>
      </c>
      <c r="I1081" s="55">
        <v>0.32</v>
      </c>
      <c r="J1081" s="55">
        <v>0.32</v>
      </c>
      <c r="K1081" s="55">
        <v>0.32</v>
      </c>
      <c r="L1081" s="55">
        <v>4</v>
      </c>
      <c r="M1081" s="54" t="s">
        <v>43</v>
      </c>
      <c r="N1081" s="54" t="s">
        <v>1400</v>
      </c>
      <c r="O1081" s="54" t="s">
        <v>7</v>
      </c>
      <c r="P1081" s="54">
        <f t="shared" si="64"/>
        <v>0</v>
      </c>
      <c r="Q1081">
        <f t="shared" si="65"/>
        <v>0</v>
      </c>
      <c r="R1081">
        <f t="shared" si="66"/>
        <v>0</v>
      </c>
      <c r="S1081" t="b">
        <f t="shared" si="67"/>
        <v>0</v>
      </c>
    </row>
    <row r="1082" spans="1:19" x14ac:dyDescent="0.2">
      <c r="A1082" s="54">
        <v>467901</v>
      </c>
      <c r="B1082" s="54" t="s">
        <v>1085</v>
      </c>
      <c r="C1082" s="55">
        <v>30</v>
      </c>
      <c r="D1082" s="55">
        <v>40</v>
      </c>
      <c r="E1082" s="55">
        <v>0</v>
      </c>
      <c r="F1082" s="55">
        <v>0</v>
      </c>
      <c r="G1082" s="55">
        <v>0</v>
      </c>
      <c r="H1082" s="55">
        <v>0</v>
      </c>
      <c r="I1082" s="55">
        <v>0</v>
      </c>
      <c r="J1082" s="55">
        <v>0</v>
      </c>
      <c r="K1082" s="55">
        <v>0</v>
      </c>
      <c r="L1082" s="55">
        <v>0</v>
      </c>
      <c r="M1082" s="54" t="s">
        <v>30</v>
      </c>
      <c r="N1082" s="54" t="s">
        <v>1401</v>
      </c>
      <c r="O1082" s="54" t="s">
        <v>7</v>
      </c>
      <c r="P1082" s="54">
        <f t="shared" si="64"/>
        <v>0</v>
      </c>
      <c r="Q1082">
        <f t="shared" si="65"/>
        <v>0</v>
      </c>
      <c r="R1082">
        <f t="shared" si="66"/>
        <v>0</v>
      </c>
      <c r="S1082" t="b">
        <f t="shared" si="67"/>
        <v>0</v>
      </c>
    </row>
    <row r="1083" spans="1:19" x14ac:dyDescent="0.2">
      <c r="A1083" s="54">
        <v>468524</v>
      </c>
      <c r="B1083" s="54" t="s">
        <v>462</v>
      </c>
      <c r="C1083" s="55">
        <v>8</v>
      </c>
      <c r="D1083" s="55">
        <v>7</v>
      </c>
      <c r="E1083" s="55">
        <v>10</v>
      </c>
      <c r="F1083" s="55">
        <v>11</v>
      </c>
      <c r="G1083" s="55">
        <v>0</v>
      </c>
      <c r="H1083" s="55">
        <v>0</v>
      </c>
      <c r="I1083" s="55">
        <v>1.57</v>
      </c>
      <c r="J1083" s="55">
        <v>0</v>
      </c>
      <c r="K1083" s="55">
        <v>0</v>
      </c>
      <c r="L1083" s="55">
        <v>0</v>
      </c>
      <c r="M1083" s="54" t="s">
        <v>43</v>
      </c>
      <c r="N1083" s="54" t="s">
        <v>1400</v>
      </c>
      <c r="O1083" s="54" t="s">
        <v>7</v>
      </c>
      <c r="P1083" s="54">
        <f t="shared" si="64"/>
        <v>0</v>
      </c>
      <c r="Q1083">
        <f t="shared" si="65"/>
        <v>0</v>
      </c>
      <c r="R1083">
        <f t="shared" si="66"/>
        <v>0</v>
      </c>
      <c r="S1083" t="b">
        <f t="shared" si="67"/>
        <v>0</v>
      </c>
    </row>
    <row r="1084" spans="1:19" x14ac:dyDescent="0.2">
      <c r="A1084" s="54">
        <v>468613</v>
      </c>
      <c r="B1084" s="54" t="s">
        <v>1076</v>
      </c>
      <c r="C1084" s="55">
        <v>30</v>
      </c>
      <c r="D1084" s="55">
        <v>30</v>
      </c>
      <c r="E1084" s="55">
        <v>1</v>
      </c>
      <c r="F1084" s="55">
        <v>0</v>
      </c>
      <c r="G1084" s="55">
        <v>0</v>
      </c>
      <c r="H1084" s="55">
        <v>0</v>
      </c>
      <c r="I1084" s="55">
        <v>0</v>
      </c>
      <c r="J1084" s="55">
        <v>0</v>
      </c>
      <c r="K1084" s="55">
        <v>0</v>
      </c>
      <c r="L1084" s="55">
        <v>0</v>
      </c>
      <c r="M1084" s="54" t="s">
        <v>30</v>
      </c>
      <c r="N1084" s="54" t="s">
        <v>1401</v>
      </c>
      <c r="O1084" s="54" t="s">
        <v>7</v>
      </c>
      <c r="P1084" s="54">
        <f t="shared" si="64"/>
        <v>0</v>
      </c>
      <c r="Q1084">
        <f t="shared" si="65"/>
        <v>0</v>
      </c>
      <c r="R1084">
        <f t="shared" si="66"/>
        <v>0</v>
      </c>
      <c r="S1084" t="b">
        <f t="shared" si="67"/>
        <v>0</v>
      </c>
    </row>
    <row r="1085" spans="1:19" x14ac:dyDescent="0.2">
      <c r="A1085" s="54">
        <v>469102</v>
      </c>
      <c r="B1085" s="54" t="s">
        <v>1338</v>
      </c>
      <c r="C1085" s="55">
        <v>0</v>
      </c>
      <c r="D1085" s="55">
        <v>31</v>
      </c>
      <c r="E1085" s="55">
        <v>0</v>
      </c>
      <c r="F1085" s="55">
        <v>0</v>
      </c>
      <c r="G1085" s="55">
        <v>0</v>
      </c>
      <c r="H1085" s="55">
        <v>0</v>
      </c>
      <c r="I1085" s="55">
        <v>0</v>
      </c>
      <c r="J1085" s="55">
        <v>0</v>
      </c>
      <c r="K1085" s="55">
        <v>0</v>
      </c>
      <c r="L1085" s="55">
        <v>0</v>
      </c>
      <c r="M1085" s="54" t="s">
        <v>30</v>
      </c>
      <c r="N1085" s="54" t="s">
        <v>1401</v>
      </c>
      <c r="O1085" s="54" t="s">
        <v>7</v>
      </c>
      <c r="P1085" s="54">
        <f t="shared" si="64"/>
        <v>0</v>
      </c>
      <c r="Q1085">
        <f t="shared" si="65"/>
        <v>0</v>
      </c>
      <c r="R1085">
        <f t="shared" si="66"/>
        <v>0</v>
      </c>
      <c r="S1085" t="b">
        <f t="shared" si="67"/>
        <v>0</v>
      </c>
    </row>
    <row r="1086" spans="1:19" x14ac:dyDescent="0.2">
      <c r="A1086" s="54">
        <v>469448</v>
      </c>
      <c r="B1086" s="54" t="s">
        <v>795</v>
      </c>
      <c r="C1086" s="55">
        <v>5</v>
      </c>
      <c r="D1086" s="55">
        <v>6</v>
      </c>
      <c r="E1086" s="55">
        <v>4</v>
      </c>
      <c r="F1086" s="55">
        <v>7</v>
      </c>
      <c r="G1086" s="55">
        <v>7</v>
      </c>
      <c r="H1086" s="55">
        <v>7</v>
      </c>
      <c r="I1086" s="55">
        <v>1.17</v>
      </c>
      <c r="J1086" s="55">
        <v>1.17</v>
      </c>
      <c r="K1086" s="55">
        <v>1.17</v>
      </c>
      <c r="L1086" s="55">
        <v>0</v>
      </c>
      <c r="M1086" s="54" t="s">
        <v>30</v>
      </c>
      <c r="N1086" s="54" t="s">
        <v>1401</v>
      </c>
      <c r="O1086" s="54" t="s">
        <v>7</v>
      </c>
      <c r="P1086" s="54">
        <f t="shared" si="64"/>
        <v>5</v>
      </c>
      <c r="Q1086">
        <f t="shared" si="65"/>
        <v>0</v>
      </c>
      <c r="R1086">
        <f t="shared" si="66"/>
        <v>5</v>
      </c>
      <c r="S1086" t="b">
        <f t="shared" si="67"/>
        <v>0</v>
      </c>
    </row>
    <row r="1087" spans="1:19" x14ac:dyDescent="0.2">
      <c r="A1087" s="54">
        <v>469776</v>
      </c>
      <c r="B1087" s="54" t="s">
        <v>1103</v>
      </c>
      <c r="C1087" s="55">
        <v>33</v>
      </c>
      <c r="D1087" s="55">
        <v>20</v>
      </c>
      <c r="E1087" s="55">
        <v>4</v>
      </c>
      <c r="F1087" s="55">
        <v>4</v>
      </c>
      <c r="G1087" s="55">
        <v>4</v>
      </c>
      <c r="H1087" s="55">
        <v>4</v>
      </c>
      <c r="I1087" s="55">
        <v>0.2</v>
      </c>
      <c r="J1087" s="55">
        <v>0.2</v>
      </c>
      <c r="K1087" s="55">
        <v>0.2</v>
      </c>
      <c r="L1087" s="55">
        <v>0</v>
      </c>
      <c r="M1087" s="54" t="s">
        <v>30</v>
      </c>
      <c r="N1087" s="54" t="s">
        <v>1401</v>
      </c>
      <c r="O1087" s="54" t="s">
        <v>7</v>
      </c>
      <c r="P1087" s="54">
        <f t="shared" si="64"/>
        <v>0</v>
      </c>
      <c r="Q1087">
        <f t="shared" si="65"/>
        <v>0</v>
      </c>
      <c r="R1087">
        <f t="shared" si="66"/>
        <v>0</v>
      </c>
      <c r="S1087" t="b">
        <f t="shared" si="67"/>
        <v>0</v>
      </c>
    </row>
    <row r="1088" spans="1:19" x14ac:dyDescent="0.2">
      <c r="A1088" s="54">
        <v>469988</v>
      </c>
      <c r="B1088" s="54" t="s">
        <v>889</v>
      </c>
      <c r="C1088" s="55">
        <v>10</v>
      </c>
      <c r="D1088" s="55">
        <v>10</v>
      </c>
      <c r="E1088" s="55">
        <v>5</v>
      </c>
      <c r="F1088" s="55">
        <v>81</v>
      </c>
      <c r="G1088" s="55">
        <v>81</v>
      </c>
      <c r="H1088" s="55">
        <v>22</v>
      </c>
      <c r="I1088" s="55">
        <v>8.1</v>
      </c>
      <c r="J1088" s="55">
        <v>8.1</v>
      </c>
      <c r="K1088" s="55">
        <v>2.2000000000000002</v>
      </c>
      <c r="L1088" s="55">
        <v>9</v>
      </c>
      <c r="M1088" s="54" t="s">
        <v>30</v>
      </c>
      <c r="N1088" s="54" t="s">
        <v>1401</v>
      </c>
      <c r="O1088" s="54" t="s">
        <v>7</v>
      </c>
      <c r="P1088" s="54">
        <f t="shared" si="64"/>
        <v>10</v>
      </c>
      <c r="Q1088">
        <f t="shared" si="65"/>
        <v>10</v>
      </c>
      <c r="R1088">
        <f t="shared" si="66"/>
        <v>10</v>
      </c>
      <c r="S1088" t="b">
        <f t="shared" si="67"/>
        <v>0</v>
      </c>
    </row>
    <row r="1089" spans="1:19" x14ac:dyDescent="0.2">
      <c r="A1089" s="54">
        <v>470029</v>
      </c>
      <c r="B1089" s="54" t="s">
        <v>689</v>
      </c>
      <c r="C1089" s="55">
        <v>1</v>
      </c>
      <c r="D1089" s="55">
        <v>7</v>
      </c>
      <c r="E1089" s="55">
        <v>2</v>
      </c>
      <c r="F1089" s="55">
        <v>11</v>
      </c>
      <c r="G1089" s="55">
        <v>11</v>
      </c>
      <c r="H1089" s="55">
        <v>11</v>
      </c>
      <c r="I1089" s="55">
        <v>1.57</v>
      </c>
      <c r="J1089" s="55">
        <v>1.57</v>
      </c>
      <c r="K1089" s="55">
        <v>1.57</v>
      </c>
      <c r="L1089" s="55">
        <v>0</v>
      </c>
      <c r="M1089" s="54" t="s">
        <v>30</v>
      </c>
      <c r="N1089" s="54" t="s">
        <v>1401</v>
      </c>
      <c r="O1089" s="54" t="s">
        <v>7</v>
      </c>
      <c r="P1089" s="54">
        <f t="shared" si="64"/>
        <v>1</v>
      </c>
      <c r="Q1089">
        <f t="shared" si="65"/>
        <v>0</v>
      </c>
      <c r="R1089">
        <f t="shared" si="66"/>
        <v>1</v>
      </c>
      <c r="S1089" t="b">
        <f t="shared" si="67"/>
        <v>0</v>
      </c>
    </row>
    <row r="1090" spans="1:19" x14ac:dyDescent="0.2">
      <c r="A1090" s="54">
        <v>470041</v>
      </c>
      <c r="B1090" s="54" t="s">
        <v>868</v>
      </c>
      <c r="C1090" s="55">
        <v>10</v>
      </c>
      <c r="D1090" s="55">
        <v>8</v>
      </c>
      <c r="E1090" s="55">
        <v>1</v>
      </c>
      <c r="F1090" s="55">
        <v>0</v>
      </c>
      <c r="G1090" s="55">
        <v>0</v>
      </c>
      <c r="H1090" s="55">
        <v>0</v>
      </c>
      <c r="I1090" s="55">
        <v>0</v>
      </c>
      <c r="J1090" s="55">
        <v>0</v>
      </c>
      <c r="K1090" s="55">
        <v>0</v>
      </c>
      <c r="L1090" s="55">
        <v>0</v>
      </c>
      <c r="M1090" s="54" t="s">
        <v>30</v>
      </c>
      <c r="N1090" s="54" t="s">
        <v>1401</v>
      </c>
      <c r="O1090" s="54" t="s">
        <v>7</v>
      </c>
      <c r="P1090" s="54">
        <f t="shared" ref="P1090:P1153" si="68">IF(I1090&gt;=2, C1090, IF(J1090&gt;=0.75, C1090, 0))</f>
        <v>0</v>
      </c>
      <c r="Q1090">
        <f t="shared" ref="Q1090:Q1153" si="69">IF(I1090&gt;=2, C1090, IF(AND(J1090&gt;=0.75, D1090&gt;=550), C1090, 0))</f>
        <v>0</v>
      </c>
      <c r="R1090">
        <f t="shared" ref="R1090:R1153" si="70">IF(J1090&gt;=0.75, C1090, 0)</f>
        <v>0</v>
      </c>
      <c r="S1090" t="b">
        <f t="shared" si="67"/>
        <v>0</v>
      </c>
    </row>
    <row r="1091" spans="1:19" x14ac:dyDescent="0.2">
      <c r="A1091" s="54">
        <v>470515</v>
      </c>
      <c r="B1091" s="54" t="s">
        <v>978</v>
      </c>
      <c r="C1091" s="55">
        <v>16</v>
      </c>
      <c r="D1091" s="55">
        <v>16</v>
      </c>
      <c r="E1091" s="55">
        <v>4</v>
      </c>
      <c r="F1091" s="55">
        <v>8</v>
      </c>
      <c r="G1091" s="55">
        <v>7</v>
      </c>
      <c r="H1091" s="55">
        <v>0</v>
      </c>
      <c r="I1091" s="55">
        <v>0.5</v>
      </c>
      <c r="J1091" s="55">
        <v>0.44</v>
      </c>
      <c r="K1091" s="55">
        <v>0</v>
      </c>
      <c r="L1091" s="55">
        <v>0</v>
      </c>
      <c r="M1091" s="54" t="s">
        <v>30</v>
      </c>
      <c r="N1091" s="54" t="s">
        <v>1401</v>
      </c>
      <c r="O1091" s="54" t="s">
        <v>7</v>
      </c>
      <c r="P1091" s="54">
        <f t="shared" si="68"/>
        <v>0</v>
      </c>
      <c r="Q1091">
        <f t="shared" si="69"/>
        <v>0</v>
      </c>
      <c r="R1091">
        <f t="shared" si="70"/>
        <v>0</v>
      </c>
      <c r="S1091" t="b">
        <f t="shared" ref="S1091:S1154" si="71">IF(A1091=A1092,TRUE,FALSE)</f>
        <v>0</v>
      </c>
    </row>
    <row r="1092" spans="1:19" x14ac:dyDescent="0.2">
      <c r="A1092" s="54">
        <v>470672</v>
      </c>
      <c r="B1092" s="54" t="s">
        <v>311</v>
      </c>
      <c r="C1092" s="55">
        <v>0</v>
      </c>
      <c r="D1092" s="55">
        <v>73</v>
      </c>
      <c r="E1092" s="55">
        <v>28</v>
      </c>
      <c r="F1092" s="55">
        <v>156</v>
      </c>
      <c r="G1092" s="55">
        <v>87</v>
      </c>
      <c r="H1092" s="55">
        <v>87</v>
      </c>
      <c r="I1092" s="55">
        <v>2.14</v>
      </c>
      <c r="J1092" s="55">
        <v>1.19</v>
      </c>
      <c r="K1092" s="55">
        <v>1.19</v>
      </c>
      <c r="L1092" s="55">
        <v>0</v>
      </c>
      <c r="M1092" s="54" t="s">
        <v>47</v>
      </c>
      <c r="N1092" s="54" t="s">
        <v>47</v>
      </c>
      <c r="O1092" s="54" t="s">
        <v>7</v>
      </c>
      <c r="P1092" s="54">
        <f t="shared" si="68"/>
        <v>0</v>
      </c>
      <c r="Q1092">
        <f t="shared" si="69"/>
        <v>0</v>
      </c>
      <c r="R1092">
        <f t="shared" si="70"/>
        <v>0</v>
      </c>
      <c r="S1092" t="b">
        <f t="shared" si="71"/>
        <v>0</v>
      </c>
    </row>
    <row r="1093" spans="1:19" x14ac:dyDescent="0.2">
      <c r="A1093" s="54">
        <v>470764</v>
      </c>
      <c r="B1093" s="54" t="s">
        <v>853</v>
      </c>
      <c r="C1093" s="55">
        <v>8</v>
      </c>
      <c r="D1093" s="55">
        <v>10</v>
      </c>
      <c r="E1093" s="55">
        <v>5</v>
      </c>
      <c r="F1093" s="55">
        <v>25</v>
      </c>
      <c r="G1093" s="55">
        <v>25</v>
      </c>
      <c r="H1093" s="55">
        <v>0</v>
      </c>
      <c r="I1093" s="55">
        <v>2.5</v>
      </c>
      <c r="J1093" s="55">
        <v>2.5</v>
      </c>
      <c r="K1093" s="55">
        <v>0</v>
      </c>
      <c r="L1093" s="55">
        <v>10</v>
      </c>
      <c r="M1093" s="54" t="s">
        <v>30</v>
      </c>
      <c r="N1093" s="54" t="s">
        <v>1401</v>
      </c>
      <c r="O1093" s="54" t="s">
        <v>7</v>
      </c>
      <c r="P1093" s="54">
        <f t="shared" si="68"/>
        <v>8</v>
      </c>
      <c r="Q1093">
        <f t="shared" si="69"/>
        <v>8</v>
      </c>
      <c r="R1093">
        <f t="shared" si="70"/>
        <v>8</v>
      </c>
      <c r="S1093" t="b">
        <f t="shared" si="71"/>
        <v>0</v>
      </c>
    </row>
    <row r="1094" spans="1:19" x14ac:dyDescent="0.2">
      <c r="A1094" s="54">
        <v>470907</v>
      </c>
      <c r="B1094" s="54" t="s">
        <v>446</v>
      </c>
      <c r="C1094" s="55">
        <v>2</v>
      </c>
      <c r="D1094" s="55">
        <v>15</v>
      </c>
      <c r="E1094" s="55">
        <v>8</v>
      </c>
      <c r="F1094" s="55">
        <v>38</v>
      </c>
      <c r="G1094" s="55">
        <v>22</v>
      </c>
      <c r="H1094" s="55">
        <v>21</v>
      </c>
      <c r="I1094" s="55">
        <v>2.5299999999999998</v>
      </c>
      <c r="J1094" s="55">
        <v>1.47</v>
      </c>
      <c r="K1094" s="55">
        <v>1.4</v>
      </c>
      <c r="L1094" s="55">
        <v>70</v>
      </c>
      <c r="M1094" s="54" t="s">
        <v>43</v>
      </c>
      <c r="N1094" s="54" t="s">
        <v>1400</v>
      </c>
      <c r="O1094" s="54" t="s">
        <v>7</v>
      </c>
      <c r="P1094" s="54">
        <f t="shared" si="68"/>
        <v>2</v>
      </c>
      <c r="Q1094">
        <f t="shared" si="69"/>
        <v>2</v>
      </c>
      <c r="R1094">
        <f t="shared" si="70"/>
        <v>2</v>
      </c>
      <c r="S1094" t="b">
        <f t="shared" si="71"/>
        <v>0</v>
      </c>
    </row>
    <row r="1095" spans="1:19" x14ac:dyDescent="0.2">
      <c r="A1095" s="54">
        <v>470991</v>
      </c>
      <c r="B1095" s="54" t="s">
        <v>1009</v>
      </c>
      <c r="C1095" s="55">
        <v>20</v>
      </c>
      <c r="D1095" s="55">
        <v>15</v>
      </c>
      <c r="E1095" s="55">
        <v>3</v>
      </c>
      <c r="F1095" s="55">
        <v>0</v>
      </c>
      <c r="G1095" s="55">
        <v>0</v>
      </c>
      <c r="H1095" s="55">
        <v>0</v>
      </c>
      <c r="I1095" s="55">
        <v>0</v>
      </c>
      <c r="J1095" s="55">
        <v>0</v>
      </c>
      <c r="K1095" s="55">
        <v>0</v>
      </c>
      <c r="L1095" s="55">
        <v>0</v>
      </c>
      <c r="M1095" s="54" t="s">
        <v>30</v>
      </c>
      <c r="N1095" s="54" t="s">
        <v>1401</v>
      </c>
      <c r="O1095" s="54" t="s">
        <v>7</v>
      </c>
      <c r="P1095" s="54">
        <f t="shared" si="68"/>
        <v>0</v>
      </c>
      <c r="Q1095">
        <f t="shared" si="69"/>
        <v>0</v>
      </c>
      <c r="R1095">
        <f t="shared" si="70"/>
        <v>0</v>
      </c>
      <c r="S1095" t="b">
        <f t="shared" si="71"/>
        <v>0</v>
      </c>
    </row>
    <row r="1096" spans="1:19" x14ac:dyDescent="0.2">
      <c r="A1096" s="54">
        <v>470994</v>
      </c>
      <c r="B1096" s="54" t="s">
        <v>498</v>
      </c>
      <c r="C1096" s="55">
        <v>18</v>
      </c>
      <c r="D1096" s="55">
        <v>16</v>
      </c>
      <c r="E1096" s="55">
        <v>14</v>
      </c>
      <c r="F1096" s="55">
        <v>15</v>
      </c>
      <c r="G1096" s="55">
        <v>0</v>
      </c>
      <c r="H1096" s="55">
        <v>0</v>
      </c>
      <c r="I1096" s="55">
        <v>0.94</v>
      </c>
      <c r="J1096" s="55">
        <v>0</v>
      </c>
      <c r="K1096" s="55">
        <v>0</v>
      </c>
      <c r="L1096" s="55">
        <v>0</v>
      </c>
      <c r="M1096" s="54" t="s">
        <v>45</v>
      </c>
      <c r="N1096" s="54" t="s">
        <v>47</v>
      </c>
      <c r="O1096" s="54" t="s">
        <v>7</v>
      </c>
      <c r="P1096" s="54">
        <f t="shared" si="68"/>
        <v>0</v>
      </c>
      <c r="Q1096">
        <f t="shared" si="69"/>
        <v>0</v>
      </c>
      <c r="R1096">
        <f t="shared" si="70"/>
        <v>0</v>
      </c>
      <c r="S1096" t="b">
        <f t="shared" si="71"/>
        <v>0</v>
      </c>
    </row>
    <row r="1097" spans="1:19" x14ac:dyDescent="0.2">
      <c r="A1097" s="54">
        <v>471191</v>
      </c>
      <c r="B1097" s="54" t="s">
        <v>102</v>
      </c>
      <c r="C1097" s="55">
        <v>239</v>
      </c>
      <c r="D1097" s="55">
        <v>190</v>
      </c>
      <c r="E1097" s="55">
        <v>10</v>
      </c>
      <c r="F1097" s="55">
        <v>827</v>
      </c>
      <c r="G1097" s="55">
        <v>83</v>
      </c>
      <c r="H1097" s="55">
        <v>38</v>
      </c>
      <c r="I1097" s="55">
        <v>4.3499999999999996</v>
      </c>
      <c r="J1097" s="55">
        <v>0.44</v>
      </c>
      <c r="K1097" s="55">
        <v>0.2</v>
      </c>
      <c r="L1097" s="55">
        <v>75</v>
      </c>
      <c r="M1097" s="54" t="s">
        <v>43</v>
      </c>
      <c r="N1097" s="54" t="s">
        <v>1400</v>
      </c>
      <c r="O1097" s="54" t="s">
        <v>6</v>
      </c>
      <c r="P1097" s="54">
        <f t="shared" si="68"/>
        <v>239</v>
      </c>
      <c r="Q1097">
        <f t="shared" si="69"/>
        <v>239</v>
      </c>
      <c r="R1097">
        <f t="shared" si="70"/>
        <v>0</v>
      </c>
      <c r="S1097" t="b">
        <f t="shared" si="71"/>
        <v>0</v>
      </c>
    </row>
    <row r="1098" spans="1:19" x14ac:dyDescent="0.2">
      <c r="A1098" s="54">
        <v>471744</v>
      </c>
      <c r="B1098" s="54" t="s">
        <v>1049</v>
      </c>
      <c r="C1098" s="55">
        <v>25</v>
      </c>
      <c r="D1098" s="55">
        <v>23</v>
      </c>
      <c r="E1098" s="55">
        <v>4</v>
      </c>
      <c r="F1098" s="55">
        <v>0</v>
      </c>
      <c r="G1098" s="55">
        <v>0</v>
      </c>
      <c r="H1098" s="55">
        <v>0</v>
      </c>
      <c r="I1098" s="55">
        <v>0</v>
      </c>
      <c r="J1098" s="55">
        <v>0</v>
      </c>
      <c r="K1098" s="55">
        <v>0</v>
      </c>
      <c r="L1098" s="55">
        <v>0</v>
      </c>
      <c r="M1098" s="54" t="s">
        <v>30</v>
      </c>
      <c r="N1098" s="54" t="s">
        <v>1401</v>
      </c>
      <c r="O1098" s="54" t="s">
        <v>7</v>
      </c>
      <c r="P1098" s="54">
        <f t="shared" si="68"/>
        <v>0</v>
      </c>
      <c r="Q1098">
        <f t="shared" si="69"/>
        <v>0</v>
      </c>
      <c r="R1098">
        <f t="shared" si="70"/>
        <v>0</v>
      </c>
      <c r="S1098" t="b">
        <f t="shared" si="71"/>
        <v>0</v>
      </c>
    </row>
    <row r="1099" spans="1:19" x14ac:dyDescent="0.2">
      <c r="A1099" s="54">
        <v>471807</v>
      </c>
      <c r="B1099" s="54" t="s">
        <v>671</v>
      </c>
      <c r="C1099" s="55">
        <v>1</v>
      </c>
      <c r="D1099" s="55">
        <v>4</v>
      </c>
      <c r="E1099" s="55">
        <v>13</v>
      </c>
      <c r="F1099" s="55">
        <v>0</v>
      </c>
      <c r="G1099" s="55">
        <v>0</v>
      </c>
      <c r="H1099" s="55">
        <v>0</v>
      </c>
      <c r="I1099" s="55">
        <v>0</v>
      </c>
      <c r="J1099" s="55">
        <v>0</v>
      </c>
      <c r="K1099" s="55">
        <v>0</v>
      </c>
      <c r="L1099" s="55">
        <v>0</v>
      </c>
      <c r="M1099" s="54" t="s">
        <v>45</v>
      </c>
      <c r="N1099" s="54" t="s">
        <v>47</v>
      </c>
      <c r="O1099" s="54" t="s">
        <v>7</v>
      </c>
      <c r="P1099" s="54">
        <f t="shared" si="68"/>
        <v>0</v>
      </c>
      <c r="Q1099">
        <f t="shared" si="69"/>
        <v>0</v>
      </c>
      <c r="R1099">
        <f t="shared" si="70"/>
        <v>0</v>
      </c>
      <c r="S1099" t="b">
        <f t="shared" si="71"/>
        <v>0</v>
      </c>
    </row>
    <row r="1100" spans="1:19" x14ac:dyDescent="0.2">
      <c r="A1100" s="54">
        <v>472006</v>
      </c>
      <c r="B1100" s="54" t="s">
        <v>843</v>
      </c>
      <c r="C1100" s="55">
        <v>8</v>
      </c>
      <c r="D1100" s="55">
        <v>8</v>
      </c>
      <c r="E1100" s="55">
        <v>2</v>
      </c>
      <c r="F1100" s="55">
        <v>2</v>
      </c>
      <c r="G1100" s="55">
        <v>1</v>
      </c>
      <c r="H1100" s="55">
        <v>1</v>
      </c>
      <c r="I1100" s="55">
        <v>0.25</v>
      </c>
      <c r="J1100" s="55">
        <v>0.13</v>
      </c>
      <c r="K1100" s="55">
        <v>0.13</v>
      </c>
      <c r="L1100" s="55">
        <v>0</v>
      </c>
      <c r="M1100" s="54" t="s">
        <v>30</v>
      </c>
      <c r="N1100" s="54" t="s">
        <v>1401</v>
      </c>
      <c r="O1100" s="54" t="s">
        <v>7</v>
      </c>
      <c r="P1100" s="54">
        <f t="shared" si="68"/>
        <v>0</v>
      </c>
      <c r="Q1100">
        <f t="shared" si="69"/>
        <v>0</v>
      </c>
      <c r="R1100">
        <f t="shared" si="70"/>
        <v>0</v>
      </c>
      <c r="S1100" t="b">
        <f t="shared" si="71"/>
        <v>0</v>
      </c>
    </row>
    <row r="1101" spans="1:19" x14ac:dyDescent="0.2">
      <c r="A1101" s="54">
        <v>472299</v>
      </c>
      <c r="B1101" s="54" t="s">
        <v>580</v>
      </c>
      <c r="C1101" s="55">
        <v>20</v>
      </c>
      <c r="D1101" s="55">
        <v>36</v>
      </c>
      <c r="E1101" s="55">
        <v>6</v>
      </c>
      <c r="F1101" s="55">
        <v>10</v>
      </c>
      <c r="G1101" s="55">
        <v>10</v>
      </c>
      <c r="H1101" s="55">
        <v>8</v>
      </c>
      <c r="I1101" s="55">
        <v>0.28000000000000003</v>
      </c>
      <c r="J1101" s="55">
        <v>0.28000000000000003</v>
      </c>
      <c r="K1101" s="55">
        <v>0.22</v>
      </c>
      <c r="L1101" s="55">
        <v>34</v>
      </c>
      <c r="M1101" s="54" t="s">
        <v>43</v>
      </c>
      <c r="N1101" s="54" t="s">
        <v>1400</v>
      </c>
      <c r="O1101" s="54" t="s">
        <v>7</v>
      </c>
      <c r="P1101" s="54">
        <f t="shared" si="68"/>
        <v>0</v>
      </c>
      <c r="Q1101">
        <f t="shared" si="69"/>
        <v>0</v>
      </c>
      <c r="R1101">
        <f t="shared" si="70"/>
        <v>0</v>
      </c>
      <c r="S1101" t="b">
        <f t="shared" si="71"/>
        <v>0</v>
      </c>
    </row>
    <row r="1102" spans="1:19" x14ac:dyDescent="0.2">
      <c r="A1102" s="54">
        <v>472380</v>
      </c>
      <c r="B1102" s="54" t="s">
        <v>938</v>
      </c>
      <c r="C1102" s="55">
        <v>14</v>
      </c>
      <c r="D1102" s="55">
        <v>13</v>
      </c>
      <c r="E1102" s="55">
        <v>2</v>
      </c>
      <c r="F1102" s="55">
        <v>0</v>
      </c>
      <c r="G1102" s="55">
        <v>0</v>
      </c>
      <c r="H1102" s="55">
        <v>0</v>
      </c>
      <c r="I1102" s="55">
        <v>0</v>
      </c>
      <c r="J1102" s="55">
        <v>0</v>
      </c>
      <c r="K1102" s="55">
        <v>0</v>
      </c>
      <c r="L1102" s="55">
        <v>6</v>
      </c>
      <c r="M1102" s="54" t="s">
        <v>30</v>
      </c>
      <c r="N1102" s="54" t="s">
        <v>1401</v>
      </c>
      <c r="O1102" s="54" t="s">
        <v>7</v>
      </c>
      <c r="P1102" s="54">
        <f t="shared" si="68"/>
        <v>0</v>
      </c>
      <c r="Q1102">
        <f t="shared" si="69"/>
        <v>0</v>
      </c>
      <c r="R1102">
        <f t="shared" si="70"/>
        <v>0</v>
      </c>
      <c r="S1102" t="b">
        <f t="shared" si="71"/>
        <v>0</v>
      </c>
    </row>
    <row r="1103" spans="1:19" x14ac:dyDescent="0.2">
      <c r="A1103" s="54">
        <v>472541</v>
      </c>
      <c r="B1103" s="54" t="s">
        <v>852</v>
      </c>
      <c r="C1103" s="55">
        <v>8</v>
      </c>
      <c r="D1103" s="55">
        <v>8</v>
      </c>
      <c r="E1103" s="55">
        <v>4</v>
      </c>
      <c r="F1103" s="55">
        <v>4</v>
      </c>
      <c r="G1103" s="55">
        <v>4</v>
      </c>
      <c r="H1103" s="55">
        <v>0</v>
      </c>
      <c r="I1103" s="55">
        <v>0.5</v>
      </c>
      <c r="J1103" s="55">
        <v>0.5</v>
      </c>
      <c r="K1103" s="55">
        <v>0</v>
      </c>
      <c r="L1103" s="55">
        <v>0</v>
      </c>
      <c r="M1103" s="54" t="s">
        <v>30</v>
      </c>
      <c r="N1103" s="54" t="s">
        <v>1401</v>
      </c>
      <c r="O1103" s="54" t="s">
        <v>7</v>
      </c>
      <c r="P1103" s="54">
        <f t="shared" si="68"/>
        <v>0</v>
      </c>
      <c r="Q1103">
        <f t="shared" si="69"/>
        <v>0</v>
      </c>
      <c r="R1103">
        <f t="shared" si="70"/>
        <v>0</v>
      </c>
      <c r="S1103" t="b">
        <f t="shared" si="71"/>
        <v>0</v>
      </c>
    </row>
    <row r="1104" spans="1:19" x14ac:dyDescent="0.2">
      <c r="A1104" s="54">
        <v>472627</v>
      </c>
      <c r="B1104" s="54" t="s">
        <v>847</v>
      </c>
      <c r="C1104" s="55">
        <v>8</v>
      </c>
      <c r="D1104" s="55">
        <v>8</v>
      </c>
      <c r="E1104" s="55">
        <v>3</v>
      </c>
      <c r="F1104" s="55">
        <v>4</v>
      </c>
      <c r="G1104" s="55">
        <v>4</v>
      </c>
      <c r="H1104" s="55">
        <v>0</v>
      </c>
      <c r="I1104" s="55">
        <v>0.5</v>
      </c>
      <c r="J1104" s="55">
        <v>0.5</v>
      </c>
      <c r="K1104" s="55">
        <v>0</v>
      </c>
      <c r="L1104" s="55">
        <v>0</v>
      </c>
      <c r="M1104" s="54" t="s">
        <v>30</v>
      </c>
      <c r="N1104" s="54" t="s">
        <v>1401</v>
      </c>
      <c r="O1104" s="54" t="s">
        <v>7</v>
      </c>
      <c r="P1104" s="54">
        <f t="shared" si="68"/>
        <v>0</v>
      </c>
      <c r="Q1104">
        <f t="shared" si="69"/>
        <v>0</v>
      </c>
      <c r="R1104">
        <f t="shared" si="70"/>
        <v>0</v>
      </c>
      <c r="S1104" t="b">
        <f t="shared" si="71"/>
        <v>0</v>
      </c>
    </row>
    <row r="1105" spans="1:19" x14ac:dyDescent="0.2">
      <c r="A1105" s="54">
        <v>472834</v>
      </c>
      <c r="B1105" s="54" t="s">
        <v>683</v>
      </c>
      <c r="C1105" s="55">
        <v>1</v>
      </c>
      <c r="D1105" s="55">
        <v>1</v>
      </c>
      <c r="E1105" s="55">
        <v>1</v>
      </c>
      <c r="F1105" s="55">
        <v>0</v>
      </c>
      <c r="G1105" s="55">
        <v>0</v>
      </c>
      <c r="H1105" s="55">
        <v>0</v>
      </c>
      <c r="I1105" s="55">
        <v>0</v>
      </c>
      <c r="J1105" s="55">
        <v>0</v>
      </c>
      <c r="K1105" s="55">
        <v>0</v>
      </c>
      <c r="L1105" s="55">
        <v>0</v>
      </c>
      <c r="M1105" s="54" t="s">
        <v>30</v>
      </c>
      <c r="N1105" s="54" t="s">
        <v>1401</v>
      </c>
      <c r="O1105" s="54" t="s">
        <v>7</v>
      </c>
      <c r="P1105" s="54">
        <f t="shared" si="68"/>
        <v>0</v>
      </c>
      <c r="Q1105">
        <f t="shared" si="69"/>
        <v>0</v>
      </c>
      <c r="R1105">
        <f t="shared" si="70"/>
        <v>0</v>
      </c>
      <c r="S1105" t="b">
        <f t="shared" si="71"/>
        <v>0</v>
      </c>
    </row>
    <row r="1106" spans="1:19" x14ac:dyDescent="0.2">
      <c r="A1106" s="54">
        <v>473714</v>
      </c>
      <c r="B1106" s="54" t="s">
        <v>879</v>
      </c>
      <c r="C1106" s="55">
        <v>10</v>
      </c>
      <c r="D1106" s="55">
        <v>10</v>
      </c>
      <c r="E1106" s="55">
        <v>2</v>
      </c>
      <c r="F1106" s="55">
        <v>29</v>
      </c>
      <c r="G1106" s="55">
        <v>21</v>
      </c>
      <c r="H1106" s="55">
        <v>21</v>
      </c>
      <c r="I1106" s="55">
        <v>2.9</v>
      </c>
      <c r="J1106" s="55">
        <v>2.1</v>
      </c>
      <c r="K1106" s="55">
        <v>2.1</v>
      </c>
      <c r="L1106" s="55">
        <v>14</v>
      </c>
      <c r="M1106" s="54" t="s">
        <v>30</v>
      </c>
      <c r="N1106" s="54" t="s">
        <v>1401</v>
      </c>
      <c r="O1106" s="54" t="s">
        <v>7</v>
      </c>
      <c r="P1106" s="54">
        <f t="shared" si="68"/>
        <v>10</v>
      </c>
      <c r="Q1106">
        <f t="shared" si="69"/>
        <v>10</v>
      </c>
      <c r="R1106">
        <f t="shared" si="70"/>
        <v>10</v>
      </c>
      <c r="S1106" t="b">
        <f t="shared" si="71"/>
        <v>0</v>
      </c>
    </row>
    <row r="1107" spans="1:19" x14ac:dyDescent="0.2">
      <c r="A1107" s="54">
        <v>474623</v>
      </c>
      <c r="B1107" s="54" t="s">
        <v>221</v>
      </c>
      <c r="C1107" s="55">
        <v>16</v>
      </c>
      <c r="D1107" s="55">
        <v>31</v>
      </c>
      <c r="E1107" s="55">
        <v>22</v>
      </c>
      <c r="F1107" s="55">
        <v>173</v>
      </c>
      <c r="G1107" s="55">
        <v>76</v>
      </c>
      <c r="H1107" s="55">
        <v>38</v>
      </c>
      <c r="I1107" s="55">
        <v>5.58</v>
      </c>
      <c r="J1107" s="55">
        <v>2.4500000000000002</v>
      </c>
      <c r="K1107" s="55">
        <v>1.23</v>
      </c>
      <c r="L1107" s="55">
        <v>12</v>
      </c>
      <c r="M1107" s="54" t="s">
        <v>45</v>
      </c>
      <c r="N1107" s="54" t="s">
        <v>47</v>
      </c>
      <c r="O1107" s="54" t="s">
        <v>7</v>
      </c>
      <c r="P1107" s="54">
        <f t="shared" si="68"/>
        <v>16</v>
      </c>
      <c r="Q1107">
        <f t="shared" si="69"/>
        <v>16</v>
      </c>
      <c r="R1107">
        <f t="shared" si="70"/>
        <v>16</v>
      </c>
      <c r="S1107" t="b">
        <f t="shared" si="71"/>
        <v>0</v>
      </c>
    </row>
    <row r="1108" spans="1:19" x14ac:dyDescent="0.2">
      <c r="A1108" s="54">
        <v>475505</v>
      </c>
      <c r="B1108" s="54" t="s">
        <v>677</v>
      </c>
      <c r="C1108" s="55">
        <v>31</v>
      </c>
      <c r="D1108" s="55">
        <v>31</v>
      </c>
      <c r="E1108" s="55">
        <v>12</v>
      </c>
      <c r="F1108" s="55">
        <v>0</v>
      </c>
      <c r="G1108" s="55">
        <v>0</v>
      </c>
      <c r="H1108" s="55">
        <v>0</v>
      </c>
      <c r="I1108" s="55">
        <v>0</v>
      </c>
      <c r="J1108" s="55">
        <v>0</v>
      </c>
      <c r="K1108" s="55">
        <v>0</v>
      </c>
      <c r="L1108" s="55">
        <v>3</v>
      </c>
      <c r="M1108" s="54" t="s">
        <v>43</v>
      </c>
      <c r="N1108" s="54" t="s">
        <v>1400</v>
      </c>
      <c r="O1108" s="54" t="s">
        <v>7</v>
      </c>
      <c r="P1108" s="54">
        <f t="shared" si="68"/>
        <v>0</v>
      </c>
      <c r="Q1108">
        <f t="shared" si="69"/>
        <v>0</v>
      </c>
      <c r="R1108">
        <f t="shared" si="70"/>
        <v>0</v>
      </c>
      <c r="S1108" t="b">
        <f t="shared" si="71"/>
        <v>0</v>
      </c>
    </row>
    <row r="1109" spans="1:19" x14ac:dyDescent="0.2">
      <c r="A1109" s="54">
        <v>475512</v>
      </c>
      <c r="B1109" s="54" t="s">
        <v>482</v>
      </c>
      <c r="C1109" s="55">
        <v>1</v>
      </c>
      <c r="D1109" s="55">
        <v>10</v>
      </c>
      <c r="E1109" s="55">
        <v>6</v>
      </c>
      <c r="F1109" s="55">
        <v>12</v>
      </c>
      <c r="G1109" s="55">
        <v>12</v>
      </c>
      <c r="H1109" s="55">
        <v>0</v>
      </c>
      <c r="I1109" s="55">
        <v>1.2</v>
      </c>
      <c r="J1109" s="55">
        <v>1.2</v>
      </c>
      <c r="K1109" s="55">
        <v>0</v>
      </c>
      <c r="L1109" s="55">
        <v>0</v>
      </c>
      <c r="M1109" s="54" t="s">
        <v>43</v>
      </c>
      <c r="N1109" s="54" t="s">
        <v>1400</v>
      </c>
      <c r="O1109" s="54" t="s">
        <v>7</v>
      </c>
      <c r="P1109" s="54">
        <f t="shared" si="68"/>
        <v>1</v>
      </c>
      <c r="Q1109">
        <f t="shared" si="69"/>
        <v>0</v>
      </c>
      <c r="R1109">
        <f t="shared" si="70"/>
        <v>1</v>
      </c>
      <c r="S1109" t="b">
        <f t="shared" si="71"/>
        <v>0</v>
      </c>
    </row>
    <row r="1110" spans="1:19" x14ac:dyDescent="0.2">
      <c r="A1110" s="54">
        <v>475795</v>
      </c>
      <c r="B1110" s="54" t="s">
        <v>1327</v>
      </c>
      <c r="C1110" s="55">
        <v>0</v>
      </c>
      <c r="D1110" s="55">
        <v>7</v>
      </c>
      <c r="E1110" s="55">
        <v>0</v>
      </c>
      <c r="F1110" s="55">
        <v>0</v>
      </c>
      <c r="G1110" s="55">
        <v>0</v>
      </c>
      <c r="H1110" s="55">
        <v>0</v>
      </c>
      <c r="I1110" s="55">
        <v>0</v>
      </c>
      <c r="J1110" s="55">
        <v>0</v>
      </c>
      <c r="K1110" s="55">
        <v>0</v>
      </c>
      <c r="L1110" s="55">
        <v>0</v>
      </c>
      <c r="M1110" s="54" t="s">
        <v>30</v>
      </c>
      <c r="N1110" s="54" t="s">
        <v>1401</v>
      </c>
      <c r="O1110" s="54" t="s">
        <v>7</v>
      </c>
      <c r="P1110" s="54">
        <f t="shared" si="68"/>
        <v>0</v>
      </c>
      <c r="Q1110">
        <f t="shared" si="69"/>
        <v>0</v>
      </c>
      <c r="R1110">
        <f t="shared" si="70"/>
        <v>0</v>
      </c>
      <c r="S1110" t="b">
        <f t="shared" si="71"/>
        <v>0</v>
      </c>
    </row>
    <row r="1111" spans="1:19" x14ac:dyDescent="0.2">
      <c r="A1111" s="54">
        <v>476202</v>
      </c>
      <c r="B1111" s="54" t="s">
        <v>848</v>
      </c>
      <c r="C1111" s="55">
        <v>8</v>
      </c>
      <c r="D1111" s="55">
        <v>8</v>
      </c>
      <c r="E1111" s="55">
        <v>3</v>
      </c>
      <c r="F1111" s="55">
        <v>32</v>
      </c>
      <c r="G1111" s="55">
        <v>32</v>
      </c>
      <c r="H1111" s="55">
        <v>32</v>
      </c>
      <c r="I1111" s="55">
        <v>4</v>
      </c>
      <c r="J1111" s="55">
        <v>4</v>
      </c>
      <c r="K1111" s="55">
        <v>4</v>
      </c>
      <c r="L1111" s="55">
        <v>0</v>
      </c>
      <c r="M1111" s="54" t="s">
        <v>30</v>
      </c>
      <c r="N1111" s="54" t="s">
        <v>1401</v>
      </c>
      <c r="O1111" s="54" t="s">
        <v>7</v>
      </c>
      <c r="P1111" s="54">
        <f t="shared" si="68"/>
        <v>8</v>
      </c>
      <c r="Q1111">
        <f t="shared" si="69"/>
        <v>8</v>
      </c>
      <c r="R1111">
        <f t="shared" si="70"/>
        <v>8</v>
      </c>
      <c r="S1111" t="b">
        <f t="shared" si="71"/>
        <v>0</v>
      </c>
    </row>
    <row r="1112" spans="1:19" x14ac:dyDescent="0.2">
      <c r="A1112" s="54">
        <v>476210</v>
      </c>
      <c r="B1112" s="54" t="s">
        <v>1061</v>
      </c>
      <c r="C1112" s="55">
        <v>27</v>
      </c>
      <c r="D1112" s="55">
        <v>30</v>
      </c>
      <c r="E1112" s="55">
        <v>2</v>
      </c>
      <c r="F1112" s="55">
        <v>4</v>
      </c>
      <c r="G1112" s="55">
        <v>4</v>
      </c>
      <c r="H1112" s="55">
        <v>0</v>
      </c>
      <c r="I1112" s="55">
        <v>0.13</v>
      </c>
      <c r="J1112" s="55">
        <v>0.13</v>
      </c>
      <c r="K1112" s="55">
        <v>0</v>
      </c>
      <c r="L1112" s="55">
        <v>0</v>
      </c>
      <c r="M1112" s="54" t="s">
        <v>30</v>
      </c>
      <c r="N1112" s="54" t="s">
        <v>1401</v>
      </c>
      <c r="O1112" s="54" t="s">
        <v>7</v>
      </c>
      <c r="P1112" s="54">
        <f t="shared" si="68"/>
        <v>0</v>
      </c>
      <c r="Q1112">
        <f t="shared" si="69"/>
        <v>0</v>
      </c>
      <c r="R1112">
        <f t="shared" si="70"/>
        <v>0</v>
      </c>
      <c r="S1112" t="b">
        <f t="shared" si="71"/>
        <v>0</v>
      </c>
    </row>
    <row r="1113" spans="1:19" x14ac:dyDescent="0.2">
      <c r="A1113" s="54">
        <v>476352</v>
      </c>
      <c r="B1113" s="54" t="s">
        <v>870</v>
      </c>
      <c r="C1113" s="55">
        <v>10</v>
      </c>
      <c r="D1113" s="55">
        <v>10</v>
      </c>
      <c r="E1113" s="55">
        <v>1</v>
      </c>
      <c r="F1113" s="55">
        <v>16</v>
      </c>
      <c r="G1113" s="55">
        <v>16</v>
      </c>
      <c r="H1113" s="55">
        <v>16</v>
      </c>
      <c r="I1113" s="55">
        <v>1.6</v>
      </c>
      <c r="J1113" s="55">
        <v>1.6</v>
      </c>
      <c r="K1113" s="55">
        <v>1.6</v>
      </c>
      <c r="L1113" s="55">
        <v>0</v>
      </c>
      <c r="M1113" s="54" t="s">
        <v>30</v>
      </c>
      <c r="N1113" s="54" t="s">
        <v>1401</v>
      </c>
      <c r="O1113" s="54" t="s">
        <v>7</v>
      </c>
      <c r="P1113" s="54">
        <f t="shared" si="68"/>
        <v>10</v>
      </c>
      <c r="Q1113">
        <f t="shared" si="69"/>
        <v>0</v>
      </c>
      <c r="R1113">
        <f t="shared" si="70"/>
        <v>10</v>
      </c>
      <c r="S1113" t="b">
        <f t="shared" si="71"/>
        <v>0</v>
      </c>
    </row>
    <row r="1114" spans="1:19" x14ac:dyDescent="0.2">
      <c r="A1114" s="54">
        <v>476910</v>
      </c>
      <c r="B1114" s="54" t="s">
        <v>511</v>
      </c>
      <c r="C1114" s="55">
        <v>1</v>
      </c>
      <c r="D1114" s="55">
        <v>4</v>
      </c>
      <c r="E1114" s="55">
        <v>6</v>
      </c>
      <c r="F1114" s="55">
        <v>16</v>
      </c>
      <c r="G1114" s="55">
        <v>0</v>
      </c>
      <c r="H1114" s="55">
        <v>0</v>
      </c>
      <c r="I1114" s="55">
        <v>4</v>
      </c>
      <c r="J1114" s="55">
        <v>0</v>
      </c>
      <c r="K1114" s="55">
        <v>0</v>
      </c>
      <c r="L1114" s="55">
        <v>0</v>
      </c>
      <c r="M1114" s="54" t="s">
        <v>43</v>
      </c>
      <c r="N1114" s="54" t="s">
        <v>1400</v>
      </c>
      <c r="O1114" s="54" t="s">
        <v>7</v>
      </c>
      <c r="P1114" s="54">
        <f t="shared" si="68"/>
        <v>1</v>
      </c>
      <c r="Q1114">
        <f t="shared" si="69"/>
        <v>1</v>
      </c>
      <c r="R1114">
        <f t="shared" si="70"/>
        <v>0</v>
      </c>
      <c r="S1114" t="b">
        <f t="shared" si="71"/>
        <v>0</v>
      </c>
    </row>
    <row r="1115" spans="1:19" x14ac:dyDescent="0.2">
      <c r="A1115" s="54">
        <v>476935</v>
      </c>
      <c r="B1115" s="54" t="s">
        <v>1118</v>
      </c>
      <c r="C1115" s="55">
        <v>37</v>
      </c>
      <c r="D1115" s="55">
        <v>30</v>
      </c>
      <c r="E1115" s="55">
        <v>4</v>
      </c>
      <c r="F1115" s="55">
        <v>0</v>
      </c>
      <c r="G1115" s="55">
        <v>0</v>
      </c>
      <c r="H1115" s="55">
        <v>0</v>
      </c>
      <c r="I1115" s="55">
        <v>0</v>
      </c>
      <c r="J1115" s="55">
        <v>0</v>
      </c>
      <c r="K1115" s="55">
        <v>0</v>
      </c>
      <c r="L1115" s="55">
        <v>0</v>
      </c>
      <c r="M1115" s="54" t="s">
        <v>30</v>
      </c>
      <c r="N1115" s="54" t="s">
        <v>1401</v>
      </c>
      <c r="O1115" s="54" t="s">
        <v>7</v>
      </c>
      <c r="P1115" s="54">
        <f t="shared" si="68"/>
        <v>0</v>
      </c>
      <c r="Q1115">
        <f t="shared" si="69"/>
        <v>0</v>
      </c>
      <c r="R1115">
        <f t="shared" si="70"/>
        <v>0</v>
      </c>
      <c r="S1115" t="b">
        <f t="shared" si="71"/>
        <v>0</v>
      </c>
    </row>
    <row r="1116" spans="1:19" x14ac:dyDescent="0.2">
      <c r="A1116" s="54">
        <v>477054</v>
      </c>
      <c r="B1116" s="54" t="s">
        <v>816</v>
      </c>
      <c r="C1116" s="55">
        <v>6</v>
      </c>
      <c r="D1116" s="55">
        <v>6</v>
      </c>
      <c r="E1116" s="55">
        <v>4</v>
      </c>
      <c r="F1116" s="55">
        <v>0</v>
      </c>
      <c r="G1116" s="55">
        <v>0</v>
      </c>
      <c r="H1116" s="55">
        <v>0</v>
      </c>
      <c r="I1116" s="55">
        <v>0</v>
      </c>
      <c r="J1116" s="55">
        <v>0</v>
      </c>
      <c r="K1116" s="55">
        <v>0</v>
      </c>
      <c r="L1116" s="55">
        <v>0</v>
      </c>
      <c r="M1116" s="54" t="s">
        <v>30</v>
      </c>
      <c r="N1116" s="54" t="s">
        <v>1401</v>
      </c>
      <c r="O1116" s="54" t="s">
        <v>7</v>
      </c>
      <c r="P1116" s="54">
        <f t="shared" si="68"/>
        <v>0</v>
      </c>
      <c r="Q1116">
        <f t="shared" si="69"/>
        <v>0</v>
      </c>
      <c r="R1116">
        <f t="shared" si="70"/>
        <v>0</v>
      </c>
      <c r="S1116" t="b">
        <f t="shared" si="71"/>
        <v>0</v>
      </c>
    </row>
    <row r="1117" spans="1:19" x14ac:dyDescent="0.2">
      <c r="A1117" s="54">
        <v>477147</v>
      </c>
      <c r="B1117" s="54" t="s">
        <v>907</v>
      </c>
      <c r="C1117" s="55">
        <v>12</v>
      </c>
      <c r="D1117" s="55">
        <v>16</v>
      </c>
      <c r="E1117" s="55">
        <v>1</v>
      </c>
      <c r="F1117" s="55">
        <v>0</v>
      </c>
      <c r="G1117" s="55">
        <v>0</v>
      </c>
      <c r="H1117" s="55">
        <v>0</v>
      </c>
      <c r="I1117" s="55">
        <v>0</v>
      </c>
      <c r="J1117" s="55">
        <v>0</v>
      </c>
      <c r="K1117" s="55">
        <v>0</v>
      </c>
      <c r="L1117" s="55">
        <v>0</v>
      </c>
      <c r="M1117" s="54" t="s">
        <v>30</v>
      </c>
      <c r="N1117" s="54" t="s">
        <v>1401</v>
      </c>
      <c r="O1117" s="54" t="s">
        <v>7</v>
      </c>
      <c r="P1117" s="54">
        <f t="shared" si="68"/>
        <v>0</v>
      </c>
      <c r="Q1117">
        <f t="shared" si="69"/>
        <v>0</v>
      </c>
      <c r="R1117">
        <f t="shared" si="70"/>
        <v>0</v>
      </c>
      <c r="S1117" t="b">
        <f t="shared" si="71"/>
        <v>0</v>
      </c>
    </row>
    <row r="1118" spans="1:19" x14ac:dyDescent="0.2">
      <c r="A1118" s="54">
        <v>477326</v>
      </c>
      <c r="B1118" s="54" t="s">
        <v>700</v>
      </c>
      <c r="C1118" s="55">
        <v>1</v>
      </c>
      <c r="D1118" s="55">
        <v>2</v>
      </c>
      <c r="E1118" s="55">
        <v>3</v>
      </c>
      <c r="F1118" s="55">
        <v>0</v>
      </c>
      <c r="G1118" s="55">
        <v>0</v>
      </c>
      <c r="H1118" s="55">
        <v>0</v>
      </c>
      <c r="I1118" s="55">
        <v>0</v>
      </c>
      <c r="J1118" s="55">
        <v>0</v>
      </c>
      <c r="K1118" s="55">
        <v>0</v>
      </c>
      <c r="L1118" s="55">
        <v>0</v>
      </c>
      <c r="M1118" s="54" t="s">
        <v>30</v>
      </c>
      <c r="N1118" s="54" t="s">
        <v>1401</v>
      </c>
      <c r="O1118" s="54" t="s">
        <v>7</v>
      </c>
      <c r="P1118" s="54">
        <f t="shared" si="68"/>
        <v>0</v>
      </c>
      <c r="Q1118">
        <f t="shared" si="69"/>
        <v>0</v>
      </c>
      <c r="R1118">
        <f t="shared" si="70"/>
        <v>0</v>
      </c>
      <c r="S1118" t="b">
        <f t="shared" si="71"/>
        <v>0</v>
      </c>
    </row>
    <row r="1119" spans="1:19" x14ac:dyDescent="0.2">
      <c r="A1119" s="54">
        <v>477343</v>
      </c>
      <c r="B1119" s="54" t="s">
        <v>900</v>
      </c>
      <c r="C1119" s="55">
        <v>11</v>
      </c>
      <c r="D1119" s="55">
        <v>11</v>
      </c>
      <c r="E1119" s="55">
        <v>3</v>
      </c>
      <c r="F1119" s="55">
        <v>4</v>
      </c>
      <c r="G1119" s="55">
        <v>4</v>
      </c>
      <c r="H1119" s="55">
        <v>0</v>
      </c>
      <c r="I1119" s="55">
        <v>0.36</v>
      </c>
      <c r="J1119" s="55">
        <v>0.36</v>
      </c>
      <c r="K1119" s="55">
        <v>0</v>
      </c>
      <c r="L1119" s="55">
        <v>0</v>
      </c>
      <c r="M1119" s="54" t="s">
        <v>30</v>
      </c>
      <c r="N1119" s="54" t="s">
        <v>1401</v>
      </c>
      <c r="O1119" s="54" t="s">
        <v>7</v>
      </c>
      <c r="P1119" s="54">
        <f t="shared" si="68"/>
        <v>0</v>
      </c>
      <c r="Q1119">
        <f t="shared" si="69"/>
        <v>0</v>
      </c>
      <c r="R1119">
        <f t="shared" si="70"/>
        <v>0</v>
      </c>
      <c r="S1119" t="b">
        <f t="shared" si="71"/>
        <v>0</v>
      </c>
    </row>
    <row r="1120" spans="1:19" x14ac:dyDescent="0.2">
      <c r="A1120" s="54">
        <v>477467</v>
      </c>
      <c r="B1120" s="54" t="s">
        <v>528</v>
      </c>
      <c r="C1120" s="55">
        <v>6</v>
      </c>
      <c r="D1120" s="55">
        <v>6</v>
      </c>
      <c r="E1120" s="55">
        <v>17</v>
      </c>
      <c r="F1120" s="55">
        <v>12</v>
      </c>
      <c r="G1120" s="55">
        <v>0</v>
      </c>
      <c r="H1120" s="55">
        <v>0</v>
      </c>
      <c r="I1120" s="55">
        <v>2</v>
      </c>
      <c r="J1120" s="55">
        <v>0</v>
      </c>
      <c r="K1120" s="55">
        <v>0</v>
      </c>
      <c r="L1120" s="55">
        <v>0</v>
      </c>
      <c r="M1120" s="54" t="s">
        <v>45</v>
      </c>
      <c r="N1120" s="54" t="s">
        <v>47</v>
      </c>
      <c r="O1120" s="54" t="s">
        <v>7</v>
      </c>
      <c r="P1120" s="54">
        <f t="shared" si="68"/>
        <v>6</v>
      </c>
      <c r="Q1120">
        <f t="shared" si="69"/>
        <v>6</v>
      </c>
      <c r="R1120">
        <f t="shared" si="70"/>
        <v>0</v>
      </c>
      <c r="S1120" t="b">
        <f t="shared" si="71"/>
        <v>0</v>
      </c>
    </row>
    <row r="1121" spans="1:19" x14ac:dyDescent="0.2">
      <c r="A1121" s="54">
        <v>477587</v>
      </c>
      <c r="B1121" s="54" t="s">
        <v>284</v>
      </c>
      <c r="C1121" s="55">
        <v>10</v>
      </c>
      <c r="D1121" s="55">
        <v>10</v>
      </c>
      <c r="E1121" s="55">
        <v>9</v>
      </c>
      <c r="F1121" s="55">
        <v>138</v>
      </c>
      <c r="G1121" s="55">
        <v>38</v>
      </c>
      <c r="H1121" s="55">
        <v>34</v>
      </c>
      <c r="I1121" s="55">
        <v>13.8</v>
      </c>
      <c r="J1121" s="55">
        <v>3.8</v>
      </c>
      <c r="K1121" s="55">
        <v>3.4</v>
      </c>
      <c r="L1121" s="55">
        <v>31</v>
      </c>
      <c r="M1121" s="54" t="s">
        <v>43</v>
      </c>
      <c r="N1121" s="54" t="s">
        <v>1400</v>
      </c>
      <c r="O1121" s="54" t="s">
        <v>7</v>
      </c>
      <c r="P1121" s="54">
        <f t="shared" si="68"/>
        <v>10</v>
      </c>
      <c r="Q1121">
        <f t="shared" si="69"/>
        <v>10</v>
      </c>
      <c r="R1121">
        <f t="shared" si="70"/>
        <v>10</v>
      </c>
      <c r="S1121" t="b">
        <f t="shared" si="71"/>
        <v>0</v>
      </c>
    </row>
    <row r="1122" spans="1:19" x14ac:dyDescent="0.2">
      <c r="A1122" s="54">
        <v>477682</v>
      </c>
      <c r="B1122" s="54" t="s">
        <v>784</v>
      </c>
      <c r="C1122" s="55">
        <v>5</v>
      </c>
      <c r="D1122" s="55">
        <v>5</v>
      </c>
      <c r="E1122" s="55">
        <v>1</v>
      </c>
      <c r="F1122" s="55">
        <v>0</v>
      </c>
      <c r="G1122" s="55">
        <v>0</v>
      </c>
      <c r="H1122" s="55">
        <v>0</v>
      </c>
      <c r="I1122" s="55">
        <v>0</v>
      </c>
      <c r="J1122" s="55">
        <v>0</v>
      </c>
      <c r="K1122" s="55">
        <v>0</v>
      </c>
      <c r="L1122" s="55">
        <v>0</v>
      </c>
      <c r="M1122" s="54" t="s">
        <v>30</v>
      </c>
      <c r="N1122" s="54" t="s">
        <v>1401</v>
      </c>
      <c r="O1122" s="54" t="s">
        <v>7</v>
      </c>
      <c r="P1122" s="54">
        <f t="shared" si="68"/>
        <v>0</v>
      </c>
      <c r="Q1122">
        <f t="shared" si="69"/>
        <v>0</v>
      </c>
      <c r="R1122">
        <f t="shared" si="70"/>
        <v>0</v>
      </c>
      <c r="S1122" t="b">
        <f t="shared" si="71"/>
        <v>0</v>
      </c>
    </row>
    <row r="1123" spans="1:19" x14ac:dyDescent="0.2">
      <c r="A1123" s="54">
        <v>478409</v>
      </c>
      <c r="B1123" s="54" t="s">
        <v>330</v>
      </c>
      <c r="C1123" s="55">
        <v>0</v>
      </c>
      <c r="D1123" s="55">
        <v>25</v>
      </c>
      <c r="E1123" s="55">
        <v>19</v>
      </c>
      <c r="F1123" s="55">
        <v>276</v>
      </c>
      <c r="G1123" s="55">
        <v>17</v>
      </c>
      <c r="H1123" s="55">
        <v>9</v>
      </c>
      <c r="I1123" s="55">
        <v>11.04</v>
      </c>
      <c r="J1123" s="55">
        <v>0.68</v>
      </c>
      <c r="K1123" s="55">
        <v>0.36</v>
      </c>
      <c r="L1123" s="55">
        <v>2</v>
      </c>
      <c r="M1123" s="54" t="s">
        <v>45</v>
      </c>
      <c r="N1123" s="54" t="s">
        <v>47</v>
      </c>
      <c r="O1123" s="54" t="s">
        <v>7</v>
      </c>
      <c r="P1123" s="54">
        <f t="shared" si="68"/>
        <v>0</v>
      </c>
      <c r="Q1123">
        <f t="shared" si="69"/>
        <v>0</v>
      </c>
      <c r="R1123">
        <f t="shared" si="70"/>
        <v>0</v>
      </c>
      <c r="S1123" t="b">
        <f t="shared" si="71"/>
        <v>0</v>
      </c>
    </row>
    <row r="1124" spans="1:19" x14ac:dyDescent="0.2">
      <c r="A1124" s="54">
        <v>478423</v>
      </c>
      <c r="B1124" s="54" t="s">
        <v>624</v>
      </c>
      <c r="C1124" s="55">
        <v>14</v>
      </c>
      <c r="D1124" s="55">
        <v>14</v>
      </c>
      <c r="E1124" s="55">
        <v>21</v>
      </c>
      <c r="F1124" s="55">
        <v>0</v>
      </c>
      <c r="G1124" s="55">
        <v>0</v>
      </c>
      <c r="H1124" s="55">
        <v>0</v>
      </c>
      <c r="I1124" s="55">
        <v>0</v>
      </c>
      <c r="J1124" s="55">
        <v>0</v>
      </c>
      <c r="K1124" s="55">
        <v>0</v>
      </c>
      <c r="L1124" s="55">
        <v>0</v>
      </c>
      <c r="M1124" s="54" t="s">
        <v>45</v>
      </c>
      <c r="N1124" s="54" t="s">
        <v>47</v>
      </c>
      <c r="O1124" s="54" t="s">
        <v>7</v>
      </c>
      <c r="P1124" s="54">
        <f t="shared" si="68"/>
        <v>0</v>
      </c>
      <c r="Q1124">
        <f t="shared" si="69"/>
        <v>0</v>
      </c>
      <c r="R1124">
        <f t="shared" si="70"/>
        <v>0</v>
      </c>
      <c r="S1124" t="b">
        <f t="shared" si="71"/>
        <v>0</v>
      </c>
    </row>
    <row r="1125" spans="1:19" x14ac:dyDescent="0.2">
      <c r="A1125" s="54">
        <v>478812</v>
      </c>
      <c r="B1125" s="54" t="s">
        <v>196</v>
      </c>
      <c r="C1125" s="55">
        <v>164</v>
      </c>
      <c r="D1125" s="55">
        <v>135</v>
      </c>
      <c r="E1125" s="55">
        <v>8</v>
      </c>
      <c r="F1125" s="55">
        <v>219</v>
      </c>
      <c r="G1125" s="55">
        <v>114</v>
      </c>
      <c r="H1125" s="55">
        <v>42</v>
      </c>
      <c r="I1125" s="55">
        <v>1.62</v>
      </c>
      <c r="J1125" s="55">
        <v>0.84</v>
      </c>
      <c r="K1125" s="55">
        <v>0.31</v>
      </c>
      <c r="L1125" s="55">
        <v>203</v>
      </c>
      <c r="M1125" s="54" t="s">
        <v>43</v>
      </c>
      <c r="N1125" s="54" t="s">
        <v>1400</v>
      </c>
      <c r="O1125" s="54" t="s">
        <v>6</v>
      </c>
      <c r="P1125" s="54">
        <f t="shared" si="68"/>
        <v>164</v>
      </c>
      <c r="Q1125">
        <f t="shared" si="69"/>
        <v>0</v>
      </c>
      <c r="R1125">
        <f t="shared" si="70"/>
        <v>164</v>
      </c>
      <c r="S1125" t="b">
        <f t="shared" si="71"/>
        <v>0</v>
      </c>
    </row>
    <row r="1126" spans="1:19" x14ac:dyDescent="0.2">
      <c r="A1126" s="54">
        <v>478901</v>
      </c>
      <c r="B1126" s="54" t="s">
        <v>1130</v>
      </c>
      <c r="C1126" s="55">
        <v>40</v>
      </c>
      <c r="D1126" s="55">
        <v>44</v>
      </c>
      <c r="E1126" s="55">
        <v>0</v>
      </c>
      <c r="F1126" s="55">
        <v>0</v>
      </c>
      <c r="G1126" s="55">
        <v>0</v>
      </c>
      <c r="H1126" s="55">
        <v>0</v>
      </c>
      <c r="I1126" s="55">
        <v>0</v>
      </c>
      <c r="J1126" s="55">
        <v>0</v>
      </c>
      <c r="K1126" s="55">
        <v>0</v>
      </c>
      <c r="L1126" s="55">
        <v>0</v>
      </c>
      <c r="M1126" s="54" t="s">
        <v>30</v>
      </c>
      <c r="N1126" s="54" t="s">
        <v>1401</v>
      </c>
      <c r="O1126" s="54" t="s">
        <v>7</v>
      </c>
      <c r="P1126" s="54">
        <f t="shared" si="68"/>
        <v>0</v>
      </c>
      <c r="Q1126">
        <f t="shared" si="69"/>
        <v>0</v>
      </c>
      <c r="R1126">
        <f t="shared" si="70"/>
        <v>0</v>
      </c>
      <c r="S1126" t="b">
        <f t="shared" si="71"/>
        <v>0</v>
      </c>
    </row>
    <row r="1127" spans="1:19" x14ac:dyDescent="0.2">
      <c r="A1127" s="54">
        <v>479222</v>
      </c>
      <c r="B1127" s="54" t="s">
        <v>940</v>
      </c>
      <c r="C1127" s="55">
        <v>14</v>
      </c>
      <c r="D1127" s="55">
        <v>15</v>
      </c>
      <c r="E1127" s="55">
        <v>2</v>
      </c>
      <c r="F1127" s="55">
        <v>12</v>
      </c>
      <c r="G1127" s="55">
        <v>18</v>
      </c>
      <c r="H1127" s="55">
        <v>21</v>
      </c>
      <c r="I1127" s="55">
        <v>0.8</v>
      </c>
      <c r="J1127" s="55">
        <v>1.2</v>
      </c>
      <c r="K1127" s="55">
        <v>1.4</v>
      </c>
      <c r="L1127" s="55">
        <v>0</v>
      </c>
      <c r="M1127" s="54" t="s">
        <v>30</v>
      </c>
      <c r="N1127" s="54" t="s">
        <v>1401</v>
      </c>
      <c r="O1127" s="54" t="s">
        <v>7</v>
      </c>
      <c r="P1127" s="54">
        <f t="shared" si="68"/>
        <v>14</v>
      </c>
      <c r="Q1127">
        <f t="shared" si="69"/>
        <v>0</v>
      </c>
      <c r="R1127">
        <f t="shared" si="70"/>
        <v>14</v>
      </c>
      <c r="S1127" t="b">
        <f t="shared" si="71"/>
        <v>0</v>
      </c>
    </row>
    <row r="1128" spans="1:19" x14ac:dyDescent="0.2">
      <c r="A1128" s="54">
        <v>479509</v>
      </c>
      <c r="B1128" s="54" t="s">
        <v>451</v>
      </c>
      <c r="C1128" s="55">
        <v>8</v>
      </c>
      <c r="D1128" s="55">
        <v>7</v>
      </c>
      <c r="E1128" s="55">
        <v>14</v>
      </c>
      <c r="F1128" s="55">
        <v>33</v>
      </c>
      <c r="G1128" s="55">
        <v>27</v>
      </c>
      <c r="H1128" s="55">
        <v>20</v>
      </c>
      <c r="I1128" s="55">
        <v>4.71</v>
      </c>
      <c r="J1128" s="55">
        <v>3.86</v>
      </c>
      <c r="K1128" s="55">
        <v>2.86</v>
      </c>
      <c r="L1128" s="55">
        <v>1</v>
      </c>
      <c r="M1128" s="54" t="s">
        <v>45</v>
      </c>
      <c r="N1128" s="54" t="s">
        <v>47</v>
      </c>
      <c r="O1128" s="54" t="s">
        <v>7</v>
      </c>
      <c r="P1128" s="54">
        <f t="shared" si="68"/>
        <v>8</v>
      </c>
      <c r="Q1128">
        <f t="shared" si="69"/>
        <v>8</v>
      </c>
      <c r="R1128">
        <f t="shared" si="70"/>
        <v>8</v>
      </c>
      <c r="S1128" t="b">
        <f t="shared" si="71"/>
        <v>0</v>
      </c>
    </row>
    <row r="1129" spans="1:19" x14ac:dyDescent="0.2">
      <c r="A1129" s="54">
        <v>479807</v>
      </c>
      <c r="B1129" s="54" t="s">
        <v>431</v>
      </c>
      <c r="C1129" s="55">
        <v>63</v>
      </c>
      <c r="D1129" s="55">
        <v>60</v>
      </c>
      <c r="E1129" s="55">
        <v>21</v>
      </c>
      <c r="F1129" s="55">
        <v>30</v>
      </c>
      <c r="G1129" s="55">
        <v>30</v>
      </c>
      <c r="H1129" s="55">
        <v>0</v>
      </c>
      <c r="I1129" s="55">
        <v>0.5</v>
      </c>
      <c r="J1129" s="55">
        <v>0.5</v>
      </c>
      <c r="K1129" s="55">
        <v>0</v>
      </c>
      <c r="L1129" s="55">
        <v>0</v>
      </c>
      <c r="M1129" s="54" t="s">
        <v>45</v>
      </c>
      <c r="N1129" s="54" t="s">
        <v>47</v>
      </c>
      <c r="O1129" s="54" t="s">
        <v>7</v>
      </c>
      <c r="P1129" s="54">
        <f t="shared" si="68"/>
        <v>0</v>
      </c>
      <c r="Q1129">
        <f t="shared" si="69"/>
        <v>0</v>
      </c>
      <c r="R1129">
        <f t="shared" si="70"/>
        <v>0</v>
      </c>
      <c r="S1129" t="b">
        <f t="shared" si="71"/>
        <v>0</v>
      </c>
    </row>
    <row r="1130" spans="1:19" x14ac:dyDescent="0.2">
      <c r="A1130" s="54">
        <v>480485</v>
      </c>
      <c r="B1130" s="54" t="s">
        <v>590</v>
      </c>
      <c r="C1130" s="55">
        <v>4</v>
      </c>
      <c r="D1130" s="55">
        <v>4</v>
      </c>
      <c r="E1130" s="55">
        <v>22</v>
      </c>
      <c r="F1130" s="55">
        <v>4</v>
      </c>
      <c r="G1130" s="55">
        <v>2</v>
      </c>
      <c r="H1130" s="55">
        <v>0</v>
      </c>
      <c r="I1130" s="55">
        <v>1</v>
      </c>
      <c r="J1130" s="55">
        <v>0.5</v>
      </c>
      <c r="K1130" s="55">
        <v>0</v>
      </c>
      <c r="L1130" s="55">
        <v>2</v>
      </c>
      <c r="M1130" s="54" t="s">
        <v>45</v>
      </c>
      <c r="N1130" s="54" t="s">
        <v>47</v>
      </c>
      <c r="O1130" s="54" t="s">
        <v>7</v>
      </c>
      <c r="P1130" s="54">
        <f t="shared" si="68"/>
        <v>0</v>
      </c>
      <c r="Q1130">
        <f t="shared" si="69"/>
        <v>0</v>
      </c>
      <c r="R1130">
        <f t="shared" si="70"/>
        <v>0</v>
      </c>
      <c r="S1130" t="b">
        <f t="shared" si="71"/>
        <v>0</v>
      </c>
    </row>
    <row r="1131" spans="1:19" x14ac:dyDescent="0.2">
      <c r="A1131" s="54">
        <v>480740</v>
      </c>
      <c r="B1131" s="54" t="s">
        <v>911</v>
      </c>
      <c r="C1131" s="55">
        <v>12</v>
      </c>
      <c r="D1131" s="55">
        <v>6</v>
      </c>
      <c r="E1131" s="55">
        <v>4</v>
      </c>
      <c r="F1131" s="55">
        <v>87</v>
      </c>
      <c r="G1131" s="55">
        <v>33</v>
      </c>
      <c r="H1131" s="55">
        <v>33</v>
      </c>
      <c r="I1131" s="55">
        <v>14.5</v>
      </c>
      <c r="J1131" s="55">
        <v>5.5</v>
      </c>
      <c r="K1131" s="55">
        <v>5.5</v>
      </c>
      <c r="L1131" s="55">
        <v>50</v>
      </c>
      <c r="M1131" s="54" t="s">
        <v>30</v>
      </c>
      <c r="N1131" s="54" t="s">
        <v>1401</v>
      </c>
      <c r="O1131" s="54" t="s">
        <v>7</v>
      </c>
      <c r="P1131" s="54">
        <f t="shared" si="68"/>
        <v>12</v>
      </c>
      <c r="Q1131">
        <f t="shared" si="69"/>
        <v>12</v>
      </c>
      <c r="R1131">
        <f t="shared" si="70"/>
        <v>12</v>
      </c>
      <c r="S1131" t="b">
        <f t="shared" si="71"/>
        <v>0</v>
      </c>
    </row>
    <row r="1132" spans="1:19" x14ac:dyDescent="0.2">
      <c r="A1132" s="54">
        <v>480877</v>
      </c>
      <c r="B1132" s="54" t="s">
        <v>393</v>
      </c>
      <c r="C1132" s="55">
        <v>15</v>
      </c>
      <c r="D1132" s="55">
        <v>15</v>
      </c>
      <c r="E1132" s="55">
        <v>10</v>
      </c>
      <c r="F1132" s="55">
        <v>31</v>
      </c>
      <c r="G1132" s="55">
        <v>3</v>
      </c>
      <c r="H1132" s="55">
        <v>3</v>
      </c>
      <c r="I1132" s="55">
        <v>2.0699999999999998</v>
      </c>
      <c r="J1132" s="55">
        <v>0.2</v>
      </c>
      <c r="K1132" s="55">
        <v>0.2</v>
      </c>
      <c r="L1132" s="55">
        <v>5</v>
      </c>
      <c r="M1132" s="54" t="s">
        <v>43</v>
      </c>
      <c r="N1132" s="54" t="s">
        <v>1400</v>
      </c>
      <c r="O1132" s="54" t="s">
        <v>7</v>
      </c>
      <c r="P1132" s="54">
        <f t="shared" si="68"/>
        <v>15</v>
      </c>
      <c r="Q1132">
        <f t="shared" si="69"/>
        <v>15</v>
      </c>
      <c r="R1132">
        <f t="shared" si="70"/>
        <v>0</v>
      </c>
      <c r="S1132" t="b">
        <f t="shared" si="71"/>
        <v>0</v>
      </c>
    </row>
    <row r="1133" spans="1:19" x14ac:dyDescent="0.2">
      <c r="A1133" s="54">
        <v>480908</v>
      </c>
      <c r="B1133" s="54" t="s">
        <v>731</v>
      </c>
      <c r="C1133" s="55">
        <v>2</v>
      </c>
      <c r="D1133" s="55">
        <v>10</v>
      </c>
      <c r="E1133" s="55">
        <v>3</v>
      </c>
      <c r="F1133" s="55">
        <v>32</v>
      </c>
      <c r="G1133" s="55">
        <v>31</v>
      </c>
      <c r="H1133" s="55">
        <v>26</v>
      </c>
      <c r="I1133" s="55">
        <v>3.2</v>
      </c>
      <c r="J1133" s="55">
        <v>3.1</v>
      </c>
      <c r="K1133" s="55">
        <v>2.6</v>
      </c>
      <c r="L1133" s="55">
        <v>10</v>
      </c>
      <c r="M1133" s="54" t="s">
        <v>30</v>
      </c>
      <c r="N1133" s="54" t="s">
        <v>1401</v>
      </c>
      <c r="O1133" s="54" t="s">
        <v>7</v>
      </c>
      <c r="P1133" s="54">
        <f t="shared" si="68"/>
        <v>2</v>
      </c>
      <c r="Q1133">
        <f t="shared" si="69"/>
        <v>2</v>
      </c>
      <c r="R1133">
        <f t="shared" si="70"/>
        <v>2</v>
      </c>
      <c r="S1133" t="b">
        <f t="shared" si="71"/>
        <v>0</v>
      </c>
    </row>
    <row r="1134" spans="1:19" x14ac:dyDescent="0.2">
      <c r="A1134" s="54">
        <v>481041</v>
      </c>
      <c r="B1134" s="54" t="s">
        <v>924</v>
      </c>
      <c r="C1134" s="55">
        <v>13</v>
      </c>
      <c r="D1134" s="55">
        <v>13</v>
      </c>
      <c r="E1134" s="55">
        <v>3</v>
      </c>
      <c r="F1134" s="55">
        <v>0</v>
      </c>
      <c r="G1134" s="55">
        <v>0</v>
      </c>
      <c r="H1134" s="55">
        <v>0</v>
      </c>
      <c r="I1134" s="55">
        <v>0</v>
      </c>
      <c r="J1134" s="55">
        <v>0</v>
      </c>
      <c r="K1134" s="55">
        <v>0</v>
      </c>
      <c r="L1134" s="55">
        <v>0</v>
      </c>
      <c r="M1134" s="54" t="s">
        <v>30</v>
      </c>
      <c r="N1134" s="54" t="s">
        <v>1401</v>
      </c>
      <c r="O1134" s="54" t="s">
        <v>7</v>
      </c>
      <c r="P1134" s="54">
        <f t="shared" si="68"/>
        <v>0</v>
      </c>
      <c r="Q1134">
        <f t="shared" si="69"/>
        <v>0</v>
      </c>
      <c r="R1134">
        <f t="shared" si="70"/>
        <v>0</v>
      </c>
      <c r="S1134" t="b">
        <f t="shared" si="71"/>
        <v>0</v>
      </c>
    </row>
    <row r="1135" spans="1:19" x14ac:dyDescent="0.2">
      <c r="A1135" s="54">
        <v>481694</v>
      </c>
      <c r="B1135" s="54" t="s">
        <v>681</v>
      </c>
      <c r="C1135" s="55">
        <v>1</v>
      </c>
      <c r="D1135" s="55">
        <v>1</v>
      </c>
      <c r="E1135" s="55">
        <v>1</v>
      </c>
      <c r="F1135" s="55">
        <v>0</v>
      </c>
      <c r="G1135" s="55">
        <v>0</v>
      </c>
      <c r="H1135" s="55">
        <v>0</v>
      </c>
      <c r="I1135" s="55">
        <v>0</v>
      </c>
      <c r="J1135" s="55">
        <v>0</v>
      </c>
      <c r="K1135" s="55">
        <v>0</v>
      </c>
      <c r="L1135" s="55">
        <v>0</v>
      </c>
      <c r="M1135" s="54" t="s">
        <v>30</v>
      </c>
      <c r="N1135" s="54" t="s">
        <v>1401</v>
      </c>
      <c r="O1135" s="54" t="s">
        <v>7</v>
      </c>
      <c r="P1135" s="54">
        <f t="shared" si="68"/>
        <v>0</v>
      </c>
      <c r="Q1135">
        <f t="shared" si="69"/>
        <v>0</v>
      </c>
      <c r="R1135">
        <f t="shared" si="70"/>
        <v>0</v>
      </c>
      <c r="S1135" t="b">
        <f t="shared" si="71"/>
        <v>0</v>
      </c>
    </row>
    <row r="1136" spans="1:19" x14ac:dyDescent="0.2">
      <c r="A1136" s="54">
        <v>481940</v>
      </c>
      <c r="B1136" s="54" t="s">
        <v>670</v>
      </c>
      <c r="C1136" s="55">
        <v>23</v>
      </c>
      <c r="D1136" s="55">
        <v>24</v>
      </c>
      <c r="E1136" s="55">
        <v>21</v>
      </c>
      <c r="F1136" s="55">
        <v>0</v>
      </c>
      <c r="G1136" s="55">
        <v>0</v>
      </c>
      <c r="H1136" s="55">
        <v>0</v>
      </c>
      <c r="I1136" s="55">
        <v>0</v>
      </c>
      <c r="J1136" s="55">
        <v>0</v>
      </c>
      <c r="K1136" s="55">
        <v>0</v>
      </c>
      <c r="L1136" s="55">
        <v>0</v>
      </c>
      <c r="M1136" s="54" t="s">
        <v>45</v>
      </c>
      <c r="N1136" s="54" t="s">
        <v>47</v>
      </c>
      <c r="O1136" s="54" t="s">
        <v>7</v>
      </c>
      <c r="P1136" s="54">
        <f t="shared" si="68"/>
        <v>0</v>
      </c>
      <c r="Q1136">
        <f t="shared" si="69"/>
        <v>0</v>
      </c>
      <c r="R1136">
        <f t="shared" si="70"/>
        <v>0</v>
      </c>
      <c r="S1136" t="b">
        <f t="shared" si="71"/>
        <v>0</v>
      </c>
    </row>
    <row r="1137" spans="1:19" x14ac:dyDescent="0.2">
      <c r="A1137" s="54">
        <v>482999</v>
      </c>
      <c r="B1137" s="54" t="s">
        <v>407</v>
      </c>
      <c r="C1137" s="55">
        <v>18</v>
      </c>
      <c r="D1137" s="55">
        <v>16</v>
      </c>
      <c r="E1137" s="55">
        <v>49</v>
      </c>
      <c r="F1137" s="55">
        <v>54</v>
      </c>
      <c r="G1137" s="55">
        <v>54</v>
      </c>
      <c r="H1137" s="55">
        <v>47</v>
      </c>
      <c r="I1137" s="55">
        <v>3.38</v>
      </c>
      <c r="J1137" s="55">
        <v>3.38</v>
      </c>
      <c r="K1137" s="55">
        <v>2.94</v>
      </c>
      <c r="L1137" s="55">
        <v>33</v>
      </c>
      <c r="M1137" s="54" t="s">
        <v>47</v>
      </c>
      <c r="N1137" s="54" t="s">
        <v>47</v>
      </c>
      <c r="O1137" s="54" t="s">
        <v>7</v>
      </c>
      <c r="P1137" s="54">
        <f t="shared" si="68"/>
        <v>18</v>
      </c>
      <c r="Q1137">
        <f t="shared" si="69"/>
        <v>18</v>
      </c>
      <c r="R1137">
        <f t="shared" si="70"/>
        <v>18</v>
      </c>
      <c r="S1137" t="b">
        <f t="shared" si="71"/>
        <v>0</v>
      </c>
    </row>
    <row r="1138" spans="1:19" x14ac:dyDescent="0.2">
      <c r="A1138" s="54">
        <v>484057</v>
      </c>
      <c r="B1138" s="54" t="s">
        <v>1266</v>
      </c>
      <c r="C1138" s="55">
        <v>171</v>
      </c>
      <c r="D1138" s="55">
        <v>155</v>
      </c>
      <c r="E1138" s="55">
        <v>1</v>
      </c>
      <c r="F1138" s="55">
        <v>15</v>
      </c>
      <c r="G1138" s="55">
        <v>15</v>
      </c>
      <c r="H1138" s="55">
        <v>15</v>
      </c>
      <c r="I1138" s="55">
        <v>0.1</v>
      </c>
      <c r="J1138" s="55">
        <v>0.1</v>
      </c>
      <c r="K1138" s="55">
        <v>0.1</v>
      </c>
      <c r="L1138" s="55">
        <v>13</v>
      </c>
      <c r="M1138" s="54" t="s">
        <v>30</v>
      </c>
      <c r="N1138" s="54" t="s">
        <v>1401</v>
      </c>
      <c r="O1138" s="54" t="s">
        <v>6</v>
      </c>
      <c r="P1138" s="54">
        <f t="shared" si="68"/>
        <v>0</v>
      </c>
      <c r="Q1138">
        <f t="shared" si="69"/>
        <v>0</v>
      </c>
      <c r="R1138">
        <f t="shared" si="70"/>
        <v>0</v>
      </c>
      <c r="S1138" t="b">
        <f t="shared" si="71"/>
        <v>0</v>
      </c>
    </row>
    <row r="1139" spans="1:19" x14ac:dyDescent="0.2">
      <c r="A1139" s="54">
        <v>484843</v>
      </c>
      <c r="B1139" s="54" t="s">
        <v>223</v>
      </c>
      <c r="C1139" s="55">
        <v>111</v>
      </c>
      <c r="D1139" s="55">
        <v>675</v>
      </c>
      <c r="E1139" s="55">
        <v>16</v>
      </c>
      <c r="F1139" s="55">
        <v>461</v>
      </c>
      <c r="G1139" s="55">
        <v>294</v>
      </c>
      <c r="H1139" s="55">
        <v>266</v>
      </c>
      <c r="I1139" s="55">
        <v>0.68</v>
      </c>
      <c r="J1139" s="55">
        <v>0.44</v>
      </c>
      <c r="K1139" s="55">
        <v>0.39</v>
      </c>
      <c r="L1139" s="55">
        <v>167</v>
      </c>
      <c r="M1139" s="54" t="s">
        <v>45</v>
      </c>
      <c r="N1139" s="54" t="s">
        <v>47</v>
      </c>
      <c r="O1139" s="54" t="s">
        <v>5</v>
      </c>
      <c r="P1139" s="54">
        <f t="shared" si="68"/>
        <v>0</v>
      </c>
      <c r="Q1139">
        <f t="shared" si="69"/>
        <v>0</v>
      </c>
      <c r="R1139">
        <f t="shared" si="70"/>
        <v>0</v>
      </c>
      <c r="S1139" t="b">
        <f t="shared" si="71"/>
        <v>0</v>
      </c>
    </row>
    <row r="1140" spans="1:19" x14ac:dyDescent="0.2">
      <c r="A1140" s="54">
        <v>485006</v>
      </c>
      <c r="B1140" s="54" t="s">
        <v>904</v>
      </c>
      <c r="C1140" s="55">
        <v>11</v>
      </c>
      <c r="D1140" s="55">
        <v>20</v>
      </c>
      <c r="E1140" s="55">
        <v>0</v>
      </c>
      <c r="F1140" s="55">
        <v>0</v>
      </c>
      <c r="G1140" s="55">
        <v>0</v>
      </c>
      <c r="H1140" s="55">
        <v>0</v>
      </c>
      <c r="I1140" s="55">
        <v>0</v>
      </c>
      <c r="J1140" s="55">
        <v>0</v>
      </c>
      <c r="K1140" s="55">
        <v>0</v>
      </c>
      <c r="L1140" s="55">
        <v>0</v>
      </c>
      <c r="M1140" s="54" t="s">
        <v>30</v>
      </c>
      <c r="N1140" s="54" t="s">
        <v>1401</v>
      </c>
      <c r="O1140" s="54" t="s">
        <v>7</v>
      </c>
      <c r="P1140" s="54">
        <f t="shared" si="68"/>
        <v>0</v>
      </c>
      <c r="Q1140">
        <f t="shared" si="69"/>
        <v>0</v>
      </c>
      <c r="R1140">
        <f t="shared" si="70"/>
        <v>0</v>
      </c>
      <c r="S1140" t="b">
        <f t="shared" si="71"/>
        <v>0</v>
      </c>
    </row>
    <row r="1141" spans="1:19" x14ac:dyDescent="0.2">
      <c r="A1141" s="54">
        <v>485188</v>
      </c>
      <c r="B1141" s="54" t="s">
        <v>673</v>
      </c>
      <c r="C1141" s="55">
        <v>1</v>
      </c>
      <c r="D1141" s="55">
        <v>6</v>
      </c>
      <c r="E1141" s="55">
        <v>21</v>
      </c>
      <c r="F1141" s="55">
        <v>0</v>
      </c>
      <c r="G1141" s="55">
        <v>0</v>
      </c>
      <c r="H1141" s="55">
        <v>0</v>
      </c>
      <c r="I1141" s="55">
        <v>0</v>
      </c>
      <c r="J1141" s="55">
        <v>0</v>
      </c>
      <c r="K1141" s="55">
        <v>0</v>
      </c>
      <c r="L1141" s="55">
        <v>0</v>
      </c>
      <c r="M1141" s="54" t="s">
        <v>45</v>
      </c>
      <c r="N1141" s="54" t="s">
        <v>47</v>
      </c>
      <c r="O1141" s="54" t="s">
        <v>7</v>
      </c>
      <c r="P1141" s="54">
        <f t="shared" si="68"/>
        <v>0</v>
      </c>
      <c r="Q1141">
        <f t="shared" si="69"/>
        <v>0</v>
      </c>
      <c r="R1141">
        <f t="shared" si="70"/>
        <v>0</v>
      </c>
      <c r="S1141" t="b">
        <f t="shared" si="71"/>
        <v>0</v>
      </c>
    </row>
    <row r="1142" spans="1:19" x14ac:dyDescent="0.2">
      <c r="A1142" s="54">
        <v>485667</v>
      </c>
      <c r="B1142" s="54" t="s">
        <v>723</v>
      </c>
      <c r="C1142" s="55">
        <v>2</v>
      </c>
      <c r="D1142" s="55">
        <v>2</v>
      </c>
      <c r="E1142" s="55">
        <v>2</v>
      </c>
      <c r="F1142" s="55">
        <v>0</v>
      </c>
      <c r="G1142" s="55">
        <v>0</v>
      </c>
      <c r="H1142" s="55">
        <v>0</v>
      </c>
      <c r="I1142" s="55">
        <v>0</v>
      </c>
      <c r="J1142" s="55">
        <v>0</v>
      </c>
      <c r="K1142" s="55">
        <v>0</v>
      </c>
      <c r="L1142" s="55">
        <v>0</v>
      </c>
      <c r="M1142" s="54" t="s">
        <v>30</v>
      </c>
      <c r="N1142" s="54" t="s">
        <v>1401</v>
      </c>
      <c r="O1142" s="54" t="s">
        <v>7</v>
      </c>
      <c r="P1142" s="54">
        <f t="shared" si="68"/>
        <v>0</v>
      </c>
      <c r="Q1142">
        <f t="shared" si="69"/>
        <v>0</v>
      </c>
      <c r="R1142">
        <f t="shared" si="70"/>
        <v>0</v>
      </c>
      <c r="S1142" t="b">
        <f t="shared" si="71"/>
        <v>0</v>
      </c>
    </row>
    <row r="1143" spans="1:19" x14ac:dyDescent="0.2">
      <c r="A1143" s="54">
        <v>485670</v>
      </c>
      <c r="B1143" s="54" t="s">
        <v>457</v>
      </c>
      <c r="C1143" s="55">
        <v>18</v>
      </c>
      <c r="D1143" s="55">
        <v>32</v>
      </c>
      <c r="E1143" s="55">
        <v>49</v>
      </c>
      <c r="F1143" s="55">
        <v>32</v>
      </c>
      <c r="G1143" s="55">
        <v>9</v>
      </c>
      <c r="H1143" s="55">
        <v>9</v>
      </c>
      <c r="I1143" s="55">
        <v>1</v>
      </c>
      <c r="J1143" s="55">
        <v>0.28000000000000003</v>
      </c>
      <c r="K1143" s="55">
        <v>0.28000000000000003</v>
      </c>
      <c r="L1143" s="55">
        <v>0</v>
      </c>
      <c r="M1143" s="54" t="s">
        <v>47</v>
      </c>
      <c r="N1143" s="54" t="s">
        <v>47</v>
      </c>
      <c r="O1143" s="54" t="s">
        <v>7</v>
      </c>
      <c r="P1143" s="54">
        <f t="shared" si="68"/>
        <v>0</v>
      </c>
      <c r="Q1143">
        <f t="shared" si="69"/>
        <v>0</v>
      </c>
      <c r="R1143">
        <f t="shared" si="70"/>
        <v>0</v>
      </c>
      <c r="S1143" t="b">
        <f t="shared" si="71"/>
        <v>0</v>
      </c>
    </row>
    <row r="1144" spans="1:19" x14ac:dyDescent="0.2">
      <c r="A1144" s="54">
        <v>485748</v>
      </c>
      <c r="B1144" s="54" t="s">
        <v>982</v>
      </c>
      <c r="C1144" s="55">
        <v>17</v>
      </c>
      <c r="D1144" s="55">
        <v>17</v>
      </c>
      <c r="E1144" s="55">
        <v>1</v>
      </c>
      <c r="F1144" s="55">
        <v>0</v>
      </c>
      <c r="G1144" s="55">
        <v>0</v>
      </c>
      <c r="H1144" s="55">
        <v>0</v>
      </c>
      <c r="I1144" s="55">
        <v>0</v>
      </c>
      <c r="J1144" s="55">
        <v>0</v>
      </c>
      <c r="K1144" s="55">
        <v>0</v>
      </c>
      <c r="L1144" s="55">
        <v>0</v>
      </c>
      <c r="M1144" s="54" t="s">
        <v>30</v>
      </c>
      <c r="N1144" s="54" t="s">
        <v>1401</v>
      </c>
      <c r="O1144" s="54" t="s">
        <v>7</v>
      </c>
      <c r="P1144" s="54">
        <f t="shared" si="68"/>
        <v>0</v>
      </c>
      <c r="Q1144">
        <f t="shared" si="69"/>
        <v>0</v>
      </c>
      <c r="R1144">
        <f t="shared" si="70"/>
        <v>0</v>
      </c>
      <c r="S1144" t="b">
        <f t="shared" si="71"/>
        <v>0</v>
      </c>
    </row>
    <row r="1145" spans="1:19" x14ac:dyDescent="0.2">
      <c r="A1145" s="54">
        <v>486478</v>
      </c>
      <c r="B1145" s="54" t="s">
        <v>412</v>
      </c>
      <c r="C1145" s="55">
        <v>155</v>
      </c>
      <c r="D1145" s="55">
        <v>350</v>
      </c>
      <c r="E1145" s="55">
        <v>15</v>
      </c>
      <c r="F1145" s="55">
        <v>39</v>
      </c>
      <c r="G1145" s="55">
        <v>39</v>
      </c>
      <c r="H1145" s="55">
        <v>5</v>
      </c>
      <c r="I1145" s="55">
        <v>0.11</v>
      </c>
      <c r="J1145" s="55">
        <v>0.11</v>
      </c>
      <c r="K1145" s="55">
        <v>0.01</v>
      </c>
      <c r="L1145" s="55">
        <v>155</v>
      </c>
      <c r="M1145" s="54" t="s">
        <v>45</v>
      </c>
      <c r="N1145" s="54" t="s">
        <v>47</v>
      </c>
      <c r="O1145" s="54" t="s">
        <v>6</v>
      </c>
      <c r="P1145" s="54">
        <f t="shared" si="68"/>
        <v>0</v>
      </c>
      <c r="Q1145">
        <f t="shared" si="69"/>
        <v>0</v>
      </c>
      <c r="R1145">
        <f t="shared" si="70"/>
        <v>0</v>
      </c>
      <c r="S1145" t="b">
        <f t="shared" si="71"/>
        <v>0</v>
      </c>
    </row>
    <row r="1146" spans="1:19" x14ac:dyDescent="0.2">
      <c r="A1146" s="54">
        <v>487132</v>
      </c>
      <c r="B1146" s="54" t="s">
        <v>773</v>
      </c>
      <c r="C1146" s="55">
        <v>4</v>
      </c>
      <c r="D1146" s="55">
        <v>4</v>
      </c>
      <c r="E1146" s="55">
        <v>3</v>
      </c>
      <c r="F1146" s="55">
        <v>12</v>
      </c>
      <c r="G1146" s="55">
        <v>10</v>
      </c>
      <c r="H1146" s="55">
        <v>4</v>
      </c>
      <c r="I1146" s="55">
        <v>3</v>
      </c>
      <c r="J1146" s="55">
        <v>2.5</v>
      </c>
      <c r="K1146" s="55">
        <v>1</v>
      </c>
      <c r="L1146" s="55">
        <v>6</v>
      </c>
      <c r="M1146" s="54" t="s">
        <v>30</v>
      </c>
      <c r="N1146" s="54" t="s">
        <v>1401</v>
      </c>
      <c r="O1146" s="54" t="s">
        <v>7</v>
      </c>
      <c r="P1146" s="54">
        <f t="shared" si="68"/>
        <v>4</v>
      </c>
      <c r="Q1146">
        <f t="shared" si="69"/>
        <v>4</v>
      </c>
      <c r="R1146">
        <f t="shared" si="70"/>
        <v>4</v>
      </c>
      <c r="S1146" t="b">
        <f t="shared" si="71"/>
        <v>0</v>
      </c>
    </row>
    <row r="1147" spans="1:19" x14ac:dyDescent="0.2">
      <c r="A1147" s="54">
        <v>487359</v>
      </c>
      <c r="B1147" s="54" t="s">
        <v>1328</v>
      </c>
      <c r="C1147" s="55">
        <v>0</v>
      </c>
      <c r="D1147" s="55">
        <v>7</v>
      </c>
      <c r="E1147" s="55">
        <v>0</v>
      </c>
      <c r="F1147" s="55">
        <v>4</v>
      </c>
      <c r="G1147" s="55">
        <v>4</v>
      </c>
      <c r="H1147" s="55">
        <v>4</v>
      </c>
      <c r="I1147" s="55">
        <v>0.56999999999999995</v>
      </c>
      <c r="J1147" s="55">
        <v>0.56999999999999995</v>
      </c>
      <c r="K1147" s="55">
        <v>0.56999999999999995</v>
      </c>
      <c r="L1147" s="55">
        <v>4</v>
      </c>
      <c r="M1147" s="54" t="s">
        <v>30</v>
      </c>
      <c r="N1147" s="54" t="s">
        <v>1401</v>
      </c>
      <c r="O1147" s="54" t="s">
        <v>7</v>
      </c>
      <c r="P1147" s="54">
        <f t="shared" si="68"/>
        <v>0</v>
      </c>
      <c r="Q1147">
        <f t="shared" si="69"/>
        <v>0</v>
      </c>
      <c r="R1147">
        <f t="shared" si="70"/>
        <v>0</v>
      </c>
      <c r="S1147" t="b">
        <f t="shared" si="71"/>
        <v>0</v>
      </c>
    </row>
    <row r="1148" spans="1:19" x14ac:dyDescent="0.2">
      <c r="A1148" s="54">
        <v>487376</v>
      </c>
      <c r="B1148" s="54" t="s">
        <v>720</v>
      </c>
      <c r="C1148" s="55">
        <v>2</v>
      </c>
      <c r="D1148" s="55">
        <v>2</v>
      </c>
      <c r="E1148" s="55">
        <v>2</v>
      </c>
      <c r="F1148" s="55">
        <v>0</v>
      </c>
      <c r="G1148" s="55">
        <v>0</v>
      </c>
      <c r="H1148" s="55">
        <v>0</v>
      </c>
      <c r="I1148" s="55">
        <v>0</v>
      </c>
      <c r="J1148" s="55">
        <v>0</v>
      </c>
      <c r="K1148" s="55">
        <v>0</v>
      </c>
      <c r="L1148" s="55">
        <v>0</v>
      </c>
      <c r="M1148" s="54" t="s">
        <v>30</v>
      </c>
      <c r="N1148" s="54" t="s">
        <v>1401</v>
      </c>
      <c r="O1148" s="54" t="s">
        <v>7</v>
      </c>
      <c r="P1148" s="54">
        <f t="shared" si="68"/>
        <v>0</v>
      </c>
      <c r="Q1148">
        <f t="shared" si="69"/>
        <v>0</v>
      </c>
      <c r="R1148">
        <f t="shared" si="70"/>
        <v>0</v>
      </c>
      <c r="S1148" t="b">
        <f t="shared" si="71"/>
        <v>0</v>
      </c>
    </row>
    <row r="1149" spans="1:19" x14ac:dyDescent="0.2">
      <c r="A1149" s="54">
        <v>487475</v>
      </c>
      <c r="B1149" s="54" t="s">
        <v>1188</v>
      </c>
      <c r="C1149" s="55">
        <v>75</v>
      </c>
      <c r="D1149" s="55">
        <v>75</v>
      </c>
      <c r="E1149" s="55">
        <v>1</v>
      </c>
      <c r="F1149" s="55">
        <v>0</v>
      </c>
      <c r="G1149" s="55">
        <v>0</v>
      </c>
      <c r="H1149" s="55">
        <v>0</v>
      </c>
      <c r="I1149" s="55">
        <v>0</v>
      </c>
      <c r="J1149" s="55">
        <v>0</v>
      </c>
      <c r="K1149" s="55">
        <v>0</v>
      </c>
      <c r="L1149" s="55">
        <v>0</v>
      </c>
      <c r="M1149" s="54" t="s">
        <v>30</v>
      </c>
      <c r="N1149" s="54" t="s">
        <v>1401</v>
      </c>
      <c r="O1149" s="54" t="s">
        <v>7</v>
      </c>
      <c r="P1149" s="54">
        <f t="shared" si="68"/>
        <v>0</v>
      </c>
      <c r="Q1149">
        <f t="shared" si="69"/>
        <v>0</v>
      </c>
      <c r="R1149">
        <f t="shared" si="70"/>
        <v>0</v>
      </c>
      <c r="S1149" t="b">
        <f t="shared" si="71"/>
        <v>0</v>
      </c>
    </row>
    <row r="1150" spans="1:19" x14ac:dyDescent="0.2">
      <c r="A1150" s="54">
        <v>487525</v>
      </c>
      <c r="B1150" s="54" t="s">
        <v>891</v>
      </c>
      <c r="C1150" s="55">
        <v>10</v>
      </c>
      <c r="D1150" s="55">
        <v>10</v>
      </c>
      <c r="E1150" s="55">
        <v>5</v>
      </c>
      <c r="F1150" s="55">
        <v>13</v>
      </c>
      <c r="G1150" s="55">
        <v>13</v>
      </c>
      <c r="H1150" s="55">
        <v>13</v>
      </c>
      <c r="I1150" s="55">
        <v>1.3</v>
      </c>
      <c r="J1150" s="55">
        <v>1.3</v>
      </c>
      <c r="K1150" s="55">
        <v>1.3</v>
      </c>
      <c r="L1150" s="55">
        <v>0</v>
      </c>
      <c r="M1150" s="54" t="s">
        <v>30</v>
      </c>
      <c r="N1150" s="54" t="s">
        <v>1401</v>
      </c>
      <c r="O1150" s="54" t="s">
        <v>7</v>
      </c>
      <c r="P1150" s="54">
        <f t="shared" si="68"/>
        <v>10</v>
      </c>
      <c r="Q1150">
        <f t="shared" si="69"/>
        <v>0</v>
      </c>
      <c r="R1150">
        <f t="shared" si="70"/>
        <v>10</v>
      </c>
      <c r="S1150" t="b">
        <f t="shared" si="71"/>
        <v>0</v>
      </c>
    </row>
    <row r="1151" spans="1:19" x14ac:dyDescent="0.2">
      <c r="A1151" s="54">
        <v>488116</v>
      </c>
      <c r="B1151" s="54" t="s">
        <v>367</v>
      </c>
      <c r="C1151" s="55">
        <v>8</v>
      </c>
      <c r="D1151" s="55">
        <v>8</v>
      </c>
      <c r="E1151" s="55">
        <v>9</v>
      </c>
      <c r="F1151" s="55">
        <v>83</v>
      </c>
      <c r="G1151" s="55">
        <v>80</v>
      </c>
      <c r="H1151" s="55">
        <v>77</v>
      </c>
      <c r="I1151" s="55">
        <v>10.38</v>
      </c>
      <c r="J1151" s="55">
        <v>10</v>
      </c>
      <c r="K1151" s="55">
        <v>9.6300000000000008</v>
      </c>
      <c r="L1151" s="55">
        <v>19</v>
      </c>
      <c r="M1151" s="54" t="s">
        <v>43</v>
      </c>
      <c r="N1151" s="54" t="s">
        <v>1400</v>
      </c>
      <c r="O1151" s="54" t="s">
        <v>7</v>
      </c>
      <c r="P1151" s="54">
        <f t="shared" si="68"/>
        <v>8</v>
      </c>
      <c r="Q1151">
        <f t="shared" si="69"/>
        <v>8</v>
      </c>
      <c r="R1151">
        <f t="shared" si="70"/>
        <v>8</v>
      </c>
      <c r="S1151" t="b">
        <f t="shared" si="71"/>
        <v>0</v>
      </c>
    </row>
    <row r="1152" spans="1:19" x14ac:dyDescent="0.2">
      <c r="A1152" s="54">
        <v>488120</v>
      </c>
      <c r="B1152" s="54" t="s">
        <v>737</v>
      </c>
      <c r="C1152" s="55">
        <v>2</v>
      </c>
      <c r="D1152" s="55">
        <v>2</v>
      </c>
      <c r="E1152" s="55">
        <v>0</v>
      </c>
      <c r="F1152" s="55">
        <v>6</v>
      </c>
      <c r="G1152" s="55">
        <v>6</v>
      </c>
      <c r="H1152" s="55">
        <v>6</v>
      </c>
      <c r="I1152" s="55">
        <v>3</v>
      </c>
      <c r="J1152" s="55">
        <v>3</v>
      </c>
      <c r="K1152" s="55">
        <v>3</v>
      </c>
      <c r="L1152" s="55">
        <v>0</v>
      </c>
      <c r="M1152" s="54" t="s">
        <v>30</v>
      </c>
      <c r="N1152" s="54" t="s">
        <v>1401</v>
      </c>
      <c r="O1152" s="54" t="s">
        <v>7</v>
      </c>
      <c r="P1152" s="54">
        <f t="shared" si="68"/>
        <v>2</v>
      </c>
      <c r="Q1152">
        <f t="shared" si="69"/>
        <v>2</v>
      </c>
      <c r="R1152">
        <f t="shared" si="70"/>
        <v>2</v>
      </c>
      <c r="S1152" t="b">
        <f t="shared" si="71"/>
        <v>0</v>
      </c>
    </row>
    <row r="1153" spans="1:19" x14ac:dyDescent="0.2">
      <c r="A1153" s="54">
        <v>488231</v>
      </c>
      <c r="B1153" s="54" t="s">
        <v>1028</v>
      </c>
      <c r="C1153" s="55">
        <v>22</v>
      </c>
      <c r="D1153" s="55">
        <v>22</v>
      </c>
      <c r="E1153" s="55">
        <v>2</v>
      </c>
      <c r="F1153" s="55">
        <v>23</v>
      </c>
      <c r="G1153" s="55">
        <v>23</v>
      </c>
      <c r="H1153" s="55">
        <v>23</v>
      </c>
      <c r="I1153" s="55">
        <v>1.05</v>
      </c>
      <c r="J1153" s="55">
        <v>1.05</v>
      </c>
      <c r="K1153" s="55">
        <v>1.05</v>
      </c>
      <c r="L1153" s="55">
        <v>0</v>
      </c>
      <c r="M1153" s="54" t="s">
        <v>30</v>
      </c>
      <c r="N1153" s="54" t="s">
        <v>1401</v>
      </c>
      <c r="O1153" s="54" t="s">
        <v>7</v>
      </c>
      <c r="P1153" s="54">
        <f t="shared" si="68"/>
        <v>22</v>
      </c>
      <c r="Q1153">
        <f t="shared" si="69"/>
        <v>0</v>
      </c>
      <c r="R1153">
        <f t="shared" si="70"/>
        <v>22</v>
      </c>
      <c r="S1153" t="b">
        <f t="shared" si="71"/>
        <v>0</v>
      </c>
    </row>
    <row r="1154" spans="1:19" x14ac:dyDescent="0.2">
      <c r="A1154" s="54">
        <v>488474</v>
      </c>
      <c r="B1154" s="54" t="s">
        <v>663</v>
      </c>
      <c r="C1154" s="55">
        <v>8</v>
      </c>
      <c r="D1154" s="55">
        <v>7</v>
      </c>
      <c r="E1154" s="55">
        <v>36</v>
      </c>
      <c r="F1154" s="55">
        <v>0</v>
      </c>
      <c r="G1154" s="55">
        <v>0</v>
      </c>
      <c r="H1154" s="55">
        <v>0</v>
      </c>
      <c r="I1154" s="55">
        <v>0</v>
      </c>
      <c r="J1154" s="55">
        <v>0</v>
      </c>
      <c r="K1154" s="55">
        <v>0</v>
      </c>
      <c r="L1154" s="55">
        <v>0</v>
      </c>
      <c r="M1154" s="54" t="s">
        <v>47</v>
      </c>
      <c r="N1154" s="54" t="s">
        <v>47</v>
      </c>
      <c r="O1154" s="54" t="s">
        <v>7</v>
      </c>
      <c r="P1154" s="54">
        <f t="shared" ref="P1154:P1217" si="72">IF(I1154&gt;=2, C1154, IF(J1154&gt;=0.75, C1154, 0))</f>
        <v>0</v>
      </c>
      <c r="Q1154">
        <f t="shared" ref="Q1154:Q1217" si="73">IF(I1154&gt;=2, C1154, IF(AND(J1154&gt;=0.75, D1154&gt;=550), C1154, 0))</f>
        <v>0</v>
      </c>
      <c r="R1154">
        <f t="shared" ref="R1154:R1217" si="74">IF(J1154&gt;=0.75, C1154, 0)</f>
        <v>0</v>
      </c>
      <c r="S1154" t="b">
        <f t="shared" si="71"/>
        <v>0</v>
      </c>
    </row>
    <row r="1155" spans="1:19" x14ac:dyDescent="0.2">
      <c r="A1155" s="54">
        <v>488900</v>
      </c>
      <c r="B1155" s="54" t="s">
        <v>1318</v>
      </c>
      <c r="C1155" s="55">
        <v>0</v>
      </c>
      <c r="D1155" s="55">
        <v>16</v>
      </c>
      <c r="E1155" s="55">
        <v>0</v>
      </c>
      <c r="F1155" s="55">
        <v>0</v>
      </c>
      <c r="G1155" s="55">
        <v>0</v>
      </c>
      <c r="H1155" s="55">
        <v>0</v>
      </c>
      <c r="I1155" s="55">
        <v>0</v>
      </c>
      <c r="J1155" s="55">
        <v>0</v>
      </c>
      <c r="K1155" s="55">
        <v>0</v>
      </c>
      <c r="L1155" s="55">
        <v>0</v>
      </c>
      <c r="M1155" s="54" t="s">
        <v>30</v>
      </c>
      <c r="N1155" s="54" t="s">
        <v>1401</v>
      </c>
      <c r="O1155" s="54" t="s">
        <v>7</v>
      </c>
      <c r="P1155" s="54">
        <f t="shared" si="72"/>
        <v>0</v>
      </c>
      <c r="Q1155">
        <f t="shared" si="73"/>
        <v>0</v>
      </c>
      <c r="R1155">
        <f t="shared" si="74"/>
        <v>0</v>
      </c>
      <c r="S1155" t="b">
        <f t="shared" ref="S1155:S1218" si="75">IF(A1155=A1156,TRUE,FALSE)</f>
        <v>0</v>
      </c>
    </row>
    <row r="1156" spans="1:19" x14ac:dyDescent="0.2">
      <c r="A1156" s="54">
        <v>489005</v>
      </c>
      <c r="B1156" s="54" t="s">
        <v>1246</v>
      </c>
      <c r="C1156" s="55">
        <v>137</v>
      </c>
      <c r="D1156" s="55">
        <v>5</v>
      </c>
      <c r="E1156" s="55">
        <v>2</v>
      </c>
      <c r="F1156" s="55">
        <v>0</v>
      </c>
      <c r="G1156" s="55">
        <v>0</v>
      </c>
      <c r="H1156" s="55">
        <v>0</v>
      </c>
      <c r="I1156" s="55">
        <v>0</v>
      </c>
      <c r="J1156" s="55">
        <v>0</v>
      </c>
      <c r="K1156" s="55">
        <v>0</v>
      </c>
      <c r="L1156" s="55">
        <v>0</v>
      </c>
      <c r="M1156" s="54" t="s">
        <v>30</v>
      </c>
      <c r="N1156" s="54" t="s">
        <v>1401</v>
      </c>
      <c r="O1156" s="54" t="s">
        <v>7</v>
      </c>
      <c r="P1156" s="54">
        <f t="shared" si="72"/>
        <v>0</v>
      </c>
      <c r="Q1156">
        <f t="shared" si="73"/>
        <v>0</v>
      </c>
      <c r="R1156">
        <f t="shared" si="74"/>
        <v>0</v>
      </c>
      <c r="S1156" t="b">
        <f t="shared" si="75"/>
        <v>0</v>
      </c>
    </row>
    <row r="1157" spans="1:19" x14ac:dyDescent="0.2">
      <c r="A1157" s="54">
        <v>489433</v>
      </c>
      <c r="B1157" s="54" t="s">
        <v>732</v>
      </c>
      <c r="C1157" s="55">
        <v>2</v>
      </c>
      <c r="D1157" s="55">
        <v>2</v>
      </c>
      <c r="E1157" s="55">
        <v>4</v>
      </c>
      <c r="F1157" s="55">
        <v>4</v>
      </c>
      <c r="G1157" s="55">
        <v>4</v>
      </c>
      <c r="H1157" s="55">
        <v>4</v>
      </c>
      <c r="I1157" s="55">
        <v>2</v>
      </c>
      <c r="J1157" s="55">
        <v>2</v>
      </c>
      <c r="K1157" s="55">
        <v>2</v>
      </c>
      <c r="L1157" s="55">
        <v>0</v>
      </c>
      <c r="M1157" s="54" t="s">
        <v>30</v>
      </c>
      <c r="N1157" s="54" t="s">
        <v>1401</v>
      </c>
      <c r="O1157" s="54" t="s">
        <v>7</v>
      </c>
      <c r="P1157" s="54">
        <f t="shared" si="72"/>
        <v>2</v>
      </c>
      <c r="Q1157">
        <f t="shared" si="73"/>
        <v>2</v>
      </c>
      <c r="R1157">
        <f t="shared" si="74"/>
        <v>2</v>
      </c>
      <c r="S1157" t="b">
        <f t="shared" si="75"/>
        <v>0</v>
      </c>
    </row>
    <row r="1158" spans="1:19" x14ac:dyDescent="0.2">
      <c r="A1158" s="54">
        <v>490173</v>
      </c>
      <c r="B1158" s="54" t="s">
        <v>711</v>
      </c>
      <c r="C1158" s="55">
        <v>1</v>
      </c>
      <c r="D1158" s="55">
        <v>17</v>
      </c>
      <c r="E1158" s="55">
        <v>0</v>
      </c>
      <c r="F1158" s="55">
        <v>0</v>
      </c>
      <c r="G1158" s="55">
        <v>0</v>
      </c>
      <c r="H1158" s="55">
        <v>0</v>
      </c>
      <c r="I1158" s="55">
        <v>0</v>
      </c>
      <c r="J1158" s="55">
        <v>0</v>
      </c>
      <c r="K1158" s="55">
        <v>0</v>
      </c>
      <c r="L1158" s="55">
        <v>0</v>
      </c>
      <c r="M1158" s="54" t="s">
        <v>30</v>
      </c>
      <c r="N1158" s="54" t="s">
        <v>1401</v>
      </c>
      <c r="O1158" s="54" t="s">
        <v>7</v>
      </c>
      <c r="P1158" s="54">
        <f t="shared" si="72"/>
        <v>0</v>
      </c>
      <c r="Q1158">
        <f t="shared" si="73"/>
        <v>0</v>
      </c>
      <c r="R1158">
        <f t="shared" si="74"/>
        <v>0</v>
      </c>
      <c r="S1158" t="b">
        <f t="shared" si="75"/>
        <v>0</v>
      </c>
    </row>
    <row r="1159" spans="1:19" x14ac:dyDescent="0.2">
      <c r="A1159" s="54">
        <v>490548</v>
      </c>
      <c r="B1159" s="54" t="s">
        <v>783</v>
      </c>
      <c r="C1159" s="55">
        <v>5</v>
      </c>
      <c r="D1159" s="55">
        <v>6</v>
      </c>
      <c r="E1159" s="55">
        <v>1</v>
      </c>
      <c r="F1159" s="55">
        <v>0</v>
      </c>
      <c r="G1159" s="55">
        <v>0</v>
      </c>
      <c r="H1159" s="55">
        <v>0</v>
      </c>
      <c r="I1159" s="55">
        <v>0</v>
      </c>
      <c r="J1159" s="55">
        <v>0</v>
      </c>
      <c r="K1159" s="55">
        <v>0</v>
      </c>
      <c r="L1159" s="55">
        <v>0</v>
      </c>
      <c r="M1159" s="54" t="s">
        <v>30</v>
      </c>
      <c r="N1159" s="54" t="s">
        <v>1401</v>
      </c>
      <c r="O1159" s="54" t="s">
        <v>7</v>
      </c>
      <c r="P1159" s="54">
        <f t="shared" si="72"/>
        <v>0</v>
      </c>
      <c r="Q1159">
        <f t="shared" si="73"/>
        <v>0</v>
      </c>
      <c r="R1159">
        <f t="shared" si="74"/>
        <v>0</v>
      </c>
      <c r="S1159" t="b">
        <f t="shared" si="75"/>
        <v>0</v>
      </c>
    </row>
    <row r="1160" spans="1:19" x14ac:dyDescent="0.2">
      <c r="A1160" s="54">
        <v>491098</v>
      </c>
      <c r="B1160" s="54" t="s">
        <v>551</v>
      </c>
      <c r="C1160" s="55">
        <v>0</v>
      </c>
      <c r="D1160" s="55">
        <v>15</v>
      </c>
      <c r="E1160" s="55">
        <v>21</v>
      </c>
      <c r="F1160" s="55">
        <v>10</v>
      </c>
      <c r="G1160" s="55">
        <v>4</v>
      </c>
      <c r="H1160" s="55">
        <v>1</v>
      </c>
      <c r="I1160" s="55">
        <v>0.67</v>
      </c>
      <c r="J1160" s="55">
        <v>0.27</v>
      </c>
      <c r="K1160" s="55">
        <v>7.0000000000000007E-2</v>
      </c>
      <c r="L1160" s="55">
        <v>0</v>
      </c>
      <c r="M1160" s="54" t="s">
        <v>45</v>
      </c>
      <c r="N1160" s="54" t="s">
        <v>47</v>
      </c>
      <c r="O1160" s="54" t="s">
        <v>7</v>
      </c>
      <c r="P1160" s="54">
        <f t="shared" si="72"/>
        <v>0</v>
      </c>
      <c r="Q1160">
        <f t="shared" si="73"/>
        <v>0</v>
      </c>
      <c r="R1160">
        <f t="shared" si="74"/>
        <v>0</v>
      </c>
      <c r="S1160" t="b">
        <f t="shared" si="75"/>
        <v>0</v>
      </c>
    </row>
    <row r="1161" spans="1:19" x14ac:dyDescent="0.2">
      <c r="A1161" s="54">
        <v>491705</v>
      </c>
      <c r="B1161" s="54" t="s">
        <v>302</v>
      </c>
      <c r="C1161" s="55">
        <v>226</v>
      </c>
      <c r="D1161" s="55">
        <v>140</v>
      </c>
      <c r="E1161" s="55">
        <v>10</v>
      </c>
      <c r="F1161" s="55">
        <v>131</v>
      </c>
      <c r="G1161" s="55">
        <v>78</v>
      </c>
      <c r="H1161" s="55">
        <v>31</v>
      </c>
      <c r="I1161" s="55">
        <v>0.94</v>
      </c>
      <c r="J1161" s="55">
        <v>0.56000000000000005</v>
      </c>
      <c r="K1161" s="55">
        <v>0.22</v>
      </c>
      <c r="L1161" s="55">
        <v>229</v>
      </c>
      <c r="M1161" s="54" t="s">
        <v>43</v>
      </c>
      <c r="N1161" s="54" t="s">
        <v>1400</v>
      </c>
      <c r="O1161" s="54" t="s">
        <v>6</v>
      </c>
      <c r="P1161" s="54">
        <f t="shared" si="72"/>
        <v>0</v>
      </c>
      <c r="Q1161">
        <f t="shared" si="73"/>
        <v>0</v>
      </c>
      <c r="R1161">
        <f t="shared" si="74"/>
        <v>0</v>
      </c>
      <c r="S1161" t="b">
        <f t="shared" si="75"/>
        <v>0</v>
      </c>
    </row>
    <row r="1162" spans="1:19" x14ac:dyDescent="0.2">
      <c r="A1162" s="54">
        <v>493195</v>
      </c>
      <c r="B1162" s="54" t="s">
        <v>970</v>
      </c>
      <c r="C1162" s="55">
        <v>16</v>
      </c>
      <c r="D1162" s="55">
        <v>10</v>
      </c>
      <c r="E1162" s="55">
        <v>2</v>
      </c>
      <c r="F1162" s="55">
        <v>0</v>
      </c>
      <c r="G1162" s="55">
        <v>0</v>
      </c>
      <c r="H1162" s="55">
        <v>0</v>
      </c>
      <c r="I1162" s="55">
        <v>0</v>
      </c>
      <c r="J1162" s="55">
        <v>0</v>
      </c>
      <c r="K1162" s="55">
        <v>0</v>
      </c>
      <c r="L1162" s="55">
        <v>0</v>
      </c>
      <c r="M1162" s="54" t="s">
        <v>30</v>
      </c>
      <c r="N1162" s="54" t="s">
        <v>1401</v>
      </c>
      <c r="O1162" s="54" t="s">
        <v>7</v>
      </c>
      <c r="P1162" s="54">
        <f t="shared" si="72"/>
        <v>0</v>
      </c>
      <c r="Q1162">
        <f t="shared" si="73"/>
        <v>0</v>
      </c>
      <c r="R1162">
        <f t="shared" si="74"/>
        <v>0</v>
      </c>
      <c r="S1162" t="b">
        <f t="shared" si="75"/>
        <v>0</v>
      </c>
    </row>
    <row r="1163" spans="1:19" x14ac:dyDescent="0.2">
      <c r="A1163" s="54">
        <v>493249</v>
      </c>
      <c r="B1163" s="54" t="s">
        <v>953</v>
      </c>
      <c r="C1163" s="55">
        <v>15</v>
      </c>
      <c r="D1163" s="55">
        <v>15</v>
      </c>
      <c r="E1163" s="55">
        <v>2</v>
      </c>
      <c r="F1163" s="55">
        <v>0</v>
      </c>
      <c r="G1163" s="55">
        <v>0</v>
      </c>
      <c r="H1163" s="55">
        <v>0</v>
      </c>
      <c r="I1163" s="55">
        <v>0</v>
      </c>
      <c r="J1163" s="55">
        <v>0</v>
      </c>
      <c r="K1163" s="55">
        <v>0</v>
      </c>
      <c r="L1163" s="55">
        <v>0</v>
      </c>
      <c r="M1163" s="54" t="s">
        <v>30</v>
      </c>
      <c r="N1163" s="54" t="s">
        <v>1401</v>
      </c>
      <c r="O1163" s="54" t="s">
        <v>7</v>
      </c>
      <c r="P1163" s="54">
        <f t="shared" si="72"/>
        <v>0</v>
      </c>
      <c r="Q1163">
        <f t="shared" si="73"/>
        <v>0</v>
      </c>
      <c r="R1163">
        <f t="shared" si="74"/>
        <v>0</v>
      </c>
      <c r="S1163" t="b">
        <f t="shared" si="75"/>
        <v>0</v>
      </c>
    </row>
    <row r="1164" spans="1:19" x14ac:dyDescent="0.2">
      <c r="A1164" s="54">
        <v>493451</v>
      </c>
      <c r="B1164" s="54" t="s">
        <v>417</v>
      </c>
      <c r="C1164" s="55">
        <v>5</v>
      </c>
      <c r="D1164" s="55">
        <v>8</v>
      </c>
      <c r="E1164" s="55">
        <v>6</v>
      </c>
      <c r="F1164" s="55">
        <v>36</v>
      </c>
      <c r="G1164" s="55">
        <v>9</v>
      </c>
      <c r="H1164" s="55">
        <v>0</v>
      </c>
      <c r="I1164" s="55">
        <v>4.5</v>
      </c>
      <c r="J1164" s="55">
        <v>1.1299999999999999</v>
      </c>
      <c r="K1164" s="55">
        <v>0</v>
      </c>
      <c r="L1164" s="55">
        <v>26</v>
      </c>
      <c r="M1164" s="54" t="s">
        <v>43</v>
      </c>
      <c r="N1164" s="54" t="s">
        <v>1400</v>
      </c>
      <c r="O1164" s="54" t="s">
        <v>7</v>
      </c>
      <c r="P1164" s="54">
        <f t="shared" si="72"/>
        <v>5</v>
      </c>
      <c r="Q1164">
        <f t="shared" si="73"/>
        <v>5</v>
      </c>
      <c r="R1164">
        <f t="shared" si="74"/>
        <v>5</v>
      </c>
      <c r="S1164" t="b">
        <f t="shared" si="75"/>
        <v>0</v>
      </c>
    </row>
    <row r="1165" spans="1:19" x14ac:dyDescent="0.2">
      <c r="A1165" s="54">
        <v>493599</v>
      </c>
      <c r="B1165" s="54" t="s">
        <v>1017</v>
      </c>
      <c r="C1165" s="55">
        <v>20</v>
      </c>
      <c r="D1165" s="55">
        <v>20</v>
      </c>
      <c r="E1165" s="55">
        <v>5</v>
      </c>
      <c r="F1165" s="55">
        <v>38</v>
      </c>
      <c r="G1165" s="55">
        <v>38</v>
      </c>
      <c r="H1165" s="55">
        <v>1</v>
      </c>
      <c r="I1165" s="55">
        <v>1.9</v>
      </c>
      <c r="J1165" s="55">
        <v>1.9</v>
      </c>
      <c r="K1165" s="55">
        <v>0.05</v>
      </c>
      <c r="L1165" s="55">
        <v>9</v>
      </c>
      <c r="M1165" s="54" t="s">
        <v>30</v>
      </c>
      <c r="N1165" s="54" t="s">
        <v>1401</v>
      </c>
      <c r="O1165" s="54" t="s">
        <v>7</v>
      </c>
      <c r="P1165" s="54">
        <f t="shared" si="72"/>
        <v>20</v>
      </c>
      <c r="Q1165">
        <f t="shared" si="73"/>
        <v>0</v>
      </c>
      <c r="R1165">
        <f t="shared" si="74"/>
        <v>20</v>
      </c>
      <c r="S1165" t="b">
        <f t="shared" si="75"/>
        <v>0</v>
      </c>
    </row>
    <row r="1166" spans="1:19" x14ac:dyDescent="0.2">
      <c r="A1166" s="54">
        <v>493704</v>
      </c>
      <c r="B1166" s="54" t="s">
        <v>709</v>
      </c>
      <c r="C1166" s="55">
        <v>1</v>
      </c>
      <c r="D1166" s="55">
        <v>1</v>
      </c>
      <c r="E1166" s="55">
        <v>5</v>
      </c>
      <c r="F1166" s="55">
        <v>3</v>
      </c>
      <c r="G1166" s="55">
        <v>3</v>
      </c>
      <c r="H1166" s="55">
        <v>0</v>
      </c>
      <c r="I1166" s="55">
        <v>3</v>
      </c>
      <c r="J1166" s="55">
        <v>3</v>
      </c>
      <c r="K1166" s="55">
        <v>0</v>
      </c>
      <c r="L1166" s="55">
        <v>0</v>
      </c>
      <c r="M1166" s="54" t="s">
        <v>30</v>
      </c>
      <c r="N1166" s="54" t="s">
        <v>1401</v>
      </c>
      <c r="O1166" s="54" t="s">
        <v>7</v>
      </c>
      <c r="P1166" s="54">
        <f t="shared" si="72"/>
        <v>1</v>
      </c>
      <c r="Q1166">
        <f t="shared" si="73"/>
        <v>1</v>
      </c>
      <c r="R1166">
        <f t="shared" si="74"/>
        <v>1</v>
      </c>
      <c r="S1166" t="b">
        <f t="shared" si="75"/>
        <v>0</v>
      </c>
    </row>
    <row r="1167" spans="1:19" x14ac:dyDescent="0.2">
      <c r="A1167" s="54">
        <v>493856</v>
      </c>
      <c r="B1167" s="54" t="s">
        <v>365</v>
      </c>
      <c r="C1167" s="55">
        <v>25</v>
      </c>
      <c r="D1167" s="55">
        <v>2</v>
      </c>
      <c r="E1167" s="55">
        <v>10</v>
      </c>
      <c r="F1167" s="55">
        <v>68</v>
      </c>
      <c r="G1167" s="55">
        <v>48</v>
      </c>
      <c r="H1167" s="55">
        <v>0</v>
      </c>
      <c r="I1167" s="55">
        <v>34</v>
      </c>
      <c r="J1167" s="55">
        <v>24</v>
      </c>
      <c r="K1167" s="55">
        <v>0</v>
      </c>
      <c r="L1167" s="55">
        <v>41</v>
      </c>
      <c r="M1167" s="54" t="s">
        <v>43</v>
      </c>
      <c r="N1167" s="54" t="s">
        <v>1400</v>
      </c>
      <c r="O1167" s="54" t="s">
        <v>7</v>
      </c>
      <c r="P1167" s="54">
        <f t="shared" si="72"/>
        <v>25</v>
      </c>
      <c r="Q1167">
        <f t="shared" si="73"/>
        <v>25</v>
      </c>
      <c r="R1167">
        <f t="shared" si="74"/>
        <v>25</v>
      </c>
      <c r="S1167" t="b">
        <f t="shared" si="75"/>
        <v>0</v>
      </c>
    </row>
    <row r="1168" spans="1:19" x14ac:dyDescent="0.2">
      <c r="A1168" s="54">
        <v>493927</v>
      </c>
      <c r="B1168" s="54" t="s">
        <v>519</v>
      </c>
      <c r="C1168" s="55">
        <v>17</v>
      </c>
      <c r="D1168" s="55">
        <v>17</v>
      </c>
      <c r="E1168" s="55">
        <v>19</v>
      </c>
      <c r="F1168" s="55">
        <v>42</v>
      </c>
      <c r="G1168" s="55">
        <v>42</v>
      </c>
      <c r="H1168" s="55">
        <v>42</v>
      </c>
      <c r="I1168" s="55">
        <v>2.4700000000000002</v>
      </c>
      <c r="J1168" s="55">
        <v>2.4700000000000002</v>
      </c>
      <c r="K1168" s="55">
        <v>2.4700000000000002</v>
      </c>
      <c r="L1168" s="55">
        <v>0</v>
      </c>
      <c r="M1168" s="54" t="s">
        <v>45</v>
      </c>
      <c r="N1168" s="54" t="s">
        <v>47</v>
      </c>
      <c r="O1168" s="54" t="s">
        <v>7</v>
      </c>
      <c r="P1168" s="54">
        <f t="shared" si="72"/>
        <v>17</v>
      </c>
      <c r="Q1168">
        <f t="shared" si="73"/>
        <v>17</v>
      </c>
      <c r="R1168">
        <f t="shared" si="74"/>
        <v>17</v>
      </c>
      <c r="S1168" t="b">
        <f t="shared" si="75"/>
        <v>0</v>
      </c>
    </row>
    <row r="1169" spans="1:19" x14ac:dyDescent="0.2">
      <c r="A1169" s="54">
        <v>494655</v>
      </c>
      <c r="B1169" s="54" t="s">
        <v>419</v>
      </c>
      <c r="C1169" s="55">
        <v>17</v>
      </c>
      <c r="D1169" s="55">
        <v>15</v>
      </c>
      <c r="E1169" s="55">
        <v>44</v>
      </c>
      <c r="F1169" s="55">
        <v>46</v>
      </c>
      <c r="G1169" s="55">
        <v>0</v>
      </c>
      <c r="H1169" s="55">
        <v>0</v>
      </c>
      <c r="I1169" s="55">
        <v>3.07</v>
      </c>
      <c r="J1169" s="55">
        <v>0</v>
      </c>
      <c r="K1169" s="55">
        <v>0</v>
      </c>
      <c r="L1169" s="55">
        <v>0</v>
      </c>
      <c r="M1169" s="54" t="s">
        <v>47</v>
      </c>
      <c r="N1169" s="54" t="s">
        <v>47</v>
      </c>
      <c r="O1169" s="54" t="s">
        <v>7</v>
      </c>
      <c r="P1169" s="54">
        <f t="shared" si="72"/>
        <v>17</v>
      </c>
      <c r="Q1169">
        <f t="shared" si="73"/>
        <v>17</v>
      </c>
      <c r="R1169">
        <f t="shared" si="74"/>
        <v>0</v>
      </c>
      <c r="S1169" t="b">
        <f t="shared" si="75"/>
        <v>0</v>
      </c>
    </row>
    <row r="1170" spans="1:19" x14ac:dyDescent="0.2">
      <c r="A1170" s="54">
        <v>494666</v>
      </c>
      <c r="B1170" s="54" t="s">
        <v>1298</v>
      </c>
      <c r="C1170" s="55">
        <v>630</v>
      </c>
      <c r="D1170" s="55">
        <v>630</v>
      </c>
      <c r="E1170" s="55">
        <v>3</v>
      </c>
      <c r="F1170" s="55">
        <v>0</v>
      </c>
      <c r="G1170" s="55">
        <v>0</v>
      </c>
      <c r="H1170" s="55">
        <v>0</v>
      </c>
      <c r="I1170" s="55">
        <v>0</v>
      </c>
      <c r="J1170" s="55">
        <v>0</v>
      </c>
      <c r="K1170" s="55">
        <v>0</v>
      </c>
      <c r="L1170" s="55">
        <v>0</v>
      </c>
      <c r="M1170" s="54" t="s">
        <v>30</v>
      </c>
      <c r="N1170" s="54" t="s">
        <v>1401</v>
      </c>
      <c r="O1170" s="54" t="s">
        <v>5</v>
      </c>
      <c r="P1170" s="54">
        <f t="shared" si="72"/>
        <v>0</v>
      </c>
      <c r="Q1170">
        <f t="shared" si="73"/>
        <v>0</v>
      </c>
      <c r="R1170">
        <f t="shared" si="74"/>
        <v>0</v>
      </c>
      <c r="S1170" t="b">
        <f t="shared" si="75"/>
        <v>0</v>
      </c>
    </row>
    <row r="1171" spans="1:19" x14ac:dyDescent="0.2">
      <c r="A1171" s="54">
        <v>494760</v>
      </c>
      <c r="B1171" s="54" t="s">
        <v>1337</v>
      </c>
      <c r="C1171" s="55">
        <v>0</v>
      </c>
      <c r="D1171" s="55">
        <v>75</v>
      </c>
      <c r="E1171" s="55">
        <v>0</v>
      </c>
      <c r="F1171" s="55">
        <v>0</v>
      </c>
      <c r="G1171" s="55">
        <v>0</v>
      </c>
      <c r="H1171" s="55">
        <v>0</v>
      </c>
      <c r="I1171" s="55">
        <v>0</v>
      </c>
      <c r="J1171" s="55">
        <v>0</v>
      </c>
      <c r="K1171" s="55">
        <v>0</v>
      </c>
      <c r="L1171" s="55">
        <v>0</v>
      </c>
      <c r="M1171" s="54" t="s">
        <v>30</v>
      </c>
      <c r="N1171" s="54" t="s">
        <v>1401</v>
      </c>
      <c r="O1171" s="54" t="s">
        <v>7</v>
      </c>
      <c r="P1171" s="54">
        <f t="shared" si="72"/>
        <v>0</v>
      </c>
      <c r="Q1171">
        <f t="shared" si="73"/>
        <v>0</v>
      </c>
      <c r="R1171">
        <f t="shared" si="74"/>
        <v>0</v>
      </c>
      <c r="S1171" t="b">
        <f t="shared" si="75"/>
        <v>0</v>
      </c>
    </row>
    <row r="1172" spans="1:19" x14ac:dyDescent="0.2">
      <c r="A1172" s="54">
        <v>494944</v>
      </c>
      <c r="B1172" s="54" t="s">
        <v>1159</v>
      </c>
      <c r="C1172" s="55">
        <v>55</v>
      </c>
      <c r="D1172" s="55">
        <v>55</v>
      </c>
      <c r="E1172" s="55">
        <v>2</v>
      </c>
      <c r="F1172" s="55">
        <v>10</v>
      </c>
      <c r="G1172" s="55">
        <v>10</v>
      </c>
      <c r="H1172" s="55">
        <v>10</v>
      </c>
      <c r="I1172" s="55">
        <v>0.18</v>
      </c>
      <c r="J1172" s="55">
        <v>0.18</v>
      </c>
      <c r="K1172" s="55">
        <v>0.18</v>
      </c>
      <c r="L1172" s="55">
        <v>14</v>
      </c>
      <c r="M1172" s="54" t="s">
        <v>30</v>
      </c>
      <c r="N1172" s="54" t="s">
        <v>1401</v>
      </c>
      <c r="O1172" s="54" t="s">
        <v>7</v>
      </c>
      <c r="P1172" s="54">
        <f t="shared" si="72"/>
        <v>0</v>
      </c>
      <c r="Q1172">
        <f t="shared" si="73"/>
        <v>0</v>
      </c>
      <c r="R1172">
        <f t="shared" si="74"/>
        <v>0</v>
      </c>
      <c r="S1172" t="b">
        <f t="shared" si="75"/>
        <v>0</v>
      </c>
    </row>
    <row r="1173" spans="1:19" x14ac:dyDescent="0.2">
      <c r="A1173" s="54">
        <v>497274</v>
      </c>
      <c r="B1173" s="54" t="s">
        <v>815</v>
      </c>
      <c r="C1173" s="55">
        <v>6</v>
      </c>
      <c r="D1173" s="55">
        <v>6</v>
      </c>
      <c r="E1173" s="55">
        <v>4</v>
      </c>
      <c r="F1173" s="55">
        <v>8</v>
      </c>
      <c r="G1173" s="55">
        <v>8</v>
      </c>
      <c r="H1173" s="55">
        <v>8</v>
      </c>
      <c r="I1173" s="55">
        <v>1.33</v>
      </c>
      <c r="J1173" s="55">
        <v>1.33</v>
      </c>
      <c r="K1173" s="55">
        <v>1.33</v>
      </c>
      <c r="L1173" s="55">
        <v>14</v>
      </c>
      <c r="M1173" s="54" t="s">
        <v>30</v>
      </c>
      <c r="N1173" s="54" t="s">
        <v>1401</v>
      </c>
      <c r="O1173" s="54" t="s">
        <v>7</v>
      </c>
      <c r="P1173" s="54">
        <f t="shared" si="72"/>
        <v>6</v>
      </c>
      <c r="Q1173">
        <f t="shared" si="73"/>
        <v>0</v>
      </c>
      <c r="R1173">
        <f t="shared" si="74"/>
        <v>6</v>
      </c>
      <c r="S1173" t="b">
        <f t="shared" si="75"/>
        <v>0</v>
      </c>
    </row>
    <row r="1174" spans="1:19" x14ac:dyDescent="0.2">
      <c r="A1174" s="54">
        <v>497501</v>
      </c>
      <c r="B1174" s="54" t="s">
        <v>971</v>
      </c>
      <c r="C1174" s="55">
        <v>16</v>
      </c>
      <c r="D1174" s="55">
        <v>16</v>
      </c>
      <c r="E1174" s="55">
        <v>2</v>
      </c>
      <c r="F1174" s="55">
        <v>0</v>
      </c>
      <c r="G1174" s="55">
        <v>0</v>
      </c>
      <c r="H1174" s="55">
        <v>0</v>
      </c>
      <c r="I1174" s="55">
        <v>0</v>
      </c>
      <c r="J1174" s="55">
        <v>0</v>
      </c>
      <c r="K1174" s="55">
        <v>0</v>
      </c>
      <c r="L1174" s="55">
        <v>0</v>
      </c>
      <c r="M1174" s="54" t="s">
        <v>30</v>
      </c>
      <c r="N1174" s="54" t="s">
        <v>1401</v>
      </c>
      <c r="O1174" s="54" t="s">
        <v>7</v>
      </c>
      <c r="P1174" s="54">
        <f t="shared" si="72"/>
        <v>0</v>
      </c>
      <c r="Q1174">
        <f t="shared" si="73"/>
        <v>0</v>
      </c>
      <c r="R1174">
        <f t="shared" si="74"/>
        <v>0</v>
      </c>
      <c r="S1174" t="b">
        <f t="shared" si="75"/>
        <v>0</v>
      </c>
    </row>
    <row r="1175" spans="1:19" x14ac:dyDescent="0.2">
      <c r="A1175" s="54">
        <v>497630</v>
      </c>
      <c r="B1175" s="54" t="s">
        <v>1235</v>
      </c>
      <c r="C1175" s="55">
        <v>124</v>
      </c>
      <c r="D1175" s="55">
        <v>126</v>
      </c>
      <c r="E1175" s="55">
        <v>4</v>
      </c>
      <c r="F1175" s="55">
        <v>0</v>
      </c>
      <c r="G1175" s="55">
        <v>0</v>
      </c>
      <c r="H1175" s="55">
        <v>0</v>
      </c>
      <c r="I1175" s="55">
        <v>0</v>
      </c>
      <c r="J1175" s="55">
        <v>0</v>
      </c>
      <c r="K1175" s="55">
        <v>0</v>
      </c>
      <c r="L1175" s="55">
        <v>0</v>
      </c>
      <c r="M1175" s="54" t="s">
        <v>30</v>
      </c>
      <c r="N1175" s="54" t="s">
        <v>1401</v>
      </c>
      <c r="O1175" s="54" t="s">
        <v>6</v>
      </c>
      <c r="P1175" s="54">
        <f t="shared" si="72"/>
        <v>0</v>
      </c>
      <c r="Q1175">
        <f t="shared" si="73"/>
        <v>0</v>
      </c>
      <c r="R1175">
        <f t="shared" si="74"/>
        <v>0</v>
      </c>
      <c r="S1175" t="b">
        <f t="shared" si="75"/>
        <v>0</v>
      </c>
    </row>
    <row r="1176" spans="1:19" x14ac:dyDescent="0.2">
      <c r="A1176" s="54">
        <v>497705</v>
      </c>
      <c r="B1176" s="54" t="s">
        <v>171</v>
      </c>
      <c r="C1176" s="55">
        <v>5115</v>
      </c>
      <c r="D1176" s="55">
        <v>1834</v>
      </c>
      <c r="E1176" s="55">
        <v>6</v>
      </c>
      <c r="F1176" s="55">
        <v>728</v>
      </c>
      <c r="G1176" s="55">
        <v>284</v>
      </c>
      <c r="H1176" s="55">
        <v>197</v>
      </c>
      <c r="I1176" s="55">
        <v>0.4</v>
      </c>
      <c r="J1176" s="55">
        <v>0.15</v>
      </c>
      <c r="K1176" s="55">
        <v>0.11</v>
      </c>
      <c r="L1176" s="55">
        <v>4</v>
      </c>
      <c r="M1176" s="54" t="s">
        <v>43</v>
      </c>
      <c r="N1176" s="54" t="s">
        <v>1400</v>
      </c>
      <c r="O1176" s="54" t="s">
        <v>5</v>
      </c>
      <c r="P1176" s="54">
        <f t="shared" si="72"/>
        <v>0</v>
      </c>
      <c r="Q1176">
        <f t="shared" si="73"/>
        <v>0</v>
      </c>
      <c r="R1176">
        <f t="shared" si="74"/>
        <v>0</v>
      </c>
      <c r="S1176" t="b">
        <f t="shared" si="75"/>
        <v>0</v>
      </c>
    </row>
    <row r="1177" spans="1:19" x14ac:dyDescent="0.2">
      <c r="A1177" s="54">
        <v>498161</v>
      </c>
      <c r="B1177" s="54" t="s">
        <v>643</v>
      </c>
      <c r="C1177" s="55">
        <v>6</v>
      </c>
      <c r="D1177" s="55">
        <v>4</v>
      </c>
      <c r="E1177" s="55">
        <v>16</v>
      </c>
      <c r="F1177" s="55">
        <v>0</v>
      </c>
      <c r="G1177" s="55">
        <v>0</v>
      </c>
      <c r="H1177" s="55">
        <v>0</v>
      </c>
      <c r="I1177" s="55">
        <v>0</v>
      </c>
      <c r="J1177" s="55">
        <v>0</v>
      </c>
      <c r="K1177" s="55">
        <v>0</v>
      </c>
      <c r="L1177" s="55">
        <v>0</v>
      </c>
      <c r="M1177" s="54" t="s">
        <v>45</v>
      </c>
      <c r="N1177" s="54" t="s">
        <v>47</v>
      </c>
      <c r="O1177" s="54" t="s">
        <v>7</v>
      </c>
      <c r="P1177" s="54">
        <f t="shared" si="72"/>
        <v>0</v>
      </c>
      <c r="Q1177">
        <f t="shared" si="73"/>
        <v>0</v>
      </c>
      <c r="R1177">
        <f t="shared" si="74"/>
        <v>0</v>
      </c>
      <c r="S1177" t="b">
        <f t="shared" si="75"/>
        <v>0</v>
      </c>
    </row>
    <row r="1178" spans="1:19" x14ac:dyDescent="0.2">
      <c r="A1178" s="54">
        <v>499870</v>
      </c>
      <c r="B1178" s="54" t="s">
        <v>791</v>
      </c>
      <c r="C1178" s="55">
        <v>5</v>
      </c>
      <c r="D1178" s="55">
        <v>5</v>
      </c>
      <c r="E1178" s="55">
        <v>2</v>
      </c>
      <c r="F1178" s="55">
        <v>60</v>
      </c>
      <c r="G1178" s="55">
        <v>58</v>
      </c>
      <c r="H1178" s="55">
        <v>58</v>
      </c>
      <c r="I1178" s="55">
        <v>12</v>
      </c>
      <c r="J1178" s="55">
        <v>11.6</v>
      </c>
      <c r="K1178" s="55">
        <v>11.6</v>
      </c>
      <c r="L1178" s="55">
        <v>3</v>
      </c>
      <c r="M1178" s="54" t="s">
        <v>30</v>
      </c>
      <c r="N1178" s="54" t="s">
        <v>1401</v>
      </c>
      <c r="O1178" s="54" t="s">
        <v>7</v>
      </c>
      <c r="P1178" s="54">
        <f t="shared" si="72"/>
        <v>5</v>
      </c>
      <c r="Q1178">
        <f t="shared" si="73"/>
        <v>5</v>
      </c>
      <c r="R1178">
        <f t="shared" si="74"/>
        <v>5</v>
      </c>
      <c r="S1178" t="b">
        <f t="shared" si="75"/>
        <v>0</v>
      </c>
    </row>
    <row r="1179" spans="1:19" x14ac:dyDescent="0.2">
      <c r="A1179" s="54">
        <v>499976</v>
      </c>
      <c r="B1179" s="54" t="s">
        <v>212</v>
      </c>
      <c r="C1179" s="55">
        <v>266</v>
      </c>
      <c r="D1179" s="55">
        <v>236</v>
      </c>
      <c r="E1179" s="55">
        <v>11</v>
      </c>
      <c r="F1179" s="55">
        <v>257</v>
      </c>
      <c r="G1179" s="55">
        <v>7</v>
      </c>
      <c r="H1179" s="55">
        <v>1</v>
      </c>
      <c r="I1179" s="55">
        <v>1.0900000000000001</v>
      </c>
      <c r="J1179" s="55">
        <v>0.03</v>
      </c>
      <c r="K1179" s="55">
        <v>0</v>
      </c>
      <c r="L1179" s="55">
        <v>13</v>
      </c>
      <c r="M1179" s="54" t="s">
        <v>43</v>
      </c>
      <c r="N1179" s="54" t="s">
        <v>1400</v>
      </c>
      <c r="O1179" s="54" t="s">
        <v>6</v>
      </c>
      <c r="P1179" s="54">
        <f t="shared" si="72"/>
        <v>0</v>
      </c>
      <c r="Q1179">
        <f t="shared" si="73"/>
        <v>0</v>
      </c>
      <c r="R1179">
        <f t="shared" si="74"/>
        <v>0</v>
      </c>
      <c r="S1179" t="b">
        <f t="shared" si="75"/>
        <v>0</v>
      </c>
    </row>
    <row r="1180" spans="1:19" x14ac:dyDescent="0.2">
      <c r="A1180" s="54">
        <v>500453</v>
      </c>
      <c r="B1180" s="54" t="s">
        <v>502</v>
      </c>
      <c r="C1180" s="55">
        <v>4</v>
      </c>
      <c r="D1180" s="55">
        <v>4</v>
      </c>
      <c r="E1180" s="55">
        <v>6</v>
      </c>
      <c r="F1180" s="55">
        <v>21</v>
      </c>
      <c r="G1180" s="55">
        <v>20</v>
      </c>
      <c r="H1180" s="55">
        <v>14</v>
      </c>
      <c r="I1180" s="55">
        <v>5.25</v>
      </c>
      <c r="J1180" s="55">
        <v>5</v>
      </c>
      <c r="K1180" s="55">
        <v>3.5</v>
      </c>
      <c r="L1180" s="55">
        <v>34</v>
      </c>
      <c r="M1180" s="54" t="s">
        <v>43</v>
      </c>
      <c r="N1180" s="54" t="s">
        <v>1400</v>
      </c>
      <c r="O1180" s="54" t="s">
        <v>7</v>
      </c>
      <c r="P1180" s="54">
        <f t="shared" si="72"/>
        <v>4</v>
      </c>
      <c r="Q1180">
        <f t="shared" si="73"/>
        <v>4</v>
      </c>
      <c r="R1180">
        <f t="shared" si="74"/>
        <v>4</v>
      </c>
      <c r="S1180" t="b">
        <f t="shared" si="75"/>
        <v>0</v>
      </c>
    </row>
    <row r="1181" spans="1:19" x14ac:dyDescent="0.2">
      <c r="A1181" s="54">
        <v>500661</v>
      </c>
      <c r="B1181" s="54" t="s">
        <v>538</v>
      </c>
      <c r="C1181" s="55">
        <v>2</v>
      </c>
      <c r="D1181" s="55">
        <v>9</v>
      </c>
      <c r="E1181" s="55">
        <v>9</v>
      </c>
      <c r="F1181" s="55">
        <v>4</v>
      </c>
      <c r="G1181" s="55">
        <v>0</v>
      </c>
      <c r="H1181" s="55">
        <v>0</v>
      </c>
      <c r="I1181" s="55">
        <v>0.44</v>
      </c>
      <c r="J1181" s="55">
        <v>0</v>
      </c>
      <c r="K1181" s="55">
        <v>0</v>
      </c>
      <c r="L1181" s="55">
        <v>0</v>
      </c>
      <c r="M1181" s="54" t="s">
        <v>43</v>
      </c>
      <c r="N1181" s="54" t="s">
        <v>1400</v>
      </c>
      <c r="O1181" s="54" t="s">
        <v>7</v>
      </c>
      <c r="P1181" s="54">
        <f t="shared" si="72"/>
        <v>0</v>
      </c>
      <c r="Q1181">
        <f t="shared" si="73"/>
        <v>0</v>
      </c>
      <c r="R1181">
        <f t="shared" si="74"/>
        <v>0</v>
      </c>
      <c r="S1181" t="b">
        <f t="shared" si="75"/>
        <v>0</v>
      </c>
    </row>
    <row r="1182" spans="1:19" x14ac:dyDescent="0.2">
      <c r="A1182" s="54">
        <v>501750</v>
      </c>
      <c r="B1182" s="54" t="s">
        <v>1129</v>
      </c>
      <c r="C1182" s="55">
        <v>40</v>
      </c>
      <c r="D1182" s="55">
        <v>40</v>
      </c>
      <c r="E1182" s="55">
        <v>5</v>
      </c>
      <c r="F1182" s="55">
        <v>0</v>
      </c>
      <c r="G1182" s="55">
        <v>0</v>
      </c>
      <c r="H1182" s="55">
        <v>0</v>
      </c>
      <c r="I1182" s="55">
        <v>0</v>
      </c>
      <c r="J1182" s="55">
        <v>0</v>
      </c>
      <c r="K1182" s="55">
        <v>0</v>
      </c>
      <c r="L1182" s="55">
        <v>0</v>
      </c>
      <c r="M1182" s="54" t="s">
        <v>30</v>
      </c>
      <c r="N1182" s="54" t="s">
        <v>1401</v>
      </c>
      <c r="O1182" s="54" t="s">
        <v>7</v>
      </c>
      <c r="P1182" s="54">
        <f t="shared" si="72"/>
        <v>0</v>
      </c>
      <c r="Q1182">
        <f t="shared" si="73"/>
        <v>0</v>
      </c>
      <c r="R1182">
        <f t="shared" si="74"/>
        <v>0</v>
      </c>
      <c r="S1182" t="b">
        <f t="shared" si="75"/>
        <v>0</v>
      </c>
    </row>
    <row r="1183" spans="1:19" x14ac:dyDescent="0.2">
      <c r="A1183" s="54">
        <v>501804</v>
      </c>
      <c r="B1183" s="54" t="s">
        <v>986</v>
      </c>
      <c r="C1183" s="55">
        <v>17</v>
      </c>
      <c r="D1183" s="55">
        <v>6</v>
      </c>
      <c r="E1183" s="55">
        <v>5</v>
      </c>
      <c r="F1183" s="55">
        <v>0</v>
      </c>
      <c r="G1183" s="55">
        <v>0</v>
      </c>
      <c r="H1183" s="55">
        <v>0</v>
      </c>
      <c r="I1183" s="55">
        <v>0</v>
      </c>
      <c r="J1183" s="55">
        <v>0</v>
      </c>
      <c r="K1183" s="55">
        <v>0</v>
      </c>
      <c r="L1183" s="55">
        <v>0</v>
      </c>
      <c r="M1183" s="54" t="s">
        <v>30</v>
      </c>
      <c r="N1183" s="54" t="s">
        <v>1401</v>
      </c>
      <c r="O1183" s="54" t="s">
        <v>7</v>
      </c>
      <c r="P1183" s="54">
        <f t="shared" si="72"/>
        <v>0</v>
      </c>
      <c r="Q1183">
        <f t="shared" si="73"/>
        <v>0</v>
      </c>
      <c r="R1183">
        <f t="shared" si="74"/>
        <v>0</v>
      </c>
      <c r="S1183" t="b">
        <f t="shared" si="75"/>
        <v>0</v>
      </c>
    </row>
    <row r="1184" spans="1:19" x14ac:dyDescent="0.2">
      <c r="A1184" s="54">
        <v>501978</v>
      </c>
      <c r="B1184" s="54" t="s">
        <v>1340</v>
      </c>
      <c r="C1184" s="55">
        <v>0</v>
      </c>
      <c r="D1184" s="55">
        <v>5</v>
      </c>
      <c r="E1184" s="55">
        <v>0</v>
      </c>
      <c r="F1184" s="55">
        <v>0</v>
      </c>
      <c r="G1184" s="55">
        <v>0</v>
      </c>
      <c r="H1184" s="55">
        <v>0</v>
      </c>
      <c r="I1184" s="55">
        <v>0</v>
      </c>
      <c r="J1184" s="55">
        <v>0</v>
      </c>
      <c r="K1184" s="55">
        <v>0</v>
      </c>
      <c r="L1184" s="55">
        <v>0</v>
      </c>
      <c r="M1184" s="54" t="s">
        <v>30</v>
      </c>
      <c r="N1184" s="54" t="s">
        <v>1401</v>
      </c>
      <c r="O1184" s="54" t="s">
        <v>7</v>
      </c>
      <c r="P1184" s="54">
        <f t="shared" si="72"/>
        <v>0</v>
      </c>
      <c r="Q1184">
        <f t="shared" si="73"/>
        <v>0</v>
      </c>
      <c r="R1184">
        <f t="shared" si="74"/>
        <v>0</v>
      </c>
      <c r="S1184" t="b">
        <f t="shared" si="75"/>
        <v>0</v>
      </c>
    </row>
    <row r="1185" spans="1:19" x14ac:dyDescent="0.2">
      <c r="A1185" s="54">
        <v>502025</v>
      </c>
      <c r="B1185" s="54" t="s">
        <v>534</v>
      </c>
      <c r="C1185" s="55">
        <v>1</v>
      </c>
      <c r="D1185" s="55">
        <v>1</v>
      </c>
      <c r="E1185" s="55">
        <v>6</v>
      </c>
      <c r="F1185" s="55">
        <v>11</v>
      </c>
      <c r="G1185" s="55">
        <v>10</v>
      </c>
      <c r="H1185" s="55">
        <v>6</v>
      </c>
      <c r="I1185" s="55">
        <v>11</v>
      </c>
      <c r="J1185" s="55">
        <v>10</v>
      </c>
      <c r="K1185" s="55">
        <v>6</v>
      </c>
      <c r="L1185" s="55">
        <v>19</v>
      </c>
      <c r="M1185" s="54" t="s">
        <v>43</v>
      </c>
      <c r="N1185" s="54" t="s">
        <v>1400</v>
      </c>
      <c r="O1185" s="54" t="s">
        <v>7</v>
      </c>
      <c r="P1185" s="54">
        <f t="shared" si="72"/>
        <v>1</v>
      </c>
      <c r="Q1185">
        <f t="shared" si="73"/>
        <v>1</v>
      </c>
      <c r="R1185">
        <f t="shared" si="74"/>
        <v>1</v>
      </c>
      <c r="S1185" t="b">
        <f t="shared" si="75"/>
        <v>0</v>
      </c>
    </row>
    <row r="1186" spans="1:19" x14ac:dyDescent="0.2">
      <c r="A1186" s="54">
        <v>507320</v>
      </c>
      <c r="B1186" s="54" t="s">
        <v>1350</v>
      </c>
      <c r="C1186" s="55">
        <v>0</v>
      </c>
      <c r="D1186" s="55">
        <v>2</v>
      </c>
      <c r="E1186" s="55">
        <v>0</v>
      </c>
      <c r="F1186" s="55">
        <v>0</v>
      </c>
      <c r="G1186" s="55">
        <v>0</v>
      </c>
      <c r="H1186" s="55">
        <v>0</v>
      </c>
      <c r="I1186" s="55">
        <v>0</v>
      </c>
      <c r="J1186" s="55">
        <v>0</v>
      </c>
      <c r="K1186" s="55">
        <v>0</v>
      </c>
      <c r="L1186" s="55">
        <v>0</v>
      </c>
      <c r="M1186" s="54" t="s">
        <v>30</v>
      </c>
      <c r="N1186" s="54" t="s">
        <v>1401</v>
      </c>
      <c r="O1186" s="54" t="s">
        <v>7</v>
      </c>
      <c r="P1186" s="54">
        <f t="shared" si="72"/>
        <v>0</v>
      </c>
      <c r="Q1186">
        <f t="shared" si="73"/>
        <v>0</v>
      </c>
      <c r="R1186">
        <f t="shared" si="74"/>
        <v>0</v>
      </c>
      <c r="S1186" t="b">
        <f t="shared" si="75"/>
        <v>0</v>
      </c>
    </row>
    <row r="1187" spans="1:19" x14ac:dyDescent="0.2">
      <c r="A1187" s="54">
        <v>507321</v>
      </c>
      <c r="B1187" s="54" t="s">
        <v>1144</v>
      </c>
      <c r="C1187" s="55">
        <v>50</v>
      </c>
      <c r="D1187" s="55">
        <v>40</v>
      </c>
      <c r="E1187" s="55">
        <v>5</v>
      </c>
      <c r="F1187" s="55">
        <v>18</v>
      </c>
      <c r="G1187" s="55">
        <v>18</v>
      </c>
      <c r="H1187" s="55">
        <v>18</v>
      </c>
      <c r="I1187" s="55">
        <v>0.45</v>
      </c>
      <c r="J1187" s="55">
        <v>0.45</v>
      </c>
      <c r="K1187" s="55">
        <v>0.45</v>
      </c>
      <c r="L1187" s="55">
        <v>5</v>
      </c>
      <c r="M1187" s="54" t="s">
        <v>30</v>
      </c>
      <c r="N1187" s="54" t="s">
        <v>1401</v>
      </c>
      <c r="O1187" s="54" t="s">
        <v>7</v>
      </c>
      <c r="P1187" s="54">
        <f t="shared" si="72"/>
        <v>0</v>
      </c>
      <c r="Q1187">
        <f t="shared" si="73"/>
        <v>0</v>
      </c>
      <c r="R1187">
        <f t="shared" si="74"/>
        <v>0</v>
      </c>
      <c r="S1187" t="b">
        <f t="shared" si="75"/>
        <v>0</v>
      </c>
    </row>
    <row r="1188" spans="1:19" x14ac:dyDescent="0.2">
      <c r="A1188" s="54">
        <v>508610</v>
      </c>
      <c r="B1188" s="54" t="s">
        <v>871</v>
      </c>
      <c r="C1188" s="55">
        <v>10</v>
      </c>
      <c r="D1188" s="55">
        <v>10</v>
      </c>
      <c r="E1188" s="55">
        <v>1</v>
      </c>
      <c r="F1188" s="55">
        <v>0</v>
      </c>
      <c r="G1188" s="55">
        <v>0</v>
      </c>
      <c r="H1188" s="55">
        <v>0</v>
      </c>
      <c r="I1188" s="55">
        <v>0</v>
      </c>
      <c r="J1188" s="55">
        <v>0</v>
      </c>
      <c r="K1188" s="55">
        <v>0</v>
      </c>
      <c r="L1188" s="55">
        <v>0</v>
      </c>
      <c r="M1188" s="54" t="s">
        <v>30</v>
      </c>
      <c r="N1188" s="54" t="s">
        <v>1401</v>
      </c>
      <c r="O1188" s="54" t="s">
        <v>7</v>
      </c>
      <c r="P1188" s="54">
        <f t="shared" si="72"/>
        <v>0</v>
      </c>
      <c r="Q1188">
        <f t="shared" si="73"/>
        <v>0</v>
      </c>
      <c r="R1188">
        <f t="shared" si="74"/>
        <v>0</v>
      </c>
      <c r="S1188" t="b">
        <f t="shared" si="75"/>
        <v>0</v>
      </c>
    </row>
    <row r="1189" spans="1:19" x14ac:dyDescent="0.2">
      <c r="A1189" s="54">
        <v>508779</v>
      </c>
      <c r="B1189" s="54" t="s">
        <v>295</v>
      </c>
      <c r="C1189" s="55">
        <v>79</v>
      </c>
      <c r="D1189" s="55">
        <v>106</v>
      </c>
      <c r="E1189" s="55">
        <v>6</v>
      </c>
      <c r="F1189" s="55">
        <v>213</v>
      </c>
      <c r="G1189" s="55">
        <v>213</v>
      </c>
      <c r="H1189" s="55">
        <v>195</v>
      </c>
      <c r="I1189" s="55">
        <v>2.0099999999999998</v>
      </c>
      <c r="J1189" s="55">
        <v>2.0099999999999998</v>
      </c>
      <c r="K1189" s="55">
        <v>1.84</v>
      </c>
      <c r="L1189" s="55">
        <v>96</v>
      </c>
      <c r="M1189" s="54" t="s">
        <v>43</v>
      </c>
      <c r="N1189" s="54" t="s">
        <v>1400</v>
      </c>
      <c r="O1189" s="54" t="s">
        <v>6</v>
      </c>
      <c r="P1189" s="54">
        <f t="shared" si="72"/>
        <v>79</v>
      </c>
      <c r="Q1189">
        <f t="shared" si="73"/>
        <v>79</v>
      </c>
      <c r="R1189">
        <f t="shared" si="74"/>
        <v>79</v>
      </c>
      <c r="S1189" t="b">
        <f t="shared" si="75"/>
        <v>0</v>
      </c>
    </row>
    <row r="1190" spans="1:19" x14ac:dyDescent="0.2">
      <c r="A1190" s="54">
        <v>509692</v>
      </c>
      <c r="B1190" s="54" t="s">
        <v>902</v>
      </c>
      <c r="C1190" s="55">
        <v>11</v>
      </c>
      <c r="D1190" s="55">
        <v>26</v>
      </c>
      <c r="E1190" s="55">
        <v>5</v>
      </c>
      <c r="F1190" s="55">
        <v>28</v>
      </c>
      <c r="G1190" s="55">
        <v>28</v>
      </c>
      <c r="H1190" s="55">
        <v>28</v>
      </c>
      <c r="I1190" s="55">
        <v>1.08</v>
      </c>
      <c r="J1190" s="55">
        <v>1.08</v>
      </c>
      <c r="K1190" s="55">
        <v>1.08</v>
      </c>
      <c r="L1190" s="55">
        <v>23</v>
      </c>
      <c r="M1190" s="54" t="s">
        <v>30</v>
      </c>
      <c r="N1190" s="54" t="s">
        <v>1401</v>
      </c>
      <c r="O1190" s="54" t="s">
        <v>7</v>
      </c>
      <c r="P1190" s="54">
        <f t="shared" si="72"/>
        <v>11</v>
      </c>
      <c r="Q1190">
        <f t="shared" si="73"/>
        <v>0</v>
      </c>
      <c r="R1190">
        <f t="shared" si="74"/>
        <v>11</v>
      </c>
      <c r="S1190" t="b">
        <f t="shared" si="75"/>
        <v>0</v>
      </c>
    </row>
    <row r="1191" spans="1:19" x14ac:dyDescent="0.2">
      <c r="A1191" s="54">
        <v>509881</v>
      </c>
      <c r="B1191" s="54" t="s">
        <v>696</v>
      </c>
      <c r="C1191" s="55">
        <v>1</v>
      </c>
      <c r="D1191" s="55">
        <v>3</v>
      </c>
      <c r="E1191" s="55">
        <v>2</v>
      </c>
      <c r="F1191" s="55">
        <v>0</v>
      </c>
      <c r="G1191" s="55">
        <v>0</v>
      </c>
      <c r="H1191" s="55">
        <v>0</v>
      </c>
      <c r="I1191" s="55">
        <v>0</v>
      </c>
      <c r="J1191" s="55">
        <v>0</v>
      </c>
      <c r="K1191" s="55">
        <v>0</v>
      </c>
      <c r="L1191" s="55">
        <v>0</v>
      </c>
      <c r="M1191" s="54" t="s">
        <v>30</v>
      </c>
      <c r="N1191" s="54" t="s">
        <v>1401</v>
      </c>
      <c r="O1191" s="54" t="s">
        <v>7</v>
      </c>
      <c r="P1191" s="54">
        <f t="shared" si="72"/>
        <v>0</v>
      </c>
      <c r="Q1191">
        <f t="shared" si="73"/>
        <v>0</v>
      </c>
      <c r="R1191">
        <f t="shared" si="74"/>
        <v>0</v>
      </c>
      <c r="S1191" t="b">
        <f t="shared" si="75"/>
        <v>0</v>
      </c>
    </row>
    <row r="1192" spans="1:19" x14ac:dyDescent="0.2">
      <c r="A1192" s="54">
        <v>509966</v>
      </c>
      <c r="B1192" s="54" t="s">
        <v>735</v>
      </c>
      <c r="C1192" s="55">
        <v>2</v>
      </c>
      <c r="D1192" s="55">
        <v>2</v>
      </c>
      <c r="E1192" s="55">
        <v>5</v>
      </c>
      <c r="F1192" s="55">
        <v>0</v>
      </c>
      <c r="G1192" s="55">
        <v>0</v>
      </c>
      <c r="H1192" s="55">
        <v>0</v>
      </c>
      <c r="I1192" s="55">
        <v>0</v>
      </c>
      <c r="J1192" s="55">
        <v>0</v>
      </c>
      <c r="K1192" s="55">
        <v>0</v>
      </c>
      <c r="L1192" s="55">
        <v>0</v>
      </c>
      <c r="M1192" s="54" t="s">
        <v>30</v>
      </c>
      <c r="N1192" s="54" t="s">
        <v>1401</v>
      </c>
      <c r="O1192" s="54" t="s">
        <v>7</v>
      </c>
      <c r="P1192" s="54">
        <f t="shared" si="72"/>
        <v>0</v>
      </c>
      <c r="Q1192">
        <f t="shared" si="73"/>
        <v>0</v>
      </c>
      <c r="R1192">
        <f t="shared" si="74"/>
        <v>0</v>
      </c>
      <c r="S1192" t="b">
        <f t="shared" si="75"/>
        <v>0</v>
      </c>
    </row>
    <row r="1193" spans="1:19" x14ac:dyDescent="0.2">
      <c r="A1193" s="54">
        <v>510427</v>
      </c>
      <c r="B1193" s="54" t="s">
        <v>319</v>
      </c>
      <c r="C1193" s="55">
        <v>78</v>
      </c>
      <c r="D1193" s="55">
        <v>40</v>
      </c>
      <c r="E1193" s="55">
        <v>49</v>
      </c>
      <c r="F1193" s="55">
        <v>39</v>
      </c>
      <c r="G1193" s="55">
        <v>36</v>
      </c>
      <c r="H1193" s="55">
        <v>36</v>
      </c>
      <c r="I1193" s="55">
        <v>0.98</v>
      </c>
      <c r="J1193" s="55">
        <v>0.9</v>
      </c>
      <c r="K1193" s="55">
        <v>0.9</v>
      </c>
      <c r="L1193" s="55">
        <v>4</v>
      </c>
      <c r="M1193" s="54" t="s">
        <v>47</v>
      </c>
      <c r="N1193" s="54" t="s">
        <v>47</v>
      </c>
      <c r="O1193" s="54" t="s">
        <v>7</v>
      </c>
      <c r="P1193" s="54">
        <f t="shared" si="72"/>
        <v>78</v>
      </c>
      <c r="Q1193">
        <f t="shared" si="73"/>
        <v>0</v>
      </c>
      <c r="R1193">
        <f t="shared" si="74"/>
        <v>78</v>
      </c>
      <c r="S1193" t="b">
        <f t="shared" si="75"/>
        <v>0</v>
      </c>
    </row>
    <row r="1194" spans="1:19" x14ac:dyDescent="0.2">
      <c r="A1194" s="54">
        <v>510989</v>
      </c>
      <c r="B1194" s="54" t="s">
        <v>789</v>
      </c>
      <c r="C1194" s="55">
        <v>5</v>
      </c>
      <c r="D1194" s="55">
        <v>5</v>
      </c>
      <c r="E1194" s="55">
        <v>2</v>
      </c>
      <c r="F1194" s="55">
        <v>0</v>
      </c>
      <c r="G1194" s="55">
        <v>0</v>
      </c>
      <c r="H1194" s="55">
        <v>0</v>
      </c>
      <c r="I1194" s="55">
        <v>0</v>
      </c>
      <c r="J1194" s="55">
        <v>0</v>
      </c>
      <c r="K1194" s="55">
        <v>0</v>
      </c>
      <c r="L1194" s="55">
        <v>0</v>
      </c>
      <c r="M1194" s="54" t="s">
        <v>30</v>
      </c>
      <c r="N1194" s="54" t="s">
        <v>1401</v>
      </c>
      <c r="O1194" s="54" t="s">
        <v>7</v>
      </c>
      <c r="P1194" s="54">
        <f t="shared" si="72"/>
        <v>0</v>
      </c>
      <c r="Q1194">
        <f t="shared" si="73"/>
        <v>0</v>
      </c>
      <c r="R1194">
        <f t="shared" si="74"/>
        <v>0</v>
      </c>
      <c r="S1194" t="b">
        <f t="shared" si="75"/>
        <v>0</v>
      </c>
    </row>
    <row r="1195" spans="1:19" x14ac:dyDescent="0.2">
      <c r="A1195" s="54">
        <v>511036</v>
      </c>
      <c r="B1195" s="54" t="s">
        <v>145</v>
      </c>
      <c r="C1195" s="55">
        <v>231</v>
      </c>
      <c r="D1195" s="55">
        <v>240</v>
      </c>
      <c r="E1195" s="55">
        <v>21</v>
      </c>
      <c r="F1195" s="55">
        <v>1056</v>
      </c>
      <c r="G1195" s="55">
        <v>1037</v>
      </c>
      <c r="H1195" s="55">
        <v>43</v>
      </c>
      <c r="I1195" s="55">
        <v>4.4000000000000004</v>
      </c>
      <c r="J1195" s="55">
        <v>4.32</v>
      </c>
      <c r="K1195" s="55">
        <v>0.18</v>
      </c>
      <c r="L1195" s="55">
        <v>10</v>
      </c>
      <c r="M1195" s="54" t="s">
        <v>45</v>
      </c>
      <c r="N1195" s="54" t="s">
        <v>47</v>
      </c>
      <c r="O1195" s="54" t="s">
        <v>6</v>
      </c>
      <c r="P1195" s="54">
        <f t="shared" si="72"/>
        <v>231</v>
      </c>
      <c r="Q1195">
        <f t="shared" si="73"/>
        <v>231</v>
      </c>
      <c r="R1195">
        <f t="shared" si="74"/>
        <v>231</v>
      </c>
      <c r="S1195" t="b">
        <f t="shared" si="75"/>
        <v>0</v>
      </c>
    </row>
    <row r="1196" spans="1:19" x14ac:dyDescent="0.2">
      <c r="A1196" s="54">
        <v>512875</v>
      </c>
      <c r="B1196" s="54" t="s">
        <v>1272</v>
      </c>
      <c r="C1196" s="55">
        <v>194</v>
      </c>
      <c r="D1196" s="55">
        <v>4</v>
      </c>
      <c r="E1196" s="55">
        <v>2</v>
      </c>
      <c r="F1196" s="55">
        <v>0</v>
      </c>
      <c r="G1196" s="55">
        <v>0</v>
      </c>
      <c r="H1196" s="55">
        <v>0</v>
      </c>
      <c r="I1196" s="55">
        <v>0</v>
      </c>
      <c r="J1196" s="55">
        <v>0</v>
      </c>
      <c r="K1196" s="55">
        <v>0</v>
      </c>
      <c r="L1196" s="55">
        <v>0</v>
      </c>
      <c r="M1196" s="54" t="s">
        <v>30</v>
      </c>
      <c r="N1196" s="54" t="s">
        <v>1401</v>
      </c>
      <c r="O1196" s="54" t="s">
        <v>7</v>
      </c>
      <c r="P1196" s="54">
        <f t="shared" si="72"/>
        <v>0</v>
      </c>
      <c r="Q1196">
        <f t="shared" si="73"/>
        <v>0</v>
      </c>
      <c r="R1196">
        <f t="shared" si="74"/>
        <v>0</v>
      </c>
      <c r="S1196" t="b">
        <f t="shared" si="75"/>
        <v>0</v>
      </c>
    </row>
    <row r="1197" spans="1:19" x14ac:dyDescent="0.2">
      <c r="A1197" s="54">
        <v>512879</v>
      </c>
      <c r="B1197" s="54" t="s">
        <v>496</v>
      </c>
      <c r="C1197" s="55">
        <v>1841</v>
      </c>
      <c r="D1197" s="55">
        <v>300</v>
      </c>
      <c r="E1197" s="55">
        <v>7</v>
      </c>
      <c r="F1197" s="55">
        <v>18</v>
      </c>
      <c r="G1197" s="55">
        <v>18</v>
      </c>
      <c r="H1197" s="55">
        <v>3</v>
      </c>
      <c r="I1197" s="55">
        <v>0.06</v>
      </c>
      <c r="J1197" s="55">
        <v>0.06</v>
      </c>
      <c r="K1197" s="55">
        <v>0.01</v>
      </c>
      <c r="L1197" s="55">
        <v>22</v>
      </c>
      <c r="M1197" s="54" t="s">
        <v>43</v>
      </c>
      <c r="N1197" s="54" t="s">
        <v>1400</v>
      </c>
      <c r="O1197" s="54" t="s">
        <v>6</v>
      </c>
      <c r="P1197" s="54">
        <f t="shared" si="72"/>
        <v>0</v>
      </c>
      <c r="Q1197">
        <f t="shared" si="73"/>
        <v>0</v>
      </c>
      <c r="R1197">
        <f t="shared" si="74"/>
        <v>0</v>
      </c>
      <c r="S1197" t="b">
        <f t="shared" si="75"/>
        <v>0</v>
      </c>
    </row>
    <row r="1198" spans="1:19" x14ac:dyDescent="0.2">
      <c r="A1198" s="54">
        <v>512912</v>
      </c>
      <c r="B1198" s="54" t="s">
        <v>395</v>
      </c>
      <c r="C1198" s="55">
        <v>0</v>
      </c>
      <c r="D1198" s="55">
        <v>40</v>
      </c>
      <c r="E1198" s="55">
        <v>21</v>
      </c>
      <c r="F1198" s="55">
        <v>54</v>
      </c>
      <c r="G1198" s="55">
        <v>38</v>
      </c>
      <c r="H1198" s="55">
        <v>0</v>
      </c>
      <c r="I1198" s="55">
        <v>1.35</v>
      </c>
      <c r="J1198" s="55">
        <v>0.95</v>
      </c>
      <c r="K1198" s="55">
        <v>0</v>
      </c>
      <c r="L1198" s="55">
        <v>52</v>
      </c>
      <c r="M1198" s="54" t="s">
        <v>45</v>
      </c>
      <c r="N1198" s="54" t="s">
        <v>47</v>
      </c>
      <c r="O1198" s="54" t="s">
        <v>7</v>
      </c>
      <c r="P1198" s="54">
        <f t="shared" si="72"/>
        <v>0</v>
      </c>
      <c r="Q1198">
        <f t="shared" si="73"/>
        <v>0</v>
      </c>
      <c r="R1198">
        <f t="shared" si="74"/>
        <v>0</v>
      </c>
      <c r="S1198" t="b">
        <f t="shared" si="75"/>
        <v>0</v>
      </c>
    </row>
    <row r="1199" spans="1:19" x14ac:dyDescent="0.2">
      <c r="A1199" s="54">
        <v>512963</v>
      </c>
      <c r="B1199" s="54" t="s">
        <v>605</v>
      </c>
      <c r="C1199" s="55">
        <v>30</v>
      </c>
      <c r="D1199" s="55">
        <v>32</v>
      </c>
      <c r="E1199" s="55">
        <v>37</v>
      </c>
      <c r="F1199" s="55">
        <v>5</v>
      </c>
      <c r="G1199" s="55">
        <v>0</v>
      </c>
      <c r="H1199" s="55">
        <v>0</v>
      </c>
      <c r="I1199" s="55">
        <v>0.16</v>
      </c>
      <c r="J1199" s="55">
        <v>0</v>
      </c>
      <c r="K1199" s="55">
        <v>0</v>
      </c>
      <c r="L1199" s="55">
        <v>0</v>
      </c>
      <c r="M1199" s="54" t="s">
        <v>47</v>
      </c>
      <c r="N1199" s="54" t="s">
        <v>47</v>
      </c>
      <c r="O1199" s="54" t="s">
        <v>7</v>
      </c>
      <c r="P1199" s="54">
        <f t="shared" si="72"/>
        <v>0</v>
      </c>
      <c r="Q1199">
        <f t="shared" si="73"/>
        <v>0</v>
      </c>
      <c r="R1199">
        <f t="shared" si="74"/>
        <v>0</v>
      </c>
      <c r="S1199" t="b">
        <f t="shared" si="75"/>
        <v>0</v>
      </c>
    </row>
    <row r="1200" spans="1:19" x14ac:dyDescent="0.2">
      <c r="A1200" s="54">
        <v>513206</v>
      </c>
      <c r="B1200" s="54" t="s">
        <v>653</v>
      </c>
      <c r="C1200" s="55">
        <v>22</v>
      </c>
      <c r="D1200" s="55">
        <v>14</v>
      </c>
      <c r="E1200" s="55">
        <v>10</v>
      </c>
      <c r="F1200" s="55">
        <v>0</v>
      </c>
      <c r="G1200" s="55">
        <v>0</v>
      </c>
      <c r="H1200" s="55">
        <v>0</v>
      </c>
      <c r="I1200" s="55">
        <v>0</v>
      </c>
      <c r="J1200" s="55">
        <v>0</v>
      </c>
      <c r="K1200" s="55">
        <v>0</v>
      </c>
      <c r="L1200" s="55">
        <v>0</v>
      </c>
      <c r="M1200" s="54" t="s">
        <v>43</v>
      </c>
      <c r="N1200" s="54" t="s">
        <v>1400</v>
      </c>
      <c r="O1200" s="54" t="s">
        <v>7</v>
      </c>
      <c r="P1200" s="54">
        <f t="shared" si="72"/>
        <v>0</v>
      </c>
      <c r="Q1200">
        <f t="shared" si="73"/>
        <v>0</v>
      </c>
      <c r="R1200">
        <f t="shared" si="74"/>
        <v>0</v>
      </c>
      <c r="S1200" t="b">
        <f t="shared" si="75"/>
        <v>0</v>
      </c>
    </row>
    <row r="1201" spans="1:19" x14ac:dyDescent="0.2">
      <c r="A1201" s="54">
        <v>513383</v>
      </c>
      <c r="B1201" s="54" t="s">
        <v>1314</v>
      </c>
      <c r="C1201" s="55">
        <v>0</v>
      </c>
      <c r="D1201" s="55">
        <v>12</v>
      </c>
      <c r="E1201" s="55">
        <v>0</v>
      </c>
      <c r="F1201" s="55">
        <v>0</v>
      </c>
      <c r="G1201" s="55">
        <v>0</v>
      </c>
      <c r="H1201" s="55">
        <v>0</v>
      </c>
      <c r="I1201" s="55">
        <v>0</v>
      </c>
      <c r="J1201" s="55">
        <v>0</v>
      </c>
      <c r="K1201" s="55">
        <v>0</v>
      </c>
      <c r="L1201" s="55">
        <v>0</v>
      </c>
      <c r="M1201" s="54" t="s">
        <v>30</v>
      </c>
      <c r="N1201" s="54" t="s">
        <v>1401</v>
      </c>
      <c r="O1201" s="54" t="s">
        <v>7</v>
      </c>
      <c r="P1201" s="54">
        <f t="shared" si="72"/>
        <v>0</v>
      </c>
      <c r="Q1201">
        <f t="shared" si="73"/>
        <v>0</v>
      </c>
      <c r="R1201">
        <f t="shared" si="74"/>
        <v>0</v>
      </c>
      <c r="S1201" t="b">
        <f t="shared" si="75"/>
        <v>0</v>
      </c>
    </row>
    <row r="1202" spans="1:19" x14ac:dyDescent="0.2">
      <c r="A1202" s="54">
        <v>513431</v>
      </c>
      <c r="B1202" s="54" t="s">
        <v>1273</v>
      </c>
      <c r="C1202" s="55">
        <v>208</v>
      </c>
      <c r="D1202" s="55">
        <v>10</v>
      </c>
      <c r="E1202" s="55">
        <v>5</v>
      </c>
      <c r="F1202" s="55">
        <v>268</v>
      </c>
      <c r="G1202" s="55">
        <v>268</v>
      </c>
      <c r="H1202" s="55">
        <v>195</v>
      </c>
      <c r="I1202" s="55">
        <v>26.8</v>
      </c>
      <c r="J1202" s="55">
        <v>26.8</v>
      </c>
      <c r="K1202" s="55">
        <v>19.5</v>
      </c>
      <c r="L1202" s="55">
        <v>11</v>
      </c>
      <c r="M1202" s="54" t="s">
        <v>30</v>
      </c>
      <c r="N1202" s="54" t="s">
        <v>1401</v>
      </c>
      <c r="O1202" s="54" t="s">
        <v>7</v>
      </c>
      <c r="P1202" s="54">
        <f t="shared" si="72"/>
        <v>208</v>
      </c>
      <c r="Q1202">
        <f t="shared" si="73"/>
        <v>208</v>
      </c>
      <c r="R1202">
        <f t="shared" si="74"/>
        <v>208</v>
      </c>
      <c r="S1202" t="b">
        <f t="shared" si="75"/>
        <v>0</v>
      </c>
    </row>
    <row r="1203" spans="1:19" x14ac:dyDescent="0.2">
      <c r="A1203" s="54">
        <v>513509</v>
      </c>
      <c r="B1203" s="54" t="s">
        <v>833</v>
      </c>
      <c r="C1203" s="55">
        <v>7</v>
      </c>
      <c r="D1203" s="55">
        <v>10</v>
      </c>
      <c r="E1203" s="55">
        <v>0</v>
      </c>
      <c r="F1203" s="55">
        <v>0</v>
      </c>
      <c r="G1203" s="55">
        <v>0</v>
      </c>
      <c r="H1203" s="55">
        <v>0</v>
      </c>
      <c r="I1203" s="55">
        <v>0</v>
      </c>
      <c r="J1203" s="55">
        <v>0</v>
      </c>
      <c r="K1203" s="55">
        <v>0</v>
      </c>
      <c r="L1203" s="55">
        <v>0</v>
      </c>
      <c r="M1203" s="54" t="s">
        <v>30</v>
      </c>
      <c r="N1203" s="54" t="s">
        <v>1401</v>
      </c>
      <c r="O1203" s="54" t="s">
        <v>7</v>
      </c>
      <c r="P1203" s="54">
        <f t="shared" si="72"/>
        <v>0</v>
      </c>
      <c r="Q1203">
        <f t="shared" si="73"/>
        <v>0</v>
      </c>
      <c r="R1203">
        <f t="shared" si="74"/>
        <v>0</v>
      </c>
      <c r="S1203" t="b">
        <f t="shared" si="75"/>
        <v>0</v>
      </c>
    </row>
    <row r="1204" spans="1:19" x14ac:dyDescent="0.2">
      <c r="A1204" s="54">
        <v>513872</v>
      </c>
      <c r="B1204" s="54" t="s">
        <v>703</v>
      </c>
      <c r="C1204" s="55">
        <v>1</v>
      </c>
      <c r="D1204" s="55">
        <v>3</v>
      </c>
      <c r="E1204" s="55">
        <v>4</v>
      </c>
      <c r="F1204" s="55">
        <v>0</v>
      </c>
      <c r="G1204" s="55">
        <v>0</v>
      </c>
      <c r="H1204" s="55">
        <v>0</v>
      </c>
      <c r="I1204" s="55">
        <v>0</v>
      </c>
      <c r="J1204" s="55">
        <v>0</v>
      </c>
      <c r="K1204" s="55">
        <v>0</v>
      </c>
      <c r="L1204" s="55">
        <v>0</v>
      </c>
      <c r="M1204" s="54" t="s">
        <v>30</v>
      </c>
      <c r="N1204" s="54" t="s">
        <v>1401</v>
      </c>
      <c r="O1204" s="54" t="s">
        <v>7</v>
      </c>
      <c r="P1204" s="54">
        <f t="shared" si="72"/>
        <v>0</v>
      </c>
      <c r="Q1204">
        <f t="shared" si="73"/>
        <v>0</v>
      </c>
      <c r="R1204">
        <f t="shared" si="74"/>
        <v>0</v>
      </c>
      <c r="S1204" t="b">
        <f t="shared" si="75"/>
        <v>0</v>
      </c>
    </row>
    <row r="1205" spans="1:19" x14ac:dyDescent="0.2">
      <c r="A1205" s="54">
        <v>513921</v>
      </c>
      <c r="B1205" s="54" t="s">
        <v>571</v>
      </c>
      <c r="C1205" s="55">
        <v>649</v>
      </c>
      <c r="D1205" s="55">
        <v>470</v>
      </c>
      <c r="E1205" s="55">
        <v>8</v>
      </c>
      <c r="F1205" s="55">
        <v>6</v>
      </c>
      <c r="G1205" s="55">
        <v>6</v>
      </c>
      <c r="H1205" s="55">
        <v>0</v>
      </c>
      <c r="I1205" s="55">
        <v>0.01</v>
      </c>
      <c r="J1205" s="55">
        <v>0.01</v>
      </c>
      <c r="K1205" s="55">
        <v>0</v>
      </c>
      <c r="L1205" s="55">
        <v>6</v>
      </c>
      <c r="M1205" s="54" t="s">
        <v>43</v>
      </c>
      <c r="N1205" s="54" t="s">
        <v>1400</v>
      </c>
      <c r="O1205" s="54" t="s">
        <v>6</v>
      </c>
      <c r="P1205" s="54">
        <f t="shared" si="72"/>
        <v>0</v>
      </c>
      <c r="Q1205">
        <f t="shared" si="73"/>
        <v>0</v>
      </c>
      <c r="R1205">
        <f t="shared" si="74"/>
        <v>0</v>
      </c>
      <c r="S1205" t="b">
        <f t="shared" si="75"/>
        <v>0</v>
      </c>
    </row>
    <row r="1206" spans="1:19" x14ac:dyDescent="0.2">
      <c r="A1206" s="54">
        <v>514054</v>
      </c>
      <c r="B1206" s="54" t="s">
        <v>957</v>
      </c>
      <c r="C1206" s="55">
        <v>15</v>
      </c>
      <c r="D1206" s="55">
        <v>14</v>
      </c>
      <c r="E1206" s="55">
        <v>2</v>
      </c>
      <c r="F1206" s="55">
        <v>9</v>
      </c>
      <c r="G1206" s="55">
        <v>9</v>
      </c>
      <c r="H1206" s="55">
        <v>9</v>
      </c>
      <c r="I1206" s="55">
        <v>0.64</v>
      </c>
      <c r="J1206" s="55">
        <v>0.64</v>
      </c>
      <c r="K1206" s="55">
        <v>0.64</v>
      </c>
      <c r="L1206" s="55">
        <v>2</v>
      </c>
      <c r="M1206" s="54" t="s">
        <v>30</v>
      </c>
      <c r="N1206" s="54" t="s">
        <v>1401</v>
      </c>
      <c r="O1206" s="54" t="s">
        <v>7</v>
      </c>
      <c r="P1206" s="54">
        <f t="shared" si="72"/>
        <v>0</v>
      </c>
      <c r="Q1206">
        <f t="shared" si="73"/>
        <v>0</v>
      </c>
      <c r="R1206">
        <f t="shared" si="74"/>
        <v>0</v>
      </c>
      <c r="S1206" t="b">
        <f t="shared" si="75"/>
        <v>0</v>
      </c>
    </row>
    <row r="1207" spans="1:19" x14ac:dyDescent="0.2">
      <c r="A1207" s="54">
        <v>514617</v>
      </c>
      <c r="B1207" s="54" t="s">
        <v>1221</v>
      </c>
      <c r="C1207" s="55">
        <v>108</v>
      </c>
      <c r="D1207" s="55">
        <v>100</v>
      </c>
      <c r="E1207" s="55">
        <v>3</v>
      </c>
      <c r="F1207" s="55">
        <v>41</v>
      </c>
      <c r="G1207" s="55">
        <v>41</v>
      </c>
      <c r="H1207" s="55">
        <v>41</v>
      </c>
      <c r="I1207" s="55">
        <v>0.41</v>
      </c>
      <c r="J1207" s="55">
        <v>0.41</v>
      </c>
      <c r="K1207" s="55">
        <v>0.41</v>
      </c>
      <c r="L1207" s="55">
        <v>11</v>
      </c>
      <c r="M1207" s="54" t="s">
        <v>30</v>
      </c>
      <c r="N1207" s="54" t="s">
        <v>1401</v>
      </c>
      <c r="O1207" s="54" t="s">
        <v>6</v>
      </c>
      <c r="P1207" s="54">
        <f t="shared" si="72"/>
        <v>0</v>
      </c>
      <c r="Q1207">
        <f t="shared" si="73"/>
        <v>0</v>
      </c>
      <c r="R1207">
        <f t="shared" si="74"/>
        <v>0</v>
      </c>
      <c r="S1207" t="b">
        <f t="shared" si="75"/>
        <v>0</v>
      </c>
    </row>
    <row r="1208" spans="1:19" x14ac:dyDescent="0.2">
      <c r="A1208" s="54">
        <v>514640</v>
      </c>
      <c r="B1208" s="54" t="s">
        <v>1342</v>
      </c>
      <c r="C1208" s="55">
        <v>0</v>
      </c>
      <c r="D1208" s="55">
        <v>12</v>
      </c>
      <c r="E1208" s="55">
        <v>0</v>
      </c>
      <c r="F1208" s="55">
        <v>0</v>
      </c>
      <c r="G1208" s="55">
        <v>0</v>
      </c>
      <c r="H1208" s="55">
        <v>0</v>
      </c>
      <c r="I1208" s="55">
        <v>0</v>
      </c>
      <c r="J1208" s="55">
        <v>0</v>
      </c>
      <c r="K1208" s="55">
        <v>0</v>
      </c>
      <c r="L1208" s="55">
        <v>0</v>
      </c>
      <c r="M1208" s="54" t="s">
        <v>30</v>
      </c>
      <c r="N1208" s="54" t="s">
        <v>1401</v>
      </c>
      <c r="O1208" s="54" t="s">
        <v>7</v>
      </c>
      <c r="P1208" s="54">
        <f t="shared" si="72"/>
        <v>0</v>
      </c>
      <c r="Q1208">
        <f t="shared" si="73"/>
        <v>0</v>
      </c>
      <c r="R1208">
        <f t="shared" si="74"/>
        <v>0</v>
      </c>
      <c r="S1208" t="b">
        <f t="shared" si="75"/>
        <v>0</v>
      </c>
    </row>
    <row r="1209" spans="1:19" x14ac:dyDescent="0.2">
      <c r="A1209" s="54">
        <v>515059</v>
      </c>
      <c r="B1209" s="54" t="s">
        <v>1324</v>
      </c>
      <c r="C1209" s="55">
        <v>0</v>
      </c>
      <c r="D1209" s="55">
        <v>7</v>
      </c>
      <c r="E1209" s="55">
        <v>0</v>
      </c>
      <c r="F1209" s="55">
        <v>1</v>
      </c>
      <c r="G1209" s="55">
        <v>1</v>
      </c>
      <c r="H1209" s="55">
        <v>1</v>
      </c>
      <c r="I1209" s="55">
        <v>0.14000000000000001</v>
      </c>
      <c r="J1209" s="55">
        <v>0.14000000000000001</v>
      </c>
      <c r="K1209" s="55">
        <v>0.14000000000000001</v>
      </c>
      <c r="L1209" s="55">
        <v>0</v>
      </c>
      <c r="M1209" s="54" t="s">
        <v>30</v>
      </c>
      <c r="N1209" s="54" t="s">
        <v>1401</v>
      </c>
      <c r="O1209" s="54" t="s">
        <v>7</v>
      </c>
      <c r="P1209" s="54">
        <f t="shared" si="72"/>
        <v>0</v>
      </c>
      <c r="Q1209">
        <f t="shared" si="73"/>
        <v>0</v>
      </c>
      <c r="R1209">
        <f t="shared" si="74"/>
        <v>0</v>
      </c>
      <c r="S1209" t="b">
        <f t="shared" si="75"/>
        <v>0</v>
      </c>
    </row>
    <row r="1210" spans="1:19" x14ac:dyDescent="0.2">
      <c r="A1210" s="54">
        <v>515108</v>
      </c>
      <c r="B1210" s="54" t="s">
        <v>552</v>
      </c>
      <c r="C1210" s="55">
        <v>15</v>
      </c>
      <c r="D1210" s="55">
        <v>3</v>
      </c>
      <c r="E1210" s="55">
        <v>9</v>
      </c>
      <c r="F1210" s="55">
        <v>12</v>
      </c>
      <c r="G1210" s="55">
        <v>0</v>
      </c>
      <c r="H1210" s="55">
        <v>0</v>
      </c>
      <c r="I1210" s="55">
        <v>4</v>
      </c>
      <c r="J1210" s="55">
        <v>0</v>
      </c>
      <c r="K1210" s="55">
        <v>0</v>
      </c>
      <c r="L1210" s="55">
        <v>0</v>
      </c>
      <c r="M1210" s="54" t="s">
        <v>43</v>
      </c>
      <c r="N1210" s="54" t="s">
        <v>1400</v>
      </c>
      <c r="O1210" s="54" t="s">
        <v>7</v>
      </c>
      <c r="P1210" s="54">
        <f t="shared" si="72"/>
        <v>15</v>
      </c>
      <c r="Q1210">
        <f t="shared" si="73"/>
        <v>15</v>
      </c>
      <c r="R1210">
        <f t="shared" si="74"/>
        <v>0</v>
      </c>
      <c r="S1210" t="b">
        <f t="shared" si="75"/>
        <v>0</v>
      </c>
    </row>
    <row r="1211" spans="1:19" x14ac:dyDescent="0.2">
      <c r="A1211" s="54">
        <v>515162</v>
      </c>
      <c r="B1211" s="54" t="s">
        <v>606</v>
      </c>
      <c r="C1211" s="55">
        <v>0</v>
      </c>
      <c r="D1211" s="55">
        <v>6</v>
      </c>
      <c r="E1211" s="55">
        <v>25</v>
      </c>
      <c r="F1211" s="55">
        <v>1</v>
      </c>
      <c r="G1211" s="55">
        <v>0</v>
      </c>
      <c r="H1211" s="55">
        <v>0</v>
      </c>
      <c r="I1211" s="55">
        <v>0.17</v>
      </c>
      <c r="J1211" s="55">
        <v>0</v>
      </c>
      <c r="K1211" s="55">
        <v>0</v>
      </c>
      <c r="L1211" s="55">
        <v>0</v>
      </c>
      <c r="M1211" s="54" t="s">
        <v>47</v>
      </c>
      <c r="N1211" s="54" t="s">
        <v>47</v>
      </c>
      <c r="O1211" s="54" t="s">
        <v>7</v>
      </c>
      <c r="P1211" s="54">
        <f t="shared" si="72"/>
        <v>0</v>
      </c>
      <c r="Q1211">
        <f t="shared" si="73"/>
        <v>0</v>
      </c>
      <c r="R1211">
        <f t="shared" si="74"/>
        <v>0</v>
      </c>
      <c r="S1211" t="b">
        <f t="shared" si="75"/>
        <v>0</v>
      </c>
    </row>
    <row r="1212" spans="1:19" x14ac:dyDescent="0.2">
      <c r="A1212" s="54">
        <v>515229</v>
      </c>
      <c r="B1212" s="54" t="s">
        <v>1072</v>
      </c>
      <c r="C1212" s="55">
        <v>29</v>
      </c>
      <c r="D1212" s="55">
        <v>31</v>
      </c>
      <c r="E1212" s="55">
        <v>0</v>
      </c>
      <c r="F1212" s="55">
        <v>0</v>
      </c>
      <c r="G1212" s="55">
        <v>0</v>
      </c>
      <c r="H1212" s="55">
        <v>0</v>
      </c>
      <c r="I1212" s="55">
        <v>0</v>
      </c>
      <c r="J1212" s="55">
        <v>0</v>
      </c>
      <c r="K1212" s="55">
        <v>0</v>
      </c>
      <c r="L1212" s="55">
        <v>0</v>
      </c>
      <c r="M1212" s="54" t="s">
        <v>30</v>
      </c>
      <c r="N1212" s="54" t="s">
        <v>1401</v>
      </c>
      <c r="O1212" s="54" t="s">
        <v>7</v>
      </c>
      <c r="P1212" s="54">
        <f t="shared" si="72"/>
        <v>0</v>
      </c>
      <c r="Q1212">
        <f t="shared" si="73"/>
        <v>0</v>
      </c>
      <c r="R1212">
        <f t="shared" si="74"/>
        <v>0</v>
      </c>
      <c r="S1212" t="b">
        <f t="shared" si="75"/>
        <v>0</v>
      </c>
    </row>
    <row r="1213" spans="1:19" x14ac:dyDescent="0.2">
      <c r="A1213" s="54">
        <v>515418</v>
      </c>
      <c r="B1213" s="54" t="s">
        <v>947</v>
      </c>
      <c r="C1213" s="55">
        <v>14</v>
      </c>
      <c r="D1213" s="55">
        <v>8</v>
      </c>
      <c r="E1213" s="55">
        <v>0</v>
      </c>
      <c r="F1213" s="55">
        <v>0</v>
      </c>
      <c r="G1213" s="55">
        <v>0</v>
      </c>
      <c r="H1213" s="55">
        <v>0</v>
      </c>
      <c r="I1213" s="55">
        <v>0</v>
      </c>
      <c r="J1213" s="55">
        <v>0</v>
      </c>
      <c r="K1213" s="55">
        <v>0</v>
      </c>
      <c r="L1213" s="55">
        <v>0</v>
      </c>
      <c r="M1213" s="54" t="s">
        <v>30</v>
      </c>
      <c r="N1213" s="54" t="s">
        <v>1401</v>
      </c>
      <c r="O1213" s="54" t="s">
        <v>7</v>
      </c>
      <c r="P1213" s="54">
        <f t="shared" si="72"/>
        <v>0</v>
      </c>
      <c r="Q1213">
        <f t="shared" si="73"/>
        <v>0</v>
      </c>
      <c r="R1213">
        <f t="shared" si="74"/>
        <v>0</v>
      </c>
      <c r="S1213" t="b">
        <f t="shared" si="75"/>
        <v>0</v>
      </c>
    </row>
    <row r="1214" spans="1:19" x14ac:dyDescent="0.2">
      <c r="A1214" s="54">
        <v>516051</v>
      </c>
      <c r="B1214" s="54" t="s">
        <v>1032</v>
      </c>
      <c r="C1214" s="55">
        <v>22</v>
      </c>
      <c r="D1214" s="55">
        <v>22</v>
      </c>
      <c r="E1214" s="55">
        <v>0</v>
      </c>
      <c r="F1214" s="55">
        <v>0</v>
      </c>
      <c r="G1214" s="55">
        <v>0</v>
      </c>
      <c r="H1214" s="55">
        <v>0</v>
      </c>
      <c r="I1214" s="55">
        <v>0</v>
      </c>
      <c r="J1214" s="55">
        <v>0</v>
      </c>
      <c r="K1214" s="55">
        <v>0</v>
      </c>
      <c r="L1214" s="55">
        <v>0</v>
      </c>
      <c r="M1214" s="54" t="s">
        <v>30</v>
      </c>
      <c r="N1214" s="54" t="s">
        <v>1401</v>
      </c>
      <c r="O1214" s="54" t="s">
        <v>7</v>
      </c>
      <c r="P1214" s="54">
        <f t="shared" si="72"/>
        <v>0</v>
      </c>
      <c r="Q1214">
        <f t="shared" si="73"/>
        <v>0</v>
      </c>
      <c r="R1214">
        <f t="shared" si="74"/>
        <v>0</v>
      </c>
      <c r="S1214" t="b">
        <f t="shared" si="75"/>
        <v>0</v>
      </c>
    </row>
    <row r="1215" spans="1:19" x14ac:dyDescent="0.2">
      <c r="A1215" s="54">
        <v>516154</v>
      </c>
      <c r="B1215" s="54" t="s">
        <v>1125</v>
      </c>
      <c r="C1215" s="55">
        <v>39</v>
      </c>
      <c r="D1215" s="55">
        <v>30</v>
      </c>
      <c r="E1215" s="55">
        <v>4</v>
      </c>
      <c r="F1215" s="55">
        <v>0</v>
      </c>
      <c r="G1215" s="55">
        <v>0</v>
      </c>
      <c r="H1215" s="55">
        <v>0</v>
      </c>
      <c r="I1215" s="55">
        <v>0</v>
      </c>
      <c r="J1215" s="55">
        <v>0</v>
      </c>
      <c r="K1215" s="55">
        <v>0</v>
      </c>
      <c r="L1215" s="55">
        <v>0</v>
      </c>
      <c r="M1215" s="54" t="s">
        <v>30</v>
      </c>
      <c r="N1215" s="54" t="s">
        <v>1401</v>
      </c>
      <c r="O1215" s="54" t="s">
        <v>7</v>
      </c>
      <c r="P1215" s="54">
        <f t="shared" si="72"/>
        <v>0</v>
      </c>
      <c r="Q1215">
        <f t="shared" si="73"/>
        <v>0</v>
      </c>
      <c r="R1215">
        <f t="shared" si="74"/>
        <v>0</v>
      </c>
      <c r="S1215" t="b">
        <f t="shared" si="75"/>
        <v>0</v>
      </c>
    </row>
    <row r="1216" spans="1:19" x14ac:dyDescent="0.2">
      <c r="A1216" s="54">
        <v>517964</v>
      </c>
      <c r="B1216" s="54" t="s">
        <v>958</v>
      </c>
      <c r="C1216" s="55">
        <v>15</v>
      </c>
      <c r="D1216" s="55">
        <v>16</v>
      </c>
      <c r="E1216" s="55">
        <v>3</v>
      </c>
      <c r="F1216" s="55">
        <v>0</v>
      </c>
      <c r="G1216" s="55">
        <v>0</v>
      </c>
      <c r="H1216" s="55">
        <v>0</v>
      </c>
      <c r="I1216" s="55">
        <v>0</v>
      </c>
      <c r="J1216" s="55">
        <v>0</v>
      </c>
      <c r="K1216" s="55">
        <v>0</v>
      </c>
      <c r="L1216" s="55">
        <v>0</v>
      </c>
      <c r="M1216" s="54" t="s">
        <v>30</v>
      </c>
      <c r="N1216" s="54" t="s">
        <v>1401</v>
      </c>
      <c r="O1216" s="54" t="s">
        <v>7</v>
      </c>
      <c r="P1216" s="54">
        <f t="shared" si="72"/>
        <v>0</v>
      </c>
      <c r="Q1216">
        <f t="shared" si="73"/>
        <v>0</v>
      </c>
      <c r="R1216">
        <f t="shared" si="74"/>
        <v>0</v>
      </c>
      <c r="S1216" t="b">
        <f t="shared" si="75"/>
        <v>0</v>
      </c>
    </row>
    <row r="1217" spans="1:19" x14ac:dyDescent="0.2">
      <c r="A1217" s="54">
        <v>518248</v>
      </c>
      <c r="B1217" s="54" t="s">
        <v>923</v>
      </c>
      <c r="C1217" s="55">
        <v>13</v>
      </c>
      <c r="D1217" s="55">
        <v>13</v>
      </c>
      <c r="E1217" s="55">
        <v>2</v>
      </c>
      <c r="F1217" s="55">
        <v>0</v>
      </c>
      <c r="G1217" s="55">
        <v>0</v>
      </c>
      <c r="H1217" s="55">
        <v>0</v>
      </c>
      <c r="I1217" s="55">
        <v>0</v>
      </c>
      <c r="J1217" s="55">
        <v>0</v>
      </c>
      <c r="K1217" s="55">
        <v>0</v>
      </c>
      <c r="L1217" s="55">
        <v>0</v>
      </c>
      <c r="M1217" s="54" t="s">
        <v>30</v>
      </c>
      <c r="N1217" s="54" t="s">
        <v>1401</v>
      </c>
      <c r="O1217" s="54" t="s">
        <v>7</v>
      </c>
      <c r="P1217" s="54">
        <f t="shared" si="72"/>
        <v>0</v>
      </c>
      <c r="Q1217">
        <f t="shared" si="73"/>
        <v>0</v>
      </c>
      <c r="R1217">
        <f t="shared" si="74"/>
        <v>0</v>
      </c>
      <c r="S1217" t="b">
        <f t="shared" si="75"/>
        <v>0</v>
      </c>
    </row>
    <row r="1218" spans="1:19" x14ac:dyDescent="0.2">
      <c r="A1218" s="54">
        <v>518257</v>
      </c>
      <c r="B1218" s="54" t="s">
        <v>568</v>
      </c>
      <c r="C1218" s="55">
        <v>44</v>
      </c>
      <c r="D1218" s="55">
        <v>65</v>
      </c>
      <c r="E1218" s="55">
        <v>47</v>
      </c>
      <c r="F1218" s="55">
        <v>12</v>
      </c>
      <c r="G1218" s="55">
        <v>12</v>
      </c>
      <c r="H1218" s="55">
        <v>12</v>
      </c>
      <c r="I1218" s="55">
        <v>0.18</v>
      </c>
      <c r="J1218" s="55">
        <v>0.18</v>
      </c>
      <c r="K1218" s="55">
        <v>0.18</v>
      </c>
      <c r="L1218" s="55">
        <v>10</v>
      </c>
      <c r="M1218" s="54" t="s">
        <v>47</v>
      </c>
      <c r="N1218" s="54" t="s">
        <v>47</v>
      </c>
      <c r="O1218" s="54" t="s">
        <v>7</v>
      </c>
      <c r="P1218" s="54">
        <f t="shared" ref="P1218:P1284" si="76">IF(I1218&gt;=2, C1218, IF(J1218&gt;=0.75, C1218, 0))</f>
        <v>0</v>
      </c>
      <c r="Q1218">
        <f t="shared" ref="Q1218:Q1284" si="77">IF(I1218&gt;=2, C1218, IF(AND(J1218&gt;=0.75, D1218&gt;=550), C1218, 0))</f>
        <v>0</v>
      </c>
      <c r="R1218">
        <f t="shared" ref="R1218:R1284" si="78">IF(J1218&gt;=0.75, C1218, 0)</f>
        <v>0</v>
      </c>
      <c r="S1218" t="b">
        <f t="shared" si="75"/>
        <v>0</v>
      </c>
    </row>
    <row r="1219" spans="1:19" x14ac:dyDescent="0.2">
      <c r="A1219" s="54">
        <v>521750</v>
      </c>
      <c r="B1219" s="54" t="s">
        <v>994</v>
      </c>
      <c r="C1219" s="55">
        <v>18</v>
      </c>
      <c r="D1219" s="55">
        <v>88</v>
      </c>
      <c r="E1219" s="55">
        <v>3</v>
      </c>
      <c r="F1219" s="55">
        <v>59</v>
      </c>
      <c r="G1219" s="55">
        <v>59</v>
      </c>
      <c r="H1219" s="55">
        <v>59</v>
      </c>
      <c r="I1219" s="55">
        <v>0.67</v>
      </c>
      <c r="J1219" s="55">
        <v>0.67</v>
      </c>
      <c r="K1219" s="55">
        <v>0.67</v>
      </c>
      <c r="L1219" s="55">
        <v>0</v>
      </c>
      <c r="M1219" s="54" t="s">
        <v>30</v>
      </c>
      <c r="N1219" s="54" t="s">
        <v>1401</v>
      </c>
      <c r="O1219" s="54" t="s">
        <v>7</v>
      </c>
      <c r="P1219" s="54">
        <f t="shared" si="76"/>
        <v>0</v>
      </c>
      <c r="Q1219">
        <f t="shared" si="77"/>
        <v>0</v>
      </c>
      <c r="R1219">
        <f t="shared" si="78"/>
        <v>0</v>
      </c>
      <c r="S1219" t="b">
        <f t="shared" ref="S1219:S1282" si="79">IF(A1219=A1220,TRUE,FALSE)</f>
        <v>0</v>
      </c>
    </row>
    <row r="1220" spans="1:19" x14ac:dyDescent="0.2">
      <c r="A1220" s="54">
        <v>521948</v>
      </c>
      <c r="B1220" s="54" t="s">
        <v>458</v>
      </c>
      <c r="C1220" s="55">
        <v>25</v>
      </c>
      <c r="D1220" s="55">
        <v>17</v>
      </c>
      <c r="E1220" s="55">
        <v>10</v>
      </c>
      <c r="F1220" s="55">
        <v>70</v>
      </c>
      <c r="G1220" s="55">
        <v>65</v>
      </c>
      <c r="H1220" s="55">
        <v>65</v>
      </c>
      <c r="I1220" s="55">
        <v>4.12</v>
      </c>
      <c r="J1220" s="55">
        <v>3.82</v>
      </c>
      <c r="K1220" s="55">
        <v>3.82</v>
      </c>
      <c r="L1220" s="55">
        <v>2</v>
      </c>
      <c r="M1220" s="54" t="s">
        <v>43</v>
      </c>
      <c r="N1220" s="54" t="s">
        <v>1400</v>
      </c>
      <c r="O1220" s="54" t="s">
        <v>7</v>
      </c>
      <c r="P1220" s="54">
        <f t="shared" si="76"/>
        <v>25</v>
      </c>
      <c r="Q1220">
        <f t="shared" si="77"/>
        <v>25</v>
      </c>
      <c r="R1220">
        <f t="shared" si="78"/>
        <v>25</v>
      </c>
      <c r="S1220" t="b">
        <f t="shared" si="79"/>
        <v>0</v>
      </c>
    </row>
    <row r="1221" spans="1:19" x14ac:dyDescent="0.2">
      <c r="A1221" s="54">
        <v>524778</v>
      </c>
      <c r="B1221" s="54" t="s">
        <v>844</v>
      </c>
      <c r="C1221" s="55">
        <v>8</v>
      </c>
      <c r="D1221" s="55">
        <v>8</v>
      </c>
      <c r="E1221" s="55">
        <v>2</v>
      </c>
      <c r="F1221" s="55">
        <v>31</v>
      </c>
      <c r="G1221" s="55">
        <v>31</v>
      </c>
      <c r="H1221" s="55">
        <v>31</v>
      </c>
      <c r="I1221" s="55">
        <v>3.88</v>
      </c>
      <c r="J1221" s="55">
        <v>3.88</v>
      </c>
      <c r="K1221" s="55">
        <v>3.88</v>
      </c>
      <c r="L1221" s="55">
        <v>1</v>
      </c>
      <c r="M1221" s="54" t="s">
        <v>30</v>
      </c>
      <c r="N1221" s="54" t="s">
        <v>1401</v>
      </c>
      <c r="O1221" s="54" t="s">
        <v>7</v>
      </c>
      <c r="P1221" s="54">
        <f t="shared" si="76"/>
        <v>8</v>
      </c>
      <c r="Q1221">
        <f t="shared" si="77"/>
        <v>8</v>
      </c>
      <c r="R1221">
        <f t="shared" si="78"/>
        <v>8</v>
      </c>
      <c r="S1221" t="b">
        <f t="shared" si="79"/>
        <v>0</v>
      </c>
    </row>
    <row r="1222" spans="1:19" x14ac:dyDescent="0.2">
      <c r="A1222" s="54">
        <v>528556</v>
      </c>
      <c r="B1222" s="54" t="s">
        <v>763</v>
      </c>
      <c r="C1222" s="55">
        <v>4</v>
      </c>
      <c r="D1222" s="55">
        <v>6</v>
      </c>
      <c r="E1222" s="55">
        <v>1</v>
      </c>
      <c r="F1222" s="55">
        <v>0</v>
      </c>
      <c r="G1222" s="55">
        <v>0</v>
      </c>
      <c r="H1222" s="55">
        <v>0</v>
      </c>
      <c r="I1222" s="55">
        <v>0</v>
      </c>
      <c r="J1222" s="55">
        <v>0</v>
      </c>
      <c r="K1222" s="55">
        <v>0</v>
      </c>
      <c r="L1222" s="55">
        <v>0</v>
      </c>
      <c r="M1222" s="54" t="s">
        <v>30</v>
      </c>
      <c r="N1222" s="54" t="s">
        <v>1401</v>
      </c>
      <c r="O1222" s="54" t="s">
        <v>7</v>
      </c>
      <c r="P1222" s="54">
        <f t="shared" si="76"/>
        <v>0</v>
      </c>
      <c r="Q1222">
        <f t="shared" si="77"/>
        <v>0</v>
      </c>
      <c r="R1222">
        <f t="shared" si="78"/>
        <v>0</v>
      </c>
      <c r="S1222" t="b">
        <f t="shared" si="79"/>
        <v>0</v>
      </c>
    </row>
    <row r="1223" spans="1:19" x14ac:dyDescent="0.2">
      <c r="A1223" s="54">
        <v>531557</v>
      </c>
      <c r="B1223" s="54" t="s">
        <v>809</v>
      </c>
      <c r="C1223" s="55">
        <v>6</v>
      </c>
      <c r="D1223" s="55">
        <v>6</v>
      </c>
      <c r="E1223" s="55">
        <v>2</v>
      </c>
      <c r="F1223" s="55">
        <v>3</v>
      </c>
      <c r="G1223" s="55">
        <v>3</v>
      </c>
      <c r="H1223" s="55">
        <v>3</v>
      </c>
      <c r="I1223" s="55">
        <v>0.5</v>
      </c>
      <c r="J1223" s="55">
        <v>0.5</v>
      </c>
      <c r="K1223" s="55">
        <v>0.5</v>
      </c>
      <c r="L1223" s="55">
        <v>0</v>
      </c>
      <c r="M1223" s="54" t="s">
        <v>30</v>
      </c>
      <c r="N1223" s="54" t="s">
        <v>1401</v>
      </c>
      <c r="O1223" s="54" t="s">
        <v>7</v>
      </c>
      <c r="P1223" s="54">
        <f t="shared" si="76"/>
        <v>0</v>
      </c>
      <c r="Q1223">
        <f t="shared" si="77"/>
        <v>0</v>
      </c>
      <c r="R1223">
        <f t="shared" si="78"/>
        <v>0</v>
      </c>
      <c r="S1223" t="b">
        <f t="shared" si="79"/>
        <v>0</v>
      </c>
    </row>
    <row r="1224" spans="1:19" x14ac:dyDescent="0.2">
      <c r="A1224" s="54">
        <v>532247</v>
      </c>
      <c r="B1224" s="54" t="s">
        <v>134</v>
      </c>
      <c r="C1224" s="55">
        <v>703</v>
      </c>
      <c r="D1224" s="55">
        <v>480</v>
      </c>
      <c r="E1224" s="55">
        <v>24</v>
      </c>
      <c r="F1224" s="55">
        <v>681</v>
      </c>
      <c r="G1224" s="55">
        <v>362</v>
      </c>
      <c r="H1224" s="55">
        <v>327</v>
      </c>
      <c r="I1224" s="55">
        <v>1.42</v>
      </c>
      <c r="J1224" s="55">
        <v>0.75</v>
      </c>
      <c r="K1224" s="55">
        <v>0.68</v>
      </c>
      <c r="L1224" s="55">
        <v>6</v>
      </c>
      <c r="M1224" s="54" t="s">
        <v>45</v>
      </c>
      <c r="N1224" s="54" t="s">
        <v>47</v>
      </c>
      <c r="O1224" s="54" t="s">
        <v>6</v>
      </c>
      <c r="P1224" s="54">
        <f t="shared" si="76"/>
        <v>703</v>
      </c>
      <c r="Q1224">
        <f t="shared" si="77"/>
        <v>0</v>
      </c>
      <c r="R1224">
        <f t="shared" si="78"/>
        <v>703</v>
      </c>
      <c r="S1224" t="b">
        <f t="shared" si="79"/>
        <v>0</v>
      </c>
    </row>
    <row r="1225" spans="1:19" x14ac:dyDescent="0.2">
      <c r="A1225" s="54">
        <v>534156</v>
      </c>
      <c r="B1225" s="54" t="s">
        <v>814</v>
      </c>
      <c r="C1225" s="55">
        <v>6</v>
      </c>
      <c r="D1225" s="55">
        <v>2</v>
      </c>
      <c r="E1225" s="55">
        <v>3</v>
      </c>
      <c r="F1225" s="55">
        <v>0</v>
      </c>
      <c r="G1225" s="55">
        <v>0</v>
      </c>
      <c r="H1225" s="55">
        <v>0</v>
      </c>
      <c r="I1225" s="55">
        <v>0</v>
      </c>
      <c r="J1225" s="55">
        <v>0</v>
      </c>
      <c r="K1225" s="55">
        <v>0</v>
      </c>
      <c r="L1225" s="55">
        <v>0</v>
      </c>
      <c r="M1225" s="54" t="s">
        <v>30</v>
      </c>
      <c r="N1225" s="54" t="s">
        <v>1401</v>
      </c>
      <c r="O1225" s="54" t="s">
        <v>7</v>
      </c>
      <c r="P1225" s="54">
        <f t="shared" si="76"/>
        <v>0</v>
      </c>
      <c r="Q1225">
        <f t="shared" si="77"/>
        <v>0</v>
      </c>
      <c r="R1225">
        <f t="shared" si="78"/>
        <v>0</v>
      </c>
      <c r="S1225" t="b">
        <f t="shared" si="79"/>
        <v>0</v>
      </c>
    </row>
    <row r="1226" spans="1:19" x14ac:dyDescent="0.2">
      <c r="A1226" s="54">
        <v>537147</v>
      </c>
      <c r="B1226" s="54" t="s">
        <v>741</v>
      </c>
      <c r="C1226" s="55">
        <v>3</v>
      </c>
      <c r="D1226" s="55">
        <v>1</v>
      </c>
      <c r="E1226" s="55">
        <v>1</v>
      </c>
      <c r="F1226" s="55">
        <v>0</v>
      </c>
      <c r="G1226" s="55">
        <v>0</v>
      </c>
      <c r="H1226" s="55">
        <v>0</v>
      </c>
      <c r="I1226" s="55">
        <v>0</v>
      </c>
      <c r="J1226" s="55">
        <v>0</v>
      </c>
      <c r="K1226" s="55">
        <v>0</v>
      </c>
      <c r="L1226" s="55">
        <v>0</v>
      </c>
      <c r="M1226" s="54" t="s">
        <v>30</v>
      </c>
      <c r="N1226" s="54" t="s">
        <v>1401</v>
      </c>
      <c r="O1226" s="54" t="s">
        <v>7</v>
      </c>
      <c r="P1226" s="54">
        <f t="shared" si="76"/>
        <v>0</v>
      </c>
      <c r="Q1226">
        <f t="shared" si="77"/>
        <v>0</v>
      </c>
      <c r="R1226">
        <f t="shared" si="78"/>
        <v>0</v>
      </c>
      <c r="S1226" t="b">
        <f t="shared" si="79"/>
        <v>0</v>
      </c>
    </row>
    <row r="1227" spans="1:19" x14ac:dyDescent="0.2">
      <c r="A1227" s="54">
        <v>538448</v>
      </c>
      <c r="B1227" s="54" t="s">
        <v>1349</v>
      </c>
      <c r="C1227" s="55">
        <v>0</v>
      </c>
      <c r="D1227" s="55">
        <v>5</v>
      </c>
      <c r="E1227" s="55">
        <v>0</v>
      </c>
      <c r="F1227" s="55">
        <v>0</v>
      </c>
      <c r="G1227" s="55">
        <v>0</v>
      </c>
      <c r="H1227" s="55">
        <v>0</v>
      </c>
      <c r="I1227" s="55">
        <v>0</v>
      </c>
      <c r="J1227" s="55">
        <v>0</v>
      </c>
      <c r="K1227" s="55">
        <v>0</v>
      </c>
      <c r="L1227" s="55">
        <v>0</v>
      </c>
      <c r="M1227" s="54" t="s">
        <v>30</v>
      </c>
      <c r="N1227" s="54" t="s">
        <v>1401</v>
      </c>
      <c r="O1227" s="54" t="s">
        <v>7</v>
      </c>
      <c r="P1227" s="54">
        <f t="shared" si="76"/>
        <v>0</v>
      </c>
      <c r="Q1227">
        <f t="shared" si="77"/>
        <v>0</v>
      </c>
      <c r="R1227">
        <f t="shared" si="78"/>
        <v>0</v>
      </c>
      <c r="S1227" t="b">
        <f t="shared" si="79"/>
        <v>0</v>
      </c>
    </row>
    <row r="1228" spans="1:19" x14ac:dyDescent="0.2">
      <c r="A1228" s="54">
        <v>542050</v>
      </c>
      <c r="B1228" s="54" t="s">
        <v>441</v>
      </c>
      <c r="C1228" s="55">
        <v>101</v>
      </c>
      <c r="D1228" s="55">
        <v>100</v>
      </c>
      <c r="E1228" s="55">
        <v>24</v>
      </c>
      <c r="F1228" s="55">
        <v>38</v>
      </c>
      <c r="G1228" s="55">
        <v>26</v>
      </c>
      <c r="H1228" s="55">
        <v>26</v>
      </c>
      <c r="I1228" s="55">
        <v>0.38</v>
      </c>
      <c r="J1228" s="55">
        <v>0.26</v>
      </c>
      <c r="K1228" s="55">
        <v>0.26</v>
      </c>
      <c r="L1228" s="55">
        <v>10</v>
      </c>
      <c r="M1228" s="54" t="s">
        <v>45</v>
      </c>
      <c r="N1228" s="54" t="s">
        <v>47</v>
      </c>
      <c r="O1228" s="54" t="s">
        <v>6</v>
      </c>
      <c r="P1228" s="54">
        <f t="shared" si="76"/>
        <v>0</v>
      </c>
      <c r="Q1228">
        <f t="shared" si="77"/>
        <v>0</v>
      </c>
      <c r="R1228">
        <f t="shared" si="78"/>
        <v>0</v>
      </c>
      <c r="S1228" t="b">
        <f t="shared" si="79"/>
        <v>0</v>
      </c>
    </row>
    <row r="1229" spans="1:19" x14ac:dyDescent="0.2">
      <c r="A1229" s="54">
        <v>542060</v>
      </c>
      <c r="B1229" s="54" t="s">
        <v>517</v>
      </c>
      <c r="C1229" s="55">
        <v>2</v>
      </c>
      <c r="D1229" s="55">
        <v>9</v>
      </c>
      <c r="E1229" s="55">
        <v>18</v>
      </c>
      <c r="F1229" s="55">
        <v>20</v>
      </c>
      <c r="G1229" s="55">
        <v>14</v>
      </c>
      <c r="H1229" s="55">
        <v>14</v>
      </c>
      <c r="I1229" s="55">
        <v>2.2200000000000002</v>
      </c>
      <c r="J1229" s="55">
        <v>1.56</v>
      </c>
      <c r="K1229" s="55">
        <v>1.56</v>
      </c>
      <c r="L1229" s="55">
        <v>4</v>
      </c>
      <c r="M1229" s="54" t="s">
        <v>45</v>
      </c>
      <c r="N1229" s="54" t="s">
        <v>47</v>
      </c>
      <c r="O1229" s="54" t="s">
        <v>7</v>
      </c>
      <c r="P1229" s="54">
        <f t="shared" si="76"/>
        <v>2</v>
      </c>
      <c r="Q1229">
        <f t="shared" si="77"/>
        <v>2</v>
      </c>
      <c r="R1229">
        <f t="shared" si="78"/>
        <v>2</v>
      </c>
      <c r="S1229" t="b">
        <f t="shared" si="79"/>
        <v>0</v>
      </c>
    </row>
    <row r="1230" spans="1:19" x14ac:dyDescent="0.2">
      <c r="A1230" s="54">
        <v>543347</v>
      </c>
      <c r="B1230" s="54" t="s">
        <v>254</v>
      </c>
      <c r="C1230" s="55">
        <v>28</v>
      </c>
      <c r="D1230" s="55">
        <v>104</v>
      </c>
      <c r="E1230" s="55">
        <v>20</v>
      </c>
      <c r="F1230" s="55">
        <v>80</v>
      </c>
      <c r="G1230" s="55">
        <v>38</v>
      </c>
      <c r="H1230" s="55">
        <v>0</v>
      </c>
      <c r="I1230" s="55">
        <v>0.77</v>
      </c>
      <c r="J1230" s="55">
        <v>0.37</v>
      </c>
      <c r="K1230" s="55">
        <v>0</v>
      </c>
      <c r="L1230" s="55">
        <v>0</v>
      </c>
      <c r="M1230" s="54" t="s">
        <v>45</v>
      </c>
      <c r="N1230" s="54" t="s">
        <v>47</v>
      </c>
      <c r="O1230" s="54" t="s">
        <v>6</v>
      </c>
      <c r="P1230" s="54">
        <f t="shared" si="76"/>
        <v>0</v>
      </c>
      <c r="Q1230">
        <f t="shared" si="77"/>
        <v>0</v>
      </c>
      <c r="R1230">
        <f t="shared" si="78"/>
        <v>0</v>
      </c>
      <c r="S1230" t="b">
        <f t="shared" si="79"/>
        <v>0</v>
      </c>
    </row>
    <row r="1231" spans="1:19" x14ac:dyDescent="0.2">
      <c r="A1231" s="54">
        <v>546361</v>
      </c>
      <c r="B1231" s="54" t="s">
        <v>884</v>
      </c>
      <c r="C1231" s="55">
        <v>10</v>
      </c>
      <c r="D1231" s="55">
        <v>10</v>
      </c>
      <c r="E1231" s="55">
        <v>3</v>
      </c>
      <c r="F1231" s="55">
        <v>2</v>
      </c>
      <c r="G1231" s="55">
        <v>2</v>
      </c>
      <c r="H1231" s="55">
        <v>2</v>
      </c>
      <c r="I1231" s="55">
        <v>0.2</v>
      </c>
      <c r="J1231" s="55">
        <v>0.2</v>
      </c>
      <c r="K1231" s="55">
        <v>0.2</v>
      </c>
      <c r="L1231" s="55">
        <v>0</v>
      </c>
      <c r="M1231" s="54" t="s">
        <v>30</v>
      </c>
      <c r="N1231" s="54" t="s">
        <v>1401</v>
      </c>
      <c r="O1231" s="54" t="s">
        <v>7</v>
      </c>
      <c r="P1231" s="54">
        <f t="shared" si="76"/>
        <v>0</v>
      </c>
      <c r="Q1231">
        <f t="shared" si="77"/>
        <v>0</v>
      </c>
      <c r="R1231">
        <f t="shared" si="78"/>
        <v>0</v>
      </c>
      <c r="S1231" t="b">
        <f t="shared" si="79"/>
        <v>0</v>
      </c>
    </row>
    <row r="1232" spans="1:19" x14ac:dyDescent="0.2">
      <c r="A1232" s="54">
        <v>547648</v>
      </c>
      <c r="B1232" s="54" t="s">
        <v>516</v>
      </c>
      <c r="C1232" s="55">
        <v>0</v>
      </c>
      <c r="D1232" s="55">
        <v>100</v>
      </c>
      <c r="E1232" s="55">
        <v>13</v>
      </c>
      <c r="F1232" s="55">
        <v>17</v>
      </c>
      <c r="G1232" s="55">
        <v>0</v>
      </c>
      <c r="H1232" s="55">
        <v>0</v>
      </c>
      <c r="I1232" s="55">
        <v>0.17</v>
      </c>
      <c r="J1232" s="55">
        <v>0</v>
      </c>
      <c r="K1232" s="55">
        <v>0</v>
      </c>
      <c r="L1232" s="55">
        <v>5</v>
      </c>
      <c r="M1232" s="54" t="s">
        <v>45</v>
      </c>
      <c r="N1232" s="54" t="s">
        <v>47</v>
      </c>
      <c r="O1232" s="54" t="s">
        <v>6</v>
      </c>
      <c r="P1232" s="54">
        <f t="shared" si="76"/>
        <v>0</v>
      </c>
      <c r="Q1232">
        <f t="shared" si="77"/>
        <v>0</v>
      </c>
      <c r="R1232">
        <f t="shared" si="78"/>
        <v>0</v>
      </c>
      <c r="S1232" t="b">
        <f t="shared" si="79"/>
        <v>0</v>
      </c>
    </row>
    <row r="1233" spans="1:19" x14ac:dyDescent="0.2">
      <c r="A1233" s="54">
        <v>549754</v>
      </c>
      <c r="B1233" s="54" t="s">
        <v>483</v>
      </c>
      <c r="C1233" s="55">
        <v>16</v>
      </c>
      <c r="D1233" s="55">
        <v>25</v>
      </c>
      <c r="E1233" s="55">
        <v>12</v>
      </c>
      <c r="F1233" s="55">
        <v>22</v>
      </c>
      <c r="G1233" s="55">
        <v>10</v>
      </c>
      <c r="H1233" s="55">
        <v>1</v>
      </c>
      <c r="I1233" s="55">
        <v>0.88</v>
      </c>
      <c r="J1233" s="55">
        <v>0.4</v>
      </c>
      <c r="K1233" s="55">
        <v>0.04</v>
      </c>
      <c r="L1233" s="55">
        <v>1</v>
      </c>
      <c r="M1233" s="54" t="s">
        <v>43</v>
      </c>
      <c r="N1233" s="54" t="s">
        <v>1400</v>
      </c>
      <c r="O1233" s="54" t="s">
        <v>7</v>
      </c>
      <c r="P1233" s="54">
        <f t="shared" si="76"/>
        <v>0</v>
      </c>
      <c r="Q1233">
        <f t="shared" si="77"/>
        <v>0</v>
      </c>
      <c r="R1233">
        <f t="shared" si="78"/>
        <v>0</v>
      </c>
      <c r="S1233" t="b">
        <f t="shared" si="79"/>
        <v>0</v>
      </c>
    </row>
    <row r="1234" spans="1:19" x14ac:dyDescent="0.2">
      <c r="A1234" s="54">
        <v>551150</v>
      </c>
      <c r="B1234" s="54" t="s">
        <v>492</v>
      </c>
      <c r="C1234" s="55">
        <v>3</v>
      </c>
      <c r="D1234" s="55">
        <v>18</v>
      </c>
      <c r="E1234" s="55">
        <v>8</v>
      </c>
      <c r="F1234" s="55">
        <v>27</v>
      </c>
      <c r="G1234" s="55">
        <v>27</v>
      </c>
      <c r="H1234" s="55">
        <v>0</v>
      </c>
      <c r="I1234" s="55">
        <v>1.5</v>
      </c>
      <c r="J1234" s="55">
        <v>1.5</v>
      </c>
      <c r="K1234" s="55">
        <v>0</v>
      </c>
      <c r="L1234" s="55">
        <v>0</v>
      </c>
      <c r="M1234" s="54" t="s">
        <v>43</v>
      </c>
      <c r="N1234" s="54" t="s">
        <v>1400</v>
      </c>
      <c r="O1234" s="54" t="s">
        <v>7</v>
      </c>
      <c r="P1234" s="54">
        <f t="shared" si="76"/>
        <v>3</v>
      </c>
      <c r="Q1234">
        <f t="shared" si="77"/>
        <v>0</v>
      </c>
      <c r="R1234">
        <f t="shared" si="78"/>
        <v>3</v>
      </c>
      <c r="S1234" t="b">
        <f t="shared" si="79"/>
        <v>0</v>
      </c>
    </row>
    <row r="1235" spans="1:19" x14ac:dyDescent="0.2">
      <c r="A1235" s="54">
        <v>551261</v>
      </c>
      <c r="B1235" s="54" t="s">
        <v>617</v>
      </c>
      <c r="C1235" s="55">
        <v>0</v>
      </c>
      <c r="D1235" s="55">
        <v>50</v>
      </c>
      <c r="E1235" s="55">
        <v>17</v>
      </c>
      <c r="F1235" s="55">
        <v>0</v>
      </c>
      <c r="G1235" s="55">
        <v>0</v>
      </c>
      <c r="H1235" s="55">
        <v>0</v>
      </c>
      <c r="I1235" s="55">
        <v>0</v>
      </c>
      <c r="J1235" s="55">
        <v>0</v>
      </c>
      <c r="K1235" s="55">
        <v>0</v>
      </c>
      <c r="L1235" s="55">
        <v>0</v>
      </c>
      <c r="M1235" s="54" t="s">
        <v>45</v>
      </c>
      <c r="N1235" s="54" t="s">
        <v>47</v>
      </c>
      <c r="O1235" s="54" t="s">
        <v>7</v>
      </c>
      <c r="P1235" s="54">
        <f t="shared" si="76"/>
        <v>0</v>
      </c>
      <c r="Q1235">
        <f t="shared" si="77"/>
        <v>0</v>
      </c>
      <c r="R1235">
        <f t="shared" si="78"/>
        <v>0</v>
      </c>
      <c r="S1235" t="b">
        <f t="shared" si="79"/>
        <v>0</v>
      </c>
    </row>
    <row r="1236" spans="1:19" x14ac:dyDescent="0.2">
      <c r="A1236" s="54">
        <v>551353</v>
      </c>
      <c r="B1236" s="54" t="s">
        <v>264</v>
      </c>
      <c r="C1236" s="55">
        <v>85</v>
      </c>
      <c r="D1236" s="55">
        <v>85</v>
      </c>
      <c r="E1236" s="55">
        <v>12</v>
      </c>
      <c r="F1236" s="55">
        <v>159</v>
      </c>
      <c r="G1236" s="55">
        <v>159</v>
      </c>
      <c r="H1236" s="55">
        <v>47</v>
      </c>
      <c r="I1236" s="55">
        <v>1.87</v>
      </c>
      <c r="J1236" s="55">
        <v>1.87</v>
      </c>
      <c r="K1236" s="55">
        <v>0.55000000000000004</v>
      </c>
      <c r="L1236" s="55">
        <v>29</v>
      </c>
      <c r="M1236" s="54" t="s">
        <v>43</v>
      </c>
      <c r="N1236" s="54" t="s">
        <v>1400</v>
      </c>
      <c r="O1236" s="54" t="s">
        <v>7</v>
      </c>
      <c r="P1236" s="54">
        <f t="shared" si="76"/>
        <v>85</v>
      </c>
      <c r="Q1236">
        <f t="shared" si="77"/>
        <v>0</v>
      </c>
      <c r="R1236">
        <f t="shared" si="78"/>
        <v>85</v>
      </c>
      <c r="S1236" t="b">
        <f t="shared" si="79"/>
        <v>0</v>
      </c>
    </row>
    <row r="1237" spans="1:19" x14ac:dyDescent="0.2">
      <c r="A1237" s="54">
        <v>552247</v>
      </c>
      <c r="B1237" s="54" t="s">
        <v>350</v>
      </c>
      <c r="C1237" s="55">
        <v>30</v>
      </c>
      <c r="D1237" s="55">
        <v>25</v>
      </c>
      <c r="E1237" s="55">
        <v>11</v>
      </c>
      <c r="F1237" s="55">
        <v>65</v>
      </c>
      <c r="G1237" s="55">
        <v>27</v>
      </c>
      <c r="H1237" s="55">
        <v>11</v>
      </c>
      <c r="I1237" s="55">
        <v>2.6</v>
      </c>
      <c r="J1237" s="55">
        <v>1.08</v>
      </c>
      <c r="K1237" s="55">
        <v>0.44</v>
      </c>
      <c r="L1237" s="55">
        <v>11</v>
      </c>
      <c r="M1237" s="54" t="s">
        <v>43</v>
      </c>
      <c r="N1237" s="54" t="s">
        <v>1400</v>
      </c>
      <c r="O1237" s="54" t="s">
        <v>7</v>
      </c>
      <c r="P1237" s="54">
        <f t="shared" si="76"/>
        <v>30</v>
      </c>
      <c r="Q1237">
        <f t="shared" si="77"/>
        <v>30</v>
      </c>
      <c r="R1237">
        <f t="shared" si="78"/>
        <v>30</v>
      </c>
      <c r="S1237" t="b">
        <f t="shared" si="79"/>
        <v>0</v>
      </c>
    </row>
    <row r="1238" spans="1:19" x14ac:dyDescent="0.2">
      <c r="A1238" s="54">
        <v>554048</v>
      </c>
      <c r="B1238" s="54" t="s">
        <v>340</v>
      </c>
      <c r="C1238" s="55">
        <v>19</v>
      </c>
      <c r="D1238" s="55">
        <v>20</v>
      </c>
      <c r="E1238" s="55">
        <v>9</v>
      </c>
      <c r="F1238" s="55">
        <v>99</v>
      </c>
      <c r="G1238" s="55">
        <v>11</v>
      </c>
      <c r="H1238" s="55">
        <v>0</v>
      </c>
      <c r="I1238" s="55">
        <v>4.95</v>
      </c>
      <c r="J1238" s="55">
        <v>0.55000000000000004</v>
      </c>
      <c r="K1238" s="55">
        <v>0</v>
      </c>
      <c r="L1238" s="55">
        <v>0</v>
      </c>
      <c r="M1238" s="54" t="s">
        <v>43</v>
      </c>
      <c r="N1238" s="54" t="s">
        <v>1400</v>
      </c>
      <c r="O1238" s="54" t="s">
        <v>7</v>
      </c>
      <c r="P1238" s="54">
        <f t="shared" si="76"/>
        <v>19</v>
      </c>
      <c r="Q1238">
        <f t="shared" si="77"/>
        <v>19</v>
      </c>
      <c r="R1238">
        <f t="shared" si="78"/>
        <v>0</v>
      </c>
      <c r="S1238" t="b">
        <f t="shared" si="79"/>
        <v>0</v>
      </c>
    </row>
    <row r="1239" spans="1:19" x14ac:dyDescent="0.2">
      <c r="A1239" s="54">
        <v>556150</v>
      </c>
      <c r="B1239" s="54" t="s">
        <v>952</v>
      </c>
      <c r="C1239" s="55">
        <v>15</v>
      </c>
      <c r="D1239" s="55">
        <v>4</v>
      </c>
      <c r="E1239" s="55">
        <v>1</v>
      </c>
      <c r="F1239" s="55">
        <v>5</v>
      </c>
      <c r="G1239" s="55">
        <v>5</v>
      </c>
      <c r="H1239" s="55">
        <v>5</v>
      </c>
      <c r="I1239" s="55">
        <v>1.25</v>
      </c>
      <c r="J1239" s="55">
        <v>1.25</v>
      </c>
      <c r="K1239" s="55">
        <v>1.25</v>
      </c>
      <c r="L1239" s="55">
        <v>0</v>
      </c>
      <c r="M1239" s="54" t="s">
        <v>30</v>
      </c>
      <c r="N1239" s="54" t="s">
        <v>1401</v>
      </c>
      <c r="O1239" s="54" t="s">
        <v>7</v>
      </c>
      <c r="P1239" s="54">
        <f t="shared" si="76"/>
        <v>15</v>
      </c>
      <c r="Q1239">
        <f t="shared" si="77"/>
        <v>0</v>
      </c>
      <c r="R1239">
        <f t="shared" si="78"/>
        <v>15</v>
      </c>
      <c r="S1239" t="b">
        <f t="shared" si="79"/>
        <v>0</v>
      </c>
    </row>
    <row r="1240" spans="1:19" x14ac:dyDescent="0.2">
      <c r="A1240" s="54">
        <v>556953</v>
      </c>
      <c r="B1240" s="54" t="s">
        <v>625</v>
      </c>
      <c r="C1240" s="55">
        <v>6</v>
      </c>
      <c r="D1240" s="55">
        <v>5</v>
      </c>
      <c r="E1240" s="55">
        <v>13</v>
      </c>
      <c r="F1240" s="55">
        <v>0</v>
      </c>
      <c r="G1240" s="55">
        <v>0</v>
      </c>
      <c r="H1240" s="55">
        <v>0</v>
      </c>
      <c r="I1240" s="55">
        <v>0</v>
      </c>
      <c r="J1240" s="55">
        <v>0</v>
      </c>
      <c r="K1240" s="55">
        <v>0</v>
      </c>
      <c r="L1240" s="55">
        <v>0</v>
      </c>
      <c r="M1240" s="54" t="s">
        <v>45</v>
      </c>
      <c r="N1240" s="54" t="s">
        <v>47</v>
      </c>
      <c r="O1240" s="54" t="s">
        <v>7</v>
      </c>
      <c r="P1240" s="54">
        <f t="shared" si="76"/>
        <v>0</v>
      </c>
      <c r="Q1240">
        <f t="shared" si="77"/>
        <v>0</v>
      </c>
      <c r="R1240">
        <f t="shared" si="78"/>
        <v>0</v>
      </c>
      <c r="S1240" t="b">
        <f t="shared" si="79"/>
        <v>0</v>
      </c>
    </row>
    <row r="1241" spans="1:19" x14ac:dyDescent="0.2">
      <c r="A1241" s="54">
        <v>557455</v>
      </c>
      <c r="B1241" s="54" t="s">
        <v>597</v>
      </c>
      <c r="C1241" s="55">
        <v>0</v>
      </c>
      <c r="D1241" s="55">
        <v>68</v>
      </c>
      <c r="E1241" s="55">
        <v>12</v>
      </c>
      <c r="F1241" s="55">
        <v>3</v>
      </c>
      <c r="G1241" s="55">
        <v>0</v>
      </c>
      <c r="H1241" s="55">
        <v>0</v>
      </c>
      <c r="I1241" s="55">
        <v>0.04</v>
      </c>
      <c r="J1241" s="55">
        <v>0</v>
      </c>
      <c r="K1241" s="55">
        <v>0</v>
      </c>
      <c r="L1241" s="55">
        <v>0</v>
      </c>
      <c r="M1241" s="54" t="s">
        <v>43</v>
      </c>
      <c r="N1241" s="54" t="s">
        <v>1400</v>
      </c>
      <c r="O1241" s="54" t="s">
        <v>7</v>
      </c>
      <c r="P1241" s="54">
        <f t="shared" si="76"/>
        <v>0</v>
      </c>
      <c r="Q1241">
        <f t="shared" si="77"/>
        <v>0</v>
      </c>
      <c r="R1241">
        <f t="shared" si="78"/>
        <v>0</v>
      </c>
      <c r="S1241" t="b">
        <f t="shared" si="79"/>
        <v>0</v>
      </c>
    </row>
    <row r="1242" spans="1:19" x14ac:dyDescent="0.2">
      <c r="A1242" s="54">
        <v>558558</v>
      </c>
      <c r="B1242" s="54" t="s">
        <v>1116</v>
      </c>
      <c r="C1242" s="55">
        <v>36</v>
      </c>
      <c r="D1242" s="55">
        <v>35</v>
      </c>
      <c r="E1242" s="55">
        <v>5</v>
      </c>
      <c r="F1242" s="55">
        <v>0</v>
      </c>
      <c r="G1242" s="55">
        <v>0</v>
      </c>
      <c r="H1242" s="55">
        <v>0</v>
      </c>
      <c r="I1242" s="55">
        <v>0</v>
      </c>
      <c r="J1242" s="55">
        <v>0</v>
      </c>
      <c r="K1242" s="55">
        <v>0</v>
      </c>
      <c r="L1242" s="55">
        <v>0</v>
      </c>
      <c r="M1242" s="54" t="s">
        <v>30</v>
      </c>
      <c r="N1242" s="54" t="s">
        <v>1401</v>
      </c>
      <c r="O1242" s="54" t="s">
        <v>7</v>
      </c>
      <c r="P1242" s="54">
        <f t="shared" si="76"/>
        <v>0</v>
      </c>
      <c r="Q1242">
        <f t="shared" si="77"/>
        <v>0</v>
      </c>
      <c r="R1242">
        <f t="shared" si="78"/>
        <v>0</v>
      </c>
      <c r="S1242" t="b">
        <f t="shared" si="79"/>
        <v>0</v>
      </c>
    </row>
    <row r="1243" spans="1:19" x14ac:dyDescent="0.2">
      <c r="A1243" s="54">
        <v>570556</v>
      </c>
      <c r="B1243" s="54" t="s">
        <v>327</v>
      </c>
      <c r="C1243" s="55">
        <v>3</v>
      </c>
      <c r="D1243" s="55">
        <v>35</v>
      </c>
      <c r="E1243" s="55">
        <v>10</v>
      </c>
      <c r="F1243" s="55">
        <v>104</v>
      </c>
      <c r="G1243" s="55">
        <v>85</v>
      </c>
      <c r="H1243" s="55">
        <v>0</v>
      </c>
      <c r="I1243" s="55">
        <v>2.97</v>
      </c>
      <c r="J1243" s="55">
        <v>2.4300000000000002</v>
      </c>
      <c r="K1243" s="55">
        <v>0</v>
      </c>
      <c r="L1243" s="55">
        <v>0</v>
      </c>
      <c r="M1243" s="54" t="s">
        <v>43</v>
      </c>
      <c r="N1243" s="54" t="s">
        <v>1400</v>
      </c>
      <c r="O1243" s="54" t="s">
        <v>7</v>
      </c>
      <c r="P1243" s="54">
        <f t="shared" si="76"/>
        <v>3</v>
      </c>
      <c r="Q1243">
        <f t="shared" si="77"/>
        <v>3</v>
      </c>
      <c r="R1243">
        <f t="shared" si="78"/>
        <v>3</v>
      </c>
      <c r="S1243" t="b">
        <f t="shared" si="79"/>
        <v>0</v>
      </c>
    </row>
    <row r="1244" spans="1:19" x14ac:dyDescent="0.2">
      <c r="A1244" s="54">
        <v>571755</v>
      </c>
      <c r="B1244" s="54" t="s">
        <v>704</v>
      </c>
      <c r="C1244" s="55">
        <v>1</v>
      </c>
      <c r="D1244" s="55">
        <v>1</v>
      </c>
      <c r="E1244" s="55">
        <v>4</v>
      </c>
      <c r="F1244" s="55">
        <v>0</v>
      </c>
      <c r="G1244" s="55">
        <v>0</v>
      </c>
      <c r="H1244" s="55">
        <v>0</v>
      </c>
      <c r="I1244" s="55">
        <v>0</v>
      </c>
      <c r="J1244" s="55">
        <v>0</v>
      </c>
      <c r="K1244" s="55">
        <v>0</v>
      </c>
      <c r="L1244" s="55">
        <v>0</v>
      </c>
      <c r="M1244" s="54" t="s">
        <v>30</v>
      </c>
      <c r="N1244" s="54" t="s">
        <v>1401</v>
      </c>
      <c r="O1244" s="54" t="s">
        <v>7</v>
      </c>
      <c r="P1244" s="54">
        <f t="shared" si="76"/>
        <v>0</v>
      </c>
      <c r="Q1244">
        <f t="shared" si="77"/>
        <v>0</v>
      </c>
      <c r="R1244">
        <f t="shared" si="78"/>
        <v>0</v>
      </c>
      <c r="S1244" t="b">
        <f t="shared" si="79"/>
        <v>0</v>
      </c>
    </row>
    <row r="1245" spans="1:19" x14ac:dyDescent="0.2">
      <c r="A1245" s="54">
        <v>575949</v>
      </c>
      <c r="B1245" s="54" t="s">
        <v>813</v>
      </c>
      <c r="C1245" s="55">
        <v>6</v>
      </c>
      <c r="D1245" s="55">
        <v>6</v>
      </c>
      <c r="E1245" s="55">
        <v>3</v>
      </c>
      <c r="F1245" s="55">
        <v>0</v>
      </c>
      <c r="G1245" s="55">
        <v>0</v>
      </c>
      <c r="H1245" s="55">
        <v>0</v>
      </c>
      <c r="I1245" s="55">
        <v>0</v>
      </c>
      <c r="J1245" s="55">
        <v>0</v>
      </c>
      <c r="K1245" s="55">
        <v>0</v>
      </c>
      <c r="L1245" s="55">
        <v>0</v>
      </c>
      <c r="M1245" s="54" t="s">
        <v>30</v>
      </c>
      <c r="N1245" s="54" t="s">
        <v>1401</v>
      </c>
      <c r="O1245" s="54" t="s">
        <v>7</v>
      </c>
      <c r="P1245" s="54">
        <f t="shared" si="76"/>
        <v>0</v>
      </c>
      <c r="Q1245">
        <f t="shared" si="77"/>
        <v>0</v>
      </c>
      <c r="R1245">
        <f t="shared" si="78"/>
        <v>0</v>
      </c>
      <c r="S1245" t="b">
        <f t="shared" si="79"/>
        <v>0</v>
      </c>
    </row>
    <row r="1246" spans="1:19" x14ac:dyDescent="0.2">
      <c r="A1246" s="54">
        <v>578855</v>
      </c>
      <c r="B1246" s="54" t="s">
        <v>836</v>
      </c>
      <c r="C1246" s="55">
        <v>8</v>
      </c>
      <c r="D1246" s="55">
        <v>8</v>
      </c>
      <c r="E1246" s="55">
        <v>1</v>
      </c>
      <c r="F1246" s="55">
        <v>0</v>
      </c>
      <c r="G1246" s="55">
        <v>0</v>
      </c>
      <c r="H1246" s="55">
        <v>0</v>
      </c>
      <c r="I1246" s="55">
        <v>0</v>
      </c>
      <c r="J1246" s="55">
        <v>0</v>
      </c>
      <c r="K1246" s="55">
        <v>0</v>
      </c>
      <c r="L1246" s="55">
        <v>0</v>
      </c>
      <c r="M1246" s="54" t="s">
        <v>30</v>
      </c>
      <c r="N1246" s="54" t="s">
        <v>1401</v>
      </c>
      <c r="O1246" s="54" t="s">
        <v>7</v>
      </c>
      <c r="P1246" s="54">
        <f t="shared" si="76"/>
        <v>0</v>
      </c>
      <c r="Q1246">
        <f t="shared" si="77"/>
        <v>0</v>
      </c>
      <c r="R1246">
        <f t="shared" si="78"/>
        <v>0</v>
      </c>
      <c r="S1246" t="b">
        <f t="shared" si="79"/>
        <v>0</v>
      </c>
    </row>
    <row r="1247" spans="1:19" x14ac:dyDescent="0.2">
      <c r="A1247" s="54">
        <v>579148</v>
      </c>
      <c r="B1247" s="54" t="s">
        <v>363</v>
      </c>
      <c r="C1247" s="55">
        <v>1</v>
      </c>
      <c r="D1247" s="55">
        <v>6</v>
      </c>
      <c r="E1247" s="55">
        <v>8</v>
      </c>
      <c r="F1247" s="55">
        <v>74</v>
      </c>
      <c r="G1247" s="55">
        <v>74</v>
      </c>
      <c r="H1247" s="55">
        <v>0</v>
      </c>
      <c r="I1247" s="55">
        <v>12.33</v>
      </c>
      <c r="J1247" s="55">
        <v>12.33</v>
      </c>
      <c r="K1247" s="55">
        <v>0</v>
      </c>
      <c r="L1247" s="55">
        <v>84</v>
      </c>
      <c r="M1247" s="54" t="s">
        <v>43</v>
      </c>
      <c r="N1247" s="54" t="s">
        <v>1400</v>
      </c>
      <c r="O1247" s="54" t="s">
        <v>7</v>
      </c>
      <c r="P1247" s="54">
        <f t="shared" si="76"/>
        <v>1</v>
      </c>
      <c r="Q1247">
        <f t="shared" si="77"/>
        <v>1</v>
      </c>
      <c r="R1247">
        <f t="shared" si="78"/>
        <v>1</v>
      </c>
      <c r="S1247" t="b">
        <f t="shared" si="79"/>
        <v>0</v>
      </c>
    </row>
    <row r="1248" spans="1:19" x14ac:dyDescent="0.2">
      <c r="A1248" s="54">
        <v>582251</v>
      </c>
      <c r="B1248" s="54" t="s">
        <v>827</v>
      </c>
      <c r="C1248" s="55">
        <v>7</v>
      </c>
      <c r="D1248" s="55">
        <v>7</v>
      </c>
      <c r="E1248" s="55">
        <v>3</v>
      </c>
      <c r="F1248" s="55">
        <v>0</v>
      </c>
      <c r="G1248" s="55">
        <v>0</v>
      </c>
      <c r="H1248" s="55">
        <v>0</v>
      </c>
      <c r="I1248" s="55">
        <v>0</v>
      </c>
      <c r="J1248" s="55">
        <v>0</v>
      </c>
      <c r="K1248" s="55">
        <v>0</v>
      </c>
      <c r="L1248" s="55">
        <v>0</v>
      </c>
      <c r="M1248" s="54" t="s">
        <v>30</v>
      </c>
      <c r="N1248" s="54" t="s">
        <v>1401</v>
      </c>
      <c r="O1248" s="54" t="s">
        <v>7</v>
      </c>
      <c r="P1248" s="54">
        <f t="shared" si="76"/>
        <v>0</v>
      </c>
      <c r="Q1248">
        <f t="shared" si="77"/>
        <v>0</v>
      </c>
      <c r="R1248">
        <f t="shared" si="78"/>
        <v>0</v>
      </c>
      <c r="S1248" t="b">
        <f t="shared" si="79"/>
        <v>0</v>
      </c>
    </row>
    <row r="1249" spans="1:19" x14ac:dyDescent="0.2">
      <c r="A1249" s="54">
        <v>582952</v>
      </c>
      <c r="B1249" s="54" t="s">
        <v>1239</v>
      </c>
      <c r="C1249" s="55">
        <v>125</v>
      </c>
      <c r="D1249" s="55">
        <v>125</v>
      </c>
      <c r="E1249" s="55">
        <v>4</v>
      </c>
      <c r="F1249" s="55">
        <v>10</v>
      </c>
      <c r="G1249" s="55">
        <v>10</v>
      </c>
      <c r="H1249" s="55">
        <v>0</v>
      </c>
      <c r="I1249" s="55">
        <v>0.08</v>
      </c>
      <c r="J1249" s="55">
        <v>0.08</v>
      </c>
      <c r="K1249" s="55">
        <v>0</v>
      </c>
      <c r="L1249" s="55">
        <v>32</v>
      </c>
      <c r="M1249" s="54" t="s">
        <v>30</v>
      </c>
      <c r="N1249" s="54" t="s">
        <v>1401</v>
      </c>
      <c r="O1249" s="54" t="s">
        <v>6</v>
      </c>
      <c r="P1249" s="54">
        <f t="shared" si="76"/>
        <v>0</v>
      </c>
      <c r="Q1249">
        <f t="shared" si="77"/>
        <v>0</v>
      </c>
      <c r="R1249">
        <f t="shared" si="78"/>
        <v>0</v>
      </c>
      <c r="S1249" t="b">
        <f t="shared" si="79"/>
        <v>0</v>
      </c>
    </row>
    <row r="1250" spans="1:19" x14ac:dyDescent="0.2">
      <c r="A1250" s="54">
        <v>583348</v>
      </c>
      <c r="B1250" s="54" t="s">
        <v>950</v>
      </c>
      <c r="C1250" s="55">
        <v>15</v>
      </c>
      <c r="D1250" s="55">
        <v>15</v>
      </c>
      <c r="E1250" s="55">
        <v>1</v>
      </c>
      <c r="F1250" s="55">
        <v>7</v>
      </c>
      <c r="G1250" s="55">
        <v>7</v>
      </c>
      <c r="H1250" s="55">
        <v>7</v>
      </c>
      <c r="I1250" s="55">
        <v>0.47</v>
      </c>
      <c r="J1250" s="55">
        <v>0.47</v>
      </c>
      <c r="K1250" s="55">
        <v>0.47</v>
      </c>
      <c r="L1250" s="55">
        <v>0</v>
      </c>
      <c r="M1250" s="54" t="s">
        <v>30</v>
      </c>
      <c r="N1250" s="54" t="s">
        <v>1401</v>
      </c>
      <c r="O1250" s="54" t="s">
        <v>7</v>
      </c>
      <c r="P1250" s="54">
        <f t="shared" si="76"/>
        <v>0</v>
      </c>
      <c r="Q1250">
        <f t="shared" si="77"/>
        <v>0</v>
      </c>
      <c r="R1250">
        <f t="shared" si="78"/>
        <v>0</v>
      </c>
      <c r="S1250" t="b">
        <f t="shared" si="79"/>
        <v>0</v>
      </c>
    </row>
    <row r="1251" spans="1:19" x14ac:dyDescent="0.2">
      <c r="A1251" s="54">
        <v>584056</v>
      </c>
      <c r="B1251" s="54" t="s">
        <v>734</v>
      </c>
      <c r="C1251" s="55">
        <v>2</v>
      </c>
      <c r="D1251" s="55">
        <v>2</v>
      </c>
      <c r="E1251" s="55">
        <v>5</v>
      </c>
      <c r="F1251" s="55">
        <v>6</v>
      </c>
      <c r="G1251" s="55">
        <v>6</v>
      </c>
      <c r="H1251" s="55">
        <v>0</v>
      </c>
      <c r="I1251" s="55">
        <v>3</v>
      </c>
      <c r="J1251" s="55">
        <v>3</v>
      </c>
      <c r="K1251" s="55">
        <v>0</v>
      </c>
      <c r="L1251" s="55">
        <v>0</v>
      </c>
      <c r="M1251" s="54" t="s">
        <v>30</v>
      </c>
      <c r="N1251" s="54" t="s">
        <v>1401</v>
      </c>
      <c r="O1251" s="54" t="s">
        <v>7</v>
      </c>
      <c r="P1251" s="54">
        <f t="shared" si="76"/>
        <v>2</v>
      </c>
      <c r="Q1251">
        <f t="shared" si="77"/>
        <v>2</v>
      </c>
      <c r="R1251">
        <f t="shared" si="78"/>
        <v>2</v>
      </c>
      <c r="S1251" t="b">
        <f t="shared" si="79"/>
        <v>0</v>
      </c>
    </row>
    <row r="1252" spans="1:19" x14ac:dyDescent="0.2">
      <c r="A1252" s="54">
        <v>584550</v>
      </c>
      <c r="B1252" s="54" t="s">
        <v>612</v>
      </c>
      <c r="C1252" s="55">
        <v>1</v>
      </c>
      <c r="D1252" s="55">
        <v>2</v>
      </c>
      <c r="E1252" s="55">
        <v>6</v>
      </c>
      <c r="F1252" s="55">
        <v>1</v>
      </c>
      <c r="G1252" s="55">
        <v>1</v>
      </c>
      <c r="H1252" s="55">
        <v>1</v>
      </c>
      <c r="I1252" s="55">
        <v>0.5</v>
      </c>
      <c r="J1252" s="55">
        <v>0.5</v>
      </c>
      <c r="K1252" s="55">
        <v>0.5</v>
      </c>
      <c r="L1252" s="55">
        <v>0</v>
      </c>
      <c r="M1252" s="54" t="s">
        <v>43</v>
      </c>
      <c r="N1252" s="54" t="s">
        <v>1400</v>
      </c>
      <c r="O1252" s="54" t="s">
        <v>7</v>
      </c>
      <c r="P1252" s="54">
        <f t="shared" si="76"/>
        <v>0</v>
      </c>
      <c r="Q1252">
        <f t="shared" si="77"/>
        <v>0</v>
      </c>
      <c r="R1252">
        <f t="shared" si="78"/>
        <v>0</v>
      </c>
      <c r="S1252" t="b">
        <f t="shared" si="79"/>
        <v>0</v>
      </c>
    </row>
    <row r="1253" spans="1:19" x14ac:dyDescent="0.2">
      <c r="A1253" s="54">
        <v>586347</v>
      </c>
      <c r="B1253" s="54" t="s">
        <v>832</v>
      </c>
      <c r="C1253" s="55">
        <v>7</v>
      </c>
      <c r="D1253" s="55">
        <v>7</v>
      </c>
      <c r="E1253" s="55">
        <v>5</v>
      </c>
      <c r="F1253" s="55">
        <v>4</v>
      </c>
      <c r="G1253" s="55">
        <v>4</v>
      </c>
      <c r="H1253" s="55">
        <v>3</v>
      </c>
      <c r="I1253" s="55">
        <v>0.56999999999999995</v>
      </c>
      <c r="J1253" s="55">
        <v>0.56999999999999995</v>
      </c>
      <c r="K1253" s="55">
        <v>0.43</v>
      </c>
      <c r="L1253" s="55">
        <v>3</v>
      </c>
      <c r="M1253" s="54" t="s">
        <v>30</v>
      </c>
      <c r="N1253" s="54" t="s">
        <v>1401</v>
      </c>
      <c r="O1253" s="54" t="s">
        <v>7</v>
      </c>
      <c r="P1253" s="54">
        <f t="shared" si="76"/>
        <v>0</v>
      </c>
      <c r="Q1253">
        <f t="shared" si="77"/>
        <v>0</v>
      </c>
      <c r="R1253">
        <f t="shared" si="78"/>
        <v>0</v>
      </c>
      <c r="S1253" t="b">
        <f t="shared" si="79"/>
        <v>0</v>
      </c>
    </row>
    <row r="1254" spans="1:19" x14ac:dyDescent="0.2">
      <c r="A1254" s="54">
        <v>586447</v>
      </c>
      <c r="B1254" s="54" t="s">
        <v>705</v>
      </c>
      <c r="C1254" s="55">
        <v>1</v>
      </c>
      <c r="D1254" s="55">
        <v>1</v>
      </c>
      <c r="E1254" s="55">
        <v>4</v>
      </c>
      <c r="F1254" s="55">
        <v>0</v>
      </c>
      <c r="G1254" s="55">
        <v>0</v>
      </c>
      <c r="H1254" s="55">
        <v>0</v>
      </c>
      <c r="I1254" s="55">
        <v>0</v>
      </c>
      <c r="J1254" s="55">
        <v>0</v>
      </c>
      <c r="K1254" s="55">
        <v>0</v>
      </c>
      <c r="L1254" s="55">
        <v>0</v>
      </c>
      <c r="M1254" s="54" t="s">
        <v>30</v>
      </c>
      <c r="N1254" s="54" t="s">
        <v>1401</v>
      </c>
      <c r="O1254" s="54" t="s">
        <v>7</v>
      </c>
      <c r="P1254" s="54">
        <f t="shared" si="76"/>
        <v>0</v>
      </c>
      <c r="Q1254">
        <f t="shared" si="77"/>
        <v>0</v>
      </c>
      <c r="R1254">
        <f t="shared" si="78"/>
        <v>0</v>
      </c>
      <c r="S1254" t="b">
        <f t="shared" si="79"/>
        <v>0</v>
      </c>
    </row>
    <row r="1255" spans="1:19" x14ac:dyDescent="0.2">
      <c r="A1255" s="54">
        <v>586658</v>
      </c>
      <c r="B1255" s="54" t="s">
        <v>758</v>
      </c>
      <c r="C1255" s="55">
        <v>3</v>
      </c>
      <c r="D1255" s="55">
        <v>3</v>
      </c>
      <c r="E1255" s="55">
        <v>5</v>
      </c>
      <c r="F1255" s="55">
        <v>0</v>
      </c>
      <c r="G1255" s="55">
        <v>0</v>
      </c>
      <c r="H1255" s="55">
        <v>0</v>
      </c>
      <c r="I1255" s="55">
        <v>0</v>
      </c>
      <c r="J1255" s="55">
        <v>0</v>
      </c>
      <c r="K1255" s="55">
        <v>0</v>
      </c>
      <c r="L1255" s="55">
        <v>0</v>
      </c>
      <c r="M1255" s="54" t="s">
        <v>30</v>
      </c>
      <c r="N1255" s="54" t="s">
        <v>1401</v>
      </c>
      <c r="O1255" s="54" t="s">
        <v>7</v>
      </c>
      <c r="P1255" s="54">
        <f t="shared" si="76"/>
        <v>0</v>
      </c>
      <c r="Q1255">
        <f t="shared" si="77"/>
        <v>0</v>
      </c>
      <c r="R1255">
        <f t="shared" si="78"/>
        <v>0</v>
      </c>
      <c r="S1255" t="b">
        <f t="shared" si="79"/>
        <v>0</v>
      </c>
    </row>
    <row r="1256" spans="1:19" x14ac:dyDescent="0.2">
      <c r="A1256" s="54">
        <v>587054</v>
      </c>
      <c r="B1256" s="54" t="s">
        <v>1108</v>
      </c>
      <c r="C1256" s="55">
        <v>35</v>
      </c>
      <c r="D1256" s="55">
        <v>35</v>
      </c>
      <c r="E1256" s="55">
        <v>2</v>
      </c>
      <c r="F1256" s="55">
        <v>19</v>
      </c>
      <c r="G1256" s="55">
        <v>19</v>
      </c>
      <c r="H1256" s="55">
        <v>19</v>
      </c>
      <c r="I1256" s="55">
        <v>0.54</v>
      </c>
      <c r="J1256" s="55">
        <v>0.54</v>
      </c>
      <c r="K1256" s="55">
        <v>0.54</v>
      </c>
      <c r="L1256" s="55">
        <v>10</v>
      </c>
      <c r="M1256" s="54" t="s">
        <v>30</v>
      </c>
      <c r="N1256" s="54" t="s">
        <v>1401</v>
      </c>
      <c r="O1256" s="54" t="s">
        <v>7</v>
      </c>
      <c r="P1256" s="54">
        <f t="shared" si="76"/>
        <v>0</v>
      </c>
      <c r="Q1256">
        <f t="shared" si="77"/>
        <v>0</v>
      </c>
      <c r="R1256">
        <f t="shared" si="78"/>
        <v>0</v>
      </c>
      <c r="S1256" t="b">
        <f t="shared" si="79"/>
        <v>0</v>
      </c>
    </row>
    <row r="1257" spans="1:19" x14ac:dyDescent="0.2">
      <c r="A1257" s="54">
        <v>587055</v>
      </c>
      <c r="B1257" s="54" t="s">
        <v>693</v>
      </c>
      <c r="C1257" s="55">
        <v>1</v>
      </c>
      <c r="D1257" s="55">
        <v>8</v>
      </c>
      <c r="E1257" s="55">
        <v>2</v>
      </c>
      <c r="F1257" s="55">
        <v>14</v>
      </c>
      <c r="G1257" s="55">
        <v>14</v>
      </c>
      <c r="H1257" s="55">
        <v>14</v>
      </c>
      <c r="I1257" s="55">
        <v>1.75</v>
      </c>
      <c r="J1257" s="55">
        <v>1.75</v>
      </c>
      <c r="K1257" s="55">
        <v>1.75</v>
      </c>
      <c r="L1257" s="55">
        <v>0</v>
      </c>
      <c r="M1257" s="54" t="s">
        <v>30</v>
      </c>
      <c r="N1257" s="54" t="s">
        <v>1401</v>
      </c>
      <c r="O1257" s="54" t="s">
        <v>7</v>
      </c>
      <c r="P1257" s="54">
        <f t="shared" si="76"/>
        <v>1</v>
      </c>
      <c r="Q1257">
        <f t="shared" si="77"/>
        <v>0</v>
      </c>
      <c r="R1257">
        <f t="shared" si="78"/>
        <v>1</v>
      </c>
      <c r="S1257" t="b">
        <f t="shared" si="79"/>
        <v>0</v>
      </c>
    </row>
    <row r="1258" spans="1:19" x14ac:dyDescent="0.2">
      <c r="A1258" s="54">
        <v>587158</v>
      </c>
      <c r="B1258" s="54" t="s">
        <v>1306</v>
      </c>
      <c r="C1258" s="55">
        <v>0</v>
      </c>
      <c r="D1258" s="55">
        <v>50</v>
      </c>
      <c r="E1258" s="55">
        <v>1</v>
      </c>
      <c r="F1258" s="55">
        <v>0</v>
      </c>
      <c r="G1258" s="55">
        <v>0</v>
      </c>
      <c r="H1258" s="55">
        <v>0</v>
      </c>
      <c r="I1258" s="55">
        <v>0</v>
      </c>
      <c r="J1258" s="55">
        <v>0</v>
      </c>
      <c r="K1258" s="55">
        <v>0</v>
      </c>
      <c r="L1258" s="55">
        <v>0</v>
      </c>
      <c r="M1258" s="54" t="s">
        <v>30</v>
      </c>
      <c r="N1258" s="54" t="s">
        <v>1401</v>
      </c>
      <c r="O1258" s="54" t="s">
        <v>7</v>
      </c>
      <c r="P1258" s="54">
        <f t="shared" si="76"/>
        <v>0</v>
      </c>
      <c r="Q1258">
        <f t="shared" si="77"/>
        <v>0</v>
      </c>
      <c r="R1258">
        <f t="shared" si="78"/>
        <v>0</v>
      </c>
      <c r="S1258" t="b">
        <f t="shared" si="79"/>
        <v>0</v>
      </c>
    </row>
    <row r="1259" spans="1:19" x14ac:dyDescent="0.2">
      <c r="A1259" s="54">
        <v>591849</v>
      </c>
      <c r="B1259" s="54" t="s">
        <v>1309</v>
      </c>
      <c r="C1259" s="55">
        <v>0</v>
      </c>
      <c r="D1259" s="55">
        <v>4</v>
      </c>
      <c r="E1259" s="55">
        <v>2</v>
      </c>
      <c r="F1259" s="55">
        <v>0</v>
      </c>
      <c r="G1259" s="55">
        <v>0</v>
      </c>
      <c r="H1259" s="55">
        <v>0</v>
      </c>
      <c r="I1259" s="55">
        <v>0</v>
      </c>
      <c r="J1259" s="55">
        <v>0</v>
      </c>
      <c r="K1259" s="55">
        <v>0</v>
      </c>
      <c r="L1259" s="55">
        <v>0</v>
      </c>
      <c r="M1259" s="54" t="s">
        <v>30</v>
      </c>
      <c r="N1259" s="54" t="s">
        <v>1401</v>
      </c>
      <c r="O1259" s="54" t="s">
        <v>7</v>
      </c>
      <c r="P1259" s="54">
        <f t="shared" si="76"/>
        <v>0</v>
      </c>
      <c r="Q1259">
        <f t="shared" si="77"/>
        <v>0</v>
      </c>
      <c r="R1259">
        <f t="shared" si="78"/>
        <v>0</v>
      </c>
      <c r="S1259" t="b">
        <f t="shared" si="79"/>
        <v>0</v>
      </c>
    </row>
    <row r="1260" spans="1:19" x14ac:dyDescent="0.2">
      <c r="A1260" s="54">
        <v>595453</v>
      </c>
      <c r="B1260" s="54" t="s">
        <v>781</v>
      </c>
      <c r="C1260" s="55">
        <v>5</v>
      </c>
      <c r="D1260" s="55">
        <v>9</v>
      </c>
      <c r="E1260" s="55">
        <v>1</v>
      </c>
      <c r="F1260" s="55">
        <v>0</v>
      </c>
      <c r="G1260" s="55">
        <v>0</v>
      </c>
      <c r="H1260" s="55">
        <v>0</v>
      </c>
      <c r="I1260" s="55">
        <v>0</v>
      </c>
      <c r="J1260" s="55">
        <v>0</v>
      </c>
      <c r="K1260" s="55">
        <v>0</v>
      </c>
      <c r="L1260" s="55">
        <v>0</v>
      </c>
      <c r="M1260" s="54" t="s">
        <v>30</v>
      </c>
      <c r="N1260" s="54" t="s">
        <v>1401</v>
      </c>
      <c r="O1260" s="54" t="s">
        <v>7</v>
      </c>
      <c r="P1260" s="54">
        <f t="shared" si="76"/>
        <v>0</v>
      </c>
      <c r="Q1260">
        <f t="shared" si="77"/>
        <v>0</v>
      </c>
      <c r="R1260">
        <f t="shared" si="78"/>
        <v>0</v>
      </c>
      <c r="S1260" t="b">
        <f t="shared" si="79"/>
        <v>0</v>
      </c>
    </row>
    <row r="1261" spans="1:19" x14ac:dyDescent="0.2">
      <c r="A1261" s="54">
        <v>595748</v>
      </c>
      <c r="B1261" s="54" t="s">
        <v>698</v>
      </c>
      <c r="C1261" s="55">
        <v>1</v>
      </c>
      <c r="D1261" s="55">
        <v>1</v>
      </c>
      <c r="E1261" s="55">
        <v>3</v>
      </c>
      <c r="F1261" s="55">
        <v>5</v>
      </c>
      <c r="G1261" s="55">
        <v>5</v>
      </c>
      <c r="H1261" s="55">
        <v>0</v>
      </c>
      <c r="I1261" s="55">
        <v>5</v>
      </c>
      <c r="J1261" s="55">
        <v>5</v>
      </c>
      <c r="K1261" s="55">
        <v>0</v>
      </c>
      <c r="L1261" s="55">
        <v>0</v>
      </c>
      <c r="M1261" s="54" t="s">
        <v>30</v>
      </c>
      <c r="N1261" s="54" t="s">
        <v>1401</v>
      </c>
      <c r="O1261" s="54" t="s">
        <v>7</v>
      </c>
      <c r="P1261" s="54">
        <f t="shared" si="76"/>
        <v>1</v>
      </c>
      <c r="Q1261">
        <f t="shared" si="77"/>
        <v>1</v>
      </c>
      <c r="R1261">
        <f t="shared" si="78"/>
        <v>1</v>
      </c>
      <c r="S1261" t="b">
        <f t="shared" si="79"/>
        <v>0</v>
      </c>
    </row>
    <row r="1262" spans="1:19" x14ac:dyDescent="0.2">
      <c r="A1262" s="54">
        <v>600593</v>
      </c>
      <c r="B1262" s="54" t="s">
        <v>858</v>
      </c>
      <c r="C1262" s="55">
        <v>9</v>
      </c>
      <c r="D1262" s="55">
        <v>9</v>
      </c>
      <c r="E1262" s="55">
        <v>2</v>
      </c>
      <c r="F1262" s="55">
        <v>12</v>
      </c>
      <c r="G1262" s="55">
        <v>12</v>
      </c>
      <c r="H1262" s="55">
        <v>12</v>
      </c>
      <c r="I1262" s="55">
        <v>1.33</v>
      </c>
      <c r="J1262" s="55">
        <v>1.33</v>
      </c>
      <c r="K1262" s="55">
        <v>1.33</v>
      </c>
      <c r="L1262" s="55">
        <v>0</v>
      </c>
      <c r="M1262" s="54" t="s">
        <v>30</v>
      </c>
      <c r="N1262" s="54" t="s">
        <v>1401</v>
      </c>
      <c r="O1262" s="54" t="s">
        <v>7</v>
      </c>
      <c r="P1262" s="54">
        <f t="shared" si="76"/>
        <v>9</v>
      </c>
      <c r="Q1262">
        <f t="shared" si="77"/>
        <v>0</v>
      </c>
      <c r="R1262">
        <f t="shared" si="78"/>
        <v>9</v>
      </c>
      <c r="S1262" t="b">
        <f t="shared" si="79"/>
        <v>0</v>
      </c>
    </row>
    <row r="1263" spans="1:19" x14ac:dyDescent="0.2">
      <c r="A1263" s="54">
        <v>606973</v>
      </c>
      <c r="B1263" s="54" t="s">
        <v>1344</v>
      </c>
      <c r="C1263" s="55">
        <v>0</v>
      </c>
      <c r="D1263" s="55">
        <v>12</v>
      </c>
      <c r="E1263" s="55">
        <v>0</v>
      </c>
      <c r="F1263" s="55">
        <v>0</v>
      </c>
      <c r="G1263" s="55">
        <v>0</v>
      </c>
      <c r="H1263" s="55">
        <v>0</v>
      </c>
      <c r="I1263" s="55">
        <v>0</v>
      </c>
      <c r="J1263" s="55">
        <v>0</v>
      </c>
      <c r="K1263" s="55">
        <v>0</v>
      </c>
      <c r="L1263" s="55">
        <v>0</v>
      </c>
      <c r="M1263" s="54" t="s">
        <v>30</v>
      </c>
      <c r="N1263" s="54" t="s">
        <v>1401</v>
      </c>
      <c r="O1263" s="54" t="s">
        <v>7</v>
      </c>
      <c r="P1263" s="54">
        <f t="shared" si="76"/>
        <v>0</v>
      </c>
      <c r="Q1263">
        <f t="shared" si="77"/>
        <v>0</v>
      </c>
      <c r="R1263">
        <f t="shared" si="78"/>
        <v>0</v>
      </c>
      <c r="S1263" t="b">
        <f t="shared" si="79"/>
        <v>0</v>
      </c>
    </row>
    <row r="1264" spans="1:19" x14ac:dyDescent="0.2">
      <c r="A1264" s="54">
        <v>607152</v>
      </c>
      <c r="B1264" s="54" t="s">
        <v>716</v>
      </c>
      <c r="C1264" s="55">
        <v>2</v>
      </c>
      <c r="D1264" s="55">
        <v>2</v>
      </c>
      <c r="E1264" s="55">
        <v>1</v>
      </c>
      <c r="F1264" s="55">
        <v>0</v>
      </c>
      <c r="G1264" s="55">
        <v>0</v>
      </c>
      <c r="H1264" s="55">
        <v>0</v>
      </c>
      <c r="I1264" s="55">
        <v>0</v>
      </c>
      <c r="J1264" s="55">
        <v>0</v>
      </c>
      <c r="K1264" s="55">
        <v>0</v>
      </c>
      <c r="L1264" s="55">
        <v>0</v>
      </c>
      <c r="M1264" s="54" t="s">
        <v>30</v>
      </c>
      <c r="N1264" s="54" t="s">
        <v>1401</v>
      </c>
      <c r="O1264" s="54" t="s">
        <v>7</v>
      </c>
      <c r="P1264" s="54">
        <f t="shared" si="76"/>
        <v>0</v>
      </c>
      <c r="Q1264">
        <f t="shared" si="77"/>
        <v>0</v>
      </c>
      <c r="R1264">
        <f t="shared" si="78"/>
        <v>0</v>
      </c>
      <c r="S1264" t="b">
        <f t="shared" si="79"/>
        <v>0</v>
      </c>
    </row>
    <row r="1265" spans="1:19" x14ac:dyDescent="0.2">
      <c r="A1265" s="54">
        <v>607351</v>
      </c>
      <c r="B1265" s="54" t="s">
        <v>684</v>
      </c>
      <c r="C1265" s="55">
        <v>1</v>
      </c>
      <c r="D1265" s="55">
        <v>1</v>
      </c>
      <c r="E1265" s="55">
        <v>1</v>
      </c>
      <c r="F1265" s="55">
        <v>0</v>
      </c>
      <c r="G1265" s="55">
        <v>0</v>
      </c>
      <c r="H1265" s="55">
        <v>0</v>
      </c>
      <c r="I1265" s="55">
        <v>0</v>
      </c>
      <c r="J1265" s="55">
        <v>0</v>
      </c>
      <c r="K1265" s="55">
        <v>0</v>
      </c>
      <c r="L1265" s="55">
        <v>0</v>
      </c>
      <c r="M1265" s="54" t="s">
        <v>30</v>
      </c>
      <c r="N1265" s="54" t="s">
        <v>1401</v>
      </c>
      <c r="O1265" s="54" t="s">
        <v>7</v>
      </c>
      <c r="P1265" s="54">
        <f t="shared" si="76"/>
        <v>0</v>
      </c>
      <c r="Q1265">
        <f t="shared" si="77"/>
        <v>0</v>
      </c>
      <c r="R1265">
        <f t="shared" si="78"/>
        <v>0</v>
      </c>
      <c r="S1265" t="b">
        <f t="shared" si="79"/>
        <v>0</v>
      </c>
    </row>
    <row r="1266" spans="1:19" x14ac:dyDescent="0.2">
      <c r="A1266" s="54">
        <v>611350</v>
      </c>
      <c r="B1266" s="54" t="s">
        <v>1355</v>
      </c>
      <c r="C1266" s="55">
        <v>0</v>
      </c>
      <c r="D1266" s="55">
        <v>1</v>
      </c>
      <c r="E1266" s="55">
        <v>0</v>
      </c>
      <c r="F1266" s="55">
        <v>0</v>
      </c>
      <c r="G1266" s="55">
        <v>0</v>
      </c>
      <c r="H1266" s="55">
        <v>0</v>
      </c>
      <c r="I1266" s="55">
        <v>0</v>
      </c>
      <c r="J1266" s="55">
        <v>0</v>
      </c>
      <c r="K1266" s="55">
        <v>0</v>
      </c>
      <c r="L1266" s="55">
        <v>0</v>
      </c>
      <c r="M1266" s="54" t="s">
        <v>30</v>
      </c>
      <c r="N1266" s="54" t="s">
        <v>1401</v>
      </c>
      <c r="O1266" s="54" t="s">
        <v>7</v>
      </c>
      <c r="P1266" s="54">
        <f t="shared" si="76"/>
        <v>0</v>
      </c>
      <c r="Q1266">
        <f t="shared" si="77"/>
        <v>0</v>
      </c>
      <c r="R1266">
        <f t="shared" si="78"/>
        <v>0</v>
      </c>
      <c r="S1266" t="b">
        <f t="shared" si="79"/>
        <v>0</v>
      </c>
    </row>
    <row r="1267" spans="1:19" x14ac:dyDescent="0.2">
      <c r="A1267" s="54" t="s">
        <v>798</v>
      </c>
      <c r="B1267" s="54" t="s">
        <v>797</v>
      </c>
      <c r="C1267" s="55">
        <v>5</v>
      </c>
      <c r="D1267" s="55">
        <v>5</v>
      </c>
      <c r="E1267" s="55">
        <v>5</v>
      </c>
      <c r="F1267" s="55">
        <v>3</v>
      </c>
      <c r="G1267" s="55">
        <v>3</v>
      </c>
      <c r="H1267" s="55">
        <v>0</v>
      </c>
      <c r="I1267" s="55">
        <v>0.6</v>
      </c>
      <c r="J1267" s="55">
        <v>0.6</v>
      </c>
      <c r="K1267" s="55">
        <v>0</v>
      </c>
      <c r="L1267" s="55">
        <v>85</v>
      </c>
      <c r="M1267" s="54" t="s">
        <v>30</v>
      </c>
      <c r="N1267" s="54" t="s">
        <v>1401</v>
      </c>
      <c r="O1267" s="54" t="s">
        <v>7</v>
      </c>
      <c r="P1267" s="54">
        <f t="shared" si="76"/>
        <v>0</v>
      </c>
      <c r="Q1267">
        <f t="shared" si="77"/>
        <v>0</v>
      </c>
      <c r="R1267">
        <f t="shared" si="78"/>
        <v>0</v>
      </c>
      <c r="S1267" t="b">
        <f t="shared" si="79"/>
        <v>0</v>
      </c>
    </row>
    <row r="1268" spans="1:19" x14ac:dyDescent="0.2">
      <c r="A1268" s="54" t="s">
        <v>144</v>
      </c>
      <c r="B1268" s="54" t="s">
        <v>143</v>
      </c>
      <c r="C1268" s="55">
        <v>2119</v>
      </c>
      <c r="D1268" s="55">
        <v>750</v>
      </c>
      <c r="E1268" s="55">
        <v>7</v>
      </c>
      <c r="F1268" s="55">
        <v>366</v>
      </c>
      <c r="G1268" s="55">
        <v>366</v>
      </c>
      <c r="H1268" s="55">
        <v>208</v>
      </c>
      <c r="I1268" s="55">
        <v>0.49</v>
      </c>
      <c r="J1268" s="55">
        <v>0.49</v>
      </c>
      <c r="K1268" s="55">
        <v>0.28000000000000003</v>
      </c>
      <c r="L1268" s="55">
        <v>1969</v>
      </c>
      <c r="M1268" s="54" t="s">
        <v>43</v>
      </c>
      <c r="N1268" s="54" t="s">
        <v>1400</v>
      </c>
      <c r="O1268" s="54" t="s">
        <v>5</v>
      </c>
      <c r="P1268" s="54">
        <f t="shared" si="76"/>
        <v>0</v>
      </c>
      <c r="Q1268">
        <f t="shared" si="77"/>
        <v>0</v>
      </c>
      <c r="R1268">
        <f t="shared" si="78"/>
        <v>0</v>
      </c>
      <c r="S1268" t="b">
        <f t="shared" si="79"/>
        <v>0</v>
      </c>
    </row>
    <row r="1269" spans="1:19" x14ac:dyDescent="0.2">
      <c r="A1269" s="54" t="s">
        <v>131</v>
      </c>
      <c r="B1269" s="54" t="s">
        <v>130</v>
      </c>
      <c r="C1269" s="55">
        <v>322</v>
      </c>
      <c r="D1269" s="55">
        <v>155</v>
      </c>
      <c r="E1269" s="55">
        <v>17</v>
      </c>
      <c r="F1269" s="55">
        <v>742</v>
      </c>
      <c r="G1269" s="55">
        <v>52</v>
      </c>
      <c r="H1269" s="55">
        <v>30</v>
      </c>
      <c r="I1269" s="55">
        <v>4.79</v>
      </c>
      <c r="J1269" s="55">
        <v>0.34</v>
      </c>
      <c r="K1269" s="55">
        <v>0.19</v>
      </c>
      <c r="L1269" s="55">
        <v>125</v>
      </c>
      <c r="M1269" s="54" t="s">
        <v>45</v>
      </c>
      <c r="N1269" s="54" t="s">
        <v>47</v>
      </c>
      <c r="O1269" s="54" t="s">
        <v>6</v>
      </c>
      <c r="P1269" s="54">
        <f t="shared" si="76"/>
        <v>322</v>
      </c>
      <c r="Q1269">
        <f t="shared" si="77"/>
        <v>322</v>
      </c>
      <c r="R1269">
        <f t="shared" si="78"/>
        <v>0</v>
      </c>
      <c r="S1269" t="b">
        <f t="shared" si="79"/>
        <v>0</v>
      </c>
    </row>
    <row r="1270" spans="1:19" x14ac:dyDescent="0.2">
      <c r="A1270" s="54" t="s">
        <v>536</v>
      </c>
      <c r="B1270" s="54" t="s">
        <v>535</v>
      </c>
      <c r="C1270" s="55">
        <v>139</v>
      </c>
      <c r="D1270" s="55">
        <v>30</v>
      </c>
      <c r="E1270" s="55">
        <v>13</v>
      </c>
      <c r="F1270" s="55">
        <v>78</v>
      </c>
      <c r="G1270" s="55">
        <v>4</v>
      </c>
      <c r="H1270" s="55">
        <v>4</v>
      </c>
      <c r="I1270" s="55">
        <v>2.6</v>
      </c>
      <c r="J1270" s="55">
        <v>0.13</v>
      </c>
      <c r="K1270" s="55">
        <v>0.13</v>
      </c>
      <c r="L1270" s="55">
        <v>3</v>
      </c>
      <c r="M1270" s="54" t="s">
        <v>45</v>
      </c>
      <c r="N1270" s="54" t="s">
        <v>47</v>
      </c>
      <c r="O1270" s="54" t="s">
        <v>7</v>
      </c>
      <c r="P1270" s="54">
        <f t="shared" si="76"/>
        <v>139</v>
      </c>
      <c r="Q1270">
        <f t="shared" si="77"/>
        <v>139</v>
      </c>
      <c r="R1270">
        <f t="shared" si="78"/>
        <v>0</v>
      </c>
      <c r="S1270" t="b">
        <f t="shared" si="79"/>
        <v>0</v>
      </c>
    </row>
    <row r="1271" spans="1:19" x14ac:dyDescent="0.2">
      <c r="A1271" s="54" t="s">
        <v>1238</v>
      </c>
      <c r="B1271" s="54" t="s">
        <v>1237</v>
      </c>
      <c r="C1271" s="55">
        <v>125</v>
      </c>
      <c r="D1271" s="55">
        <v>50</v>
      </c>
      <c r="E1271" s="55">
        <v>2</v>
      </c>
      <c r="F1271" s="55">
        <v>9</v>
      </c>
      <c r="G1271" s="55">
        <v>9</v>
      </c>
      <c r="H1271" s="55">
        <v>9</v>
      </c>
      <c r="I1271" s="55">
        <v>0.18</v>
      </c>
      <c r="J1271" s="55">
        <v>0.18</v>
      </c>
      <c r="K1271" s="55">
        <v>0.18</v>
      </c>
      <c r="L1271" s="55">
        <v>24</v>
      </c>
      <c r="M1271" s="54" t="s">
        <v>30</v>
      </c>
      <c r="N1271" s="54" t="s">
        <v>1401</v>
      </c>
      <c r="O1271" s="54" t="s">
        <v>7</v>
      </c>
      <c r="P1271" s="54">
        <f t="shared" si="76"/>
        <v>0</v>
      </c>
      <c r="Q1271">
        <f t="shared" si="77"/>
        <v>0</v>
      </c>
      <c r="R1271">
        <f t="shared" si="78"/>
        <v>0</v>
      </c>
      <c r="S1271" t="b">
        <f t="shared" si="79"/>
        <v>0</v>
      </c>
    </row>
    <row r="1272" spans="1:19" x14ac:dyDescent="0.2">
      <c r="A1272" s="54" t="s">
        <v>299</v>
      </c>
      <c r="B1272" s="54" t="s">
        <v>298</v>
      </c>
      <c r="C1272" s="55">
        <v>1</v>
      </c>
      <c r="D1272" s="55">
        <v>57</v>
      </c>
      <c r="E1272" s="55">
        <v>31</v>
      </c>
      <c r="F1272" s="55">
        <v>155</v>
      </c>
      <c r="G1272" s="55">
        <v>67</v>
      </c>
      <c r="H1272" s="55">
        <v>0</v>
      </c>
      <c r="I1272" s="55">
        <v>2.72</v>
      </c>
      <c r="J1272" s="55">
        <v>1.18</v>
      </c>
      <c r="K1272" s="55">
        <v>0</v>
      </c>
      <c r="L1272" s="55">
        <v>24</v>
      </c>
      <c r="M1272" s="54" t="s">
        <v>47</v>
      </c>
      <c r="N1272" s="54" t="s">
        <v>47</v>
      </c>
      <c r="O1272" s="54" t="s">
        <v>7</v>
      </c>
      <c r="P1272" s="54">
        <f t="shared" si="76"/>
        <v>1</v>
      </c>
      <c r="Q1272">
        <f t="shared" si="77"/>
        <v>1</v>
      </c>
      <c r="R1272">
        <f t="shared" si="78"/>
        <v>1</v>
      </c>
      <c r="S1272" t="b">
        <f t="shared" si="79"/>
        <v>0</v>
      </c>
    </row>
    <row r="1273" spans="1:19" x14ac:dyDescent="0.2">
      <c r="A1273" s="54" t="s">
        <v>1210</v>
      </c>
      <c r="B1273" s="54" t="s">
        <v>1209</v>
      </c>
      <c r="C1273" s="55">
        <v>98</v>
      </c>
      <c r="D1273" s="55">
        <v>41</v>
      </c>
      <c r="E1273" s="55">
        <v>5</v>
      </c>
      <c r="F1273" s="55">
        <v>19</v>
      </c>
      <c r="G1273" s="55">
        <v>19</v>
      </c>
      <c r="H1273" s="55">
        <v>19</v>
      </c>
      <c r="I1273" s="55">
        <v>0.46</v>
      </c>
      <c r="J1273" s="55">
        <v>0.46</v>
      </c>
      <c r="K1273" s="55">
        <v>0.46</v>
      </c>
      <c r="L1273" s="55">
        <v>92</v>
      </c>
      <c r="M1273" s="54" t="s">
        <v>30</v>
      </c>
      <c r="N1273" s="54" t="s">
        <v>1401</v>
      </c>
      <c r="O1273" s="54" t="s">
        <v>7</v>
      </c>
      <c r="P1273" s="54">
        <f t="shared" si="76"/>
        <v>0</v>
      </c>
      <c r="Q1273">
        <f t="shared" si="77"/>
        <v>0</v>
      </c>
      <c r="R1273">
        <f t="shared" si="78"/>
        <v>0</v>
      </c>
      <c r="S1273" t="b">
        <f t="shared" si="79"/>
        <v>0</v>
      </c>
    </row>
    <row r="1274" spans="1:19" x14ac:dyDescent="0.2">
      <c r="A1274" s="54" t="s">
        <v>1202</v>
      </c>
      <c r="B1274" s="54" t="s">
        <v>1201</v>
      </c>
      <c r="C1274" s="55">
        <v>88</v>
      </c>
      <c r="D1274" s="55">
        <v>75</v>
      </c>
      <c r="E1274" s="55">
        <v>0</v>
      </c>
      <c r="F1274" s="55">
        <v>0</v>
      </c>
      <c r="G1274" s="55">
        <v>0</v>
      </c>
      <c r="H1274" s="55">
        <v>0</v>
      </c>
      <c r="I1274" s="55">
        <v>0</v>
      </c>
      <c r="J1274" s="55">
        <v>0</v>
      </c>
      <c r="K1274" s="55">
        <v>0</v>
      </c>
      <c r="L1274" s="55">
        <v>0</v>
      </c>
      <c r="M1274" s="54" t="s">
        <v>30</v>
      </c>
      <c r="N1274" s="54" t="s">
        <v>1401</v>
      </c>
      <c r="O1274" s="54" t="s">
        <v>7</v>
      </c>
      <c r="P1274" s="54">
        <f t="shared" si="76"/>
        <v>0</v>
      </c>
      <c r="Q1274">
        <f t="shared" si="77"/>
        <v>0</v>
      </c>
      <c r="R1274">
        <f t="shared" si="78"/>
        <v>0</v>
      </c>
      <c r="S1274" t="b">
        <f t="shared" si="79"/>
        <v>0</v>
      </c>
    </row>
    <row r="1275" spans="1:19" x14ac:dyDescent="0.2">
      <c r="A1275" s="54" t="s">
        <v>266</v>
      </c>
      <c r="B1275" s="54" t="s">
        <v>265</v>
      </c>
      <c r="C1275" s="55">
        <v>0</v>
      </c>
      <c r="D1275" s="55">
        <v>42</v>
      </c>
      <c r="E1275" s="55">
        <v>21</v>
      </c>
      <c r="F1275" s="55">
        <v>181</v>
      </c>
      <c r="G1275" s="55">
        <v>135</v>
      </c>
      <c r="H1275" s="55">
        <v>82</v>
      </c>
      <c r="I1275" s="55">
        <v>4.3099999999999996</v>
      </c>
      <c r="J1275" s="55">
        <v>3.21</v>
      </c>
      <c r="K1275" s="55">
        <v>1.95</v>
      </c>
      <c r="L1275" s="55">
        <v>0</v>
      </c>
      <c r="M1275" s="54" t="s">
        <v>45</v>
      </c>
      <c r="N1275" s="54" t="s">
        <v>47</v>
      </c>
      <c r="O1275" s="54" t="s">
        <v>7</v>
      </c>
      <c r="P1275" s="54">
        <f t="shared" si="76"/>
        <v>0</v>
      </c>
      <c r="Q1275">
        <f t="shared" si="77"/>
        <v>0</v>
      </c>
      <c r="R1275">
        <f t="shared" si="78"/>
        <v>0</v>
      </c>
      <c r="S1275" t="b">
        <f t="shared" si="79"/>
        <v>0</v>
      </c>
    </row>
    <row r="1276" spans="1:19" x14ac:dyDescent="0.2">
      <c r="A1276" s="54" t="s">
        <v>317</v>
      </c>
      <c r="B1276" s="54" t="s">
        <v>316</v>
      </c>
      <c r="C1276" s="55">
        <v>1800</v>
      </c>
      <c r="D1276" s="55">
        <v>280</v>
      </c>
      <c r="E1276" s="55">
        <v>16</v>
      </c>
      <c r="F1276" s="55">
        <v>125</v>
      </c>
      <c r="G1276" s="55">
        <v>68</v>
      </c>
      <c r="H1276" s="55">
        <v>53</v>
      </c>
      <c r="I1276" s="55">
        <v>0.45</v>
      </c>
      <c r="J1276" s="55">
        <v>0.24</v>
      </c>
      <c r="K1276" s="55">
        <v>0.19</v>
      </c>
      <c r="L1276" s="55">
        <v>9</v>
      </c>
      <c r="M1276" s="54" t="s">
        <v>45</v>
      </c>
      <c r="N1276" s="54" t="s">
        <v>47</v>
      </c>
      <c r="O1276" s="54" t="s">
        <v>6</v>
      </c>
      <c r="P1276" s="54">
        <f t="shared" si="76"/>
        <v>0</v>
      </c>
      <c r="Q1276">
        <f t="shared" si="77"/>
        <v>0</v>
      </c>
      <c r="R1276">
        <f t="shared" si="78"/>
        <v>0</v>
      </c>
      <c r="S1276" t="b">
        <f t="shared" si="79"/>
        <v>0</v>
      </c>
    </row>
    <row r="1277" spans="1:19" x14ac:dyDescent="0.2">
      <c r="A1277" s="54" t="s">
        <v>1295</v>
      </c>
      <c r="B1277" s="54" t="s">
        <v>1294</v>
      </c>
      <c r="C1277" s="55">
        <v>500</v>
      </c>
      <c r="D1277" s="55">
        <v>200</v>
      </c>
      <c r="E1277" s="55">
        <v>4</v>
      </c>
      <c r="F1277" s="55">
        <v>139</v>
      </c>
      <c r="G1277" s="55">
        <v>139</v>
      </c>
      <c r="H1277" s="55">
        <v>139</v>
      </c>
      <c r="I1277" s="55">
        <v>0.7</v>
      </c>
      <c r="J1277" s="55">
        <v>0.7</v>
      </c>
      <c r="K1277" s="55">
        <v>0.7</v>
      </c>
      <c r="L1277" s="55">
        <v>18</v>
      </c>
      <c r="M1277" s="54" t="s">
        <v>30</v>
      </c>
      <c r="N1277" s="54" t="s">
        <v>1401</v>
      </c>
      <c r="O1277" s="54" t="s">
        <v>6</v>
      </c>
      <c r="P1277" s="54">
        <f t="shared" si="76"/>
        <v>0</v>
      </c>
      <c r="Q1277">
        <f t="shared" si="77"/>
        <v>0</v>
      </c>
      <c r="R1277">
        <f t="shared" si="78"/>
        <v>0</v>
      </c>
      <c r="S1277" t="b">
        <f t="shared" si="79"/>
        <v>0</v>
      </c>
    </row>
    <row r="1278" spans="1:19" x14ac:dyDescent="0.2">
      <c r="A1278" s="54" t="s">
        <v>1336</v>
      </c>
      <c r="B1278" s="54" t="s">
        <v>1335</v>
      </c>
      <c r="C1278" s="55">
        <v>0</v>
      </c>
      <c r="D1278" s="55">
        <v>5</v>
      </c>
      <c r="E1278" s="55">
        <v>0</v>
      </c>
      <c r="F1278" s="55">
        <v>0</v>
      </c>
      <c r="G1278" s="55">
        <v>0</v>
      </c>
      <c r="H1278" s="55">
        <v>0</v>
      </c>
      <c r="I1278" s="55">
        <v>0</v>
      </c>
      <c r="J1278" s="55">
        <v>0</v>
      </c>
      <c r="K1278" s="55">
        <v>0</v>
      </c>
      <c r="L1278" s="55">
        <v>0</v>
      </c>
      <c r="M1278" s="54" t="s">
        <v>30</v>
      </c>
      <c r="N1278" s="54" t="s">
        <v>1401</v>
      </c>
      <c r="O1278" s="54" t="s">
        <v>7</v>
      </c>
      <c r="P1278" s="54">
        <f t="shared" si="76"/>
        <v>0</v>
      </c>
      <c r="Q1278">
        <f t="shared" si="77"/>
        <v>0</v>
      </c>
      <c r="R1278">
        <f t="shared" si="78"/>
        <v>0</v>
      </c>
      <c r="S1278" t="b">
        <f t="shared" si="79"/>
        <v>0</v>
      </c>
    </row>
    <row r="1279" spans="1:19" x14ac:dyDescent="0.2">
      <c r="A1279" s="54" t="s">
        <v>621</v>
      </c>
      <c r="B1279" s="54" t="s">
        <v>620</v>
      </c>
      <c r="C1279" s="55">
        <v>0</v>
      </c>
      <c r="D1279" s="55">
        <v>250</v>
      </c>
      <c r="E1279" s="55">
        <v>8</v>
      </c>
      <c r="F1279" s="55">
        <v>0</v>
      </c>
      <c r="G1279" s="55">
        <v>0</v>
      </c>
      <c r="H1279" s="55">
        <v>0</v>
      </c>
      <c r="I1279" s="55">
        <v>0</v>
      </c>
      <c r="J1279" s="55">
        <v>0</v>
      </c>
      <c r="K1279" s="55">
        <v>0</v>
      </c>
      <c r="L1279" s="55">
        <v>0</v>
      </c>
      <c r="M1279" s="54" t="s">
        <v>43</v>
      </c>
      <c r="N1279" s="54" t="s">
        <v>1400</v>
      </c>
      <c r="O1279" s="54" t="s">
        <v>6</v>
      </c>
      <c r="P1279" s="54">
        <f t="shared" si="76"/>
        <v>0</v>
      </c>
      <c r="Q1279">
        <f t="shared" si="77"/>
        <v>0</v>
      </c>
      <c r="R1279">
        <f t="shared" si="78"/>
        <v>0</v>
      </c>
      <c r="S1279" t="b">
        <f t="shared" si="79"/>
        <v>1</v>
      </c>
    </row>
    <row r="1280" spans="1:19" x14ac:dyDescent="0.2">
      <c r="A1280" s="54" t="s">
        <v>621</v>
      </c>
      <c r="B1280" s="54" t="s">
        <v>620</v>
      </c>
      <c r="C1280" s="55">
        <v>0</v>
      </c>
      <c r="D1280" s="55">
        <v>250</v>
      </c>
      <c r="E1280" s="55">
        <v>8</v>
      </c>
      <c r="F1280" s="55">
        <v>0</v>
      </c>
      <c r="G1280" s="55">
        <v>0</v>
      </c>
      <c r="H1280" s="55">
        <v>0</v>
      </c>
      <c r="I1280" s="55">
        <v>0</v>
      </c>
      <c r="J1280" s="55">
        <v>0</v>
      </c>
      <c r="K1280" s="55">
        <v>0</v>
      </c>
      <c r="L1280" s="55">
        <v>0</v>
      </c>
      <c r="M1280" s="54" t="s">
        <v>43</v>
      </c>
      <c r="N1280" s="54" t="s">
        <v>1400</v>
      </c>
      <c r="O1280" s="54" t="s">
        <v>6</v>
      </c>
      <c r="P1280" s="54">
        <f t="shared" si="76"/>
        <v>0</v>
      </c>
      <c r="Q1280">
        <f t="shared" si="77"/>
        <v>0</v>
      </c>
      <c r="R1280">
        <f t="shared" si="78"/>
        <v>0</v>
      </c>
      <c r="S1280" t="b">
        <f t="shared" si="79"/>
        <v>0</v>
      </c>
    </row>
    <row r="1281" spans="1:19" x14ac:dyDescent="0.2">
      <c r="A1281" s="54" t="s">
        <v>1153</v>
      </c>
      <c r="B1281" s="54" t="s">
        <v>1152</v>
      </c>
      <c r="C1281" s="55">
        <v>52</v>
      </c>
      <c r="D1281" s="55">
        <v>3</v>
      </c>
      <c r="E1281" s="55">
        <v>0</v>
      </c>
      <c r="F1281" s="55">
        <v>0</v>
      </c>
      <c r="G1281" s="55">
        <v>0</v>
      </c>
      <c r="H1281" s="55">
        <v>0</v>
      </c>
      <c r="I1281" s="55">
        <v>0</v>
      </c>
      <c r="J1281" s="55">
        <v>0</v>
      </c>
      <c r="K1281" s="55">
        <v>0</v>
      </c>
      <c r="L1281" s="55">
        <v>0</v>
      </c>
      <c r="M1281" s="54" t="s">
        <v>30</v>
      </c>
      <c r="N1281" s="54" t="s">
        <v>1401</v>
      </c>
      <c r="O1281" s="54" t="s">
        <v>7</v>
      </c>
      <c r="P1281" s="54">
        <f t="shared" si="76"/>
        <v>0</v>
      </c>
      <c r="Q1281">
        <f t="shared" si="77"/>
        <v>0</v>
      </c>
      <c r="R1281">
        <f t="shared" si="78"/>
        <v>0</v>
      </c>
      <c r="S1281" t="b">
        <f t="shared" si="79"/>
        <v>0</v>
      </c>
    </row>
    <row r="1282" spans="1:19" x14ac:dyDescent="0.2">
      <c r="A1282" s="54" t="s">
        <v>619</v>
      </c>
      <c r="B1282" s="54" t="s">
        <v>618</v>
      </c>
      <c r="C1282" s="55">
        <v>0</v>
      </c>
      <c r="D1282" s="55">
        <v>100</v>
      </c>
      <c r="E1282" s="55">
        <v>6</v>
      </c>
      <c r="F1282" s="55">
        <v>0</v>
      </c>
      <c r="G1282" s="55">
        <v>0</v>
      </c>
      <c r="H1282" s="55">
        <v>0</v>
      </c>
      <c r="I1282" s="55">
        <v>0</v>
      </c>
      <c r="J1282" s="55">
        <v>0</v>
      </c>
      <c r="K1282" s="55">
        <v>0</v>
      </c>
      <c r="L1282" s="55">
        <v>0</v>
      </c>
      <c r="M1282" s="54" t="s">
        <v>43</v>
      </c>
      <c r="N1282" s="54" t="s">
        <v>1400</v>
      </c>
      <c r="O1282" s="54" t="s">
        <v>6</v>
      </c>
      <c r="P1282" s="54">
        <f t="shared" si="76"/>
        <v>0</v>
      </c>
      <c r="Q1282">
        <f t="shared" si="77"/>
        <v>0</v>
      </c>
      <c r="R1282">
        <f t="shared" si="78"/>
        <v>0</v>
      </c>
      <c r="S1282" t="b">
        <f t="shared" si="79"/>
        <v>0</v>
      </c>
    </row>
    <row r="1283" spans="1:19" x14ac:dyDescent="0.2">
      <c r="A1283" s="54" t="s">
        <v>1305</v>
      </c>
      <c r="B1283" s="54" t="s">
        <v>1304</v>
      </c>
      <c r="C1283" s="55">
        <v>0</v>
      </c>
      <c r="D1283" s="55">
        <v>2</v>
      </c>
      <c r="E1283" s="55">
        <v>1</v>
      </c>
      <c r="F1283" s="55">
        <v>6</v>
      </c>
      <c r="G1283" s="55">
        <v>6</v>
      </c>
      <c r="H1283" s="55">
        <v>6</v>
      </c>
      <c r="I1283" s="55">
        <v>3</v>
      </c>
      <c r="J1283" s="55">
        <v>3</v>
      </c>
      <c r="K1283" s="55">
        <v>3</v>
      </c>
      <c r="L1283" s="55">
        <v>0</v>
      </c>
      <c r="M1283" s="54" t="s">
        <v>30</v>
      </c>
      <c r="N1283" s="54" t="s">
        <v>1401</v>
      </c>
      <c r="O1283" s="54" t="s">
        <v>7</v>
      </c>
      <c r="P1283" s="54">
        <f t="shared" si="76"/>
        <v>0</v>
      </c>
      <c r="Q1283">
        <f t="shared" si="77"/>
        <v>0</v>
      </c>
      <c r="R1283">
        <f t="shared" si="78"/>
        <v>0</v>
      </c>
      <c r="S1283" t="b">
        <f t="shared" ref="S1283:S1284" si="80">IF(A1283=A1284,TRUE,FALSE)</f>
        <v>0</v>
      </c>
    </row>
    <row r="1284" spans="1:19" x14ac:dyDescent="0.2">
      <c r="A1284" s="54" t="s">
        <v>355</v>
      </c>
      <c r="B1284" s="54" t="s">
        <v>354</v>
      </c>
      <c r="C1284" s="55">
        <v>10</v>
      </c>
      <c r="D1284" s="55">
        <v>2</v>
      </c>
      <c r="E1284" s="55">
        <v>13</v>
      </c>
      <c r="F1284" s="55">
        <v>3</v>
      </c>
      <c r="G1284" s="55">
        <v>1</v>
      </c>
      <c r="H1284" s="55">
        <v>0</v>
      </c>
      <c r="I1284" s="55">
        <v>1.5</v>
      </c>
      <c r="J1284" s="55">
        <v>0.5</v>
      </c>
      <c r="K1284" s="55">
        <v>0</v>
      </c>
      <c r="L1284" s="55">
        <v>2</v>
      </c>
      <c r="M1284" s="54" t="s">
        <v>45</v>
      </c>
      <c r="N1284" s="54" t="s">
        <v>47</v>
      </c>
      <c r="O1284" s="54" t="s">
        <v>7</v>
      </c>
      <c r="P1284" s="54">
        <f t="shared" si="76"/>
        <v>0</v>
      </c>
      <c r="Q1284">
        <f t="shared" si="77"/>
        <v>0</v>
      </c>
      <c r="R1284">
        <f t="shared" si="78"/>
        <v>0</v>
      </c>
      <c r="S1284" t="b">
        <f t="shared" si="80"/>
        <v>0</v>
      </c>
    </row>
  </sheetData>
  <autoFilter ref="A1:R1284" xr:uid="{00000000-0001-0000-0000-000000000000}">
    <sortState xmlns:xlrd2="http://schemas.microsoft.com/office/spreadsheetml/2017/richdata2" ref="A2:R1284">
      <sortCondition ref="A1:A1284"/>
    </sortState>
  </autoFilter>
  <sortState xmlns:xlrd2="http://schemas.microsoft.com/office/spreadsheetml/2017/richdata2" ref="A2:L611">
    <sortCondition descending="1" ref="C1:C611"/>
  </sortState>
  <conditionalFormatting sqref="F2:F1284">
    <cfRule type="cellIs" dxfId="12" priority="7" operator="greaterThanOrEqual">
      <formula>1000</formula>
    </cfRule>
  </conditionalFormatting>
  <conditionalFormatting sqref="G2:G1284">
    <cfRule type="cellIs" dxfId="11" priority="6" operator="greaterThanOrEqual">
      <formula>500</formula>
    </cfRule>
  </conditionalFormatting>
  <conditionalFormatting sqref="H2:H1284">
    <cfRule type="cellIs" dxfId="10" priority="5" operator="greaterThanOrEqual">
      <formula>300</formula>
    </cfRule>
  </conditionalFormatting>
  <conditionalFormatting sqref="I2:I1284">
    <cfRule type="cellIs" dxfId="9" priority="3" operator="lessThan">
      <formula>2</formula>
    </cfRule>
    <cfRule type="cellIs" dxfId="8" priority="4" operator="greaterThanOrEqual">
      <formula>2</formula>
    </cfRule>
  </conditionalFormatting>
  <conditionalFormatting sqref="J2:J1284">
    <cfRule type="cellIs" dxfId="7" priority="2" operator="greaterThanOrEqual">
      <formula>0.75</formula>
    </cfRule>
  </conditionalFormatting>
  <conditionalFormatting sqref="S2:S1284">
    <cfRule type="containsText" dxfId="6" priority="1" operator="containsText" text="true">
      <formula>NOT(ISERROR(SEARCH("true",S2)))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AA1838-D26E-4B90-AA5D-2A0F7BD1E65B}">
  <dimension ref="C2:V53"/>
  <sheetViews>
    <sheetView topLeftCell="C30" workbookViewId="0">
      <selection activeCell="N54" sqref="N54"/>
    </sheetView>
  </sheetViews>
  <sheetFormatPr baseColWidth="10" defaultColWidth="8.83203125" defaultRowHeight="15" x14ac:dyDescent="0.2"/>
  <cols>
    <col min="3" max="3" width="16.1640625" customWidth="1"/>
    <col min="4" max="4" width="11.6640625" bestFit="1" customWidth="1"/>
    <col min="5" max="5" width="22" bestFit="1" customWidth="1"/>
    <col min="6" max="6" width="13.5" bestFit="1" customWidth="1"/>
    <col min="7" max="7" width="8.1640625" bestFit="1" customWidth="1"/>
    <col min="8" max="8" width="9.1640625" bestFit="1" customWidth="1"/>
    <col min="9" max="12" width="2.33203125" bestFit="1" customWidth="1"/>
    <col min="13" max="14" width="21.5" customWidth="1"/>
    <col min="15" max="15" width="15.5" customWidth="1"/>
    <col min="16" max="16" width="15.5" bestFit="1" customWidth="1"/>
    <col min="17" max="17" width="3.33203125" bestFit="1" customWidth="1"/>
    <col min="18" max="18" width="60.5" customWidth="1"/>
    <col min="19" max="63" width="3.33203125" bestFit="1" customWidth="1"/>
    <col min="64" max="128" width="4.5" bestFit="1" customWidth="1"/>
    <col min="129" max="140" width="5.5" bestFit="1" customWidth="1"/>
    <col min="141" max="141" width="11.6640625" bestFit="1" customWidth="1"/>
  </cols>
  <sheetData>
    <row r="2" spans="3:13" ht="16" thickBot="1" x14ac:dyDescent="0.25"/>
    <row r="3" spans="3:13" x14ac:dyDescent="0.2">
      <c r="C3" s="181" t="s">
        <v>0</v>
      </c>
      <c r="D3" s="182"/>
      <c r="E3" s="182"/>
      <c r="F3" s="182"/>
      <c r="G3" s="182"/>
      <c r="H3" s="183"/>
    </row>
    <row r="4" spans="3:13" x14ac:dyDescent="0.2">
      <c r="C4" s="69" t="s">
        <v>29</v>
      </c>
      <c r="D4" s="69" t="s">
        <v>1</v>
      </c>
      <c r="E4" s="70" t="s">
        <v>1402</v>
      </c>
      <c r="F4" s="70" t="s">
        <v>2</v>
      </c>
      <c r="G4" s="56" t="s">
        <v>3</v>
      </c>
      <c r="H4" s="57" t="s">
        <v>4</v>
      </c>
    </row>
    <row r="5" spans="3:13" x14ac:dyDescent="0.2">
      <c r="C5" s="70" t="s">
        <v>43</v>
      </c>
      <c r="D5" s="70" t="s">
        <v>5</v>
      </c>
      <c r="E5" s="71">
        <v>16277</v>
      </c>
      <c r="F5" s="71">
        <v>37211</v>
      </c>
      <c r="G5" s="16">
        <f>F5/$F$17</f>
        <v>0.26317241184208667</v>
      </c>
      <c r="H5" s="15">
        <f>E5/F5</f>
        <v>0.43742441751095107</v>
      </c>
    </row>
    <row r="6" spans="3:13" x14ac:dyDescent="0.2">
      <c r="C6" s="70"/>
      <c r="D6" s="70" t="s">
        <v>6</v>
      </c>
      <c r="E6" s="71">
        <v>5858</v>
      </c>
      <c r="F6" s="71">
        <v>20115</v>
      </c>
      <c r="G6" s="16">
        <f t="shared" ref="G6:G17" si="0">F6/$F$17</f>
        <v>0.14226204789453584</v>
      </c>
      <c r="H6" s="15">
        <f t="shared" ref="H6:H16" si="1">E6/F6</f>
        <v>0.29122545364156105</v>
      </c>
      <c r="M6" s="17"/>
    </row>
    <row r="7" spans="3:13" x14ac:dyDescent="0.2">
      <c r="C7" s="70"/>
      <c r="D7" s="70" t="s">
        <v>7</v>
      </c>
      <c r="E7" s="71">
        <v>4286</v>
      </c>
      <c r="F7" s="71">
        <v>7549</v>
      </c>
      <c r="G7" s="16">
        <f t="shared" si="0"/>
        <v>5.3389818521295103E-2</v>
      </c>
      <c r="H7" s="15">
        <f t="shared" si="1"/>
        <v>0.56775731885017888</v>
      </c>
    </row>
    <row r="8" spans="3:13" x14ac:dyDescent="0.2">
      <c r="C8" s="70" t="s">
        <v>44</v>
      </c>
      <c r="D8" s="70"/>
      <c r="E8" s="71">
        <v>26421</v>
      </c>
      <c r="F8" s="71">
        <v>64875</v>
      </c>
      <c r="G8" s="40">
        <f t="shared" si="0"/>
        <v>0.45882427825791761</v>
      </c>
      <c r="H8" s="38">
        <f t="shared" si="1"/>
        <v>0.40726011560693642</v>
      </c>
    </row>
    <row r="9" spans="3:13" x14ac:dyDescent="0.2">
      <c r="C9" s="70" t="s">
        <v>45</v>
      </c>
      <c r="D9" s="70" t="s">
        <v>5</v>
      </c>
      <c r="E9" s="71">
        <v>4884</v>
      </c>
      <c r="F9" s="71">
        <v>18163</v>
      </c>
      <c r="G9" s="16">
        <f t="shared" si="0"/>
        <v>0.12845665304044018</v>
      </c>
      <c r="H9" s="15">
        <f t="shared" si="1"/>
        <v>0.26889830975059187</v>
      </c>
    </row>
    <row r="10" spans="3:13" x14ac:dyDescent="0.2">
      <c r="C10" s="70"/>
      <c r="D10" s="70" t="s">
        <v>6</v>
      </c>
      <c r="E10" s="71">
        <v>3912</v>
      </c>
      <c r="F10" s="71">
        <v>14030</v>
      </c>
      <c r="G10" s="16">
        <f t="shared" si="0"/>
        <v>9.9226275513812467E-2</v>
      </c>
      <c r="H10" s="15">
        <f t="shared" si="1"/>
        <v>0.27883107626514614</v>
      </c>
    </row>
    <row r="11" spans="3:13" x14ac:dyDescent="0.2">
      <c r="C11" s="70"/>
      <c r="D11" s="70" t="s">
        <v>7</v>
      </c>
      <c r="E11" s="71">
        <v>988</v>
      </c>
      <c r="F11" s="71">
        <v>2739</v>
      </c>
      <c r="G11" s="16">
        <f t="shared" si="0"/>
        <v>1.9371401898241793E-2</v>
      </c>
      <c r="H11" s="15">
        <f t="shared" si="1"/>
        <v>0.36071558963125228</v>
      </c>
    </row>
    <row r="12" spans="3:13" x14ac:dyDescent="0.2">
      <c r="C12" s="70" t="s">
        <v>46</v>
      </c>
      <c r="D12" s="70"/>
      <c r="E12" s="71">
        <v>9784</v>
      </c>
      <c r="F12" s="71">
        <v>34932</v>
      </c>
      <c r="G12" s="40">
        <f t="shared" si="0"/>
        <v>0.24705433045249445</v>
      </c>
      <c r="H12" s="38">
        <f t="shared" si="1"/>
        <v>0.28008702622237491</v>
      </c>
    </row>
    <row r="13" spans="3:13" x14ac:dyDescent="0.2">
      <c r="C13" s="70" t="s">
        <v>47</v>
      </c>
      <c r="D13" s="70" t="s">
        <v>5</v>
      </c>
      <c r="E13" s="71">
        <v>5758</v>
      </c>
      <c r="F13" s="71">
        <v>24130</v>
      </c>
      <c r="G13" s="16">
        <f>F13/$F$17</f>
        <v>0.17065787798633605</v>
      </c>
      <c r="H13" s="15">
        <f t="shared" si="1"/>
        <v>0.23862411935350186</v>
      </c>
    </row>
    <row r="14" spans="3:13" x14ac:dyDescent="0.2">
      <c r="C14" s="70"/>
      <c r="D14" s="70" t="s">
        <v>6</v>
      </c>
      <c r="E14" s="71">
        <v>2721</v>
      </c>
      <c r="F14" s="71">
        <v>15058</v>
      </c>
      <c r="G14" s="16">
        <f t="shared" si="0"/>
        <v>0.10649673960705547</v>
      </c>
      <c r="H14" s="15">
        <f t="shared" si="1"/>
        <v>0.18070128835170673</v>
      </c>
    </row>
    <row r="15" spans="3:13" x14ac:dyDescent="0.2">
      <c r="C15" s="70"/>
      <c r="D15" s="70" t="s">
        <v>7</v>
      </c>
      <c r="E15" s="71">
        <v>715</v>
      </c>
      <c r="F15" s="71">
        <v>2399</v>
      </c>
      <c r="G15" s="16">
        <f t="shared" si="0"/>
        <v>1.6966773696196445E-2</v>
      </c>
      <c r="H15" s="15">
        <f t="shared" si="1"/>
        <v>0.29804085035431432</v>
      </c>
    </row>
    <row r="16" spans="3:13" x14ac:dyDescent="0.2">
      <c r="C16" s="73" t="s">
        <v>20</v>
      </c>
      <c r="D16" s="73"/>
      <c r="E16" s="72">
        <v>9194</v>
      </c>
      <c r="F16" s="72">
        <v>41587</v>
      </c>
      <c r="G16" s="41">
        <f t="shared" si="0"/>
        <v>0.29412139128958797</v>
      </c>
      <c r="H16" s="39">
        <f t="shared" si="1"/>
        <v>0.2210787024791401</v>
      </c>
    </row>
    <row r="17" spans="3:22" x14ac:dyDescent="0.2">
      <c r="C17" s="70" t="s">
        <v>8</v>
      </c>
      <c r="D17" s="70"/>
      <c r="E17" s="71">
        <v>45399</v>
      </c>
      <c r="F17" s="71">
        <v>141394</v>
      </c>
      <c r="G17" s="19">
        <f t="shared" si="0"/>
        <v>1</v>
      </c>
      <c r="H17" s="50">
        <f>E17/F17</f>
        <v>0.32108151689604936</v>
      </c>
      <c r="M17" s="17"/>
    </row>
    <row r="21" spans="3:22" ht="16" x14ac:dyDescent="0.2">
      <c r="C21" s="145" t="s">
        <v>9</v>
      </c>
      <c r="D21" s="146"/>
      <c r="E21" s="146"/>
      <c r="F21" s="146"/>
      <c r="G21" s="146"/>
      <c r="H21" s="147"/>
      <c r="M21" s="148" t="s">
        <v>9</v>
      </c>
      <c r="N21" s="149"/>
    </row>
    <row r="22" spans="3:22" ht="16" x14ac:dyDescent="0.2">
      <c r="C22" s="152" t="s">
        <v>10</v>
      </c>
      <c r="D22" s="153"/>
      <c r="E22" s="25" t="s">
        <v>11</v>
      </c>
      <c r="F22" s="26" t="s">
        <v>2</v>
      </c>
      <c r="G22" s="27" t="s">
        <v>3</v>
      </c>
      <c r="H22" s="28" t="s">
        <v>4</v>
      </c>
      <c r="M22" s="150"/>
      <c r="N22" s="151"/>
    </row>
    <row r="23" spans="3:22" ht="16" x14ac:dyDescent="0.2">
      <c r="C23" s="154" t="s">
        <v>12</v>
      </c>
      <c r="D23" s="155"/>
      <c r="E23" s="31">
        <f>SUM(E24:E26)</f>
        <v>10021.549132947977</v>
      </c>
      <c r="F23" s="76">
        <v>40000</v>
      </c>
      <c r="G23" s="20">
        <f t="shared" ref="G23:G34" si="2">F23/$F$35</f>
        <v>0.22051446023572996</v>
      </c>
      <c r="H23" s="29">
        <f>E23/F23</f>
        <v>0.25053872832369944</v>
      </c>
      <c r="M23" s="142" t="s">
        <v>13</v>
      </c>
      <c r="N23" s="143"/>
      <c r="O23" s="91" t="s">
        <v>14</v>
      </c>
    </row>
    <row r="24" spans="3:22" x14ac:dyDescent="0.2">
      <c r="C24" s="131" t="s">
        <v>5</v>
      </c>
      <c r="D24" s="132"/>
      <c r="E24" s="17">
        <f>F24*N32</f>
        <v>5017.9576107899811</v>
      </c>
      <c r="F24" s="17">
        <f>$F$23*(F5/$F$8)</f>
        <v>22943.198458574181</v>
      </c>
      <c r="G24" s="37">
        <f t="shared" si="2"/>
        <v>0.12648267560434293</v>
      </c>
      <c r="H24" s="30">
        <f>E24/F24</f>
        <v>0.21871220875547553</v>
      </c>
      <c r="M24" s="21" t="s">
        <v>5</v>
      </c>
      <c r="N24" s="32">
        <v>0.8</v>
      </c>
      <c r="O24" s="169" t="s">
        <v>15</v>
      </c>
      <c r="P24" s="170"/>
      <c r="Q24" s="170"/>
      <c r="R24" s="170"/>
      <c r="S24" s="170"/>
      <c r="T24" s="170"/>
      <c r="U24" s="170"/>
      <c r="V24" s="170"/>
    </row>
    <row r="25" spans="3:22" x14ac:dyDescent="0.2">
      <c r="C25" s="131" t="s">
        <v>6</v>
      </c>
      <c r="D25" s="132"/>
      <c r="E25" s="17">
        <f t="shared" ref="E25:E26" si="3">F25*N33</f>
        <v>2889.4951830443165</v>
      </c>
      <c r="F25" s="17">
        <f>$F$23*(F6/$F$8)</f>
        <v>12402.312138728324</v>
      </c>
      <c r="G25" s="37">
        <f t="shared" si="2"/>
        <v>6.8372229173667948E-2</v>
      </c>
      <c r="H25" s="30">
        <f t="shared" ref="H25:H26" si="4">E25/F25</f>
        <v>0.23298036291324883</v>
      </c>
      <c r="M25" s="21" t="s">
        <v>6</v>
      </c>
      <c r="N25" s="32">
        <v>0.8</v>
      </c>
      <c r="O25" s="169"/>
      <c r="P25" s="170"/>
      <c r="Q25" s="170"/>
      <c r="R25" s="170"/>
      <c r="S25" s="170"/>
      <c r="T25" s="170"/>
      <c r="U25" s="170"/>
      <c r="V25" s="170"/>
    </row>
    <row r="26" spans="3:22" x14ac:dyDescent="0.2">
      <c r="C26" s="131" t="s">
        <v>7</v>
      </c>
      <c r="D26" s="132"/>
      <c r="E26" s="17">
        <f t="shared" si="3"/>
        <v>2114.0963391136802</v>
      </c>
      <c r="F26" s="17">
        <f>$F$23*(F7/$F$8)</f>
        <v>4654.4894026974953</v>
      </c>
      <c r="G26" s="37">
        <f t="shared" si="2"/>
        <v>2.5659555457719082E-2</v>
      </c>
      <c r="H26" s="30">
        <f t="shared" si="4"/>
        <v>0.45420585508014305</v>
      </c>
      <c r="M26" s="21" t="s">
        <v>7</v>
      </c>
      <c r="N26" s="32">
        <v>0.8</v>
      </c>
      <c r="O26" s="169"/>
      <c r="P26" s="170"/>
      <c r="Q26" s="170"/>
      <c r="R26" s="170"/>
      <c r="S26" s="170"/>
      <c r="T26" s="170"/>
      <c r="U26" s="170"/>
      <c r="V26" s="170"/>
    </row>
    <row r="27" spans="3:22" ht="16" x14ac:dyDescent="0.2">
      <c r="C27" s="140" t="s">
        <v>16</v>
      </c>
      <c r="D27" s="141"/>
      <c r="E27" s="31">
        <f>SUM(E28:E30)</f>
        <v>28223.15</v>
      </c>
      <c r="F27" s="31">
        <f>F8</f>
        <v>64875</v>
      </c>
      <c r="G27" s="20">
        <f t="shared" si="2"/>
        <v>0.35764689019482454</v>
      </c>
      <c r="H27" s="29">
        <f>E27/F27</f>
        <v>0.43503892100192681</v>
      </c>
      <c r="M27" s="142" t="s">
        <v>17</v>
      </c>
      <c r="N27" s="143"/>
      <c r="O27" s="91" t="s">
        <v>18</v>
      </c>
    </row>
    <row r="28" spans="3:22" x14ac:dyDescent="0.2">
      <c r="C28" s="131" t="s">
        <v>5</v>
      </c>
      <c r="D28" s="132"/>
      <c r="E28" s="17">
        <f>(E5*N24)+((F5-E5)*N28)</f>
        <v>15324.34</v>
      </c>
      <c r="F28" s="17">
        <f>F5</f>
        <v>37211</v>
      </c>
      <c r="G28" s="37">
        <f t="shared" si="2"/>
        <v>0.20513908949579368</v>
      </c>
      <c r="H28" s="30">
        <f>E28/F28</f>
        <v>0.41182284808255626</v>
      </c>
      <c r="M28" s="21" t="s">
        <v>5</v>
      </c>
      <c r="N28" s="32">
        <v>0.11</v>
      </c>
      <c r="O28" s="171" t="s">
        <v>19</v>
      </c>
      <c r="P28" s="172"/>
      <c r="Q28" s="172"/>
      <c r="R28" s="172"/>
      <c r="S28" s="172"/>
      <c r="T28" s="172"/>
      <c r="U28" s="172"/>
      <c r="V28" s="172"/>
    </row>
    <row r="29" spans="3:22" x14ac:dyDescent="0.2">
      <c r="C29" s="131" t="s">
        <v>6</v>
      </c>
      <c r="D29" s="132"/>
      <c r="E29" s="17">
        <f>(E6*N25)+((F6-E6)*N29)</f>
        <v>8393.2200000000012</v>
      </c>
      <c r="F29" s="17">
        <f>F6</f>
        <v>20115</v>
      </c>
      <c r="G29" s="37">
        <f t="shared" si="2"/>
        <v>0.1108912091910427</v>
      </c>
      <c r="H29" s="30">
        <f t="shared" ref="H29:H30" si="5">E29/F29</f>
        <v>0.41726174496644303</v>
      </c>
      <c r="M29" s="21" t="s">
        <v>6</v>
      </c>
      <c r="N29" s="32">
        <v>0.26</v>
      </c>
      <c r="O29" s="171"/>
      <c r="P29" s="172"/>
      <c r="Q29" s="172"/>
      <c r="R29" s="172"/>
      <c r="S29" s="172"/>
      <c r="T29" s="172"/>
      <c r="U29" s="172"/>
      <c r="V29" s="172"/>
    </row>
    <row r="30" spans="3:22" x14ac:dyDescent="0.2">
      <c r="C30" s="131" t="s">
        <v>7</v>
      </c>
      <c r="D30" s="132"/>
      <c r="E30" s="17">
        <f>(E7*N26)+((F7-E7)*N30)</f>
        <v>4505.59</v>
      </c>
      <c r="F30" s="17">
        <f>F7</f>
        <v>7549</v>
      </c>
      <c r="G30" s="37">
        <f t="shared" si="2"/>
        <v>4.1616591507988139E-2</v>
      </c>
      <c r="H30" s="30">
        <f t="shared" si="5"/>
        <v>0.59684593985958412</v>
      </c>
      <c r="M30" s="21" t="s">
        <v>7</v>
      </c>
      <c r="N30" s="32">
        <v>0.33</v>
      </c>
      <c r="O30" s="171"/>
      <c r="P30" s="172"/>
      <c r="Q30" s="172"/>
      <c r="R30" s="172"/>
      <c r="S30" s="172"/>
      <c r="T30" s="172"/>
      <c r="U30" s="172"/>
      <c r="V30" s="172"/>
    </row>
    <row r="31" spans="3:22" ht="16" x14ac:dyDescent="0.2">
      <c r="C31" s="140" t="s">
        <v>20</v>
      </c>
      <c r="D31" s="141"/>
      <c r="E31" s="31">
        <f>SUM(E32:E34)</f>
        <v>25635.860000000004</v>
      </c>
      <c r="F31" s="31">
        <f>F12+F16</f>
        <v>76519</v>
      </c>
      <c r="G31" s="20">
        <f t="shared" si="2"/>
        <v>0.4218386495694455</v>
      </c>
      <c r="H31" s="29">
        <f>E31/F31</f>
        <v>0.33502607195598483</v>
      </c>
      <c r="M31" s="142" t="s">
        <v>21</v>
      </c>
      <c r="N31" s="143"/>
      <c r="O31" s="91" t="s">
        <v>22</v>
      </c>
    </row>
    <row r="32" spans="3:22" x14ac:dyDescent="0.2">
      <c r="C32" s="131" t="s">
        <v>5</v>
      </c>
      <c r="D32" s="132"/>
      <c r="E32" s="17">
        <f>((E9+E13)*N24)+(((F9-E9)+(F13-E13))*N28)</f>
        <v>11995.210000000001</v>
      </c>
      <c r="F32" s="17">
        <f>F9+F13</f>
        <v>42293</v>
      </c>
      <c r="G32" s="37">
        <f t="shared" si="2"/>
        <v>0.23315545166874319</v>
      </c>
      <c r="H32" s="30">
        <f>E32/F32</f>
        <v>0.28362163951481334</v>
      </c>
      <c r="M32" s="21" t="s">
        <v>5</v>
      </c>
      <c r="N32" s="33">
        <f>H5*0.5</f>
        <v>0.21871220875547553</v>
      </c>
      <c r="O32" s="34">
        <f>(N32-$H$5)*100</f>
        <v>-21.871220875547554</v>
      </c>
      <c r="P32" t="s">
        <v>23</v>
      </c>
      <c r="Q32" s="34"/>
      <c r="R32" s="173" t="s">
        <v>1403</v>
      </c>
      <c r="S32" s="173"/>
      <c r="T32" s="173"/>
      <c r="U32" s="173"/>
      <c r="V32" s="173"/>
    </row>
    <row r="33" spans="3:22" x14ac:dyDescent="0.2">
      <c r="C33" s="131" t="s">
        <v>6</v>
      </c>
      <c r="D33" s="132"/>
      <c r="E33" s="17">
        <f t="shared" ref="E33:E34" si="6">((E10+E14)*N25)+(((F10-E10)+(F14-E14))*N29)</f>
        <v>11144.7</v>
      </c>
      <c r="F33" s="17">
        <f t="shared" ref="F33:F34" si="7">F10+F14</f>
        <v>29088</v>
      </c>
      <c r="G33" s="37">
        <f t="shared" si="2"/>
        <v>0.16035811548342283</v>
      </c>
      <c r="H33" s="30">
        <f t="shared" ref="H33:H34" si="8">E33/F33</f>
        <v>0.38313737623762378</v>
      </c>
      <c r="M33" s="21" t="s">
        <v>6</v>
      </c>
      <c r="N33" s="33">
        <f>H6*0.8</f>
        <v>0.23298036291324886</v>
      </c>
      <c r="O33" s="34">
        <f>(N33-$H$6)*100</f>
        <v>-5.8245090728312192</v>
      </c>
      <c r="P33" t="s">
        <v>23</v>
      </c>
      <c r="Q33" s="34"/>
      <c r="R33" s="42" t="s">
        <v>1404</v>
      </c>
      <c r="S33" s="43"/>
      <c r="T33" s="42"/>
      <c r="U33" s="43"/>
      <c r="V33" s="42"/>
    </row>
    <row r="34" spans="3:22" x14ac:dyDescent="0.2">
      <c r="C34" s="134" t="s">
        <v>7</v>
      </c>
      <c r="D34" s="135"/>
      <c r="E34" s="17">
        <f t="shared" si="6"/>
        <v>2495.9499999999998</v>
      </c>
      <c r="F34" s="17">
        <f t="shared" si="7"/>
        <v>5138</v>
      </c>
      <c r="G34" s="37">
        <f t="shared" si="2"/>
        <v>2.8325082417279514E-2</v>
      </c>
      <c r="H34" s="30">
        <f t="shared" si="8"/>
        <v>0.48578240560529384</v>
      </c>
      <c r="M34" s="35" t="s">
        <v>7</v>
      </c>
      <c r="N34" s="36">
        <f>H7*0.8</f>
        <v>0.45420585508014311</v>
      </c>
      <c r="O34" s="34">
        <f>(N34-$H$7)*100</f>
        <v>-11.355146377003578</v>
      </c>
      <c r="P34" t="s">
        <v>23</v>
      </c>
      <c r="Q34" s="34"/>
      <c r="R34" s="42" t="s">
        <v>1404</v>
      </c>
      <c r="S34" s="43"/>
      <c r="T34" s="42"/>
      <c r="U34" s="43"/>
      <c r="V34" s="42"/>
    </row>
    <row r="35" spans="3:22" ht="16" x14ac:dyDescent="0.2">
      <c r="C35" s="136" t="s">
        <v>8</v>
      </c>
      <c r="D35" s="137"/>
      <c r="E35" s="22">
        <f>SUM(E31+E27+E23)</f>
        <v>63880.559132947987</v>
      </c>
      <c r="F35" s="23">
        <f>F23+F27+F31</f>
        <v>181394</v>
      </c>
      <c r="G35" s="24">
        <f>F35/F35</f>
        <v>1</v>
      </c>
      <c r="H35" s="51">
        <f>E35/F35</f>
        <v>0.3521646754189664</v>
      </c>
    </row>
    <row r="39" spans="3:22" ht="16" x14ac:dyDescent="0.2">
      <c r="C39" s="145" t="s">
        <v>25</v>
      </c>
      <c r="D39" s="146"/>
      <c r="E39" s="146"/>
      <c r="F39" s="146"/>
      <c r="G39" s="146"/>
      <c r="H39" s="147"/>
      <c r="M39" s="148" t="s">
        <v>9</v>
      </c>
      <c r="N39" s="149"/>
    </row>
    <row r="40" spans="3:22" ht="16" x14ac:dyDescent="0.2">
      <c r="C40" s="152" t="s">
        <v>10</v>
      </c>
      <c r="D40" s="153"/>
      <c r="E40" s="25" t="s">
        <v>11</v>
      </c>
      <c r="F40" s="26" t="s">
        <v>2</v>
      </c>
      <c r="G40" s="27" t="s">
        <v>3</v>
      </c>
      <c r="H40" s="28" t="s">
        <v>4</v>
      </c>
      <c r="M40" s="150"/>
      <c r="N40" s="151"/>
    </row>
    <row r="41" spans="3:22" ht="16" x14ac:dyDescent="0.2">
      <c r="C41" s="154" t="s">
        <v>12</v>
      </c>
      <c r="D41" s="155"/>
      <c r="E41" s="31">
        <f>SUM(E42:E44)</f>
        <v>16290.404624277458</v>
      </c>
      <c r="F41" s="75">
        <f>F23</f>
        <v>40000</v>
      </c>
      <c r="G41" s="20">
        <f t="shared" ref="G41:G52" si="9">F41/$F$35</f>
        <v>0.22051446023572996</v>
      </c>
      <c r="H41" s="29">
        <f>E41/F41</f>
        <v>0.40726011560693648</v>
      </c>
      <c r="M41" s="142" t="s">
        <v>13</v>
      </c>
      <c r="N41" s="143"/>
      <c r="O41" s="91" t="s">
        <v>14</v>
      </c>
    </row>
    <row r="42" spans="3:22" ht="15" customHeight="1" x14ac:dyDescent="0.2">
      <c r="C42" s="131" t="s">
        <v>5</v>
      </c>
      <c r="D42" s="132"/>
      <c r="E42" s="17">
        <f>F42*N50</f>
        <v>10035.915221579962</v>
      </c>
      <c r="F42" s="17">
        <f>$F$41*(F5/$F$8)</f>
        <v>22943.198458574181</v>
      </c>
      <c r="G42" s="37">
        <f t="shared" si="9"/>
        <v>0.12648267560434293</v>
      </c>
      <c r="H42" s="30">
        <f>E42/F42</f>
        <v>0.43742441751095107</v>
      </c>
      <c r="M42" s="21" t="s">
        <v>5</v>
      </c>
      <c r="N42" s="32">
        <v>0.9</v>
      </c>
      <c r="O42" s="174" t="s">
        <v>26</v>
      </c>
      <c r="P42" s="173"/>
      <c r="Q42" s="173"/>
      <c r="R42" s="173"/>
      <c r="S42" s="173"/>
      <c r="T42" s="173"/>
      <c r="U42" s="173"/>
      <c r="V42" s="173"/>
    </row>
    <row r="43" spans="3:22" ht="15" customHeight="1" x14ac:dyDescent="0.2">
      <c r="C43" s="131" t="s">
        <v>6</v>
      </c>
      <c r="D43" s="132"/>
      <c r="E43" s="17">
        <f>F43*N51</f>
        <v>3611.8689788053957</v>
      </c>
      <c r="F43" s="17">
        <f t="shared" ref="F43:F44" si="10">$F$41*(F6/$F$8)</f>
        <v>12402.312138728324</v>
      </c>
      <c r="G43" s="37">
        <f t="shared" si="9"/>
        <v>6.8372229173667948E-2</v>
      </c>
      <c r="H43" s="30">
        <f t="shared" ref="H43:H44" si="11">E43/F43</f>
        <v>0.29122545364156105</v>
      </c>
      <c r="M43" s="21" t="s">
        <v>6</v>
      </c>
      <c r="N43" s="32">
        <v>0.9</v>
      </c>
      <c r="O43" s="174"/>
      <c r="P43" s="173"/>
      <c r="Q43" s="173"/>
      <c r="R43" s="173"/>
      <c r="S43" s="173"/>
      <c r="T43" s="173"/>
      <c r="U43" s="173"/>
      <c r="V43" s="173"/>
    </row>
    <row r="44" spans="3:22" ht="15" customHeight="1" x14ac:dyDescent="0.2">
      <c r="C44" s="131" t="s">
        <v>7</v>
      </c>
      <c r="D44" s="132"/>
      <c r="E44" s="17">
        <f>F44*N52</f>
        <v>2642.6204238921005</v>
      </c>
      <c r="F44" s="17">
        <f t="shared" si="10"/>
        <v>4654.4894026974953</v>
      </c>
      <c r="G44" s="37">
        <f t="shared" si="9"/>
        <v>2.5659555457719082E-2</v>
      </c>
      <c r="H44" s="30">
        <f t="shared" si="11"/>
        <v>0.56775731885017888</v>
      </c>
      <c r="M44" s="21" t="s">
        <v>7</v>
      </c>
      <c r="N44" s="32">
        <v>0.9</v>
      </c>
      <c r="O44" s="174"/>
      <c r="P44" s="173"/>
      <c r="Q44" s="173"/>
      <c r="R44" s="173"/>
      <c r="S44" s="173"/>
      <c r="T44" s="173"/>
      <c r="U44" s="173"/>
      <c r="V44" s="173"/>
    </row>
    <row r="45" spans="3:22" ht="16" x14ac:dyDescent="0.2">
      <c r="C45" s="140" t="s">
        <v>16</v>
      </c>
      <c r="D45" s="141"/>
      <c r="E45" s="31">
        <f>SUM(E46:E48)</f>
        <v>30865.25</v>
      </c>
      <c r="F45" s="31">
        <f>F8</f>
        <v>64875</v>
      </c>
      <c r="G45" s="20">
        <f t="shared" si="9"/>
        <v>0.35764689019482454</v>
      </c>
      <c r="H45" s="29">
        <f>E45/F45</f>
        <v>0.47576493256262042</v>
      </c>
      <c r="M45" s="142" t="s">
        <v>17</v>
      </c>
      <c r="N45" s="143"/>
      <c r="O45" s="91" t="s">
        <v>18</v>
      </c>
    </row>
    <row r="46" spans="3:22" x14ac:dyDescent="0.2">
      <c r="C46" s="131" t="s">
        <v>5</v>
      </c>
      <c r="D46" s="132"/>
      <c r="E46" s="17">
        <f>(E5*N42)+((F5-E5)*N46)</f>
        <v>16952.04</v>
      </c>
      <c r="F46" s="17">
        <f>F5</f>
        <v>37211</v>
      </c>
      <c r="G46" s="37">
        <f t="shared" si="9"/>
        <v>0.20513908949579368</v>
      </c>
      <c r="H46" s="30">
        <f>E46/F46</f>
        <v>0.45556528983365135</v>
      </c>
      <c r="M46" s="21" t="s">
        <v>5</v>
      </c>
      <c r="N46" s="32">
        <v>0.11</v>
      </c>
      <c r="O46" s="169" t="s">
        <v>27</v>
      </c>
      <c r="P46" s="170"/>
      <c r="Q46" s="170"/>
      <c r="R46" s="170"/>
      <c r="S46" s="170"/>
      <c r="T46" s="170"/>
      <c r="U46" s="170"/>
      <c r="V46" s="170"/>
    </row>
    <row r="47" spans="3:22" x14ac:dyDescent="0.2">
      <c r="C47" s="131" t="s">
        <v>6</v>
      </c>
      <c r="D47" s="132"/>
      <c r="E47" s="17">
        <f t="shared" ref="E47:E48" si="12">(E6*N43)+((F6-E6)*N47)</f>
        <v>8979.02</v>
      </c>
      <c r="F47" s="17">
        <f>F6</f>
        <v>20115</v>
      </c>
      <c r="G47" s="37">
        <f t="shared" si="9"/>
        <v>0.1108912091910427</v>
      </c>
      <c r="H47" s="30">
        <f t="shared" ref="H47:H48" si="13">E47/F47</f>
        <v>0.44638429033059907</v>
      </c>
      <c r="M47" s="21" t="s">
        <v>6</v>
      </c>
      <c r="N47" s="32">
        <v>0.26</v>
      </c>
      <c r="O47" s="169"/>
      <c r="P47" s="170"/>
      <c r="Q47" s="170"/>
      <c r="R47" s="170"/>
      <c r="S47" s="170"/>
      <c r="T47" s="170"/>
      <c r="U47" s="170"/>
      <c r="V47" s="170"/>
    </row>
    <row r="48" spans="3:22" x14ac:dyDescent="0.2">
      <c r="C48" s="131" t="s">
        <v>7</v>
      </c>
      <c r="D48" s="132"/>
      <c r="E48" s="17">
        <f t="shared" si="12"/>
        <v>4934.1900000000005</v>
      </c>
      <c r="F48" s="17">
        <f>F7</f>
        <v>7549</v>
      </c>
      <c r="G48" s="37">
        <f t="shared" si="9"/>
        <v>4.1616591507988139E-2</v>
      </c>
      <c r="H48" s="30">
        <f t="shared" si="13"/>
        <v>0.65362167174460195</v>
      </c>
      <c r="M48" s="21" t="s">
        <v>7</v>
      </c>
      <c r="N48" s="32">
        <v>0.33</v>
      </c>
      <c r="O48" s="169"/>
      <c r="P48" s="170"/>
      <c r="Q48" s="170"/>
      <c r="R48" s="170"/>
      <c r="S48" s="170"/>
      <c r="T48" s="170"/>
      <c r="U48" s="170"/>
      <c r="V48" s="170"/>
    </row>
    <row r="49" spans="3:22" ht="16" x14ac:dyDescent="0.2">
      <c r="C49" s="140" t="s">
        <v>20</v>
      </c>
      <c r="D49" s="141"/>
      <c r="E49" s="31">
        <f>SUM(E50:E52)</f>
        <v>27533.660000000003</v>
      </c>
      <c r="F49" s="31">
        <f>F12+F16</f>
        <v>76519</v>
      </c>
      <c r="G49" s="20">
        <f t="shared" si="9"/>
        <v>0.4218386495694455</v>
      </c>
      <c r="H49" s="29">
        <f>E49/F49</f>
        <v>0.35982775519805543</v>
      </c>
      <c r="M49" s="142" t="s">
        <v>21</v>
      </c>
      <c r="N49" s="143"/>
      <c r="O49" s="91" t="s">
        <v>22</v>
      </c>
    </row>
    <row r="50" spans="3:22" x14ac:dyDescent="0.2">
      <c r="C50" s="131" t="s">
        <v>5</v>
      </c>
      <c r="D50" s="132"/>
      <c r="E50" s="17">
        <f>((E9+E13)*N42)+(((F9-E9)+(F13-E13))*N46)</f>
        <v>13059.410000000002</v>
      </c>
      <c r="F50" s="17">
        <f>F9+F13</f>
        <v>42293</v>
      </c>
      <c r="G50" s="37">
        <f t="shared" si="9"/>
        <v>0.23315545166874319</v>
      </c>
      <c r="H50" s="30">
        <f>E50/F50</f>
        <v>0.30878419596623558</v>
      </c>
      <c r="M50" s="21" t="s">
        <v>5</v>
      </c>
      <c r="N50" s="33">
        <f>H5</f>
        <v>0.43742441751095107</v>
      </c>
      <c r="O50" s="34">
        <f>(N50-$H$5)*100</f>
        <v>0</v>
      </c>
      <c r="P50" t="s">
        <v>23</v>
      </c>
      <c r="Q50" s="34"/>
      <c r="R50" s="173" t="s">
        <v>1405</v>
      </c>
      <c r="S50" s="173"/>
      <c r="T50" s="173"/>
      <c r="U50" s="173"/>
      <c r="V50" s="173"/>
    </row>
    <row r="51" spans="3:22" x14ac:dyDescent="0.2">
      <c r="C51" s="131" t="s">
        <v>6</v>
      </c>
      <c r="D51" s="132"/>
      <c r="E51" s="17">
        <f t="shared" ref="E51:E52" si="14">((E10+E14)*N43)+(((F10-E10)+(F14-E14))*N47)</f>
        <v>11808</v>
      </c>
      <c r="F51" s="17">
        <f t="shared" ref="F51:F52" si="15">F10+F14</f>
        <v>29088</v>
      </c>
      <c r="G51" s="37">
        <f t="shared" si="9"/>
        <v>0.16035811548342283</v>
      </c>
      <c r="H51" s="30">
        <f t="shared" ref="H51:H52" si="16">E51/F51</f>
        <v>0.40594059405940597</v>
      </c>
      <c r="M51" s="21" t="s">
        <v>6</v>
      </c>
      <c r="N51" s="33">
        <f>H6</f>
        <v>0.29122545364156105</v>
      </c>
      <c r="O51" s="34">
        <f>(N51-$H$6)*100</f>
        <v>0</v>
      </c>
      <c r="P51" t="s">
        <v>23</v>
      </c>
      <c r="Q51" s="34"/>
      <c r="R51" s="173"/>
      <c r="S51" s="173"/>
      <c r="T51" s="173"/>
      <c r="U51" s="173"/>
      <c r="V51" s="173"/>
    </row>
    <row r="52" spans="3:22" x14ac:dyDescent="0.2">
      <c r="C52" s="134" t="s">
        <v>7</v>
      </c>
      <c r="D52" s="135"/>
      <c r="E52" s="17">
        <f t="shared" si="14"/>
        <v>2666.25</v>
      </c>
      <c r="F52" s="17">
        <f t="shared" si="15"/>
        <v>5138</v>
      </c>
      <c r="G52" s="37">
        <f t="shared" si="9"/>
        <v>2.8325082417279514E-2</v>
      </c>
      <c r="H52" s="30">
        <f t="shared" si="16"/>
        <v>0.51892759828727131</v>
      </c>
      <c r="M52" s="35" t="s">
        <v>7</v>
      </c>
      <c r="N52" s="36">
        <f>H7</f>
        <v>0.56775731885017888</v>
      </c>
      <c r="O52" s="34">
        <f>(N52-$H$7)*100</f>
        <v>0</v>
      </c>
      <c r="P52" t="s">
        <v>23</v>
      </c>
      <c r="Q52" s="34"/>
      <c r="R52" s="173"/>
      <c r="S52" s="173"/>
      <c r="T52" s="173"/>
      <c r="U52" s="173"/>
      <c r="V52" s="173"/>
    </row>
    <row r="53" spans="3:22" ht="16" x14ac:dyDescent="0.2">
      <c r="C53" s="136" t="s">
        <v>8</v>
      </c>
      <c r="D53" s="137"/>
      <c r="E53" s="22">
        <f>SUM(E49+E45+E41)</f>
        <v>74689.314624277467</v>
      </c>
      <c r="F53" s="23">
        <f>F41+F45+F49</f>
        <v>181394</v>
      </c>
      <c r="G53" s="24">
        <f>F53/F53</f>
        <v>1</v>
      </c>
      <c r="H53" s="51">
        <f>E53/F53</f>
        <v>0.41175184749372895</v>
      </c>
    </row>
  </sheetData>
  <mergeCells count="45">
    <mergeCell ref="C29:D29"/>
    <mergeCell ref="C3:H3"/>
    <mergeCell ref="C21:H21"/>
    <mergeCell ref="C22:D22"/>
    <mergeCell ref="C23:D23"/>
    <mergeCell ref="C24:D24"/>
    <mergeCell ref="C25:D25"/>
    <mergeCell ref="C26:D26"/>
    <mergeCell ref="C27:D27"/>
    <mergeCell ref="C28:D28"/>
    <mergeCell ref="M31:N31"/>
    <mergeCell ref="C30:D30"/>
    <mergeCell ref="C31:D31"/>
    <mergeCell ref="C32:D32"/>
    <mergeCell ref="C33:D33"/>
    <mergeCell ref="M21:N22"/>
    <mergeCell ref="M23:N23"/>
    <mergeCell ref="O24:V26"/>
    <mergeCell ref="M27:N27"/>
    <mergeCell ref="O28:V30"/>
    <mergeCell ref="R32:V32"/>
    <mergeCell ref="C39:H39"/>
    <mergeCell ref="M39:N40"/>
    <mergeCell ref="C40:D40"/>
    <mergeCell ref="C41:D41"/>
    <mergeCell ref="M41:N41"/>
    <mergeCell ref="C34:D34"/>
    <mergeCell ref="C35:D35"/>
    <mergeCell ref="C42:D42"/>
    <mergeCell ref="O42:V44"/>
    <mergeCell ref="C43:D43"/>
    <mergeCell ref="C44:D44"/>
    <mergeCell ref="C45:D45"/>
    <mergeCell ref="M45:N45"/>
    <mergeCell ref="C46:D46"/>
    <mergeCell ref="O46:V48"/>
    <mergeCell ref="C47:D47"/>
    <mergeCell ref="C48:D48"/>
    <mergeCell ref="C49:D49"/>
    <mergeCell ref="M49:N49"/>
    <mergeCell ref="C50:D50"/>
    <mergeCell ref="C51:D51"/>
    <mergeCell ref="C52:D52"/>
    <mergeCell ref="C53:D53"/>
    <mergeCell ref="R50:V52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DA3F35-3657-4E57-84C5-B8BAC9806D30}">
  <dimension ref="A1:P611"/>
  <sheetViews>
    <sheetView workbookViewId="0">
      <selection activeCell="E18" sqref="E18"/>
    </sheetView>
  </sheetViews>
  <sheetFormatPr baseColWidth="10" defaultColWidth="8.83203125" defaultRowHeight="15" x14ac:dyDescent="0.2"/>
  <cols>
    <col min="1" max="1" width="10.33203125" bestFit="1" customWidth="1"/>
    <col min="2" max="2" width="44.1640625" bestFit="1" customWidth="1"/>
    <col min="3" max="3" width="9.83203125" style="2" bestFit="1" customWidth="1"/>
    <col min="4" max="4" width="10.6640625" style="2" bestFit="1" customWidth="1"/>
    <col min="5" max="5" width="14.5" style="2" bestFit="1" customWidth="1"/>
    <col min="6" max="6" width="18.6640625" style="2" bestFit="1" customWidth="1"/>
    <col min="7" max="9" width="17.6640625" style="2" bestFit="1" customWidth="1"/>
    <col min="10" max="11" width="16.6640625" style="2" bestFit="1" customWidth="1"/>
    <col min="12" max="12" width="21.83203125" style="2" bestFit="1" customWidth="1"/>
    <col min="13" max="13" width="13.5" bestFit="1" customWidth="1"/>
    <col min="14" max="14" width="13.5" customWidth="1"/>
    <col min="15" max="15" width="9.1640625" bestFit="1" customWidth="1"/>
    <col min="16" max="16" width="15.5" bestFit="1" customWidth="1"/>
  </cols>
  <sheetData>
    <row r="1" spans="1:16" x14ac:dyDescent="0.2">
      <c r="A1" s="83" t="s">
        <v>57</v>
      </c>
      <c r="B1" s="83" t="s">
        <v>56</v>
      </c>
      <c r="C1" s="84" t="s">
        <v>58</v>
      </c>
      <c r="D1" s="84" t="s">
        <v>59</v>
      </c>
      <c r="E1" s="84" t="s">
        <v>60</v>
      </c>
      <c r="F1" s="84" t="s">
        <v>1389</v>
      </c>
      <c r="G1" s="84" t="s">
        <v>1390</v>
      </c>
      <c r="H1" s="84" t="s">
        <v>1391</v>
      </c>
      <c r="I1" s="84" t="s">
        <v>1392</v>
      </c>
      <c r="J1" s="84" t="s">
        <v>1393</v>
      </c>
      <c r="K1" s="84" t="s">
        <v>1394</v>
      </c>
      <c r="L1" s="84" t="s">
        <v>1395</v>
      </c>
      <c r="M1" s="84" t="s">
        <v>29</v>
      </c>
      <c r="N1" s="84" t="s">
        <v>1396</v>
      </c>
      <c r="O1" s="84" t="s">
        <v>1</v>
      </c>
      <c r="P1" s="84" t="s">
        <v>11</v>
      </c>
    </row>
    <row r="2" spans="1:16" x14ac:dyDescent="0.2">
      <c r="A2" s="12">
        <v>114601</v>
      </c>
      <c r="B2" s="12" t="s">
        <v>64</v>
      </c>
      <c r="C2" s="13">
        <v>2194</v>
      </c>
      <c r="D2" s="13">
        <v>1703</v>
      </c>
      <c r="E2" s="13">
        <v>10</v>
      </c>
      <c r="F2" s="13">
        <v>5270</v>
      </c>
      <c r="G2" s="13">
        <v>4598</v>
      </c>
      <c r="H2" s="13">
        <v>1829</v>
      </c>
      <c r="I2" s="14">
        <v>3.0945390487375199</v>
      </c>
      <c r="J2" s="14">
        <v>2.699941280093952</v>
      </c>
      <c r="K2" s="14">
        <v>1.0739870816206689</v>
      </c>
      <c r="L2" s="13">
        <v>7055</v>
      </c>
      <c r="M2" t="str" cm="1">
        <f t="array" ref="M2">_xlfn.IFS(E2&lt;6, "0-6 Months", E2&lt;=12, "6-12 Months", E2&lt;=24, "12-24 Months", E2&gt;24, "24+ Months")</f>
        <v>6-12 Months</v>
      </c>
      <c r="N2" t="str" cm="1">
        <f t="array" ref="N2">_xlfn.IFS(E2&lt;6, "12-18 Months", E2&lt;=12, "18-24 Months", E2&lt;=24, "24+ Months", E2&gt;24, "24+ Months")</f>
        <v>18-24 Months</v>
      </c>
      <c r="O2" t="str" cm="1">
        <f t="array" ref="O2">_xlfn.IFS(D2&gt;=550, "Major", D2 &gt;= 100, "T1200", D2 &lt;100, "Other")</f>
        <v>Major</v>
      </c>
      <c r="P2">
        <f t="shared" ref="P2:P65" si="0">SUMPRODUCT((I2&gt;=2) * C2 + ((D2&gt;=550) * (J2&gt;=0.75) * (I2&lt;2) * C2))</f>
        <v>2194</v>
      </c>
    </row>
    <row r="3" spans="1:16" x14ac:dyDescent="0.2">
      <c r="A3" s="12">
        <v>105469</v>
      </c>
      <c r="B3" s="12" t="s">
        <v>81</v>
      </c>
      <c r="C3" s="13">
        <v>950</v>
      </c>
      <c r="D3" s="13">
        <v>1000</v>
      </c>
      <c r="E3" s="13">
        <v>10</v>
      </c>
      <c r="F3" s="13">
        <v>5114</v>
      </c>
      <c r="G3" s="13">
        <v>664</v>
      </c>
      <c r="H3" s="13">
        <v>211</v>
      </c>
      <c r="I3" s="14">
        <v>5.1139999999999999</v>
      </c>
      <c r="J3" s="14">
        <v>0.66400000000000003</v>
      </c>
      <c r="K3" s="14">
        <v>0.21099999999999999</v>
      </c>
      <c r="L3" s="13">
        <v>20</v>
      </c>
      <c r="M3" t="str" cm="1">
        <f t="array" ref="M3">_xlfn.IFS(E3&lt;6, "0-6 Months", E3&lt;=12, "6-12 Months", E3&lt;=24, "12-24 Months", E3&gt;24, "24+ Months")</f>
        <v>6-12 Months</v>
      </c>
      <c r="N3" t="str" cm="1">
        <f t="array" ref="N3">_xlfn.IFS(E3&lt;6, "12-18 Months", E3&lt;=12, "18-24 Months", E3&lt;=24, "24+ Months", E3&gt;24, "24+ Months")</f>
        <v>18-24 Months</v>
      </c>
      <c r="O3" t="str" cm="1">
        <f t="array" ref="O3">_xlfn.IFS(D3&gt;=550, "Major", D3 &gt;= 100, "T1200", D3 &lt;100, "Other")</f>
        <v>Major</v>
      </c>
      <c r="P3">
        <f t="shared" si="0"/>
        <v>950</v>
      </c>
    </row>
    <row r="4" spans="1:16" x14ac:dyDescent="0.2">
      <c r="A4" s="12">
        <v>105785</v>
      </c>
      <c r="B4" s="12" t="s">
        <v>75</v>
      </c>
      <c r="C4" s="13">
        <v>1993</v>
      </c>
      <c r="D4" s="13">
        <v>3486</v>
      </c>
      <c r="E4" s="13">
        <v>45</v>
      </c>
      <c r="F4" s="13">
        <v>4534</v>
      </c>
      <c r="G4" s="13">
        <v>4054</v>
      </c>
      <c r="H4" s="13">
        <v>2890</v>
      </c>
      <c r="I4" s="14">
        <v>1.300631095811819</v>
      </c>
      <c r="J4" s="14">
        <v>1.1629374641422829</v>
      </c>
      <c r="K4" s="14">
        <v>0.8290304073436604</v>
      </c>
      <c r="L4" s="13">
        <v>114</v>
      </c>
      <c r="M4" t="str" cm="1">
        <f t="array" ref="M4">_xlfn.IFS(E4&lt;6, "0-6 Months", E4&lt;=12, "6-12 Months", E4&lt;=24, "12-24 Months", E4&gt;24, "24+ Months")</f>
        <v>24+ Months</v>
      </c>
      <c r="N4" t="str" cm="1">
        <f t="array" ref="N4">_xlfn.IFS(E4&lt;6, "12-18 Months", E4&lt;=12, "18-24 Months", E4&lt;=24, "24+ Months", E4&gt;24, "24+ Months")</f>
        <v>24+ Months</v>
      </c>
      <c r="O4" t="str" cm="1">
        <f t="array" ref="O4">_xlfn.IFS(D4&gt;=550, "Major", D4 &gt;= 100, "T1200", D4 &lt;100, "Other")</f>
        <v>Major</v>
      </c>
      <c r="P4">
        <f t="shared" si="0"/>
        <v>1993</v>
      </c>
    </row>
    <row r="5" spans="1:16" x14ac:dyDescent="0.2">
      <c r="A5" s="12">
        <v>114073</v>
      </c>
      <c r="B5" s="12" t="s">
        <v>73</v>
      </c>
      <c r="C5" s="13">
        <v>1328</v>
      </c>
      <c r="D5" s="13">
        <v>2750</v>
      </c>
      <c r="E5" s="13">
        <v>12</v>
      </c>
      <c r="F5" s="13">
        <v>4255</v>
      </c>
      <c r="G5" s="13">
        <v>3335</v>
      </c>
      <c r="H5" s="13">
        <v>2387</v>
      </c>
      <c r="I5" s="14">
        <v>1.5472727272727269</v>
      </c>
      <c r="J5" s="14">
        <v>1.2127272727272731</v>
      </c>
      <c r="K5" s="14">
        <v>0.86799999999999999</v>
      </c>
      <c r="L5" s="13">
        <v>174</v>
      </c>
      <c r="M5" t="str" cm="1">
        <f t="array" ref="M5">_xlfn.IFS(E5&lt;6, "0-6 Months", E5&lt;=12, "6-12 Months", E5&lt;=24, "12-24 Months", E5&gt;24, "24+ Months")</f>
        <v>6-12 Months</v>
      </c>
      <c r="N5" t="str" cm="1">
        <f t="array" ref="N5">_xlfn.IFS(E5&lt;6, "12-18 Months", E5&lt;=12, "18-24 Months", E5&lt;=24, "24+ Months", E5&gt;24, "24+ Months")</f>
        <v>18-24 Months</v>
      </c>
      <c r="O5" t="str" cm="1">
        <f t="array" ref="O5">_xlfn.IFS(D5&gt;=550, "Major", D5 &gt;= 100, "T1200", D5 &lt;100, "Other")</f>
        <v>Major</v>
      </c>
      <c r="P5">
        <f t="shared" si="0"/>
        <v>1328</v>
      </c>
    </row>
    <row r="6" spans="1:16" x14ac:dyDescent="0.2">
      <c r="A6" s="12">
        <v>116660</v>
      </c>
      <c r="B6" s="12" t="s">
        <v>65</v>
      </c>
      <c r="C6" s="13">
        <v>1335</v>
      </c>
      <c r="D6" s="13">
        <v>1300</v>
      </c>
      <c r="E6" s="13">
        <v>10</v>
      </c>
      <c r="F6" s="13">
        <v>3299</v>
      </c>
      <c r="G6" s="13">
        <v>2288</v>
      </c>
      <c r="H6" s="13">
        <v>347</v>
      </c>
      <c r="I6" s="14">
        <v>2.5376923076923079</v>
      </c>
      <c r="J6" s="14">
        <v>1.76</v>
      </c>
      <c r="K6" s="14">
        <v>0.26692307692307687</v>
      </c>
      <c r="L6" s="13">
        <v>3361</v>
      </c>
      <c r="M6" t="str" cm="1">
        <f t="array" ref="M6">_xlfn.IFS(E6&lt;6, "0-6 Months", E6&lt;=12, "6-12 Months", E6&lt;=24, "12-24 Months", E6&gt;24, "24+ Months")</f>
        <v>6-12 Months</v>
      </c>
      <c r="N6" t="str" cm="1">
        <f t="array" ref="N6">_xlfn.IFS(E6&lt;6, "12-18 Months", E6&lt;=12, "18-24 Months", E6&lt;=24, "24+ Months", E6&gt;24, "24+ Months")</f>
        <v>18-24 Months</v>
      </c>
      <c r="O6" t="str" cm="1">
        <f t="array" ref="O6">_xlfn.IFS(D6&gt;=550, "Major", D6 &gt;= 100, "T1200", D6 &lt;100, "Other")</f>
        <v>Major</v>
      </c>
      <c r="P6">
        <f t="shared" si="0"/>
        <v>1335</v>
      </c>
    </row>
    <row r="7" spans="1:16" x14ac:dyDescent="0.2">
      <c r="A7" s="12">
        <v>108541</v>
      </c>
      <c r="B7" s="12" t="s">
        <v>67</v>
      </c>
      <c r="C7" s="13">
        <v>2325</v>
      </c>
      <c r="D7" s="13">
        <v>750</v>
      </c>
      <c r="E7" s="13">
        <v>11</v>
      </c>
      <c r="F7" s="13">
        <v>3080</v>
      </c>
      <c r="G7" s="13">
        <v>1544</v>
      </c>
      <c r="H7" s="13">
        <v>304</v>
      </c>
      <c r="I7" s="14">
        <v>4.1066666666666656</v>
      </c>
      <c r="J7" s="14">
        <v>2.0586666666666669</v>
      </c>
      <c r="K7" s="14">
        <v>0.40533333333333332</v>
      </c>
      <c r="L7" s="13">
        <v>1733</v>
      </c>
      <c r="M7" t="str" cm="1">
        <f t="array" ref="M7">_xlfn.IFS(E7&lt;6, "0-6 Months", E7&lt;=12, "6-12 Months", E7&lt;=24, "12-24 Months", E7&gt;24, "24+ Months")</f>
        <v>6-12 Months</v>
      </c>
      <c r="N7" t="str" cm="1">
        <f t="array" ref="N7">_xlfn.IFS(E7&lt;6, "12-18 Months", E7&lt;=12, "18-24 Months", E7&lt;=24, "24+ Months", E7&gt;24, "24+ Months")</f>
        <v>18-24 Months</v>
      </c>
      <c r="O7" t="str" cm="1">
        <f t="array" ref="O7">_xlfn.IFS(D7&gt;=550, "Major", D7 &gt;= 100, "T1200", D7 &lt;100, "Other")</f>
        <v>Major</v>
      </c>
      <c r="P7">
        <f t="shared" si="0"/>
        <v>2325</v>
      </c>
    </row>
    <row r="8" spans="1:16" x14ac:dyDescent="0.2">
      <c r="A8" s="12">
        <v>106372</v>
      </c>
      <c r="B8" s="12" t="s">
        <v>74</v>
      </c>
      <c r="C8" s="13">
        <v>650</v>
      </c>
      <c r="D8" s="13">
        <v>600</v>
      </c>
      <c r="E8" s="13">
        <v>9</v>
      </c>
      <c r="F8" s="13">
        <v>2895</v>
      </c>
      <c r="G8" s="13">
        <v>2291</v>
      </c>
      <c r="H8" s="13">
        <v>136</v>
      </c>
      <c r="I8" s="14">
        <v>4.8250000000000002</v>
      </c>
      <c r="J8" s="14">
        <v>3.8183333333333329</v>
      </c>
      <c r="K8" s="14">
        <v>0.22666666666666671</v>
      </c>
      <c r="L8" s="13">
        <v>1</v>
      </c>
      <c r="M8" t="str" cm="1">
        <f t="array" ref="M8">_xlfn.IFS(E8&lt;6, "0-6 Months", E8&lt;=12, "6-12 Months", E8&lt;=24, "12-24 Months", E8&gt;24, "24+ Months")</f>
        <v>6-12 Months</v>
      </c>
      <c r="N8" t="str" cm="1">
        <f t="array" ref="N8">_xlfn.IFS(E8&lt;6, "12-18 Months", E8&lt;=12, "18-24 Months", E8&lt;=24, "24+ Months", E8&gt;24, "24+ Months")</f>
        <v>18-24 Months</v>
      </c>
      <c r="O8" t="str" cm="1">
        <f t="array" ref="O8">_xlfn.IFS(D8&gt;=550, "Major", D8 &gt;= 100, "T1200", D8 &lt;100, "Other")</f>
        <v>Major</v>
      </c>
      <c r="P8">
        <f t="shared" si="0"/>
        <v>650</v>
      </c>
    </row>
    <row r="9" spans="1:16" x14ac:dyDescent="0.2">
      <c r="A9" s="12">
        <v>108467</v>
      </c>
      <c r="B9" s="12" t="s">
        <v>71</v>
      </c>
      <c r="C9" s="13">
        <v>230</v>
      </c>
      <c r="D9" s="13">
        <v>488</v>
      </c>
      <c r="E9" s="13">
        <v>6</v>
      </c>
      <c r="F9" s="13">
        <v>2793</v>
      </c>
      <c r="G9" s="13">
        <v>2694</v>
      </c>
      <c r="H9" s="13">
        <v>2238</v>
      </c>
      <c r="I9" s="14">
        <v>5.7233606557377046</v>
      </c>
      <c r="J9" s="14">
        <v>5.5204918032786887</v>
      </c>
      <c r="K9" s="14">
        <v>4.5860655737704921</v>
      </c>
      <c r="L9" s="13">
        <v>76</v>
      </c>
      <c r="M9" t="str" cm="1">
        <f t="array" ref="M9">_xlfn.IFS(E9&lt;6, "0-6 Months", E9&lt;=12, "6-12 Months", E9&lt;=24, "12-24 Months", E9&gt;24, "24+ Months")</f>
        <v>6-12 Months</v>
      </c>
      <c r="N9" t="str" cm="1">
        <f t="array" ref="N9">_xlfn.IFS(E9&lt;6, "12-18 Months", E9&lt;=12, "18-24 Months", E9&lt;=24, "24+ Months", E9&gt;24, "24+ Months")</f>
        <v>18-24 Months</v>
      </c>
      <c r="O9" t="str" cm="1">
        <f t="array" ref="O9">_xlfn.IFS(D9&gt;=550, "Major", D9 &gt;= 100, "T1200", D9 &lt;100, "Other")</f>
        <v>T1200</v>
      </c>
      <c r="P9">
        <f t="shared" si="0"/>
        <v>230</v>
      </c>
    </row>
    <row r="10" spans="1:16" x14ac:dyDescent="0.2">
      <c r="A10" s="12">
        <v>175721</v>
      </c>
      <c r="B10" s="12" t="s">
        <v>139</v>
      </c>
      <c r="C10" s="13">
        <v>2200</v>
      </c>
      <c r="D10" s="13">
        <v>1570</v>
      </c>
      <c r="E10" s="13">
        <v>23</v>
      </c>
      <c r="F10" s="13">
        <v>2726</v>
      </c>
      <c r="G10" s="13">
        <v>1271</v>
      </c>
      <c r="H10" s="13">
        <v>367</v>
      </c>
      <c r="I10" s="14">
        <v>1.736305732484076</v>
      </c>
      <c r="J10" s="14">
        <v>0.80955414012738858</v>
      </c>
      <c r="K10" s="14">
        <v>0.23375796178343949</v>
      </c>
      <c r="L10" s="13">
        <v>792</v>
      </c>
      <c r="M10" t="str" cm="1">
        <f t="array" ref="M10">_xlfn.IFS(E10&lt;6, "0-6 Months", E10&lt;=12, "6-12 Months", E10&lt;=24, "12-24 Months", E10&gt;24, "24+ Months")</f>
        <v>12-24 Months</v>
      </c>
      <c r="N10" t="str" cm="1">
        <f t="array" ref="N10">_xlfn.IFS(E10&lt;6, "12-18 Months", E10&lt;=12, "18-24 Months", E10&lt;=24, "24+ Months", E10&gt;24, "24+ Months")</f>
        <v>24+ Months</v>
      </c>
      <c r="O10" t="str" cm="1">
        <f t="array" ref="O10">_xlfn.IFS(D10&gt;=550, "Major", D10 &gt;= 100, "T1200", D10 &lt;100, "Other")</f>
        <v>Major</v>
      </c>
      <c r="P10">
        <f t="shared" si="0"/>
        <v>2200</v>
      </c>
    </row>
    <row r="11" spans="1:16" x14ac:dyDescent="0.2">
      <c r="A11" s="12">
        <v>113599</v>
      </c>
      <c r="B11" s="12" t="s">
        <v>76</v>
      </c>
      <c r="C11" s="13">
        <v>655</v>
      </c>
      <c r="D11" s="13">
        <v>650</v>
      </c>
      <c r="E11" s="13">
        <v>22</v>
      </c>
      <c r="F11" s="13">
        <v>2551</v>
      </c>
      <c r="G11" s="13">
        <v>1474</v>
      </c>
      <c r="H11" s="13">
        <v>749</v>
      </c>
      <c r="I11" s="14">
        <v>3.9246153846153851</v>
      </c>
      <c r="J11" s="14">
        <v>2.2676923076923079</v>
      </c>
      <c r="K11" s="14">
        <v>1.152307692307692</v>
      </c>
      <c r="L11" s="13">
        <v>48</v>
      </c>
      <c r="M11" t="str" cm="1">
        <f t="array" ref="M11">_xlfn.IFS(E11&lt;6, "0-6 Months", E11&lt;=12, "6-12 Months", E11&lt;=24, "12-24 Months", E11&gt;24, "24+ Months")</f>
        <v>12-24 Months</v>
      </c>
      <c r="N11" t="str" cm="1">
        <f t="array" ref="N11">_xlfn.IFS(E11&lt;6, "12-18 Months", E11&lt;=12, "18-24 Months", E11&lt;=24, "24+ Months", E11&gt;24, "24+ Months")</f>
        <v>24+ Months</v>
      </c>
      <c r="O11" t="str" cm="1">
        <f t="array" ref="O11">_xlfn.IFS(D11&gt;=550, "Major", D11 &gt;= 100, "T1200", D11 &lt;100, "Other")</f>
        <v>Major</v>
      </c>
      <c r="P11">
        <f t="shared" si="0"/>
        <v>655</v>
      </c>
    </row>
    <row r="12" spans="1:16" x14ac:dyDescent="0.2">
      <c r="A12" s="12">
        <v>108658</v>
      </c>
      <c r="B12" s="12" t="s">
        <v>92</v>
      </c>
      <c r="C12" s="13">
        <v>1532</v>
      </c>
      <c r="D12" s="13">
        <v>763</v>
      </c>
      <c r="E12" s="13">
        <v>6</v>
      </c>
      <c r="F12" s="13">
        <v>2499</v>
      </c>
      <c r="G12" s="13">
        <v>2358</v>
      </c>
      <c r="H12" s="13">
        <v>542</v>
      </c>
      <c r="I12" s="14">
        <v>3.2752293577981648</v>
      </c>
      <c r="J12" s="14">
        <v>3.0904325032765398</v>
      </c>
      <c r="K12" s="14">
        <v>0.71035386631716912</v>
      </c>
      <c r="L12" s="13">
        <v>52</v>
      </c>
      <c r="M12" t="str" cm="1">
        <f t="array" ref="M12">_xlfn.IFS(E12&lt;6, "0-6 Months", E12&lt;=12, "6-12 Months", E12&lt;=24, "12-24 Months", E12&gt;24, "24+ Months")</f>
        <v>6-12 Months</v>
      </c>
      <c r="N12" t="str" cm="1">
        <f t="array" ref="N12">_xlfn.IFS(E12&lt;6, "12-18 Months", E12&lt;=12, "18-24 Months", E12&lt;=24, "24+ Months", E12&gt;24, "24+ Months")</f>
        <v>18-24 Months</v>
      </c>
      <c r="O12" t="str" cm="1">
        <f t="array" ref="O12">_xlfn.IFS(D12&gt;=550, "Major", D12 &gt;= 100, "T1200", D12 &lt;100, "Other")</f>
        <v>Major</v>
      </c>
      <c r="P12">
        <f t="shared" si="0"/>
        <v>1532</v>
      </c>
    </row>
    <row r="13" spans="1:16" x14ac:dyDescent="0.2">
      <c r="A13" s="12">
        <v>113410</v>
      </c>
      <c r="B13" s="12" t="s">
        <v>248</v>
      </c>
      <c r="C13" s="13">
        <v>552</v>
      </c>
      <c r="D13" s="13">
        <v>457</v>
      </c>
      <c r="E13" s="13">
        <v>34</v>
      </c>
      <c r="F13" s="13">
        <v>2301</v>
      </c>
      <c r="G13" s="13">
        <v>256</v>
      </c>
      <c r="H13" s="13">
        <v>222</v>
      </c>
      <c r="I13" s="14">
        <v>5.0350109409190376</v>
      </c>
      <c r="J13" s="14">
        <v>0.56017505470459517</v>
      </c>
      <c r="K13" s="14">
        <v>0.48577680525164108</v>
      </c>
      <c r="L13" s="13">
        <v>0</v>
      </c>
      <c r="M13" t="str" cm="1">
        <f t="array" ref="M13">_xlfn.IFS(E13&lt;6, "0-6 Months", E13&lt;=12, "6-12 Months", E13&lt;=24, "12-24 Months", E13&gt;24, "24+ Months")</f>
        <v>24+ Months</v>
      </c>
      <c r="N13" t="str" cm="1">
        <f t="array" ref="N13">_xlfn.IFS(E13&lt;6, "12-18 Months", E13&lt;=12, "18-24 Months", E13&lt;=24, "24+ Months", E13&gt;24, "24+ Months")</f>
        <v>24+ Months</v>
      </c>
      <c r="O13" t="str" cm="1">
        <f t="array" ref="O13">_xlfn.IFS(D13&gt;=550, "Major", D13 &gt;= 100, "T1200", D13 &lt;100, "Other")</f>
        <v>T1200</v>
      </c>
      <c r="P13">
        <f t="shared" si="0"/>
        <v>552</v>
      </c>
    </row>
    <row r="14" spans="1:16" x14ac:dyDescent="0.2">
      <c r="A14" s="12">
        <v>107750</v>
      </c>
      <c r="B14" s="12" t="s">
        <v>103</v>
      </c>
      <c r="C14" s="13">
        <v>745</v>
      </c>
      <c r="D14" s="13">
        <v>715</v>
      </c>
      <c r="E14" s="13">
        <v>25</v>
      </c>
      <c r="F14" s="13">
        <v>2181</v>
      </c>
      <c r="G14" s="13">
        <v>119</v>
      </c>
      <c r="H14" s="13">
        <v>89</v>
      </c>
      <c r="I14" s="14">
        <v>3.0503496503496499</v>
      </c>
      <c r="J14" s="14">
        <v>0.16643356643356641</v>
      </c>
      <c r="K14" s="14">
        <v>0.1244755244755245</v>
      </c>
      <c r="L14" s="13">
        <v>236</v>
      </c>
      <c r="M14" t="str" cm="1">
        <f t="array" ref="M14">_xlfn.IFS(E14&lt;6, "0-6 Months", E14&lt;=12, "6-12 Months", E14&lt;=24, "12-24 Months", E14&gt;24, "24+ Months")</f>
        <v>24+ Months</v>
      </c>
      <c r="N14" t="str" cm="1">
        <f t="array" ref="N14">_xlfn.IFS(E14&lt;6, "12-18 Months", E14&lt;=12, "18-24 Months", E14&lt;=24, "24+ Months", E14&gt;24, "24+ Months")</f>
        <v>24+ Months</v>
      </c>
      <c r="O14" t="str" cm="1">
        <f t="array" ref="O14">_xlfn.IFS(D14&gt;=550, "Major", D14 &gt;= 100, "T1200", D14 &lt;100, "Other")</f>
        <v>Major</v>
      </c>
      <c r="P14">
        <f t="shared" si="0"/>
        <v>745</v>
      </c>
    </row>
    <row r="15" spans="1:16" x14ac:dyDescent="0.2">
      <c r="A15" s="12">
        <v>108053</v>
      </c>
      <c r="B15" s="12" t="s">
        <v>77</v>
      </c>
      <c r="C15" s="13">
        <v>3</v>
      </c>
      <c r="D15" s="13">
        <v>243</v>
      </c>
      <c r="E15" s="13">
        <v>40</v>
      </c>
      <c r="F15" s="13">
        <v>2113</v>
      </c>
      <c r="G15" s="13">
        <v>1337</v>
      </c>
      <c r="H15" s="13">
        <v>1177</v>
      </c>
      <c r="I15" s="14">
        <v>8.6954732510288064</v>
      </c>
      <c r="J15" s="14">
        <v>5.5020576131687244</v>
      </c>
      <c r="K15" s="14">
        <v>4.8436213991769543</v>
      </c>
      <c r="L15" s="13">
        <v>3</v>
      </c>
      <c r="M15" t="str" cm="1">
        <f t="array" ref="M15">_xlfn.IFS(E15&lt;6, "0-6 Months", E15&lt;=12, "6-12 Months", E15&lt;=24, "12-24 Months", E15&gt;24, "24+ Months")</f>
        <v>24+ Months</v>
      </c>
      <c r="N15" t="str" cm="1">
        <f t="array" ref="N15">_xlfn.IFS(E15&lt;6, "12-18 Months", E15&lt;=12, "18-24 Months", E15&lt;=24, "24+ Months", E15&gt;24, "24+ Months")</f>
        <v>24+ Months</v>
      </c>
      <c r="O15" t="str" cm="1">
        <f t="array" ref="O15">_xlfn.IFS(D15&gt;=550, "Major", D15 &gt;= 100, "T1200", D15 &lt;100, "Other")</f>
        <v>T1200</v>
      </c>
      <c r="P15">
        <f t="shared" si="0"/>
        <v>3</v>
      </c>
    </row>
    <row r="16" spans="1:16" x14ac:dyDescent="0.2">
      <c r="A16" s="12">
        <v>124496</v>
      </c>
      <c r="B16" s="12" t="s">
        <v>83</v>
      </c>
      <c r="C16" s="13">
        <v>992</v>
      </c>
      <c r="D16" s="13">
        <v>900</v>
      </c>
      <c r="E16" s="13">
        <v>28</v>
      </c>
      <c r="F16" s="13">
        <v>2105</v>
      </c>
      <c r="G16" s="13">
        <v>147</v>
      </c>
      <c r="H16" s="13">
        <v>14</v>
      </c>
      <c r="I16" s="14">
        <v>2.338888888888889</v>
      </c>
      <c r="J16" s="14">
        <v>0.1633333333333333</v>
      </c>
      <c r="K16" s="14">
        <v>1.555555555555556E-2</v>
      </c>
      <c r="L16" s="13">
        <v>858</v>
      </c>
      <c r="M16" t="str" cm="1">
        <f t="array" ref="M16">_xlfn.IFS(E16&lt;6, "0-6 Months", E16&lt;=12, "6-12 Months", E16&lt;=24, "12-24 Months", E16&gt;24, "24+ Months")</f>
        <v>24+ Months</v>
      </c>
      <c r="N16" t="str" cm="1">
        <f t="array" ref="N16">_xlfn.IFS(E16&lt;6, "12-18 Months", E16&lt;=12, "18-24 Months", E16&lt;=24, "24+ Months", E16&gt;24, "24+ Months")</f>
        <v>24+ Months</v>
      </c>
      <c r="O16" t="str" cm="1">
        <f t="array" ref="O16">_xlfn.IFS(D16&gt;=550, "Major", D16 &gt;= 100, "T1200", D16 &lt;100, "Other")</f>
        <v>Major</v>
      </c>
      <c r="P16">
        <f t="shared" si="0"/>
        <v>992</v>
      </c>
    </row>
    <row r="17" spans="1:16" x14ac:dyDescent="0.2">
      <c r="A17" s="12">
        <v>108490</v>
      </c>
      <c r="B17" s="12" t="s">
        <v>120</v>
      </c>
      <c r="C17" s="13">
        <v>2088</v>
      </c>
      <c r="D17" s="13">
        <v>2580</v>
      </c>
      <c r="E17" s="13">
        <v>11</v>
      </c>
      <c r="F17" s="13">
        <v>2047</v>
      </c>
      <c r="G17" s="13">
        <v>33</v>
      </c>
      <c r="H17" s="13">
        <v>0</v>
      </c>
      <c r="I17" s="14">
        <v>0.79341085271317835</v>
      </c>
      <c r="J17" s="14">
        <v>1.2790697674418599E-2</v>
      </c>
      <c r="K17" s="14">
        <v>0</v>
      </c>
      <c r="L17" s="13">
        <v>5</v>
      </c>
      <c r="M17" t="str" cm="1">
        <f t="array" ref="M17">_xlfn.IFS(E17&lt;6, "0-6 Months", E17&lt;=12, "6-12 Months", E17&lt;=24, "12-24 Months", E17&gt;24, "24+ Months")</f>
        <v>6-12 Months</v>
      </c>
      <c r="N17" t="str" cm="1">
        <f t="array" ref="N17">_xlfn.IFS(E17&lt;6, "12-18 Months", E17&lt;=12, "18-24 Months", E17&lt;=24, "24+ Months", E17&gt;24, "24+ Months")</f>
        <v>18-24 Months</v>
      </c>
      <c r="O17" t="str" cm="1">
        <f t="array" ref="O17">_xlfn.IFS(D17&gt;=550, "Major", D17 &gt;= 100, "T1200", D17 &lt;100, "Other")</f>
        <v>Major</v>
      </c>
      <c r="P17">
        <f t="shared" si="0"/>
        <v>0</v>
      </c>
    </row>
    <row r="18" spans="1:16" x14ac:dyDescent="0.2">
      <c r="A18" s="12">
        <v>113118</v>
      </c>
      <c r="B18" s="12" t="s">
        <v>70</v>
      </c>
      <c r="C18" s="13">
        <v>1458</v>
      </c>
      <c r="D18" s="13">
        <v>700</v>
      </c>
      <c r="E18" s="13">
        <v>49</v>
      </c>
      <c r="F18" s="13">
        <v>2046</v>
      </c>
      <c r="G18" s="13">
        <v>539</v>
      </c>
      <c r="H18" s="13">
        <v>18</v>
      </c>
      <c r="I18" s="14">
        <v>2.922857142857143</v>
      </c>
      <c r="J18" s="14">
        <v>0.77</v>
      </c>
      <c r="K18" s="14">
        <v>2.571428571428571E-2</v>
      </c>
      <c r="L18" s="13">
        <v>4</v>
      </c>
      <c r="M18" t="str" cm="1">
        <f t="array" ref="M18">_xlfn.IFS(E18&lt;6, "0-6 Months", E18&lt;=12, "6-12 Months", E18&lt;=24, "12-24 Months", E18&gt;24, "24+ Months")</f>
        <v>24+ Months</v>
      </c>
      <c r="N18" t="str" cm="1">
        <f t="array" ref="N18">_xlfn.IFS(E18&lt;6, "12-18 Months", E18&lt;=12, "18-24 Months", E18&lt;=24, "24+ Months", E18&gt;24, "24+ Months")</f>
        <v>24+ Months</v>
      </c>
      <c r="O18" t="str" cm="1">
        <f t="array" ref="O18">_xlfn.IFS(D18&gt;=550, "Major", D18 &gt;= 100, "T1200", D18 &lt;100, "Other")</f>
        <v>Major</v>
      </c>
      <c r="P18">
        <f t="shared" si="0"/>
        <v>1458</v>
      </c>
    </row>
    <row r="19" spans="1:16" x14ac:dyDescent="0.2">
      <c r="A19" s="12">
        <v>110619</v>
      </c>
      <c r="B19" s="12" t="s">
        <v>79</v>
      </c>
      <c r="C19" s="13">
        <v>375</v>
      </c>
      <c r="D19" s="13">
        <v>286</v>
      </c>
      <c r="E19" s="13">
        <v>35</v>
      </c>
      <c r="F19" s="13">
        <v>1893</v>
      </c>
      <c r="G19" s="13">
        <v>1296</v>
      </c>
      <c r="H19" s="13">
        <v>973</v>
      </c>
      <c r="I19" s="14">
        <v>6.6188811188811192</v>
      </c>
      <c r="J19" s="14">
        <v>4.5314685314685317</v>
      </c>
      <c r="K19" s="14">
        <v>3.4020979020979021</v>
      </c>
      <c r="L19" s="13">
        <v>174</v>
      </c>
      <c r="M19" t="str" cm="1">
        <f t="array" ref="M19">_xlfn.IFS(E19&lt;6, "0-6 Months", E19&lt;=12, "6-12 Months", E19&lt;=24, "12-24 Months", E19&gt;24, "24+ Months")</f>
        <v>24+ Months</v>
      </c>
      <c r="N19" t="str" cm="1">
        <f t="array" ref="N19">_xlfn.IFS(E19&lt;6, "12-18 Months", E19&lt;=12, "18-24 Months", E19&lt;=24, "24+ Months", E19&gt;24, "24+ Months")</f>
        <v>24+ Months</v>
      </c>
      <c r="O19" t="str" cm="1">
        <f t="array" ref="O19">_xlfn.IFS(D19&gt;=550, "Major", D19 &gt;= 100, "T1200", D19 &lt;100, "Other")</f>
        <v>T1200</v>
      </c>
      <c r="P19">
        <f t="shared" si="0"/>
        <v>375</v>
      </c>
    </row>
    <row r="20" spans="1:16" x14ac:dyDescent="0.2">
      <c r="A20" s="12">
        <v>105702</v>
      </c>
      <c r="B20" s="12" t="s">
        <v>135</v>
      </c>
      <c r="C20" s="13">
        <v>928</v>
      </c>
      <c r="D20" s="13">
        <v>1000</v>
      </c>
      <c r="E20" s="13">
        <v>11</v>
      </c>
      <c r="F20" s="13">
        <v>1795</v>
      </c>
      <c r="G20" s="13">
        <v>1068</v>
      </c>
      <c r="H20" s="13">
        <v>99</v>
      </c>
      <c r="I20" s="14">
        <v>1.7949999999999999</v>
      </c>
      <c r="J20" s="14">
        <v>1.0680000000000001</v>
      </c>
      <c r="K20" s="14">
        <v>9.9000000000000005E-2</v>
      </c>
      <c r="L20" s="13">
        <v>63</v>
      </c>
      <c r="M20" t="str" cm="1">
        <f t="array" ref="M20">_xlfn.IFS(E20&lt;6, "0-6 Months", E20&lt;=12, "6-12 Months", E20&lt;=24, "12-24 Months", E20&gt;24, "24+ Months")</f>
        <v>6-12 Months</v>
      </c>
      <c r="N20" t="str" cm="1">
        <f t="array" ref="N20">_xlfn.IFS(E20&lt;6, "12-18 Months", E20&lt;=12, "18-24 Months", E20&lt;=24, "24+ Months", E20&gt;24, "24+ Months")</f>
        <v>18-24 Months</v>
      </c>
      <c r="O20" t="str" cm="1">
        <f t="array" ref="O20">_xlfn.IFS(D20&gt;=550, "Major", D20 &gt;= 100, "T1200", D20 &lt;100, "Other")</f>
        <v>Major</v>
      </c>
      <c r="P20">
        <f t="shared" si="0"/>
        <v>928</v>
      </c>
    </row>
    <row r="21" spans="1:16" x14ac:dyDescent="0.2">
      <c r="A21" s="12">
        <v>106522</v>
      </c>
      <c r="B21" s="12" t="s">
        <v>72</v>
      </c>
      <c r="C21" s="13">
        <v>690</v>
      </c>
      <c r="D21" s="13">
        <v>626</v>
      </c>
      <c r="E21" s="13">
        <v>7</v>
      </c>
      <c r="F21" s="13">
        <v>1780</v>
      </c>
      <c r="G21" s="13">
        <v>1780</v>
      </c>
      <c r="H21" s="13">
        <v>612</v>
      </c>
      <c r="I21" s="14">
        <v>2.8434504792332271</v>
      </c>
      <c r="J21" s="14">
        <v>2.8434504792332271</v>
      </c>
      <c r="K21" s="14">
        <v>0.97763578274760388</v>
      </c>
      <c r="L21" s="13">
        <v>121</v>
      </c>
      <c r="M21" t="str" cm="1">
        <f t="array" ref="M21">_xlfn.IFS(E21&lt;6, "0-6 Months", E21&lt;=12, "6-12 Months", E21&lt;=24, "12-24 Months", E21&gt;24, "24+ Months")</f>
        <v>6-12 Months</v>
      </c>
      <c r="N21" t="str" cm="1">
        <f t="array" ref="N21">_xlfn.IFS(E21&lt;6, "12-18 Months", E21&lt;=12, "18-24 Months", E21&lt;=24, "24+ Months", E21&gt;24, "24+ Months")</f>
        <v>18-24 Months</v>
      </c>
      <c r="O21" t="str" cm="1">
        <f t="array" ref="O21">_xlfn.IFS(D21&gt;=550, "Major", D21 &gt;= 100, "T1200", D21 &lt;100, "Other")</f>
        <v>Major</v>
      </c>
      <c r="P21">
        <f t="shared" si="0"/>
        <v>690</v>
      </c>
    </row>
    <row r="22" spans="1:16" x14ac:dyDescent="0.2">
      <c r="A22" s="12">
        <v>129364</v>
      </c>
      <c r="B22" s="12" t="s">
        <v>82</v>
      </c>
      <c r="C22" s="13">
        <v>209</v>
      </c>
      <c r="D22" s="13">
        <v>233</v>
      </c>
      <c r="E22" s="13">
        <v>10</v>
      </c>
      <c r="F22" s="13">
        <v>1767</v>
      </c>
      <c r="G22" s="13">
        <v>1695</v>
      </c>
      <c r="H22" s="13">
        <v>1468</v>
      </c>
      <c r="I22" s="14">
        <v>7.5836909871244638</v>
      </c>
      <c r="J22" s="14">
        <v>7.2746781115879831</v>
      </c>
      <c r="K22" s="14">
        <v>6.3004291845493574</v>
      </c>
      <c r="L22" s="13">
        <v>62</v>
      </c>
      <c r="M22" t="str" cm="1">
        <f t="array" ref="M22">_xlfn.IFS(E22&lt;6, "0-6 Months", E22&lt;=12, "6-12 Months", E22&lt;=24, "12-24 Months", E22&gt;24, "24+ Months")</f>
        <v>6-12 Months</v>
      </c>
      <c r="N22" t="str" cm="1">
        <f t="array" ref="N22">_xlfn.IFS(E22&lt;6, "12-18 Months", E22&lt;=12, "18-24 Months", E22&lt;=24, "24+ Months", E22&gt;24, "24+ Months")</f>
        <v>18-24 Months</v>
      </c>
      <c r="O22" t="str" cm="1">
        <f t="array" ref="O22">_xlfn.IFS(D22&gt;=550, "Major", D22 &gt;= 100, "T1200", D22 &lt;100, "Other")</f>
        <v>T1200</v>
      </c>
      <c r="P22">
        <f t="shared" si="0"/>
        <v>209</v>
      </c>
    </row>
    <row r="23" spans="1:16" x14ac:dyDescent="0.2">
      <c r="A23" s="12">
        <v>302836</v>
      </c>
      <c r="B23" s="12" t="s">
        <v>66</v>
      </c>
      <c r="C23" s="13">
        <v>8</v>
      </c>
      <c r="D23" s="13">
        <v>505</v>
      </c>
      <c r="E23" s="13">
        <v>7</v>
      </c>
      <c r="F23" s="13">
        <v>1749</v>
      </c>
      <c r="G23" s="13">
        <v>1749</v>
      </c>
      <c r="H23" s="13">
        <v>750</v>
      </c>
      <c r="I23" s="14">
        <v>3.4633663366336629</v>
      </c>
      <c r="J23" s="14">
        <v>3.4633663366336629</v>
      </c>
      <c r="K23" s="14">
        <v>1.4851485148514849</v>
      </c>
      <c r="L23" s="13">
        <v>109</v>
      </c>
      <c r="M23" t="str" cm="1">
        <f t="array" ref="M23">_xlfn.IFS(E23&lt;6, "0-6 Months", E23&lt;=12, "6-12 Months", E23&lt;=24, "12-24 Months", E23&gt;24, "24+ Months")</f>
        <v>6-12 Months</v>
      </c>
      <c r="N23" t="str" cm="1">
        <f t="array" ref="N23">_xlfn.IFS(E23&lt;6, "12-18 Months", E23&lt;=12, "18-24 Months", E23&lt;=24, "24+ Months", E23&gt;24, "24+ Months")</f>
        <v>18-24 Months</v>
      </c>
      <c r="O23" t="str" cm="1">
        <f t="array" ref="O23">_xlfn.IFS(D23&gt;=550, "Major", D23 &gt;= 100, "T1200", D23 &lt;100, "Other")</f>
        <v>T1200</v>
      </c>
      <c r="P23">
        <f t="shared" si="0"/>
        <v>8</v>
      </c>
    </row>
    <row r="24" spans="1:16" x14ac:dyDescent="0.2">
      <c r="A24" s="12">
        <v>110637</v>
      </c>
      <c r="B24" s="12" t="s">
        <v>78</v>
      </c>
      <c r="C24" s="13">
        <v>505</v>
      </c>
      <c r="D24" s="13">
        <v>480</v>
      </c>
      <c r="E24" s="13">
        <v>16</v>
      </c>
      <c r="F24" s="13">
        <v>1670</v>
      </c>
      <c r="G24" s="13">
        <v>875</v>
      </c>
      <c r="H24" s="13">
        <v>761</v>
      </c>
      <c r="I24" s="14">
        <v>3.479166666666667</v>
      </c>
      <c r="J24" s="14">
        <v>1.822916666666667</v>
      </c>
      <c r="K24" s="14">
        <v>1.5854166666666669</v>
      </c>
      <c r="L24" s="13">
        <v>61</v>
      </c>
      <c r="M24" t="str" cm="1">
        <f t="array" ref="M24">_xlfn.IFS(E24&lt;6, "0-6 Months", E24&lt;=12, "6-12 Months", E24&lt;=24, "12-24 Months", E24&gt;24, "24+ Months")</f>
        <v>12-24 Months</v>
      </c>
      <c r="N24" t="str" cm="1">
        <f t="array" ref="N24">_xlfn.IFS(E24&lt;6, "12-18 Months", E24&lt;=12, "18-24 Months", E24&lt;=24, "24+ Months", E24&gt;24, "24+ Months")</f>
        <v>24+ Months</v>
      </c>
      <c r="O24" t="str" cm="1">
        <f t="array" ref="O24">_xlfn.IFS(D24&gt;=550, "Major", D24 &gt;= 100, "T1200", D24 &lt;100, "Other")</f>
        <v>T1200</v>
      </c>
      <c r="P24">
        <f t="shared" si="0"/>
        <v>505</v>
      </c>
    </row>
    <row r="25" spans="1:16" x14ac:dyDescent="0.2">
      <c r="A25" s="12">
        <v>124615</v>
      </c>
      <c r="B25" s="12" t="s">
        <v>89</v>
      </c>
      <c r="C25" s="13">
        <v>148</v>
      </c>
      <c r="D25" s="13">
        <v>120</v>
      </c>
      <c r="E25" s="13">
        <v>51</v>
      </c>
      <c r="F25" s="13">
        <v>1656</v>
      </c>
      <c r="G25" s="13">
        <v>1209</v>
      </c>
      <c r="H25" s="13">
        <v>710</v>
      </c>
      <c r="I25" s="14">
        <v>13.8</v>
      </c>
      <c r="J25" s="14">
        <v>10.074999999999999</v>
      </c>
      <c r="K25" s="14">
        <v>5.916666666666667</v>
      </c>
      <c r="L25" s="13">
        <v>8</v>
      </c>
      <c r="M25" t="str" cm="1">
        <f t="array" ref="M25">_xlfn.IFS(E25&lt;6, "0-6 Months", E25&lt;=12, "6-12 Months", E25&lt;=24, "12-24 Months", E25&gt;24, "24+ Months")</f>
        <v>24+ Months</v>
      </c>
      <c r="N25" t="str" cm="1">
        <f t="array" ref="N25">_xlfn.IFS(E25&lt;6, "12-18 Months", E25&lt;=12, "18-24 Months", E25&lt;=24, "24+ Months", E25&gt;24, "24+ Months")</f>
        <v>24+ Months</v>
      </c>
      <c r="O25" t="str" cm="1">
        <f t="array" ref="O25">_xlfn.IFS(D25&gt;=550, "Major", D25 &gt;= 100, "T1200", D25 &lt;100, "Other")</f>
        <v>T1200</v>
      </c>
      <c r="P25">
        <f t="shared" si="0"/>
        <v>148</v>
      </c>
    </row>
    <row r="26" spans="1:16" x14ac:dyDescent="0.2">
      <c r="A26" s="12">
        <v>112474</v>
      </c>
      <c r="B26" s="12" t="s">
        <v>84</v>
      </c>
      <c r="C26" s="13">
        <v>950</v>
      </c>
      <c r="D26" s="13">
        <v>1110</v>
      </c>
      <c r="E26" s="13">
        <v>21</v>
      </c>
      <c r="F26" s="13">
        <v>1647</v>
      </c>
      <c r="G26" s="13">
        <v>1048</v>
      </c>
      <c r="H26" s="13">
        <v>529</v>
      </c>
      <c r="I26" s="14">
        <v>1.4837837837837839</v>
      </c>
      <c r="J26" s="14">
        <v>0.94414414414414416</v>
      </c>
      <c r="K26" s="14">
        <v>0.47657657657657659</v>
      </c>
      <c r="L26" s="13">
        <v>1331</v>
      </c>
      <c r="M26" t="str" cm="1">
        <f t="array" ref="M26">_xlfn.IFS(E26&lt;6, "0-6 Months", E26&lt;=12, "6-12 Months", E26&lt;=24, "12-24 Months", E26&gt;24, "24+ Months")</f>
        <v>12-24 Months</v>
      </c>
      <c r="N26" t="str" cm="1">
        <f t="array" ref="N26">_xlfn.IFS(E26&lt;6, "12-18 Months", E26&lt;=12, "18-24 Months", E26&lt;=24, "24+ Months", E26&gt;24, "24+ Months")</f>
        <v>24+ Months</v>
      </c>
      <c r="O26" t="str" cm="1">
        <f t="array" ref="O26">_xlfn.IFS(D26&gt;=550, "Major", D26 &gt;= 100, "T1200", D26 &lt;100, "Other")</f>
        <v>Major</v>
      </c>
      <c r="P26">
        <f t="shared" si="0"/>
        <v>950</v>
      </c>
    </row>
    <row r="27" spans="1:16" x14ac:dyDescent="0.2">
      <c r="A27" s="12">
        <v>111064</v>
      </c>
      <c r="B27" s="12" t="s">
        <v>122</v>
      </c>
      <c r="C27" s="13">
        <v>327</v>
      </c>
      <c r="D27" s="13">
        <v>515</v>
      </c>
      <c r="E27" s="13">
        <v>18</v>
      </c>
      <c r="F27" s="13">
        <v>1627</v>
      </c>
      <c r="G27" s="13">
        <v>1380</v>
      </c>
      <c r="H27" s="13">
        <v>1250</v>
      </c>
      <c r="I27" s="14">
        <v>3.1592233009708739</v>
      </c>
      <c r="J27" s="14">
        <v>2.679611650485437</v>
      </c>
      <c r="K27" s="14">
        <v>2.4271844660194168</v>
      </c>
      <c r="L27" s="13">
        <v>0</v>
      </c>
      <c r="M27" t="str" cm="1">
        <f t="array" ref="M27">_xlfn.IFS(E27&lt;6, "0-6 Months", E27&lt;=12, "6-12 Months", E27&lt;=24, "12-24 Months", E27&gt;24, "24+ Months")</f>
        <v>12-24 Months</v>
      </c>
      <c r="N27" t="str" cm="1">
        <f t="array" ref="N27">_xlfn.IFS(E27&lt;6, "12-18 Months", E27&lt;=12, "18-24 Months", E27&lt;=24, "24+ Months", E27&gt;24, "24+ Months")</f>
        <v>24+ Months</v>
      </c>
      <c r="O27" t="str" cm="1">
        <f t="array" ref="O27">_xlfn.IFS(D27&gt;=550, "Major", D27 &gt;= 100, "T1200", D27 &lt;100, "Other")</f>
        <v>T1200</v>
      </c>
      <c r="P27">
        <f t="shared" si="0"/>
        <v>327</v>
      </c>
    </row>
    <row r="28" spans="1:16" x14ac:dyDescent="0.2">
      <c r="A28" s="12">
        <v>323664</v>
      </c>
      <c r="B28" s="12" t="s">
        <v>115</v>
      </c>
      <c r="C28" s="13">
        <v>1240</v>
      </c>
      <c r="D28" s="13">
        <v>1335</v>
      </c>
      <c r="E28" s="13">
        <v>12</v>
      </c>
      <c r="F28" s="13">
        <v>1542</v>
      </c>
      <c r="G28" s="13">
        <v>1152</v>
      </c>
      <c r="H28" s="13">
        <v>106</v>
      </c>
      <c r="I28" s="14">
        <v>1.155056179775281</v>
      </c>
      <c r="J28" s="14">
        <v>0.86292134831460676</v>
      </c>
      <c r="K28" s="14">
        <v>7.9400749063670409E-2</v>
      </c>
      <c r="L28" s="13">
        <v>614</v>
      </c>
      <c r="M28" t="str" cm="1">
        <f t="array" ref="M28">_xlfn.IFS(E28&lt;6, "0-6 Months", E28&lt;=12, "6-12 Months", E28&lt;=24, "12-24 Months", E28&gt;24, "24+ Months")</f>
        <v>6-12 Months</v>
      </c>
      <c r="N28" t="str" cm="1">
        <f t="array" ref="N28">_xlfn.IFS(E28&lt;6, "12-18 Months", E28&lt;=12, "18-24 Months", E28&lt;=24, "24+ Months", E28&gt;24, "24+ Months")</f>
        <v>18-24 Months</v>
      </c>
      <c r="O28" t="str" cm="1">
        <f t="array" ref="O28">_xlfn.IFS(D28&gt;=550, "Major", D28 &gt;= 100, "T1200", D28 &lt;100, "Other")</f>
        <v>Major</v>
      </c>
      <c r="P28">
        <f t="shared" si="0"/>
        <v>1240</v>
      </c>
    </row>
    <row r="29" spans="1:16" x14ac:dyDescent="0.2">
      <c r="A29" s="12">
        <v>109479</v>
      </c>
      <c r="B29" s="12" t="s">
        <v>98</v>
      </c>
      <c r="C29" s="13">
        <v>205</v>
      </c>
      <c r="D29" s="13">
        <v>200</v>
      </c>
      <c r="E29" s="13">
        <v>9</v>
      </c>
      <c r="F29" s="13">
        <v>1534</v>
      </c>
      <c r="G29" s="13">
        <v>154</v>
      </c>
      <c r="H29" s="13">
        <v>35</v>
      </c>
      <c r="I29" s="14">
        <v>7.67</v>
      </c>
      <c r="J29" s="14">
        <v>0.77</v>
      </c>
      <c r="K29" s="14">
        <v>0.17499999999999999</v>
      </c>
      <c r="L29" s="13">
        <v>382</v>
      </c>
      <c r="M29" t="str" cm="1">
        <f t="array" ref="M29">_xlfn.IFS(E29&lt;6, "0-6 Months", E29&lt;=12, "6-12 Months", E29&lt;=24, "12-24 Months", E29&gt;24, "24+ Months")</f>
        <v>6-12 Months</v>
      </c>
      <c r="N29" t="str" cm="1">
        <f t="array" ref="N29">_xlfn.IFS(E29&lt;6, "12-18 Months", E29&lt;=12, "18-24 Months", E29&lt;=24, "24+ Months", E29&gt;24, "24+ Months")</f>
        <v>18-24 Months</v>
      </c>
      <c r="O29" t="str" cm="1">
        <f t="array" ref="O29">_xlfn.IFS(D29&gt;=550, "Major", D29 &gt;= 100, "T1200", D29 &lt;100, "Other")</f>
        <v>T1200</v>
      </c>
      <c r="P29">
        <f t="shared" si="0"/>
        <v>205</v>
      </c>
    </row>
    <row r="30" spans="1:16" x14ac:dyDescent="0.2">
      <c r="A30" s="12">
        <v>108050</v>
      </c>
      <c r="B30" s="12" t="s">
        <v>88</v>
      </c>
      <c r="C30" s="13">
        <v>1400</v>
      </c>
      <c r="D30" s="13">
        <v>1658</v>
      </c>
      <c r="E30" s="13">
        <v>44</v>
      </c>
      <c r="F30" s="13">
        <v>1517</v>
      </c>
      <c r="G30" s="13">
        <v>202</v>
      </c>
      <c r="H30" s="13">
        <v>72</v>
      </c>
      <c r="I30" s="14">
        <v>0.91495778045838361</v>
      </c>
      <c r="J30" s="14">
        <v>0.12183353437876961</v>
      </c>
      <c r="K30" s="14">
        <v>4.3425814234016889E-2</v>
      </c>
      <c r="L30" s="13">
        <v>169</v>
      </c>
      <c r="M30" t="str" cm="1">
        <f t="array" ref="M30">_xlfn.IFS(E30&lt;6, "0-6 Months", E30&lt;=12, "6-12 Months", E30&lt;=24, "12-24 Months", E30&gt;24, "24+ Months")</f>
        <v>24+ Months</v>
      </c>
      <c r="N30" t="str" cm="1">
        <f t="array" ref="N30">_xlfn.IFS(E30&lt;6, "12-18 Months", E30&lt;=12, "18-24 Months", E30&lt;=24, "24+ Months", E30&gt;24, "24+ Months")</f>
        <v>24+ Months</v>
      </c>
      <c r="O30" t="str" cm="1">
        <f t="array" ref="O30">_xlfn.IFS(D30&gt;=550, "Major", D30 &gt;= 100, "T1200", D30 &lt;100, "Other")</f>
        <v>Major</v>
      </c>
      <c r="P30">
        <f t="shared" si="0"/>
        <v>0</v>
      </c>
    </row>
    <row r="31" spans="1:16" x14ac:dyDescent="0.2">
      <c r="A31" s="12">
        <v>107741</v>
      </c>
      <c r="B31" s="12" t="s">
        <v>142</v>
      </c>
      <c r="C31" s="13">
        <v>1651</v>
      </c>
      <c r="D31" s="13">
        <v>1466</v>
      </c>
      <c r="E31" s="13">
        <v>6</v>
      </c>
      <c r="F31" s="13">
        <v>1514</v>
      </c>
      <c r="G31" s="13">
        <v>1514</v>
      </c>
      <c r="H31" s="13">
        <v>517</v>
      </c>
      <c r="I31" s="14">
        <v>1.032742155525239</v>
      </c>
      <c r="J31" s="14">
        <v>1.032742155525239</v>
      </c>
      <c r="K31" s="14">
        <v>0.35266030013642558</v>
      </c>
      <c r="L31" s="13">
        <v>168</v>
      </c>
      <c r="M31" t="str" cm="1">
        <f t="array" ref="M31">_xlfn.IFS(E31&lt;6, "0-6 Months", E31&lt;=12, "6-12 Months", E31&lt;=24, "12-24 Months", E31&gt;24, "24+ Months")</f>
        <v>6-12 Months</v>
      </c>
      <c r="N31" t="str" cm="1">
        <f t="array" ref="N31">_xlfn.IFS(E31&lt;6, "12-18 Months", E31&lt;=12, "18-24 Months", E31&lt;=24, "24+ Months", E31&gt;24, "24+ Months")</f>
        <v>18-24 Months</v>
      </c>
      <c r="O31" t="str" cm="1">
        <f t="array" ref="O31">_xlfn.IFS(D31&gt;=550, "Major", D31 &gt;= 100, "T1200", D31 &lt;100, "Other")</f>
        <v>Major</v>
      </c>
      <c r="P31">
        <f t="shared" si="0"/>
        <v>1651</v>
      </c>
    </row>
    <row r="32" spans="1:16" x14ac:dyDescent="0.2">
      <c r="A32" s="12">
        <v>328079</v>
      </c>
      <c r="B32" s="12" t="s">
        <v>91</v>
      </c>
      <c r="C32" s="13">
        <v>96</v>
      </c>
      <c r="D32" s="13">
        <v>2700</v>
      </c>
      <c r="E32" s="13">
        <v>22</v>
      </c>
      <c r="F32" s="13">
        <v>1504</v>
      </c>
      <c r="G32" s="13">
        <v>218</v>
      </c>
      <c r="H32" s="13">
        <v>50</v>
      </c>
      <c r="I32" s="14">
        <v>0.557037037037037</v>
      </c>
      <c r="J32" s="14">
        <v>8.0740740740740738E-2</v>
      </c>
      <c r="K32" s="14">
        <v>1.8518518518518521E-2</v>
      </c>
      <c r="L32" s="13">
        <v>113</v>
      </c>
      <c r="M32" t="str" cm="1">
        <f t="array" ref="M32">_xlfn.IFS(E32&lt;6, "0-6 Months", E32&lt;=12, "6-12 Months", E32&lt;=24, "12-24 Months", E32&gt;24, "24+ Months")</f>
        <v>12-24 Months</v>
      </c>
      <c r="N32" t="str" cm="1">
        <f t="array" ref="N32">_xlfn.IFS(E32&lt;6, "12-18 Months", E32&lt;=12, "18-24 Months", E32&lt;=24, "24+ Months", E32&gt;24, "24+ Months")</f>
        <v>24+ Months</v>
      </c>
      <c r="O32" t="str" cm="1">
        <f t="array" ref="O32">_xlfn.IFS(D32&gt;=550, "Major", D32 &gt;= 100, "T1200", D32 &lt;100, "Other")</f>
        <v>Major</v>
      </c>
      <c r="P32">
        <f t="shared" si="0"/>
        <v>0</v>
      </c>
    </row>
    <row r="33" spans="1:16" x14ac:dyDescent="0.2">
      <c r="A33" s="12">
        <v>107092</v>
      </c>
      <c r="B33" s="12" t="s">
        <v>69</v>
      </c>
      <c r="C33" s="13">
        <v>570</v>
      </c>
      <c r="D33" s="13">
        <v>790</v>
      </c>
      <c r="E33" s="13">
        <v>38</v>
      </c>
      <c r="F33" s="13">
        <v>1470</v>
      </c>
      <c r="G33" s="13">
        <v>1222</v>
      </c>
      <c r="H33" s="13">
        <v>86</v>
      </c>
      <c r="I33" s="14">
        <v>1.860759493670886</v>
      </c>
      <c r="J33" s="14">
        <v>1.5468354430379749</v>
      </c>
      <c r="K33" s="14">
        <v>0.1088607594936709</v>
      </c>
      <c r="L33" s="13">
        <v>11</v>
      </c>
      <c r="M33" t="str" cm="1">
        <f t="array" ref="M33">_xlfn.IFS(E33&lt;6, "0-6 Months", E33&lt;=12, "6-12 Months", E33&lt;=24, "12-24 Months", E33&gt;24, "24+ Months")</f>
        <v>24+ Months</v>
      </c>
      <c r="N33" t="str" cm="1">
        <f t="array" ref="N33">_xlfn.IFS(E33&lt;6, "12-18 Months", E33&lt;=12, "18-24 Months", E33&lt;=24, "24+ Months", E33&gt;24, "24+ Months")</f>
        <v>24+ Months</v>
      </c>
      <c r="O33" t="str" cm="1">
        <f t="array" ref="O33">_xlfn.IFS(D33&gt;=550, "Major", D33 &gt;= 100, "T1200", D33 &lt;100, "Other")</f>
        <v>Major</v>
      </c>
      <c r="P33">
        <f t="shared" si="0"/>
        <v>570</v>
      </c>
    </row>
    <row r="34" spans="1:16" x14ac:dyDescent="0.2">
      <c r="A34" s="12">
        <v>109867</v>
      </c>
      <c r="B34" s="12" t="s">
        <v>106</v>
      </c>
      <c r="C34" s="13">
        <v>558</v>
      </c>
      <c r="D34" s="13">
        <v>830</v>
      </c>
      <c r="E34" s="13">
        <v>11</v>
      </c>
      <c r="F34" s="13">
        <v>1461</v>
      </c>
      <c r="G34" s="13">
        <v>1461</v>
      </c>
      <c r="H34" s="13">
        <v>1304</v>
      </c>
      <c r="I34" s="14">
        <v>1.7602409638554219</v>
      </c>
      <c r="J34" s="14">
        <v>1.7602409638554219</v>
      </c>
      <c r="K34" s="14">
        <v>1.5710843373493979</v>
      </c>
      <c r="L34" s="13">
        <v>74</v>
      </c>
      <c r="M34" t="str" cm="1">
        <f t="array" ref="M34">_xlfn.IFS(E34&lt;6, "0-6 Months", E34&lt;=12, "6-12 Months", E34&lt;=24, "12-24 Months", E34&gt;24, "24+ Months")</f>
        <v>6-12 Months</v>
      </c>
      <c r="N34" t="str" cm="1">
        <f t="array" ref="N34">_xlfn.IFS(E34&lt;6, "12-18 Months", E34&lt;=12, "18-24 Months", E34&lt;=24, "24+ Months", E34&gt;24, "24+ Months")</f>
        <v>18-24 Months</v>
      </c>
      <c r="O34" t="str" cm="1">
        <f t="array" ref="O34">_xlfn.IFS(D34&gt;=550, "Major", D34 &gt;= 100, "T1200", D34 &lt;100, "Other")</f>
        <v>Major</v>
      </c>
      <c r="P34">
        <f t="shared" si="0"/>
        <v>558</v>
      </c>
    </row>
    <row r="35" spans="1:16" x14ac:dyDescent="0.2">
      <c r="A35" s="12">
        <v>110958</v>
      </c>
      <c r="B35" s="12" t="s">
        <v>96</v>
      </c>
      <c r="C35" s="13">
        <v>5</v>
      </c>
      <c r="D35" s="13">
        <v>250</v>
      </c>
      <c r="E35" s="13">
        <v>9</v>
      </c>
      <c r="F35" s="13">
        <v>1429</v>
      </c>
      <c r="G35" s="13">
        <v>920</v>
      </c>
      <c r="H35" s="13">
        <v>253</v>
      </c>
      <c r="I35" s="14">
        <v>5.7160000000000002</v>
      </c>
      <c r="J35" s="14">
        <v>3.68</v>
      </c>
      <c r="K35" s="14">
        <v>1.012</v>
      </c>
      <c r="L35" s="13">
        <v>16</v>
      </c>
      <c r="M35" t="str" cm="1">
        <f t="array" ref="M35">_xlfn.IFS(E35&lt;6, "0-6 Months", E35&lt;=12, "6-12 Months", E35&lt;=24, "12-24 Months", E35&gt;24, "24+ Months")</f>
        <v>6-12 Months</v>
      </c>
      <c r="N35" t="str" cm="1">
        <f t="array" ref="N35">_xlfn.IFS(E35&lt;6, "12-18 Months", E35&lt;=12, "18-24 Months", E35&lt;=24, "24+ Months", E35&gt;24, "24+ Months")</f>
        <v>18-24 Months</v>
      </c>
      <c r="O35" t="str" cm="1">
        <f t="array" ref="O35">_xlfn.IFS(D35&gt;=550, "Major", D35 &gt;= 100, "T1200", D35 &lt;100, "Other")</f>
        <v>T1200</v>
      </c>
      <c r="P35">
        <f t="shared" si="0"/>
        <v>5</v>
      </c>
    </row>
    <row r="36" spans="1:16" x14ac:dyDescent="0.2">
      <c r="A36" s="12">
        <v>107824</v>
      </c>
      <c r="B36" s="12" t="s">
        <v>97</v>
      </c>
      <c r="C36" s="13">
        <v>565</v>
      </c>
      <c r="D36" s="13">
        <v>505</v>
      </c>
      <c r="E36" s="13">
        <v>10</v>
      </c>
      <c r="F36" s="13">
        <v>1367</v>
      </c>
      <c r="G36" s="13">
        <v>692</v>
      </c>
      <c r="H36" s="13">
        <v>103</v>
      </c>
      <c r="I36" s="14">
        <v>2.7069306930693071</v>
      </c>
      <c r="J36" s="14">
        <v>1.37029702970297</v>
      </c>
      <c r="K36" s="14">
        <v>0.20396039603960389</v>
      </c>
      <c r="L36" s="13">
        <v>23</v>
      </c>
      <c r="M36" t="str" cm="1">
        <f t="array" ref="M36">_xlfn.IFS(E36&lt;6, "0-6 Months", E36&lt;=12, "6-12 Months", E36&lt;=24, "12-24 Months", E36&gt;24, "24+ Months")</f>
        <v>6-12 Months</v>
      </c>
      <c r="N36" t="str" cm="1">
        <f t="array" ref="N36">_xlfn.IFS(E36&lt;6, "12-18 Months", E36&lt;=12, "18-24 Months", E36&lt;=24, "24+ Months", E36&gt;24, "24+ Months")</f>
        <v>18-24 Months</v>
      </c>
      <c r="O36" t="str" cm="1">
        <f t="array" ref="O36">_xlfn.IFS(D36&gt;=550, "Major", D36 &gt;= 100, "T1200", D36 &lt;100, "Other")</f>
        <v>T1200</v>
      </c>
      <c r="P36">
        <f t="shared" si="0"/>
        <v>565</v>
      </c>
    </row>
    <row r="37" spans="1:16" x14ac:dyDescent="0.2">
      <c r="A37" s="12">
        <v>106524</v>
      </c>
      <c r="B37" s="12" t="s">
        <v>93</v>
      </c>
      <c r="C37" s="13">
        <v>335</v>
      </c>
      <c r="D37" s="13">
        <v>329</v>
      </c>
      <c r="E37" s="13">
        <v>9</v>
      </c>
      <c r="F37" s="13">
        <v>1332</v>
      </c>
      <c r="G37" s="13">
        <v>217</v>
      </c>
      <c r="H37" s="13">
        <v>100</v>
      </c>
      <c r="I37" s="14">
        <v>4.0486322188449844</v>
      </c>
      <c r="J37" s="14">
        <v>0.65957446808510634</v>
      </c>
      <c r="K37" s="14">
        <v>0.303951367781155</v>
      </c>
      <c r="L37" s="13">
        <v>18</v>
      </c>
      <c r="M37" t="str" cm="1">
        <f t="array" ref="M37">_xlfn.IFS(E37&lt;6, "0-6 Months", E37&lt;=12, "6-12 Months", E37&lt;=24, "12-24 Months", E37&gt;24, "24+ Months")</f>
        <v>6-12 Months</v>
      </c>
      <c r="N37" t="str" cm="1">
        <f t="array" ref="N37">_xlfn.IFS(E37&lt;6, "12-18 Months", E37&lt;=12, "18-24 Months", E37&lt;=24, "24+ Months", E37&gt;24, "24+ Months")</f>
        <v>18-24 Months</v>
      </c>
      <c r="O37" t="str" cm="1">
        <f t="array" ref="O37">_xlfn.IFS(D37&gt;=550, "Major", D37 &gt;= 100, "T1200", D37 &lt;100, "Other")</f>
        <v>T1200</v>
      </c>
      <c r="P37">
        <f t="shared" si="0"/>
        <v>335</v>
      </c>
    </row>
    <row r="38" spans="1:16" x14ac:dyDescent="0.2">
      <c r="A38" s="12">
        <v>109160</v>
      </c>
      <c r="B38" s="12" t="s">
        <v>153</v>
      </c>
      <c r="C38" s="13">
        <v>120</v>
      </c>
      <c r="D38" s="13">
        <v>1450</v>
      </c>
      <c r="E38" s="13">
        <v>34</v>
      </c>
      <c r="F38" s="13">
        <v>1320</v>
      </c>
      <c r="G38" s="13">
        <v>432</v>
      </c>
      <c r="H38" s="13">
        <v>72</v>
      </c>
      <c r="I38" s="14">
        <v>0.91034482758620694</v>
      </c>
      <c r="J38" s="14">
        <v>0.29793103448275859</v>
      </c>
      <c r="K38" s="14">
        <v>4.9655172413793101E-2</v>
      </c>
      <c r="L38" s="13">
        <v>146</v>
      </c>
      <c r="M38" t="str" cm="1">
        <f t="array" ref="M38">_xlfn.IFS(E38&lt;6, "0-6 Months", E38&lt;=12, "6-12 Months", E38&lt;=24, "12-24 Months", E38&gt;24, "24+ Months")</f>
        <v>24+ Months</v>
      </c>
      <c r="N38" t="str" cm="1">
        <f t="array" ref="N38">_xlfn.IFS(E38&lt;6, "12-18 Months", E38&lt;=12, "18-24 Months", E38&lt;=24, "24+ Months", E38&gt;24, "24+ Months")</f>
        <v>24+ Months</v>
      </c>
      <c r="O38" t="str" cm="1">
        <f t="array" ref="O38">_xlfn.IFS(D38&gt;=550, "Major", D38 &gt;= 100, "T1200", D38 &lt;100, "Other")</f>
        <v>Major</v>
      </c>
      <c r="P38">
        <f t="shared" si="0"/>
        <v>0</v>
      </c>
    </row>
    <row r="39" spans="1:16" x14ac:dyDescent="0.2">
      <c r="A39" s="12">
        <v>106155</v>
      </c>
      <c r="B39" s="12" t="s">
        <v>351</v>
      </c>
      <c r="C39" s="13">
        <v>3183</v>
      </c>
      <c r="D39" s="13">
        <v>2850</v>
      </c>
      <c r="E39" s="13">
        <v>22</v>
      </c>
      <c r="F39" s="13">
        <v>1210</v>
      </c>
      <c r="G39" s="13">
        <v>987</v>
      </c>
      <c r="H39" s="13">
        <v>0</v>
      </c>
      <c r="I39" s="14">
        <v>0.42456140350877192</v>
      </c>
      <c r="J39" s="14">
        <v>0.34631578947368419</v>
      </c>
      <c r="K39" s="14">
        <v>0</v>
      </c>
      <c r="L39" s="13">
        <v>0</v>
      </c>
      <c r="M39" t="str" cm="1">
        <f t="array" ref="M39">_xlfn.IFS(E39&lt;6, "0-6 Months", E39&lt;=12, "6-12 Months", E39&lt;=24, "12-24 Months", E39&gt;24, "24+ Months")</f>
        <v>12-24 Months</v>
      </c>
      <c r="N39" t="str" cm="1">
        <f t="array" ref="N39">_xlfn.IFS(E39&lt;6, "12-18 Months", E39&lt;=12, "18-24 Months", E39&lt;=24, "24+ Months", E39&gt;24, "24+ Months")</f>
        <v>24+ Months</v>
      </c>
      <c r="O39" t="str" cm="1">
        <f t="array" ref="O39">_xlfn.IFS(D39&gt;=550, "Major", D39 &gt;= 100, "T1200", D39 &lt;100, "Other")</f>
        <v>Major</v>
      </c>
      <c r="P39">
        <f t="shared" si="0"/>
        <v>0</v>
      </c>
    </row>
    <row r="40" spans="1:16" x14ac:dyDescent="0.2">
      <c r="A40" s="12">
        <v>111178</v>
      </c>
      <c r="B40" s="12" t="s">
        <v>80</v>
      </c>
      <c r="C40" s="13">
        <v>105</v>
      </c>
      <c r="D40" s="13">
        <v>145</v>
      </c>
      <c r="E40" s="13">
        <v>6</v>
      </c>
      <c r="F40" s="13">
        <v>1154</v>
      </c>
      <c r="G40" s="13">
        <v>1154</v>
      </c>
      <c r="H40" s="13">
        <v>292</v>
      </c>
      <c r="I40" s="14">
        <v>7.9586206896551728</v>
      </c>
      <c r="J40" s="14">
        <v>7.9586206896551728</v>
      </c>
      <c r="K40" s="14">
        <v>2.0137931034482759</v>
      </c>
      <c r="L40" s="13">
        <v>10</v>
      </c>
      <c r="M40" t="str" cm="1">
        <f t="array" ref="M40">_xlfn.IFS(E40&lt;6, "0-6 Months", E40&lt;=12, "6-12 Months", E40&lt;=24, "12-24 Months", E40&gt;24, "24+ Months")</f>
        <v>6-12 Months</v>
      </c>
      <c r="N40" t="str" cm="1">
        <f t="array" ref="N40">_xlfn.IFS(E40&lt;6, "12-18 Months", E40&lt;=12, "18-24 Months", E40&lt;=24, "24+ Months", E40&gt;24, "24+ Months")</f>
        <v>18-24 Months</v>
      </c>
      <c r="O40" t="str" cm="1">
        <f t="array" ref="O40">_xlfn.IFS(D40&gt;=550, "Major", D40 &gt;= 100, "T1200", D40 &lt;100, "Other")</f>
        <v>T1200</v>
      </c>
      <c r="P40">
        <f t="shared" si="0"/>
        <v>105</v>
      </c>
    </row>
    <row r="41" spans="1:16" x14ac:dyDescent="0.2">
      <c r="A41" s="12">
        <v>313790</v>
      </c>
      <c r="B41" s="12" t="s">
        <v>99</v>
      </c>
      <c r="C41" s="13">
        <v>295</v>
      </c>
      <c r="D41" s="13">
        <v>150</v>
      </c>
      <c r="E41" s="13">
        <v>13</v>
      </c>
      <c r="F41" s="13">
        <v>1107</v>
      </c>
      <c r="G41" s="13">
        <v>48</v>
      </c>
      <c r="H41" s="13">
        <v>30</v>
      </c>
      <c r="I41" s="14">
        <v>7.38</v>
      </c>
      <c r="J41" s="14">
        <v>0.32</v>
      </c>
      <c r="K41" s="14">
        <v>0.2</v>
      </c>
      <c r="L41" s="13">
        <v>0</v>
      </c>
      <c r="M41" t="str" cm="1">
        <f t="array" ref="M41">_xlfn.IFS(E41&lt;6, "0-6 Months", E41&lt;=12, "6-12 Months", E41&lt;=24, "12-24 Months", E41&gt;24, "24+ Months")</f>
        <v>12-24 Months</v>
      </c>
      <c r="N41" t="str" cm="1">
        <f t="array" ref="N41">_xlfn.IFS(E41&lt;6, "12-18 Months", E41&lt;=12, "18-24 Months", E41&lt;=24, "24+ Months", E41&gt;24, "24+ Months")</f>
        <v>24+ Months</v>
      </c>
      <c r="O41" t="str" cm="1">
        <f t="array" ref="O41">_xlfn.IFS(D41&gt;=550, "Major", D41 &gt;= 100, "T1200", D41 &lt;100, "Other")</f>
        <v>T1200</v>
      </c>
      <c r="P41">
        <f t="shared" si="0"/>
        <v>295</v>
      </c>
    </row>
    <row r="42" spans="1:16" x14ac:dyDescent="0.2">
      <c r="A42" s="12">
        <v>106569</v>
      </c>
      <c r="B42" s="12" t="s">
        <v>100</v>
      </c>
      <c r="C42" s="13">
        <v>407</v>
      </c>
      <c r="D42" s="13">
        <v>565</v>
      </c>
      <c r="E42" s="13">
        <v>45</v>
      </c>
      <c r="F42" s="13">
        <v>1091</v>
      </c>
      <c r="G42" s="13">
        <v>217</v>
      </c>
      <c r="H42" s="13">
        <v>0</v>
      </c>
      <c r="I42" s="14">
        <v>1.9309734513274339</v>
      </c>
      <c r="J42" s="14">
        <v>0.384070796460177</v>
      </c>
      <c r="K42" s="14">
        <v>0</v>
      </c>
      <c r="L42" s="13">
        <v>89</v>
      </c>
      <c r="M42" t="str" cm="1">
        <f t="array" ref="M42">_xlfn.IFS(E42&lt;6, "0-6 Months", E42&lt;=12, "6-12 Months", E42&lt;=24, "12-24 Months", E42&gt;24, "24+ Months")</f>
        <v>24+ Months</v>
      </c>
      <c r="N42" t="str" cm="1">
        <f t="array" ref="N42">_xlfn.IFS(E42&lt;6, "12-18 Months", E42&lt;=12, "18-24 Months", E42&lt;=24, "24+ Months", E42&gt;24, "24+ Months")</f>
        <v>24+ Months</v>
      </c>
      <c r="O42" t="str" cm="1">
        <f t="array" ref="O42">_xlfn.IFS(D42&gt;=550, "Major", D42 &gt;= 100, "T1200", D42 &lt;100, "Other")</f>
        <v>Major</v>
      </c>
      <c r="P42">
        <f t="shared" si="0"/>
        <v>0</v>
      </c>
    </row>
    <row r="43" spans="1:16" x14ac:dyDescent="0.2">
      <c r="A43" s="12">
        <v>109291</v>
      </c>
      <c r="B43" s="12" t="s">
        <v>104</v>
      </c>
      <c r="C43" s="13">
        <v>210</v>
      </c>
      <c r="D43" s="13">
        <v>200</v>
      </c>
      <c r="E43" s="13">
        <v>22</v>
      </c>
      <c r="F43" s="13">
        <v>1070</v>
      </c>
      <c r="G43" s="13">
        <v>1051</v>
      </c>
      <c r="H43" s="13">
        <v>1051</v>
      </c>
      <c r="I43" s="14">
        <v>5.35</v>
      </c>
      <c r="J43" s="14">
        <v>5.2549999999999999</v>
      </c>
      <c r="K43" s="14">
        <v>5.2549999999999999</v>
      </c>
      <c r="L43" s="13">
        <v>1</v>
      </c>
      <c r="M43" t="str" cm="1">
        <f t="array" ref="M43">_xlfn.IFS(E43&lt;6, "0-6 Months", E43&lt;=12, "6-12 Months", E43&lt;=24, "12-24 Months", E43&gt;24, "24+ Months")</f>
        <v>12-24 Months</v>
      </c>
      <c r="N43" t="str" cm="1">
        <f t="array" ref="N43">_xlfn.IFS(E43&lt;6, "12-18 Months", E43&lt;=12, "18-24 Months", E43&lt;=24, "24+ Months", E43&gt;24, "24+ Months")</f>
        <v>24+ Months</v>
      </c>
      <c r="O43" t="str" cm="1">
        <f t="array" ref="O43">_xlfn.IFS(D43&gt;=550, "Major", D43 &gt;= 100, "T1200", D43 &lt;100, "Other")</f>
        <v>T1200</v>
      </c>
      <c r="P43">
        <f t="shared" si="0"/>
        <v>210</v>
      </c>
    </row>
    <row r="44" spans="1:16" x14ac:dyDescent="0.2">
      <c r="A44" s="12">
        <v>106715</v>
      </c>
      <c r="B44" s="12" t="s">
        <v>85</v>
      </c>
      <c r="C44" s="13">
        <v>186</v>
      </c>
      <c r="D44" s="13">
        <v>136</v>
      </c>
      <c r="E44" s="13">
        <v>19</v>
      </c>
      <c r="F44" s="13">
        <v>1070</v>
      </c>
      <c r="G44" s="13">
        <v>454</v>
      </c>
      <c r="H44" s="13">
        <v>0</v>
      </c>
      <c r="I44" s="14">
        <v>7.867647058823529</v>
      </c>
      <c r="J44" s="14">
        <v>3.3382352941176472</v>
      </c>
      <c r="K44" s="14">
        <v>0</v>
      </c>
      <c r="L44" s="13">
        <v>378</v>
      </c>
      <c r="M44" t="str" cm="1">
        <f t="array" ref="M44">_xlfn.IFS(E44&lt;6, "0-6 Months", E44&lt;=12, "6-12 Months", E44&lt;=24, "12-24 Months", E44&gt;24, "24+ Months")</f>
        <v>12-24 Months</v>
      </c>
      <c r="N44" t="str" cm="1">
        <f t="array" ref="N44">_xlfn.IFS(E44&lt;6, "12-18 Months", E44&lt;=12, "18-24 Months", E44&lt;=24, "24+ Months", E44&gt;24, "24+ Months")</f>
        <v>24+ Months</v>
      </c>
      <c r="O44" t="str" cm="1">
        <f t="array" ref="O44">_xlfn.IFS(D44&gt;=550, "Major", D44 &gt;= 100, "T1200", D44 &lt;100, "Other")</f>
        <v>T1200</v>
      </c>
      <c r="P44">
        <f t="shared" si="0"/>
        <v>186</v>
      </c>
    </row>
    <row r="45" spans="1:16" x14ac:dyDescent="0.2">
      <c r="A45" s="12">
        <v>511036</v>
      </c>
      <c r="B45" s="12" t="s">
        <v>145</v>
      </c>
      <c r="C45" s="13">
        <v>231</v>
      </c>
      <c r="D45" s="13">
        <v>240</v>
      </c>
      <c r="E45" s="13">
        <v>21</v>
      </c>
      <c r="F45" s="13">
        <v>1056</v>
      </c>
      <c r="G45" s="13">
        <v>1037</v>
      </c>
      <c r="H45" s="13">
        <v>43</v>
      </c>
      <c r="I45" s="14">
        <v>4.4000000000000004</v>
      </c>
      <c r="J45" s="14">
        <v>4.3208333333333337</v>
      </c>
      <c r="K45" s="14">
        <v>0.1791666666666667</v>
      </c>
      <c r="L45" s="13">
        <v>10</v>
      </c>
      <c r="M45" t="str" cm="1">
        <f t="array" ref="M45">_xlfn.IFS(E45&lt;6, "0-6 Months", E45&lt;=12, "6-12 Months", E45&lt;=24, "12-24 Months", E45&gt;24, "24+ Months")</f>
        <v>12-24 Months</v>
      </c>
      <c r="N45" t="str" cm="1">
        <f t="array" ref="N45">_xlfn.IFS(E45&lt;6, "12-18 Months", E45&lt;=12, "18-24 Months", E45&lt;=24, "24+ Months", E45&gt;24, "24+ Months")</f>
        <v>24+ Months</v>
      </c>
      <c r="O45" t="str" cm="1">
        <f t="array" ref="O45">_xlfn.IFS(D45&gt;=550, "Major", D45 &gt;= 100, "T1200", D45 &lt;100, "Other")</f>
        <v>T1200</v>
      </c>
      <c r="P45">
        <f t="shared" si="0"/>
        <v>231</v>
      </c>
    </row>
    <row r="46" spans="1:16" x14ac:dyDescent="0.2">
      <c r="A46" s="12">
        <v>325338</v>
      </c>
      <c r="B46" s="12" t="s">
        <v>125</v>
      </c>
      <c r="C46" s="13">
        <v>20</v>
      </c>
      <c r="D46" s="13">
        <v>180</v>
      </c>
      <c r="E46" s="13">
        <v>13</v>
      </c>
      <c r="F46" s="13">
        <v>1043</v>
      </c>
      <c r="G46" s="13">
        <v>927</v>
      </c>
      <c r="H46" s="13">
        <v>824</v>
      </c>
      <c r="I46" s="14">
        <v>5.7944444444444443</v>
      </c>
      <c r="J46" s="14">
        <v>5.15</v>
      </c>
      <c r="K46" s="14">
        <v>4.5777777777777784</v>
      </c>
      <c r="L46" s="13">
        <v>12</v>
      </c>
      <c r="M46" t="str" cm="1">
        <f t="array" ref="M46">_xlfn.IFS(E46&lt;6, "0-6 Months", E46&lt;=12, "6-12 Months", E46&lt;=24, "12-24 Months", E46&gt;24, "24+ Months")</f>
        <v>12-24 Months</v>
      </c>
      <c r="N46" t="str" cm="1">
        <f t="array" ref="N46">_xlfn.IFS(E46&lt;6, "12-18 Months", E46&lt;=12, "18-24 Months", E46&lt;=24, "24+ Months", E46&gt;24, "24+ Months")</f>
        <v>24+ Months</v>
      </c>
      <c r="O46" t="str" cm="1">
        <f t="array" ref="O46">_xlfn.IFS(D46&gt;=550, "Major", D46 &gt;= 100, "T1200", D46 &lt;100, "Other")</f>
        <v>T1200</v>
      </c>
      <c r="P46">
        <f t="shared" si="0"/>
        <v>20</v>
      </c>
    </row>
    <row r="47" spans="1:16" x14ac:dyDescent="0.2">
      <c r="A47" s="12">
        <v>128775</v>
      </c>
      <c r="B47" s="12" t="s">
        <v>109</v>
      </c>
      <c r="C47" s="13">
        <v>12</v>
      </c>
      <c r="D47" s="13">
        <v>586</v>
      </c>
      <c r="E47" s="13">
        <v>12</v>
      </c>
      <c r="F47" s="13">
        <v>1030</v>
      </c>
      <c r="G47" s="13">
        <v>435</v>
      </c>
      <c r="H47" s="13">
        <v>86</v>
      </c>
      <c r="I47" s="14">
        <v>1.757679180887372</v>
      </c>
      <c r="J47" s="14">
        <v>0.74232081911262804</v>
      </c>
      <c r="K47" s="14">
        <v>0.14675767918088739</v>
      </c>
      <c r="L47" s="13">
        <v>284</v>
      </c>
      <c r="M47" t="str" cm="1">
        <f t="array" ref="M47">_xlfn.IFS(E47&lt;6, "0-6 Months", E47&lt;=12, "6-12 Months", E47&lt;=24, "12-24 Months", E47&gt;24, "24+ Months")</f>
        <v>6-12 Months</v>
      </c>
      <c r="N47" t="str" cm="1">
        <f t="array" ref="N47">_xlfn.IFS(E47&lt;6, "12-18 Months", E47&lt;=12, "18-24 Months", E47&lt;=24, "24+ Months", E47&gt;24, "24+ Months")</f>
        <v>18-24 Months</v>
      </c>
      <c r="O47" t="str" cm="1">
        <f t="array" ref="O47">_xlfn.IFS(D47&gt;=550, "Major", D47 &gt;= 100, "T1200", D47 &lt;100, "Other")</f>
        <v>Major</v>
      </c>
      <c r="P47">
        <f t="shared" si="0"/>
        <v>0</v>
      </c>
    </row>
    <row r="48" spans="1:16" x14ac:dyDescent="0.2">
      <c r="A48" s="12">
        <v>107124</v>
      </c>
      <c r="B48" s="12" t="s">
        <v>114</v>
      </c>
      <c r="C48" s="13">
        <v>327</v>
      </c>
      <c r="D48" s="13">
        <v>364</v>
      </c>
      <c r="E48" s="13">
        <v>34</v>
      </c>
      <c r="F48" s="13">
        <v>999</v>
      </c>
      <c r="G48" s="13">
        <v>335</v>
      </c>
      <c r="H48" s="13">
        <v>113</v>
      </c>
      <c r="I48" s="14">
        <v>2.744505494505495</v>
      </c>
      <c r="J48" s="14">
        <v>0.92032967032967028</v>
      </c>
      <c r="K48" s="14">
        <v>0.31043956043956039</v>
      </c>
      <c r="L48" s="13">
        <v>411</v>
      </c>
      <c r="M48" t="str" cm="1">
        <f t="array" ref="M48">_xlfn.IFS(E48&lt;6, "0-6 Months", E48&lt;=12, "6-12 Months", E48&lt;=24, "12-24 Months", E48&gt;24, "24+ Months")</f>
        <v>24+ Months</v>
      </c>
      <c r="N48" t="str" cm="1">
        <f t="array" ref="N48">_xlfn.IFS(E48&lt;6, "12-18 Months", E48&lt;=12, "18-24 Months", E48&lt;=24, "24+ Months", E48&gt;24, "24+ Months")</f>
        <v>24+ Months</v>
      </c>
      <c r="O48" t="str" cm="1">
        <f t="array" ref="O48">_xlfn.IFS(D48&gt;=550, "Major", D48 &gt;= 100, "T1200", D48 &lt;100, "Other")</f>
        <v>T1200</v>
      </c>
      <c r="P48">
        <f t="shared" si="0"/>
        <v>327</v>
      </c>
    </row>
    <row r="49" spans="1:16" x14ac:dyDescent="0.2">
      <c r="A49" s="12">
        <v>141269</v>
      </c>
      <c r="B49" s="12" t="s">
        <v>108</v>
      </c>
      <c r="C49" s="13">
        <v>314</v>
      </c>
      <c r="D49" s="13">
        <v>300</v>
      </c>
      <c r="E49" s="13">
        <v>21</v>
      </c>
      <c r="F49" s="13">
        <v>962</v>
      </c>
      <c r="G49" s="13">
        <v>24</v>
      </c>
      <c r="H49" s="13">
        <v>15</v>
      </c>
      <c r="I49" s="14">
        <v>3.206666666666667</v>
      </c>
      <c r="J49" s="14">
        <v>0.08</v>
      </c>
      <c r="K49" s="14">
        <v>0.05</v>
      </c>
      <c r="L49" s="13">
        <v>3</v>
      </c>
      <c r="M49" t="str" cm="1">
        <f t="array" ref="M49">_xlfn.IFS(E49&lt;6, "0-6 Months", E49&lt;=12, "6-12 Months", E49&lt;=24, "12-24 Months", E49&gt;24, "24+ Months")</f>
        <v>12-24 Months</v>
      </c>
      <c r="N49" t="str" cm="1">
        <f t="array" ref="N49">_xlfn.IFS(E49&lt;6, "12-18 Months", E49&lt;=12, "18-24 Months", E49&lt;=24, "24+ Months", E49&gt;24, "24+ Months")</f>
        <v>24+ Months</v>
      </c>
      <c r="O49" t="str" cm="1">
        <f t="array" ref="O49">_xlfn.IFS(D49&gt;=550, "Major", D49 &gt;= 100, "T1200", D49 &lt;100, "Other")</f>
        <v>T1200</v>
      </c>
      <c r="P49">
        <f t="shared" si="0"/>
        <v>314</v>
      </c>
    </row>
    <row r="50" spans="1:16" x14ac:dyDescent="0.2">
      <c r="A50" s="12">
        <v>106669</v>
      </c>
      <c r="B50" s="12" t="s">
        <v>110</v>
      </c>
      <c r="C50" s="13">
        <v>200</v>
      </c>
      <c r="D50" s="13">
        <v>83</v>
      </c>
      <c r="E50" s="13">
        <v>11</v>
      </c>
      <c r="F50" s="13">
        <v>958</v>
      </c>
      <c r="G50" s="13">
        <v>237</v>
      </c>
      <c r="H50" s="13">
        <v>181</v>
      </c>
      <c r="I50" s="14">
        <v>11.542168674698789</v>
      </c>
      <c r="J50" s="14">
        <v>2.8554216867469879</v>
      </c>
      <c r="K50" s="14">
        <v>2.1807228915662651</v>
      </c>
      <c r="L50" s="13">
        <v>5</v>
      </c>
      <c r="M50" t="str" cm="1">
        <f t="array" ref="M50">_xlfn.IFS(E50&lt;6, "0-6 Months", E50&lt;=12, "6-12 Months", E50&lt;=24, "12-24 Months", E50&gt;24, "24+ Months")</f>
        <v>6-12 Months</v>
      </c>
      <c r="N50" t="str" cm="1">
        <f t="array" ref="N50">_xlfn.IFS(E50&lt;6, "12-18 Months", E50&lt;=12, "18-24 Months", E50&lt;=24, "24+ Months", E50&gt;24, "24+ Months")</f>
        <v>18-24 Months</v>
      </c>
      <c r="O50" t="str" cm="1">
        <f t="array" ref="O50">_xlfn.IFS(D50&gt;=550, "Major", D50 &gt;= 100, "T1200", D50 &lt;100, "Other")</f>
        <v>Other</v>
      </c>
      <c r="P50">
        <f t="shared" si="0"/>
        <v>200</v>
      </c>
    </row>
    <row r="51" spans="1:16" x14ac:dyDescent="0.2">
      <c r="A51" s="12">
        <v>197700</v>
      </c>
      <c r="B51" s="12" t="s">
        <v>87</v>
      </c>
      <c r="C51" s="13">
        <v>170</v>
      </c>
      <c r="D51" s="13">
        <v>168</v>
      </c>
      <c r="E51" s="13">
        <v>9</v>
      </c>
      <c r="F51" s="13">
        <v>955</v>
      </c>
      <c r="G51" s="13">
        <v>808</v>
      </c>
      <c r="H51" s="13">
        <v>37</v>
      </c>
      <c r="I51" s="14">
        <v>5.6845238095238093</v>
      </c>
      <c r="J51" s="14">
        <v>4.8095238095238093</v>
      </c>
      <c r="K51" s="14">
        <v>0.22023809523809521</v>
      </c>
      <c r="L51" s="13">
        <v>38</v>
      </c>
      <c r="M51" t="str" cm="1">
        <f t="array" ref="M51">_xlfn.IFS(E51&lt;6, "0-6 Months", E51&lt;=12, "6-12 Months", E51&lt;=24, "12-24 Months", E51&gt;24, "24+ Months")</f>
        <v>6-12 Months</v>
      </c>
      <c r="N51" t="str" cm="1">
        <f t="array" ref="N51">_xlfn.IFS(E51&lt;6, "12-18 Months", E51&lt;=12, "18-24 Months", E51&lt;=24, "24+ Months", E51&gt;24, "24+ Months")</f>
        <v>18-24 Months</v>
      </c>
      <c r="O51" t="str" cm="1">
        <f t="array" ref="O51">_xlfn.IFS(D51&gt;=550, "Major", D51 &gt;= 100, "T1200", D51 &lt;100, "Other")</f>
        <v>T1200</v>
      </c>
      <c r="P51">
        <f t="shared" si="0"/>
        <v>170</v>
      </c>
    </row>
    <row r="52" spans="1:16" x14ac:dyDescent="0.2">
      <c r="A52" s="12">
        <v>127250</v>
      </c>
      <c r="B52" s="12" t="s">
        <v>68</v>
      </c>
      <c r="C52" s="13">
        <v>625</v>
      </c>
      <c r="D52" s="13">
        <v>470</v>
      </c>
      <c r="E52" s="13">
        <v>10</v>
      </c>
      <c r="F52" s="13">
        <v>945</v>
      </c>
      <c r="G52" s="13">
        <v>866</v>
      </c>
      <c r="H52" s="13">
        <v>267</v>
      </c>
      <c r="I52" s="14">
        <v>2.0106382978723398</v>
      </c>
      <c r="J52" s="14">
        <v>1.842553191489362</v>
      </c>
      <c r="K52" s="14">
        <v>0.56808510638297871</v>
      </c>
      <c r="L52" s="13">
        <v>29</v>
      </c>
      <c r="M52" t="str" cm="1">
        <f t="array" ref="M52">_xlfn.IFS(E52&lt;6, "0-6 Months", E52&lt;=12, "6-12 Months", E52&lt;=24, "12-24 Months", E52&gt;24, "24+ Months")</f>
        <v>6-12 Months</v>
      </c>
      <c r="N52" t="str" cm="1">
        <f t="array" ref="N52">_xlfn.IFS(E52&lt;6, "12-18 Months", E52&lt;=12, "18-24 Months", E52&lt;=24, "24+ Months", E52&gt;24, "24+ Months")</f>
        <v>18-24 Months</v>
      </c>
      <c r="O52" t="str" cm="1">
        <f t="array" ref="O52">_xlfn.IFS(D52&gt;=550, "Major", D52 &gt;= 100, "T1200", D52 &lt;100, "Other")</f>
        <v>T1200</v>
      </c>
      <c r="P52">
        <f t="shared" si="0"/>
        <v>625</v>
      </c>
    </row>
    <row r="53" spans="1:16" x14ac:dyDescent="0.2">
      <c r="A53" s="12">
        <v>106698</v>
      </c>
      <c r="B53" s="12" t="s">
        <v>113</v>
      </c>
      <c r="C53" s="13">
        <v>78</v>
      </c>
      <c r="D53" s="13">
        <v>169</v>
      </c>
      <c r="E53" s="13">
        <v>37</v>
      </c>
      <c r="F53" s="13">
        <v>915</v>
      </c>
      <c r="G53" s="13">
        <v>222</v>
      </c>
      <c r="H53" s="13">
        <v>23</v>
      </c>
      <c r="I53" s="14">
        <v>5.4142011834319526</v>
      </c>
      <c r="J53" s="14">
        <v>1.3136094674556209</v>
      </c>
      <c r="K53" s="14">
        <v>0.13609467455621299</v>
      </c>
      <c r="L53" s="13">
        <v>274</v>
      </c>
      <c r="M53" t="str" cm="1">
        <f t="array" ref="M53">_xlfn.IFS(E53&lt;6, "0-6 Months", E53&lt;=12, "6-12 Months", E53&lt;=24, "12-24 Months", E53&gt;24, "24+ Months")</f>
        <v>24+ Months</v>
      </c>
      <c r="N53" t="str" cm="1">
        <f t="array" ref="N53">_xlfn.IFS(E53&lt;6, "12-18 Months", E53&lt;=12, "18-24 Months", E53&lt;=24, "24+ Months", E53&gt;24, "24+ Months")</f>
        <v>24+ Months</v>
      </c>
      <c r="O53" t="str" cm="1">
        <f t="array" ref="O53">_xlfn.IFS(D53&gt;=550, "Major", D53 &gt;= 100, "T1200", D53 &lt;100, "Other")</f>
        <v>T1200</v>
      </c>
      <c r="P53">
        <f t="shared" si="0"/>
        <v>78</v>
      </c>
    </row>
    <row r="54" spans="1:16" x14ac:dyDescent="0.2">
      <c r="A54" s="12">
        <v>107989</v>
      </c>
      <c r="B54" s="12" t="s">
        <v>95</v>
      </c>
      <c r="C54" s="13">
        <v>236</v>
      </c>
      <c r="D54" s="13">
        <v>255</v>
      </c>
      <c r="E54" s="13">
        <v>10</v>
      </c>
      <c r="F54" s="13">
        <v>886</v>
      </c>
      <c r="G54" s="13">
        <v>344</v>
      </c>
      <c r="H54" s="13">
        <v>234</v>
      </c>
      <c r="I54" s="14">
        <v>3.4745098039215692</v>
      </c>
      <c r="J54" s="14">
        <v>1.3490196078431369</v>
      </c>
      <c r="K54" s="14">
        <v>0.91764705882352937</v>
      </c>
      <c r="L54" s="13">
        <v>1</v>
      </c>
      <c r="M54" t="str" cm="1">
        <f t="array" ref="M54">_xlfn.IFS(E54&lt;6, "0-6 Months", E54&lt;=12, "6-12 Months", E54&lt;=24, "12-24 Months", E54&gt;24, "24+ Months")</f>
        <v>6-12 Months</v>
      </c>
      <c r="N54" t="str" cm="1">
        <f t="array" ref="N54">_xlfn.IFS(E54&lt;6, "12-18 Months", E54&lt;=12, "18-24 Months", E54&lt;=24, "24+ Months", E54&gt;24, "24+ Months")</f>
        <v>18-24 Months</v>
      </c>
      <c r="O54" t="str" cm="1">
        <f t="array" ref="O54">_xlfn.IFS(D54&gt;=550, "Major", D54 &gt;= 100, "T1200", D54 &lt;100, "Other")</f>
        <v>T1200</v>
      </c>
      <c r="P54">
        <f t="shared" si="0"/>
        <v>236</v>
      </c>
    </row>
    <row r="55" spans="1:16" x14ac:dyDescent="0.2">
      <c r="A55" s="12">
        <v>112129</v>
      </c>
      <c r="B55" s="12" t="s">
        <v>137</v>
      </c>
      <c r="C55" s="13">
        <v>538</v>
      </c>
      <c r="D55" s="13">
        <v>473</v>
      </c>
      <c r="E55" s="13">
        <v>25</v>
      </c>
      <c r="F55" s="13">
        <v>875</v>
      </c>
      <c r="G55" s="13">
        <v>334</v>
      </c>
      <c r="H55" s="13">
        <v>334</v>
      </c>
      <c r="I55" s="14">
        <v>1.8498942917547569</v>
      </c>
      <c r="J55" s="14">
        <v>0.70613107822410148</v>
      </c>
      <c r="K55" s="14">
        <v>0.70613107822410148</v>
      </c>
      <c r="L55" s="13">
        <v>40</v>
      </c>
      <c r="M55" t="str" cm="1">
        <f t="array" ref="M55">_xlfn.IFS(E55&lt;6, "0-6 Months", E55&lt;=12, "6-12 Months", E55&lt;=24, "12-24 Months", E55&gt;24, "24+ Months")</f>
        <v>24+ Months</v>
      </c>
      <c r="N55" t="str" cm="1">
        <f t="array" ref="N55">_xlfn.IFS(E55&lt;6, "12-18 Months", E55&lt;=12, "18-24 Months", E55&lt;=24, "24+ Months", E55&gt;24, "24+ Months")</f>
        <v>24+ Months</v>
      </c>
      <c r="O55" t="str" cm="1">
        <f t="array" ref="O55">_xlfn.IFS(D55&gt;=550, "Major", D55 &gt;= 100, "T1200", D55 &lt;100, "Other")</f>
        <v>T1200</v>
      </c>
      <c r="P55">
        <f t="shared" si="0"/>
        <v>0</v>
      </c>
    </row>
    <row r="56" spans="1:16" x14ac:dyDescent="0.2">
      <c r="A56" s="12">
        <v>108787</v>
      </c>
      <c r="B56" s="12" t="s">
        <v>209</v>
      </c>
      <c r="C56" s="13">
        <v>718</v>
      </c>
      <c r="D56" s="13">
        <v>645</v>
      </c>
      <c r="E56" s="13">
        <v>12</v>
      </c>
      <c r="F56" s="13">
        <v>869</v>
      </c>
      <c r="G56" s="13">
        <v>3</v>
      </c>
      <c r="H56" s="13">
        <v>3</v>
      </c>
      <c r="I56" s="14">
        <v>1.3472868217054259</v>
      </c>
      <c r="J56" s="14">
        <v>4.6511627906976744E-3</v>
      </c>
      <c r="K56" s="14">
        <v>4.6511627906976744E-3</v>
      </c>
      <c r="L56" s="13">
        <v>3</v>
      </c>
      <c r="M56" t="str" cm="1">
        <f t="array" ref="M56">_xlfn.IFS(E56&lt;6, "0-6 Months", E56&lt;=12, "6-12 Months", E56&lt;=24, "12-24 Months", E56&gt;24, "24+ Months")</f>
        <v>6-12 Months</v>
      </c>
      <c r="N56" t="str" cm="1">
        <f t="array" ref="N56">_xlfn.IFS(E56&lt;6, "12-18 Months", E56&lt;=12, "18-24 Months", E56&lt;=24, "24+ Months", E56&gt;24, "24+ Months")</f>
        <v>18-24 Months</v>
      </c>
      <c r="O56" t="str" cm="1">
        <f t="array" ref="O56">_xlfn.IFS(D56&gt;=550, "Major", D56 &gt;= 100, "T1200", D56 &lt;100, "Other")</f>
        <v>Major</v>
      </c>
      <c r="P56">
        <f t="shared" si="0"/>
        <v>0</v>
      </c>
    </row>
    <row r="57" spans="1:16" x14ac:dyDescent="0.2">
      <c r="A57" s="12">
        <v>309995</v>
      </c>
      <c r="B57" s="12" t="s">
        <v>107</v>
      </c>
      <c r="C57" s="13">
        <v>458</v>
      </c>
      <c r="D57" s="13">
        <v>450</v>
      </c>
      <c r="E57" s="13">
        <v>10</v>
      </c>
      <c r="F57" s="13">
        <v>868</v>
      </c>
      <c r="G57" s="13">
        <v>113</v>
      </c>
      <c r="H57" s="13">
        <v>4</v>
      </c>
      <c r="I57" s="14">
        <v>1.9288888888888891</v>
      </c>
      <c r="J57" s="14">
        <v>0.25111111111111112</v>
      </c>
      <c r="K57" s="14">
        <v>8.8888888888888889E-3</v>
      </c>
      <c r="L57" s="13">
        <v>73</v>
      </c>
      <c r="M57" t="str" cm="1">
        <f t="array" ref="M57">_xlfn.IFS(E57&lt;6, "0-6 Months", E57&lt;=12, "6-12 Months", E57&lt;=24, "12-24 Months", E57&gt;24, "24+ Months")</f>
        <v>6-12 Months</v>
      </c>
      <c r="N57" t="str" cm="1">
        <f t="array" ref="N57">_xlfn.IFS(E57&lt;6, "12-18 Months", E57&lt;=12, "18-24 Months", E57&lt;=24, "24+ Months", E57&gt;24, "24+ Months")</f>
        <v>18-24 Months</v>
      </c>
      <c r="O57" t="str" cm="1">
        <f t="array" ref="O57">_xlfn.IFS(D57&gt;=550, "Major", D57 &gt;= 100, "T1200", D57 &lt;100, "Other")</f>
        <v>T1200</v>
      </c>
      <c r="P57">
        <f t="shared" si="0"/>
        <v>0</v>
      </c>
    </row>
    <row r="58" spans="1:16" x14ac:dyDescent="0.2">
      <c r="A58" s="12">
        <v>471191</v>
      </c>
      <c r="B58" s="12" t="s">
        <v>102</v>
      </c>
      <c r="C58" s="13">
        <v>239</v>
      </c>
      <c r="D58" s="13">
        <v>190</v>
      </c>
      <c r="E58" s="13">
        <v>10</v>
      </c>
      <c r="F58" s="13">
        <v>827</v>
      </c>
      <c r="G58" s="13">
        <v>83</v>
      </c>
      <c r="H58" s="13">
        <v>38</v>
      </c>
      <c r="I58" s="14">
        <v>4.3526315789473689</v>
      </c>
      <c r="J58" s="14">
        <v>0.43684210526315792</v>
      </c>
      <c r="K58" s="14">
        <v>0.2</v>
      </c>
      <c r="L58" s="13">
        <v>75</v>
      </c>
      <c r="M58" t="str" cm="1">
        <f t="array" ref="M58">_xlfn.IFS(E58&lt;6, "0-6 Months", E58&lt;=12, "6-12 Months", E58&lt;=24, "12-24 Months", E58&gt;24, "24+ Months")</f>
        <v>6-12 Months</v>
      </c>
      <c r="N58" t="str" cm="1">
        <f t="array" ref="N58">_xlfn.IFS(E58&lt;6, "12-18 Months", E58&lt;=12, "18-24 Months", E58&lt;=24, "24+ Months", E58&gt;24, "24+ Months")</f>
        <v>18-24 Months</v>
      </c>
      <c r="O58" t="str" cm="1">
        <f t="array" ref="O58">_xlfn.IFS(D58&gt;=550, "Major", D58 &gt;= 100, "T1200", D58 &lt;100, "Other")</f>
        <v>T1200</v>
      </c>
      <c r="P58">
        <f t="shared" si="0"/>
        <v>239</v>
      </c>
    </row>
    <row r="59" spans="1:16" x14ac:dyDescent="0.2">
      <c r="A59" s="12">
        <v>115314</v>
      </c>
      <c r="B59" s="12" t="s">
        <v>118</v>
      </c>
      <c r="C59" s="13">
        <v>487</v>
      </c>
      <c r="D59" s="13">
        <v>450</v>
      </c>
      <c r="E59" s="13">
        <v>21</v>
      </c>
      <c r="F59" s="13">
        <v>802</v>
      </c>
      <c r="G59" s="13">
        <v>347</v>
      </c>
      <c r="H59" s="13">
        <v>305</v>
      </c>
      <c r="I59" s="14">
        <v>1.7822222222222219</v>
      </c>
      <c r="J59" s="14">
        <v>0.77111111111111108</v>
      </c>
      <c r="K59" s="14">
        <v>0.67777777777777781</v>
      </c>
      <c r="L59" s="13">
        <v>0</v>
      </c>
      <c r="M59" t="str" cm="1">
        <f t="array" ref="M59">_xlfn.IFS(E59&lt;6, "0-6 Months", E59&lt;=12, "6-12 Months", E59&lt;=24, "12-24 Months", E59&gt;24, "24+ Months")</f>
        <v>12-24 Months</v>
      </c>
      <c r="N59" t="str" cm="1">
        <f t="array" ref="N59">_xlfn.IFS(E59&lt;6, "12-18 Months", E59&lt;=12, "18-24 Months", E59&lt;=24, "24+ Months", E59&gt;24, "24+ Months")</f>
        <v>24+ Months</v>
      </c>
      <c r="O59" t="str" cm="1">
        <f t="array" ref="O59">_xlfn.IFS(D59&gt;=550, "Major", D59 &gt;= 100, "T1200", D59 &lt;100, "Other")</f>
        <v>T1200</v>
      </c>
      <c r="P59">
        <f t="shared" si="0"/>
        <v>0</v>
      </c>
    </row>
    <row r="60" spans="1:16" x14ac:dyDescent="0.2">
      <c r="A60" s="12">
        <v>113111</v>
      </c>
      <c r="B60" s="12" t="s">
        <v>117</v>
      </c>
      <c r="C60" s="13">
        <v>117</v>
      </c>
      <c r="D60" s="13">
        <v>115</v>
      </c>
      <c r="E60" s="13">
        <v>9</v>
      </c>
      <c r="F60" s="13">
        <v>794</v>
      </c>
      <c r="G60" s="13">
        <v>777</v>
      </c>
      <c r="H60" s="13">
        <v>22</v>
      </c>
      <c r="I60" s="14">
        <v>6.9043478260869566</v>
      </c>
      <c r="J60" s="14">
        <v>6.7565217391304344</v>
      </c>
      <c r="K60" s="14">
        <v>0.19130434782608699</v>
      </c>
      <c r="L60" s="13">
        <v>115</v>
      </c>
      <c r="M60" t="str" cm="1">
        <f t="array" ref="M60">_xlfn.IFS(E60&lt;6, "0-6 Months", E60&lt;=12, "6-12 Months", E60&lt;=24, "12-24 Months", E60&gt;24, "24+ Months")</f>
        <v>6-12 Months</v>
      </c>
      <c r="N60" t="str" cm="1">
        <f t="array" ref="N60">_xlfn.IFS(E60&lt;6, "12-18 Months", E60&lt;=12, "18-24 Months", E60&lt;=24, "24+ Months", E60&gt;24, "24+ Months")</f>
        <v>18-24 Months</v>
      </c>
      <c r="O60" t="str" cm="1">
        <f t="array" ref="O60">_xlfn.IFS(D60&gt;=550, "Major", D60 &gt;= 100, "T1200", D60 &lt;100, "Other")</f>
        <v>T1200</v>
      </c>
      <c r="P60">
        <f t="shared" si="0"/>
        <v>117</v>
      </c>
    </row>
    <row r="61" spans="1:16" x14ac:dyDescent="0.2">
      <c r="A61" s="12">
        <v>451087</v>
      </c>
      <c r="B61" s="12" t="s">
        <v>138</v>
      </c>
      <c r="C61" s="13">
        <v>191</v>
      </c>
      <c r="D61" s="13">
        <v>180</v>
      </c>
      <c r="E61" s="13">
        <v>11</v>
      </c>
      <c r="F61" s="13">
        <v>777</v>
      </c>
      <c r="G61" s="13">
        <v>467</v>
      </c>
      <c r="H61" s="13">
        <v>291</v>
      </c>
      <c r="I61" s="14">
        <v>4.3166666666666664</v>
      </c>
      <c r="J61" s="14">
        <v>2.594444444444445</v>
      </c>
      <c r="K61" s="14">
        <v>1.6166666666666669</v>
      </c>
      <c r="L61" s="13">
        <v>1</v>
      </c>
      <c r="M61" t="str" cm="1">
        <f t="array" ref="M61">_xlfn.IFS(E61&lt;6, "0-6 Months", E61&lt;=12, "6-12 Months", E61&lt;=24, "12-24 Months", E61&gt;24, "24+ Months")</f>
        <v>6-12 Months</v>
      </c>
      <c r="N61" t="str" cm="1">
        <f t="array" ref="N61">_xlfn.IFS(E61&lt;6, "12-18 Months", E61&lt;=12, "18-24 Months", E61&lt;=24, "24+ Months", E61&gt;24, "24+ Months")</f>
        <v>18-24 Months</v>
      </c>
      <c r="O61" t="str" cm="1">
        <f t="array" ref="O61">_xlfn.IFS(D61&gt;=550, "Major", D61 &gt;= 100, "T1200", D61 &lt;100, "Other")</f>
        <v>T1200</v>
      </c>
      <c r="P61">
        <f t="shared" si="0"/>
        <v>191</v>
      </c>
    </row>
    <row r="62" spans="1:16" x14ac:dyDescent="0.2">
      <c r="A62" s="12">
        <v>187670</v>
      </c>
      <c r="B62" s="12" t="s">
        <v>121</v>
      </c>
      <c r="C62" s="13">
        <v>75</v>
      </c>
      <c r="D62" s="13">
        <v>105</v>
      </c>
      <c r="E62" s="13">
        <v>12</v>
      </c>
      <c r="F62" s="13">
        <v>768</v>
      </c>
      <c r="G62" s="13">
        <v>383</v>
      </c>
      <c r="H62" s="13">
        <v>68</v>
      </c>
      <c r="I62" s="14">
        <v>7.3142857142857141</v>
      </c>
      <c r="J62" s="14">
        <v>3.647619047619048</v>
      </c>
      <c r="K62" s="14">
        <v>0.64761904761904765</v>
      </c>
      <c r="L62" s="13">
        <v>140</v>
      </c>
      <c r="M62" t="str" cm="1">
        <f t="array" ref="M62">_xlfn.IFS(E62&lt;6, "0-6 Months", E62&lt;=12, "6-12 Months", E62&lt;=24, "12-24 Months", E62&gt;24, "24+ Months")</f>
        <v>6-12 Months</v>
      </c>
      <c r="N62" t="str" cm="1">
        <f t="array" ref="N62">_xlfn.IFS(E62&lt;6, "12-18 Months", E62&lt;=12, "18-24 Months", E62&lt;=24, "24+ Months", E62&gt;24, "24+ Months")</f>
        <v>18-24 Months</v>
      </c>
      <c r="O62" t="str" cm="1">
        <f t="array" ref="O62">_xlfn.IFS(D62&gt;=550, "Major", D62 &gt;= 100, "T1200", D62 &lt;100, "Other")</f>
        <v>T1200</v>
      </c>
      <c r="P62">
        <f t="shared" si="0"/>
        <v>75</v>
      </c>
    </row>
    <row r="63" spans="1:16" x14ac:dyDescent="0.2">
      <c r="A63" s="12">
        <v>186872</v>
      </c>
      <c r="B63" s="12" t="s">
        <v>116</v>
      </c>
      <c r="C63" s="13">
        <v>98</v>
      </c>
      <c r="D63" s="13">
        <v>98</v>
      </c>
      <c r="E63" s="13">
        <v>9</v>
      </c>
      <c r="F63" s="13">
        <v>766</v>
      </c>
      <c r="G63" s="13">
        <v>118</v>
      </c>
      <c r="H63" s="13">
        <v>48</v>
      </c>
      <c r="I63" s="14">
        <v>7.8163265306122449</v>
      </c>
      <c r="J63" s="14">
        <v>1.204081632653061</v>
      </c>
      <c r="K63" s="14">
        <v>0.48979591836734693</v>
      </c>
      <c r="L63" s="13">
        <v>84</v>
      </c>
      <c r="M63" t="str" cm="1">
        <f t="array" ref="M63">_xlfn.IFS(E63&lt;6, "0-6 Months", E63&lt;=12, "6-12 Months", E63&lt;=24, "12-24 Months", E63&gt;24, "24+ Months")</f>
        <v>6-12 Months</v>
      </c>
      <c r="N63" t="str" cm="1">
        <f t="array" ref="N63">_xlfn.IFS(E63&lt;6, "12-18 Months", E63&lt;=12, "18-24 Months", E63&lt;=24, "24+ Months", E63&gt;24, "24+ Months")</f>
        <v>18-24 Months</v>
      </c>
      <c r="O63" t="str" cm="1">
        <f t="array" ref="O63">_xlfn.IFS(D63&gt;=550, "Major", D63 &gt;= 100, "T1200", D63 &lt;100, "Other")</f>
        <v>Other</v>
      </c>
      <c r="P63">
        <f t="shared" si="0"/>
        <v>98</v>
      </c>
    </row>
    <row r="64" spans="1:16" x14ac:dyDescent="0.2">
      <c r="A64" s="12">
        <v>105516</v>
      </c>
      <c r="B64" s="12" t="s">
        <v>170</v>
      </c>
      <c r="C64" s="13">
        <v>1079</v>
      </c>
      <c r="D64" s="13">
        <v>720</v>
      </c>
      <c r="E64" s="13">
        <v>16</v>
      </c>
      <c r="F64" s="13">
        <v>762</v>
      </c>
      <c r="G64" s="13">
        <v>623</v>
      </c>
      <c r="H64" s="13">
        <v>538</v>
      </c>
      <c r="I64" s="14">
        <v>1.0583333333333329</v>
      </c>
      <c r="J64" s="14">
        <v>0.86527777777777781</v>
      </c>
      <c r="K64" s="14">
        <v>0.74722222222222223</v>
      </c>
      <c r="L64" s="13">
        <v>8</v>
      </c>
      <c r="M64" t="str" cm="1">
        <f t="array" ref="M64">_xlfn.IFS(E64&lt;6, "0-6 Months", E64&lt;=12, "6-12 Months", E64&lt;=24, "12-24 Months", E64&gt;24, "24+ Months")</f>
        <v>12-24 Months</v>
      </c>
      <c r="N64" t="str" cm="1">
        <f t="array" ref="N64">_xlfn.IFS(E64&lt;6, "12-18 Months", E64&lt;=12, "18-24 Months", E64&lt;=24, "24+ Months", E64&gt;24, "24+ Months")</f>
        <v>24+ Months</v>
      </c>
      <c r="O64" t="str" cm="1">
        <f t="array" ref="O64">_xlfn.IFS(D64&gt;=550, "Major", D64 &gt;= 100, "T1200", D64 &lt;100, "Other")</f>
        <v>Major</v>
      </c>
      <c r="P64">
        <f t="shared" si="0"/>
        <v>1079</v>
      </c>
    </row>
    <row r="65" spans="1:16" x14ac:dyDescent="0.2">
      <c r="A65" s="12">
        <v>107619</v>
      </c>
      <c r="B65" s="12" t="s">
        <v>123</v>
      </c>
      <c r="C65" s="13">
        <v>255</v>
      </c>
      <c r="D65" s="13">
        <v>255</v>
      </c>
      <c r="E65" s="13">
        <v>13</v>
      </c>
      <c r="F65" s="13">
        <v>753</v>
      </c>
      <c r="G65" s="13">
        <v>454</v>
      </c>
      <c r="H65" s="13">
        <v>193</v>
      </c>
      <c r="I65" s="14">
        <v>2.952941176470588</v>
      </c>
      <c r="J65" s="14">
        <v>1.780392156862745</v>
      </c>
      <c r="K65" s="14">
        <v>0.75686274509803919</v>
      </c>
      <c r="L65" s="13">
        <v>22</v>
      </c>
      <c r="M65" t="str" cm="1">
        <f t="array" ref="M65">_xlfn.IFS(E65&lt;6, "0-6 Months", E65&lt;=12, "6-12 Months", E65&lt;=24, "12-24 Months", E65&gt;24, "24+ Months")</f>
        <v>12-24 Months</v>
      </c>
      <c r="N65" t="str" cm="1">
        <f t="array" ref="N65">_xlfn.IFS(E65&lt;6, "12-18 Months", E65&lt;=12, "18-24 Months", E65&lt;=24, "24+ Months", E65&gt;24, "24+ Months")</f>
        <v>24+ Months</v>
      </c>
      <c r="O65" t="str" cm="1">
        <f t="array" ref="O65">_xlfn.IFS(D65&gt;=550, "Major", D65 &gt;= 100, "T1200", D65 &lt;100, "Other")</f>
        <v>T1200</v>
      </c>
      <c r="P65">
        <f t="shared" si="0"/>
        <v>255</v>
      </c>
    </row>
    <row r="66" spans="1:16" x14ac:dyDescent="0.2">
      <c r="A66" s="12">
        <v>303223</v>
      </c>
      <c r="B66" s="12" t="s">
        <v>164</v>
      </c>
      <c r="C66" s="13">
        <v>247</v>
      </c>
      <c r="D66" s="13">
        <v>232</v>
      </c>
      <c r="E66" s="13">
        <v>33</v>
      </c>
      <c r="F66" s="13">
        <v>745</v>
      </c>
      <c r="G66" s="13">
        <v>166</v>
      </c>
      <c r="H66" s="13">
        <v>140</v>
      </c>
      <c r="I66" s="14">
        <v>3.2112068965517242</v>
      </c>
      <c r="J66" s="14">
        <v>0.71551724137931039</v>
      </c>
      <c r="K66" s="14">
        <v>0.60344827586206895</v>
      </c>
      <c r="L66" s="13">
        <v>36</v>
      </c>
      <c r="M66" t="str" cm="1">
        <f t="array" ref="M66">_xlfn.IFS(E66&lt;6, "0-6 Months", E66&lt;=12, "6-12 Months", E66&lt;=24, "12-24 Months", E66&gt;24, "24+ Months")</f>
        <v>24+ Months</v>
      </c>
      <c r="N66" t="str" cm="1">
        <f t="array" ref="N66">_xlfn.IFS(E66&lt;6, "12-18 Months", E66&lt;=12, "18-24 Months", E66&lt;=24, "24+ Months", E66&gt;24, "24+ Months")</f>
        <v>24+ Months</v>
      </c>
      <c r="O66" t="str" cm="1">
        <f t="array" ref="O66">_xlfn.IFS(D66&gt;=550, "Major", D66 &gt;= 100, "T1200", D66 &lt;100, "Other")</f>
        <v>T1200</v>
      </c>
      <c r="P66">
        <f t="shared" ref="P66:P129" si="1">SUMPRODUCT((I66&gt;=2) * C66 + ((D66&gt;=550) * (J66&gt;=0.75) * (I66&lt;2) * C66))</f>
        <v>247</v>
      </c>
    </row>
    <row r="67" spans="1:16" x14ac:dyDescent="0.2">
      <c r="A67" s="12" t="s">
        <v>131</v>
      </c>
      <c r="B67" s="12" t="s">
        <v>130</v>
      </c>
      <c r="C67" s="13">
        <v>322</v>
      </c>
      <c r="D67" s="13">
        <v>155</v>
      </c>
      <c r="E67" s="13">
        <v>17</v>
      </c>
      <c r="F67" s="13">
        <v>742</v>
      </c>
      <c r="G67" s="13">
        <v>52</v>
      </c>
      <c r="H67" s="13">
        <v>30</v>
      </c>
      <c r="I67" s="14">
        <v>4.7870967741935484</v>
      </c>
      <c r="J67" s="14">
        <v>0.33548387096774201</v>
      </c>
      <c r="K67" s="14">
        <v>0.19354838709677419</v>
      </c>
      <c r="L67" s="13">
        <v>125</v>
      </c>
      <c r="M67" t="str" cm="1">
        <f t="array" ref="M67">_xlfn.IFS(E67&lt;6, "0-6 Months", E67&lt;=12, "6-12 Months", E67&lt;=24, "12-24 Months", E67&gt;24, "24+ Months")</f>
        <v>12-24 Months</v>
      </c>
      <c r="N67" t="str" cm="1">
        <f t="array" ref="N67">_xlfn.IFS(E67&lt;6, "12-18 Months", E67&lt;=12, "18-24 Months", E67&lt;=24, "24+ Months", E67&gt;24, "24+ Months")</f>
        <v>24+ Months</v>
      </c>
      <c r="O67" t="str" cm="1">
        <f t="array" ref="O67">_xlfn.IFS(D67&gt;=550, "Major", D67 &gt;= 100, "T1200", D67 &lt;100, "Other")</f>
        <v>T1200</v>
      </c>
      <c r="P67">
        <f t="shared" si="1"/>
        <v>322</v>
      </c>
    </row>
    <row r="68" spans="1:16" x14ac:dyDescent="0.2">
      <c r="A68" s="12">
        <v>107794</v>
      </c>
      <c r="B68" s="12" t="s">
        <v>152</v>
      </c>
      <c r="C68" s="13">
        <v>250</v>
      </c>
      <c r="D68" s="13">
        <v>274</v>
      </c>
      <c r="E68" s="13">
        <v>25</v>
      </c>
      <c r="F68" s="13">
        <v>741</v>
      </c>
      <c r="G68" s="13">
        <v>433</v>
      </c>
      <c r="H68" s="13">
        <v>93</v>
      </c>
      <c r="I68" s="14">
        <v>2.7043795620437958</v>
      </c>
      <c r="J68" s="14">
        <v>1.5802919708029199</v>
      </c>
      <c r="K68" s="14">
        <v>0.33941605839416061</v>
      </c>
      <c r="L68" s="13">
        <v>0</v>
      </c>
      <c r="M68" t="str" cm="1">
        <f t="array" ref="M68">_xlfn.IFS(E68&lt;6, "0-6 Months", E68&lt;=12, "6-12 Months", E68&lt;=24, "12-24 Months", E68&gt;24, "24+ Months")</f>
        <v>24+ Months</v>
      </c>
      <c r="N68" t="str" cm="1">
        <f t="array" ref="N68">_xlfn.IFS(E68&lt;6, "12-18 Months", E68&lt;=12, "18-24 Months", E68&lt;=24, "24+ Months", E68&gt;24, "24+ Months")</f>
        <v>24+ Months</v>
      </c>
      <c r="O68" t="str" cm="1">
        <f t="array" ref="O68">_xlfn.IFS(D68&gt;=550, "Major", D68 &gt;= 100, "T1200", D68 &lt;100, "Other")</f>
        <v>T1200</v>
      </c>
      <c r="P68">
        <f t="shared" si="1"/>
        <v>250</v>
      </c>
    </row>
    <row r="69" spans="1:16" x14ac:dyDescent="0.2">
      <c r="A69" s="12">
        <v>321833</v>
      </c>
      <c r="B69" s="12" t="s">
        <v>201</v>
      </c>
      <c r="C69" s="13">
        <v>206</v>
      </c>
      <c r="D69" s="13">
        <v>250</v>
      </c>
      <c r="E69" s="13">
        <v>10</v>
      </c>
      <c r="F69" s="13">
        <v>729</v>
      </c>
      <c r="G69" s="13">
        <v>65</v>
      </c>
      <c r="H69" s="13">
        <v>65</v>
      </c>
      <c r="I69" s="14">
        <v>2.9159999999999999</v>
      </c>
      <c r="J69" s="14">
        <v>0.26</v>
      </c>
      <c r="K69" s="14">
        <v>0.26</v>
      </c>
      <c r="L69" s="13">
        <v>0</v>
      </c>
      <c r="M69" t="str" cm="1">
        <f t="array" ref="M69">_xlfn.IFS(E69&lt;6, "0-6 Months", E69&lt;=12, "6-12 Months", E69&lt;=24, "12-24 Months", E69&gt;24, "24+ Months")</f>
        <v>6-12 Months</v>
      </c>
      <c r="N69" t="str" cm="1">
        <f t="array" ref="N69">_xlfn.IFS(E69&lt;6, "12-18 Months", E69&lt;=12, "18-24 Months", E69&lt;=24, "24+ Months", E69&gt;24, "24+ Months")</f>
        <v>18-24 Months</v>
      </c>
      <c r="O69" t="str" cm="1">
        <f t="array" ref="O69">_xlfn.IFS(D69&gt;=550, "Major", D69 &gt;= 100, "T1200", D69 &lt;100, "Other")</f>
        <v>T1200</v>
      </c>
      <c r="P69">
        <f t="shared" si="1"/>
        <v>206</v>
      </c>
    </row>
    <row r="70" spans="1:16" x14ac:dyDescent="0.2">
      <c r="A70" s="12">
        <v>497705</v>
      </c>
      <c r="B70" s="12" t="s">
        <v>171</v>
      </c>
      <c r="C70" s="13">
        <v>5115</v>
      </c>
      <c r="D70" s="13">
        <v>1834</v>
      </c>
      <c r="E70" s="13">
        <v>6</v>
      </c>
      <c r="F70" s="13">
        <v>728</v>
      </c>
      <c r="G70" s="13">
        <v>284</v>
      </c>
      <c r="H70" s="13">
        <v>197</v>
      </c>
      <c r="I70" s="14">
        <v>0.39694656488549618</v>
      </c>
      <c r="J70" s="14">
        <v>0.15485278080697931</v>
      </c>
      <c r="K70" s="14">
        <v>0.1074154852780807</v>
      </c>
      <c r="L70" s="13">
        <v>4</v>
      </c>
      <c r="M70" t="str" cm="1">
        <f t="array" ref="M70">_xlfn.IFS(E70&lt;6, "0-6 Months", E70&lt;=12, "6-12 Months", E70&lt;=24, "12-24 Months", E70&gt;24, "24+ Months")</f>
        <v>6-12 Months</v>
      </c>
      <c r="N70" t="str" cm="1">
        <f t="array" ref="N70">_xlfn.IFS(E70&lt;6, "12-18 Months", E70&lt;=12, "18-24 Months", E70&lt;=24, "24+ Months", E70&gt;24, "24+ Months")</f>
        <v>18-24 Months</v>
      </c>
      <c r="O70" t="str" cm="1">
        <f t="array" ref="O70">_xlfn.IFS(D70&gt;=550, "Major", D70 &gt;= 100, "T1200", D70 &lt;100, "Other")</f>
        <v>Major</v>
      </c>
      <c r="P70">
        <f t="shared" si="1"/>
        <v>0</v>
      </c>
    </row>
    <row r="71" spans="1:16" x14ac:dyDescent="0.2">
      <c r="A71" s="12">
        <v>155263</v>
      </c>
      <c r="B71" s="12" t="s">
        <v>132</v>
      </c>
      <c r="C71" s="13">
        <v>154</v>
      </c>
      <c r="D71" s="13">
        <v>178</v>
      </c>
      <c r="E71" s="13">
        <v>14</v>
      </c>
      <c r="F71" s="13">
        <v>727</v>
      </c>
      <c r="G71" s="13">
        <v>547</v>
      </c>
      <c r="H71" s="13">
        <v>279</v>
      </c>
      <c r="I71" s="14">
        <v>4.084269662921348</v>
      </c>
      <c r="J71" s="14">
        <v>3.0730337078651679</v>
      </c>
      <c r="K71" s="14">
        <v>1.567415730337079</v>
      </c>
      <c r="L71" s="13">
        <v>84</v>
      </c>
      <c r="M71" t="str" cm="1">
        <f t="array" ref="M71">_xlfn.IFS(E71&lt;6, "0-6 Months", E71&lt;=12, "6-12 Months", E71&lt;=24, "12-24 Months", E71&gt;24, "24+ Months")</f>
        <v>12-24 Months</v>
      </c>
      <c r="N71" t="str" cm="1">
        <f t="array" ref="N71">_xlfn.IFS(E71&lt;6, "12-18 Months", E71&lt;=12, "18-24 Months", E71&lt;=24, "24+ Months", E71&gt;24, "24+ Months")</f>
        <v>24+ Months</v>
      </c>
      <c r="O71" t="str" cm="1">
        <f t="array" ref="O71">_xlfn.IFS(D71&gt;=550, "Major", D71 &gt;= 100, "T1200", D71 &lt;100, "Other")</f>
        <v>T1200</v>
      </c>
      <c r="P71">
        <f t="shared" si="1"/>
        <v>154</v>
      </c>
    </row>
    <row r="72" spans="1:16" x14ac:dyDescent="0.2">
      <c r="A72" s="12">
        <v>327797</v>
      </c>
      <c r="B72" s="12" t="s">
        <v>128</v>
      </c>
      <c r="C72" s="13">
        <v>4184</v>
      </c>
      <c r="D72" s="13">
        <v>4500</v>
      </c>
      <c r="E72" s="13">
        <v>10</v>
      </c>
      <c r="F72" s="13">
        <v>711</v>
      </c>
      <c r="G72" s="13">
        <v>450</v>
      </c>
      <c r="H72" s="13">
        <v>253</v>
      </c>
      <c r="I72" s="14">
        <v>0.158</v>
      </c>
      <c r="J72" s="14">
        <v>0.1</v>
      </c>
      <c r="K72" s="14">
        <v>5.6222222222222222E-2</v>
      </c>
      <c r="L72" s="13">
        <v>568</v>
      </c>
      <c r="M72" t="str" cm="1">
        <f t="array" ref="M72">_xlfn.IFS(E72&lt;6, "0-6 Months", E72&lt;=12, "6-12 Months", E72&lt;=24, "12-24 Months", E72&gt;24, "24+ Months")</f>
        <v>6-12 Months</v>
      </c>
      <c r="N72" t="str" cm="1">
        <f t="array" ref="N72">_xlfn.IFS(E72&lt;6, "12-18 Months", E72&lt;=12, "18-24 Months", E72&lt;=24, "24+ Months", E72&gt;24, "24+ Months")</f>
        <v>18-24 Months</v>
      </c>
      <c r="O72" t="str" cm="1">
        <f t="array" ref="O72">_xlfn.IFS(D72&gt;=550, "Major", D72 &gt;= 100, "T1200", D72 &lt;100, "Other")</f>
        <v>Major</v>
      </c>
      <c r="P72">
        <f t="shared" si="1"/>
        <v>0</v>
      </c>
    </row>
    <row r="73" spans="1:16" x14ac:dyDescent="0.2">
      <c r="A73" s="12">
        <v>532247</v>
      </c>
      <c r="B73" s="12" t="s">
        <v>134</v>
      </c>
      <c r="C73" s="13">
        <v>703</v>
      </c>
      <c r="D73" s="13">
        <v>480</v>
      </c>
      <c r="E73" s="13">
        <v>24</v>
      </c>
      <c r="F73" s="13">
        <v>681</v>
      </c>
      <c r="G73" s="13">
        <v>362</v>
      </c>
      <c r="H73" s="13">
        <v>327</v>
      </c>
      <c r="I73" s="14">
        <v>1.41875</v>
      </c>
      <c r="J73" s="14">
        <v>0.75416666666666665</v>
      </c>
      <c r="K73" s="14">
        <v>0.68125000000000002</v>
      </c>
      <c r="L73" s="13">
        <v>6</v>
      </c>
      <c r="M73" t="str" cm="1">
        <f t="array" ref="M73">_xlfn.IFS(E73&lt;6, "0-6 Months", E73&lt;=12, "6-12 Months", E73&lt;=24, "12-24 Months", E73&gt;24, "24+ Months")</f>
        <v>12-24 Months</v>
      </c>
      <c r="N73" t="str" cm="1">
        <f t="array" ref="N73">_xlfn.IFS(E73&lt;6, "12-18 Months", E73&lt;=12, "18-24 Months", E73&lt;=24, "24+ Months", E73&gt;24, "24+ Months")</f>
        <v>24+ Months</v>
      </c>
      <c r="O73" t="str" cm="1">
        <f t="array" ref="O73">_xlfn.IFS(D73&gt;=550, "Major", D73 &gt;= 100, "T1200", D73 &lt;100, "Other")</f>
        <v>T1200</v>
      </c>
      <c r="P73">
        <f t="shared" si="1"/>
        <v>0</v>
      </c>
    </row>
    <row r="74" spans="1:16" x14ac:dyDescent="0.2">
      <c r="A74" s="12">
        <v>157071</v>
      </c>
      <c r="B74" s="12" t="s">
        <v>133</v>
      </c>
      <c r="C74" s="13">
        <v>151</v>
      </c>
      <c r="D74" s="13">
        <v>140</v>
      </c>
      <c r="E74" s="13">
        <v>34</v>
      </c>
      <c r="F74" s="13">
        <v>674</v>
      </c>
      <c r="G74" s="13">
        <v>35</v>
      </c>
      <c r="H74" s="13">
        <v>27</v>
      </c>
      <c r="I74" s="14">
        <v>4.8142857142857141</v>
      </c>
      <c r="J74" s="14">
        <v>0.25</v>
      </c>
      <c r="K74" s="14">
        <v>0.19285714285714289</v>
      </c>
      <c r="L74" s="13">
        <v>0</v>
      </c>
      <c r="M74" t="str" cm="1">
        <f t="array" ref="M74">_xlfn.IFS(E74&lt;6, "0-6 Months", E74&lt;=12, "6-12 Months", E74&lt;=24, "12-24 Months", E74&gt;24, "24+ Months")</f>
        <v>24+ Months</v>
      </c>
      <c r="N74" t="str" cm="1">
        <f t="array" ref="N74">_xlfn.IFS(E74&lt;6, "12-18 Months", E74&lt;=12, "18-24 Months", E74&lt;=24, "24+ Months", E74&gt;24, "24+ Months")</f>
        <v>24+ Months</v>
      </c>
      <c r="O74" t="str" cm="1">
        <f t="array" ref="O74">_xlfn.IFS(D74&gt;=550, "Major", D74 &gt;= 100, "T1200", D74 &lt;100, "Other")</f>
        <v>T1200</v>
      </c>
      <c r="P74">
        <f t="shared" si="1"/>
        <v>151</v>
      </c>
    </row>
    <row r="75" spans="1:16" x14ac:dyDescent="0.2">
      <c r="A75" s="12">
        <v>305896</v>
      </c>
      <c r="B75" s="12" t="s">
        <v>129</v>
      </c>
      <c r="C75" s="13">
        <v>152</v>
      </c>
      <c r="D75" s="13">
        <v>130</v>
      </c>
      <c r="E75" s="13">
        <v>8</v>
      </c>
      <c r="F75" s="13">
        <v>669</v>
      </c>
      <c r="G75" s="13">
        <v>434</v>
      </c>
      <c r="H75" s="13">
        <v>327</v>
      </c>
      <c r="I75" s="14">
        <v>5.1461538461538474</v>
      </c>
      <c r="J75" s="14">
        <v>3.338461538461539</v>
      </c>
      <c r="K75" s="14">
        <v>2.5153846153846149</v>
      </c>
      <c r="L75" s="13">
        <v>19</v>
      </c>
      <c r="M75" t="str" cm="1">
        <f t="array" ref="M75">_xlfn.IFS(E75&lt;6, "0-6 Months", E75&lt;=12, "6-12 Months", E75&lt;=24, "12-24 Months", E75&gt;24, "24+ Months")</f>
        <v>6-12 Months</v>
      </c>
      <c r="N75" t="str" cm="1">
        <f t="array" ref="N75">_xlfn.IFS(E75&lt;6, "12-18 Months", E75&lt;=12, "18-24 Months", E75&lt;=24, "24+ Months", E75&gt;24, "24+ Months")</f>
        <v>18-24 Months</v>
      </c>
      <c r="O75" t="str" cm="1">
        <f t="array" ref="O75">_xlfn.IFS(D75&gt;=550, "Major", D75 &gt;= 100, "T1200", D75 &lt;100, "Other")</f>
        <v>T1200</v>
      </c>
      <c r="P75">
        <f t="shared" si="1"/>
        <v>152</v>
      </c>
    </row>
    <row r="76" spans="1:16" x14ac:dyDescent="0.2">
      <c r="A76" s="12">
        <v>107206</v>
      </c>
      <c r="B76" s="12" t="s">
        <v>203</v>
      </c>
      <c r="C76" s="13">
        <v>896</v>
      </c>
      <c r="D76" s="13">
        <v>859</v>
      </c>
      <c r="E76" s="13">
        <v>10</v>
      </c>
      <c r="F76" s="13">
        <v>657</v>
      </c>
      <c r="G76" s="13">
        <v>649</v>
      </c>
      <c r="H76" s="13">
        <v>594</v>
      </c>
      <c r="I76" s="14">
        <v>0.76484284051222351</v>
      </c>
      <c r="J76" s="14">
        <v>0.75552968568102441</v>
      </c>
      <c r="K76" s="14">
        <v>0.69150174621653082</v>
      </c>
      <c r="L76" s="13">
        <v>46</v>
      </c>
      <c r="M76" t="str" cm="1">
        <f t="array" ref="M76">_xlfn.IFS(E76&lt;6, "0-6 Months", E76&lt;=12, "6-12 Months", E76&lt;=24, "12-24 Months", E76&gt;24, "24+ Months")</f>
        <v>6-12 Months</v>
      </c>
      <c r="N76" t="str" cm="1">
        <f t="array" ref="N76">_xlfn.IFS(E76&lt;6, "12-18 Months", E76&lt;=12, "18-24 Months", E76&lt;=24, "24+ Months", E76&gt;24, "24+ Months")</f>
        <v>18-24 Months</v>
      </c>
      <c r="O76" t="str" cm="1">
        <f t="array" ref="O76">_xlfn.IFS(D76&gt;=550, "Major", D76 &gt;= 100, "T1200", D76 &lt;100, "Other")</f>
        <v>Major</v>
      </c>
      <c r="P76">
        <f t="shared" si="1"/>
        <v>896</v>
      </c>
    </row>
    <row r="77" spans="1:16" x14ac:dyDescent="0.2">
      <c r="A77" s="12">
        <v>110600</v>
      </c>
      <c r="B77" s="12" t="s">
        <v>90</v>
      </c>
      <c r="C77" s="13">
        <v>255</v>
      </c>
      <c r="D77" s="13">
        <v>262</v>
      </c>
      <c r="E77" s="13">
        <v>10</v>
      </c>
      <c r="F77" s="13">
        <v>650</v>
      </c>
      <c r="G77" s="13">
        <v>545</v>
      </c>
      <c r="H77" s="13">
        <v>10</v>
      </c>
      <c r="I77" s="14">
        <v>2.4809160305343512</v>
      </c>
      <c r="J77" s="14">
        <v>2.0801526717557248</v>
      </c>
      <c r="K77" s="14">
        <v>3.8167938931297711E-2</v>
      </c>
      <c r="L77" s="13">
        <v>140</v>
      </c>
      <c r="M77" t="str" cm="1">
        <f t="array" ref="M77">_xlfn.IFS(E77&lt;6, "0-6 Months", E77&lt;=12, "6-12 Months", E77&lt;=24, "12-24 Months", E77&gt;24, "24+ Months")</f>
        <v>6-12 Months</v>
      </c>
      <c r="N77" t="str" cm="1">
        <f t="array" ref="N77">_xlfn.IFS(E77&lt;6, "12-18 Months", E77&lt;=12, "18-24 Months", E77&lt;=24, "24+ Months", E77&gt;24, "24+ Months")</f>
        <v>18-24 Months</v>
      </c>
      <c r="O77" t="str" cm="1">
        <f t="array" ref="O77">_xlfn.IFS(D77&gt;=550, "Major", D77 &gt;= 100, "T1200", D77 &lt;100, "Other")</f>
        <v>T1200</v>
      </c>
      <c r="P77">
        <f t="shared" si="1"/>
        <v>255</v>
      </c>
    </row>
    <row r="78" spans="1:16" x14ac:dyDescent="0.2">
      <c r="A78" s="12">
        <v>112305</v>
      </c>
      <c r="B78" s="12" t="s">
        <v>136</v>
      </c>
      <c r="C78" s="13">
        <v>888</v>
      </c>
      <c r="D78" s="13">
        <v>508</v>
      </c>
      <c r="E78" s="13">
        <v>52</v>
      </c>
      <c r="F78" s="13">
        <v>647</v>
      </c>
      <c r="G78" s="13">
        <v>65</v>
      </c>
      <c r="H78" s="13">
        <v>12</v>
      </c>
      <c r="I78" s="14">
        <v>1.273622047244094</v>
      </c>
      <c r="J78" s="14">
        <v>0.12795275590551181</v>
      </c>
      <c r="K78" s="14">
        <v>2.3622047244094491E-2</v>
      </c>
      <c r="L78" s="13">
        <v>36</v>
      </c>
      <c r="M78" t="str" cm="1">
        <f t="array" ref="M78">_xlfn.IFS(E78&lt;6, "0-6 Months", E78&lt;=12, "6-12 Months", E78&lt;=24, "12-24 Months", E78&gt;24, "24+ Months")</f>
        <v>24+ Months</v>
      </c>
      <c r="N78" t="str" cm="1">
        <f t="array" ref="N78">_xlfn.IFS(E78&lt;6, "12-18 Months", E78&lt;=12, "18-24 Months", E78&lt;=24, "24+ Months", E78&gt;24, "24+ Months")</f>
        <v>24+ Months</v>
      </c>
      <c r="O78" t="str" cm="1">
        <f t="array" ref="O78">_xlfn.IFS(D78&gt;=550, "Major", D78 &gt;= 100, "T1200", D78 &lt;100, "Other")</f>
        <v>T1200</v>
      </c>
      <c r="P78">
        <f t="shared" si="1"/>
        <v>0</v>
      </c>
    </row>
    <row r="79" spans="1:16" x14ac:dyDescent="0.2">
      <c r="A79" s="12">
        <v>106346</v>
      </c>
      <c r="B79" s="12" t="s">
        <v>262</v>
      </c>
      <c r="C79" s="13">
        <v>1340</v>
      </c>
      <c r="D79" s="13">
        <v>1200</v>
      </c>
      <c r="E79" s="13">
        <v>47</v>
      </c>
      <c r="F79" s="13">
        <v>644</v>
      </c>
      <c r="G79" s="13">
        <v>33</v>
      </c>
      <c r="H79" s="13">
        <v>11</v>
      </c>
      <c r="I79" s="14">
        <v>0.53666666666666663</v>
      </c>
      <c r="J79" s="14">
        <v>2.75E-2</v>
      </c>
      <c r="K79" s="14">
        <v>9.1666666666666667E-3</v>
      </c>
      <c r="L79" s="13">
        <v>17</v>
      </c>
      <c r="M79" t="str" cm="1">
        <f t="array" ref="M79">_xlfn.IFS(E79&lt;6, "0-6 Months", E79&lt;=12, "6-12 Months", E79&lt;=24, "12-24 Months", E79&gt;24, "24+ Months")</f>
        <v>24+ Months</v>
      </c>
      <c r="N79" t="str" cm="1">
        <f t="array" ref="N79">_xlfn.IFS(E79&lt;6, "12-18 Months", E79&lt;=12, "18-24 Months", E79&lt;=24, "24+ Months", E79&gt;24, "24+ Months")</f>
        <v>24+ Months</v>
      </c>
      <c r="O79" t="str" cm="1">
        <f t="array" ref="O79">_xlfn.IFS(D79&gt;=550, "Major", D79 &gt;= 100, "T1200", D79 &lt;100, "Other")</f>
        <v>Major</v>
      </c>
      <c r="P79">
        <f t="shared" si="1"/>
        <v>0</v>
      </c>
    </row>
    <row r="80" spans="1:16" x14ac:dyDescent="0.2">
      <c r="A80" s="12">
        <v>109269</v>
      </c>
      <c r="B80" s="12" t="s">
        <v>111</v>
      </c>
      <c r="C80" s="13">
        <v>140</v>
      </c>
      <c r="D80" s="13">
        <v>120</v>
      </c>
      <c r="E80" s="13">
        <v>48</v>
      </c>
      <c r="F80" s="13">
        <v>637</v>
      </c>
      <c r="G80" s="13">
        <v>609</v>
      </c>
      <c r="H80" s="13">
        <v>231</v>
      </c>
      <c r="I80" s="14">
        <v>5.3083333333333336</v>
      </c>
      <c r="J80" s="14">
        <v>5.0750000000000002</v>
      </c>
      <c r="K80" s="14">
        <v>1.925</v>
      </c>
      <c r="L80" s="13">
        <v>10</v>
      </c>
      <c r="M80" t="str" cm="1">
        <f t="array" ref="M80">_xlfn.IFS(E80&lt;6, "0-6 Months", E80&lt;=12, "6-12 Months", E80&lt;=24, "12-24 Months", E80&gt;24, "24+ Months")</f>
        <v>24+ Months</v>
      </c>
      <c r="N80" t="str" cm="1">
        <f t="array" ref="N80">_xlfn.IFS(E80&lt;6, "12-18 Months", E80&lt;=12, "18-24 Months", E80&lt;=24, "24+ Months", E80&gt;24, "24+ Months")</f>
        <v>24+ Months</v>
      </c>
      <c r="O80" t="str" cm="1">
        <f t="array" ref="O80">_xlfn.IFS(D80&gt;=550, "Major", D80 &gt;= 100, "T1200", D80 &lt;100, "Other")</f>
        <v>T1200</v>
      </c>
      <c r="P80">
        <f t="shared" si="1"/>
        <v>140</v>
      </c>
    </row>
    <row r="81" spans="1:16" x14ac:dyDescent="0.2">
      <c r="A81" s="12">
        <v>107969</v>
      </c>
      <c r="B81" s="12" t="s">
        <v>140</v>
      </c>
      <c r="C81" s="13">
        <v>7</v>
      </c>
      <c r="D81" s="13">
        <v>136</v>
      </c>
      <c r="E81" s="13">
        <v>9</v>
      </c>
      <c r="F81" s="13">
        <v>608</v>
      </c>
      <c r="G81" s="13">
        <v>95</v>
      </c>
      <c r="H81" s="13">
        <v>15</v>
      </c>
      <c r="I81" s="14">
        <v>4.4705882352941178</v>
      </c>
      <c r="J81" s="14">
        <v>0.69852941176470584</v>
      </c>
      <c r="K81" s="14">
        <v>0.11029411764705881</v>
      </c>
      <c r="L81" s="13">
        <v>31</v>
      </c>
      <c r="M81" t="str" cm="1">
        <f t="array" ref="M81">_xlfn.IFS(E81&lt;6, "0-6 Months", E81&lt;=12, "6-12 Months", E81&lt;=24, "12-24 Months", E81&gt;24, "24+ Months")</f>
        <v>6-12 Months</v>
      </c>
      <c r="N81" t="str" cm="1">
        <f t="array" ref="N81">_xlfn.IFS(E81&lt;6, "12-18 Months", E81&lt;=12, "18-24 Months", E81&lt;=24, "24+ Months", E81&gt;24, "24+ Months")</f>
        <v>18-24 Months</v>
      </c>
      <c r="O81" t="str" cm="1">
        <f t="array" ref="O81">_xlfn.IFS(D81&gt;=550, "Major", D81 &gt;= 100, "T1200", D81 &lt;100, "Other")</f>
        <v>T1200</v>
      </c>
      <c r="P81">
        <f t="shared" si="1"/>
        <v>7</v>
      </c>
    </row>
    <row r="82" spans="1:16" x14ac:dyDescent="0.2">
      <c r="A82" s="12">
        <v>446518</v>
      </c>
      <c r="B82" s="12" t="s">
        <v>155</v>
      </c>
      <c r="C82" s="13">
        <v>344</v>
      </c>
      <c r="D82" s="13">
        <v>343</v>
      </c>
      <c r="E82" s="13">
        <v>40</v>
      </c>
      <c r="F82" s="13">
        <v>600</v>
      </c>
      <c r="G82" s="13">
        <v>531</v>
      </c>
      <c r="H82" s="13">
        <v>464</v>
      </c>
      <c r="I82" s="14">
        <v>1.749271137026239</v>
      </c>
      <c r="J82" s="14">
        <v>1.5481049562682221</v>
      </c>
      <c r="K82" s="14">
        <v>1.352769679300291</v>
      </c>
      <c r="L82" s="13">
        <v>0</v>
      </c>
      <c r="M82" t="str" cm="1">
        <f t="array" ref="M82">_xlfn.IFS(E82&lt;6, "0-6 Months", E82&lt;=12, "6-12 Months", E82&lt;=24, "12-24 Months", E82&gt;24, "24+ Months")</f>
        <v>24+ Months</v>
      </c>
      <c r="N82" t="str" cm="1">
        <f t="array" ref="N82">_xlfn.IFS(E82&lt;6, "12-18 Months", E82&lt;=12, "18-24 Months", E82&lt;=24, "24+ Months", E82&gt;24, "24+ Months")</f>
        <v>24+ Months</v>
      </c>
      <c r="O82" t="str" cm="1">
        <f t="array" ref="O82">_xlfn.IFS(D82&gt;=550, "Major", D82 &gt;= 100, "T1200", D82 &lt;100, "Other")</f>
        <v>T1200</v>
      </c>
      <c r="P82">
        <f t="shared" si="1"/>
        <v>0</v>
      </c>
    </row>
    <row r="83" spans="1:16" x14ac:dyDescent="0.2">
      <c r="A83" s="12">
        <v>107272</v>
      </c>
      <c r="B83" s="12" t="s">
        <v>101</v>
      </c>
      <c r="C83" s="13">
        <v>130</v>
      </c>
      <c r="D83" s="13">
        <v>240</v>
      </c>
      <c r="E83" s="13">
        <v>18</v>
      </c>
      <c r="F83" s="13">
        <v>599</v>
      </c>
      <c r="G83" s="13">
        <v>585</v>
      </c>
      <c r="H83" s="13">
        <v>166</v>
      </c>
      <c r="I83" s="14">
        <v>2.4958333333333331</v>
      </c>
      <c r="J83" s="14">
        <v>2.4375</v>
      </c>
      <c r="K83" s="14">
        <v>0.69166666666666665</v>
      </c>
      <c r="L83" s="13">
        <v>9</v>
      </c>
      <c r="M83" t="str" cm="1">
        <f t="array" ref="M83">_xlfn.IFS(E83&lt;6, "0-6 Months", E83&lt;=12, "6-12 Months", E83&lt;=24, "12-24 Months", E83&gt;24, "24+ Months")</f>
        <v>12-24 Months</v>
      </c>
      <c r="N83" t="str" cm="1">
        <f t="array" ref="N83">_xlfn.IFS(E83&lt;6, "12-18 Months", E83&lt;=12, "18-24 Months", E83&lt;=24, "24+ Months", E83&gt;24, "24+ Months")</f>
        <v>24+ Months</v>
      </c>
      <c r="O83" t="str" cm="1">
        <f t="array" ref="O83">_xlfn.IFS(D83&gt;=550, "Major", D83 &gt;= 100, "T1200", D83 &lt;100, "Other")</f>
        <v>T1200</v>
      </c>
      <c r="P83">
        <f t="shared" si="1"/>
        <v>130</v>
      </c>
    </row>
    <row r="84" spans="1:16" x14ac:dyDescent="0.2">
      <c r="A84" s="12">
        <v>119937</v>
      </c>
      <c r="B84" s="12" t="s">
        <v>194</v>
      </c>
      <c r="C84" s="13">
        <v>377</v>
      </c>
      <c r="D84" s="13">
        <v>385</v>
      </c>
      <c r="E84" s="13">
        <v>27</v>
      </c>
      <c r="F84" s="13">
        <v>577</v>
      </c>
      <c r="G84" s="13">
        <v>292</v>
      </c>
      <c r="H84" s="13">
        <v>263</v>
      </c>
      <c r="I84" s="14">
        <v>1.4987012987012991</v>
      </c>
      <c r="J84" s="14">
        <v>0.75844155844155847</v>
      </c>
      <c r="K84" s="14">
        <v>0.68311688311688312</v>
      </c>
      <c r="L84" s="13">
        <v>1434</v>
      </c>
      <c r="M84" t="str" cm="1">
        <f t="array" ref="M84">_xlfn.IFS(E84&lt;6, "0-6 Months", E84&lt;=12, "6-12 Months", E84&lt;=24, "12-24 Months", E84&gt;24, "24+ Months")</f>
        <v>24+ Months</v>
      </c>
      <c r="N84" t="str" cm="1">
        <f t="array" ref="N84">_xlfn.IFS(E84&lt;6, "12-18 Months", E84&lt;=12, "18-24 Months", E84&lt;=24, "24+ Months", E84&gt;24, "24+ Months")</f>
        <v>24+ Months</v>
      </c>
      <c r="O84" t="str" cm="1">
        <f t="array" ref="O84">_xlfn.IFS(D84&gt;=550, "Major", D84 &gt;= 100, "T1200", D84 &lt;100, "Other")</f>
        <v>T1200</v>
      </c>
      <c r="P84">
        <f t="shared" si="1"/>
        <v>0</v>
      </c>
    </row>
    <row r="85" spans="1:16" x14ac:dyDescent="0.2">
      <c r="A85" s="12">
        <v>111124</v>
      </c>
      <c r="B85" s="12" t="s">
        <v>127</v>
      </c>
      <c r="C85" s="13">
        <v>88</v>
      </c>
      <c r="D85" s="13">
        <v>87</v>
      </c>
      <c r="E85" s="13">
        <v>60</v>
      </c>
      <c r="F85" s="13">
        <v>558</v>
      </c>
      <c r="G85" s="13">
        <v>468</v>
      </c>
      <c r="H85" s="13">
        <v>221</v>
      </c>
      <c r="I85" s="14">
        <v>6.4137931034482758</v>
      </c>
      <c r="J85" s="14">
        <v>5.3793103448275863</v>
      </c>
      <c r="K85" s="14">
        <v>2.5402298850574709</v>
      </c>
      <c r="L85" s="13">
        <v>5</v>
      </c>
      <c r="M85" t="str" cm="1">
        <f t="array" ref="M85">_xlfn.IFS(E85&lt;6, "0-6 Months", E85&lt;=12, "6-12 Months", E85&lt;=24, "12-24 Months", E85&gt;24, "24+ Months")</f>
        <v>24+ Months</v>
      </c>
      <c r="N85" t="str" cm="1">
        <f t="array" ref="N85">_xlfn.IFS(E85&lt;6, "12-18 Months", E85&lt;=12, "18-24 Months", E85&lt;=24, "24+ Months", E85&gt;24, "24+ Months")</f>
        <v>24+ Months</v>
      </c>
      <c r="O85" t="str" cm="1">
        <f t="array" ref="O85">_xlfn.IFS(D85&gt;=550, "Major", D85 &gt;= 100, "T1200", D85 &lt;100, "Other")</f>
        <v>Other</v>
      </c>
      <c r="P85">
        <f t="shared" si="1"/>
        <v>88</v>
      </c>
    </row>
    <row r="86" spans="1:16" x14ac:dyDescent="0.2">
      <c r="A86" s="12">
        <v>126746</v>
      </c>
      <c r="B86" s="12" t="s">
        <v>163</v>
      </c>
      <c r="C86" s="13">
        <v>0</v>
      </c>
      <c r="D86" s="13">
        <v>516</v>
      </c>
      <c r="E86" s="13">
        <v>13</v>
      </c>
      <c r="F86" s="13">
        <v>557</v>
      </c>
      <c r="G86" s="13">
        <v>84</v>
      </c>
      <c r="H86" s="13">
        <v>78</v>
      </c>
      <c r="I86" s="14">
        <v>1.079457364341085</v>
      </c>
      <c r="J86" s="14">
        <v>0.16279069767441859</v>
      </c>
      <c r="K86" s="14">
        <v>0.15116279069767441</v>
      </c>
      <c r="L86" s="13">
        <v>3</v>
      </c>
      <c r="M86" t="str" cm="1">
        <f t="array" ref="M86">_xlfn.IFS(E86&lt;6, "0-6 Months", E86&lt;=12, "6-12 Months", E86&lt;=24, "12-24 Months", E86&gt;24, "24+ Months")</f>
        <v>12-24 Months</v>
      </c>
      <c r="N86" t="str" cm="1">
        <f t="array" ref="N86">_xlfn.IFS(E86&lt;6, "12-18 Months", E86&lt;=12, "18-24 Months", E86&lt;=24, "24+ Months", E86&gt;24, "24+ Months")</f>
        <v>24+ Months</v>
      </c>
      <c r="O86" t="str" cm="1">
        <f t="array" ref="O86">_xlfn.IFS(D86&gt;=550, "Major", D86 &gt;= 100, "T1200", D86 &lt;100, "Other")</f>
        <v>T1200</v>
      </c>
      <c r="P86">
        <f t="shared" si="1"/>
        <v>0</v>
      </c>
    </row>
    <row r="87" spans="1:16" x14ac:dyDescent="0.2">
      <c r="A87" s="12">
        <v>106528</v>
      </c>
      <c r="B87" s="12" t="s">
        <v>146</v>
      </c>
      <c r="C87" s="13">
        <v>120</v>
      </c>
      <c r="D87" s="13">
        <v>150</v>
      </c>
      <c r="E87" s="13">
        <v>7</v>
      </c>
      <c r="F87" s="13">
        <v>554</v>
      </c>
      <c r="G87" s="13">
        <v>529</v>
      </c>
      <c r="H87" s="13">
        <v>456</v>
      </c>
      <c r="I87" s="14">
        <v>3.6933333333333329</v>
      </c>
      <c r="J87" s="14">
        <v>3.5266666666666668</v>
      </c>
      <c r="K87" s="14">
        <v>3.04</v>
      </c>
      <c r="L87" s="13">
        <v>179</v>
      </c>
      <c r="M87" t="str" cm="1">
        <f t="array" ref="M87">_xlfn.IFS(E87&lt;6, "0-6 Months", E87&lt;=12, "6-12 Months", E87&lt;=24, "12-24 Months", E87&gt;24, "24+ Months")</f>
        <v>6-12 Months</v>
      </c>
      <c r="N87" t="str" cm="1">
        <f t="array" ref="N87">_xlfn.IFS(E87&lt;6, "12-18 Months", E87&lt;=12, "18-24 Months", E87&lt;=24, "24+ Months", E87&gt;24, "24+ Months")</f>
        <v>18-24 Months</v>
      </c>
      <c r="O87" t="str" cm="1">
        <f t="array" ref="O87">_xlfn.IFS(D87&gt;=550, "Major", D87 &gt;= 100, "T1200", D87 &lt;100, "Other")</f>
        <v>T1200</v>
      </c>
      <c r="P87">
        <f t="shared" si="1"/>
        <v>120</v>
      </c>
    </row>
    <row r="88" spans="1:16" x14ac:dyDescent="0.2">
      <c r="A88" s="12">
        <v>365837</v>
      </c>
      <c r="B88" s="12" t="s">
        <v>214</v>
      </c>
      <c r="C88" s="13">
        <v>0</v>
      </c>
      <c r="D88" s="13">
        <v>23</v>
      </c>
      <c r="E88" s="13">
        <v>24</v>
      </c>
      <c r="F88" s="13">
        <v>536</v>
      </c>
      <c r="G88" s="13">
        <v>253</v>
      </c>
      <c r="H88" s="13">
        <v>228</v>
      </c>
      <c r="I88" s="14">
        <v>23.304347826086961</v>
      </c>
      <c r="J88" s="14">
        <v>11</v>
      </c>
      <c r="K88" s="14">
        <v>9.9130434782608692</v>
      </c>
      <c r="L88" s="13">
        <v>12</v>
      </c>
      <c r="M88" t="str" cm="1">
        <f t="array" ref="M88">_xlfn.IFS(E88&lt;6, "0-6 Months", E88&lt;=12, "6-12 Months", E88&lt;=24, "12-24 Months", E88&gt;24, "24+ Months")</f>
        <v>12-24 Months</v>
      </c>
      <c r="N88" t="str" cm="1">
        <f t="array" ref="N88">_xlfn.IFS(E88&lt;6, "12-18 Months", E88&lt;=12, "18-24 Months", E88&lt;=24, "24+ Months", E88&gt;24, "24+ Months")</f>
        <v>24+ Months</v>
      </c>
      <c r="O88" t="str" cm="1">
        <f t="array" ref="O88">_xlfn.IFS(D88&gt;=550, "Major", D88 &gt;= 100, "T1200", D88 &lt;100, "Other")</f>
        <v>Other</v>
      </c>
      <c r="P88">
        <f t="shared" si="1"/>
        <v>0</v>
      </c>
    </row>
    <row r="89" spans="1:16" x14ac:dyDescent="0.2">
      <c r="A89" s="12">
        <v>306038</v>
      </c>
      <c r="B89" s="12" t="s">
        <v>160</v>
      </c>
      <c r="C89" s="13">
        <v>105</v>
      </c>
      <c r="D89" s="13">
        <v>90</v>
      </c>
      <c r="E89" s="13">
        <v>49</v>
      </c>
      <c r="F89" s="13">
        <v>526</v>
      </c>
      <c r="G89" s="13">
        <v>472</v>
      </c>
      <c r="H89" s="13">
        <v>231</v>
      </c>
      <c r="I89" s="14">
        <v>5.8444444444444441</v>
      </c>
      <c r="J89" s="14">
        <v>5.2444444444444436</v>
      </c>
      <c r="K89" s="14">
        <v>2.5666666666666669</v>
      </c>
      <c r="L89" s="13">
        <v>10</v>
      </c>
      <c r="M89" t="str" cm="1">
        <f t="array" ref="M89">_xlfn.IFS(E89&lt;6, "0-6 Months", E89&lt;=12, "6-12 Months", E89&lt;=24, "12-24 Months", E89&gt;24, "24+ Months")</f>
        <v>24+ Months</v>
      </c>
      <c r="N89" t="str" cm="1">
        <f t="array" ref="N89">_xlfn.IFS(E89&lt;6, "12-18 Months", E89&lt;=12, "18-24 Months", E89&lt;=24, "24+ Months", E89&gt;24, "24+ Months")</f>
        <v>24+ Months</v>
      </c>
      <c r="O89" t="str" cm="1">
        <f t="array" ref="O89">_xlfn.IFS(D89&gt;=550, "Major", D89 &gt;= 100, "T1200", D89 &lt;100, "Other")</f>
        <v>Other</v>
      </c>
      <c r="P89">
        <f t="shared" si="1"/>
        <v>105</v>
      </c>
    </row>
    <row r="90" spans="1:16" x14ac:dyDescent="0.2">
      <c r="A90" s="12">
        <v>106711</v>
      </c>
      <c r="B90" s="12" t="s">
        <v>126</v>
      </c>
      <c r="C90" s="13">
        <v>171</v>
      </c>
      <c r="D90" s="13">
        <v>270</v>
      </c>
      <c r="E90" s="13">
        <v>6</v>
      </c>
      <c r="F90" s="13">
        <v>525</v>
      </c>
      <c r="G90" s="13">
        <v>523</v>
      </c>
      <c r="H90" s="13">
        <v>65</v>
      </c>
      <c r="I90" s="14">
        <v>1.944444444444444</v>
      </c>
      <c r="J90" s="14">
        <v>1.9370370370370369</v>
      </c>
      <c r="K90" s="14">
        <v>0.2407407407407407</v>
      </c>
      <c r="L90" s="13">
        <v>4</v>
      </c>
      <c r="M90" t="str" cm="1">
        <f t="array" ref="M90">_xlfn.IFS(E90&lt;6, "0-6 Months", E90&lt;=12, "6-12 Months", E90&lt;=24, "12-24 Months", E90&gt;24, "24+ Months")</f>
        <v>6-12 Months</v>
      </c>
      <c r="N90" t="str" cm="1">
        <f t="array" ref="N90">_xlfn.IFS(E90&lt;6, "12-18 Months", E90&lt;=12, "18-24 Months", E90&lt;=24, "24+ Months", E90&gt;24, "24+ Months")</f>
        <v>18-24 Months</v>
      </c>
      <c r="O90" t="str" cm="1">
        <f t="array" ref="O90">_xlfn.IFS(D90&gt;=550, "Major", D90 &gt;= 100, "T1200", D90 &lt;100, "Other")</f>
        <v>T1200</v>
      </c>
      <c r="P90">
        <f t="shared" si="1"/>
        <v>0</v>
      </c>
    </row>
    <row r="91" spans="1:16" x14ac:dyDescent="0.2">
      <c r="A91" s="12">
        <v>106297</v>
      </c>
      <c r="B91" s="12" t="s">
        <v>240</v>
      </c>
      <c r="C91" s="13">
        <v>296</v>
      </c>
      <c r="D91" s="13">
        <v>235</v>
      </c>
      <c r="E91" s="13">
        <v>21</v>
      </c>
      <c r="F91" s="13">
        <v>523</v>
      </c>
      <c r="G91" s="13">
        <v>26</v>
      </c>
      <c r="H91" s="13">
        <v>0</v>
      </c>
      <c r="I91" s="14">
        <v>2.225531914893617</v>
      </c>
      <c r="J91" s="14">
        <v>0.1106382978723404</v>
      </c>
      <c r="K91" s="14">
        <v>0</v>
      </c>
      <c r="L91" s="13">
        <v>136</v>
      </c>
      <c r="M91" t="str" cm="1">
        <f t="array" ref="M91">_xlfn.IFS(E91&lt;6, "0-6 Months", E91&lt;=12, "6-12 Months", E91&lt;=24, "12-24 Months", E91&gt;24, "24+ Months")</f>
        <v>12-24 Months</v>
      </c>
      <c r="N91" t="str" cm="1">
        <f t="array" ref="N91">_xlfn.IFS(E91&lt;6, "12-18 Months", E91&lt;=12, "18-24 Months", E91&lt;=24, "24+ Months", E91&gt;24, "24+ Months")</f>
        <v>24+ Months</v>
      </c>
      <c r="O91" t="str" cm="1">
        <f t="array" ref="O91">_xlfn.IFS(D91&gt;=550, "Major", D91 &gt;= 100, "T1200", D91 &lt;100, "Other")</f>
        <v>T1200</v>
      </c>
      <c r="P91">
        <f t="shared" si="1"/>
        <v>296</v>
      </c>
    </row>
    <row r="92" spans="1:16" x14ac:dyDescent="0.2">
      <c r="A92" s="12">
        <v>107993</v>
      </c>
      <c r="B92" s="12" t="s">
        <v>162</v>
      </c>
      <c r="C92" s="13">
        <v>157</v>
      </c>
      <c r="D92" s="13">
        <v>151</v>
      </c>
      <c r="E92" s="13">
        <v>20</v>
      </c>
      <c r="F92" s="13">
        <v>523</v>
      </c>
      <c r="G92" s="13">
        <v>291</v>
      </c>
      <c r="H92" s="13">
        <v>290</v>
      </c>
      <c r="I92" s="14">
        <v>3.4635761589403971</v>
      </c>
      <c r="J92" s="14">
        <v>1.927152317880795</v>
      </c>
      <c r="K92" s="14">
        <v>1.9205298013245029</v>
      </c>
      <c r="L92" s="13">
        <v>7</v>
      </c>
      <c r="M92" t="str" cm="1">
        <f t="array" ref="M92">_xlfn.IFS(E92&lt;6, "0-6 Months", E92&lt;=12, "6-12 Months", E92&lt;=24, "12-24 Months", E92&gt;24, "24+ Months")</f>
        <v>12-24 Months</v>
      </c>
      <c r="N92" t="str" cm="1">
        <f t="array" ref="N92">_xlfn.IFS(E92&lt;6, "12-18 Months", E92&lt;=12, "18-24 Months", E92&lt;=24, "24+ Months", E92&gt;24, "24+ Months")</f>
        <v>24+ Months</v>
      </c>
      <c r="O92" t="str" cm="1">
        <f t="array" ref="O92">_xlfn.IFS(D92&gt;=550, "Major", D92 &gt;= 100, "T1200", D92 &lt;100, "Other")</f>
        <v>T1200</v>
      </c>
      <c r="P92">
        <f t="shared" si="1"/>
        <v>157</v>
      </c>
    </row>
    <row r="93" spans="1:16" x14ac:dyDescent="0.2">
      <c r="A93" s="12">
        <v>110404</v>
      </c>
      <c r="B93" s="12" t="s">
        <v>86</v>
      </c>
      <c r="C93" s="13">
        <v>248</v>
      </c>
      <c r="D93" s="13">
        <v>227</v>
      </c>
      <c r="E93" s="13">
        <v>10</v>
      </c>
      <c r="F93" s="13">
        <v>522</v>
      </c>
      <c r="G93" s="13">
        <v>72</v>
      </c>
      <c r="H93" s="13">
        <v>35</v>
      </c>
      <c r="I93" s="14">
        <v>2.2995594713656389</v>
      </c>
      <c r="J93" s="14">
        <v>0.31718061674008807</v>
      </c>
      <c r="K93" s="14">
        <v>0.1541850220264317</v>
      </c>
      <c r="L93" s="13">
        <v>3</v>
      </c>
      <c r="M93" t="str" cm="1">
        <f t="array" ref="M93">_xlfn.IFS(E93&lt;6, "0-6 Months", E93&lt;=12, "6-12 Months", E93&lt;=24, "12-24 Months", E93&gt;24, "24+ Months")</f>
        <v>6-12 Months</v>
      </c>
      <c r="N93" t="str" cm="1">
        <f t="array" ref="N93">_xlfn.IFS(E93&lt;6, "12-18 Months", E93&lt;=12, "18-24 Months", E93&lt;=24, "24+ Months", E93&gt;24, "24+ Months")</f>
        <v>18-24 Months</v>
      </c>
      <c r="O93" t="str" cm="1">
        <f t="array" ref="O93">_xlfn.IFS(D93&gt;=550, "Major", D93 &gt;= 100, "T1200", D93 &lt;100, "Other")</f>
        <v>T1200</v>
      </c>
      <c r="P93">
        <f t="shared" si="1"/>
        <v>248</v>
      </c>
    </row>
    <row r="94" spans="1:16" x14ac:dyDescent="0.2">
      <c r="A94" s="12">
        <v>109079</v>
      </c>
      <c r="B94" s="12" t="s">
        <v>148</v>
      </c>
      <c r="C94" s="13">
        <v>280</v>
      </c>
      <c r="D94" s="13">
        <v>274</v>
      </c>
      <c r="E94" s="13">
        <v>34</v>
      </c>
      <c r="F94" s="13">
        <v>496</v>
      </c>
      <c r="G94" s="13">
        <v>46</v>
      </c>
      <c r="H94" s="13">
        <v>1</v>
      </c>
      <c r="I94" s="14">
        <v>1.81021897810219</v>
      </c>
      <c r="J94" s="14">
        <v>0.16788321167883211</v>
      </c>
      <c r="K94" s="14">
        <v>3.6496350364963498E-3</v>
      </c>
      <c r="L94" s="13">
        <v>0</v>
      </c>
      <c r="M94" t="str" cm="1">
        <f t="array" ref="M94">_xlfn.IFS(E94&lt;6, "0-6 Months", E94&lt;=12, "6-12 Months", E94&lt;=24, "12-24 Months", E94&gt;24, "24+ Months")</f>
        <v>24+ Months</v>
      </c>
      <c r="N94" t="str" cm="1">
        <f t="array" ref="N94">_xlfn.IFS(E94&lt;6, "12-18 Months", E94&lt;=12, "18-24 Months", E94&lt;=24, "24+ Months", E94&gt;24, "24+ Months")</f>
        <v>24+ Months</v>
      </c>
      <c r="O94" t="str" cm="1">
        <f t="array" ref="O94">_xlfn.IFS(D94&gt;=550, "Major", D94 &gt;= 100, "T1200", D94 &lt;100, "Other")</f>
        <v>T1200</v>
      </c>
      <c r="P94">
        <f t="shared" si="1"/>
        <v>0</v>
      </c>
    </row>
    <row r="95" spans="1:16" x14ac:dyDescent="0.2">
      <c r="A95" s="12">
        <v>109374</v>
      </c>
      <c r="B95" s="12" t="s">
        <v>157</v>
      </c>
      <c r="C95" s="13">
        <v>101</v>
      </c>
      <c r="D95" s="13">
        <v>100</v>
      </c>
      <c r="E95" s="13">
        <v>10</v>
      </c>
      <c r="F95" s="13">
        <v>494</v>
      </c>
      <c r="G95" s="13">
        <v>45</v>
      </c>
      <c r="H95" s="13">
        <v>24</v>
      </c>
      <c r="I95" s="14">
        <v>4.9400000000000004</v>
      </c>
      <c r="J95" s="14">
        <v>0.45</v>
      </c>
      <c r="K95" s="14">
        <v>0.24</v>
      </c>
      <c r="L95" s="13">
        <v>6</v>
      </c>
      <c r="M95" t="str" cm="1">
        <f t="array" ref="M95">_xlfn.IFS(E95&lt;6, "0-6 Months", E95&lt;=12, "6-12 Months", E95&lt;=24, "12-24 Months", E95&gt;24, "24+ Months")</f>
        <v>6-12 Months</v>
      </c>
      <c r="N95" t="str" cm="1">
        <f t="array" ref="N95">_xlfn.IFS(E95&lt;6, "12-18 Months", E95&lt;=12, "18-24 Months", E95&lt;=24, "24+ Months", E95&gt;24, "24+ Months")</f>
        <v>18-24 Months</v>
      </c>
      <c r="O95" t="str" cm="1">
        <f t="array" ref="O95">_xlfn.IFS(D95&gt;=550, "Major", D95 &gt;= 100, "T1200", D95 &lt;100, "Other")</f>
        <v>T1200</v>
      </c>
      <c r="P95">
        <f t="shared" si="1"/>
        <v>101</v>
      </c>
    </row>
    <row r="96" spans="1:16" x14ac:dyDescent="0.2">
      <c r="A96" s="12">
        <v>467119</v>
      </c>
      <c r="B96" s="12" t="s">
        <v>251</v>
      </c>
      <c r="C96" s="13">
        <v>164</v>
      </c>
      <c r="D96" s="13">
        <v>140</v>
      </c>
      <c r="E96" s="13">
        <v>14</v>
      </c>
      <c r="F96" s="13">
        <v>492</v>
      </c>
      <c r="G96" s="13">
        <v>377</v>
      </c>
      <c r="H96" s="13">
        <v>340</v>
      </c>
      <c r="I96" s="14">
        <v>3.5142857142857138</v>
      </c>
      <c r="J96" s="14">
        <v>2.6928571428571431</v>
      </c>
      <c r="K96" s="14">
        <v>2.4285714285714279</v>
      </c>
      <c r="L96" s="13">
        <v>301</v>
      </c>
      <c r="M96" t="str" cm="1">
        <f t="array" ref="M96">_xlfn.IFS(E96&lt;6, "0-6 Months", E96&lt;=12, "6-12 Months", E96&lt;=24, "12-24 Months", E96&gt;24, "24+ Months")</f>
        <v>12-24 Months</v>
      </c>
      <c r="N96" t="str" cm="1">
        <f t="array" ref="N96">_xlfn.IFS(E96&lt;6, "12-18 Months", E96&lt;=12, "18-24 Months", E96&lt;=24, "24+ Months", E96&gt;24, "24+ Months")</f>
        <v>24+ Months</v>
      </c>
      <c r="O96" t="str" cm="1">
        <f t="array" ref="O96">_xlfn.IFS(D96&gt;=550, "Major", D96 &gt;= 100, "T1200", D96 &lt;100, "Other")</f>
        <v>T1200</v>
      </c>
      <c r="P96">
        <f t="shared" si="1"/>
        <v>164</v>
      </c>
    </row>
    <row r="97" spans="1:16" x14ac:dyDescent="0.2">
      <c r="A97" s="12">
        <v>113358</v>
      </c>
      <c r="B97" s="12" t="s">
        <v>168</v>
      </c>
      <c r="C97" s="13">
        <v>6</v>
      </c>
      <c r="D97" s="13">
        <v>150</v>
      </c>
      <c r="E97" s="13">
        <v>8</v>
      </c>
      <c r="F97" s="13">
        <v>490</v>
      </c>
      <c r="G97" s="13">
        <v>419</v>
      </c>
      <c r="H97" s="13">
        <v>13</v>
      </c>
      <c r="I97" s="14">
        <v>3.2666666666666671</v>
      </c>
      <c r="J97" s="14">
        <v>2.793333333333333</v>
      </c>
      <c r="K97" s="14">
        <v>8.666666666666667E-2</v>
      </c>
      <c r="L97" s="13">
        <v>105</v>
      </c>
      <c r="M97" t="str" cm="1">
        <f t="array" ref="M97">_xlfn.IFS(E97&lt;6, "0-6 Months", E97&lt;=12, "6-12 Months", E97&lt;=24, "12-24 Months", E97&gt;24, "24+ Months")</f>
        <v>6-12 Months</v>
      </c>
      <c r="N97" t="str" cm="1">
        <f t="array" ref="N97">_xlfn.IFS(E97&lt;6, "12-18 Months", E97&lt;=12, "18-24 Months", E97&lt;=24, "24+ Months", E97&gt;24, "24+ Months")</f>
        <v>18-24 Months</v>
      </c>
      <c r="O97" t="str" cm="1">
        <f t="array" ref="O97">_xlfn.IFS(D97&gt;=550, "Major", D97 &gt;= 100, "T1200", D97 &lt;100, "Other")</f>
        <v>T1200</v>
      </c>
      <c r="P97">
        <f t="shared" si="1"/>
        <v>6</v>
      </c>
    </row>
    <row r="98" spans="1:16" x14ac:dyDescent="0.2">
      <c r="A98" s="12">
        <v>149220</v>
      </c>
      <c r="B98" s="12" t="s">
        <v>151</v>
      </c>
      <c r="C98" s="13">
        <v>103</v>
      </c>
      <c r="D98" s="13">
        <v>100</v>
      </c>
      <c r="E98" s="13">
        <v>7</v>
      </c>
      <c r="F98" s="13">
        <v>489</v>
      </c>
      <c r="G98" s="13">
        <v>478</v>
      </c>
      <c r="H98" s="13">
        <v>77</v>
      </c>
      <c r="I98" s="14">
        <v>4.8899999999999997</v>
      </c>
      <c r="J98" s="14">
        <v>4.78</v>
      </c>
      <c r="K98" s="14">
        <v>0.77</v>
      </c>
      <c r="L98" s="13">
        <v>271</v>
      </c>
      <c r="M98" t="str" cm="1">
        <f t="array" ref="M98">_xlfn.IFS(E98&lt;6, "0-6 Months", E98&lt;=12, "6-12 Months", E98&lt;=24, "12-24 Months", E98&gt;24, "24+ Months")</f>
        <v>6-12 Months</v>
      </c>
      <c r="N98" t="str" cm="1">
        <f t="array" ref="N98">_xlfn.IFS(E98&lt;6, "12-18 Months", E98&lt;=12, "18-24 Months", E98&lt;=24, "24+ Months", E98&gt;24, "24+ Months")</f>
        <v>18-24 Months</v>
      </c>
      <c r="O98" t="str" cm="1">
        <f t="array" ref="O98">_xlfn.IFS(D98&gt;=550, "Major", D98 &gt;= 100, "T1200", D98 &lt;100, "Other")</f>
        <v>T1200</v>
      </c>
      <c r="P98">
        <f t="shared" si="1"/>
        <v>103</v>
      </c>
    </row>
    <row r="99" spans="1:16" x14ac:dyDescent="0.2">
      <c r="A99" s="12">
        <v>149220</v>
      </c>
      <c r="B99" s="12" t="s">
        <v>151</v>
      </c>
      <c r="C99" s="13">
        <v>0</v>
      </c>
      <c r="D99" s="13">
        <v>100</v>
      </c>
      <c r="E99" s="13">
        <v>7</v>
      </c>
      <c r="F99" s="13">
        <v>489</v>
      </c>
      <c r="G99" s="13">
        <v>478</v>
      </c>
      <c r="H99" s="13">
        <v>77</v>
      </c>
      <c r="I99" s="14">
        <v>4.8899999999999997</v>
      </c>
      <c r="J99" s="14">
        <v>4.78</v>
      </c>
      <c r="K99" s="14">
        <v>0.77</v>
      </c>
      <c r="L99" s="13">
        <v>271</v>
      </c>
      <c r="M99" t="str" cm="1">
        <f t="array" ref="M99">_xlfn.IFS(E99&lt;6, "0-6 Months", E99&lt;=12, "6-12 Months", E99&lt;=24, "12-24 Months", E99&gt;24, "24+ Months")</f>
        <v>6-12 Months</v>
      </c>
      <c r="N99" t="str" cm="1">
        <f t="array" ref="N99">_xlfn.IFS(E99&lt;6, "12-18 Months", E99&lt;=12, "18-24 Months", E99&lt;=24, "24+ Months", E99&gt;24, "24+ Months")</f>
        <v>18-24 Months</v>
      </c>
      <c r="O99" t="str" cm="1">
        <f t="array" ref="O99">_xlfn.IFS(D99&gt;=550, "Major", D99 &gt;= 100, "T1200", D99 &lt;100, "Other")</f>
        <v>T1200</v>
      </c>
      <c r="P99">
        <f t="shared" si="1"/>
        <v>0</v>
      </c>
    </row>
    <row r="100" spans="1:16" x14ac:dyDescent="0.2">
      <c r="A100" s="12">
        <v>119697</v>
      </c>
      <c r="B100" s="12" t="s">
        <v>156</v>
      </c>
      <c r="C100" s="13">
        <v>3</v>
      </c>
      <c r="D100" s="13">
        <v>225</v>
      </c>
      <c r="E100" s="13">
        <v>8</v>
      </c>
      <c r="F100" s="13">
        <v>479</v>
      </c>
      <c r="G100" s="13">
        <v>473</v>
      </c>
      <c r="H100" s="13">
        <v>286</v>
      </c>
      <c r="I100" s="14">
        <v>2.1288888888888891</v>
      </c>
      <c r="J100" s="14">
        <v>2.1022222222222222</v>
      </c>
      <c r="K100" s="14">
        <v>1.2711111111111111</v>
      </c>
      <c r="L100" s="13">
        <v>188</v>
      </c>
      <c r="M100" t="str" cm="1">
        <f t="array" ref="M100">_xlfn.IFS(E100&lt;6, "0-6 Months", E100&lt;=12, "6-12 Months", E100&lt;=24, "12-24 Months", E100&gt;24, "24+ Months")</f>
        <v>6-12 Months</v>
      </c>
      <c r="N100" t="str" cm="1">
        <f t="array" ref="N100">_xlfn.IFS(E100&lt;6, "12-18 Months", E100&lt;=12, "18-24 Months", E100&lt;=24, "24+ Months", E100&gt;24, "24+ Months")</f>
        <v>18-24 Months</v>
      </c>
      <c r="O100" t="str" cm="1">
        <f t="array" ref="O100">_xlfn.IFS(D100&gt;=550, "Major", D100 &gt;= 100, "T1200", D100 &lt;100, "Other")</f>
        <v>T1200</v>
      </c>
      <c r="P100">
        <f t="shared" si="1"/>
        <v>3</v>
      </c>
    </row>
    <row r="101" spans="1:16" x14ac:dyDescent="0.2">
      <c r="A101" s="12">
        <v>105751</v>
      </c>
      <c r="B101" s="12" t="s">
        <v>186</v>
      </c>
      <c r="C101" s="13">
        <v>248</v>
      </c>
      <c r="D101" s="13">
        <v>205</v>
      </c>
      <c r="E101" s="13">
        <v>10</v>
      </c>
      <c r="F101" s="13">
        <v>478</v>
      </c>
      <c r="G101" s="13">
        <v>204</v>
      </c>
      <c r="H101" s="13">
        <v>104</v>
      </c>
      <c r="I101" s="14">
        <v>2.331707317073171</v>
      </c>
      <c r="J101" s="14">
        <v>0.99512195121951219</v>
      </c>
      <c r="K101" s="14">
        <v>0.50731707317073171</v>
      </c>
      <c r="L101" s="13">
        <v>39</v>
      </c>
      <c r="M101" t="str" cm="1">
        <f t="array" ref="M101">_xlfn.IFS(E101&lt;6, "0-6 Months", E101&lt;=12, "6-12 Months", E101&lt;=24, "12-24 Months", E101&gt;24, "24+ Months")</f>
        <v>6-12 Months</v>
      </c>
      <c r="N101" t="str" cm="1">
        <f t="array" ref="N101">_xlfn.IFS(E101&lt;6, "12-18 Months", E101&lt;=12, "18-24 Months", E101&lt;=24, "24+ Months", E101&gt;24, "24+ Months")</f>
        <v>18-24 Months</v>
      </c>
      <c r="O101" t="str" cm="1">
        <f t="array" ref="O101">_xlfn.IFS(D101&gt;=550, "Major", D101 &gt;= 100, "T1200", D101 &lt;100, "Other")</f>
        <v>T1200</v>
      </c>
      <c r="P101">
        <f t="shared" si="1"/>
        <v>248</v>
      </c>
    </row>
    <row r="102" spans="1:16" x14ac:dyDescent="0.2">
      <c r="A102" s="12">
        <v>108792</v>
      </c>
      <c r="B102" s="12" t="s">
        <v>173</v>
      </c>
      <c r="C102" s="13">
        <v>106</v>
      </c>
      <c r="D102" s="13">
        <v>130</v>
      </c>
      <c r="E102" s="13">
        <v>11</v>
      </c>
      <c r="F102" s="13">
        <v>462</v>
      </c>
      <c r="G102" s="13">
        <v>93</v>
      </c>
      <c r="H102" s="13">
        <v>31</v>
      </c>
      <c r="I102" s="14">
        <v>3.5538461538461541</v>
      </c>
      <c r="J102" s="14">
        <v>0.7153846153846154</v>
      </c>
      <c r="K102" s="14">
        <v>0.2384615384615385</v>
      </c>
      <c r="L102" s="13">
        <v>8</v>
      </c>
      <c r="M102" t="str" cm="1">
        <f t="array" ref="M102">_xlfn.IFS(E102&lt;6, "0-6 Months", E102&lt;=12, "6-12 Months", E102&lt;=24, "12-24 Months", E102&gt;24, "24+ Months")</f>
        <v>6-12 Months</v>
      </c>
      <c r="N102" t="str" cm="1">
        <f t="array" ref="N102">_xlfn.IFS(E102&lt;6, "12-18 Months", E102&lt;=12, "18-24 Months", E102&lt;=24, "24+ Months", E102&gt;24, "24+ Months")</f>
        <v>18-24 Months</v>
      </c>
      <c r="O102" t="str" cm="1">
        <f t="array" ref="O102">_xlfn.IFS(D102&gt;=550, "Major", D102 &gt;= 100, "T1200", D102 &lt;100, "Other")</f>
        <v>T1200</v>
      </c>
      <c r="P102">
        <f t="shared" si="1"/>
        <v>106</v>
      </c>
    </row>
    <row r="103" spans="1:16" x14ac:dyDescent="0.2">
      <c r="A103" s="12">
        <v>484843</v>
      </c>
      <c r="B103" s="12" t="s">
        <v>223</v>
      </c>
      <c r="C103" s="13">
        <v>111</v>
      </c>
      <c r="D103" s="13">
        <v>675</v>
      </c>
      <c r="E103" s="13">
        <v>16</v>
      </c>
      <c r="F103" s="13">
        <v>461</v>
      </c>
      <c r="G103" s="13">
        <v>294</v>
      </c>
      <c r="H103" s="13">
        <v>266</v>
      </c>
      <c r="I103" s="14">
        <v>0.68296296296296299</v>
      </c>
      <c r="J103" s="14">
        <v>0.43555555555555547</v>
      </c>
      <c r="K103" s="14">
        <v>0.39407407407407408</v>
      </c>
      <c r="L103" s="13">
        <v>167</v>
      </c>
      <c r="M103" t="str" cm="1">
        <f t="array" ref="M103">_xlfn.IFS(E103&lt;6, "0-6 Months", E103&lt;=12, "6-12 Months", E103&lt;=24, "12-24 Months", E103&gt;24, "24+ Months")</f>
        <v>12-24 Months</v>
      </c>
      <c r="N103" t="str" cm="1">
        <f t="array" ref="N103">_xlfn.IFS(E103&lt;6, "12-18 Months", E103&lt;=12, "18-24 Months", E103&lt;=24, "24+ Months", E103&gt;24, "24+ Months")</f>
        <v>24+ Months</v>
      </c>
      <c r="O103" t="str" cm="1">
        <f t="array" ref="O103">_xlfn.IFS(D103&gt;=550, "Major", D103 &gt;= 100, "T1200", D103 &lt;100, "Other")</f>
        <v>Major</v>
      </c>
      <c r="P103">
        <f t="shared" si="1"/>
        <v>0</v>
      </c>
    </row>
    <row r="104" spans="1:16" x14ac:dyDescent="0.2">
      <c r="A104" s="12">
        <v>106587</v>
      </c>
      <c r="B104" s="12" t="s">
        <v>158</v>
      </c>
      <c r="C104" s="13">
        <v>114</v>
      </c>
      <c r="D104" s="13">
        <v>112</v>
      </c>
      <c r="E104" s="13">
        <v>9</v>
      </c>
      <c r="F104" s="13">
        <v>449</v>
      </c>
      <c r="G104" s="13">
        <v>21</v>
      </c>
      <c r="H104" s="13">
        <v>0</v>
      </c>
      <c r="I104" s="14">
        <v>4.0089285714285712</v>
      </c>
      <c r="J104" s="14">
        <v>0.1875</v>
      </c>
      <c r="K104" s="14">
        <v>0</v>
      </c>
      <c r="L104" s="13">
        <v>0</v>
      </c>
      <c r="M104" t="str" cm="1">
        <f t="array" ref="M104">_xlfn.IFS(E104&lt;6, "0-6 Months", E104&lt;=12, "6-12 Months", E104&lt;=24, "12-24 Months", E104&gt;24, "24+ Months")</f>
        <v>6-12 Months</v>
      </c>
      <c r="N104" t="str" cm="1">
        <f t="array" ref="N104">_xlfn.IFS(E104&lt;6, "12-18 Months", E104&lt;=12, "18-24 Months", E104&lt;=24, "24+ Months", E104&gt;24, "24+ Months")</f>
        <v>18-24 Months</v>
      </c>
      <c r="O104" t="str" cm="1">
        <f t="array" ref="O104">_xlfn.IFS(D104&gt;=550, "Major", D104 &gt;= 100, "T1200", D104 &lt;100, "Other")</f>
        <v>T1200</v>
      </c>
      <c r="P104">
        <f t="shared" si="1"/>
        <v>114</v>
      </c>
    </row>
    <row r="105" spans="1:16" x14ac:dyDescent="0.2">
      <c r="A105" s="12">
        <v>129179</v>
      </c>
      <c r="B105" s="12" t="s">
        <v>180</v>
      </c>
      <c r="C105" s="13">
        <v>12</v>
      </c>
      <c r="D105" s="13">
        <v>52</v>
      </c>
      <c r="E105" s="13">
        <v>9</v>
      </c>
      <c r="F105" s="13">
        <v>447</v>
      </c>
      <c r="G105" s="13">
        <v>30</v>
      </c>
      <c r="H105" s="13">
        <v>0</v>
      </c>
      <c r="I105" s="14">
        <v>8.5961538461538467</v>
      </c>
      <c r="J105" s="14">
        <v>0.57692307692307687</v>
      </c>
      <c r="K105" s="14">
        <v>0</v>
      </c>
      <c r="L105" s="13">
        <v>0</v>
      </c>
      <c r="M105" t="str" cm="1">
        <f t="array" ref="M105">_xlfn.IFS(E105&lt;6, "0-6 Months", E105&lt;=12, "6-12 Months", E105&lt;=24, "12-24 Months", E105&gt;24, "24+ Months")</f>
        <v>6-12 Months</v>
      </c>
      <c r="N105" t="str" cm="1">
        <f t="array" ref="N105">_xlfn.IFS(E105&lt;6, "12-18 Months", E105&lt;=12, "18-24 Months", E105&lt;=24, "24+ Months", E105&gt;24, "24+ Months")</f>
        <v>18-24 Months</v>
      </c>
      <c r="O105" t="str" cm="1">
        <f t="array" ref="O105">_xlfn.IFS(D105&gt;=550, "Major", D105 &gt;= 100, "T1200", D105 &lt;100, "Other")</f>
        <v>Other</v>
      </c>
      <c r="P105">
        <f t="shared" si="1"/>
        <v>12</v>
      </c>
    </row>
    <row r="106" spans="1:16" x14ac:dyDescent="0.2">
      <c r="A106" s="12">
        <v>108237</v>
      </c>
      <c r="B106" s="12" t="s">
        <v>195</v>
      </c>
      <c r="C106" s="13">
        <v>131</v>
      </c>
      <c r="D106" s="13">
        <v>111</v>
      </c>
      <c r="E106" s="13">
        <v>22</v>
      </c>
      <c r="F106" s="13">
        <v>445</v>
      </c>
      <c r="G106" s="13">
        <v>202</v>
      </c>
      <c r="H106" s="13">
        <v>74</v>
      </c>
      <c r="I106" s="14">
        <v>4.0090090090090094</v>
      </c>
      <c r="J106" s="14">
        <v>1.8198198198198201</v>
      </c>
      <c r="K106" s="14">
        <v>0.66666666666666663</v>
      </c>
      <c r="L106" s="13">
        <v>70</v>
      </c>
      <c r="M106" t="str" cm="1">
        <f t="array" ref="M106">_xlfn.IFS(E106&lt;6, "0-6 Months", E106&lt;=12, "6-12 Months", E106&lt;=24, "12-24 Months", E106&gt;24, "24+ Months")</f>
        <v>12-24 Months</v>
      </c>
      <c r="N106" t="str" cm="1">
        <f t="array" ref="N106">_xlfn.IFS(E106&lt;6, "12-18 Months", E106&lt;=12, "18-24 Months", E106&lt;=24, "24+ Months", E106&gt;24, "24+ Months")</f>
        <v>24+ Months</v>
      </c>
      <c r="O106" t="str" cm="1">
        <f t="array" ref="O106">_xlfn.IFS(D106&gt;=550, "Major", D106 &gt;= 100, "T1200", D106 &lt;100, "Other")</f>
        <v>T1200</v>
      </c>
      <c r="P106">
        <f t="shared" si="1"/>
        <v>131</v>
      </c>
    </row>
    <row r="107" spans="1:16" x14ac:dyDescent="0.2">
      <c r="A107" s="12">
        <v>110308</v>
      </c>
      <c r="B107" s="12" t="s">
        <v>165</v>
      </c>
      <c r="C107" s="13">
        <v>11</v>
      </c>
      <c r="D107" s="13">
        <v>215</v>
      </c>
      <c r="E107" s="13">
        <v>7</v>
      </c>
      <c r="F107" s="13">
        <v>438</v>
      </c>
      <c r="G107" s="13">
        <v>354</v>
      </c>
      <c r="H107" s="13">
        <v>180</v>
      </c>
      <c r="I107" s="14">
        <v>2.0372093023255808</v>
      </c>
      <c r="J107" s="14">
        <v>1.6465116279069769</v>
      </c>
      <c r="K107" s="14">
        <v>0.83720930232558144</v>
      </c>
      <c r="L107" s="13">
        <v>371</v>
      </c>
      <c r="M107" t="str" cm="1">
        <f t="array" ref="M107">_xlfn.IFS(E107&lt;6, "0-6 Months", E107&lt;=12, "6-12 Months", E107&lt;=24, "12-24 Months", E107&gt;24, "24+ Months")</f>
        <v>6-12 Months</v>
      </c>
      <c r="N107" t="str" cm="1">
        <f t="array" ref="N107">_xlfn.IFS(E107&lt;6, "12-18 Months", E107&lt;=12, "18-24 Months", E107&lt;=24, "24+ Months", E107&gt;24, "24+ Months")</f>
        <v>18-24 Months</v>
      </c>
      <c r="O107" t="str" cm="1">
        <f t="array" ref="O107">_xlfn.IFS(D107&gt;=550, "Major", D107 &gt;= 100, "T1200", D107 &lt;100, "Other")</f>
        <v>T1200</v>
      </c>
      <c r="P107">
        <f t="shared" si="1"/>
        <v>11</v>
      </c>
    </row>
    <row r="108" spans="1:16" x14ac:dyDescent="0.2">
      <c r="A108" s="12">
        <v>105780</v>
      </c>
      <c r="B108" s="12" t="s">
        <v>159</v>
      </c>
      <c r="C108" s="13">
        <v>120</v>
      </c>
      <c r="D108" s="13">
        <v>156</v>
      </c>
      <c r="E108" s="13">
        <v>7</v>
      </c>
      <c r="F108" s="13">
        <v>427</v>
      </c>
      <c r="G108" s="13">
        <v>427</v>
      </c>
      <c r="H108" s="13">
        <v>325</v>
      </c>
      <c r="I108" s="14">
        <v>2.7371794871794868</v>
      </c>
      <c r="J108" s="14">
        <v>2.7371794871794868</v>
      </c>
      <c r="K108" s="14">
        <v>2.083333333333333</v>
      </c>
      <c r="L108" s="13">
        <v>22</v>
      </c>
      <c r="M108" t="str" cm="1">
        <f t="array" ref="M108">_xlfn.IFS(E108&lt;6, "0-6 Months", E108&lt;=12, "6-12 Months", E108&lt;=24, "12-24 Months", E108&gt;24, "24+ Months")</f>
        <v>6-12 Months</v>
      </c>
      <c r="N108" t="str" cm="1">
        <f t="array" ref="N108">_xlfn.IFS(E108&lt;6, "12-18 Months", E108&lt;=12, "18-24 Months", E108&lt;=24, "24+ Months", E108&gt;24, "24+ Months")</f>
        <v>18-24 Months</v>
      </c>
      <c r="O108" t="str" cm="1">
        <f t="array" ref="O108">_xlfn.IFS(D108&gt;=550, "Major", D108 &gt;= 100, "T1200", D108 &lt;100, "Other")</f>
        <v>T1200</v>
      </c>
      <c r="P108">
        <f t="shared" si="1"/>
        <v>120</v>
      </c>
    </row>
    <row r="109" spans="1:16" x14ac:dyDescent="0.2">
      <c r="A109" s="12">
        <v>113592</v>
      </c>
      <c r="B109" s="12" t="s">
        <v>225</v>
      </c>
      <c r="C109" s="13">
        <v>22</v>
      </c>
      <c r="D109" s="13">
        <v>320</v>
      </c>
      <c r="E109" s="13">
        <v>11</v>
      </c>
      <c r="F109" s="13">
        <v>419</v>
      </c>
      <c r="G109" s="13">
        <v>372</v>
      </c>
      <c r="H109" s="13">
        <v>309</v>
      </c>
      <c r="I109" s="14">
        <v>1.309375</v>
      </c>
      <c r="J109" s="14">
        <v>1.1625000000000001</v>
      </c>
      <c r="K109" s="14">
        <v>0.96562499999999996</v>
      </c>
      <c r="L109" s="13">
        <v>120</v>
      </c>
      <c r="M109" t="str" cm="1">
        <f t="array" ref="M109">_xlfn.IFS(E109&lt;6, "0-6 Months", E109&lt;=12, "6-12 Months", E109&lt;=24, "12-24 Months", E109&gt;24, "24+ Months")</f>
        <v>6-12 Months</v>
      </c>
      <c r="N109" t="str" cm="1">
        <f t="array" ref="N109">_xlfn.IFS(E109&lt;6, "12-18 Months", E109&lt;=12, "18-24 Months", E109&lt;=24, "24+ Months", E109&gt;24, "24+ Months")</f>
        <v>18-24 Months</v>
      </c>
      <c r="O109" t="str" cm="1">
        <f t="array" ref="O109">_xlfn.IFS(D109&gt;=550, "Major", D109 &gt;= 100, "T1200", D109 &lt;100, "Other")</f>
        <v>T1200</v>
      </c>
      <c r="P109">
        <f t="shared" si="1"/>
        <v>0</v>
      </c>
    </row>
    <row r="110" spans="1:16" x14ac:dyDescent="0.2">
      <c r="A110" s="12">
        <v>106135</v>
      </c>
      <c r="B110" s="12" t="s">
        <v>217</v>
      </c>
      <c r="C110" s="13">
        <v>92</v>
      </c>
      <c r="D110" s="13">
        <v>145</v>
      </c>
      <c r="E110" s="13">
        <v>11</v>
      </c>
      <c r="F110" s="13">
        <v>417</v>
      </c>
      <c r="G110" s="13">
        <v>375</v>
      </c>
      <c r="H110" s="13">
        <v>23</v>
      </c>
      <c r="I110" s="14">
        <v>2.875862068965517</v>
      </c>
      <c r="J110" s="14">
        <v>2.5862068965517242</v>
      </c>
      <c r="K110" s="14">
        <v>0.1586206896551724</v>
      </c>
      <c r="L110" s="13">
        <v>4</v>
      </c>
      <c r="M110" t="str" cm="1">
        <f t="array" ref="M110">_xlfn.IFS(E110&lt;6, "0-6 Months", E110&lt;=12, "6-12 Months", E110&lt;=24, "12-24 Months", E110&gt;24, "24+ Months")</f>
        <v>6-12 Months</v>
      </c>
      <c r="N110" t="str" cm="1">
        <f t="array" ref="N110">_xlfn.IFS(E110&lt;6, "12-18 Months", E110&lt;=12, "18-24 Months", E110&lt;=24, "24+ Months", E110&gt;24, "24+ Months")</f>
        <v>18-24 Months</v>
      </c>
      <c r="O110" t="str" cm="1">
        <f t="array" ref="O110">_xlfn.IFS(D110&gt;=550, "Major", D110 &gt;= 100, "T1200", D110 &lt;100, "Other")</f>
        <v>T1200</v>
      </c>
      <c r="P110">
        <f t="shared" si="1"/>
        <v>92</v>
      </c>
    </row>
    <row r="111" spans="1:16" x14ac:dyDescent="0.2">
      <c r="A111" s="12">
        <v>108601</v>
      </c>
      <c r="B111" s="12" t="s">
        <v>166</v>
      </c>
      <c r="C111" s="13">
        <v>58</v>
      </c>
      <c r="D111" s="13">
        <v>135</v>
      </c>
      <c r="E111" s="13">
        <v>49</v>
      </c>
      <c r="F111" s="13">
        <v>409</v>
      </c>
      <c r="G111" s="13">
        <v>407</v>
      </c>
      <c r="H111" s="13">
        <v>7</v>
      </c>
      <c r="I111" s="14">
        <v>3.0296296296296301</v>
      </c>
      <c r="J111" s="14">
        <v>3.0148148148148151</v>
      </c>
      <c r="K111" s="14">
        <v>5.185185185185185E-2</v>
      </c>
      <c r="L111" s="13">
        <v>16</v>
      </c>
      <c r="M111" t="str" cm="1">
        <f t="array" ref="M111">_xlfn.IFS(E111&lt;6, "0-6 Months", E111&lt;=12, "6-12 Months", E111&lt;=24, "12-24 Months", E111&gt;24, "24+ Months")</f>
        <v>24+ Months</v>
      </c>
      <c r="N111" t="str" cm="1">
        <f t="array" ref="N111">_xlfn.IFS(E111&lt;6, "12-18 Months", E111&lt;=12, "18-24 Months", E111&lt;=24, "24+ Months", E111&gt;24, "24+ Months")</f>
        <v>24+ Months</v>
      </c>
      <c r="O111" t="str" cm="1">
        <f t="array" ref="O111">_xlfn.IFS(D111&gt;=550, "Major", D111 &gt;= 100, "T1200", D111 &lt;100, "Other")</f>
        <v>T1200</v>
      </c>
      <c r="P111">
        <f t="shared" si="1"/>
        <v>58</v>
      </c>
    </row>
    <row r="112" spans="1:16" x14ac:dyDescent="0.2">
      <c r="A112" s="12">
        <v>110526</v>
      </c>
      <c r="B112" s="12" t="s">
        <v>141</v>
      </c>
      <c r="C112" s="13">
        <v>119</v>
      </c>
      <c r="D112" s="13">
        <v>125</v>
      </c>
      <c r="E112" s="13">
        <v>10</v>
      </c>
      <c r="F112" s="13">
        <v>407</v>
      </c>
      <c r="G112" s="13">
        <v>37</v>
      </c>
      <c r="H112" s="13">
        <v>20</v>
      </c>
      <c r="I112" s="14">
        <v>3.2559999999999998</v>
      </c>
      <c r="J112" s="14">
        <v>0.29599999999999999</v>
      </c>
      <c r="K112" s="14">
        <v>0.16</v>
      </c>
      <c r="L112" s="13">
        <v>354</v>
      </c>
      <c r="M112" t="str" cm="1">
        <f t="array" ref="M112">_xlfn.IFS(E112&lt;6, "0-6 Months", E112&lt;=12, "6-12 Months", E112&lt;=24, "12-24 Months", E112&gt;24, "24+ Months")</f>
        <v>6-12 Months</v>
      </c>
      <c r="N112" t="str" cm="1">
        <f t="array" ref="N112">_xlfn.IFS(E112&lt;6, "12-18 Months", E112&lt;=12, "18-24 Months", E112&lt;=24, "24+ Months", E112&gt;24, "24+ Months")</f>
        <v>18-24 Months</v>
      </c>
      <c r="O112" t="str" cm="1">
        <f t="array" ref="O112">_xlfn.IFS(D112&gt;=550, "Major", D112 &gt;= 100, "T1200", D112 &lt;100, "Other")</f>
        <v>T1200</v>
      </c>
      <c r="P112">
        <f t="shared" si="1"/>
        <v>119</v>
      </c>
    </row>
    <row r="113" spans="1:16" x14ac:dyDescent="0.2">
      <c r="A113" s="12">
        <v>466491</v>
      </c>
      <c r="B113" s="12" t="s">
        <v>172</v>
      </c>
      <c r="C113" s="13">
        <v>3</v>
      </c>
      <c r="D113" s="13">
        <v>135</v>
      </c>
      <c r="E113" s="13">
        <v>9</v>
      </c>
      <c r="F113" s="13">
        <v>391</v>
      </c>
      <c r="G113" s="13">
        <v>7</v>
      </c>
      <c r="H113" s="13">
        <v>4</v>
      </c>
      <c r="I113" s="14">
        <v>2.8962962962962959</v>
      </c>
      <c r="J113" s="14">
        <v>5.185185185185185E-2</v>
      </c>
      <c r="K113" s="14">
        <v>2.9629629629629631E-2</v>
      </c>
      <c r="L113" s="13">
        <v>3</v>
      </c>
      <c r="M113" t="str" cm="1">
        <f t="array" ref="M113">_xlfn.IFS(E113&lt;6, "0-6 Months", E113&lt;=12, "6-12 Months", E113&lt;=24, "12-24 Months", E113&gt;24, "24+ Months")</f>
        <v>6-12 Months</v>
      </c>
      <c r="N113" t="str" cm="1">
        <f t="array" ref="N113">_xlfn.IFS(E113&lt;6, "12-18 Months", E113&lt;=12, "18-24 Months", E113&lt;=24, "24+ Months", E113&gt;24, "24+ Months")</f>
        <v>18-24 Months</v>
      </c>
      <c r="O113" t="str" cm="1">
        <f t="array" ref="O113">_xlfn.IFS(D113&gt;=550, "Major", D113 &gt;= 100, "T1200", D113 &lt;100, "Other")</f>
        <v>T1200</v>
      </c>
      <c r="P113">
        <f t="shared" si="1"/>
        <v>3</v>
      </c>
    </row>
    <row r="114" spans="1:16" x14ac:dyDescent="0.2">
      <c r="A114" s="12">
        <v>112966</v>
      </c>
      <c r="B114" s="12" t="s">
        <v>450</v>
      </c>
      <c r="C114" s="13">
        <v>2</v>
      </c>
      <c r="D114" s="13">
        <v>118</v>
      </c>
      <c r="E114" s="13">
        <v>11</v>
      </c>
      <c r="F114" s="13">
        <v>375</v>
      </c>
      <c r="G114" s="13">
        <v>14</v>
      </c>
      <c r="H114" s="13">
        <v>0</v>
      </c>
      <c r="I114" s="14">
        <v>3.1779661016949148</v>
      </c>
      <c r="J114" s="14">
        <v>0.1186440677966102</v>
      </c>
      <c r="K114" s="14">
        <v>0</v>
      </c>
      <c r="L114" s="13">
        <v>0</v>
      </c>
      <c r="M114" t="str" cm="1">
        <f t="array" ref="M114">_xlfn.IFS(E114&lt;6, "0-6 Months", E114&lt;=12, "6-12 Months", E114&lt;=24, "12-24 Months", E114&gt;24, "24+ Months")</f>
        <v>6-12 Months</v>
      </c>
      <c r="N114" t="str" cm="1">
        <f t="array" ref="N114">_xlfn.IFS(E114&lt;6, "12-18 Months", E114&lt;=12, "18-24 Months", E114&lt;=24, "24+ Months", E114&gt;24, "24+ Months")</f>
        <v>18-24 Months</v>
      </c>
      <c r="O114" t="str" cm="1">
        <f t="array" ref="O114">_xlfn.IFS(D114&gt;=550, "Major", D114 &gt;= 100, "T1200", D114 &lt;100, "Other")</f>
        <v>T1200</v>
      </c>
      <c r="P114">
        <f t="shared" si="1"/>
        <v>2</v>
      </c>
    </row>
    <row r="115" spans="1:16" x14ac:dyDescent="0.2">
      <c r="A115" s="12">
        <v>117733</v>
      </c>
      <c r="B115" s="12" t="s">
        <v>161</v>
      </c>
      <c r="C115" s="13">
        <v>90</v>
      </c>
      <c r="D115" s="13">
        <v>90</v>
      </c>
      <c r="E115" s="13">
        <v>12</v>
      </c>
      <c r="F115" s="13">
        <v>373</v>
      </c>
      <c r="G115" s="13">
        <v>205</v>
      </c>
      <c r="H115" s="13">
        <v>205</v>
      </c>
      <c r="I115" s="14">
        <v>4.1444444444444448</v>
      </c>
      <c r="J115" s="14">
        <v>2.2777777777777781</v>
      </c>
      <c r="K115" s="14">
        <v>2.2777777777777781</v>
      </c>
      <c r="L115" s="13">
        <v>0</v>
      </c>
      <c r="M115" t="str" cm="1">
        <f t="array" ref="M115">_xlfn.IFS(E115&lt;6, "0-6 Months", E115&lt;=12, "6-12 Months", E115&lt;=24, "12-24 Months", E115&gt;24, "24+ Months")</f>
        <v>6-12 Months</v>
      </c>
      <c r="N115" t="str" cm="1">
        <f t="array" ref="N115">_xlfn.IFS(E115&lt;6, "12-18 Months", E115&lt;=12, "18-24 Months", E115&lt;=24, "24+ Months", E115&gt;24, "24+ Months")</f>
        <v>18-24 Months</v>
      </c>
      <c r="O115" t="str" cm="1">
        <f t="array" ref="O115">_xlfn.IFS(D115&gt;=550, "Major", D115 &gt;= 100, "T1200", D115 &lt;100, "Other")</f>
        <v>Other</v>
      </c>
      <c r="P115">
        <f t="shared" si="1"/>
        <v>90</v>
      </c>
    </row>
    <row r="116" spans="1:16" x14ac:dyDescent="0.2">
      <c r="A116" s="12">
        <v>179811</v>
      </c>
      <c r="B116" s="12" t="s">
        <v>147</v>
      </c>
      <c r="C116" s="13">
        <v>48</v>
      </c>
      <c r="D116" s="13">
        <v>43</v>
      </c>
      <c r="E116" s="13">
        <v>13</v>
      </c>
      <c r="F116" s="13">
        <v>373</v>
      </c>
      <c r="G116" s="13">
        <v>61</v>
      </c>
      <c r="H116" s="13">
        <v>22</v>
      </c>
      <c r="I116" s="14">
        <v>8.6744186046511622</v>
      </c>
      <c r="J116" s="14">
        <v>1.418604651162791</v>
      </c>
      <c r="K116" s="14">
        <v>0.51162790697674421</v>
      </c>
      <c r="L116" s="13">
        <v>20</v>
      </c>
      <c r="M116" t="str" cm="1">
        <f t="array" ref="M116">_xlfn.IFS(E116&lt;6, "0-6 Months", E116&lt;=12, "6-12 Months", E116&lt;=24, "12-24 Months", E116&gt;24, "24+ Months")</f>
        <v>12-24 Months</v>
      </c>
      <c r="N116" t="str" cm="1">
        <f t="array" ref="N116">_xlfn.IFS(E116&lt;6, "12-18 Months", E116&lt;=12, "18-24 Months", E116&lt;=24, "24+ Months", E116&gt;24, "24+ Months")</f>
        <v>24+ Months</v>
      </c>
      <c r="O116" t="str" cm="1">
        <f t="array" ref="O116">_xlfn.IFS(D116&gt;=550, "Major", D116 &gt;= 100, "T1200", D116 &lt;100, "Other")</f>
        <v>Other</v>
      </c>
      <c r="P116">
        <f t="shared" si="1"/>
        <v>48</v>
      </c>
    </row>
    <row r="117" spans="1:16" x14ac:dyDescent="0.2">
      <c r="A117" s="12">
        <v>106304</v>
      </c>
      <c r="B117" s="12" t="s">
        <v>252</v>
      </c>
      <c r="C117" s="13">
        <v>6053</v>
      </c>
      <c r="D117" s="13">
        <v>3197</v>
      </c>
      <c r="E117" s="13">
        <v>19</v>
      </c>
      <c r="F117" s="13">
        <v>372</v>
      </c>
      <c r="G117" s="13">
        <v>47</v>
      </c>
      <c r="H117" s="13">
        <v>24</v>
      </c>
      <c r="I117" s="14">
        <v>0.1163590866437285</v>
      </c>
      <c r="J117" s="14">
        <v>1.4701282452299029E-2</v>
      </c>
      <c r="K117" s="14">
        <v>7.507037847982484E-3</v>
      </c>
      <c r="L117" s="13">
        <v>108</v>
      </c>
      <c r="M117" t="str" cm="1">
        <f t="array" ref="M117">_xlfn.IFS(E117&lt;6, "0-6 Months", E117&lt;=12, "6-12 Months", E117&lt;=24, "12-24 Months", E117&gt;24, "24+ Months")</f>
        <v>12-24 Months</v>
      </c>
      <c r="N117" t="str" cm="1">
        <f t="array" ref="N117">_xlfn.IFS(E117&lt;6, "12-18 Months", E117&lt;=12, "18-24 Months", E117&lt;=24, "24+ Months", E117&gt;24, "24+ Months")</f>
        <v>24+ Months</v>
      </c>
      <c r="O117" t="str" cm="1">
        <f t="array" ref="O117">_xlfn.IFS(D117&gt;=550, "Major", D117 &gt;= 100, "T1200", D117 &lt;100, "Other")</f>
        <v>Major</v>
      </c>
      <c r="P117">
        <f t="shared" si="1"/>
        <v>0</v>
      </c>
    </row>
    <row r="118" spans="1:16" x14ac:dyDescent="0.2">
      <c r="A118" s="12">
        <v>106478</v>
      </c>
      <c r="B118" s="12" t="s">
        <v>181</v>
      </c>
      <c r="C118" s="13">
        <v>1286</v>
      </c>
      <c r="D118" s="13">
        <v>800</v>
      </c>
      <c r="E118" s="13">
        <v>16</v>
      </c>
      <c r="F118" s="13">
        <v>371</v>
      </c>
      <c r="G118" s="13">
        <v>356</v>
      </c>
      <c r="H118" s="13">
        <v>56</v>
      </c>
      <c r="I118" s="14">
        <v>0.46375</v>
      </c>
      <c r="J118" s="14">
        <v>0.44500000000000001</v>
      </c>
      <c r="K118" s="14">
        <v>7.0000000000000007E-2</v>
      </c>
      <c r="L118" s="13">
        <v>269</v>
      </c>
      <c r="M118" t="str" cm="1">
        <f t="array" ref="M118">_xlfn.IFS(E118&lt;6, "0-6 Months", E118&lt;=12, "6-12 Months", E118&lt;=24, "12-24 Months", E118&gt;24, "24+ Months")</f>
        <v>12-24 Months</v>
      </c>
      <c r="N118" t="str" cm="1">
        <f t="array" ref="N118">_xlfn.IFS(E118&lt;6, "12-18 Months", E118&lt;=12, "18-24 Months", E118&lt;=24, "24+ Months", E118&gt;24, "24+ Months")</f>
        <v>24+ Months</v>
      </c>
      <c r="O118" t="str" cm="1">
        <f t="array" ref="O118">_xlfn.IFS(D118&gt;=550, "Major", D118 &gt;= 100, "T1200", D118 &lt;100, "Other")</f>
        <v>Major</v>
      </c>
      <c r="P118">
        <f t="shared" si="1"/>
        <v>0</v>
      </c>
    </row>
    <row r="119" spans="1:16" x14ac:dyDescent="0.2">
      <c r="A119" s="12">
        <v>113335</v>
      </c>
      <c r="B119" s="12" t="s">
        <v>189</v>
      </c>
      <c r="C119" s="13">
        <v>84</v>
      </c>
      <c r="D119" s="13">
        <v>90</v>
      </c>
      <c r="E119" s="13">
        <v>11</v>
      </c>
      <c r="F119" s="13">
        <v>370</v>
      </c>
      <c r="G119" s="13">
        <v>28</v>
      </c>
      <c r="H119" s="13">
        <v>17</v>
      </c>
      <c r="I119" s="14">
        <v>4.1111111111111107</v>
      </c>
      <c r="J119" s="14">
        <v>0.31111111111111112</v>
      </c>
      <c r="K119" s="14">
        <v>0.18888888888888891</v>
      </c>
      <c r="L119" s="13">
        <v>74</v>
      </c>
      <c r="M119" t="str" cm="1">
        <f t="array" ref="M119">_xlfn.IFS(E119&lt;6, "0-6 Months", E119&lt;=12, "6-12 Months", E119&lt;=24, "12-24 Months", E119&gt;24, "24+ Months")</f>
        <v>6-12 Months</v>
      </c>
      <c r="N119" t="str" cm="1">
        <f t="array" ref="N119">_xlfn.IFS(E119&lt;6, "12-18 Months", E119&lt;=12, "18-24 Months", E119&lt;=24, "24+ Months", E119&gt;24, "24+ Months")</f>
        <v>18-24 Months</v>
      </c>
      <c r="O119" t="str" cm="1">
        <f t="array" ref="O119">_xlfn.IFS(D119&gt;=550, "Major", D119 &gt;= 100, "T1200", D119 &lt;100, "Other")</f>
        <v>Other</v>
      </c>
      <c r="P119">
        <f t="shared" si="1"/>
        <v>84</v>
      </c>
    </row>
    <row r="120" spans="1:16" x14ac:dyDescent="0.2">
      <c r="A120" s="12">
        <v>112546</v>
      </c>
      <c r="B120" s="12" t="s">
        <v>249</v>
      </c>
      <c r="C120" s="13">
        <v>82</v>
      </c>
      <c r="D120" s="13">
        <v>130</v>
      </c>
      <c r="E120" s="13">
        <v>10</v>
      </c>
      <c r="F120" s="13">
        <v>369</v>
      </c>
      <c r="G120" s="13">
        <v>346</v>
      </c>
      <c r="H120" s="13">
        <v>344</v>
      </c>
      <c r="I120" s="14">
        <v>2.838461538461539</v>
      </c>
      <c r="J120" s="14">
        <v>2.661538461538461</v>
      </c>
      <c r="K120" s="14">
        <v>2.6461538461538461</v>
      </c>
      <c r="L120" s="13">
        <v>78</v>
      </c>
      <c r="M120" t="str" cm="1">
        <f t="array" ref="M120">_xlfn.IFS(E120&lt;6, "0-6 Months", E120&lt;=12, "6-12 Months", E120&lt;=24, "12-24 Months", E120&gt;24, "24+ Months")</f>
        <v>6-12 Months</v>
      </c>
      <c r="N120" t="str" cm="1">
        <f t="array" ref="N120">_xlfn.IFS(E120&lt;6, "12-18 Months", E120&lt;=12, "18-24 Months", E120&lt;=24, "24+ Months", E120&gt;24, "24+ Months")</f>
        <v>18-24 Months</v>
      </c>
      <c r="O120" t="str" cm="1">
        <f t="array" ref="O120">_xlfn.IFS(D120&gt;=550, "Major", D120 &gt;= 100, "T1200", D120 &lt;100, "Other")</f>
        <v>T1200</v>
      </c>
      <c r="P120">
        <f t="shared" si="1"/>
        <v>82</v>
      </c>
    </row>
    <row r="121" spans="1:16" x14ac:dyDescent="0.2">
      <c r="A121" s="12" t="s">
        <v>144</v>
      </c>
      <c r="B121" s="12" t="s">
        <v>143</v>
      </c>
      <c r="C121" s="13">
        <v>2119</v>
      </c>
      <c r="D121" s="13">
        <v>750</v>
      </c>
      <c r="E121" s="13">
        <v>7</v>
      </c>
      <c r="F121" s="13">
        <v>366</v>
      </c>
      <c r="G121" s="13">
        <v>366</v>
      </c>
      <c r="H121" s="13">
        <v>208</v>
      </c>
      <c r="I121" s="14">
        <v>0.48799999999999999</v>
      </c>
      <c r="J121" s="14">
        <v>0.48799999999999999</v>
      </c>
      <c r="K121" s="14">
        <v>0.27733333333333332</v>
      </c>
      <c r="L121" s="13">
        <v>1969</v>
      </c>
      <c r="M121" t="str" cm="1">
        <f t="array" ref="M121">_xlfn.IFS(E121&lt;6, "0-6 Months", E121&lt;=12, "6-12 Months", E121&lt;=24, "12-24 Months", E121&gt;24, "24+ Months")</f>
        <v>6-12 Months</v>
      </c>
      <c r="N121" t="str" cm="1">
        <f t="array" ref="N121">_xlfn.IFS(E121&lt;6, "12-18 Months", E121&lt;=12, "18-24 Months", E121&lt;=24, "24+ Months", E121&gt;24, "24+ Months")</f>
        <v>18-24 Months</v>
      </c>
      <c r="O121" t="str" cm="1">
        <f t="array" ref="O121">_xlfn.IFS(D121&gt;=550, "Major", D121 &gt;= 100, "T1200", D121 &lt;100, "Other")</f>
        <v>Major</v>
      </c>
      <c r="P121">
        <f t="shared" si="1"/>
        <v>0</v>
      </c>
    </row>
    <row r="122" spans="1:16" x14ac:dyDescent="0.2">
      <c r="A122" s="12">
        <v>223835</v>
      </c>
      <c r="B122" s="12" t="s">
        <v>246</v>
      </c>
      <c r="C122" s="13">
        <v>147</v>
      </c>
      <c r="D122" s="13">
        <v>80</v>
      </c>
      <c r="E122" s="13">
        <v>7</v>
      </c>
      <c r="F122" s="13">
        <v>366</v>
      </c>
      <c r="G122" s="13">
        <v>366</v>
      </c>
      <c r="H122" s="13">
        <v>306</v>
      </c>
      <c r="I122" s="14">
        <v>4.5750000000000002</v>
      </c>
      <c r="J122" s="14">
        <v>4.5750000000000002</v>
      </c>
      <c r="K122" s="14">
        <v>3.8250000000000002</v>
      </c>
      <c r="L122" s="13">
        <v>69</v>
      </c>
      <c r="M122" t="str" cm="1">
        <f t="array" ref="M122">_xlfn.IFS(E122&lt;6, "0-6 Months", E122&lt;=12, "6-12 Months", E122&lt;=24, "12-24 Months", E122&gt;24, "24+ Months")</f>
        <v>6-12 Months</v>
      </c>
      <c r="N122" t="str" cm="1">
        <f t="array" ref="N122">_xlfn.IFS(E122&lt;6, "12-18 Months", E122&lt;=12, "18-24 Months", E122&lt;=24, "24+ Months", E122&gt;24, "24+ Months")</f>
        <v>18-24 Months</v>
      </c>
      <c r="O122" t="str" cm="1">
        <f t="array" ref="O122">_xlfn.IFS(D122&gt;=550, "Major", D122 &gt;= 100, "T1200", D122 &lt;100, "Other")</f>
        <v>Other</v>
      </c>
      <c r="P122">
        <f t="shared" si="1"/>
        <v>147</v>
      </c>
    </row>
    <row r="123" spans="1:16" x14ac:dyDescent="0.2">
      <c r="A123" s="12">
        <v>167139</v>
      </c>
      <c r="B123" s="12" t="s">
        <v>175</v>
      </c>
      <c r="C123" s="13">
        <v>160</v>
      </c>
      <c r="D123" s="13">
        <v>99</v>
      </c>
      <c r="E123" s="13">
        <v>17</v>
      </c>
      <c r="F123" s="13">
        <v>360</v>
      </c>
      <c r="G123" s="13">
        <v>332</v>
      </c>
      <c r="H123" s="13">
        <v>29</v>
      </c>
      <c r="I123" s="14">
        <v>3.6363636363636358</v>
      </c>
      <c r="J123" s="14">
        <v>3.3535353535353529</v>
      </c>
      <c r="K123" s="14">
        <v>0.29292929292929287</v>
      </c>
      <c r="L123" s="13">
        <v>5</v>
      </c>
      <c r="M123" t="str" cm="1">
        <f t="array" ref="M123">_xlfn.IFS(E123&lt;6, "0-6 Months", E123&lt;=12, "6-12 Months", E123&lt;=24, "12-24 Months", E123&gt;24, "24+ Months")</f>
        <v>12-24 Months</v>
      </c>
      <c r="N123" t="str" cm="1">
        <f t="array" ref="N123">_xlfn.IFS(E123&lt;6, "12-18 Months", E123&lt;=12, "18-24 Months", E123&lt;=24, "24+ Months", E123&gt;24, "24+ Months")</f>
        <v>24+ Months</v>
      </c>
      <c r="O123" t="str" cm="1">
        <f t="array" ref="O123">_xlfn.IFS(D123&gt;=550, "Major", D123 &gt;= 100, "T1200", D123 &lt;100, "Other")</f>
        <v>Other</v>
      </c>
      <c r="P123">
        <f t="shared" si="1"/>
        <v>160</v>
      </c>
    </row>
    <row r="124" spans="1:16" x14ac:dyDescent="0.2">
      <c r="A124" s="12">
        <v>150938</v>
      </c>
      <c r="B124" s="12" t="s">
        <v>193</v>
      </c>
      <c r="C124" s="13">
        <v>185</v>
      </c>
      <c r="D124" s="13">
        <v>230</v>
      </c>
      <c r="E124" s="13">
        <v>22</v>
      </c>
      <c r="F124" s="13">
        <v>359</v>
      </c>
      <c r="G124" s="13">
        <v>145</v>
      </c>
      <c r="H124" s="13">
        <v>55</v>
      </c>
      <c r="I124" s="14">
        <v>1.560869565217391</v>
      </c>
      <c r="J124" s="14">
        <v>0.63043478260869568</v>
      </c>
      <c r="K124" s="14">
        <v>0.2391304347826087</v>
      </c>
      <c r="L124" s="13">
        <v>162</v>
      </c>
      <c r="M124" t="str" cm="1">
        <f t="array" ref="M124">_xlfn.IFS(E124&lt;6, "0-6 Months", E124&lt;=12, "6-12 Months", E124&lt;=24, "12-24 Months", E124&gt;24, "24+ Months")</f>
        <v>12-24 Months</v>
      </c>
      <c r="N124" t="str" cm="1">
        <f t="array" ref="N124">_xlfn.IFS(E124&lt;6, "12-18 Months", E124&lt;=12, "18-24 Months", E124&lt;=24, "24+ Months", E124&gt;24, "24+ Months")</f>
        <v>24+ Months</v>
      </c>
      <c r="O124" t="str" cm="1">
        <f t="array" ref="O124">_xlfn.IFS(D124&gt;=550, "Major", D124 &gt;= 100, "T1200", D124 &lt;100, "Other")</f>
        <v>T1200</v>
      </c>
      <c r="P124">
        <f t="shared" si="1"/>
        <v>0</v>
      </c>
    </row>
    <row r="125" spans="1:16" x14ac:dyDescent="0.2">
      <c r="A125" s="12">
        <v>109267</v>
      </c>
      <c r="B125" s="12" t="s">
        <v>280</v>
      </c>
      <c r="C125" s="13">
        <v>55</v>
      </c>
      <c r="D125" s="13">
        <v>252</v>
      </c>
      <c r="E125" s="13">
        <v>49</v>
      </c>
      <c r="F125" s="13">
        <v>358</v>
      </c>
      <c r="G125" s="13">
        <v>233</v>
      </c>
      <c r="H125" s="13">
        <v>196</v>
      </c>
      <c r="I125" s="14">
        <v>1.4206349206349209</v>
      </c>
      <c r="J125" s="14">
        <v>0.92460317460317465</v>
      </c>
      <c r="K125" s="14">
        <v>0.77777777777777779</v>
      </c>
      <c r="L125" s="13">
        <v>4</v>
      </c>
      <c r="M125" t="str" cm="1">
        <f t="array" ref="M125">_xlfn.IFS(E125&lt;6, "0-6 Months", E125&lt;=12, "6-12 Months", E125&lt;=24, "12-24 Months", E125&gt;24, "24+ Months")</f>
        <v>24+ Months</v>
      </c>
      <c r="N125" t="str" cm="1">
        <f t="array" ref="N125">_xlfn.IFS(E125&lt;6, "12-18 Months", E125&lt;=12, "18-24 Months", E125&lt;=24, "24+ Months", E125&gt;24, "24+ Months")</f>
        <v>24+ Months</v>
      </c>
      <c r="O125" t="str" cm="1">
        <f t="array" ref="O125">_xlfn.IFS(D125&gt;=550, "Major", D125 &gt;= 100, "T1200", D125 &lt;100, "Other")</f>
        <v>T1200</v>
      </c>
      <c r="P125">
        <f t="shared" si="1"/>
        <v>0</v>
      </c>
    </row>
    <row r="126" spans="1:16" x14ac:dyDescent="0.2">
      <c r="A126" s="12">
        <v>110173</v>
      </c>
      <c r="B126" s="12" t="s">
        <v>174</v>
      </c>
      <c r="C126" s="13">
        <v>43</v>
      </c>
      <c r="D126" s="13">
        <v>41</v>
      </c>
      <c r="E126" s="13">
        <v>8</v>
      </c>
      <c r="F126" s="13">
        <v>352</v>
      </c>
      <c r="G126" s="13">
        <v>320</v>
      </c>
      <c r="H126" s="13">
        <v>232</v>
      </c>
      <c r="I126" s="14">
        <v>8.5853658536585371</v>
      </c>
      <c r="J126" s="14">
        <v>7.8048780487804876</v>
      </c>
      <c r="K126" s="14">
        <v>5.6585365853658534</v>
      </c>
      <c r="L126" s="13">
        <v>87</v>
      </c>
      <c r="M126" t="str" cm="1">
        <f t="array" ref="M126">_xlfn.IFS(E126&lt;6, "0-6 Months", E126&lt;=12, "6-12 Months", E126&lt;=24, "12-24 Months", E126&gt;24, "24+ Months")</f>
        <v>6-12 Months</v>
      </c>
      <c r="N126" t="str" cm="1">
        <f t="array" ref="N126">_xlfn.IFS(E126&lt;6, "12-18 Months", E126&lt;=12, "18-24 Months", E126&lt;=24, "24+ Months", E126&gt;24, "24+ Months")</f>
        <v>18-24 Months</v>
      </c>
      <c r="O126" t="str" cm="1">
        <f t="array" ref="O126">_xlfn.IFS(D126&gt;=550, "Major", D126 &gt;= 100, "T1200", D126 &lt;100, "Other")</f>
        <v>Other</v>
      </c>
      <c r="P126">
        <f t="shared" si="1"/>
        <v>43</v>
      </c>
    </row>
    <row r="127" spans="1:16" x14ac:dyDescent="0.2">
      <c r="A127" s="12">
        <v>106590</v>
      </c>
      <c r="B127" s="12" t="s">
        <v>178</v>
      </c>
      <c r="C127" s="13">
        <v>150</v>
      </c>
      <c r="D127" s="13">
        <v>115</v>
      </c>
      <c r="E127" s="13">
        <v>49</v>
      </c>
      <c r="F127" s="13">
        <v>348</v>
      </c>
      <c r="G127" s="13">
        <v>322</v>
      </c>
      <c r="H127" s="13">
        <v>306</v>
      </c>
      <c r="I127" s="14">
        <v>3.026086956521739</v>
      </c>
      <c r="J127" s="14">
        <v>2.8</v>
      </c>
      <c r="K127" s="14">
        <v>2.660869565217391</v>
      </c>
      <c r="L127" s="13">
        <v>157</v>
      </c>
      <c r="M127" t="str" cm="1">
        <f t="array" ref="M127">_xlfn.IFS(E127&lt;6, "0-6 Months", E127&lt;=12, "6-12 Months", E127&lt;=24, "12-24 Months", E127&gt;24, "24+ Months")</f>
        <v>24+ Months</v>
      </c>
      <c r="N127" t="str" cm="1">
        <f t="array" ref="N127">_xlfn.IFS(E127&lt;6, "12-18 Months", E127&lt;=12, "18-24 Months", E127&lt;=24, "24+ Months", E127&gt;24, "24+ Months")</f>
        <v>24+ Months</v>
      </c>
      <c r="O127" t="str" cm="1">
        <f t="array" ref="O127">_xlfn.IFS(D127&gt;=550, "Major", D127 &gt;= 100, "T1200", D127 &lt;100, "Other")</f>
        <v>T1200</v>
      </c>
      <c r="P127">
        <f t="shared" si="1"/>
        <v>150</v>
      </c>
    </row>
    <row r="128" spans="1:16" x14ac:dyDescent="0.2">
      <c r="A128" s="12">
        <v>195409</v>
      </c>
      <c r="B128" s="12" t="s">
        <v>202</v>
      </c>
      <c r="C128" s="13">
        <v>39</v>
      </c>
      <c r="D128" s="13">
        <v>41</v>
      </c>
      <c r="E128" s="13">
        <v>8</v>
      </c>
      <c r="F128" s="13">
        <v>346</v>
      </c>
      <c r="G128" s="13">
        <v>346</v>
      </c>
      <c r="H128" s="13">
        <v>346</v>
      </c>
      <c r="I128" s="14">
        <v>8.4390243902439028</v>
      </c>
      <c r="J128" s="14">
        <v>8.4390243902439028</v>
      </c>
      <c r="K128" s="14">
        <v>8.4390243902439028</v>
      </c>
      <c r="L128" s="13">
        <v>34</v>
      </c>
      <c r="M128" t="str" cm="1">
        <f t="array" ref="M128">_xlfn.IFS(E128&lt;6, "0-6 Months", E128&lt;=12, "6-12 Months", E128&lt;=24, "12-24 Months", E128&gt;24, "24+ Months")</f>
        <v>6-12 Months</v>
      </c>
      <c r="N128" t="str" cm="1">
        <f t="array" ref="N128">_xlfn.IFS(E128&lt;6, "12-18 Months", E128&lt;=12, "18-24 Months", E128&lt;=24, "24+ Months", E128&gt;24, "24+ Months")</f>
        <v>18-24 Months</v>
      </c>
      <c r="O128" t="str" cm="1">
        <f t="array" ref="O128">_xlfn.IFS(D128&gt;=550, "Major", D128 &gt;= 100, "T1200", D128 &lt;100, "Other")</f>
        <v>Other</v>
      </c>
      <c r="P128">
        <f t="shared" si="1"/>
        <v>39</v>
      </c>
    </row>
    <row r="129" spans="1:16" x14ac:dyDescent="0.2">
      <c r="A129" s="12">
        <v>198611</v>
      </c>
      <c r="B129" s="12" t="s">
        <v>183</v>
      </c>
      <c r="C129" s="13">
        <v>105</v>
      </c>
      <c r="D129" s="13">
        <v>105</v>
      </c>
      <c r="E129" s="13">
        <v>11</v>
      </c>
      <c r="F129" s="13">
        <v>345</v>
      </c>
      <c r="G129" s="13">
        <v>34</v>
      </c>
      <c r="H129" s="13">
        <v>10</v>
      </c>
      <c r="I129" s="14">
        <v>3.285714285714286</v>
      </c>
      <c r="J129" s="14">
        <v>0.32380952380952382</v>
      </c>
      <c r="K129" s="14">
        <v>9.5238095238095233E-2</v>
      </c>
      <c r="L129" s="13">
        <v>0</v>
      </c>
      <c r="M129" t="str" cm="1">
        <f t="array" ref="M129">_xlfn.IFS(E129&lt;6, "0-6 Months", E129&lt;=12, "6-12 Months", E129&lt;=24, "12-24 Months", E129&gt;24, "24+ Months")</f>
        <v>6-12 Months</v>
      </c>
      <c r="N129" t="str" cm="1">
        <f t="array" ref="N129">_xlfn.IFS(E129&lt;6, "12-18 Months", E129&lt;=12, "18-24 Months", E129&lt;=24, "24+ Months", E129&gt;24, "24+ Months")</f>
        <v>18-24 Months</v>
      </c>
      <c r="O129" t="str" cm="1">
        <f t="array" ref="O129">_xlfn.IFS(D129&gt;=550, "Major", D129 &gt;= 100, "T1200", D129 &lt;100, "Other")</f>
        <v>T1200</v>
      </c>
      <c r="P129">
        <f t="shared" si="1"/>
        <v>105</v>
      </c>
    </row>
    <row r="130" spans="1:16" x14ac:dyDescent="0.2">
      <c r="A130" s="12">
        <v>459269</v>
      </c>
      <c r="B130" s="12" t="s">
        <v>112</v>
      </c>
      <c r="C130" s="13">
        <v>104</v>
      </c>
      <c r="D130" s="13">
        <v>10</v>
      </c>
      <c r="E130" s="13">
        <v>12</v>
      </c>
      <c r="F130" s="13">
        <v>345</v>
      </c>
      <c r="G130" s="13">
        <v>265</v>
      </c>
      <c r="H130" s="13">
        <v>22</v>
      </c>
      <c r="I130" s="14">
        <v>34.5</v>
      </c>
      <c r="J130" s="14">
        <v>26.5</v>
      </c>
      <c r="K130" s="14">
        <v>2.2000000000000002</v>
      </c>
      <c r="L130" s="13">
        <v>9</v>
      </c>
      <c r="M130" t="str" cm="1">
        <f t="array" ref="M130">_xlfn.IFS(E130&lt;6, "0-6 Months", E130&lt;=12, "6-12 Months", E130&lt;=24, "12-24 Months", E130&gt;24, "24+ Months")</f>
        <v>6-12 Months</v>
      </c>
      <c r="N130" t="str" cm="1">
        <f t="array" ref="N130">_xlfn.IFS(E130&lt;6, "12-18 Months", E130&lt;=12, "18-24 Months", E130&lt;=24, "24+ Months", E130&gt;24, "24+ Months")</f>
        <v>18-24 Months</v>
      </c>
      <c r="O130" t="str" cm="1">
        <f t="array" ref="O130">_xlfn.IFS(D130&gt;=550, "Major", D130 &gt;= 100, "T1200", D130 &lt;100, "Other")</f>
        <v>Other</v>
      </c>
      <c r="P130">
        <f t="shared" ref="P130:P193" si="2">SUMPRODUCT((I130&gt;=2) * C130 + ((D130&gt;=550) * (J130&gt;=0.75) * (I130&lt;2) * C130))</f>
        <v>104</v>
      </c>
    </row>
    <row r="131" spans="1:16" x14ac:dyDescent="0.2">
      <c r="A131" s="12">
        <v>112636</v>
      </c>
      <c r="B131" s="12" t="s">
        <v>192</v>
      </c>
      <c r="C131" s="13">
        <v>85</v>
      </c>
      <c r="D131" s="13">
        <v>76</v>
      </c>
      <c r="E131" s="13">
        <v>47</v>
      </c>
      <c r="F131" s="13">
        <v>336</v>
      </c>
      <c r="G131" s="13">
        <v>336</v>
      </c>
      <c r="H131" s="13">
        <v>105</v>
      </c>
      <c r="I131" s="14">
        <v>4.4210526315789478</v>
      </c>
      <c r="J131" s="14">
        <v>4.4210526315789478</v>
      </c>
      <c r="K131" s="14">
        <v>1.381578947368421</v>
      </c>
      <c r="L131" s="13">
        <v>8</v>
      </c>
      <c r="M131" t="str" cm="1">
        <f t="array" ref="M131">_xlfn.IFS(E131&lt;6, "0-6 Months", E131&lt;=12, "6-12 Months", E131&lt;=24, "12-24 Months", E131&gt;24, "24+ Months")</f>
        <v>24+ Months</v>
      </c>
      <c r="N131" t="str" cm="1">
        <f t="array" ref="N131">_xlfn.IFS(E131&lt;6, "12-18 Months", E131&lt;=12, "18-24 Months", E131&lt;=24, "24+ Months", E131&gt;24, "24+ Months")</f>
        <v>24+ Months</v>
      </c>
      <c r="O131" t="str" cm="1">
        <f t="array" ref="O131">_xlfn.IFS(D131&gt;=550, "Major", D131 &gt;= 100, "T1200", D131 &lt;100, "Other")</f>
        <v>Other</v>
      </c>
      <c r="P131">
        <f t="shared" si="2"/>
        <v>85</v>
      </c>
    </row>
    <row r="132" spans="1:16" x14ac:dyDescent="0.2">
      <c r="A132" s="12">
        <v>172686</v>
      </c>
      <c r="B132" s="12" t="s">
        <v>188</v>
      </c>
      <c r="C132" s="13">
        <v>1</v>
      </c>
      <c r="D132" s="13">
        <v>73</v>
      </c>
      <c r="E132" s="13">
        <v>9</v>
      </c>
      <c r="F132" s="13">
        <v>331</v>
      </c>
      <c r="G132" s="13">
        <v>296</v>
      </c>
      <c r="H132" s="13">
        <v>123</v>
      </c>
      <c r="I132" s="14">
        <v>4.5342465753424657</v>
      </c>
      <c r="J132" s="14">
        <v>4.0547945205479454</v>
      </c>
      <c r="K132" s="14">
        <v>1.6849315068493149</v>
      </c>
      <c r="L132" s="13">
        <v>11</v>
      </c>
      <c r="M132" t="str" cm="1">
        <f t="array" ref="M132">_xlfn.IFS(E132&lt;6, "0-6 Months", E132&lt;=12, "6-12 Months", E132&lt;=24, "12-24 Months", E132&gt;24, "24+ Months")</f>
        <v>6-12 Months</v>
      </c>
      <c r="N132" t="str" cm="1">
        <f t="array" ref="N132">_xlfn.IFS(E132&lt;6, "12-18 Months", E132&lt;=12, "18-24 Months", E132&lt;=24, "24+ Months", E132&gt;24, "24+ Months")</f>
        <v>18-24 Months</v>
      </c>
      <c r="O132" t="str" cm="1">
        <f t="array" ref="O132">_xlfn.IFS(D132&gt;=550, "Major", D132 &gt;= 100, "T1200", D132 &lt;100, "Other")</f>
        <v>Other</v>
      </c>
      <c r="P132">
        <f t="shared" si="2"/>
        <v>1</v>
      </c>
    </row>
    <row r="133" spans="1:16" x14ac:dyDescent="0.2">
      <c r="A133" s="12">
        <v>154313</v>
      </c>
      <c r="B133" s="12" t="s">
        <v>184</v>
      </c>
      <c r="C133" s="13">
        <v>24</v>
      </c>
      <c r="D133" s="13">
        <v>40</v>
      </c>
      <c r="E133" s="13">
        <v>9</v>
      </c>
      <c r="F133" s="13">
        <v>329</v>
      </c>
      <c r="G133" s="13">
        <v>284</v>
      </c>
      <c r="H133" s="13">
        <v>38</v>
      </c>
      <c r="I133" s="14">
        <v>8.2249999999999996</v>
      </c>
      <c r="J133" s="14">
        <v>7.1</v>
      </c>
      <c r="K133" s="14">
        <v>0.95</v>
      </c>
      <c r="L133" s="13">
        <v>21</v>
      </c>
      <c r="M133" t="str" cm="1">
        <f t="array" ref="M133">_xlfn.IFS(E133&lt;6, "0-6 Months", E133&lt;=12, "6-12 Months", E133&lt;=24, "12-24 Months", E133&gt;24, "24+ Months")</f>
        <v>6-12 Months</v>
      </c>
      <c r="N133" t="str" cm="1">
        <f t="array" ref="N133">_xlfn.IFS(E133&lt;6, "12-18 Months", E133&lt;=12, "18-24 Months", E133&lt;=24, "24+ Months", E133&gt;24, "24+ Months")</f>
        <v>18-24 Months</v>
      </c>
      <c r="O133" t="str" cm="1">
        <f t="array" ref="O133">_xlfn.IFS(D133&gt;=550, "Major", D133 &gt;= 100, "T1200", D133 &lt;100, "Other")</f>
        <v>Other</v>
      </c>
      <c r="P133">
        <f t="shared" si="2"/>
        <v>24</v>
      </c>
    </row>
    <row r="134" spans="1:16" x14ac:dyDescent="0.2">
      <c r="A134" s="12">
        <v>135343</v>
      </c>
      <c r="B134" s="12" t="s">
        <v>94</v>
      </c>
      <c r="C134" s="13">
        <v>3</v>
      </c>
      <c r="D134" s="13">
        <v>109</v>
      </c>
      <c r="E134" s="13">
        <v>7</v>
      </c>
      <c r="F134" s="13">
        <v>328</v>
      </c>
      <c r="G134" s="13">
        <v>313</v>
      </c>
      <c r="H134" s="13">
        <v>4</v>
      </c>
      <c r="I134" s="14">
        <v>3.0091743119266061</v>
      </c>
      <c r="J134" s="14">
        <v>2.8715596330275228</v>
      </c>
      <c r="K134" s="14">
        <v>3.669724770642202E-2</v>
      </c>
      <c r="L134" s="13">
        <v>33</v>
      </c>
      <c r="M134" t="str" cm="1">
        <f t="array" ref="M134">_xlfn.IFS(E134&lt;6, "0-6 Months", E134&lt;=12, "6-12 Months", E134&lt;=24, "12-24 Months", E134&gt;24, "24+ Months")</f>
        <v>6-12 Months</v>
      </c>
      <c r="N134" t="str" cm="1">
        <f t="array" ref="N134">_xlfn.IFS(E134&lt;6, "12-18 Months", E134&lt;=12, "18-24 Months", E134&lt;=24, "24+ Months", E134&gt;24, "24+ Months")</f>
        <v>18-24 Months</v>
      </c>
      <c r="O134" t="str" cm="1">
        <f t="array" ref="O134">_xlfn.IFS(D134&gt;=550, "Major", D134 &gt;= 100, "T1200", D134 &lt;100, "Other")</f>
        <v>T1200</v>
      </c>
      <c r="P134">
        <f t="shared" si="2"/>
        <v>3</v>
      </c>
    </row>
    <row r="135" spans="1:16" x14ac:dyDescent="0.2">
      <c r="A135" s="12">
        <v>454367</v>
      </c>
      <c r="B135" s="12" t="s">
        <v>177</v>
      </c>
      <c r="C135" s="13">
        <v>403</v>
      </c>
      <c r="D135" s="13">
        <v>400</v>
      </c>
      <c r="E135" s="13">
        <v>12</v>
      </c>
      <c r="F135" s="13">
        <v>326</v>
      </c>
      <c r="G135" s="13">
        <v>53</v>
      </c>
      <c r="H135" s="13">
        <v>52</v>
      </c>
      <c r="I135" s="14">
        <v>0.81499999999999995</v>
      </c>
      <c r="J135" s="14">
        <v>0.13250000000000001</v>
      </c>
      <c r="K135" s="14">
        <v>0.13</v>
      </c>
      <c r="L135" s="13">
        <v>2</v>
      </c>
      <c r="M135" t="str" cm="1">
        <f t="array" ref="M135">_xlfn.IFS(E135&lt;6, "0-6 Months", E135&lt;=12, "6-12 Months", E135&lt;=24, "12-24 Months", E135&gt;24, "24+ Months")</f>
        <v>6-12 Months</v>
      </c>
      <c r="N135" t="str" cm="1">
        <f t="array" ref="N135">_xlfn.IFS(E135&lt;6, "12-18 Months", E135&lt;=12, "18-24 Months", E135&lt;=24, "24+ Months", E135&gt;24, "24+ Months")</f>
        <v>18-24 Months</v>
      </c>
      <c r="O135" t="str" cm="1">
        <f t="array" ref="O135">_xlfn.IFS(D135&gt;=550, "Major", D135 &gt;= 100, "T1200", D135 &lt;100, "Other")</f>
        <v>T1200</v>
      </c>
      <c r="P135">
        <f t="shared" si="2"/>
        <v>0</v>
      </c>
    </row>
    <row r="136" spans="1:16" x14ac:dyDescent="0.2">
      <c r="A136" s="12">
        <v>185357</v>
      </c>
      <c r="B136" s="12" t="s">
        <v>190</v>
      </c>
      <c r="C136" s="13">
        <v>100</v>
      </c>
      <c r="D136" s="13">
        <v>241</v>
      </c>
      <c r="E136" s="13">
        <v>43</v>
      </c>
      <c r="F136" s="13">
        <v>323</v>
      </c>
      <c r="G136" s="13">
        <v>69</v>
      </c>
      <c r="H136" s="13">
        <v>44</v>
      </c>
      <c r="I136" s="14">
        <v>1.340248962655602</v>
      </c>
      <c r="J136" s="14">
        <v>0.2863070539419087</v>
      </c>
      <c r="K136" s="14">
        <v>0.18257261410788381</v>
      </c>
      <c r="L136" s="13">
        <v>0</v>
      </c>
      <c r="M136" t="str" cm="1">
        <f t="array" ref="M136">_xlfn.IFS(E136&lt;6, "0-6 Months", E136&lt;=12, "6-12 Months", E136&lt;=24, "12-24 Months", E136&gt;24, "24+ Months")</f>
        <v>24+ Months</v>
      </c>
      <c r="N136" t="str" cm="1">
        <f t="array" ref="N136">_xlfn.IFS(E136&lt;6, "12-18 Months", E136&lt;=12, "18-24 Months", E136&lt;=24, "24+ Months", E136&gt;24, "24+ Months")</f>
        <v>24+ Months</v>
      </c>
      <c r="O136" t="str" cm="1">
        <f t="array" ref="O136">_xlfn.IFS(D136&gt;=550, "Major", D136 &gt;= 100, "T1200", D136 &lt;100, "Other")</f>
        <v>T1200</v>
      </c>
      <c r="P136">
        <f t="shared" si="2"/>
        <v>0</v>
      </c>
    </row>
    <row r="137" spans="1:16" x14ac:dyDescent="0.2">
      <c r="A137" s="12">
        <v>205360</v>
      </c>
      <c r="B137" s="12" t="s">
        <v>277</v>
      </c>
      <c r="C137" s="13">
        <v>356</v>
      </c>
      <c r="D137" s="13">
        <v>320</v>
      </c>
      <c r="E137" s="13">
        <v>14</v>
      </c>
      <c r="F137" s="13">
        <v>320</v>
      </c>
      <c r="G137" s="13">
        <v>32</v>
      </c>
      <c r="H137" s="13">
        <v>1</v>
      </c>
      <c r="I137" s="14">
        <v>1</v>
      </c>
      <c r="J137" s="14">
        <v>0.1</v>
      </c>
      <c r="K137" s="14">
        <v>3.1250000000000002E-3</v>
      </c>
      <c r="L137" s="13">
        <v>1</v>
      </c>
      <c r="M137" t="str" cm="1">
        <f t="array" ref="M137">_xlfn.IFS(E137&lt;6, "0-6 Months", E137&lt;=12, "6-12 Months", E137&lt;=24, "12-24 Months", E137&gt;24, "24+ Months")</f>
        <v>12-24 Months</v>
      </c>
      <c r="N137" t="str" cm="1">
        <f t="array" ref="N137">_xlfn.IFS(E137&lt;6, "12-18 Months", E137&lt;=12, "18-24 Months", E137&lt;=24, "24+ Months", E137&gt;24, "24+ Months")</f>
        <v>24+ Months</v>
      </c>
      <c r="O137" t="str" cm="1">
        <f t="array" ref="O137">_xlfn.IFS(D137&gt;=550, "Major", D137 &gt;= 100, "T1200", D137 &lt;100, "Other")</f>
        <v>T1200</v>
      </c>
      <c r="P137">
        <f t="shared" si="2"/>
        <v>0</v>
      </c>
    </row>
    <row r="138" spans="1:16" x14ac:dyDescent="0.2">
      <c r="A138" s="12">
        <v>109207</v>
      </c>
      <c r="B138" s="12" t="s">
        <v>235</v>
      </c>
      <c r="C138" s="13">
        <v>162</v>
      </c>
      <c r="D138" s="13">
        <v>166</v>
      </c>
      <c r="E138" s="13">
        <v>50</v>
      </c>
      <c r="F138" s="13">
        <v>313</v>
      </c>
      <c r="G138" s="13">
        <v>227</v>
      </c>
      <c r="H138" s="13">
        <v>143</v>
      </c>
      <c r="I138" s="14">
        <v>1.8855421686746989</v>
      </c>
      <c r="J138" s="14">
        <v>1.367469879518072</v>
      </c>
      <c r="K138" s="14">
        <v>0.86144578313253017</v>
      </c>
      <c r="L138" s="13">
        <v>139</v>
      </c>
      <c r="M138" t="str" cm="1">
        <f t="array" ref="M138">_xlfn.IFS(E138&lt;6, "0-6 Months", E138&lt;=12, "6-12 Months", E138&lt;=24, "12-24 Months", E138&gt;24, "24+ Months")</f>
        <v>24+ Months</v>
      </c>
      <c r="N138" t="str" cm="1">
        <f t="array" ref="N138">_xlfn.IFS(E138&lt;6, "12-18 Months", E138&lt;=12, "18-24 Months", E138&lt;=24, "24+ Months", E138&gt;24, "24+ Months")</f>
        <v>24+ Months</v>
      </c>
      <c r="O138" t="str" cm="1">
        <f t="array" ref="O138">_xlfn.IFS(D138&gt;=550, "Major", D138 &gt;= 100, "T1200", D138 &lt;100, "Other")</f>
        <v>T1200</v>
      </c>
      <c r="P138">
        <f t="shared" si="2"/>
        <v>0</v>
      </c>
    </row>
    <row r="139" spans="1:16" x14ac:dyDescent="0.2">
      <c r="A139" s="12">
        <v>108462</v>
      </c>
      <c r="B139" s="12" t="s">
        <v>191</v>
      </c>
      <c r="C139" s="13">
        <v>25</v>
      </c>
      <c r="D139" s="13">
        <v>25</v>
      </c>
      <c r="E139" s="13">
        <v>11</v>
      </c>
      <c r="F139" s="13">
        <v>309</v>
      </c>
      <c r="G139" s="13">
        <v>184</v>
      </c>
      <c r="H139" s="13">
        <v>5</v>
      </c>
      <c r="I139" s="14">
        <v>12.36</v>
      </c>
      <c r="J139" s="14">
        <v>7.36</v>
      </c>
      <c r="K139" s="14">
        <v>0.2</v>
      </c>
      <c r="L139" s="13">
        <v>67</v>
      </c>
      <c r="M139" t="str" cm="1">
        <f t="array" ref="M139">_xlfn.IFS(E139&lt;6, "0-6 Months", E139&lt;=12, "6-12 Months", E139&lt;=24, "12-24 Months", E139&gt;24, "24+ Months")</f>
        <v>6-12 Months</v>
      </c>
      <c r="N139" t="str" cm="1">
        <f t="array" ref="N139">_xlfn.IFS(E139&lt;6, "12-18 Months", E139&lt;=12, "18-24 Months", E139&lt;=24, "24+ Months", E139&gt;24, "24+ Months")</f>
        <v>18-24 Months</v>
      </c>
      <c r="O139" t="str" cm="1">
        <f t="array" ref="O139">_xlfn.IFS(D139&gt;=550, "Major", D139 &gt;= 100, "T1200", D139 &lt;100, "Other")</f>
        <v>Other</v>
      </c>
      <c r="P139">
        <f t="shared" si="2"/>
        <v>25</v>
      </c>
    </row>
    <row r="140" spans="1:16" x14ac:dyDescent="0.2">
      <c r="A140" s="12">
        <v>111065</v>
      </c>
      <c r="B140" s="12" t="s">
        <v>204</v>
      </c>
      <c r="C140" s="13">
        <v>160</v>
      </c>
      <c r="D140" s="13">
        <v>828</v>
      </c>
      <c r="E140" s="13">
        <v>19</v>
      </c>
      <c r="F140" s="13">
        <v>308</v>
      </c>
      <c r="G140" s="13">
        <v>284</v>
      </c>
      <c r="H140" s="13">
        <v>20</v>
      </c>
      <c r="I140" s="14">
        <v>0.3719806763285024</v>
      </c>
      <c r="J140" s="14">
        <v>0.34299516908212557</v>
      </c>
      <c r="K140" s="14">
        <v>2.415458937198068E-2</v>
      </c>
      <c r="L140" s="13">
        <v>623</v>
      </c>
      <c r="M140" t="str" cm="1">
        <f t="array" ref="M140">_xlfn.IFS(E140&lt;6, "0-6 Months", E140&lt;=12, "6-12 Months", E140&lt;=24, "12-24 Months", E140&gt;24, "24+ Months")</f>
        <v>12-24 Months</v>
      </c>
      <c r="N140" t="str" cm="1">
        <f t="array" ref="N140">_xlfn.IFS(E140&lt;6, "12-18 Months", E140&lt;=12, "18-24 Months", E140&lt;=24, "24+ Months", E140&gt;24, "24+ Months")</f>
        <v>24+ Months</v>
      </c>
      <c r="O140" t="str" cm="1">
        <f t="array" ref="O140">_xlfn.IFS(D140&gt;=550, "Major", D140 &gt;= 100, "T1200", D140 &lt;100, "Other")</f>
        <v>Major</v>
      </c>
      <c r="P140">
        <f t="shared" si="2"/>
        <v>0</v>
      </c>
    </row>
    <row r="141" spans="1:16" x14ac:dyDescent="0.2">
      <c r="A141" s="12">
        <v>149335</v>
      </c>
      <c r="B141" s="12" t="s">
        <v>182</v>
      </c>
      <c r="C141" s="13">
        <v>47</v>
      </c>
      <c r="D141" s="13">
        <v>42</v>
      </c>
      <c r="E141" s="13">
        <v>10</v>
      </c>
      <c r="F141" s="13">
        <v>307</v>
      </c>
      <c r="G141" s="13">
        <v>3</v>
      </c>
      <c r="H141" s="13">
        <v>3</v>
      </c>
      <c r="I141" s="14">
        <v>7.3095238095238093</v>
      </c>
      <c r="J141" s="14">
        <v>7.1428571428571425E-2</v>
      </c>
      <c r="K141" s="14">
        <v>7.1428571428571425E-2</v>
      </c>
      <c r="L141" s="13">
        <v>0</v>
      </c>
      <c r="M141" t="str" cm="1">
        <f t="array" ref="M141">_xlfn.IFS(E141&lt;6, "0-6 Months", E141&lt;=12, "6-12 Months", E141&lt;=24, "12-24 Months", E141&gt;24, "24+ Months")</f>
        <v>6-12 Months</v>
      </c>
      <c r="N141" t="str" cm="1">
        <f t="array" ref="N141">_xlfn.IFS(E141&lt;6, "12-18 Months", E141&lt;=12, "18-24 Months", E141&lt;=24, "24+ Months", E141&gt;24, "24+ Months")</f>
        <v>18-24 Months</v>
      </c>
      <c r="O141" t="str" cm="1">
        <f t="array" ref="O141">_xlfn.IFS(D141&gt;=550, "Major", D141 &gt;= 100, "T1200", D141 &lt;100, "Other")</f>
        <v>Other</v>
      </c>
      <c r="P141">
        <f t="shared" si="2"/>
        <v>47</v>
      </c>
    </row>
    <row r="142" spans="1:16" x14ac:dyDescent="0.2">
      <c r="A142" s="12">
        <v>109178</v>
      </c>
      <c r="B142" s="12" t="s">
        <v>185</v>
      </c>
      <c r="C142" s="13">
        <v>165</v>
      </c>
      <c r="D142" s="13">
        <v>193</v>
      </c>
      <c r="E142" s="13">
        <v>15</v>
      </c>
      <c r="F142" s="13">
        <v>304</v>
      </c>
      <c r="G142" s="13">
        <v>94</v>
      </c>
      <c r="H142" s="13">
        <v>0</v>
      </c>
      <c r="I142" s="14">
        <v>1.575129533678757</v>
      </c>
      <c r="J142" s="14">
        <v>0.48704663212435229</v>
      </c>
      <c r="K142" s="14">
        <v>0</v>
      </c>
      <c r="L142" s="13">
        <v>0</v>
      </c>
      <c r="M142" t="str" cm="1">
        <f t="array" ref="M142">_xlfn.IFS(E142&lt;6, "0-6 Months", E142&lt;=12, "6-12 Months", E142&lt;=24, "12-24 Months", E142&gt;24, "24+ Months")</f>
        <v>12-24 Months</v>
      </c>
      <c r="N142" t="str" cm="1">
        <f t="array" ref="N142">_xlfn.IFS(E142&lt;6, "12-18 Months", E142&lt;=12, "18-24 Months", E142&lt;=24, "24+ Months", E142&gt;24, "24+ Months")</f>
        <v>24+ Months</v>
      </c>
      <c r="O142" t="str" cm="1">
        <f t="array" ref="O142">_xlfn.IFS(D142&gt;=550, "Major", D142 &gt;= 100, "T1200", D142 &lt;100, "Other")</f>
        <v>T1200</v>
      </c>
      <c r="P142">
        <f t="shared" si="2"/>
        <v>0</v>
      </c>
    </row>
    <row r="143" spans="1:16" x14ac:dyDescent="0.2">
      <c r="A143" s="12">
        <v>140442</v>
      </c>
      <c r="B143" s="12" t="s">
        <v>200</v>
      </c>
      <c r="C143" s="13">
        <v>4</v>
      </c>
      <c r="D143" s="13">
        <v>189</v>
      </c>
      <c r="E143" s="13">
        <v>46</v>
      </c>
      <c r="F143" s="13">
        <v>303</v>
      </c>
      <c r="G143" s="13">
        <v>198</v>
      </c>
      <c r="H143" s="13">
        <v>151</v>
      </c>
      <c r="I143" s="14">
        <v>1.603174603174603</v>
      </c>
      <c r="J143" s="14">
        <v>1.0476190476190479</v>
      </c>
      <c r="K143" s="14">
        <v>0.79894179894179895</v>
      </c>
      <c r="L143" s="13">
        <v>67</v>
      </c>
      <c r="M143" t="str" cm="1">
        <f t="array" ref="M143">_xlfn.IFS(E143&lt;6, "0-6 Months", E143&lt;=12, "6-12 Months", E143&lt;=24, "12-24 Months", E143&gt;24, "24+ Months")</f>
        <v>24+ Months</v>
      </c>
      <c r="N143" t="str" cm="1">
        <f t="array" ref="N143">_xlfn.IFS(E143&lt;6, "12-18 Months", E143&lt;=12, "18-24 Months", E143&lt;=24, "24+ Months", E143&gt;24, "24+ Months")</f>
        <v>24+ Months</v>
      </c>
      <c r="O143" t="str" cm="1">
        <f t="array" ref="O143">_xlfn.IFS(D143&gt;=550, "Major", D143 &gt;= 100, "T1200", D143 &lt;100, "Other")</f>
        <v>T1200</v>
      </c>
      <c r="P143">
        <f t="shared" si="2"/>
        <v>0</v>
      </c>
    </row>
    <row r="144" spans="1:16" x14ac:dyDescent="0.2">
      <c r="A144" s="12">
        <v>112209</v>
      </c>
      <c r="B144" s="12" t="s">
        <v>154</v>
      </c>
      <c r="C144" s="13">
        <v>123</v>
      </c>
      <c r="D144" s="13">
        <v>75</v>
      </c>
      <c r="E144" s="13">
        <v>9</v>
      </c>
      <c r="F144" s="13">
        <v>301</v>
      </c>
      <c r="G144" s="13">
        <v>299</v>
      </c>
      <c r="H144" s="13">
        <v>0</v>
      </c>
      <c r="I144" s="14">
        <v>4.0133333333333336</v>
      </c>
      <c r="J144" s="14">
        <v>3.9866666666666668</v>
      </c>
      <c r="K144" s="14">
        <v>0</v>
      </c>
      <c r="L144" s="13">
        <v>51</v>
      </c>
      <c r="M144" t="str" cm="1">
        <f t="array" ref="M144">_xlfn.IFS(E144&lt;6, "0-6 Months", E144&lt;=12, "6-12 Months", E144&lt;=24, "12-24 Months", E144&gt;24, "24+ Months")</f>
        <v>6-12 Months</v>
      </c>
      <c r="N144" t="str" cm="1">
        <f t="array" ref="N144">_xlfn.IFS(E144&lt;6, "12-18 Months", E144&lt;=12, "18-24 Months", E144&lt;=24, "24+ Months", E144&gt;24, "24+ Months")</f>
        <v>18-24 Months</v>
      </c>
      <c r="O144" t="str" cm="1">
        <f t="array" ref="O144">_xlfn.IFS(D144&gt;=550, "Major", D144 &gt;= 100, "T1200", D144 &lt;100, "Other")</f>
        <v>Other</v>
      </c>
      <c r="P144">
        <f t="shared" si="2"/>
        <v>123</v>
      </c>
    </row>
    <row r="145" spans="1:16" x14ac:dyDescent="0.2">
      <c r="A145" s="12">
        <v>320923</v>
      </c>
      <c r="B145" s="12" t="s">
        <v>206</v>
      </c>
      <c r="C145" s="13">
        <v>67</v>
      </c>
      <c r="D145" s="13">
        <v>80</v>
      </c>
      <c r="E145" s="13">
        <v>12</v>
      </c>
      <c r="F145" s="13">
        <v>300</v>
      </c>
      <c r="G145" s="13">
        <v>94</v>
      </c>
      <c r="H145" s="13">
        <v>41</v>
      </c>
      <c r="I145" s="14">
        <v>3.75</v>
      </c>
      <c r="J145" s="14">
        <v>1.175</v>
      </c>
      <c r="K145" s="14">
        <v>0.51249999999999996</v>
      </c>
      <c r="L145" s="13">
        <v>0</v>
      </c>
      <c r="M145" t="str" cm="1">
        <f t="array" ref="M145">_xlfn.IFS(E145&lt;6, "0-6 Months", E145&lt;=12, "6-12 Months", E145&lt;=24, "12-24 Months", E145&gt;24, "24+ Months")</f>
        <v>6-12 Months</v>
      </c>
      <c r="N145" t="str" cm="1">
        <f t="array" ref="N145">_xlfn.IFS(E145&lt;6, "12-18 Months", E145&lt;=12, "18-24 Months", E145&lt;=24, "24+ Months", E145&gt;24, "24+ Months")</f>
        <v>18-24 Months</v>
      </c>
      <c r="O145" t="str" cm="1">
        <f t="array" ref="O145">_xlfn.IFS(D145&gt;=550, "Major", D145 &gt;= 100, "T1200", D145 &lt;100, "Other")</f>
        <v>Other</v>
      </c>
      <c r="P145">
        <f t="shared" si="2"/>
        <v>67</v>
      </c>
    </row>
    <row r="146" spans="1:16" x14ac:dyDescent="0.2">
      <c r="A146" s="12">
        <v>138516</v>
      </c>
      <c r="B146" s="12" t="s">
        <v>238</v>
      </c>
      <c r="C146" s="13">
        <v>140</v>
      </c>
      <c r="D146" s="13">
        <v>168</v>
      </c>
      <c r="E146" s="13">
        <v>20</v>
      </c>
      <c r="F146" s="13">
        <v>298</v>
      </c>
      <c r="G146" s="13">
        <v>267</v>
      </c>
      <c r="H146" s="13">
        <v>218</v>
      </c>
      <c r="I146" s="14">
        <v>1.7738095238095239</v>
      </c>
      <c r="J146" s="14">
        <v>1.589285714285714</v>
      </c>
      <c r="K146" s="14">
        <v>1.2976190476190479</v>
      </c>
      <c r="L146" s="13">
        <v>0</v>
      </c>
      <c r="M146" t="str" cm="1">
        <f t="array" ref="M146">_xlfn.IFS(E146&lt;6, "0-6 Months", E146&lt;=12, "6-12 Months", E146&lt;=24, "12-24 Months", E146&gt;24, "24+ Months")</f>
        <v>12-24 Months</v>
      </c>
      <c r="N146" t="str" cm="1">
        <f t="array" ref="N146">_xlfn.IFS(E146&lt;6, "12-18 Months", E146&lt;=12, "18-24 Months", E146&lt;=24, "24+ Months", E146&gt;24, "24+ Months")</f>
        <v>24+ Months</v>
      </c>
      <c r="O146" t="str" cm="1">
        <f t="array" ref="O146">_xlfn.IFS(D146&gt;=550, "Major", D146 &gt;= 100, "T1200", D146 &lt;100, "Other")</f>
        <v>T1200</v>
      </c>
      <c r="P146">
        <f t="shared" si="2"/>
        <v>0</v>
      </c>
    </row>
    <row r="147" spans="1:16" x14ac:dyDescent="0.2">
      <c r="A147" s="12">
        <v>114759</v>
      </c>
      <c r="B147" s="12" t="s">
        <v>220</v>
      </c>
      <c r="C147" s="13">
        <v>51</v>
      </c>
      <c r="D147" s="13">
        <v>67</v>
      </c>
      <c r="E147" s="13">
        <v>10</v>
      </c>
      <c r="F147" s="13">
        <v>298</v>
      </c>
      <c r="G147" s="13">
        <v>29</v>
      </c>
      <c r="H147" s="13">
        <v>26</v>
      </c>
      <c r="I147" s="14">
        <v>4.4477611940298507</v>
      </c>
      <c r="J147" s="14">
        <v>0.43283582089552242</v>
      </c>
      <c r="K147" s="14">
        <v>0.38805970149253732</v>
      </c>
      <c r="L147" s="13">
        <v>13</v>
      </c>
      <c r="M147" t="str" cm="1">
        <f t="array" ref="M147">_xlfn.IFS(E147&lt;6, "0-6 Months", E147&lt;=12, "6-12 Months", E147&lt;=24, "12-24 Months", E147&gt;24, "24+ Months")</f>
        <v>6-12 Months</v>
      </c>
      <c r="N147" t="str" cm="1">
        <f t="array" ref="N147">_xlfn.IFS(E147&lt;6, "12-18 Months", E147&lt;=12, "18-24 Months", E147&lt;=24, "24+ Months", E147&gt;24, "24+ Months")</f>
        <v>18-24 Months</v>
      </c>
      <c r="O147" t="str" cm="1">
        <f t="array" ref="O147">_xlfn.IFS(D147&gt;=550, "Major", D147 &gt;= 100, "T1200", D147 &lt;100, "Other")</f>
        <v>Other</v>
      </c>
      <c r="P147">
        <f t="shared" si="2"/>
        <v>51</v>
      </c>
    </row>
    <row r="148" spans="1:16" x14ac:dyDescent="0.2">
      <c r="A148" s="12">
        <v>466044</v>
      </c>
      <c r="B148" s="12" t="s">
        <v>199</v>
      </c>
      <c r="C148" s="13">
        <v>70</v>
      </c>
      <c r="D148" s="13">
        <v>82</v>
      </c>
      <c r="E148" s="13">
        <v>9</v>
      </c>
      <c r="F148" s="13">
        <v>297</v>
      </c>
      <c r="G148" s="13">
        <v>282</v>
      </c>
      <c r="H148" s="13">
        <v>115</v>
      </c>
      <c r="I148" s="14">
        <v>3.6219512195121948</v>
      </c>
      <c r="J148" s="14">
        <v>3.4390243902439019</v>
      </c>
      <c r="K148" s="14">
        <v>1.402439024390244</v>
      </c>
      <c r="L148" s="13">
        <v>98</v>
      </c>
      <c r="M148" t="str" cm="1">
        <f t="array" ref="M148">_xlfn.IFS(E148&lt;6, "0-6 Months", E148&lt;=12, "6-12 Months", E148&lt;=24, "12-24 Months", E148&gt;24, "24+ Months")</f>
        <v>6-12 Months</v>
      </c>
      <c r="N148" t="str" cm="1">
        <f t="array" ref="N148">_xlfn.IFS(E148&lt;6, "12-18 Months", E148&lt;=12, "18-24 Months", E148&lt;=24, "24+ Months", E148&gt;24, "24+ Months")</f>
        <v>18-24 Months</v>
      </c>
      <c r="O148" t="str" cm="1">
        <f t="array" ref="O148">_xlfn.IFS(D148&gt;=550, "Major", D148 &gt;= 100, "T1200", D148 &lt;100, "Other")</f>
        <v>Other</v>
      </c>
      <c r="P148">
        <f t="shared" si="2"/>
        <v>70</v>
      </c>
    </row>
    <row r="149" spans="1:16" x14ac:dyDescent="0.2">
      <c r="A149" s="12">
        <v>185176</v>
      </c>
      <c r="B149" s="12" t="s">
        <v>205</v>
      </c>
      <c r="C149" s="13">
        <v>49</v>
      </c>
      <c r="D149" s="13">
        <v>53</v>
      </c>
      <c r="E149" s="13">
        <v>9</v>
      </c>
      <c r="F149" s="13">
        <v>297</v>
      </c>
      <c r="G149" s="13">
        <v>297</v>
      </c>
      <c r="H149" s="13">
        <v>219</v>
      </c>
      <c r="I149" s="14">
        <v>5.6037735849056602</v>
      </c>
      <c r="J149" s="14">
        <v>5.6037735849056602</v>
      </c>
      <c r="K149" s="14">
        <v>4.132075471698113</v>
      </c>
      <c r="L149" s="13">
        <v>53</v>
      </c>
      <c r="M149" t="str" cm="1">
        <f t="array" ref="M149">_xlfn.IFS(E149&lt;6, "0-6 Months", E149&lt;=12, "6-12 Months", E149&lt;=24, "12-24 Months", E149&gt;24, "24+ Months")</f>
        <v>6-12 Months</v>
      </c>
      <c r="N149" t="str" cm="1">
        <f t="array" ref="N149">_xlfn.IFS(E149&lt;6, "12-18 Months", E149&lt;=12, "18-24 Months", E149&lt;=24, "24+ Months", E149&gt;24, "24+ Months")</f>
        <v>18-24 Months</v>
      </c>
      <c r="O149" t="str" cm="1">
        <f t="array" ref="O149">_xlfn.IFS(D149&gt;=550, "Major", D149 &gt;= 100, "T1200", D149 &lt;100, "Other")</f>
        <v>Other</v>
      </c>
      <c r="P149">
        <f t="shared" si="2"/>
        <v>49</v>
      </c>
    </row>
    <row r="150" spans="1:16" x14ac:dyDescent="0.2">
      <c r="A150" s="12">
        <v>155646</v>
      </c>
      <c r="B150" s="12" t="s">
        <v>149</v>
      </c>
      <c r="C150" s="13">
        <v>29</v>
      </c>
      <c r="D150" s="13">
        <v>26</v>
      </c>
      <c r="E150" s="13">
        <v>9</v>
      </c>
      <c r="F150" s="13">
        <v>297</v>
      </c>
      <c r="G150" s="13">
        <v>246</v>
      </c>
      <c r="H150" s="13">
        <v>40</v>
      </c>
      <c r="I150" s="14">
        <v>11.42307692307692</v>
      </c>
      <c r="J150" s="14">
        <v>9.4615384615384617</v>
      </c>
      <c r="K150" s="14">
        <v>1.538461538461539</v>
      </c>
      <c r="L150" s="13">
        <v>58</v>
      </c>
      <c r="M150" t="str" cm="1">
        <f t="array" ref="M150">_xlfn.IFS(E150&lt;6, "0-6 Months", E150&lt;=12, "6-12 Months", E150&lt;=24, "12-24 Months", E150&gt;24, "24+ Months")</f>
        <v>6-12 Months</v>
      </c>
      <c r="N150" t="str" cm="1">
        <f t="array" ref="N150">_xlfn.IFS(E150&lt;6, "12-18 Months", E150&lt;=12, "18-24 Months", E150&lt;=24, "24+ Months", E150&gt;24, "24+ Months")</f>
        <v>18-24 Months</v>
      </c>
      <c r="O150" t="str" cm="1">
        <f t="array" ref="O150">_xlfn.IFS(D150&gt;=550, "Major", D150 &gt;= 100, "T1200", D150 &lt;100, "Other")</f>
        <v>Other</v>
      </c>
      <c r="P150">
        <f t="shared" si="2"/>
        <v>29</v>
      </c>
    </row>
    <row r="151" spans="1:16" x14ac:dyDescent="0.2">
      <c r="A151" s="12">
        <v>113552</v>
      </c>
      <c r="B151" s="12" t="s">
        <v>211</v>
      </c>
      <c r="C151" s="13">
        <v>50</v>
      </c>
      <c r="D151" s="13">
        <v>45</v>
      </c>
      <c r="E151" s="13">
        <v>9</v>
      </c>
      <c r="F151" s="13">
        <v>294</v>
      </c>
      <c r="G151" s="13">
        <v>293</v>
      </c>
      <c r="H151" s="13">
        <v>233</v>
      </c>
      <c r="I151" s="14">
        <v>6.5333333333333332</v>
      </c>
      <c r="J151" s="14">
        <v>6.5111111111111111</v>
      </c>
      <c r="K151" s="14">
        <v>5.177777777777778</v>
      </c>
      <c r="L151" s="13">
        <v>79</v>
      </c>
      <c r="M151" t="str" cm="1">
        <f t="array" ref="M151">_xlfn.IFS(E151&lt;6, "0-6 Months", E151&lt;=12, "6-12 Months", E151&lt;=24, "12-24 Months", E151&gt;24, "24+ Months")</f>
        <v>6-12 Months</v>
      </c>
      <c r="N151" t="str" cm="1">
        <f t="array" ref="N151">_xlfn.IFS(E151&lt;6, "12-18 Months", E151&lt;=12, "18-24 Months", E151&lt;=24, "24+ Months", E151&gt;24, "24+ Months")</f>
        <v>18-24 Months</v>
      </c>
      <c r="O151" t="str" cm="1">
        <f t="array" ref="O151">_xlfn.IFS(D151&gt;=550, "Major", D151 &gt;= 100, "T1200", D151 &lt;100, "Other")</f>
        <v>Other</v>
      </c>
      <c r="P151">
        <f t="shared" si="2"/>
        <v>50</v>
      </c>
    </row>
    <row r="152" spans="1:16" x14ac:dyDescent="0.2">
      <c r="A152" s="12">
        <v>154340</v>
      </c>
      <c r="B152" s="12" t="s">
        <v>207</v>
      </c>
      <c r="C152" s="13">
        <v>0</v>
      </c>
      <c r="D152" s="13">
        <v>180</v>
      </c>
      <c r="E152" s="13">
        <v>16</v>
      </c>
      <c r="F152" s="13">
        <v>289</v>
      </c>
      <c r="G152" s="13">
        <v>73</v>
      </c>
      <c r="H152" s="13">
        <v>17</v>
      </c>
      <c r="I152" s="14">
        <v>1.6055555555555561</v>
      </c>
      <c r="J152" s="14">
        <v>0.40555555555555561</v>
      </c>
      <c r="K152" s="14">
        <v>9.4444444444444442E-2</v>
      </c>
      <c r="L152" s="13">
        <v>18</v>
      </c>
      <c r="M152" t="str" cm="1">
        <f t="array" ref="M152">_xlfn.IFS(E152&lt;6, "0-6 Months", E152&lt;=12, "6-12 Months", E152&lt;=24, "12-24 Months", E152&gt;24, "24+ Months")</f>
        <v>12-24 Months</v>
      </c>
      <c r="N152" t="str" cm="1">
        <f t="array" ref="N152">_xlfn.IFS(E152&lt;6, "12-18 Months", E152&lt;=12, "18-24 Months", E152&lt;=24, "24+ Months", E152&gt;24, "24+ Months")</f>
        <v>24+ Months</v>
      </c>
      <c r="O152" t="str" cm="1">
        <f t="array" ref="O152">_xlfn.IFS(D152&gt;=550, "Major", D152 &gt;= 100, "T1200", D152 &lt;100, "Other")</f>
        <v>T1200</v>
      </c>
      <c r="P152">
        <f t="shared" si="2"/>
        <v>0</v>
      </c>
    </row>
    <row r="153" spans="1:16" x14ac:dyDescent="0.2">
      <c r="A153" s="12">
        <v>106976</v>
      </c>
      <c r="B153" s="12" t="s">
        <v>119</v>
      </c>
      <c r="C153" s="13">
        <v>350</v>
      </c>
      <c r="D153" s="13">
        <v>242</v>
      </c>
      <c r="E153" s="13">
        <v>7</v>
      </c>
      <c r="F153" s="13">
        <v>286</v>
      </c>
      <c r="G153" s="13">
        <v>13</v>
      </c>
      <c r="H153" s="13">
        <v>3</v>
      </c>
      <c r="I153" s="14">
        <v>1.1818181818181821</v>
      </c>
      <c r="J153" s="14">
        <v>5.3719008264462811E-2</v>
      </c>
      <c r="K153" s="14">
        <v>1.239669421487603E-2</v>
      </c>
      <c r="L153" s="13">
        <v>19</v>
      </c>
      <c r="M153" t="str" cm="1">
        <f t="array" ref="M153">_xlfn.IFS(E153&lt;6, "0-6 Months", E153&lt;=12, "6-12 Months", E153&lt;=24, "12-24 Months", E153&gt;24, "24+ Months")</f>
        <v>6-12 Months</v>
      </c>
      <c r="N153" t="str" cm="1">
        <f t="array" ref="N153">_xlfn.IFS(E153&lt;6, "12-18 Months", E153&lt;=12, "18-24 Months", E153&lt;=24, "24+ Months", E153&gt;24, "24+ Months")</f>
        <v>18-24 Months</v>
      </c>
      <c r="O153" t="str" cm="1">
        <f t="array" ref="O153">_xlfn.IFS(D153&gt;=550, "Major", D153 &gt;= 100, "T1200", D153 &lt;100, "Other")</f>
        <v>T1200</v>
      </c>
      <c r="P153">
        <f t="shared" si="2"/>
        <v>0</v>
      </c>
    </row>
    <row r="154" spans="1:16" x14ac:dyDescent="0.2">
      <c r="A154" s="12">
        <v>118223</v>
      </c>
      <c r="B154" s="12" t="s">
        <v>247</v>
      </c>
      <c r="C154" s="13">
        <v>183</v>
      </c>
      <c r="D154" s="13">
        <v>186</v>
      </c>
      <c r="E154" s="13">
        <v>25</v>
      </c>
      <c r="F154" s="13">
        <v>284</v>
      </c>
      <c r="G154" s="13">
        <v>275</v>
      </c>
      <c r="H154" s="13">
        <v>5</v>
      </c>
      <c r="I154" s="14">
        <v>1.5268817204301079</v>
      </c>
      <c r="J154" s="14">
        <v>1.478494623655914</v>
      </c>
      <c r="K154" s="14">
        <v>2.6881720430107531E-2</v>
      </c>
      <c r="L154" s="13">
        <v>0</v>
      </c>
      <c r="M154" t="str" cm="1">
        <f t="array" ref="M154">_xlfn.IFS(E154&lt;6, "0-6 Months", E154&lt;=12, "6-12 Months", E154&lt;=24, "12-24 Months", E154&gt;24, "24+ Months")</f>
        <v>24+ Months</v>
      </c>
      <c r="N154" t="str" cm="1">
        <f t="array" ref="N154">_xlfn.IFS(E154&lt;6, "12-18 Months", E154&lt;=12, "18-24 Months", E154&lt;=24, "24+ Months", E154&gt;24, "24+ Months")</f>
        <v>24+ Months</v>
      </c>
      <c r="O154" t="str" cm="1">
        <f t="array" ref="O154">_xlfn.IFS(D154&gt;=550, "Major", D154 &gt;= 100, "T1200", D154 &lt;100, "Other")</f>
        <v>T1200</v>
      </c>
      <c r="P154">
        <f t="shared" si="2"/>
        <v>0</v>
      </c>
    </row>
    <row r="155" spans="1:16" x14ac:dyDescent="0.2">
      <c r="A155" s="12">
        <v>121102</v>
      </c>
      <c r="B155" s="12" t="s">
        <v>208</v>
      </c>
      <c r="C155" s="13">
        <v>25</v>
      </c>
      <c r="D155" s="13">
        <v>20</v>
      </c>
      <c r="E155" s="13">
        <v>14</v>
      </c>
      <c r="F155" s="13">
        <v>284</v>
      </c>
      <c r="G155" s="13">
        <v>97</v>
      </c>
      <c r="H155" s="13">
        <v>40</v>
      </c>
      <c r="I155" s="14">
        <v>14.2</v>
      </c>
      <c r="J155" s="14">
        <v>4.8499999999999996</v>
      </c>
      <c r="K155" s="14">
        <v>2</v>
      </c>
      <c r="L155" s="13">
        <v>25</v>
      </c>
      <c r="M155" t="str" cm="1">
        <f t="array" ref="M155">_xlfn.IFS(E155&lt;6, "0-6 Months", E155&lt;=12, "6-12 Months", E155&lt;=24, "12-24 Months", E155&gt;24, "24+ Months")</f>
        <v>12-24 Months</v>
      </c>
      <c r="N155" t="str" cm="1">
        <f t="array" ref="N155">_xlfn.IFS(E155&lt;6, "12-18 Months", E155&lt;=12, "18-24 Months", E155&lt;=24, "24+ Months", E155&gt;24, "24+ Months")</f>
        <v>24+ Months</v>
      </c>
      <c r="O155" t="str" cm="1">
        <f t="array" ref="O155">_xlfn.IFS(D155&gt;=550, "Major", D155 &gt;= 100, "T1200", D155 &lt;100, "Other")</f>
        <v>Other</v>
      </c>
      <c r="P155">
        <f t="shared" si="2"/>
        <v>25</v>
      </c>
    </row>
    <row r="156" spans="1:16" x14ac:dyDescent="0.2">
      <c r="A156" s="12">
        <v>112177</v>
      </c>
      <c r="B156" s="12" t="s">
        <v>267</v>
      </c>
      <c r="C156" s="13">
        <v>78</v>
      </c>
      <c r="D156" s="13">
        <v>5</v>
      </c>
      <c r="E156" s="13">
        <v>47</v>
      </c>
      <c r="F156" s="13">
        <v>281</v>
      </c>
      <c r="G156" s="13">
        <v>183</v>
      </c>
      <c r="H156" s="13">
        <v>151</v>
      </c>
      <c r="I156" s="14">
        <v>56.2</v>
      </c>
      <c r="J156" s="14">
        <v>36.6</v>
      </c>
      <c r="K156" s="14">
        <v>30.2</v>
      </c>
      <c r="L156" s="13">
        <v>1</v>
      </c>
      <c r="M156" t="str" cm="1">
        <f t="array" ref="M156">_xlfn.IFS(E156&lt;6, "0-6 Months", E156&lt;=12, "6-12 Months", E156&lt;=24, "12-24 Months", E156&gt;24, "24+ Months")</f>
        <v>24+ Months</v>
      </c>
      <c r="N156" t="str" cm="1">
        <f t="array" ref="N156">_xlfn.IFS(E156&lt;6, "12-18 Months", E156&lt;=12, "18-24 Months", E156&lt;=24, "24+ Months", E156&gt;24, "24+ Months")</f>
        <v>24+ Months</v>
      </c>
      <c r="O156" t="str" cm="1">
        <f t="array" ref="O156">_xlfn.IFS(D156&gt;=550, "Major", D156 &gt;= 100, "T1200", D156 &lt;100, "Other")</f>
        <v>Other</v>
      </c>
      <c r="P156">
        <f t="shared" si="2"/>
        <v>78</v>
      </c>
    </row>
    <row r="157" spans="1:16" x14ac:dyDescent="0.2">
      <c r="A157" s="12">
        <v>112610</v>
      </c>
      <c r="B157" s="12" t="s">
        <v>250</v>
      </c>
      <c r="C157" s="13">
        <v>144</v>
      </c>
      <c r="D157" s="13">
        <v>126</v>
      </c>
      <c r="E157" s="13">
        <v>10</v>
      </c>
      <c r="F157" s="13">
        <v>279</v>
      </c>
      <c r="G157" s="13">
        <v>37</v>
      </c>
      <c r="H157" s="13">
        <v>8</v>
      </c>
      <c r="I157" s="14">
        <v>2.214285714285714</v>
      </c>
      <c r="J157" s="14">
        <v>0.29365079365079372</v>
      </c>
      <c r="K157" s="14">
        <v>6.3492063492063489E-2</v>
      </c>
      <c r="L157" s="13">
        <v>6</v>
      </c>
      <c r="M157" t="str" cm="1">
        <f t="array" ref="M157">_xlfn.IFS(E157&lt;6, "0-6 Months", E157&lt;=12, "6-12 Months", E157&lt;=24, "12-24 Months", E157&gt;24, "24+ Months")</f>
        <v>6-12 Months</v>
      </c>
      <c r="N157" t="str" cm="1">
        <f t="array" ref="N157">_xlfn.IFS(E157&lt;6, "12-18 Months", E157&lt;=12, "18-24 Months", E157&lt;=24, "24+ Months", E157&gt;24, "24+ Months")</f>
        <v>18-24 Months</v>
      </c>
      <c r="O157" t="str" cm="1">
        <f t="array" ref="O157">_xlfn.IFS(D157&gt;=550, "Major", D157 &gt;= 100, "T1200", D157 &lt;100, "Other")</f>
        <v>T1200</v>
      </c>
      <c r="P157">
        <f t="shared" si="2"/>
        <v>144</v>
      </c>
    </row>
    <row r="158" spans="1:16" x14ac:dyDescent="0.2">
      <c r="A158" s="12">
        <v>106000</v>
      </c>
      <c r="B158" s="12" t="s">
        <v>261</v>
      </c>
      <c r="C158" s="13">
        <v>1800</v>
      </c>
      <c r="D158" s="13">
        <v>2337</v>
      </c>
      <c r="E158" s="13">
        <v>33</v>
      </c>
      <c r="F158" s="13">
        <v>277</v>
      </c>
      <c r="G158" s="13">
        <v>164</v>
      </c>
      <c r="H158" s="13">
        <v>134</v>
      </c>
      <c r="I158" s="14">
        <v>0.118528027385537</v>
      </c>
      <c r="J158" s="14">
        <v>7.0175438596491224E-2</v>
      </c>
      <c r="K158" s="14">
        <v>5.7338468121523323E-2</v>
      </c>
      <c r="L158" s="13">
        <v>0</v>
      </c>
      <c r="M158" t="str" cm="1">
        <f t="array" ref="M158">_xlfn.IFS(E158&lt;6, "0-6 Months", E158&lt;=12, "6-12 Months", E158&lt;=24, "12-24 Months", E158&gt;24, "24+ Months")</f>
        <v>24+ Months</v>
      </c>
      <c r="N158" t="str" cm="1">
        <f t="array" ref="N158">_xlfn.IFS(E158&lt;6, "12-18 Months", E158&lt;=12, "18-24 Months", E158&lt;=24, "24+ Months", E158&gt;24, "24+ Months")</f>
        <v>24+ Months</v>
      </c>
      <c r="O158" t="str" cm="1">
        <f t="array" ref="O158">_xlfn.IFS(D158&gt;=550, "Major", D158 &gt;= 100, "T1200", D158 &lt;100, "Other")</f>
        <v>Major</v>
      </c>
      <c r="P158">
        <f t="shared" si="2"/>
        <v>0</v>
      </c>
    </row>
    <row r="159" spans="1:16" x14ac:dyDescent="0.2">
      <c r="A159" s="12">
        <v>478409</v>
      </c>
      <c r="B159" s="12" t="s">
        <v>330</v>
      </c>
      <c r="C159" s="13">
        <v>0</v>
      </c>
      <c r="D159" s="13">
        <v>25</v>
      </c>
      <c r="E159" s="13">
        <v>19</v>
      </c>
      <c r="F159" s="13">
        <v>276</v>
      </c>
      <c r="G159" s="13">
        <v>17</v>
      </c>
      <c r="H159" s="13">
        <v>9</v>
      </c>
      <c r="I159" s="14">
        <v>11.04</v>
      </c>
      <c r="J159" s="14">
        <v>0.68</v>
      </c>
      <c r="K159" s="14">
        <v>0.36</v>
      </c>
      <c r="L159" s="13">
        <v>2</v>
      </c>
      <c r="M159" t="str" cm="1">
        <f t="array" ref="M159">_xlfn.IFS(E159&lt;6, "0-6 Months", E159&lt;=12, "6-12 Months", E159&lt;=24, "12-24 Months", E159&gt;24, "24+ Months")</f>
        <v>12-24 Months</v>
      </c>
      <c r="N159" t="str" cm="1">
        <f t="array" ref="N159">_xlfn.IFS(E159&lt;6, "12-18 Months", E159&lt;=12, "18-24 Months", E159&lt;=24, "24+ Months", E159&gt;24, "24+ Months")</f>
        <v>24+ Months</v>
      </c>
      <c r="O159" t="str" cm="1">
        <f t="array" ref="O159">_xlfn.IFS(D159&gt;=550, "Major", D159 &gt;= 100, "T1200", D159 &lt;100, "Other")</f>
        <v>Other</v>
      </c>
      <c r="P159">
        <f t="shared" si="2"/>
        <v>0</v>
      </c>
    </row>
    <row r="160" spans="1:16" x14ac:dyDescent="0.2">
      <c r="A160" s="12">
        <v>108500</v>
      </c>
      <c r="B160" s="12" t="s">
        <v>219</v>
      </c>
      <c r="C160" s="13">
        <v>59</v>
      </c>
      <c r="D160" s="13">
        <v>92</v>
      </c>
      <c r="E160" s="13">
        <v>14</v>
      </c>
      <c r="F160" s="13">
        <v>270</v>
      </c>
      <c r="G160" s="13">
        <v>192</v>
      </c>
      <c r="H160" s="13">
        <v>154</v>
      </c>
      <c r="I160" s="14">
        <v>2.9347826086956519</v>
      </c>
      <c r="J160" s="14">
        <v>2.0869565217391299</v>
      </c>
      <c r="K160" s="14">
        <v>1.673913043478261</v>
      </c>
      <c r="L160" s="13">
        <v>0</v>
      </c>
      <c r="M160" t="str" cm="1">
        <f t="array" ref="M160">_xlfn.IFS(E160&lt;6, "0-6 Months", E160&lt;=12, "6-12 Months", E160&lt;=24, "12-24 Months", E160&gt;24, "24+ Months")</f>
        <v>12-24 Months</v>
      </c>
      <c r="N160" t="str" cm="1">
        <f t="array" ref="N160">_xlfn.IFS(E160&lt;6, "12-18 Months", E160&lt;=12, "18-24 Months", E160&lt;=24, "24+ Months", E160&gt;24, "24+ Months")</f>
        <v>24+ Months</v>
      </c>
      <c r="O160" t="str" cm="1">
        <f t="array" ref="O160">_xlfn.IFS(D160&gt;=550, "Major", D160 &gt;= 100, "T1200", D160 &lt;100, "Other")</f>
        <v>Other</v>
      </c>
      <c r="P160">
        <f t="shared" si="2"/>
        <v>59</v>
      </c>
    </row>
    <row r="161" spans="1:16" x14ac:dyDescent="0.2">
      <c r="A161" s="12">
        <v>300074</v>
      </c>
      <c r="B161" s="12" t="s">
        <v>198</v>
      </c>
      <c r="C161" s="13">
        <v>1</v>
      </c>
      <c r="D161" s="13">
        <v>200</v>
      </c>
      <c r="E161" s="13">
        <v>12</v>
      </c>
      <c r="F161" s="13">
        <v>270</v>
      </c>
      <c r="G161" s="13">
        <v>247</v>
      </c>
      <c r="H161" s="13">
        <v>88</v>
      </c>
      <c r="I161" s="14">
        <v>1.35</v>
      </c>
      <c r="J161" s="14">
        <v>1.2350000000000001</v>
      </c>
      <c r="K161" s="14">
        <v>0.44</v>
      </c>
      <c r="L161" s="13">
        <v>73</v>
      </c>
      <c r="M161" t="str" cm="1">
        <f t="array" ref="M161">_xlfn.IFS(E161&lt;6, "0-6 Months", E161&lt;=12, "6-12 Months", E161&lt;=24, "12-24 Months", E161&gt;24, "24+ Months")</f>
        <v>6-12 Months</v>
      </c>
      <c r="N161" t="str" cm="1">
        <f t="array" ref="N161">_xlfn.IFS(E161&lt;6, "12-18 Months", E161&lt;=12, "18-24 Months", E161&lt;=24, "24+ Months", E161&gt;24, "24+ Months")</f>
        <v>18-24 Months</v>
      </c>
      <c r="O161" t="str" cm="1">
        <f t="array" ref="O161">_xlfn.IFS(D161&gt;=550, "Major", D161 &gt;= 100, "T1200", D161 &lt;100, "Other")</f>
        <v>T1200</v>
      </c>
      <c r="P161">
        <f t="shared" si="2"/>
        <v>0</v>
      </c>
    </row>
    <row r="162" spans="1:16" x14ac:dyDescent="0.2">
      <c r="A162" s="12">
        <v>105678</v>
      </c>
      <c r="B162" s="12" t="s">
        <v>358</v>
      </c>
      <c r="C162" s="13">
        <v>90</v>
      </c>
      <c r="D162" s="13">
        <v>115</v>
      </c>
      <c r="E162" s="13">
        <v>42</v>
      </c>
      <c r="F162" s="13">
        <v>265</v>
      </c>
      <c r="G162" s="13">
        <v>63</v>
      </c>
      <c r="H162" s="13">
        <v>58</v>
      </c>
      <c r="I162" s="14">
        <v>2.304347826086957</v>
      </c>
      <c r="J162" s="14">
        <v>0.54782608695652169</v>
      </c>
      <c r="K162" s="14">
        <v>0.5043478260869565</v>
      </c>
      <c r="L162" s="13">
        <v>256</v>
      </c>
      <c r="M162" t="str" cm="1">
        <f t="array" ref="M162">_xlfn.IFS(E162&lt;6, "0-6 Months", E162&lt;=12, "6-12 Months", E162&lt;=24, "12-24 Months", E162&gt;24, "24+ Months")</f>
        <v>24+ Months</v>
      </c>
      <c r="N162" t="str" cm="1">
        <f t="array" ref="N162">_xlfn.IFS(E162&lt;6, "12-18 Months", E162&lt;=12, "18-24 Months", E162&lt;=24, "24+ Months", E162&gt;24, "24+ Months")</f>
        <v>24+ Months</v>
      </c>
      <c r="O162" t="str" cm="1">
        <f t="array" ref="O162">_xlfn.IFS(D162&gt;=550, "Major", D162 &gt;= 100, "T1200", D162 &lt;100, "Other")</f>
        <v>T1200</v>
      </c>
      <c r="P162">
        <f t="shared" si="2"/>
        <v>90</v>
      </c>
    </row>
    <row r="163" spans="1:16" x14ac:dyDescent="0.2">
      <c r="A163" s="12">
        <v>310911</v>
      </c>
      <c r="B163" s="12" t="s">
        <v>218</v>
      </c>
      <c r="C163" s="13">
        <v>58</v>
      </c>
      <c r="D163" s="13">
        <v>51</v>
      </c>
      <c r="E163" s="13">
        <v>10</v>
      </c>
      <c r="F163" s="13">
        <v>263</v>
      </c>
      <c r="G163" s="13">
        <v>26</v>
      </c>
      <c r="H163" s="13">
        <v>0</v>
      </c>
      <c r="I163" s="14">
        <v>5.1568627450980404</v>
      </c>
      <c r="J163" s="14">
        <v>0.50980392156862742</v>
      </c>
      <c r="K163" s="14">
        <v>0</v>
      </c>
      <c r="L163" s="13">
        <v>0</v>
      </c>
      <c r="M163" t="str" cm="1">
        <f t="array" ref="M163">_xlfn.IFS(E163&lt;6, "0-6 Months", E163&lt;=12, "6-12 Months", E163&lt;=24, "12-24 Months", E163&gt;24, "24+ Months")</f>
        <v>6-12 Months</v>
      </c>
      <c r="N163" t="str" cm="1">
        <f t="array" ref="N163">_xlfn.IFS(E163&lt;6, "12-18 Months", E163&lt;=12, "18-24 Months", E163&lt;=24, "24+ Months", E163&gt;24, "24+ Months")</f>
        <v>18-24 Months</v>
      </c>
      <c r="O163" t="str" cm="1">
        <f t="array" ref="O163">_xlfn.IFS(D163&gt;=550, "Major", D163 &gt;= 100, "T1200", D163 &lt;100, "Other")</f>
        <v>Other</v>
      </c>
      <c r="P163">
        <f t="shared" si="2"/>
        <v>58</v>
      </c>
    </row>
    <row r="164" spans="1:16" x14ac:dyDescent="0.2">
      <c r="A164" s="12">
        <v>109208</v>
      </c>
      <c r="B164" s="12" t="s">
        <v>290</v>
      </c>
      <c r="C164" s="13">
        <v>1200</v>
      </c>
      <c r="D164" s="13">
        <v>1062</v>
      </c>
      <c r="E164" s="13">
        <v>7</v>
      </c>
      <c r="F164" s="13">
        <v>260</v>
      </c>
      <c r="G164" s="13">
        <v>173</v>
      </c>
      <c r="H164" s="13">
        <v>173</v>
      </c>
      <c r="I164" s="14">
        <v>0.2448210922787194</v>
      </c>
      <c r="J164" s="14">
        <v>0.16290018832391709</v>
      </c>
      <c r="K164" s="14">
        <v>0.16290018832391709</v>
      </c>
      <c r="L164" s="13">
        <v>13</v>
      </c>
      <c r="M164" t="str" cm="1">
        <f t="array" ref="M164">_xlfn.IFS(E164&lt;6, "0-6 Months", E164&lt;=12, "6-12 Months", E164&lt;=24, "12-24 Months", E164&gt;24, "24+ Months")</f>
        <v>6-12 Months</v>
      </c>
      <c r="N164" t="str" cm="1">
        <f t="array" ref="N164">_xlfn.IFS(E164&lt;6, "12-18 Months", E164&lt;=12, "18-24 Months", E164&lt;=24, "24+ Months", E164&gt;24, "24+ Months")</f>
        <v>18-24 Months</v>
      </c>
      <c r="O164" t="str" cm="1">
        <f t="array" ref="O164">_xlfn.IFS(D164&gt;=550, "Major", D164 &gt;= 100, "T1200", D164 &lt;100, "Other")</f>
        <v>Major</v>
      </c>
      <c r="P164">
        <f t="shared" si="2"/>
        <v>0</v>
      </c>
    </row>
    <row r="165" spans="1:16" x14ac:dyDescent="0.2">
      <c r="A165" s="12">
        <v>115929</v>
      </c>
      <c r="B165" s="12" t="s">
        <v>105</v>
      </c>
      <c r="C165" s="13">
        <v>187</v>
      </c>
      <c r="D165" s="13">
        <v>205</v>
      </c>
      <c r="E165" s="13">
        <v>8</v>
      </c>
      <c r="F165" s="13">
        <v>260</v>
      </c>
      <c r="G165" s="13">
        <v>154</v>
      </c>
      <c r="H165" s="13">
        <v>18</v>
      </c>
      <c r="I165" s="14">
        <v>1.2682926829268291</v>
      </c>
      <c r="J165" s="14">
        <v>0.75121951219512195</v>
      </c>
      <c r="K165" s="14">
        <v>8.7804878048780483E-2</v>
      </c>
      <c r="L165" s="13">
        <v>270</v>
      </c>
      <c r="M165" t="str" cm="1">
        <f t="array" ref="M165">_xlfn.IFS(E165&lt;6, "0-6 Months", E165&lt;=12, "6-12 Months", E165&lt;=24, "12-24 Months", E165&gt;24, "24+ Months")</f>
        <v>6-12 Months</v>
      </c>
      <c r="N165" t="str" cm="1">
        <f t="array" ref="N165">_xlfn.IFS(E165&lt;6, "12-18 Months", E165&lt;=12, "18-24 Months", E165&lt;=24, "24+ Months", E165&gt;24, "24+ Months")</f>
        <v>18-24 Months</v>
      </c>
      <c r="O165" t="str" cm="1">
        <f t="array" ref="O165">_xlfn.IFS(D165&gt;=550, "Major", D165 &gt;= 100, "T1200", D165 &lt;100, "Other")</f>
        <v>T1200</v>
      </c>
      <c r="P165">
        <f t="shared" si="2"/>
        <v>0</v>
      </c>
    </row>
    <row r="166" spans="1:16" x14ac:dyDescent="0.2">
      <c r="A166" s="12">
        <v>110628</v>
      </c>
      <c r="B166" s="12" t="s">
        <v>176</v>
      </c>
      <c r="C166" s="13">
        <v>3</v>
      </c>
      <c r="D166" s="13">
        <v>40</v>
      </c>
      <c r="E166" s="13">
        <v>8</v>
      </c>
      <c r="F166" s="13">
        <v>259</v>
      </c>
      <c r="G166" s="13">
        <v>203</v>
      </c>
      <c r="H166" s="13">
        <v>3</v>
      </c>
      <c r="I166" s="14">
        <v>6.4749999999999996</v>
      </c>
      <c r="J166" s="14">
        <v>5.0750000000000002</v>
      </c>
      <c r="K166" s="14">
        <v>7.4999999999999997E-2</v>
      </c>
      <c r="L166" s="13">
        <v>90</v>
      </c>
      <c r="M166" t="str" cm="1">
        <f t="array" ref="M166">_xlfn.IFS(E166&lt;6, "0-6 Months", E166&lt;=12, "6-12 Months", E166&lt;=24, "12-24 Months", E166&gt;24, "24+ Months")</f>
        <v>6-12 Months</v>
      </c>
      <c r="N166" t="str" cm="1">
        <f t="array" ref="N166">_xlfn.IFS(E166&lt;6, "12-18 Months", E166&lt;=12, "18-24 Months", E166&lt;=24, "24+ Months", E166&gt;24, "24+ Months")</f>
        <v>18-24 Months</v>
      </c>
      <c r="O166" t="str" cm="1">
        <f t="array" ref="O166">_xlfn.IFS(D166&gt;=550, "Major", D166 &gt;= 100, "T1200", D166 &lt;100, "Other")</f>
        <v>Other</v>
      </c>
      <c r="P166">
        <f t="shared" si="2"/>
        <v>3</v>
      </c>
    </row>
    <row r="167" spans="1:16" x14ac:dyDescent="0.2">
      <c r="A167" s="12">
        <v>108080</v>
      </c>
      <c r="B167" s="12" t="s">
        <v>169</v>
      </c>
      <c r="C167" s="13">
        <v>152</v>
      </c>
      <c r="D167" s="13">
        <v>120</v>
      </c>
      <c r="E167" s="13">
        <v>45</v>
      </c>
      <c r="F167" s="13">
        <v>258</v>
      </c>
      <c r="G167" s="13">
        <v>161</v>
      </c>
      <c r="H167" s="13">
        <v>123</v>
      </c>
      <c r="I167" s="14">
        <v>2.15</v>
      </c>
      <c r="J167" s="14">
        <v>1.341666666666667</v>
      </c>
      <c r="K167" s="14">
        <v>1.0249999999999999</v>
      </c>
      <c r="L167" s="13">
        <v>46</v>
      </c>
      <c r="M167" t="str" cm="1">
        <f t="array" ref="M167">_xlfn.IFS(E167&lt;6, "0-6 Months", E167&lt;=12, "6-12 Months", E167&lt;=24, "12-24 Months", E167&gt;24, "24+ Months")</f>
        <v>24+ Months</v>
      </c>
      <c r="N167" t="str" cm="1">
        <f t="array" ref="N167">_xlfn.IFS(E167&lt;6, "12-18 Months", E167&lt;=12, "18-24 Months", E167&lt;=24, "24+ Months", E167&gt;24, "24+ Months")</f>
        <v>24+ Months</v>
      </c>
      <c r="O167" t="str" cm="1">
        <f t="array" ref="O167">_xlfn.IFS(D167&gt;=550, "Major", D167 &gt;= 100, "T1200", D167 &lt;100, "Other")</f>
        <v>T1200</v>
      </c>
      <c r="P167">
        <f t="shared" si="2"/>
        <v>152</v>
      </c>
    </row>
    <row r="168" spans="1:16" x14ac:dyDescent="0.2">
      <c r="A168" s="12">
        <v>499976</v>
      </c>
      <c r="B168" s="12" t="s">
        <v>212</v>
      </c>
      <c r="C168" s="13">
        <v>266</v>
      </c>
      <c r="D168" s="13">
        <v>236</v>
      </c>
      <c r="E168" s="13">
        <v>11</v>
      </c>
      <c r="F168" s="13">
        <v>257</v>
      </c>
      <c r="G168" s="13">
        <v>7</v>
      </c>
      <c r="H168" s="13">
        <v>1</v>
      </c>
      <c r="I168" s="14">
        <v>1.0889830508474581</v>
      </c>
      <c r="J168" s="14">
        <v>2.966101694915254E-2</v>
      </c>
      <c r="K168" s="14">
        <v>4.2372881355932203E-3</v>
      </c>
      <c r="L168" s="13">
        <v>13</v>
      </c>
      <c r="M168" t="str" cm="1">
        <f t="array" ref="M168">_xlfn.IFS(E168&lt;6, "0-6 Months", E168&lt;=12, "6-12 Months", E168&lt;=24, "12-24 Months", E168&gt;24, "24+ Months")</f>
        <v>6-12 Months</v>
      </c>
      <c r="N168" t="str" cm="1">
        <f t="array" ref="N168">_xlfn.IFS(E168&lt;6, "12-18 Months", E168&lt;=12, "18-24 Months", E168&lt;=24, "24+ Months", E168&gt;24, "24+ Months")</f>
        <v>18-24 Months</v>
      </c>
      <c r="O168" t="str" cm="1">
        <f t="array" ref="O168">_xlfn.IFS(D168&gt;=550, "Major", D168 &gt;= 100, "T1200", D168 &lt;100, "Other")</f>
        <v>T1200</v>
      </c>
      <c r="P168">
        <f t="shared" si="2"/>
        <v>0</v>
      </c>
    </row>
    <row r="169" spans="1:16" x14ac:dyDescent="0.2">
      <c r="A169" s="12">
        <v>106658</v>
      </c>
      <c r="B169" s="12" t="s">
        <v>197</v>
      </c>
      <c r="C169" s="13">
        <v>449</v>
      </c>
      <c r="D169" s="13">
        <v>490</v>
      </c>
      <c r="E169" s="13">
        <v>46</v>
      </c>
      <c r="F169" s="13">
        <v>255</v>
      </c>
      <c r="G169" s="13">
        <v>180</v>
      </c>
      <c r="H169" s="13">
        <v>4</v>
      </c>
      <c r="I169" s="14">
        <v>0.52040816326530615</v>
      </c>
      <c r="J169" s="14">
        <v>0.36734693877551022</v>
      </c>
      <c r="K169" s="14">
        <v>8.1632653061224497E-3</v>
      </c>
      <c r="L169" s="13">
        <v>96</v>
      </c>
      <c r="M169" t="str" cm="1">
        <f t="array" ref="M169">_xlfn.IFS(E169&lt;6, "0-6 Months", E169&lt;=12, "6-12 Months", E169&lt;=24, "12-24 Months", E169&gt;24, "24+ Months")</f>
        <v>24+ Months</v>
      </c>
      <c r="N169" t="str" cm="1">
        <f t="array" ref="N169">_xlfn.IFS(E169&lt;6, "12-18 Months", E169&lt;=12, "18-24 Months", E169&lt;=24, "24+ Months", E169&gt;24, "24+ Months")</f>
        <v>24+ Months</v>
      </c>
      <c r="O169" t="str" cm="1">
        <f t="array" ref="O169">_xlfn.IFS(D169&gt;=550, "Major", D169 &gt;= 100, "T1200", D169 &lt;100, "Other")</f>
        <v>T1200</v>
      </c>
      <c r="P169">
        <f t="shared" si="2"/>
        <v>0</v>
      </c>
    </row>
    <row r="170" spans="1:16" x14ac:dyDescent="0.2">
      <c r="A170" s="12">
        <v>216820</v>
      </c>
      <c r="B170" s="12" t="s">
        <v>216</v>
      </c>
      <c r="C170" s="13">
        <v>100</v>
      </c>
      <c r="D170" s="13">
        <v>115</v>
      </c>
      <c r="E170" s="13">
        <v>21</v>
      </c>
      <c r="F170" s="13">
        <v>254</v>
      </c>
      <c r="G170" s="13">
        <v>220</v>
      </c>
      <c r="H170" s="13">
        <v>196</v>
      </c>
      <c r="I170" s="14">
        <v>2.2086956521739132</v>
      </c>
      <c r="J170" s="14">
        <v>1.9130434782608701</v>
      </c>
      <c r="K170" s="14">
        <v>1.704347826086956</v>
      </c>
      <c r="L170" s="13">
        <v>4</v>
      </c>
      <c r="M170" t="str" cm="1">
        <f t="array" ref="M170">_xlfn.IFS(E170&lt;6, "0-6 Months", E170&lt;=12, "6-12 Months", E170&lt;=24, "12-24 Months", E170&gt;24, "24+ Months")</f>
        <v>12-24 Months</v>
      </c>
      <c r="N170" t="str" cm="1">
        <f t="array" ref="N170">_xlfn.IFS(E170&lt;6, "12-18 Months", E170&lt;=12, "18-24 Months", E170&lt;=24, "24+ Months", E170&gt;24, "24+ Months")</f>
        <v>24+ Months</v>
      </c>
      <c r="O170" t="str" cm="1">
        <f t="array" ref="O170">_xlfn.IFS(D170&gt;=550, "Major", D170 &gt;= 100, "T1200", D170 &lt;100, "Other")</f>
        <v>T1200</v>
      </c>
      <c r="P170">
        <f t="shared" si="2"/>
        <v>100</v>
      </c>
    </row>
    <row r="171" spans="1:16" x14ac:dyDescent="0.2">
      <c r="A171" s="12">
        <v>157831</v>
      </c>
      <c r="B171" s="12" t="s">
        <v>228</v>
      </c>
      <c r="C171" s="13">
        <v>5</v>
      </c>
      <c r="D171" s="13">
        <v>70</v>
      </c>
      <c r="E171" s="13">
        <v>9</v>
      </c>
      <c r="F171" s="13">
        <v>251</v>
      </c>
      <c r="G171" s="13">
        <v>0</v>
      </c>
      <c r="H171" s="13">
        <v>0</v>
      </c>
      <c r="I171" s="14">
        <v>3.5857142857142859</v>
      </c>
      <c r="J171" s="14">
        <v>0</v>
      </c>
      <c r="K171" s="14">
        <v>0</v>
      </c>
      <c r="L171" s="13">
        <v>0</v>
      </c>
      <c r="M171" t="str" cm="1">
        <f t="array" ref="M171">_xlfn.IFS(E171&lt;6, "0-6 Months", E171&lt;=12, "6-12 Months", E171&lt;=24, "12-24 Months", E171&gt;24, "24+ Months")</f>
        <v>6-12 Months</v>
      </c>
      <c r="N171" t="str" cm="1">
        <f t="array" ref="N171">_xlfn.IFS(E171&lt;6, "12-18 Months", E171&lt;=12, "18-24 Months", E171&lt;=24, "24+ Months", E171&gt;24, "24+ Months")</f>
        <v>18-24 Months</v>
      </c>
      <c r="O171" t="str" cm="1">
        <f t="array" ref="O171">_xlfn.IFS(D171&gt;=550, "Major", D171 &gt;= 100, "T1200", D171 &lt;100, "Other")</f>
        <v>Other</v>
      </c>
      <c r="P171">
        <f t="shared" si="2"/>
        <v>5</v>
      </c>
    </row>
    <row r="172" spans="1:16" x14ac:dyDescent="0.2">
      <c r="A172" s="12">
        <v>116147</v>
      </c>
      <c r="B172" s="12" t="s">
        <v>229</v>
      </c>
      <c r="C172" s="13">
        <v>128</v>
      </c>
      <c r="D172" s="13">
        <v>190</v>
      </c>
      <c r="E172" s="13">
        <v>10</v>
      </c>
      <c r="F172" s="13">
        <v>250</v>
      </c>
      <c r="G172" s="13">
        <v>202</v>
      </c>
      <c r="H172" s="13">
        <v>0</v>
      </c>
      <c r="I172" s="14">
        <v>1.3157894736842111</v>
      </c>
      <c r="J172" s="14">
        <v>1.0631578947368421</v>
      </c>
      <c r="K172" s="14">
        <v>0</v>
      </c>
      <c r="L172" s="13">
        <v>42</v>
      </c>
      <c r="M172" t="str" cm="1">
        <f t="array" ref="M172">_xlfn.IFS(E172&lt;6, "0-6 Months", E172&lt;=12, "6-12 Months", E172&lt;=24, "12-24 Months", E172&gt;24, "24+ Months")</f>
        <v>6-12 Months</v>
      </c>
      <c r="N172" t="str" cm="1">
        <f t="array" ref="N172">_xlfn.IFS(E172&lt;6, "12-18 Months", E172&lt;=12, "18-24 Months", E172&lt;=24, "24+ Months", E172&gt;24, "24+ Months")</f>
        <v>18-24 Months</v>
      </c>
      <c r="O172" t="str" cm="1">
        <f t="array" ref="O172">_xlfn.IFS(D172&gt;=550, "Major", D172 &gt;= 100, "T1200", D172 &lt;100, "Other")</f>
        <v>T1200</v>
      </c>
      <c r="P172">
        <f t="shared" si="2"/>
        <v>0</v>
      </c>
    </row>
    <row r="173" spans="1:16" x14ac:dyDescent="0.2">
      <c r="A173" s="12">
        <v>141887</v>
      </c>
      <c r="B173" s="12" t="s">
        <v>301</v>
      </c>
      <c r="C173" s="13">
        <v>276</v>
      </c>
      <c r="D173" s="13">
        <v>365</v>
      </c>
      <c r="E173" s="13">
        <v>46</v>
      </c>
      <c r="F173" s="13">
        <v>242</v>
      </c>
      <c r="G173" s="13">
        <v>218</v>
      </c>
      <c r="H173" s="13">
        <v>119</v>
      </c>
      <c r="I173" s="14">
        <v>0.66301369863013704</v>
      </c>
      <c r="J173" s="14">
        <v>0.59726027397260273</v>
      </c>
      <c r="K173" s="14">
        <v>0.32602739726027402</v>
      </c>
      <c r="L173" s="13">
        <v>379</v>
      </c>
      <c r="M173" t="str" cm="1">
        <f t="array" ref="M173">_xlfn.IFS(E173&lt;6, "0-6 Months", E173&lt;=12, "6-12 Months", E173&lt;=24, "12-24 Months", E173&gt;24, "24+ Months")</f>
        <v>24+ Months</v>
      </c>
      <c r="N173" t="str" cm="1">
        <f t="array" ref="N173">_xlfn.IFS(E173&lt;6, "12-18 Months", E173&lt;=12, "18-24 Months", E173&lt;=24, "24+ Months", E173&gt;24, "24+ Months")</f>
        <v>24+ Months</v>
      </c>
      <c r="O173" t="str" cm="1">
        <f t="array" ref="O173">_xlfn.IFS(D173&gt;=550, "Major", D173 &gt;= 100, "T1200", D173 &lt;100, "Other")</f>
        <v>T1200</v>
      </c>
      <c r="P173">
        <f t="shared" si="2"/>
        <v>0</v>
      </c>
    </row>
    <row r="174" spans="1:16" x14ac:dyDescent="0.2">
      <c r="A174" s="12">
        <v>108566</v>
      </c>
      <c r="B174" s="12" t="s">
        <v>231</v>
      </c>
      <c r="C174" s="13">
        <v>20</v>
      </c>
      <c r="D174" s="13">
        <v>550</v>
      </c>
      <c r="E174" s="13">
        <v>10</v>
      </c>
      <c r="F174" s="13">
        <v>240</v>
      </c>
      <c r="G174" s="13">
        <v>107</v>
      </c>
      <c r="H174" s="13">
        <v>12</v>
      </c>
      <c r="I174" s="14">
        <v>0.43636363636363629</v>
      </c>
      <c r="J174" s="14">
        <v>0.19454545454545449</v>
      </c>
      <c r="K174" s="14">
        <v>2.181818181818182E-2</v>
      </c>
      <c r="L174" s="13">
        <v>24</v>
      </c>
      <c r="M174" t="str" cm="1">
        <f t="array" ref="M174">_xlfn.IFS(E174&lt;6, "0-6 Months", E174&lt;=12, "6-12 Months", E174&lt;=24, "12-24 Months", E174&gt;24, "24+ Months")</f>
        <v>6-12 Months</v>
      </c>
      <c r="N174" t="str" cm="1">
        <f t="array" ref="N174">_xlfn.IFS(E174&lt;6, "12-18 Months", E174&lt;=12, "18-24 Months", E174&lt;=24, "24+ Months", E174&gt;24, "24+ Months")</f>
        <v>18-24 Months</v>
      </c>
      <c r="O174" t="str" cm="1">
        <f t="array" ref="O174">_xlfn.IFS(D174&gt;=550, "Major", D174 &gt;= 100, "T1200", D174 &lt;100, "Other")</f>
        <v>Major</v>
      </c>
      <c r="P174">
        <f t="shared" si="2"/>
        <v>0</v>
      </c>
    </row>
    <row r="175" spans="1:16" x14ac:dyDescent="0.2">
      <c r="A175" s="12">
        <v>107197</v>
      </c>
      <c r="B175" s="12" t="s">
        <v>297</v>
      </c>
      <c r="C175" s="13">
        <v>1202</v>
      </c>
      <c r="D175" s="13">
        <v>1202</v>
      </c>
      <c r="E175" s="13">
        <v>16</v>
      </c>
      <c r="F175" s="13">
        <v>237</v>
      </c>
      <c r="G175" s="13">
        <v>44</v>
      </c>
      <c r="H175" s="13">
        <v>13</v>
      </c>
      <c r="I175" s="14">
        <v>0.197171381031614</v>
      </c>
      <c r="J175" s="14">
        <v>3.6605657237936767E-2</v>
      </c>
      <c r="K175" s="14">
        <v>1.08153078202995E-2</v>
      </c>
      <c r="L175" s="13">
        <v>64</v>
      </c>
      <c r="M175" t="str" cm="1">
        <f t="array" ref="M175">_xlfn.IFS(E175&lt;6, "0-6 Months", E175&lt;=12, "6-12 Months", E175&lt;=24, "12-24 Months", E175&gt;24, "24+ Months")</f>
        <v>12-24 Months</v>
      </c>
      <c r="N175" t="str" cm="1">
        <f t="array" ref="N175">_xlfn.IFS(E175&lt;6, "12-18 Months", E175&lt;=12, "18-24 Months", E175&lt;=24, "24+ Months", E175&gt;24, "24+ Months")</f>
        <v>24+ Months</v>
      </c>
      <c r="O175" t="str" cm="1">
        <f t="array" ref="O175">_xlfn.IFS(D175&gt;=550, "Major", D175 &gt;= 100, "T1200", D175 &lt;100, "Other")</f>
        <v>Major</v>
      </c>
      <c r="P175">
        <f t="shared" si="2"/>
        <v>0</v>
      </c>
    </row>
    <row r="176" spans="1:16" x14ac:dyDescent="0.2">
      <c r="A176" s="12">
        <v>147636</v>
      </c>
      <c r="B176" s="12" t="s">
        <v>230</v>
      </c>
      <c r="C176" s="13">
        <v>91</v>
      </c>
      <c r="D176" s="13">
        <v>97</v>
      </c>
      <c r="E176" s="13">
        <v>13</v>
      </c>
      <c r="F176" s="13">
        <v>237</v>
      </c>
      <c r="G176" s="13">
        <v>89</v>
      </c>
      <c r="H176" s="13">
        <v>63</v>
      </c>
      <c r="I176" s="14">
        <v>2.4432989690721651</v>
      </c>
      <c r="J176" s="14">
        <v>0.91752577319587625</v>
      </c>
      <c r="K176" s="14">
        <v>0.64948453608247425</v>
      </c>
      <c r="L176" s="13">
        <v>73</v>
      </c>
      <c r="M176" t="str" cm="1">
        <f t="array" ref="M176">_xlfn.IFS(E176&lt;6, "0-6 Months", E176&lt;=12, "6-12 Months", E176&lt;=24, "12-24 Months", E176&gt;24, "24+ Months")</f>
        <v>12-24 Months</v>
      </c>
      <c r="N176" t="str" cm="1">
        <f t="array" ref="N176">_xlfn.IFS(E176&lt;6, "12-18 Months", E176&lt;=12, "18-24 Months", E176&lt;=24, "24+ Months", E176&gt;24, "24+ Months")</f>
        <v>24+ Months</v>
      </c>
      <c r="O176" t="str" cm="1">
        <f t="array" ref="O176">_xlfn.IFS(D176&gt;=550, "Major", D176 &gt;= 100, "T1200", D176 &lt;100, "Other")</f>
        <v>Other</v>
      </c>
      <c r="P176">
        <f t="shared" si="2"/>
        <v>91</v>
      </c>
    </row>
    <row r="177" spans="1:16" x14ac:dyDescent="0.2">
      <c r="A177" s="12">
        <v>132232</v>
      </c>
      <c r="B177" s="12" t="s">
        <v>124</v>
      </c>
      <c r="C177" s="13">
        <v>300</v>
      </c>
      <c r="D177" s="13">
        <v>499</v>
      </c>
      <c r="E177" s="13">
        <v>22</v>
      </c>
      <c r="F177" s="13">
        <v>234</v>
      </c>
      <c r="G177" s="13">
        <v>108</v>
      </c>
      <c r="H177" s="13">
        <v>24</v>
      </c>
      <c r="I177" s="14">
        <v>0.46893787575150297</v>
      </c>
      <c r="J177" s="14">
        <v>0.21643286573146289</v>
      </c>
      <c r="K177" s="14">
        <v>4.8096192384769539E-2</v>
      </c>
      <c r="L177" s="13">
        <v>141</v>
      </c>
      <c r="M177" t="str" cm="1">
        <f t="array" ref="M177">_xlfn.IFS(E177&lt;6, "0-6 Months", E177&lt;=12, "6-12 Months", E177&lt;=24, "12-24 Months", E177&gt;24, "24+ Months")</f>
        <v>12-24 Months</v>
      </c>
      <c r="N177" t="str" cm="1">
        <f t="array" ref="N177">_xlfn.IFS(E177&lt;6, "12-18 Months", E177&lt;=12, "18-24 Months", E177&lt;=24, "24+ Months", E177&gt;24, "24+ Months")</f>
        <v>24+ Months</v>
      </c>
      <c r="O177" t="str" cm="1">
        <f t="array" ref="O177">_xlfn.IFS(D177&gt;=550, "Major", D177 &gt;= 100, "T1200", D177 &lt;100, "Other")</f>
        <v>T1200</v>
      </c>
      <c r="P177">
        <f t="shared" si="2"/>
        <v>0</v>
      </c>
    </row>
    <row r="178" spans="1:16" x14ac:dyDescent="0.2">
      <c r="A178" s="12">
        <v>109685</v>
      </c>
      <c r="B178" s="12" t="s">
        <v>291</v>
      </c>
      <c r="C178" s="13">
        <v>219</v>
      </c>
      <c r="D178" s="13">
        <v>218</v>
      </c>
      <c r="E178" s="13">
        <v>10</v>
      </c>
      <c r="F178" s="13">
        <v>233</v>
      </c>
      <c r="G178" s="13">
        <v>105</v>
      </c>
      <c r="H178" s="13">
        <v>2</v>
      </c>
      <c r="I178" s="14">
        <v>1.068807339449541</v>
      </c>
      <c r="J178" s="14">
        <v>0.48165137614678899</v>
      </c>
      <c r="K178" s="14">
        <v>9.1743119266055051E-3</v>
      </c>
      <c r="L178" s="13">
        <v>0</v>
      </c>
      <c r="M178" t="str" cm="1">
        <f t="array" ref="M178">_xlfn.IFS(E178&lt;6, "0-6 Months", E178&lt;=12, "6-12 Months", E178&lt;=24, "12-24 Months", E178&gt;24, "24+ Months")</f>
        <v>6-12 Months</v>
      </c>
      <c r="N178" t="str" cm="1">
        <f t="array" ref="N178">_xlfn.IFS(E178&lt;6, "12-18 Months", E178&lt;=12, "18-24 Months", E178&lt;=24, "24+ Months", E178&gt;24, "24+ Months")</f>
        <v>18-24 Months</v>
      </c>
      <c r="O178" t="str" cm="1">
        <f t="array" ref="O178">_xlfn.IFS(D178&gt;=550, "Major", D178 &gt;= 100, "T1200", D178 &lt;100, "Other")</f>
        <v>T1200</v>
      </c>
      <c r="P178">
        <f t="shared" si="2"/>
        <v>0</v>
      </c>
    </row>
    <row r="179" spans="1:16" x14ac:dyDescent="0.2">
      <c r="A179" s="12">
        <v>124863</v>
      </c>
      <c r="B179" s="12" t="s">
        <v>286</v>
      </c>
      <c r="C179" s="13">
        <v>114</v>
      </c>
      <c r="D179" s="13">
        <v>100</v>
      </c>
      <c r="E179" s="13">
        <v>8</v>
      </c>
      <c r="F179" s="13">
        <v>233</v>
      </c>
      <c r="G179" s="13">
        <v>231</v>
      </c>
      <c r="H179" s="13">
        <v>1</v>
      </c>
      <c r="I179" s="14">
        <v>2.33</v>
      </c>
      <c r="J179" s="14">
        <v>2.31</v>
      </c>
      <c r="K179" s="14">
        <v>0.01</v>
      </c>
      <c r="L179" s="13">
        <v>160</v>
      </c>
      <c r="M179" t="str" cm="1">
        <f t="array" ref="M179">_xlfn.IFS(E179&lt;6, "0-6 Months", E179&lt;=12, "6-12 Months", E179&lt;=24, "12-24 Months", E179&gt;24, "24+ Months")</f>
        <v>6-12 Months</v>
      </c>
      <c r="N179" t="str" cm="1">
        <f t="array" ref="N179">_xlfn.IFS(E179&lt;6, "12-18 Months", E179&lt;=12, "18-24 Months", E179&lt;=24, "24+ Months", E179&gt;24, "24+ Months")</f>
        <v>18-24 Months</v>
      </c>
      <c r="O179" t="str" cm="1">
        <f t="array" ref="O179">_xlfn.IFS(D179&gt;=550, "Major", D179 &gt;= 100, "T1200", D179 &lt;100, "Other")</f>
        <v>T1200</v>
      </c>
      <c r="P179">
        <f t="shared" si="2"/>
        <v>114</v>
      </c>
    </row>
    <row r="180" spans="1:16" x14ac:dyDescent="0.2">
      <c r="A180" s="12">
        <v>112745</v>
      </c>
      <c r="B180" s="12" t="s">
        <v>591</v>
      </c>
      <c r="C180" s="13">
        <v>46</v>
      </c>
      <c r="D180" s="13">
        <v>47</v>
      </c>
      <c r="E180" s="13">
        <v>37</v>
      </c>
      <c r="F180" s="13">
        <v>230</v>
      </c>
      <c r="G180" s="13">
        <v>230</v>
      </c>
      <c r="H180" s="13">
        <v>230</v>
      </c>
      <c r="I180" s="14">
        <v>4.8936170212765946</v>
      </c>
      <c r="J180" s="14">
        <v>4.8936170212765946</v>
      </c>
      <c r="K180" s="14">
        <v>4.8936170212765946</v>
      </c>
      <c r="L180" s="13">
        <v>0</v>
      </c>
      <c r="M180" t="str" cm="1">
        <f t="array" ref="M180">_xlfn.IFS(E180&lt;6, "0-6 Months", E180&lt;=12, "6-12 Months", E180&lt;=24, "12-24 Months", E180&gt;24, "24+ Months")</f>
        <v>24+ Months</v>
      </c>
      <c r="N180" t="str" cm="1">
        <f t="array" ref="N180">_xlfn.IFS(E180&lt;6, "12-18 Months", E180&lt;=12, "18-24 Months", E180&lt;=24, "24+ Months", E180&gt;24, "24+ Months")</f>
        <v>24+ Months</v>
      </c>
      <c r="O180" t="str" cm="1">
        <f t="array" ref="O180">_xlfn.IFS(D180&gt;=550, "Major", D180 &gt;= 100, "T1200", D180 &lt;100, "Other")</f>
        <v>Other</v>
      </c>
      <c r="P180">
        <f t="shared" si="2"/>
        <v>46</v>
      </c>
    </row>
    <row r="181" spans="1:16" x14ac:dyDescent="0.2">
      <c r="A181" s="12">
        <v>316716</v>
      </c>
      <c r="B181" s="12" t="s">
        <v>241</v>
      </c>
      <c r="C181" s="13">
        <v>724</v>
      </c>
      <c r="D181" s="13">
        <v>580</v>
      </c>
      <c r="E181" s="13">
        <v>28</v>
      </c>
      <c r="F181" s="13">
        <v>229</v>
      </c>
      <c r="G181" s="13">
        <v>174</v>
      </c>
      <c r="H181" s="13">
        <v>57</v>
      </c>
      <c r="I181" s="14">
        <v>0.39482758620689662</v>
      </c>
      <c r="J181" s="14">
        <v>0.3</v>
      </c>
      <c r="K181" s="14">
        <v>9.8275862068965519E-2</v>
      </c>
      <c r="L181" s="13">
        <v>1048</v>
      </c>
      <c r="M181" t="str" cm="1">
        <f t="array" ref="M181">_xlfn.IFS(E181&lt;6, "0-6 Months", E181&lt;=12, "6-12 Months", E181&lt;=24, "12-24 Months", E181&gt;24, "24+ Months")</f>
        <v>24+ Months</v>
      </c>
      <c r="N181" t="str" cm="1">
        <f t="array" ref="N181">_xlfn.IFS(E181&lt;6, "12-18 Months", E181&lt;=12, "18-24 Months", E181&lt;=24, "24+ Months", E181&gt;24, "24+ Months")</f>
        <v>24+ Months</v>
      </c>
      <c r="O181" t="str" cm="1">
        <f t="array" ref="O181">_xlfn.IFS(D181&gt;=550, "Major", D181 &gt;= 100, "T1200", D181 &lt;100, "Other")</f>
        <v>Major</v>
      </c>
      <c r="P181">
        <f t="shared" si="2"/>
        <v>0</v>
      </c>
    </row>
    <row r="182" spans="1:16" x14ac:dyDescent="0.2">
      <c r="A182" s="12">
        <v>109806</v>
      </c>
      <c r="B182" s="12" t="s">
        <v>226</v>
      </c>
      <c r="C182" s="13">
        <v>75</v>
      </c>
      <c r="D182" s="13">
        <v>71</v>
      </c>
      <c r="E182" s="13">
        <v>33</v>
      </c>
      <c r="F182" s="13">
        <v>228</v>
      </c>
      <c r="G182" s="13">
        <v>219</v>
      </c>
      <c r="H182" s="13">
        <v>219</v>
      </c>
      <c r="I182" s="14">
        <v>3.211267605633803</v>
      </c>
      <c r="J182" s="14">
        <v>3.084507042253521</v>
      </c>
      <c r="K182" s="14">
        <v>3.084507042253521</v>
      </c>
      <c r="L182" s="13">
        <v>0</v>
      </c>
      <c r="M182" t="str" cm="1">
        <f t="array" ref="M182">_xlfn.IFS(E182&lt;6, "0-6 Months", E182&lt;=12, "6-12 Months", E182&lt;=24, "12-24 Months", E182&gt;24, "24+ Months")</f>
        <v>24+ Months</v>
      </c>
      <c r="N182" t="str" cm="1">
        <f t="array" ref="N182">_xlfn.IFS(E182&lt;6, "12-18 Months", E182&lt;=12, "18-24 Months", E182&lt;=24, "24+ Months", E182&gt;24, "24+ Months")</f>
        <v>24+ Months</v>
      </c>
      <c r="O182" t="str" cm="1">
        <f t="array" ref="O182">_xlfn.IFS(D182&gt;=550, "Major", D182 &gt;= 100, "T1200", D182 &lt;100, "Other")</f>
        <v>Other</v>
      </c>
      <c r="P182">
        <f t="shared" si="2"/>
        <v>75</v>
      </c>
    </row>
    <row r="183" spans="1:16" x14ac:dyDescent="0.2">
      <c r="A183" s="12">
        <v>108570</v>
      </c>
      <c r="B183" s="12" t="s">
        <v>150</v>
      </c>
      <c r="C183" s="13">
        <v>115</v>
      </c>
      <c r="D183" s="13">
        <v>100</v>
      </c>
      <c r="E183" s="13">
        <v>13</v>
      </c>
      <c r="F183" s="13">
        <v>226</v>
      </c>
      <c r="G183" s="13">
        <v>175</v>
      </c>
      <c r="H183" s="13">
        <v>17</v>
      </c>
      <c r="I183" s="14">
        <v>2.2599999999999998</v>
      </c>
      <c r="J183" s="14">
        <v>1.75</v>
      </c>
      <c r="K183" s="14">
        <v>0.17</v>
      </c>
      <c r="L183" s="13">
        <v>34</v>
      </c>
      <c r="M183" t="str" cm="1">
        <f t="array" ref="M183">_xlfn.IFS(E183&lt;6, "0-6 Months", E183&lt;=12, "6-12 Months", E183&lt;=24, "12-24 Months", E183&gt;24, "24+ Months")</f>
        <v>12-24 Months</v>
      </c>
      <c r="N183" t="str" cm="1">
        <f t="array" ref="N183">_xlfn.IFS(E183&lt;6, "12-18 Months", E183&lt;=12, "18-24 Months", E183&lt;=24, "24+ Months", E183&gt;24, "24+ Months")</f>
        <v>24+ Months</v>
      </c>
      <c r="O183" t="str" cm="1">
        <f t="array" ref="O183">_xlfn.IFS(D183&gt;=550, "Major", D183 &gt;= 100, "T1200", D183 &lt;100, "Other")</f>
        <v>T1200</v>
      </c>
      <c r="P183">
        <f t="shared" si="2"/>
        <v>115</v>
      </c>
    </row>
    <row r="184" spans="1:16" x14ac:dyDescent="0.2">
      <c r="A184" s="12">
        <v>108011</v>
      </c>
      <c r="B184" s="12" t="s">
        <v>315</v>
      </c>
      <c r="C184" s="13">
        <v>476</v>
      </c>
      <c r="D184" s="13">
        <v>464</v>
      </c>
      <c r="E184" s="13">
        <v>7</v>
      </c>
      <c r="F184" s="13">
        <v>222</v>
      </c>
      <c r="G184" s="13">
        <v>222</v>
      </c>
      <c r="H184" s="13">
        <v>172</v>
      </c>
      <c r="I184" s="14">
        <v>0.47844827586206901</v>
      </c>
      <c r="J184" s="14">
        <v>0.47844827586206901</v>
      </c>
      <c r="K184" s="14">
        <v>0.37068965517241381</v>
      </c>
      <c r="L184" s="13">
        <v>3</v>
      </c>
      <c r="M184" t="str" cm="1">
        <f t="array" ref="M184">_xlfn.IFS(E184&lt;6, "0-6 Months", E184&lt;=12, "6-12 Months", E184&lt;=24, "12-24 Months", E184&gt;24, "24+ Months")</f>
        <v>6-12 Months</v>
      </c>
      <c r="N184" t="str" cm="1">
        <f t="array" ref="N184">_xlfn.IFS(E184&lt;6, "12-18 Months", E184&lt;=12, "18-24 Months", E184&lt;=24, "24+ Months", E184&gt;24, "24+ Months")</f>
        <v>18-24 Months</v>
      </c>
      <c r="O184" t="str" cm="1">
        <f t="array" ref="O184">_xlfn.IFS(D184&gt;=550, "Major", D184 &gt;= 100, "T1200", D184 &lt;100, "Other")</f>
        <v>T1200</v>
      </c>
      <c r="P184">
        <f t="shared" si="2"/>
        <v>0</v>
      </c>
    </row>
    <row r="185" spans="1:16" x14ac:dyDescent="0.2">
      <c r="A185" s="12">
        <v>309704</v>
      </c>
      <c r="B185" s="12" t="s">
        <v>263</v>
      </c>
      <c r="C185" s="13">
        <v>198</v>
      </c>
      <c r="D185" s="13">
        <v>157</v>
      </c>
      <c r="E185" s="13">
        <v>41</v>
      </c>
      <c r="F185" s="13">
        <v>222</v>
      </c>
      <c r="G185" s="13">
        <v>222</v>
      </c>
      <c r="H185" s="13">
        <v>143</v>
      </c>
      <c r="I185" s="14">
        <v>1.4140127388535031</v>
      </c>
      <c r="J185" s="14">
        <v>1.4140127388535031</v>
      </c>
      <c r="K185" s="14">
        <v>0.91082802547770703</v>
      </c>
      <c r="L185" s="13">
        <v>18</v>
      </c>
      <c r="M185" t="str" cm="1">
        <f t="array" ref="M185">_xlfn.IFS(E185&lt;6, "0-6 Months", E185&lt;=12, "6-12 Months", E185&lt;=24, "12-24 Months", E185&gt;24, "24+ Months")</f>
        <v>24+ Months</v>
      </c>
      <c r="N185" t="str" cm="1">
        <f t="array" ref="N185">_xlfn.IFS(E185&lt;6, "12-18 Months", E185&lt;=12, "18-24 Months", E185&lt;=24, "24+ Months", E185&gt;24, "24+ Months")</f>
        <v>24+ Months</v>
      </c>
      <c r="O185" t="str" cm="1">
        <f t="array" ref="O185">_xlfn.IFS(D185&gt;=550, "Major", D185 &gt;= 100, "T1200", D185 &lt;100, "Other")</f>
        <v>T1200</v>
      </c>
      <c r="P185">
        <f t="shared" si="2"/>
        <v>0</v>
      </c>
    </row>
    <row r="186" spans="1:16" x14ac:dyDescent="0.2">
      <c r="A186" s="12">
        <v>106896</v>
      </c>
      <c r="B186" s="12" t="s">
        <v>227</v>
      </c>
      <c r="C186" s="13">
        <v>1515</v>
      </c>
      <c r="D186" s="13">
        <v>1210</v>
      </c>
      <c r="E186" s="13">
        <v>7</v>
      </c>
      <c r="F186" s="13">
        <v>221</v>
      </c>
      <c r="G186" s="13">
        <v>161</v>
      </c>
      <c r="H186" s="13">
        <v>1</v>
      </c>
      <c r="I186" s="14">
        <v>0.18264462809917359</v>
      </c>
      <c r="J186" s="14">
        <v>0.1330578512396694</v>
      </c>
      <c r="K186" s="14">
        <v>8.2644628099173552E-4</v>
      </c>
      <c r="L186" s="13">
        <v>93</v>
      </c>
      <c r="M186" t="str" cm="1">
        <f t="array" ref="M186">_xlfn.IFS(E186&lt;6, "0-6 Months", E186&lt;=12, "6-12 Months", E186&lt;=24, "12-24 Months", E186&gt;24, "24+ Months")</f>
        <v>6-12 Months</v>
      </c>
      <c r="N186" t="str" cm="1">
        <f t="array" ref="N186">_xlfn.IFS(E186&lt;6, "12-18 Months", E186&lt;=12, "18-24 Months", E186&lt;=24, "24+ Months", E186&gt;24, "24+ Months")</f>
        <v>18-24 Months</v>
      </c>
      <c r="O186" t="str" cm="1">
        <f t="array" ref="O186">_xlfn.IFS(D186&gt;=550, "Major", D186 &gt;= 100, "T1200", D186 &lt;100, "Other")</f>
        <v>Major</v>
      </c>
      <c r="P186">
        <f t="shared" si="2"/>
        <v>0</v>
      </c>
    </row>
    <row r="187" spans="1:16" x14ac:dyDescent="0.2">
      <c r="A187" s="12">
        <v>109294</v>
      </c>
      <c r="B187" s="12" t="s">
        <v>222</v>
      </c>
      <c r="C187" s="13">
        <v>62</v>
      </c>
      <c r="D187" s="13">
        <v>26</v>
      </c>
      <c r="E187" s="13">
        <v>9</v>
      </c>
      <c r="F187" s="13">
        <v>221</v>
      </c>
      <c r="G187" s="13">
        <v>14</v>
      </c>
      <c r="H187" s="13">
        <v>6</v>
      </c>
      <c r="I187" s="14">
        <v>8.5</v>
      </c>
      <c r="J187" s="14">
        <v>0.53846153846153844</v>
      </c>
      <c r="K187" s="14">
        <v>0.23076923076923081</v>
      </c>
      <c r="L187" s="13">
        <v>0</v>
      </c>
      <c r="M187" t="str" cm="1">
        <f t="array" ref="M187">_xlfn.IFS(E187&lt;6, "0-6 Months", E187&lt;=12, "6-12 Months", E187&lt;=24, "12-24 Months", E187&gt;24, "24+ Months")</f>
        <v>6-12 Months</v>
      </c>
      <c r="N187" t="str" cm="1">
        <f t="array" ref="N187">_xlfn.IFS(E187&lt;6, "12-18 Months", E187&lt;=12, "18-24 Months", E187&lt;=24, "24+ Months", E187&gt;24, "24+ Months")</f>
        <v>18-24 Months</v>
      </c>
      <c r="O187" t="str" cm="1">
        <f t="array" ref="O187">_xlfn.IFS(D187&gt;=550, "Major", D187 &gt;= 100, "T1200", D187 &lt;100, "Other")</f>
        <v>Other</v>
      </c>
      <c r="P187">
        <f t="shared" si="2"/>
        <v>62</v>
      </c>
    </row>
    <row r="188" spans="1:16" x14ac:dyDescent="0.2">
      <c r="A188" s="12">
        <v>478812</v>
      </c>
      <c r="B188" s="12" t="s">
        <v>196</v>
      </c>
      <c r="C188" s="13">
        <v>164</v>
      </c>
      <c r="D188" s="13">
        <v>135</v>
      </c>
      <c r="E188" s="13">
        <v>8</v>
      </c>
      <c r="F188" s="13">
        <v>219</v>
      </c>
      <c r="G188" s="13">
        <v>114</v>
      </c>
      <c r="H188" s="13">
        <v>42</v>
      </c>
      <c r="I188" s="14">
        <v>1.622222222222222</v>
      </c>
      <c r="J188" s="14">
        <v>0.84444444444444444</v>
      </c>
      <c r="K188" s="14">
        <v>0.31111111111111112</v>
      </c>
      <c r="L188" s="13">
        <v>203</v>
      </c>
      <c r="M188" t="str" cm="1">
        <f t="array" ref="M188">_xlfn.IFS(E188&lt;6, "0-6 Months", E188&lt;=12, "6-12 Months", E188&lt;=24, "12-24 Months", E188&gt;24, "24+ Months")</f>
        <v>6-12 Months</v>
      </c>
      <c r="N188" t="str" cm="1">
        <f t="array" ref="N188">_xlfn.IFS(E188&lt;6, "12-18 Months", E188&lt;=12, "18-24 Months", E188&lt;=24, "24+ Months", E188&gt;24, "24+ Months")</f>
        <v>18-24 Months</v>
      </c>
      <c r="O188" t="str" cm="1">
        <f t="array" ref="O188">_xlfn.IFS(D188&gt;=550, "Major", D188 &gt;= 100, "T1200", D188 &lt;100, "Other")</f>
        <v>T1200</v>
      </c>
      <c r="P188">
        <f t="shared" si="2"/>
        <v>0</v>
      </c>
    </row>
    <row r="189" spans="1:16" x14ac:dyDescent="0.2">
      <c r="A189" s="12">
        <v>109785</v>
      </c>
      <c r="B189" s="12" t="s">
        <v>187</v>
      </c>
      <c r="C189" s="13">
        <v>141</v>
      </c>
      <c r="D189" s="13">
        <v>115</v>
      </c>
      <c r="E189" s="13">
        <v>13</v>
      </c>
      <c r="F189" s="13">
        <v>219</v>
      </c>
      <c r="G189" s="13">
        <v>16</v>
      </c>
      <c r="H189" s="13">
        <v>0</v>
      </c>
      <c r="I189" s="14">
        <v>1.9043478260869571</v>
      </c>
      <c r="J189" s="14">
        <v>0.1391304347826087</v>
      </c>
      <c r="K189" s="14">
        <v>0</v>
      </c>
      <c r="L189" s="13">
        <v>0</v>
      </c>
      <c r="M189" t="str" cm="1">
        <f t="array" ref="M189">_xlfn.IFS(E189&lt;6, "0-6 Months", E189&lt;=12, "6-12 Months", E189&lt;=24, "12-24 Months", E189&gt;24, "24+ Months")</f>
        <v>12-24 Months</v>
      </c>
      <c r="N189" t="str" cm="1">
        <f t="array" ref="N189">_xlfn.IFS(E189&lt;6, "12-18 Months", E189&lt;=12, "18-24 Months", E189&lt;=24, "24+ Months", E189&gt;24, "24+ Months")</f>
        <v>24+ Months</v>
      </c>
      <c r="O189" t="str" cm="1">
        <f t="array" ref="O189">_xlfn.IFS(D189&gt;=550, "Major", D189 &gt;= 100, "T1200", D189 &lt;100, "Other")</f>
        <v>T1200</v>
      </c>
      <c r="P189">
        <f t="shared" si="2"/>
        <v>0</v>
      </c>
    </row>
    <row r="190" spans="1:16" x14ac:dyDescent="0.2">
      <c r="A190" s="12">
        <v>112044</v>
      </c>
      <c r="B190" s="12" t="s">
        <v>272</v>
      </c>
      <c r="C190" s="13">
        <v>162</v>
      </c>
      <c r="D190" s="13">
        <v>150</v>
      </c>
      <c r="E190" s="13">
        <v>8</v>
      </c>
      <c r="F190" s="13">
        <v>216</v>
      </c>
      <c r="G190" s="13">
        <v>128</v>
      </c>
      <c r="H190" s="13">
        <v>64</v>
      </c>
      <c r="I190" s="14">
        <v>1.44</v>
      </c>
      <c r="J190" s="14">
        <v>0.85333333333333339</v>
      </c>
      <c r="K190" s="14">
        <v>0.42666666666666669</v>
      </c>
      <c r="L190" s="13">
        <v>95</v>
      </c>
      <c r="M190" t="str" cm="1">
        <f t="array" ref="M190">_xlfn.IFS(E190&lt;6, "0-6 Months", E190&lt;=12, "6-12 Months", E190&lt;=24, "12-24 Months", E190&gt;24, "24+ Months")</f>
        <v>6-12 Months</v>
      </c>
      <c r="N190" t="str" cm="1">
        <f t="array" ref="N190">_xlfn.IFS(E190&lt;6, "12-18 Months", E190&lt;=12, "18-24 Months", E190&lt;=24, "24+ Months", E190&gt;24, "24+ Months")</f>
        <v>18-24 Months</v>
      </c>
      <c r="O190" t="str" cm="1">
        <f t="array" ref="O190">_xlfn.IFS(D190&gt;=550, "Major", D190 &gt;= 100, "T1200", D190 &lt;100, "Other")</f>
        <v>T1200</v>
      </c>
      <c r="P190">
        <f t="shared" si="2"/>
        <v>0</v>
      </c>
    </row>
    <row r="191" spans="1:16" x14ac:dyDescent="0.2">
      <c r="A191" s="12">
        <v>144320</v>
      </c>
      <c r="B191" s="12" t="s">
        <v>270</v>
      </c>
      <c r="C191" s="13">
        <v>148</v>
      </c>
      <c r="D191" s="13">
        <v>126</v>
      </c>
      <c r="E191" s="13">
        <v>14</v>
      </c>
      <c r="F191" s="13">
        <v>215</v>
      </c>
      <c r="G191" s="13">
        <v>80</v>
      </c>
      <c r="H191" s="13">
        <v>74</v>
      </c>
      <c r="I191" s="14">
        <v>1.7063492063492061</v>
      </c>
      <c r="J191" s="14">
        <v>0.63492063492063489</v>
      </c>
      <c r="K191" s="14">
        <v>0.58730158730158732</v>
      </c>
      <c r="L191" s="13">
        <v>1</v>
      </c>
      <c r="M191" t="str" cm="1">
        <f t="array" ref="M191">_xlfn.IFS(E191&lt;6, "0-6 Months", E191&lt;=12, "6-12 Months", E191&lt;=24, "12-24 Months", E191&gt;24, "24+ Months")</f>
        <v>12-24 Months</v>
      </c>
      <c r="N191" t="str" cm="1">
        <f t="array" ref="N191">_xlfn.IFS(E191&lt;6, "12-18 Months", E191&lt;=12, "18-24 Months", E191&lt;=24, "24+ Months", E191&gt;24, "24+ Months")</f>
        <v>24+ Months</v>
      </c>
      <c r="O191" t="str" cm="1">
        <f t="array" ref="O191">_xlfn.IFS(D191&gt;=550, "Major", D191 &gt;= 100, "T1200", D191 &lt;100, "Other")</f>
        <v>T1200</v>
      </c>
      <c r="P191">
        <f t="shared" si="2"/>
        <v>0</v>
      </c>
    </row>
    <row r="192" spans="1:16" x14ac:dyDescent="0.2">
      <c r="A192" s="12">
        <v>114833</v>
      </c>
      <c r="B192" s="12" t="s">
        <v>244</v>
      </c>
      <c r="C192" s="13">
        <v>50</v>
      </c>
      <c r="D192" s="13">
        <v>34</v>
      </c>
      <c r="E192" s="13">
        <v>9</v>
      </c>
      <c r="F192" s="13">
        <v>215</v>
      </c>
      <c r="G192" s="13">
        <v>204</v>
      </c>
      <c r="H192" s="13">
        <v>0</v>
      </c>
      <c r="I192" s="14">
        <v>6.3235294117647056</v>
      </c>
      <c r="J192" s="14">
        <v>6</v>
      </c>
      <c r="K192" s="14">
        <v>0</v>
      </c>
      <c r="L192" s="13">
        <v>35</v>
      </c>
      <c r="M192" t="str" cm="1">
        <f t="array" ref="M192">_xlfn.IFS(E192&lt;6, "0-6 Months", E192&lt;=12, "6-12 Months", E192&lt;=24, "12-24 Months", E192&gt;24, "24+ Months")</f>
        <v>6-12 Months</v>
      </c>
      <c r="N192" t="str" cm="1">
        <f t="array" ref="N192">_xlfn.IFS(E192&lt;6, "12-18 Months", E192&lt;=12, "18-24 Months", E192&lt;=24, "24+ Months", E192&gt;24, "24+ Months")</f>
        <v>18-24 Months</v>
      </c>
      <c r="O192" t="str" cm="1">
        <f t="array" ref="O192">_xlfn.IFS(D192&gt;=550, "Major", D192 &gt;= 100, "T1200", D192 &lt;100, "Other")</f>
        <v>Other</v>
      </c>
      <c r="P192">
        <f t="shared" si="2"/>
        <v>50</v>
      </c>
    </row>
    <row r="193" spans="1:16" x14ac:dyDescent="0.2">
      <c r="A193" s="12">
        <v>508779</v>
      </c>
      <c r="B193" s="12" t="s">
        <v>295</v>
      </c>
      <c r="C193" s="13">
        <v>79</v>
      </c>
      <c r="D193" s="13">
        <v>106</v>
      </c>
      <c r="E193" s="13">
        <v>6</v>
      </c>
      <c r="F193" s="13">
        <v>213</v>
      </c>
      <c r="G193" s="13">
        <v>213</v>
      </c>
      <c r="H193" s="13">
        <v>195</v>
      </c>
      <c r="I193" s="14">
        <v>2.0094339622641511</v>
      </c>
      <c r="J193" s="14">
        <v>2.0094339622641511</v>
      </c>
      <c r="K193" s="14">
        <v>1.8396226415094341</v>
      </c>
      <c r="L193" s="13">
        <v>96</v>
      </c>
      <c r="M193" t="str" cm="1">
        <f t="array" ref="M193">_xlfn.IFS(E193&lt;6, "0-6 Months", E193&lt;=12, "6-12 Months", E193&lt;=24, "12-24 Months", E193&gt;24, "24+ Months")</f>
        <v>6-12 Months</v>
      </c>
      <c r="N193" t="str" cm="1">
        <f t="array" ref="N193">_xlfn.IFS(E193&lt;6, "12-18 Months", E193&lt;=12, "18-24 Months", E193&lt;=24, "24+ Months", E193&gt;24, "24+ Months")</f>
        <v>18-24 Months</v>
      </c>
      <c r="O193" t="str" cm="1">
        <f t="array" ref="O193">_xlfn.IFS(D193&gt;=550, "Major", D193 &gt;= 100, "T1200", D193 &lt;100, "Other")</f>
        <v>T1200</v>
      </c>
      <c r="P193">
        <f t="shared" si="2"/>
        <v>79</v>
      </c>
    </row>
    <row r="194" spans="1:16" x14ac:dyDescent="0.2">
      <c r="A194" s="12">
        <v>116046</v>
      </c>
      <c r="B194" s="12" t="s">
        <v>281</v>
      </c>
      <c r="C194" s="13">
        <v>242</v>
      </c>
      <c r="D194" s="13">
        <v>220</v>
      </c>
      <c r="E194" s="13">
        <v>16</v>
      </c>
      <c r="F194" s="13">
        <v>210</v>
      </c>
      <c r="G194" s="13">
        <v>69</v>
      </c>
      <c r="H194" s="13">
        <v>48</v>
      </c>
      <c r="I194" s="14">
        <v>0.95454545454545459</v>
      </c>
      <c r="J194" s="14">
        <v>0.31363636363636371</v>
      </c>
      <c r="K194" s="14">
        <v>0.2181818181818182</v>
      </c>
      <c r="L194" s="13">
        <v>0</v>
      </c>
      <c r="M194" t="str" cm="1">
        <f t="array" ref="M194">_xlfn.IFS(E194&lt;6, "0-6 Months", E194&lt;=12, "6-12 Months", E194&lt;=24, "12-24 Months", E194&gt;24, "24+ Months")</f>
        <v>12-24 Months</v>
      </c>
      <c r="N194" t="str" cm="1">
        <f t="array" ref="N194">_xlfn.IFS(E194&lt;6, "12-18 Months", E194&lt;=12, "18-24 Months", E194&lt;=24, "24+ Months", E194&gt;24, "24+ Months")</f>
        <v>24+ Months</v>
      </c>
      <c r="O194" t="str" cm="1">
        <f t="array" ref="O194">_xlfn.IFS(D194&gt;=550, "Major", D194 &gt;= 100, "T1200", D194 &lt;100, "Other")</f>
        <v>T1200</v>
      </c>
      <c r="P194">
        <f t="shared" ref="P194:P257" si="3">SUMPRODUCT((I194&gt;=2) * C194 + ((D194&gt;=550) * (J194&gt;=0.75) * (I194&lt;2) * C194))</f>
        <v>0</v>
      </c>
    </row>
    <row r="195" spans="1:16" x14ac:dyDescent="0.2">
      <c r="A195" s="12">
        <v>105756</v>
      </c>
      <c r="B195" s="12" t="s">
        <v>258</v>
      </c>
      <c r="C195" s="13">
        <v>195</v>
      </c>
      <c r="D195" s="13">
        <v>271</v>
      </c>
      <c r="E195" s="13">
        <v>9</v>
      </c>
      <c r="F195" s="13">
        <v>206</v>
      </c>
      <c r="G195" s="13">
        <v>151</v>
      </c>
      <c r="H195" s="13">
        <v>104</v>
      </c>
      <c r="I195" s="14">
        <v>0.76014760147601479</v>
      </c>
      <c r="J195" s="14">
        <v>0.55719557195571956</v>
      </c>
      <c r="K195" s="14">
        <v>0.3837638376383764</v>
      </c>
      <c r="L195" s="13">
        <v>130</v>
      </c>
      <c r="M195" t="str" cm="1">
        <f t="array" ref="M195">_xlfn.IFS(E195&lt;6, "0-6 Months", E195&lt;=12, "6-12 Months", E195&lt;=24, "12-24 Months", E195&gt;24, "24+ Months")</f>
        <v>6-12 Months</v>
      </c>
      <c r="N195" t="str" cm="1">
        <f t="array" ref="N195">_xlfn.IFS(E195&lt;6, "12-18 Months", E195&lt;=12, "18-24 Months", E195&lt;=24, "24+ Months", E195&gt;24, "24+ Months")</f>
        <v>18-24 Months</v>
      </c>
      <c r="O195" t="str" cm="1">
        <f t="array" ref="O195">_xlfn.IFS(D195&gt;=550, "Major", D195 &gt;= 100, "T1200", D195 &lt;100, "Other")</f>
        <v>T1200</v>
      </c>
      <c r="P195">
        <f t="shared" si="3"/>
        <v>0</v>
      </c>
    </row>
    <row r="196" spans="1:16" x14ac:dyDescent="0.2">
      <c r="A196" s="12">
        <v>112511</v>
      </c>
      <c r="B196" s="12" t="s">
        <v>325</v>
      </c>
      <c r="C196" s="13">
        <v>129</v>
      </c>
      <c r="D196" s="13">
        <v>73</v>
      </c>
      <c r="E196" s="13">
        <v>12</v>
      </c>
      <c r="F196" s="13">
        <v>206</v>
      </c>
      <c r="G196" s="13">
        <v>173</v>
      </c>
      <c r="H196" s="13">
        <v>17</v>
      </c>
      <c r="I196" s="14">
        <v>2.8219178082191778</v>
      </c>
      <c r="J196" s="14">
        <v>2.3698630136986298</v>
      </c>
      <c r="K196" s="14">
        <v>0.23287671232876711</v>
      </c>
      <c r="L196" s="13">
        <v>148</v>
      </c>
      <c r="M196" t="str" cm="1">
        <f t="array" ref="M196">_xlfn.IFS(E196&lt;6, "0-6 Months", E196&lt;=12, "6-12 Months", E196&lt;=24, "12-24 Months", E196&gt;24, "24+ Months")</f>
        <v>6-12 Months</v>
      </c>
      <c r="N196" t="str" cm="1">
        <f t="array" ref="N196">_xlfn.IFS(E196&lt;6, "12-18 Months", E196&lt;=12, "18-24 Months", E196&lt;=24, "24+ Months", E196&gt;24, "24+ Months")</f>
        <v>18-24 Months</v>
      </c>
      <c r="O196" t="str" cm="1">
        <f t="array" ref="O196">_xlfn.IFS(D196&gt;=550, "Major", D196 &gt;= 100, "T1200", D196 &lt;100, "Other")</f>
        <v>Other</v>
      </c>
      <c r="P196">
        <f t="shared" si="3"/>
        <v>129</v>
      </c>
    </row>
    <row r="197" spans="1:16" x14ac:dyDescent="0.2">
      <c r="A197" s="12">
        <v>106750</v>
      </c>
      <c r="B197" s="12" t="s">
        <v>234</v>
      </c>
      <c r="C197" s="13">
        <v>1</v>
      </c>
      <c r="D197" s="13">
        <v>37</v>
      </c>
      <c r="E197" s="13">
        <v>9</v>
      </c>
      <c r="F197" s="13">
        <v>205</v>
      </c>
      <c r="G197" s="13">
        <v>184</v>
      </c>
      <c r="H197" s="13">
        <v>0</v>
      </c>
      <c r="I197" s="14">
        <v>5.5405405405405403</v>
      </c>
      <c r="J197" s="14">
        <v>4.9729729729729728</v>
      </c>
      <c r="K197" s="14">
        <v>0</v>
      </c>
      <c r="L197" s="13">
        <v>3</v>
      </c>
      <c r="M197" t="str" cm="1">
        <f t="array" ref="M197">_xlfn.IFS(E197&lt;6, "0-6 Months", E197&lt;=12, "6-12 Months", E197&lt;=24, "12-24 Months", E197&gt;24, "24+ Months")</f>
        <v>6-12 Months</v>
      </c>
      <c r="N197" t="str" cm="1">
        <f t="array" ref="N197">_xlfn.IFS(E197&lt;6, "12-18 Months", E197&lt;=12, "18-24 Months", E197&lt;=24, "24+ Months", E197&gt;24, "24+ Months")</f>
        <v>18-24 Months</v>
      </c>
      <c r="O197" t="str" cm="1">
        <f t="array" ref="O197">_xlfn.IFS(D197&gt;=550, "Major", D197 &gt;= 100, "T1200", D197 &lt;100, "Other")</f>
        <v>Other</v>
      </c>
      <c r="P197">
        <f t="shared" si="3"/>
        <v>1</v>
      </c>
    </row>
    <row r="198" spans="1:16" x14ac:dyDescent="0.2">
      <c r="A198" s="12">
        <v>132962</v>
      </c>
      <c r="B198" s="12" t="s">
        <v>255</v>
      </c>
      <c r="C198" s="13">
        <v>123</v>
      </c>
      <c r="D198" s="13">
        <v>120</v>
      </c>
      <c r="E198" s="13">
        <v>14</v>
      </c>
      <c r="F198" s="13">
        <v>204</v>
      </c>
      <c r="G198" s="13">
        <v>39</v>
      </c>
      <c r="H198" s="13">
        <v>10</v>
      </c>
      <c r="I198" s="14">
        <v>1.7</v>
      </c>
      <c r="J198" s="14">
        <v>0.32500000000000001</v>
      </c>
      <c r="K198" s="14">
        <v>8.3333333333333329E-2</v>
      </c>
      <c r="L198" s="13">
        <v>45</v>
      </c>
      <c r="M198" t="str" cm="1">
        <f t="array" ref="M198">_xlfn.IFS(E198&lt;6, "0-6 Months", E198&lt;=12, "6-12 Months", E198&lt;=24, "12-24 Months", E198&gt;24, "24+ Months")</f>
        <v>12-24 Months</v>
      </c>
      <c r="N198" t="str" cm="1">
        <f t="array" ref="N198">_xlfn.IFS(E198&lt;6, "12-18 Months", E198&lt;=12, "18-24 Months", E198&lt;=24, "24+ Months", E198&gt;24, "24+ Months")</f>
        <v>24+ Months</v>
      </c>
      <c r="O198" t="str" cm="1">
        <f t="array" ref="O198">_xlfn.IFS(D198&gt;=550, "Major", D198 &gt;= 100, "T1200", D198 &lt;100, "Other")</f>
        <v>T1200</v>
      </c>
      <c r="P198">
        <f t="shared" si="3"/>
        <v>0</v>
      </c>
    </row>
    <row r="199" spans="1:16" x14ac:dyDescent="0.2">
      <c r="A199" s="12">
        <v>105506</v>
      </c>
      <c r="B199" s="12" t="s">
        <v>239</v>
      </c>
      <c r="C199" s="13">
        <v>394</v>
      </c>
      <c r="D199" s="13">
        <v>364</v>
      </c>
      <c r="E199" s="13">
        <v>13</v>
      </c>
      <c r="F199" s="13">
        <v>201</v>
      </c>
      <c r="G199" s="13">
        <v>116</v>
      </c>
      <c r="H199" s="13">
        <v>52</v>
      </c>
      <c r="I199" s="14">
        <v>0.55219780219780223</v>
      </c>
      <c r="J199" s="14">
        <v>0.31868131868131871</v>
      </c>
      <c r="K199" s="14">
        <v>0.14285714285714279</v>
      </c>
      <c r="L199" s="13">
        <v>38</v>
      </c>
      <c r="M199" t="str" cm="1">
        <f t="array" ref="M199">_xlfn.IFS(E199&lt;6, "0-6 Months", E199&lt;=12, "6-12 Months", E199&lt;=24, "12-24 Months", E199&gt;24, "24+ Months")</f>
        <v>12-24 Months</v>
      </c>
      <c r="N199" t="str" cm="1">
        <f t="array" ref="N199">_xlfn.IFS(E199&lt;6, "12-18 Months", E199&lt;=12, "18-24 Months", E199&lt;=24, "24+ Months", E199&gt;24, "24+ Months")</f>
        <v>24+ Months</v>
      </c>
      <c r="O199" t="str" cm="1">
        <f t="array" ref="O199">_xlfn.IFS(D199&gt;=550, "Major", D199 &gt;= 100, "T1200", D199 &lt;100, "Other")</f>
        <v>T1200</v>
      </c>
      <c r="P199">
        <f t="shared" si="3"/>
        <v>0</v>
      </c>
    </row>
    <row r="200" spans="1:16" x14ac:dyDescent="0.2">
      <c r="A200" s="12">
        <v>116180</v>
      </c>
      <c r="B200" s="12" t="s">
        <v>375</v>
      </c>
      <c r="C200" s="13">
        <v>213</v>
      </c>
      <c r="D200" s="13">
        <v>87</v>
      </c>
      <c r="E200" s="13">
        <v>13</v>
      </c>
      <c r="F200" s="13">
        <v>198</v>
      </c>
      <c r="G200" s="13">
        <v>0</v>
      </c>
      <c r="H200" s="13">
        <v>0</v>
      </c>
      <c r="I200" s="14">
        <v>2.2758620689655169</v>
      </c>
      <c r="J200" s="14">
        <v>0</v>
      </c>
      <c r="K200" s="14">
        <v>0</v>
      </c>
      <c r="L200" s="13">
        <v>0</v>
      </c>
      <c r="M200" t="str" cm="1">
        <f t="array" ref="M200">_xlfn.IFS(E200&lt;6, "0-6 Months", E200&lt;=12, "6-12 Months", E200&lt;=24, "12-24 Months", E200&gt;24, "24+ Months")</f>
        <v>12-24 Months</v>
      </c>
      <c r="N200" t="str" cm="1">
        <f t="array" ref="N200">_xlfn.IFS(E200&lt;6, "12-18 Months", E200&lt;=12, "18-24 Months", E200&lt;=24, "24+ Months", E200&gt;24, "24+ Months")</f>
        <v>24+ Months</v>
      </c>
      <c r="O200" t="str" cm="1">
        <f t="array" ref="O200">_xlfn.IFS(D200&gt;=550, "Major", D200 &gt;= 100, "T1200", D200 &lt;100, "Other")</f>
        <v>Other</v>
      </c>
      <c r="P200">
        <f t="shared" si="3"/>
        <v>213</v>
      </c>
    </row>
    <row r="201" spans="1:16" x14ac:dyDescent="0.2">
      <c r="A201" s="12">
        <v>145461</v>
      </c>
      <c r="B201" s="12" t="s">
        <v>236</v>
      </c>
      <c r="C201" s="13">
        <v>54</v>
      </c>
      <c r="D201" s="13">
        <v>64</v>
      </c>
      <c r="E201" s="13">
        <v>20</v>
      </c>
      <c r="F201" s="13">
        <v>196</v>
      </c>
      <c r="G201" s="13">
        <v>180</v>
      </c>
      <c r="H201" s="13">
        <v>0</v>
      </c>
      <c r="I201" s="14">
        <v>3.0625</v>
      </c>
      <c r="J201" s="14">
        <v>2.8125</v>
      </c>
      <c r="K201" s="14">
        <v>0</v>
      </c>
      <c r="L201" s="13">
        <v>159</v>
      </c>
      <c r="M201" t="str" cm="1">
        <f t="array" ref="M201">_xlfn.IFS(E201&lt;6, "0-6 Months", E201&lt;=12, "6-12 Months", E201&lt;=24, "12-24 Months", E201&gt;24, "24+ Months")</f>
        <v>12-24 Months</v>
      </c>
      <c r="N201" t="str" cm="1">
        <f t="array" ref="N201">_xlfn.IFS(E201&lt;6, "12-18 Months", E201&lt;=12, "18-24 Months", E201&lt;=24, "24+ Months", E201&gt;24, "24+ Months")</f>
        <v>24+ Months</v>
      </c>
      <c r="O201" t="str" cm="1">
        <f t="array" ref="O201">_xlfn.IFS(D201&gt;=550, "Major", D201 &gt;= 100, "T1200", D201 &lt;100, "Other")</f>
        <v>Other</v>
      </c>
      <c r="P201">
        <f t="shared" si="3"/>
        <v>54</v>
      </c>
    </row>
    <row r="202" spans="1:16" x14ac:dyDescent="0.2">
      <c r="A202" s="12">
        <v>110594</v>
      </c>
      <c r="B202" s="12" t="s">
        <v>243</v>
      </c>
      <c r="C202" s="13">
        <v>399</v>
      </c>
      <c r="D202" s="13">
        <v>385</v>
      </c>
      <c r="E202" s="13">
        <v>6</v>
      </c>
      <c r="F202" s="13">
        <v>195</v>
      </c>
      <c r="G202" s="13">
        <v>195</v>
      </c>
      <c r="H202" s="13">
        <v>150</v>
      </c>
      <c r="I202" s="14">
        <v>0.50649350649350644</v>
      </c>
      <c r="J202" s="14">
        <v>0.50649350649350644</v>
      </c>
      <c r="K202" s="14">
        <v>0.38961038961038957</v>
      </c>
      <c r="L202" s="13">
        <v>310</v>
      </c>
      <c r="M202" t="str" cm="1">
        <f t="array" ref="M202">_xlfn.IFS(E202&lt;6, "0-6 Months", E202&lt;=12, "6-12 Months", E202&lt;=24, "12-24 Months", E202&gt;24, "24+ Months")</f>
        <v>6-12 Months</v>
      </c>
      <c r="N202" t="str" cm="1">
        <f t="array" ref="N202">_xlfn.IFS(E202&lt;6, "12-18 Months", E202&lt;=12, "18-24 Months", E202&lt;=24, "24+ Months", E202&gt;24, "24+ Months")</f>
        <v>18-24 Months</v>
      </c>
      <c r="O202" t="str" cm="1">
        <f t="array" ref="O202">_xlfn.IFS(D202&gt;=550, "Major", D202 &gt;= 100, "T1200", D202 &lt;100, "Other")</f>
        <v>T1200</v>
      </c>
      <c r="P202">
        <f t="shared" si="3"/>
        <v>0</v>
      </c>
    </row>
    <row r="203" spans="1:16" x14ac:dyDescent="0.2">
      <c r="A203" s="12">
        <v>305997</v>
      </c>
      <c r="B203" s="12" t="s">
        <v>179</v>
      </c>
      <c r="C203" s="13">
        <v>32</v>
      </c>
      <c r="D203" s="13">
        <v>27</v>
      </c>
      <c r="E203" s="13">
        <v>6</v>
      </c>
      <c r="F203" s="13">
        <v>193</v>
      </c>
      <c r="G203" s="13">
        <v>170</v>
      </c>
      <c r="H203" s="13">
        <v>0</v>
      </c>
      <c r="I203" s="14">
        <v>7.1481481481481479</v>
      </c>
      <c r="J203" s="14">
        <v>6.2962962962962967</v>
      </c>
      <c r="K203" s="14">
        <v>0</v>
      </c>
      <c r="L203" s="13">
        <v>8</v>
      </c>
      <c r="M203" t="str" cm="1">
        <f t="array" ref="M203">_xlfn.IFS(E203&lt;6, "0-6 Months", E203&lt;=12, "6-12 Months", E203&lt;=24, "12-24 Months", E203&gt;24, "24+ Months")</f>
        <v>6-12 Months</v>
      </c>
      <c r="N203" t="str" cm="1">
        <f t="array" ref="N203">_xlfn.IFS(E203&lt;6, "12-18 Months", E203&lt;=12, "18-24 Months", E203&lt;=24, "24+ Months", E203&gt;24, "24+ Months")</f>
        <v>18-24 Months</v>
      </c>
      <c r="O203" t="str" cm="1">
        <f t="array" ref="O203">_xlfn.IFS(D203&gt;=550, "Major", D203 &gt;= 100, "T1200", D203 &lt;100, "Other")</f>
        <v>Other</v>
      </c>
      <c r="P203">
        <f t="shared" si="3"/>
        <v>32</v>
      </c>
    </row>
    <row r="204" spans="1:16" x14ac:dyDescent="0.2">
      <c r="A204" s="12">
        <v>107430</v>
      </c>
      <c r="B204" s="12" t="s">
        <v>268</v>
      </c>
      <c r="C204" s="13">
        <v>7</v>
      </c>
      <c r="D204" s="13">
        <v>34</v>
      </c>
      <c r="E204" s="13">
        <v>9</v>
      </c>
      <c r="F204" s="13">
        <v>193</v>
      </c>
      <c r="G204" s="13">
        <v>133</v>
      </c>
      <c r="H204" s="13">
        <v>125</v>
      </c>
      <c r="I204" s="14">
        <v>5.6764705882352944</v>
      </c>
      <c r="J204" s="14">
        <v>3.9117647058823528</v>
      </c>
      <c r="K204" s="14">
        <v>3.6764705882352939</v>
      </c>
      <c r="L204" s="13">
        <v>9</v>
      </c>
      <c r="M204" t="str" cm="1">
        <f t="array" ref="M204">_xlfn.IFS(E204&lt;6, "0-6 Months", E204&lt;=12, "6-12 Months", E204&lt;=24, "12-24 Months", E204&gt;24, "24+ Months")</f>
        <v>6-12 Months</v>
      </c>
      <c r="N204" t="str" cm="1">
        <f t="array" ref="N204">_xlfn.IFS(E204&lt;6, "12-18 Months", E204&lt;=12, "18-24 Months", E204&lt;=24, "24+ Months", E204&gt;24, "24+ Months")</f>
        <v>18-24 Months</v>
      </c>
      <c r="O204" t="str" cm="1">
        <f t="array" ref="O204">_xlfn.IFS(D204&gt;=550, "Major", D204 &gt;= 100, "T1200", D204 &lt;100, "Other")</f>
        <v>Other</v>
      </c>
      <c r="P204">
        <f t="shared" si="3"/>
        <v>7</v>
      </c>
    </row>
    <row r="205" spans="1:16" x14ac:dyDescent="0.2">
      <c r="A205" s="12">
        <v>106273</v>
      </c>
      <c r="B205" s="12" t="s">
        <v>167</v>
      </c>
      <c r="C205" s="13">
        <v>0</v>
      </c>
      <c r="D205" s="13">
        <v>30</v>
      </c>
      <c r="E205" s="13">
        <v>20</v>
      </c>
      <c r="F205" s="13">
        <v>190</v>
      </c>
      <c r="G205" s="13">
        <v>99</v>
      </c>
      <c r="H205" s="13">
        <v>68</v>
      </c>
      <c r="I205" s="14">
        <v>6.333333333333333</v>
      </c>
      <c r="J205" s="14">
        <v>3.3</v>
      </c>
      <c r="K205" s="14">
        <v>2.2666666666666671</v>
      </c>
      <c r="L205" s="13">
        <v>2</v>
      </c>
      <c r="M205" t="str" cm="1">
        <f t="array" ref="M205">_xlfn.IFS(E205&lt;6, "0-6 Months", E205&lt;=12, "6-12 Months", E205&lt;=24, "12-24 Months", E205&gt;24, "24+ Months")</f>
        <v>12-24 Months</v>
      </c>
      <c r="N205" t="str" cm="1">
        <f t="array" ref="N205">_xlfn.IFS(E205&lt;6, "12-18 Months", E205&lt;=12, "18-24 Months", E205&lt;=24, "24+ Months", E205&gt;24, "24+ Months")</f>
        <v>24+ Months</v>
      </c>
      <c r="O205" t="str" cm="1">
        <f t="array" ref="O205">_xlfn.IFS(D205&gt;=550, "Major", D205 &gt;= 100, "T1200", D205 &lt;100, "Other")</f>
        <v>Other</v>
      </c>
      <c r="P205">
        <f t="shared" si="3"/>
        <v>0</v>
      </c>
    </row>
    <row r="206" spans="1:16" x14ac:dyDescent="0.2">
      <c r="A206" s="12">
        <v>106774</v>
      </c>
      <c r="B206" s="12" t="s">
        <v>273</v>
      </c>
      <c r="C206" s="13">
        <v>1018</v>
      </c>
      <c r="D206" s="13">
        <v>998</v>
      </c>
      <c r="E206" s="13">
        <v>25</v>
      </c>
      <c r="F206" s="13">
        <v>189</v>
      </c>
      <c r="G206" s="13">
        <v>104</v>
      </c>
      <c r="H206" s="13">
        <v>73</v>
      </c>
      <c r="I206" s="14">
        <v>0.18937875751503011</v>
      </c>
      <c r="J206" s="14">
        <v>0.1042084168336673</v>
      </c>
      <c r="K206" s="14">
        <v>7.3146292585170344E-2</v>
      </c>
      <c r="L206" s="13">
        <v>85</v>
      </c>
      <c r="M206" t="str" cm="1">
        <f t="array" ref="M206">_xlfn.IFS(E206&lt;6, "0-6 Months", E206&lt;=12, "6-12 Months", E206&lt;=24, "12-24 Months", E206&gt;24, "24+ Months")</f>
        <v>24+ Months</v>
      </c>
      <c r="N206" t="str" cm="1">
        <f t="array" ref="N206">_xlfn.IFS(E206&lt;6, "12-18 Months", E206&lt;=12, "18-24 Months", E206&lt;=24, "24+ Months", E206&gt;24, "24+ Months")</f>
        <v>24+ Months</v>
      </c>
      <c r="O206" t="str" cm="1">
        <f t="array" ref="O206">_xlfn.IFS(D206&gt;=550, "Major", D206 &gt;= 100, "T1200", D206 &lt;100, "Other")</f>
        <v>Major</v>
      </c>
      <c r="P206">
        <f t="shared" si="3"/>
        <v>0</v>
      </c>
    </row>
    <row r="207" spans="1:16" x14ac:dyDescent="0.2">
      <c r="A207" s="12">
        <v>326941</v>
      </c>
      <c r="B207" s="12" t="s">
        <v>368</v>
      </c>
      <c r="C207" s="13">
        <v>1358</v>
      </c>
      <c r="D207" s="13">
        <v>80</v>
      </c>
      <c r="E207" s="13">
        <v>9</v>
      </c>
      <c r="F207" s="13">
        <v>188</v>
      </c>
      <c r="G207" s="13">
        <v>28</v>
      </c>
      <c r="H207" s="13">
        <v>0</v>
      </c>
      <c r="I207" s="14">
        <v>2.35</v>
      </c>
      <c r="J207" s="14">
        <v>0.35</v>
      </c>
      <c r="K207" s="14">
        <v>0</v>
      </c>
      <c r="L207" s="13">
        <v>0</v>
      </c>
      <c r="M207" t="str" cm="1">
        <f t="array" ref="M207">_xlfn.IFS(E207&lt;6, "0-6 Months", E207&lt;=12, "6-12 Months", E207&lt;=24, "12-24 Months", E207&gt;24, "24+ Months")</f>
        <v>6-12 Months</v>
      </c>
      <c r="N207" t="str" cm="1">
        <f t="array" ref="N207">_xlfn.IFS(E207&lt;6, "12-18 Months", E207&lt;=12, "18-24 Months", E207&lt;=24, "24+ Months", E207&gt;24, "24+ Months")</f>
        <v>18-24 Months</v>
      </c>
      <c r="O207" t="str" cm="1">
        <f t="array" ref="O207">_xlfn.IFS(D207&gt;=550, "Major", D207 &gt;= 100, "T1200", D207 &lt;100, "Other")</f>
        <v>Other</v>
      </c>
      <c r="P207">
        <f t="shared" si="3"/>
        <v>1358</v>
      </c>
    </row>
    <row r="208" spans="1:16" x14ac:dyDescent="0.2">
      <c r="A208" s="12">
        <v>112545</v>
      </c>
      <c r="B208" s="12" t="s">
        <v>253</v>
      </c>
      <c r="C208" s="13">
        <v>25</v>
      </c>
      <c r="D208" s="13">
        <v>15</v>
      </c>
      <c r="E208" s="13">
        <v>10</v>
      </c>
      <c r="F208" s="13">
        <v>185</v>
      </c>
      <c r="G208" s="13">
        <v>6</v>
      </c>
      <c r="H208" s="13">
        <v>2</v>
      </c>
      <c r="I208" s="14">
        <v>12.33333333333333</v>
      </c>
      <c r="J208" s="14">
        <v>0.4</v>
      </c>
      <c r="K208" s="14">
        <v>0.1333333333333333</v>
      </c>
      <c r="L208" s="13">
        <v>0</v>
      </c>
      <c r="M208" t="str" cm="1">
        <f t="array" ref="M208">_xlfn.IFS(E208&lt;6, "0-6 Months", E208&lt;=12, "6-12 Months", E208&lt;=24, "12-24 Months", E208&gt;24, "24+ Months")</f>
        <v>6-12 Months</v>
      </c>
      <c r="N208" t="str" cm="1">
        <f t="array" ref="N208">_xlfn.IFS(E208&lt;6, "12-18 Months", E208&lt;=12, "18-24 Months", E208&lt;=24, "24+ Months", E208&gt;24, "24+ Months")</f>
        <v>18-24 Months</v>
      </c>
      <c r="O208" t="str" cm="1">
        <f t="array" ref="O208">_xlfn.IFS(D208&gt;=550, "Major", D208 &gt;= 100, "T1200", D208 &lt;100, "Other")</f>
        <v>Other</v>
      </c>
      <c r="P208">
        <f t="shared" si="3"/>
        <v>25</v>
      </c>
    </row>
    <row r="209" spans="1:16" x14ac:dyDescent="0.2">
      <c r="A209" s="12">
        <v>108869</v>
      </c>
      <c r="B209" s="12" t="s">
        <v>257</v>
      </c>
      <c r="C209" s="13">
        <v>85</v>
      </c>
      <c r="D209" s="13">
        <v>97</v>
      </c>
      <c r="E209" s="13">
        <v>41</v>
      </c>
      <c r="F209" s="13">
        <v>184</v>
      </c>
      <c r="G209" s="13">
        <v>184</v>
      </c>
      <c r="H209" s="13">
        <v>184</v>
      </c>
      <c r="I209" s="14">
        <v>1.8969072164948451</v>
      </c>
      <c r="J209" s="14">
        <v>1.8969072164948451</v>
      </c>
      <c r="K209" s="14">
        <v>1.8969072164948451</v>
      </c>
      <c r="L209" s="13">
        <v>23</v>
      </c>
      <c r="M209" t="str" cm="1">
        <f t="array" ref="M209">_xlfn.IFS(E209&lt;6, "0-6 Months", E209&lt;=12, "6-12 Months", E209&lt;=24, "12-24 Months", E209&gt;24, "24+ Months")</f>
        <v>24+ Months</v>
      </c>
      <c r="N209" t="str" cm="1">
        <f t="array" ref="N209">_xlfn.IFS(E209&lt;6, "12-18 Months", E209&lt;=12, "18-24 Months", E209&lt;=24, "24+ Months", E209&gt;24, "24+ Months")</f>
        <v>24+ Months</v>
      </c>
      <c r="O209" t="str" cm="1">
        <f t="array" ref="O209">_xlfn.IFS(D209&gt;=550, "Major", D209 &gt;= 100, "T1200", D209 &lt;100, "Other")</f>
        <v>Other</v>
      </c>
      <c r="P209">
        <f t="shared" si="3"/>
        <v>0</v>
      </c>
    </row>
    <row r="210" spans="1:16" x14ac:dyDescent="0.2">
      <c r="A210" s="12">
        <v>156561</v>
      </c>
      <c r="B210" s="12" t="s">
        <v>242</v>
      </c>
      <c r="C210" s="13">
        <v>49</v>
      </c>
      <c r="D210" s="13">
        <v>37</v>
      </c>
      <c r="E210" s="13">
        <v>9</v>
      </c>
      <c r="F210" s="13">
        <v>184</v>
      </c>
      <c r="G210" s="13">
        <v>177</v>
      </c>
      <c r="H210" s="13">
        <v>130</v>
      </c>
      <c r="I210" s="14">
        <v>4.9729729729729728</v>
      </c>
      <c r="J210" s="14">
        <v>4.7837837837837842</v>
      </c>
      <c r="K210" s="14">
        <v>3.513513513513514</v>
      </c>
      <c r="L210" s="13">
        <v>4</v>
      </c>
      <c r="M210" t="str" cm="1">
        <f t="array" ref="M210">_xlfn.IFS(E210&lt;6, "0-6 Months", E210&lt;=12, "6-12 Months", E210&lt;=24, "12-24 Months", E210&gt;24, "24+ Months")</f>
        <v>6-12 Months</v>
      </c>
      <c r="N210" t="str" cm="1">
        <f t="array" ref="N210">_xlfn.IFS(E210&lt;6, "12-18 Months", E210&lt;=12, "18-24 Months", E210&lt;=24, "24+ Months", E210&gt;24, "24+ Months")</f>
        <v>18-24 Months</v>
      </c>
      <c r="O210" t="str" cm="1">
        <f t="array" ref="O210">_xlfn.IFS(D210&gt;=550, "Major", D210 &gt;= 100, "T1200", D210 &lt;100, "Other")</f>
        <v>Other</v>
      </c>
      <c r="P210">
        <f t="shared" si="3"/>
        <v>49</v>
      </c>
    </row>
    <row r="211" spans="1:16" x14ac:dyDescent="0.2">
      <c r="A211" s="12">
        <v>113390</v>
      </c>
      <c r="B211" s="12" t="s">
        <v>233</v>
      </c>
      <c r="C211" s="13">
        <v>120</v>
      </c>
      <c r="D211" s="13">
        <v>180</v>
      </c>
      <c r="E211" s="13">
        <v>7</v>
      </c>
      <c r="F211" s="13">
        <v>183</v>
      </c>
      <c r="G211" s="13">
        <v>19</v>
      </c>
      <c r="H211" s="13">
        <v>3</v>
      </c>
      <c r="I211" s="14">
        <v>1.0166666666666671</v>
      </c>
      <c r="J211" s="14">
        <v>0.1055555555555556</v>
      </c>
      <c r="K211" s="14">
        <v>1.666666666666667E-2</v>
      </c>
      <c r="L211" s="13">
        <v>0</v>
      </c>
      <c r="M211" t="str" cm="1">
        <f t="array" ref="M211">_xlfn.IFS(E211&lt;6, "0-6 Months", E211&lt;=12, "6-12 Months", E211&lt;=24, "12-24 Months", E211&gt;24, "24+ Months")</f>
        <v>6-12 Months</v>
      </c>
      <c r="N211" t="str" cm="1">
        <f t="array" ref="N211">_xlfn.IFS(E211&lt;6, "12-18 Months", E211&lt;=12, "18-24 Months", E211&lt;=24, "24+ Months", E211&gt;24, "24+ Months")</f>
        <v>18-24 Months</v>
      </c>
      <c r="O211" t="str" cm="1">
        <f t="array" ref="O211">_xlfn.IFS(D211&gt;=550, "Major", D211 &gt;= 100, "T1200", D211 &lt;100, "Other")</f>
        <v>T1200</v>
      </c>
      <c r="P211">
        <f t="shared" si="3"/>
        <v>0</v>
      </c>
    </row>
    <row r="212" spans="1:16" x14ac:dyDescent="0.2">
      <c r="A212" s="12">
        <v>114763</v>
      </c>
      <c r="B212" s="12" t="s">
        <v>276</v>
      </c>
      <c r="C212" s="13">
        <v>54</v>
      </c>
      <c r="D212" s="13">
        <v>45</v>
      </c>
      <c r="E212" s="13">
        <v>11</v>
      </c>
      <c r="F212" s="13">
        <v>183</v>
      </c>
      <c r="G212" s="13">
        <v>63</v>
      </c>
      <c r="H212" s="13">
        <v>18</v>
      </c>
      <c r="I212" s="14">
        <v>4.0666666666666664</v>
      </c>
      <c r="J212" s="14">
        <v>1.4</v>
      </c>
      <c r="K212" s="14">
        <v>0.4</v>
      </c>
      <c r="L212" s="13">
        <v>16</v>
      </c>
      <c r="M212" t="str" cm="1">
        <f t="array" ref="M212">_xlfn.IFS(E212&lt;6, "0-6 Months", E212&lt;=12, "6-12 Months", E212&lt;=24, "12-24 Months", E212&gt;24, "24+ Months")</f>
        <v>6-12 Months</v>
      </c>
      <c r="N212" t="str" cm="1">
        <f t="array" ref="N212">_xlfn.IFS(E212&lt;6, "12-18 Months", E212&lt;=12, "18-24 Months", E212&lt;=24, "24+ Months", E212&gt;24, "24+ Months")</f>
        <v>18-24 Months</v>
      </c>
      <c r="O212" t="str" cm="1">
        <f t="array" ref="O212">_xlfn.IFS(D212&gt;=550, "Major", D212 &gt;= 100, "T1200", D212 &lt;100, "Other")</f>
        <v>Other</v>
      </c>
      <c r="P212">
        <f t="shared" si="3"/>
        <v>54</v>
      </c>
    </row>
    <row r="213" spans="1:16" x14ac:dyDescent="0.2">
      <c r="A213" s="12">
        <v>105904</v>
      </c>
      <c r="B213" s="12" t="s">
        <v>256</v>
      </c>
      <c r="C213" s="13">
        <v>45</v>
      </c>
      <c r="D213" s="13">
        <v>46</v>
      </c>
      <c r="E213" s="13">
        <v>7</v>
      </c>
      <c r="F213" s="13">
        <v>182</v>
      </c>
      <c r="G213" s="13">
        <v>182</v>
      </c>
      <c r="H213" s="13">
        <v>161</v>
      </c>
      <c r="I213" s="14">
        <v>3.956521739130435</v>
      </c>
      <c r="J213" s="14">
        <v>3.956521739130435</v>
      </c>
      <c r="K213" s="14">
        <v>3.5</v>
      </c>
      <c r="L213" s="13">
        <v>39</v>
      </c>
      <c r="M213" t="str" cm="1">
        <f t="array" ref="M213">_xlfn.IFS(E213&lt;6, "0-6 Months", E213&lt;=12, "6-12 Months", E213&lt;=24, "12-24 Months", E213&gt;24, "24+ Months")</f>
        <v>6-12 Months</v>
      </c>
      <c r="N213" t="str" cm="1">
        <f t="array" ref="N213">_xlfn.IFS(E213&lt;6, "12-18 Months", E213&lt;=12, "18-24 Months", E213&lt;=24, "24+ Months", E213&gt;24, "24+ Months")</f>
        <v>18-24 Months</v>
      </c>
      <c r="O213" t="str" cm="1">
        <f t="array" ref="O213">_xlfn.IFS(D213&gt;=550, "Major", D213 &gt;= 100, "T1200", D213 &lt;100, "Other")</f>
        <v>Other</v>
      </c>
      <c r="P213">
        <f t="shared" si="3"/>
        <v>45</v>
      </c>
    </row>
    <row r="214" spans="1:16" x14ac:dyDescent="0.2">
      <c r="A214" s="12">
        <v>108354</v>
      </c>
      <c r="B214" s="12" t="s">
        <v>269</v>
      </c>
      <c r="C214" s="13">
        <v>35</v>
      </c>
      <c r="D214" s="13">
        <v>35</v>
      </c>
      <c r="E214" s="13">
        <v>10</v>
      </c>
      <c r="F214" s="13">
        <v>182</v>
      </c>
      <c r="G214" s="13">
        <v>18</v>
      </c>
      <c r="H214" s="13">
        <v>1</v>
      </c>
      <c r="I214" s="14">
        <v>5.2</v>
      </c>
      <c r="J214" s="14">
        <v>0.51428571428571423</v>
      </c>
      <c r="K214" s="14">
        <v>2.8571428571428571E-2</v>
      </c>
      <c r="L214" s="13">
        <v>45</v>
      </c>
      <c r="M214" t="str" cm="1">
        <f t="array" ref="M214">_xlfn.IFS(E214&lt;6, "0-6 Months", E214&lt;=12, "6-12 Months", E214&lt;=24, "12-24 Months", E214&gt;24, "24+ Months")</f>
        <v>6-12 Months</v>
      </c>
      <c r="N214" t="str" cm="1">
        <f t="array" ref="N214">_xlfn.IFS(E214&lt;6, "12-18 Months", E214&lt;=12, "18-24 Months", E214&lt;=24, "24+ Months", E214&gt;24, "24+ Months")</f>
        <v>18-24 Months</v>
      </c>
      <c r="O214" t="str" cm="1">
        <f t="array" ref="O214">_xlfn.IFS(D214&gt;=550, "Major", D214 &gt;= 100, "T1200", D214 &lt;100, "Other")</f>
        <v>Other</v>
      </c>
      <c r="P214">
        <f t="shared" si="3"/>
        <v>35</v>
      </c>
    </row>
    <row r="215" spans="1:16" x14ac:dyDescent="0.2">
      <c r="A215" s="12">
        <v>465977</v>
      </c>
      <c r="B215" s="12" t="s">
        <v>312</v>
      </c>
      <c r="C215" s="13">
        <v>1</v>
      </c>
      <c r="D215" s="13">
        <v>90</v>
      </c>
      <c r="E215" s="13">
        <v>18</v>
      </c>
      <c r="F215" s="13">
        <v>181</v>
      </c>
      <c r="G215" s="13">
        <v>55</v>
      </c>
      <c r="H215" s="13">
        <v>55</v>
      </c>
      <c r="I215" s="14">
        <v>2.0111111111111111</v>
      </c>
      <c r="J215" s="14">
        <v>0.61111111111111116</v>
      </c>
      <c r="K215" s="14">
        <v>0.61111111111111116</v>
      </c>
      <c r="L215" s="13">
        <v>0</v>
      </c>
      <c r="M215" t="str" cm="1">
        <f t="array" ref="M215">_xlfn.IFS(E215&lt;6, "0-6 Months", E215&lt;=12, "6-12 Months", E215&lt;=24, "12-24 Months", E215&gt;24, "24+ Months")</f>
        <v>12-24 Months</v>
      </c>
      <c r="N215" t="str" cm="1">
        <f t="array" ref="N215">_xlfn.IFS(E215&lt;6, "12-18 Months", E215&lt;=12, "18-24 Months", E215&lt;=24, "24+ Months", E215&gt;24, "24+ Months")</f>
        <v>24+ Months</v>
      </c>
      <c r="O215" t="str" cm="1">
        <f t="array" ref="O215">_xlfn.IFS(D215&gt;=550, "Major", D215 &gt;= 100, "T1200", D215 &lt;100, "Other")</f>
        <v>Other</v>
      </c>
      <c r="P215">
        <f t="shared" si="3"/>
        <v>1</v>
      </c>
    </row>
    <row r="216" spans="1:16" x14ac:dyDescent="0.2">
      <c r="A216" s="12" t="s">
        <v>266</v>
      </c>
      <c r="B216" s="12" t="s">
        <v>265</v>
      </c>
      <c r="C216" s="13">
        <v>0</v>
      </c>
      <c r="D216" s="13">
        <v>42</v>
      </c>
      <c r="E216" s="13">
        <v>21</v>
      </c>
      <c r="F216" s="13">
        <v>181</v>
      </c>
      <c r="G216" s="13">
        <v>135</v>
      </c>
      <c r="H216" s="13">
        <v>82</v>
      </c>
      <c r="I216" s="14">
        <v>4.3095238095238093</v>
      </c>
      <c r="J216" s="14">
        <v>3.214285714285714</v>
      </c>
      <c r="K216" s="14">
        <v>1.9523809523809521</v>
      </c>
      <c r="L216" s="13">
        <v>0</v>
      </c>
      <c r="M216" t="str" cm="1">
        <f t="array" ref="M216">_xlfn.IFS(E216&lt;6, "0-6 Months", E216&lt;=12, "6-12 Months", E216&lt;=24, "12-24 Months", E216&gt;24, "24+ Months")</f>
        <v>12-24 Months</v>
      </c>
      <c r="N216" t="str" cm="1">
        <f t="array" ref="N216">_xlfn.IFS(E216&lt;6, "12-18 Months", E216&lt;=12, "18-24 Months", E216&lt;=24, "24+ Months", E216&gt;24, "24+ Months")</f>
        <v>24+ Months</v>
      </c>
      <c r="O216" t="str" cm="1">
        <f t="array" ref="O216">_xlfn.IFS(D216&gt;=550, "Major", D216 &gt;= 100, "T1200", D216 &lt;100, "Other")</f>
        <v>Other</v>
      </c>
      <c r="P216">
        <f t="shared" si="3"/>
        <v>0</v>
      </c>
    </row>
    <row r="217" spans="1:16" x14ac:dyDescent="0.2">
      <c r="A217" s="12">
        <v>110274</v>
      </c>
      <c r="B217" s="12" t="s">
        <v>377</v>
      </c>
      <c r="C217" s="13">
        <v>223</v>
      </c>
      <c r="D217" s="13">
        <v>160</v>
      </c>
      <c r="E217" s="13">
        <v>40</v>
      </c>
      <c r="F217" s="13">
        <v>180</v>
      </c>
      <c r="G217" s="13">
        <v>160</v>
      </c>
      <c r="H217" s="13">
        <v>159</v>
      </c>
      <c r="I217" s="14">
        <v>1.125</v>
      </c>
      <c r="J217" s="14">
        <v>1</v>
      </c>
      <c r="K217" s="14">
        <v>0.99375000000000002</v>
      </c>
      <c r="L217" s="13">
        <v>43</v>
      </c>
      <c r="M217" t="str" cm="1">
        <f t="array" ref="M217">_xlfn.IFS(E217&lt;6, "0-6 Months", E217&lt;=12, "6-12 Months", E217&lt;=24, "12-24 Months", E217&gt;24, "24+ Months")</f>
        <v>24+ Months</v>
      </c>
      <c r="N217" t="str" cm="1">
        <f t="array" ref="N217">_xlfn.IFS(E217&lt;6, "12-18 Months", E217&lt;=12, "18-24 Months", E217&lt;=24, "24+ Months", E217&gt;24, "24+ Months")</f>
        <v>24+ Months</v>
      </c>
      <c r="O217" t="str" cm="1">
        <f t="array" ref="O217">_xlfn.IFS(D217&gt;=550, "Major", D217 &gt;= 100, "T1200", D217 &lt;100, "Other")</f>
        <v>T1200</v>
      </c>
      <c r="P217">
        <f t="shared" si="3"/>
        <v>0</v>
      </c>
    </row>
    <row r="218" spans="1:16" x14ac:dyDescent="0.2">
      <c r="A218" s="12">
        <v>111020</v>
      </c>
      <c r="B218" s="12" t="s">
        <v>322</v>
      </c>
      <c r="C218" s="13">
        <v>67</v>
      </c>
      <c r="D218" s="13">
        <v>70</v>
      </c>
      <c r="E218" s="13">
        <v>11</v>
      </c>
      <c r="F218" s="13">
        <v>173</v>
      </c>
      <c r="G218" s="13">
        <v>147</v>
      </c>
      <c r="H218" s="13">
        <v>17</v>
      </c>
      <c r="I218" s="14">
        <v>2.471428571428572</v>
      </c>
      <c r="J218" s="14">
        <v>2.1</v>
      </c>
      <c r="K218" s="14">
        <v>0.24285714285714291</v>
      </c>
      <c r="L218" s="13">
        <v>46</v>
      </c>
      <c r="M218" t="str" cm="1">
        <f t="array" ref="M218">_xlfn.IFS(E218&lt;6, "0-6 Months", E218&lt;=12, "6-12 Months", E218&lt;=24, "12-24 Months", E218&gt;24, "24+ Months")</f>
        <v>6-12 Months</v>
      </c>
      <c r="N218" t="str" cm="1">
        <f t="array" ref="N218">_xlfn.IFS(E218&lt;6, "12-18 Months", E218&lt;=12, "18-24 Months", E218&lt;=24, "24+ Months", E218&gt;24, "24+ Months")</f>
        <v>18-24 Months</v>
      </c>
      <c r="O218" t="str" cm="1">
        <f t="array" ref="O218">_xlfn.IFS(D218&gt;=550, "Major", D218 &gt;= 100, "T1200", D218 &lt;100, "Other")</f>
        <v>Other</v>
      </c>
      <c r="P218">
        <f t="shared" si="3"/>
        <v>67</v>
      </c>
    </row>
    <row r="219" spans="1:16" x14ac:dyDescent="0.2">
      <c r="A219" s="12">
        <v>474623</v>
      </c>
      <c r="B219" s="12" t="s">
        <v>221</v>
      </c>
      <c r="C219" s="13">
        <v>16</v>
      </c>
      <c r="D219" s="13">
        <v>31</v>
      </c>
      <c r="E219" s="13">
        <v>22</v>
      </c>
      <c r="F219" s="13">
        <v>173</v>
      </c>
      <c r="G219" s="13">
        <v>76</v>
      </c>
      <c r="H219" s="13">
        <v>38</v>
      </c>
      <c r="I219" s="14">
        <v>5.580645161290323</v>
      </c>
      <c r="J219" s="14">
        <v>2.4516129032258061</v>
      </c>
      <c r="K219" s="14">
        <v>1.225806451612903</v>
      </c>
      <c r="L219" s="13">
        <v>12</v>
      </c>
      <c r="M219" t="str" cm="1">
        <f t="array" ref="M219">_xlfn.IFS(E219&lt;6, "0-6 Months", E219&lt;=12, "6-12 Months", E219&lt;=24, "12-24 Months", E219&gt;24, "24+ Months")</f>
        <v>12-24 Months</v>
      </c>
      <c r="N219" t="str" cm="1">
        <f t="array" ref="N219">_xlfn.IFS(E219&lt;6, "12-18 Months", E219&lt;=12, "18-24 Months", E219&lt;=24, "24+ Months", E219&gt;24, "24+ Months")</f>
        <v>24+ Months</v>
      </c>
      <c r="O219" t="str" cm="1">
        <f t="array" ref="O219">_xlfn.IFS(D219&gt;=550, "Major", D219 &gt;= 100, "T1200", D219 &lt;100, "Other")</f>
        <v>Other</v>
      </c>
      <c r="P219">
        <f t="shared" si="3"/>
        <v>16</v>
      </c>
    </row>
    <row r="220" spans="1:16" x14ac:dyDescent="0.2">
      <c r="A220" s="12">
        <v>112375</v>
      </c>
      <c r="B220" s="12" t="s">
        <v>213</v>
      </c>
      <c r="C220" s="13">
        <v>189</v>
      </c>
      <c r="D220" s="13">
        <v>174</v>
      </c>
      <c r="E220" s="13">
        <v>24</v>
      </c>
      <c r="F220" s="13">
        <v>168</v>
      </c>
      <c r="G220" s="13">
        <v>148</v>
      </c>
      <c r="H220" s="13">
        <v>71</v>
      </c>
      <c r="I220" s="14">
        <v>0.96551724137931039</v>
      </c>
      <c r="J220" s="14">
        <v>0.85057471264367812</v>
      </c>
      <c r="K220" s="14">
        <v>0.40804597701149431</v>
      </c>
      <c r="L220" s="13">
        <v>2</v>
      </c>
      <c r="M220" t="str" cm="1">
        <f t="array" ref="M220">_xlfn.IFS(E220&lt;6, "0-6 Months", E220&lt;=12, "6-12 Months", E220&lt;=24, "12-24 Months", E220&gt;24, "24+ Months")</f>
        <v>12-24 Months</v>
      </c>
      <c r="N220" t="str" cm="1">
        <f t="array" ref="N220">_xlfn.IFS(E220&lt;6, "12-18 Months", E220&lt;=12, "18-24 Months", E220&lt;=24, "24+ Months", E220&gt;24, "24+ Months")</f>
        <v>24+ Months</v>
      </c>
      <c r="O220" t="str" cm="1">
        <f t="array" ref="O220">_xlfn.IFS(D220&gt;=550, "Major", D220 &gt;= 100, "T1200", D220 &lt;100, "Other")</f>
        <v>T1200</v>
      </c>
      <c r="P220">
        <f t="shared" si="3"/>
        <v>0</v>
      </c>
    </row>
    <row r="221" spans="1:16" x14ac:dyDescent="0.2">
      <c r="A221" s="12">
        <v>106516</v>
      </c>
      <c r="B221" s="12" t="s">
        <v>278</v>
      </c>
      <c r="C221" s="13">
        <v>101</v>
      </c>
      <c r="D221" s="13">
        <v>80</v>
      </c>
      <c r="E221" s="13">
        <v>26</v>
      </c>
      <c r="F221" s="13">
        <v>167</v>
      </c>
      <c r="G221" s="13">
        <v>33</v>
      </c>
      <c r="H221" s="13">
        <v>29</v>
      </c>
      <c r="I221" s="14">
        <v>2.0874999999999999</v>
      </c>
      <c r="J221" s="14">
        <v>0.41249999999999998</v>
      </c>
      <c r="K221" s="14">
        <v>0.36249999999999999</v>
      </c>
      <c r="L221" s="13">
        <v>57</v>
      </c>
      <c r="M221" t="str" cm="1">
        <f t="array" ref="M221">_xlfn.IFS(E221&lt;6, "0-6 Months", E221&lt;=12, "6-12 Months", E221&lt;=24, "12-24 Months", E221&gt;24, "24+ Months")</f>
        <v>24+ Months</v>
      </c>
      <c r="N221" t="str" cm="1">
        <f t="array" ref="N221">_xlfn.IFS(E221&lt;6, "12-18 Months", E221&lt;=12, "18-24 Months", E221&lt;=24, "24+ Months", E221&gt;24, "24+ Months")</f>
        <v>24+ Months</v>
      </c>
      <c r="O221" t="str" cm="1">
        <f t="array" ref="O221">_xlfn.IFS(D221&gt;=550, "Major", D221 &gt;= 100, "T1200", D221 &lt;100, "Other")</f>
        <v>Other</v>
      </c>
      <c r="P221">
        <f t="shared" si="3"/>
        <v>101</v>
      </c>
    </row>
    <row r="222" spans="1:16" x14ac:dyDescent="0.2">
      <c r="A222" s="12">
        <v>112053</v>
      </c>
      <c r="B222" s="12" t="s">
        <v>287</v>
      </c>
      <c r="C222" s="13">
        <v>870</v>
      </c>
      <c r="D222" s="13">
        <v>900</v>
      </c>
      <c r="E222" s="13">
        <v>50</v>
      </c>
      <c r="F222" s="13">
        <v>165</v>
      </c>
      <c r="G222" s="13">
        <v>86</v>
      </c>
      <c r="H222" s="13">
        <v>0</v>
      </c>
      <c r="I222" s="14">
        <v>0.18333333333333329</v>
      </c>
      <c r="J222" s="14">
        <v>9.555555555555556E-2</v>
      </c>
      <c r="K222" s="14">
        <v>0</v>
      </c>
      <c r="L222" s="13">
        <v>118</v>
      </c>
      <c r="M222" t="str" cm="1">
        <f t="array" ref="M222">_xlfn.IFS(E222&lt;6, "0-6 Months", E222&lt;=12, "6-12 Months", E222&lt;=24, "12-24 Months", E222&gt;24, "24+ Months")</f>
        <v>24+ Months</v>
      </c>
      <c r="N222" t="str" cm="1">
        <f t="array" ref="N222">_xlfn.IFS(E222&lt;6, "12-18 Months", E222&lt;=12, "18-24 Months", E222&lt;=24, "24+ Months", E222&gt;24, "24+ Months")</f>
        <v>24+ Months</v>
      </c>
      <c r="O222" t="str" cm="1">
        <f t="array" ref="O222">_xlfn.IFS(D222&gt;=550, "Major", D222 &gt;= 100, "T1200", D222 &lt;100, "Other")</f>
        <v>Major</v>
      </c>
      <c r="P222">
        <f t="shared" si="3"/>
        <v>0</v>
      </c>
    </row>
    <row r="223" spans="1:16" x14ac:dyDescent="0.2">
      <c r="A223" s="12">
        <v>169787</v>
      </c>
      <c r="B223" s="12" t="s">
        <v>318</v>
      </c>
      <c r="C223" s="13">
        <v>515</v>
      </c>
      <c r="D223" s="13">
        <v>549</v>
      </c>
      <c r="E223" s="13">
        <v>46</v>
      </c>
      <c r="F223" s="13">
        <v>165</v>
      </c>
      <c r="G223" s="13">
        <v>58</v>
      </c>
      <c r="H223" s="13">
        <v>13</v>
      </c>
      <c r="I223" s="14">
        <v>0.30054644808743169</v>
      </c>
      <c r="J223" s="14">
        <v>0.1056466302367942</v>
      </c>
      <c r="K223" s="14">
        <v>2.367941712204007E-2</v>
      </c>
      <c r="L223" s="13">
        <v>128</v>
      </c>
      <c r="M223" t="str" cm="1">
        <f t="array" ref="M223">_xlfn.IFS(E223&lt;6, "0-6 Months", E223&lt;=12, "6-12 Months", E223&lt;=24, "12-24 Months", E223&gt;24, "24+ Months")</f>
        <v>24+ Months</v>
      </c>
      <c r="N223" t="str" cm="1">
        <f t="array" ref="N223">_xlfn.IFS(E223&lt;6, "12-18 Months", E223&lt;=12, "18-24 Months", E223&lt;=24, "24+ Months", E223&gt;24, "24+ Months")</f>
        <v>24+ Months</v>
      </c>
      <c r="O223" t="str" cm="1">
        <f t="array" ref="O223">_xlfn.IFS(D223&gt;=550, "Major", D223 &gt;= 100, "T1200", D223 &lt;100, "Other")</f>
        <v>T1200</v>
      </c>
      <c r="P223">
        <f t="shared" si="3"/>
        <v>0</v>
      </c>
    </row>
    <row r="224" spans="1:16" x14ac:dyDescent="0.2">
      <c r="A224" s="12">
        <v>320631</v>
      </c>
      <c r="B224" s="12" t="s">
        <v>304</v>
      </c>
      <c r="C224" s="13">
        <v>0</v>
      </c>
      <c r="D224" s="13">
        <v>63</v>
      </c>
      <c r="E224" s="13">
        <v>12</v>
      </c>
      <c r="F224" s="13">
        <v>163</v>
      </c>
      <c r="G224" s="13">
        <v>23</v>
      </c>
      <c r="H224" s="13">
        <v>8</v>
      </c>
      <c r="I224" s="14">
        <v>2.587301587301587</v>
      </c>
      <c r="J224" s="14">
        <v>0.36507936507936511</v>
      </c>
      <c r="K224" s="14">
        <v>0.126984126984127</v>
      </c>
      <c r="L224" s="13">
        <v>28</v>
      </c>
      <c r="M224" t="str" cm="1">
        <f t="array" ref="M224">_xlfn.IFS(E224&lt;6, "0-6 Months", E224&lt;=12, "6-12 Months", E224&lt;=24, "12-24 Months", E224&gt;24, "24+ Months")</f>
        <v>6-12 Months</v>
      </c>
      <c r="N224" t="str" cm="1">
        <f t="array" ref="N224">_xlfn.IFS(E224&lt;6, "12-18 Months", E224&lt;=12, "18-24 Months", E224&lt;=24, "24+ Months", E224&gt;24, "24+ Months")</f>
        <v>18-24 Months</v>
      </c>
      <c r="O224" t="str" cm="1">
        <f t="array" ref="O224">_xlfn.IFS(D224&gt;=550, "Major", D224 &gt;= 100, "T1200", D224 &lt;100, "Other")</f>
        <v>Other</v>
      </c>
      <c r="P224">
        <f t="shared" si="3"/>
        <v>0</v>
      </c>
    </row>
    <row r="225" spans="1:16" x14ac:dyDescent="0.2">
      <c r="A225" s="12">
        <v>551353</v>
      </c>
      <c r="B225" s="12" t="s">
        <v>264</v>
      </c>
      <c r="C225" s="13">
        <v>85</v>
      </c>
      <c r="D225" s="13">
        <v>85</v>
      </c>
      <c r="E225" s="13">
        <v>12</v>
      </c>
      <c r="F225" s="13">
        <v>159</v>
      </c>
      <c r="G225" s="13">
        <v>159</v>
      </c>
      <c r="H225" s="13">
        <v>47</v>
      </c>
      <c r="I225" s="14">
        <v>1.8705882352941181</v>
      </c>
      <c r="J225" s="14">
        <v>1.8705882352941181</v>
      </c>
      <c r="K225" s="14">
        <v>0.55294117647058827</v>
      </c>
      <c r="L225" s="13">
        <v>29</v>
      </c>
      <c r="M225" t="str" cm="1">
        <f t="array" ref="M225">_xlfn.IFS(E225&lt;6, "0-6 Months", E225&lt;=12, "6-12 Months", E225&lt;=24, "12-24 Months", E225&gt;24, "24+ Months")</f>
        <v>6-12 Months</v>
      </c>
      <c r="N225" t="str" cm="1">
        <f t="array" ref="N225">_xlfn.IFS(E225&lt;6, "12-18 Months", E225&lt;=12, "18-24 Months", E225&lt;=24, "24+ Months", E225&gt;24, "24+ Months")</f>
        <v>18-24 Months</v>
      </c>
      <c r="O225" t="str" cm="1">
        <f t="array" ref="O225">_xlfn.IFS(D225&gt;=550, "Major", D225 &gt;= 100, "T1200", D225 &lt;100, "Other")</f>
        <v>Other</v>
      </c>
      <c r="P225">
        <f t="shared" si="3"/>
        <v>0</v>
      </c>
    </row>
    <row r="226" spans="1:16" x14ac:dyDescent="0.2">
      <c r="A226" s="12">
        <v>112596</v>
      </c>
      <c r="B226" s="12" t="s">
        <v>237</v>
      </c>
      <c r="C226" s="13">
        <v>3</v>
      </c>
      <c r="D226" s="13">
        <v>90</v>
      </c>
      <c r="E226" s="13">
        <v>8</v>
      </c>
      <c r="F226" s="13">
        <v>157</v>
      </c>
      <c r="G226" s="13">
        <v>12</v>
      </c>
      <c r="H226" s="13">
        <v>0</v>
      </c>
      <c r="I226" s="14">
        <v>1.744444444444444</v>
      </c>
      <c r="J226" s="14">
        <v>0.1333333333333333</v>
      </c>
      <c r="K226" s="14">
        <v>0</v>
      </c>
      <c r="L226" s="13">
        <v>0</v>
      </c>
      <c r="M226" t="str" cm="1">
        <f t="array" ref="M226">_xlfn.IFS(E226&lt;6, "0-6 Months", E226&lt;=12, "6-12 Months", E226&lt;=24, "12-24 Months", E226&gt;24, "24+ Months")</f>
        <v>6-12 Months</v>
      </c>
      <c r="N226" t="str" cm="1">
        <f t="array" ref="N226">_xlfn.IFS(E226&lt;6, "12-18 Months", E226&lt;=12, "18-24 Months", E226&lt;=24, "24+ Months", E226&gt;24, "24+ Months")</f>
        <v>18-24 Months</v>
      </c>
      <c r="O226" t="str" cm="1">
        <f t="array" ref="O226">_xlfn.IFS(D226&gt;=550, "Major", D226 &gt;= 100, "T1200", D226 &lt;100, "Other")</f>
        <v>Other</v>
      </c>
      <c r="P226">
        <f t="shared" si="3"/>
        <v>0</v>
      </c>
    </row>
    <row r="227" spans="1:16" x14ac:dyDescent="0.2">
      <c r="A227" s="12">
        <v>132066</v>
      </c>
      <c r="B227" s="12" t="s">
        <v>271</v>
      </c>
      <c r="C227" s="13">
        <v>133</v>
      </c>
      <c r="D227" s="13">
        <v>140</v>
      </c>
      <c r="E227" s="13">
        <v>25</v>
      </c>
      <c r="F227" s="13">
        <v>156</v>
      </c>
      <c r="G227" s="13">
        <v>91</v>
      </c>
      <c r="H227" s="13">
        <v>32</v>
      </c>
      <c r="I227" s="14">
        <v>1.1142857142857141</v>
      </c>
      <c r="J227" s="14">
        <v>0.65</v>
      </c>
      <c r="K227" s="14">
        <v>0.22857142857142859</v>
      </c>
      <c r="L227" s="13">
        <v>0</v>
      </c>
      <c r="M227" t="str" cm="1">
        <f t="array" ref="M227">_xlfn.IFS(E227&lt;6, "0-6 Months", E227&lt;=12, "6-12 Months", E227&lt;=24, "12-24 Months", E227&gt;24, "24+ Months")</f>
        <v>24+ Months</v>
      </c>
      <c r="N227" t="str" cm="1">
        <f t="array" ref="N227">_xlfn.IFS(E227&lt;6, "12-18 Months", E227&lt;=12, "18-24 Months", E227&lt;=24, "24+ Months", E227&gt;24, "24+ Months")</f>
        <v>24+ Months</v>
      </c>
      <c r="O227" t="str" cm="1">
        <f t="array" ref="O227">_xlfn.IFS(D227&gt;=550, "Major", D227 &gt;= 100, "T1200", D227 &lt;100, "Other")</f>
        <v>T1200</v>
      </c>
      <c r="P227">
        <f t="shared" si="3"/>
        <v>0</v>
      </c>
    </row>
    <row r="228" spans="1:16" x14ac:dyDescent="0.2">
      <c r="A228" s="12">
        <v>470672</v>
      </c>
      <c r="B228" s="12" t="s">
        <v>311</v>
      </c>
      <c r="C228" s="13">
        <v>0</v>
      </c>
      <c r="D228" s="13">
        <v>73</v>
      </c>
      <c r="E228" s="13">
        <v>28</v>
      </c>
      <c r="F228" s="13">
        <v>156</v>
      </c>
      <c r="G228" s="13">
        <v>87</v>
      </c>
      <c r="H228" s="13">
        <v>87</v>
      </c>
      <c r="I228" s="14">
        <v>2.1369863013698631</v>
      </c>
      <c r="J228" s="14">
        <v>1.1917808219178081</v>
      </c>
      <c r="K228" s="14">
        <v>1.1917808219178081</v>
      </c>
      <c r="L228" s="13">
        <v>0</v>
      </c>
      <c r="M228" t="str" cm="1">
        <f t="array" ref="M228">_xlfn.IFS(E228&lt;6, "0-6 Months", E228&lt;=12, "6-12 Months", E228&lt;=24, "12-24 Months", E228&gt;24, "24+ Months")</f>
        <v>24+ Months</v>
      </c>
      <c r="N228" t="str" cm="1">
        <f t="array" ref="N228">_xlfn.IFS(E228&lt;6, "12-18 Months", E228&lt;=12, "18-24 Months", E228&lt;=24, "24+ Months", E228&gt;24, "24+ Months")</f>
        <v>24+ Months</v>
      </c>
      <c r="O228" t="str" cm="1">
        <f t="array" ref="O228">_xlfn.IFS(D228&gt;=550, "Major", D228 &gt;= 100, "T1200", D228 &lt;100, "Other")</f>
        <v>Other</v>
      </c>
      <c r="P228">
        <f t="shared" si="3"/>
        <v>0</v>
      </c>
    </row>
    <row r="229" spans="1:16" x14ac:dyDescent="0.2">
      <c r="A229" s="12" t="s">
        <v>299</v>
      </c>
      <c r="B229" s="12" t="s">
        <v>298</v>
      </c>
      <c r="C229" s="13">
        <v>1</v>
      </c>
      <c r="D229" s="13">
        <v>57</v>
      </c>
      <c r="E229" s="13">
        <v>31</v>
      </c>
      <c r="F229" s="13">
        <v>155</v>
      </c>
      <c r="G229" s="13">
        <v>67</v>
      </c>
      <c r="H229" s="13">
        <v>0</v>
      </c>
      <c r="I229" s="14">
        <v>2.7192982456140351</v>
      </c>
      <c r="J229" s="14">
        <v>1.1754385964912279</v>
      </c>
      <c r="K229" s="14">
        <v>0</v>
      </c>
      <c r="L229" s="13">
        <v>24</v>
      </c>
      <c r="M229" t="str" cm="1">
        <f t="array" ref="M229">_xlfn.IFS(E229&lt;6, "0-6 Months", E229&lt;=12, "6-12 Months", E229&lt;=24, "12-24 Months", E229&gt;24, "24+ Months")</f>
        <v>24+ Months</v>
      </c>
      <c r="N229" t="str" cm="1">
        <f t="array" ref="N229">_xlfn.IFS(E229&lt;6, "12-18 Months", E229&lt;=12, "18-24 Months", E229&lt;=24, "24+ Months", E229&gt;24, "24+ Months")</f>
        <v>24+ Months</v>
      </c>
      <c r="O229" t="str" cm="1">
        <f t="array" ref="O229">_xlfn.IFS(D229&gt;=550, "Major", D229 &gt;= 100, "T1200", D229 &lt;100, "Other")</f>
        <v>Other</v>
      </c>
      <c r="P229">
        <f t="shared" si="3"/>
        <v>1</v>
      </c>
    </row>
    <row r="230" spans="1:16" x14ac:dyDescent="0.2">
      <c r="A230" s="12">
        <v>107887</v>
      </c>
      <c r="B230" s="12" t="s">
        <v>283</v>
      </c>
      <c r="C230" s="13">
        <v>2281</v>
      </c>
      <c r="D230" s="13">
        <v>2300</v>
      </c>
      <c r="E230" s="13">
        <v>27</v>
      </c>
      <c r="F230" s="13">
        <v>154</v>
      </c>
      <c r="G230" s="13">
        <v>125</v>
      </c>
      <c r="H230" s="13">
        <v>2</v>
      </c>
      <c r="I230" s="14">
        <v>6.6956521739130428E-2</v>
      </c>
      <c r="J230" s="14">
        <v>5.434782608695652E-2</v>
      </c>
      <c r="K230" s="14">
        <v>8.6956521739130438E-4</v>
      </c>
      <c r="L230" s="13">
        <v>453</v>
      </c>
      <c r="M230" t="str" cm="1">
        <f t="array" ref="M230">_xlfn.IFS(E230&lt;6, "0-6 Months", E230&lt;=12, "6-12 Months", E230&lt;=24, "12-24 Months", E230&gt;24, "24+ Months")</f>
        <v>24+ Months</v>
      </c>
      <c r="N230" t="str" cm="1">
        <f t="array" ref="N230">_xlfn.IFS(E230&lt;6, "12-18 Months", E230&lt;=12, "18-24 Months", E230&lt;=24, "24+ Months", E230&gt;24, "24+ Months")</f>
        <v>24+ Months</v>
      </c>
      <c r="O230" t="str" cm="1">
        <f t="array" ref="O230">_xlfn.IFS(D230&gt;=550, "Major", D230 &gt;= 100, "T1200", D230 &lt;100, "Other")</f>
        <v>Major</v>
      </c>
      <c r="P230">
        <f t="shared" si="3"/>
        <v>0</v>
      </c>
    </row>
    <row r="231" spans="1:16" x14ac:dyDescent="0.2">
      <c r="A231" s="12">
        <v>108635</v>
      </c>
      <c r="B231" s="12" t="s">
        <v>275</v>
      </c>
      <c r="C231" s="13">
        <v>41</v>
      </c>
      <c r="D231" s="13">
        <v>109</v>
      </c>
      <c r="E231" s="13">
        <v>11</v>
      </c>
      <c r="F231" s="13">
        <v>154</v>
      </c>
      <c r="G231" s="13">
        <v>75</v>
      </c>
      <c r="H231" s="13">
        <v>10</v>
      </c>
      <c r="I231" s="14">
        <v>1.4128440366972479</v>
      </c>
      <c r="J231" s="14">
        <v>0.68807339449541283</v>
      </c>
      <c r="K231" s="14">
        <v>9.1743119266055051E-2</v>
      </c>
      <c r="L231" s="13">
        <v>70</v>
      </c>
      <c r="M231" t="str" cm="1">
        <f t="array" ref="M231">_xlfn.IFS(E231&lt;6, "0-6 Months", E231&lt;=12, "6-12 Months", E231&lt;=24, "12-24 Months", E231&gt;24, "24+ Months")</f>
        <v>6-12 Months</v>
      </c>
      <c r="N231" t="str" cm="1">
        <f t="array" ref="N231">_xlfn.IFS(E231&lt;6, "12-18 Months", E231&lt;=12, "18-24 Months", E231&lt;=24, "24+ Months", E231&gt;24, "24+ Months")</f>
        <v>18-24 Months</v>
      </c>
      <c r="O231" t="str" cm="1">
        <f t="array" ref="O231">_xlfn.IFS(D231&gt;=550, "Major", D231 &gt;= 100, "T1200", D231 &lt;100, "Other")</f>
        <v>T1200</v>
      </c>
      <c r="P231">
        <f t="shared" si="3"/>
        <v>0</v>
      </c>
    </row>
    <row r="232" spans="1:16" x14ac:dyDescent="0.2">
      <c r="A232" s="12">
        <v>160259</v>
      </c>
      <c r="B232" s="12" t="s">
        <v>282</v>
      </c>
      <c r="C232" s="13">
        <v>84</v>
      </c>
      <c r="D232" s="13">
        <v>77</v>
      </c>
      <c r="E232" s="13">
        <v>35</v>
      </c>
      <c r="F232" s="13">
        <v>153</v>
      </c>
      <c r="G232" s="13">
        <v>135</v>
      </c>
      <c r="H232" s="13">
        <v>0</v>
      </c>
      <c r="I232" s="14">
        <v>1.9870129870129869</v>
      </c>
      <c r="J232" s="14">
        <v>1.7532467532467531</v>
      </c>
      <c r="K232" s="14">
        <v>0</v>
      </c>
      <c r="L232" s="13">
        <v>12</v>
      </c>
      <c r="M232" t="str" cm="1">
        <f t="array" ref="M232">_xlfn.IFS(E232&lt;6, "0-6 Months", E232&lt;=12, "6-12 Months", E232&lt;=24, "12-24 Months", E232&gt;24, "24+ Months")</f>
        <v>24+ Months</v>
      </c>
      <c r="N232" t="str" cm="1">
        <f t="array" ref="N232">_xlfn.IFS(E232&lt;6, "12-18 Months", E232&lt;=12, "18-24 Months", E232&lt;=24, "24+ Months", E232&gt;24, "24+ Months")</f>
        <v>24+ Months</v>
      </c>
      <c r="O232" t="str" cm="1">
        <f t="array" ref="O232">_xlfn.IFS(D232&gt;=550, "Major", D232 &gt;= 100, "T1200", D232 &lt;100, "Other")</f>
        <v>Other</v>
      </c>
      <c r="P232">
        <f t="shared" si="3"/>
        <v>0</v>
      </c>
    </row>
    <row r="233" spans="1:16" x14ac:dyDescent="0.2">
      <c r="A233" s="12">
        <v>173528</v>
      </c>
      <c r="B233" s="12" t="s">
        <v>285</v>
      </c>
      <c r="C233" s="13">
        <v>75</v>
      </c>
      <c r="D233" s="13">
        <v>82</v>
      </c>
      <c r="E233" s="13">
        <v>45</v>
      </c>
      <c r="F233" s="13">
        <v>153</v>
      </c>
      <c r="G233" s="13">
        <v>124</v>
      </c>
      <c r="H233" s="13">
        <v>123</v>
      </c>
      <c r="I233" s="14">
        <v>1.865853658536585</v>
      </c>
      <c r="J233" s="14">
        <v>1.51219512195122</v>
      </c>
      <c r="K233" s="14">
        <v>1.5</v>
      </c>
      <c r="L233" s="13">
        <v>6</v>
      </c>
      <c r="M233" t="str" cm="1">
        <f t="array" ref="M233">_xlfn.IFS(E233&lt;6, "0-6 Months", E233&lt;=12, "6-12 Months", E233&lt;=24, "12-24 Months", E233&gt;24, "24+ Months")</f>
        <v>24+ Months</v>
      </c>
      <c r="N233" t="str" cm="1">
        <f t="array" ref="N233">_xlfn.IFS(E233&lt;6, "12-18 Months", E233&lt;=12, "18-24 Months", E233&lt;=24, "24+ Months", E233&gt;24, "24+ Months")</f>
        <v>24+ Months</v>
      </c>
      <c r="O233" t="str" cm="1">
        <f t="array" ref="O233">_xlfn.IFS(D233&gt;=550, "Major", D233 &gt;= 100, "T1200", D233 &lt;100, "Other")</f>
        <v>Other</v>
      </c>
      <c r="P233">
        <f t="shared" si="3"/>
        <v>0</v>
      </c>
    </row>
    <row r="234" spans="1:16" x14ac:dyDescent="0.2">
      <c r="A234" s="12">
        <v>108276</v>
      </c>
      <c r="B234" s="12" t="s">
        <v>232</v>
      </c>
      <c r="C234" s="13">
        <v>38</v>
      </c>
      <c r="D234" s="13">
        <v>46</v>
      </c>
      <c r="E234" s="13">
        <v>46</v>
      </c>
      <c r="F234" s="13">
        <v>151</v>
      </c>
      <c r="G234" s="13">
        <v>55</v>
      </c>
      <c r="H234" s="13">
        <v>31</v>
      </c>
      <c r="I234" s="14">
        <v>3.2826086956521738</v>
      </c>
      <c r="J234" s="14">
        <v>1.195652173913043</v>
      </c>
      <c r="K234" s="14">
        <v>0.67391304347826086</v>
      </c>
      <c r="L234" s="13">
        <v>21</v>
      </c>
      <c r="M234" t="str" cm="1">
        <f t="array" ref="M234">_xlfn.IFS(E234&lt;6, "0-6 Months", E234&lt;=12, "6-12 Months", E234&lt;=24, "12-24 Months", E234&gt;24, "24+ Months")</f>
        <v>24+ Months</v>
      </c>
      <c r="N234" t="str" cm="1">
        <f t="array" ref="N234">_xlfn.IFS(E234&lt;6, "12-18 Months", E234&lt;=12, "18-24 Months", E234&lt;=24, "24+ Months", E234&gt;24, "24+ Months")</f>
        <v>24+ Months</v>
      </c>
      <c r="O234" t="str" cm="1">
        <f t="array" ref="O234">_xlfn.IFS(D234&gt;=550, "Major", D234 &gt;= 100, "T1200", D234 &lt;100, "Other")</f>
        <v>Other</v>
      </c>
      <c r="P234">
        <f t="shared" si="3"/>
        <v>38</v>
      </c>
    </row>
    <row r="235" spans="1:16" x14ac:dyDescent="0.2">
      <c r="A235" s="12">
        <v>108767</v>
      </c>
      <c r="B235" s="12" t="s">
        <v>305</v>
      </c>
      <c r="C235" s="13">
        <v>10</v>
      </c>
      <c r="D235" s="13">
        <v>45</v>
      </c>
      <c r="E235" s="13">
        <v>8</v>
      </c>
      <c r="F235" s="13">
        <v>151</v>
      </c>
      <c r="G235" s="13">
        <v>138</v>
      </c>
      <c r="H235" s="13">
        <v>111</v>
      </c>
      <c r="I235" s="14">
        <v>3.3555555555555561</v>
      </c>
      <c r="J235" s="14">
        <v>3.0666666666666669</v>
      </c>
      <c r="K235" s="14">
        <v>2.4666666666666668</v>
      </c>
      <c r="L235" s="13">
        <v>73</v>
      </c>
      <c r="M235" t="str" cm="1">
        <f t="array" ref="M235">_xlfn.IFS(E235&lt;6, "0-6 Months", E235&lt;=12, "6-12 Months", E235&lt;=24, "12-24 Months", E235&gt;24, "24+ Months")</f>
        <v>6-12 Months</v>
      </c>
      <c r="N235" t="str" cm="1">
        <f t="array" ref="N235">_xlfn.IFS(E235&lt;6, "12-18 Months", E235&lt;=12, "18-24 Months", E235&lt;=24, "24+ Months", E235&gt;24, "24+ Months")</f>
        <v>18-24 Months</v>
      </c>
      <c r="O235" t="str" cm="1">
        <f t="array" ref="O235">_xlfn.IFS(D235&gt;=550, "Major", D235 &gt;= 100, "T1200", D235 &lt;100, "Other")</f>
        <v>Other</v>
      </c>
      <c r="P235">
        <f t="shared" si="3"/>
        <v>10</v>
      </c>
    </row>
    <row r="236" spans="1:16" x14ac:dyDescent="0.2">
      <c r="A236" s="12">
        <v>109011</v>
      </c>
      <c r="B236" s="12" t="s">
        <v>215</v>
      </c>
      <c r="C236" s="13">
        <v>40</v>
      </c>
      <c r="D236" s="13">
        <v>38</v>
      </c>
      <c r="E236" s="13">
        <v>9</v>
      </c>
      <c r="F236" s="13">
        <v>150</v>
      </c>
      <c r="G236" s="13">
        <v>95</v>
      </c>
      <c r="H236" s="13">
        <v>23</v>
      </c>
      <c r="I236" s="14">
        <v>3.947368421052631</v>
      </c>
      <c r="J236" s="14">
        <v>2.5</v>
      </c>
      <c r="K236" s="14">
        <v>0.60526315789473684</v>
      </c>
      <c r="L236" s="13">
        <v>227</v>
      </c>
      <c r="M236" t="str" cm="1">
        <f t="array" ref="M236">_xlfn.IFS(E236&lt;6, "0-6 Months", E236&lt;=12, "6-12 Months", E236&lt;=24, "12-24 Months", E236&gt;24, "24+ Months")</f>
        <v>6-12 Months</v>
      </c>
      <c r="N236" t="str" cm="1">
        <f t="array" ref="N236">_xlfn.IFS(E236&lt;6, "12-18 Months", E236&lt;=12, "18-24 Months", E236&lt;=24, "24+ Months", E236&gt;24, "24+ Months")</f>
        <v>18-24 Months</v>
      </c>
      <c r="O236" t="str" cm="1">
        <f t="array" ref="O236">_xlfn.IFS(D236&gt;=550, "Major", D236 &gt;= 100, "T1200", D236 &lt;100, "Other")</f>
        <v>Other</v>
      </c>
      <c r="P236">
        <f t="shared" si="3"/>
        <v>40</v>
      </c>
    </row>
    <row r="237" spans="1:16" x14ac:dyDescent="0.2">
      <c r="A237" s="12">
        <v>114264</v>
      </c>
      <c r="B237" s="12" t="s">
        <v>274</v>
      </c>
      <c r="C237" s="13">
        <v>3</v>
      </c>
      <c r="D237" s="13">
        <v>90</v>
      </c>
      <c r="E237" s="13">
        <v>11</v>
      </c>
      <c r="F237" s="13">
        <v>149</v>
      </c>
      <c r="G237" s="13">
        <v>34</v>
      </c>
      <c r="H237" s="13">
        <v>4</v>
      </c>
      <c r="I237" s="14">
        <v>1.655555555555555</v>
      </c>
      <c r="J237" s="14">
        <v>0.37777777777777782</v>
      </c>
      <c r="K237" s="14">
        <v>4.4444444444444453E-2</v>
      </c>
      <c r="L237" s="13">
        <v>10</v>
      </c>
      <c r="M237" t="str" cm="1">
        <f t="array" ref="M237">_xlfn.IFS(E237&lt;6, "0-6 Months", E237&lt;=12, "6-12 Months", E237&lt;=24, "12-24 Months", E237&gt;24, "24+ Months")</f>
        <v>6-12 Months</v>
      </c>
      <c r="N237" t="str" cm="1">
        <f t="array" ref="N237">_xlfn.IFS(E237&lt;6, "12-18 Months", E237&lt;=12, "18-24 Months", E237&lt;=24, "24+ Months", E237&gt;24, "24+ Months")</f>
        <v>18-24 Months</v>
      </c>
      <c r="O237" t="str" cm="1">
        <f t="array" ref="O237">_xlfn.IFS(D237&gt;=550, "Major", D237 &gt;= 100, "T1200", D237 &lt;100, "Other")</f>
        <v>Other</v>
      </c>
      <c r="P237">
        <f t="shared" si="3"/>
        <v>0</v>
      </c>
    </row>
    <row r="238" spans="1:16" x14ac:dyDescent="0.2">
      <c r="A238" s="12">
        <v>129244</v>
      </c>
      <c r="B238" s="12" t="s">
        <v>421</v>
      </c>
      <c r="C238" s="13">
        <v>215</v>
      </c>
      <c r="D238" s="13">
        <v>1050</v>
      </c>
      <c r="E238" s="13">
        <v>10</v>
      </c>
      <c r="F238" s="13">
        <v>147</v>
      </c>
      <c r="G238" s="13">
        <v>70</v>
      </c>
      <c r="H238" s="13">
        <v>70</v>
      </c>
      <c r="I238" s="14">
        <v>0.14000000000000001</v>
      </c>
      <c r="J238" s="14">
        <v>6.6666666666666666E-2</v>
      </c>
      <c r="K238" s="14">
        <v>6.6666666666666666E-2</v>
      </c>
      <c r="L238" s="13">
        <v>134</v>
      </c>
      <c r="M238" t="str" cm="1">
        <f t="array" ref="M238">_xlfn.IFS(E238&lt;6, "0-6 Months", E238&lt;=12, "6-12 Months", E238&lt;=24, "12-24 Months", E238&gt;24, "24+ Months")</f>
        <v>6-12 Months</v>
      </c>
      <c r="N238" t="str" cm="1">
        <f t="array" ref="N238">_xlfn.IFS(E238&lt;6, "12-18 Months", E238&lt;=12, "18-24 Months", E238&lt;=24, "24+ Months", E238&gt;24, "24+ Months")</f>
        <v>18-24 Months</v>
      </c>
      <c r="O238" t="str" cm="1">
        <f t="array" ref="O238">_xlfn.IFS(D238&gt;=550, "Major", D238 &gt;= 100, "T1200", D238 &lt;100, "Other")</f>
        <v>Major</v>
      </c>
      <c r="P238">
        <f t="shared" si="3"/>
        <v>0</v>
      </c>
    </row>
    <row r="239" spans="1:16" x14ac:dyDescent="0.2">
      <c r="A239" s="12">
        <v>105779</v>
      </c>
      <c r="B239" s="12" t="s">
        <v>260</v>
      </c>
      <c r="C239" s="13">
        <v>446</v>
      </c>
      <c r="D239" s="13">
        <v>268</v>
      </c>
      <c r="E239" s="13">
        <v>18</v>
      </c>
      <c r="F239" s="13">
        <v>144</v>
      </c>
      <c r="G239" s="13">
        <v>17</v>
      </c>
      <c r="H239" s="13">
        <v>4</v>
      </c>
      <c r="I239" s="14">
        <v>0.53731343283582089</v>
      </c>
      <c r="J239" s="14">
        <v>6.3432835820895525E-2</v>
      </c>
      <c r="K239" s="14">
        <v>1.492537313432836E-2</v>
      </c>
      <c r="L239" s="13">
        <v>9</v>
      </c>
      <c r="M239" t="str" cm="1">
        <f t="array" ref="M239">_xlfn.IFS(E239&lt;6, "0-6 Months", E239&lt;=12, "6-12 Months", E239&lt;=24, "12-24 Months", E239&gt;24, "24+ Months")</f>
        <v>12-24 Months</v>
      </c>
      <c r="N239" t="str" cm="1">
        <f t="array" ref="N239">_xlfn.IFS(E239&lt;6, "12-18 Months", E239&lt;=12, "18-24 Months", E239&lt;=24, "24+ Months", E239&gt;24, "24+ Months")</f>
        <v>24+ Months</v>
      </c>
      <c r="O239" t="str" cm="1">
        <f t="array" ref="O239">_xlfn.IFS(D239&gt;=550, "Major", D239 &gt;= 100, "T1200", D239 &lt;100, "Other")</f>
        <v>T1200</v>
      </c>
      <c r="P239">
        <f t="shared" si="3"/>
        <v>0</v>
      </c>
    </row>
    <row r="240" spans="1:16" x14ac:dyDescent="0.2">
      <c r="A240" s="12">
        <v>109148</v>
      </c>
      <c r="B240" s="12" t="s">
        <v>343</v>
      </c>
      <c r="C240" s="13">
        <v>92</v>
      </c>
      <c r="D240" s="13">
        <v>85</v>
      </c>
      <c r="E240" s="13">
        <v>7</v>
      </c>
      <c r="F240" s="13">
        <v>144</v>
      </c>
      <c r="G240" s="13">
        <v>144</v>
      </c>
      <c r="H240" s="13">
        <v>77</v>
      </c>
      <c r="I240" s="14">
        <v>1.6941176470588239</v>
      </c>
      <c r="J240" s="14">
        <v>1.6941176470588239</v>
      </c>
      <c r="K240" s="14">
        <v>0.90588235294117647</v>
      </c>
      <c r="L240" s="13">
        <v>38</v>
      </c>
      <c r="M240" t="str" cm="1">
        <f t="array" ref="M240">_xlfn.IFS(E240&lt;6, "0-6 Months", E240&lt;=12, "6-12 Months", E240&lt;=24, "12-24 Months", E240&gt;24, "24+ Months")</f>
        <v>6-12 Months</v>
      </c>
      <c r="N240" t="str" cm="1">
        <f t="array" ref="N240">_xlfn.IFS(E240&lt;6, "12-18 Months", E240&lt;=12, "18-24 Months", E240&lt;=24, "24+ Months", E240&gt;24, "24+ Months")</f>
        <v>18-24 Months</v>
      </c>
      <c r="O240" t="str" cm="1">
        <f t="array" ref="O240">_xlfn.IFS(D240&gt;=550, "Major", D240 &gt;= 100, "T1200", D240 &lt;100, "Other")</f>
        <v>Other</v>
      </c>
      <c r="P240">
        <f t="shared" si="3"/>
        <v>0</v>
      </c>
    </row>
    <row r="241" spans="1:16" x14ac:dyDescent="0.2">
      <c r="A241" s="12">
        <v>127119</v>
      </c>
      <c r="B241" s="12" t="s">
        <v>321</v>
      </c>
      <c r="C241" s="13">
        <v>14</v>
      </c>
      <c r="D241" s="13">
        <v>14</v>
      </c>
      <c r="E241" s="13">
        <v>21</v>
      </c>
      <c r="F241" s="13">
        <v>144</v>
      </c>
      <c r="G241" s="13">
        <v>85</v>
      </c>
      <c r="H241" s="13">
        <v>71</v>
      </c>
      <c r="I241" s="14">
        <v>10.28571428571429</v>
      </c>
      <c r="J241" s="14">
        <v>6.0714285714285712</v>
      </c>
      <c r="K241" s="14">
        <v>5.0714285714285712</v>
      </c>
      <c r="L241" s="13">
        <v>21</v>
      </c>
      <c r="M241" t="str" cm="1">
        <f t="array" ref="M241">_xlfn.IFS(E241&lt;6, "0-6 Months", E241&lt;=12, "6-12 Months", E241&lt;=24, "12-24 Months", E241&gt;24, "24+ Months")</f>
        <v>12-24 Months</v>
      </c>
      <c r="N241" t="str" cm="1">
        <f t="array" ref="N241">_xlfn.IFS(E241&lt;6, "12-18 Months", E241&lt;=12, "18-24 Months", E241&lt;=24, "24+ Months", E241&gt;24, "24+ Months")</f>
        <v>24+ Months</v>
      </c>
      <c r="O241" t="str" cm="1">
        <f t="array" ref="O241">_xlfn.IFS(D241&gt;=550, "Major", D241 &gt;= 100, "T1200", D241 &lt;100, "Other")</f>
        <v>Other</v>
      </c>
      <c r="P241">
        <f t="shared" si="3"/>
        <v>14</v>
      </c>
    </row>
    <row r="242" spans="1:16" x14ac:dyDescent="0.2">
      <c r="A242" s="12">
        <v>108109</v>
      </c>
      <c r="B242" s="12" t="s">
        <v>259</v>
      </c>
      <c r="C242" s="13">
        <v>499</v>
      </c>
      <c r="D242" s="13">
        <v>470</v>
      </c>
      <c r="E242" s="13">
        <v>40</v>
      </c>
      <c r="F242" s="13">
        <v>142</v>
      </c>
      <c r="G242" s="13">
        <v>98</v>
      </c>
      <c r="H242" s="13">
        <v>56</v>
      </c>
      <c r="I242" s="14">
        <v>0.30212765957446808</v>
      </c>
      <c r="J242" s="14">
        <v>0.20851063829787231</v>
      </c>
      <c r="K242" s="14">
        <v>0.1191489361702128</v>
      </c>
      <c r="L242" s="13">
        <v>7</v>
      </c>
      <c r="M242" t="str" cm="1">
        <f t="array" ref="M242">_xlfn.IFS(E242&lt;6, "0-6 Months", E242&lt;=12, "6-12 Months", E242&lt;=24, "12-24 Months", E242&gt;24, "24+ Months")</f>
        <v>24+ Months</v>
      </c>
      <c r="N242" t="str" cm="1">
        <f t="array" ref="N242">_xlfn.IFS(E242&lt;6, "12-18 Months", E242&lt;=12, "18-24 Months", E242&lt;=24, "24+ Months", E242&gt;24, "24+ Months")</f>
        <v>24+ Months</v>
      </c>
      <c r="O242" t="str" cm="1">
        <f t="array" ref="O242">_xlfn.IFS(D242&gt;=550, "Major", D242 &gt;= 100, "T1200", D242 &lt;100, "Other")</f>
        <v>T1200</v>
      </c>
      <c r="P242">
        <f t="shared" si="3"/>
        <v>0</v>
      </c>
    </row>
    <row r="243" spans="1:16" x14ac:dyDescent="0.2">
      <c r="A243" s="12">
        <v>112461</v>
      </c>
      <c r="B243" s="12" t="s">
        <v>294</v>
      </c>
      <c r="C243" s="13">
        <v>29</v>
      </c>
      <c r="D243" s="13">
        <v>57</v>
      </c>
      <c r="E243" s="13">
        <v>49</v>
      </c>
      <c r="F243" s="13">
        <v>141</v>
      </c>
      <c r="G243" s="13">
        <v>75</v>
      </c>
      <c r="H243" s="13">
        <v>41</v>
      </c>
      <c r="I243" s="14">
        <v>2.4736842105263159</v>
      </c>
      <c r="J243" s="14">
        <v>1.3157894736842111</v>
      </c>
      <c r="K243" s="14">
        <v>0.7192982456140351</v>
      </c>
      <c r="L243" s="13">
        <v>173</v>
      </c>
      <c r="M243" t="str" cm="1">
        <f t="array" ref="M243">_xlfn.IFS(E243&lt;6, "0-6 Months", E243&lt;=12, "6-12 Months", E243&lt;=24, "12-24 Months", E243&gt;24, "24+ Months")</f>
        <v>24+ Months</v>
      </c>
      <c r="N243" t="str" cm="1">
        <f t="array" ref="N243">_xlfn.IFS(E243&lt;6, "12-18 Months", E243&lt;=12, "18-24 Months", E243&lt;=24, "24+ Months", E243&gt;24, "24+ Months")</f>
        <v>24+ Months</v>
      </c>
      <c r="O243" t="str" cm="1">
        <f t="array" ref="O243">_xlfn.IFS(D243&gt;=550, "Major", D243 &gt;= 100, "T1200", D243 &lt;100, "Other")</f>
        <v>Other</v>
      </c>
      <c r="P243">
        <f t="shared" si="3"/>
        <v>29</v>
      </c>
    </row>
    <row r="244" spans="1:16" x14ac:dyDescent="0.2">
      <c r="A244" s="12">
        <v>113399</v>
      </c>
      <c r="B244" s="12" t="s">
        <v>388</v>
      </c>
      <c r="C244" s="13">
        <v>125</v>
      </c>
      <c r="D244" s="13">
        <v>100</v>
      </c>
      <c r="E244" s="13">
        <v>21</v>
      </c>
      <c r="F244" s="13">
        <v>139</v>
      </c>
      <c r="G244" s="13">
        <v>139</v>
      </c>
      <c r="H244" s="13">
        <v>122</v>
      </c>
      <c r="I244" s="14">
        <v>1.39</v>
      </c>
      <c r="J244" s="14">
        <v>1.39</v>
      </c>
      <c r="K244" s="14">
        <v>1.22</v>
      </c>
      <c r="L244" s="13">
        <v>8</v>
      </c>
      <c r="M244" t="str" cm="1">
        <f t="array" ref="M244">_xlfn.IFS(E244&lt;6, "0-6 Months", E244&lt;=12, "6-12 Months", E244&lt;=24, "12-24 Months", E244&gt;24, "24+ Months")</f>
        <v>12-24 Months</v>
      </c>
      <c r="N244" t="str" cm="1">
        <f t="array" ref="N244">_xlfn.IFS(E244&lt;6, "12-18 Months", E244&lt;=12, "18-24 Months", E244&lt;=24, "24+ Months", E244&gt;24, "24+ Months")</f>
        <v>24+ Months</v>
      </c>
      <c r="O244" t="str" cm="1">
        <f t="array" ref="O244">_xlfn.IFS(D244&gt;=550, "Major", D244 &gt;= 100, "T1200", D244 &lt;100, "Other")</f>
        <v>T1200</v>
      </c>
      <c r="P244">
        <f t="shared" si="3"/>
        <v>0</v>
      </c>
    </row>
    <row r="245" spans="1:16" x14ac:dyDescent="0.2">
      <c r="A245" s="12">
        <v>129200</v>
      </c>
      <c r="B245" s="12" t="s">
        <v>296</v>
      </c>
      <c r="C245" s="13">
        <v>216</v>
      </c>
      <c r="D245" s="13">
        <v>210</v>
      </c>
      <c r="E245" s="13">
        <v>33</v>
      </c>
      <c r="F245" s="13">
        <v>138</v>
      </c>
      <c r="G245" s="13">
        <v>85</v>
      </c>
      <c r="H245" s="13">
        <v>8</v>
      </c>
      <c r="I245" s="14">
        <v>0.65714285714285714</v>
      </c>
      <c r="J245" s="14">
        <v>0.40476190476190482</v>
      </c>
      <c r="K245" s="14">
        <v>3.8095238095238099E-2</v>
      </c>
      <c r="L245" s="13">
        <v>5</v>
      </c>
      <c r="M245" t="str" cm="1">
        <f t="array" ref="M245">_xlfn.IFS(E245&lt;6, "0-6 Months", E245&lt;=12, "6-12 Months", E245&lt;=24, "12-24 Months", E245&gt;24, "24+ Months")</f>
        <v>24+ Months</v>
      </c>
      <c r="N245" t="str" cm="1">
        <f t="array" ref="N245">_xlfn.IFS(E245&lt;6, "12-18 Months", E245&lt;=12, "18-24 Months", E245&lt;=24, "24+ Months", E245&gt;24, "24+ Months")</f>
        <v>24+ Months</v>
      </c>
      <c r="O245" t="str" cm="1">
        <f t="array" ref="O245">_xlfn.IFS(D245&gt;=550, "Major", D245 &gt;= 100, "T1200", D245 &lt;100, "Other")</f>
        <v>T1200</v>
      </c>
      <c r="P245">
        <f t="shared" si="3"/>
        <v>0</v>
      </c>
    </row>
    <row r="246" spans="1:16" x14ac:dyDescent="0.2">
      <c r="A246" s="12">
        <v>109610</v>
      </c>
      <c r="B246" s="12" t="s">
        <v>320</v>
      </c>
      <c r="C246" s="13">
        <v>38</v>
      </c>
      <c r="D246" s="13">
        <v>300</v>
      </c>
      <c r="E246" s="13">
        <v>38</v>
      </c>
      <c r="F246" s="13">
        <v>138</v>
      </c>
      <c r="G246" s="13">
        <v>125</v>
      </c>
      <c r="H246" s="13">
        <v>100</v>
      </c>
      <c r="I246" s="14">
        <v>0.46</v>
      </c>
      <c r="J246" s="14">
        <v>0.41666666666666669</v>
      </c>
      <c r="K246" s="14">
        <v>0.33333333333333331</v>
      </c>
      <c r="L246" s="13">
        <v>86</v>
      </c>
      <c r="M246" t="str" cm="1">
        <f t="array" ref="M246">_xlfn.IFS(E246&lt;6, "0-6 Months", E246&lt;=12, "6-12 Months", E246&lt;=24, "12-24 Months", E246&gt;24, "24+ Months")</f>
        <v>24+ Months</v>
      </c>
      <c r="N246" t="str" cm="1">
        <f t="array" ref="N246">_xlfn.IFS(E246&lt;6, "12-18 Months", E246&lt;=12, "18-24 Months", E246&lt;=24, "24+ Months", E246&gt;24, "24+ Months")</f>
        <v>24+ Months</v>
      </c>
      <c r="O246" t="str" cm="1">
        <f t="array" ref="O246">_xlfn.IFS(D246&gt;=550, "Major", D246 &gt;= 100, "T1200", D246 &lt;100, "Other")</f>
        <v>T1200</v>
      </c>
      <c r="P246">
        <f t="shared" si="3"/>
        <v>0</v>
      </c>
    </row>
    <row r="247" spans="1:16" x14ac:dyDescent="0.2">
      <c r="A247" s="12">
        <v>477587</v>
      </c>
      <c r="B247" s="12" t="s">
        <v>284</v>
      </c>
      <c r="C247" s="13">
        <v>10</v>
      </c>
      <c r="D247" s="13">
        <v>10</v>
      </c>
      <c r="E247" s="13">
        <v>9</v>
      </c>
      <c r="F247" s="13">
        <v>138</v>
      </c>
      <c r="G247" s="13">
        <v>38</v>
      </c>
      <c r="H247" s="13">
        <v>34</v>
      </c>
      <c r="I247" s="14">
        <v>13.8</v>
      </c>
      <c r="J247" s="14">
        <v>3.8</v>
      </c>
      <c r="K247" s="14">
        <v>3.4</v>
      </c>
      <c r="L247" s="13">
        <v>31</v>
      </c>
      <c r="M247" t="str" cm="1">
        <f t="array" ref="M247">_xlfn.IFS(E247&lt;6, "0-6 Months", E247&lt;=12, "6-12 Months", E247&lt;=24, "12-24 Months", E247&gt;24, "24+ Months")</f>
        <v>6-12 Months</v>
      </c>
      <c r="N247" t="str" cm="1">
        <f t="array" ref="N247">_xlfn.IFS(E247&lt;6, "12-18 Months", E247&lt;=12, "18-24 Months", E247&lt;=24, "24+ Months", E247&gt;24, "24+ Months")</f>
        <v>18-24 Months</v>
      </c>
      <c r="O247" t="str" cm="1">
        <f t="array" ref="O247">_xlfn.IFS(D247&gt;=550, "Major", D247 &gt;= 100, "T1200", D247 &lt;100, "Other")</f>
        <v>Other</v>
      </c>
      <c r="P247">
        <f t="shared" si="3"/>
        <v>10</v>
      </c>
    </row>
    <row r="248" spans="1:16" x14ac:dyDescent="0.2">
      <c r="A248" s="12">
        <v>109093</v>
      </c>
      <c r="B248" s="12" t="s">
        <v>210</v>
      </c>
      <c r="C248" s="13">
        <v>58</v>
      </c>
      <c r="D248" s="13">
        <v>43</v>
      </c>
      <c r="E248" s="13">
        <v>11</v>
      </c>
      <c r="F248" s="13">
        <v>137</v>
      </c>
      <c r="G248" s="13">
        <v>13</v>
      </c>
      <c r="H248" s="13">
        <v>8</v>
      </c>
      <c r="I248" s="14">
        <v>3.1860465116279069</v>
      </c>
      <c r="J248" s="14">
        <v>0.30232558139534882</v>
      </c>
      <c r="K248" s="14">
        <v>0.186046511627907</v>
      </c>
      <c r="L248" s="13">
        <v>0</v>
      </c>
      <c r="M248" t="str" cm="1">
        <f t="array" ref="M248">_xlfn.IFS(E248&lt;6, "0-6 Months", E248&lt;=12, "6-12 Months", E248&lt;=24, "12-24 Months", E248&gt;24, "24+ Months")</f>
        <v>6-12 Months</v>
      </c>
      <c r="N248" t="str" cm="1">
        <f t="array" ref="N248">_xlfn.IFS(E248&lt;6, "12-18 Months", E248&lt;=12, "18-24 Months", E248&lt;=24, "24+ Months", E248&gt;24, "24+ Months")</f>
        <v>18-24 Months</v>
      </c>
      <c r="O248" t="str" cm="1">
        <f t="array" ref="O248">_xlfn.IFS(D248&gt;=550, "Major", D248 &gt;= 100, "T1200", D248 &lt;100, "Other")</f>
        <v>Other</v>
      </c>
      <c r="P248">
        <f t="shared" si="3"/>
        <v>58</v>
      </c>
    </row>
    <row r="249" spans="1:16" x14ac:dyDescent="0.2">
      <c r="A249" s="12">
        <v>100239</v>
      </c>
      <c r="B249" s="12" t="s">
        <v>310</v>
      </c>
      <c r="C249" s="13">
        <v>100</v>
      </c>
      <c r="D249" s="13">
        <v>100</v>
      </c>
      <c r="E249" s="13">
        <v>11</v>
      </c>
      <c r="F249" s="13">
        <v>133</v>
      </c>
      <c r="G249" s="13">
        <v>0</v>
      </c>
      <c r="H249" s="13">
        <v>0</v>
      </c>
      <c r="I249" s="14">
        <v>1.33</v>
      </c>
      <c r="J249" s="14">
        <v>0</v>
      </c>
      <c r="K249" s="14">
        <v>0</v>
      </c>
      <c r="L249" s="13">
        <v>0</v>
      </c>
      <c r="M249" t="str" cm="1">
        <f t="array" ref="M249">_xlfn.IFS(E249&lt;6, "0-6 Months", E249&lt;=12, "6-12 Months", E249&lt;=24, "12-24 Months", E249&gt;24, "24+ Months")</f>
        <v>6-12 Months</v>
      </c>
      <c r="N249" t="str" cm="1">
        <f t="array" ref="N249">_xlfn.IFS(E249&lt;6, "12-18 Months", E249&lt;=12, "18-24 Months", E249&lt;=24, "24+ Months", E249&gt;24, "24+ Months")</f>
        <v>18-24 Months</v>
      </c>
      <c r="O249" t="str" cm="1">
        <f t="array" ref="O249">_xlfn.IFS(D249&gt;=550, "Major", D249 &gt;= 100, "T1200", D249 &lt;100, "Other")</f>
        <v>T1200</v>
      </c>
      <c r="P249">
        <f t="shared" si="3"/>
        <v>0</v>
      </c>
    </row>
    <row r="250" spans="1:16" x14ac:dyDescent="0.2">
      <c r="A250" s="12">
        <v>230607</v>
      </c>
      <c r="B250" s="12" t="s">
        <v>300</v>
      </c>
      <c r="C250" s="13">
        <v>2</v>
      </c>
      <c r="D250" s="13">
        <v>116</v>
      </c>
      <c r="E250" s="13">
        <v>6</v>
      </c>
      <c r="F250" s="13">
        <v>133</v>
      </c>
      <c r="G250" s="13">
        <v>99</v>
      </c>
      <c r="H250" s="13">
        <v>96</v>
      </c>
      <c r="I250" s="14">
        <v>1.146551724137931</v>
      </c>
      <c r="J250" s="14">
        <v>0.85344827586206895</v>
      </c>
      <c r="K250" s="14">
        <v>0.82758620689655171</v>
      </c>
      <c r="L250" s="13">
        <v>21</v>
      </c>
      <c r="M250" t="str" cm="1">
        <f t="array" ref="M250">_xlfn.IFS(E250&lt;6, "0-6 Months", E250&lt;=12, "6-12 Months", E250&lt;=24, "12-24 Months", E250&gt;24, "24+ Months")</f>
        <v>6-12 Months</v>
      </c>
      <c r="N250" t="str" cm="1">
        <f t="array" ref="N250">_xlfn.IFS(E250&lt;6, "12-18 Months", E250&lt;=12, "18-24 Months", E250&lt;=24, "24+ Months", E250&gt;24, "24+ Months")</f>
        <v>18-24 Months</v>
      </c>
      <c r="O250" t="str" cm="1">
        <f t="array" ref="O250">_xlfn.IFS(D250&gt;=550, "Major", D250 &gt;= 100, "T1200", D250 &lt;100, "Other")</f>
        <v>T1200</v>
      </c>
      <c r="P250">
        <f t="shared" si="3"/>
        <v>0</v>
      </c>
    </row>
    <row r="251" spans="1:16" x14ac:dyDescent="0.2">
      <c r="A251" s="12">
        <v>491705</v>
      </c>
      <c r="B251" s="12" t="s">
        <v>302</v>
      </c>
      <c r="C251" s="13">
        <v>226</v>
      </c>
      <c r="D251" s="13">
        <v>140</v>
      </c>
      <c r="E251" s="13">
        <v>10</v>
      </c>
      <c r="F251" s="13">
        <v>131</v>
      </c>
      <c r="G251" s="13">
        <v>78</v>
      </c>
      <c r="H251" s="13">
        <v>31</v>
      </c>
      <c r="I251" s="14">
        <v>0.93571428571428572</v>
      </c>
      <c r="J251" s="14">
        <v>0.55714285714285716</v>
      </c>
      <c r="K251" s="14">
        <v>0.22142857142857139</v>
      </c>
      <c r="L251" s="13">
        <v>229</v>
      </c>
      <c r="M251" t="str" cm="1">
        <f t="array" ref="M251">_xlfn.IFS(E251&lt;6, "0-6 Months", E251&lt;=12, "6-12 Months", E251&lt;=24, "12-24 Months", E251&gt;24, "24+ Months")</f>
        <v>6-12 Months</v>
      </c>
      <c r="N251" t="str" cm="1">
        <f t="array" ref="N251">_xlfn.IFS(E251&lt;6, "12-18 Months", E251&lt;=12, "18-24 Months", E251&lt;=24, "24+ Months", E251&gt;24, "24+ Months")</f>
        <v>18-24 Months</v>
      </c>
      <c r="O251" t="str" cm="1">
        <f t="array" ref="O251">_xlfn.IFS(D251&gt;=550, "Major", D251 &gt;= 100, "T1200", D251 &lt;100, "Other")</f>
        <v>T1200</v>
      </c>
      <c r="P251">
        <f t="shared" si="3"/>
        <v>0</v>
      </c>
    </row>
    <row r="252" spans="1:16" x14ac:dyDescent="0.2">
      <c r="A252" s="12">
        <v>462933</v>
      </c>
      <c r="B252" s="12" t="s">
        <v>333</v>
      </c>
      <c r="C252" s="13">
        <v>151</v>
      </c>
      <c r="D252" s="13">
        <v>5</v>
      </c>
      <c r="E252" s="13">
        <v>7</v>
      </c>
      <c r="F252" s="13">
        <v>128</v>
      </c>
      <c r="G252" s="13">
        <v>128</v>
      </c>
      <c r="H252" s="13">
        <v>118</v>
      </c>
      <c r="I252" s="14">
        <v>25.6</v>
      </c>
      <c r="J252" s="14">
        <v>25.6</v>
      </c>
      <c r="K252" s="14">
        <v>23.6</v>
      </c>
      <c r="L252" s="13">
        <v>53</v>
      </c>
      <c r="M252" t="str" cm="1">
        <f t="array" ref="M252">_xlfn.IFS(E252&lt;6, "0-6 Months", E252&lt;=12, "6-12 Months", E252&lt;=24, "12-24 Months", E252&gt;24, "24+ Months")</f>
        <v>6-12 Months</v>
      </c>
      <c r="N252" t="str" cm="1">
        <f t="array" ref="N252">_xlfn.IFS(E252&lt;6, "12-18 Months", E252&lt;=12, "18-24 Months", E252&lt;=24, "24+ Months", E252&gt;24, "24+ Months")</f>
        <v>18-24 Months</v>
      </c>
      <c r="O252" t="str" cm="1">
        <f t="array" ref="O252">_xlfn.IFS(D252&gt;=550, "Major", D252 &gt;= 100, "T1200", D252 &lt;100, "Other")</f>
        <v>Other</v>
      </c>
      <c r="P252">
        <f t="shared" si="3"/>
        <v>151</v>
      </c>
    </row>
    <row r="253" spans="1:16" x14ac:dyDescent="0.2">
      <c r="A253" s="12">
        <v>109265</v>
      </c>
      <c r="B253" s="12" t="s">
        <v>279</v>
      </c>
      <c r="C253" s="13">
        <v>445</v>
      </c>
      <c r="D253" s="13">
        <v>300</v>
      </c>
      <c r="E253" s="13">
        <v>25</v>
      </c>
      <c r="F253" s="13">
        <v>126</v>
      </c>
      <c r="G253" s="13">
        <v>126</v>
      </c>
      <c r="H253" s="13">
        <v>92</v>
      </c>
      <c r="I253" s="14">
        <v>0.42</v>
      </c>
      <c r="J253" s="14">
        <v>0.42</v>
      </c>
      <c r="K253" s="14">
        <v>0.30666666666666659</v>
      </c>
      <c r="L253" s="13">
        <v>0</v>
      </c>
      <c r="M253" t="str" cm="1">
        <f t="array" ref="M253">_xlfn.IFS(E253&lt;6, "0-6 Months", E253&lt;=12, "6-12 Months", E253&lt;=24, "12-24 Months", E253&gt;24, "24+ Months")</f>
        <v>24+ Months</v>
      </c>
      <c r="N253" t="str" cm="1">
        <f t="array" ref="N253">_xlfn.IFS(E253&lt;6, "12-18 Months", E253&lt;=12, "18-24 Months", E253&lt;=24, "24+ Months", E253&gt;24, "24+ Months")</f>
        <v>24+ Months</v>
      </c>
      <c r="O253" t="str" cm="1">
        <f t="array" ref="O253">_xlfn.IFS(D253&gt;=550, "Major", D253 &gt;= 100, "T1200", D253 &lt;100, "Other")</f>
        <v>T1200</v>
      </c>
      <c r="P253">
        <f t="shared" si="3"/>
        <v>0</v>
      </c>
    </row>
    <row r="254" spans="1:16" x14ac:dyDescent="0.2">
      <c r="A254" s="12" t="s">
        <v>317</v>
      </c>
      <c r="B254" s="12" t="s">
        <v>316</v>
      </c>
      <c r="C254" s="13">
        <v>1800</v>
      </c>
      <c r="D254" s="13">
        <v>280</v>
      </c>
      <c r="E254" s="13">
        <v>16</v>
      </c>
      <c r="F254" s="13">
        <v>125</v>
      </c>
      <c r="G254" s="13">
        <v>68</v>
      </c>
      <c r="H254" s="13">
        <v>53</v>
      </c>
      <c r="I254" s="14">
        <v>0.44642857142857151</v>
      </c>
      <c r="J254" s="14">
        <v>0.24285714285714291</v>
      </c>
      <c r="K254" s="14">
        <v>0.18928571428571431</v>
      </c>
      <c r="L254" s="13">
        <v>9</v>
      </c>
      <c r="M254" t="str" cm="1">
        <f t="array" ref="M254">_xlfn.IFS(E254&lt;6, "0-6 Months", E254&lt;=12, "6-12 Months", E254&lt;=24, "12-24 Months", E254&gt;24, "24+ Months")</f>
        <v>12-24 Months</v>
      </c>
      <c r="N254" t="str" cm="1">
        <f t="array" ref="N254">_xlfn.IFS(E254&lt;6, "12-18 Months", E254&lt;=12, "18-24 Months", E254&lt;=24, "24+ Months", E254&gt;24, "24+ Months")</f>
        <v>24+ Months</v>
      </c>
      <c r="O254" t="str" cm="1">
        <f t="array" ref="O254">_xlfn.IFS(D254&gt;=550, "Major", D254 &gt;= 100, "T1200", D254 &lt;100, "Other")</f>
        <v>T1200</v>
      </c>
      <c r="P254">
        <f t="shared" si="3"/>
        <v>0</v>
      </c>
    </row>
    <row r="255" spans="1:16" x14ac:dyDescent="0.2">
      <c r="A255" s="12">
        <v>106916</v>
      </c>
      <c r="B255" s="12" t="s">
        <v>328</v>
      </c>
      <c r="C255" s="13">
        <v>533</v>
      </c>
      <c r="D255" s="13">
        <v>500</v>
      </c>
      <c r="E255" s="13">
        <v>34</v>
      </c>
      <c r="F255" s="13">
        <v>121</v>
      </c>
      <c r="G255" s="13">
        <v>58</v>
      </c>
      <c r="H255" s="13">
        <v>9</v>
      </c>
      <c r="I255" s="14">
        <v>0.24199999999999999</v>
      </c>
      <c r="J255" s="14">
        <v>0.11600000000000001</v>
      </c>
      <c r="K255" s="14">
        <v>1.7999999999999999E-2</v>
      </c>
      <c r="L255" s="13">
        <v>57</v>
      </c>
      <c r="M255" t="str" cm="1">
        <f t="array" ref="M255">_xlfn.IFS(E255&lt;6, "0-6 Months", E255&lt;=12, "6-12 Months", E255&lt;=24, "12-24 Months", E255&gt;24, "24+ Months")</f>
        <v>24+ Months</v>
      </c>
      <c r="N255" t="str" cm="1">
        <f t="array" ref="N255">_xlfn.IFS(E255&lt;6, "12-18 Months", E255&lt;=12, "18-24 Months", E255&lt;=24, "24+ Months", E255&gt;24, "24+ Months")</f>
        <v>24+ Months</v>
      </c>
      <c r="O255" t="str" cm="1">
        <f t="array" ref="O255">_xlfn.IFS(D255&gt;=550, "Major", D255 &gt;= 100, "T1200", D255 &lt;100, "Other")</f>
        <v>T1200</v>
      </c>
      <c r="P255">
        <f t="shared" si="3"/>
        <v>0</v>
      </c>
    </row>
    <row r="256" spans="1:16" x14ac:dyDescent="0.2">
      <c r="A256" s="12">
        <v>119803</v>
      </c>
      <c r="B256" s="12" t="s">
        <v>331</v>
      </c>
      <c r="C256" s="13">
        <v>24</v>
      </c>
      <c r="D256" s="13">
        <v>32</v>
      </c>
      <c r="E256" s="13">
        <v>6</v>
      </c>
      <c r="F256" s="13">
        <v>121</v>
      </c>
      <c r="G256" s="13">
        <v>112</v>
      </c>
      <c r="H256" s="13">
        <v>107</v>
      </c>
      <c r="I256" s="14">
        <v>3.78125</v>
      </c>
      <c r="J256" s="14">
        <v>3.5</v>
      </c>
      <c r="K256" s="14">
        <v>3.34375</v>
      </c>
      <c r="L256" s="13">
        <v>121</v>
      </c>
      <c r="M256" t="str" cm="1">
        <f t="array" ref="M256">_xlfn.IFS(E256&lt;6, "0-6 Months", E256&lt;=12, "6-12 Months", E256&lt;=24, "12-24 Months", E256&gt;24, "24+ Months")</f>
        <v>6-12 Months</v>
      </c>
      <c r="N256" t="str" cm="1">
        <f t="array" ref="N256">_xlfn.IFS(E256&lt;6, "12-18 Months", E256&lt;=12, "18-24 Months", E256&lt;=24, "24+ Months", E256&gt;24, "24+ Months")</f>
        <v>18-24 Months</v>
      </c>
      <c r="O256" t="str" cm="1">
        <f t="array" ref="O256">_xlfn.IFS(D256&gt;=550, "Major", D256 &gt;= 100, "T1200", D256 &lt;100, "Other")</f>
        <v>Other</v>
      </c>
      <c r="P256">
        <f t="shared" si="3"/>
        <v>24</v>
      </c>
    </row>
    <row r="257" spans="1:16" x14ac:dyDescent="0.2">
      <c r="A257" s="12">
        <v>135368</v>
      </c>
      <c r="B257" s="12" t="s">
        <v>224</v>
      </c>
      <c r="C257" s="13">
        <v>139</v>
      </c>
      <c r="D257" s="13">
        <v>129</v>
      </c>
      <c r="E257" s="13">
        <v>13</v>
      </c>
      <c r="F257" s="13">
        <v>119</v>
      </c>
      <c r="G257" s="13">
        <v>25</v>
      </c>
      <c r="H257" s="13">
        <v>11</v>
      </c>
      <c r="I257" s="14">
        <v>0.92248062015503873</v>
      </c>
      <c r="J257" s="14">
        <v>0.19379844961240311</v>
      </c>
      <c r="K257" s="14">
        <v>8.5271317829457363E-2</v>
      </c>
      <c r="L257" s="13">
        <v>12</v>
      </c>
      <c r="M257" t="str" cm="1">
        <f t="array" ref="M257">_xlfn.IFS(E257&lt;6, "0-6 Months", E257&lt;=12, "6-12 Months", E257&lt;=24, "12-24 Months", E257&gt;24, "24+ Months")</f>
        <v>12-24 Months</v>
      </c>
      <c r="N257" t="str" cm="1">
        <f t="array" ref="N257">_xlfn.IFS(E257&lt;6, "12-18 Months", E257&lt;=12, "18-24 Months", E257&lt;=24, "24+ Months", E257&gt;24, "24+ Months")</f>
        <v>24+ Months</v>
      </c>
      <c r="O257" t="str" cm="1">
        <f t="array" ref="O257">_xlfn.IFS(D257&gt;=550, "Major", D257 &gt;= 100, "T1200", D257 &lt;100, "Other")</f>
        <v>T1200</v>
      </c>
      <c r="P257">
        <f t="shared" si="3"/>
        <v>0</v>
      </c>
    </row>
    <row r="258" spans="1:16" x14ac:dyDescent="0.2">
      <c r="A258" s="12">
        <v>324163</v>
      </c>
      <c r="B258" s="12" t="s">
        <v>323</v>
      </c>
      <c r="C258" s="13">
        <v>2</v>
      </c>
      <c r="D258" s="13">
        <v>44</v>
      </c>
      <c r="E258" s="13">
        <v>8</v>
      </c>
      <c r="F258" s="13">
        <v>117</v>
      </c>
      <c r="G258" s="13">
        <v>69</v>
      </c>
      <c r="H258" s="13">
        <v>0</v>
      </c>
      <c r="I258" s="14">
        <v>2.6590909090909092</v>
      </c>
      <c r="J258" s="14">
        <v>1.5681818181818179</v>
      </c>
      <c r="K258" s="14">
        <v>0</v>
      </c>
      <c r="L258" s="13">
        <v>0</v>
      </c>
      <c r="M258" t="str" cm="1">
        <f t="array" ref="M258">_xlfn.IFS(E258&lt;6, "0-6 Months", E258&lt;=12, "6-12 Months", E258&lt;=24, "12-24 Months", E258&gt;24, "24+ Months")</f>
        <v>6-12 Months</v>
      </c>
      <c r="N258" t="str" cm="1">
        <f t="array" ref="N258">_xlfn.IFS(E258&lt;6, "12-18 Months", E258&lt;=12, "18-24 Months", E258&lt;=24, "24+ Months", E258&gt;24, "24+ Months")</f>
        <v>18-24 Months</v>
      </c>
      <c r="O258" t="str" cm="1">
        <f t="array" ref="O258">_xlfn.IFS(D258&gt;=550, "Major", D258 &gt;= 100, "T1200", D258 &lt;100, "Other")</f>
        <v>Other</v>
      </c>
      <c r="P258">
        <f t="shared" ref="P258:P321" si="4">SUMPRODUCT((I258&gt;=2) * C258 + ((D258&gt;=550) * (J258&gt;=0.75) * (I258&lt;2) * C258))</f>
        <v>2</v>
      </c>
    </row>
    <row r="259" spans="1:16" x14ac:dyDescent="0.2">
      <c r="A259" s="12">
        <v>301506</v>
      </c>
      <c r="B259" s="12" t="s">
        <v>345</v>
      </c>
      <c r="C259" s="13">
        <v>0</v>
      </c>
      <c r="D259" s="13">
        <v>20</v>
      </c>
      <c r="E259" s="13">
        <v>14</v>
      </c>
      <c r="F259" s="13">
        <v>117</v>
      </c>
      <c r="G259" s="13">
        <v>0</v>
      </c>
      <c r="H259" s="13">
        <v>0</v>
      </c>
      <c r="I259" s="14">
        <v>5.85</v>
      </c>
      <c r="J259" s="14">
        <v>0</v>
      </c>
      <c r="K259" s="14">
        <v>0</v>
      </c>
      <c r="L259" s="13">
        <v>0</v>
      </c>
      <c r="M259" t="str" cm="1">
        <f t="array" ref="M259">_xlfn.IFS(E259&lt;6, "0-6 Months", E259&lt;=12, "6-12 Months", E259&lt;=24, "12-24 Months", E259&gt;24, "24+ Months")</f>
        <v>12-24 Months</v>
      </c>
      <c r="N259" t="str" cm="1">
        <f t="array" ref="N259">_xlfn.IFS(E259&lt;6, "12-18 Months", E259&lt;=12, "18-24 Months", E259&lt;=24, "24+ Months", E259&gt;24, "24+ Months")</f>
        <v>24+ Months</v>
      </c>
      <c r="O259" t="str" cm="1">
        <f t="array" ref="O259">_xlfn.IFS(D259&gt;=550, "Major", D259 &gt;= 100, "T1200", D259 &lt;100, "Other")</f>
        <v>Other</v>
      </c>
      <c r="P259">
        <f t="shared" si="4"/>
        <v>0</v>
      </c>
    </row>
    <row r="260" spans="1:16" x14ac:dyDescent="0.2">
      <c r="A260" s="12">
        <v>107156</v>
      </c>
      <c r="B260" s="12" t="s">
        <v>346</v>
      </c>
      <c r="C260" s="13">
        <v>123</v>
      </c>
      <c r="D260" s="13">
        <v>123</v>
      </c>
      <c r="E260" s="13">
        <v>7</v>
      </c>
      <c r="F260" s="13">
        <v>116</v>
      </c>
      <c r="G260" s="13">
        <v>116</v>
      </c>
      <c r="H260" s="13">
        <v>5</v>
      </c>
      <c r="I260" s="14">
        <v>0.94308943089430897</v>
      </c>
      <c r="J260" s="14">
        <v>0.94308943089430897</v>
      </c>
      <c r="K260" s="14">
        <v>4.065040650406504E-2</v>
      </c>
      <c r="L260" s="13">
        <v>30</v>
      </c>
      <c r="M260" t="str" cm="1">
        <f t="array" ref="M260">_xlfn.IFS(E260&lt;6, "0-6 Months", E260&lt;=12, "6-12 Months", E260&lt;=24, "12-24 Months", E260&gt;24, "24+ Months")</f>
        <v>6-12 Months</v>
      </c>
      <c r="N260" t="str" cm="1">
        <f t="array" ref="N260">_xlfn.IFS(E260&lt;6, "12-18 Months", E260&lt;=12, "18-24 Months", E260&lt;=24, "24+ Months", E260&gt;24, "24+ Months")</f>
        <v>18-24 Months</v>
      </c>
      <c r="O260" t="str" cm="1">
        <f t="array" ref="O260">_xlfn.IFS(D260&gt;=550, "Major", D260 &gt;= 100, "T1200", D260 &lt;100, "Other")</f>
        <v>T1200</v>
      </c>
      <c r="P260">
        <f t="shared" si="4"/>
        <v>0</v>
      </c>
    </row>
    <row r="261" spans="1:16" x14ac:dyDescent="0.2">
      <c r="A261" s="12">
        <v>116208</v>
      </c>
      <c r="B261" s="12" t="s">
        <v>307</v>
      </c>
      <c r="C261" s="13">
        <v>3</v>
      </c>
      <c r="D261" s="13">
        <v>30</v>
      </c>
      <c r="E261" s="13">
        <v>7</v>
      </c>
      <c r="F261" s="13">
        <v>115</v>
      </c>
      <c r="G261" s="13">
        <v>115</v>
      </c>
      <c r="H261" s="13">
        <v>86</v>
      </c>
      <c r="I261" s="14">
        <v>3.833333333333333</v>
      </c>
      <c r="J261" s="14">
        <v>3.833333333333333</v>
      </c>
      <c r="K261" s="14">
        <v>2.8666666666666671</v>
      </c>
      <c r="L261" s="13">
        <v>26</v>
      </c>
      <c r="M261" t="str" cm="1">
        <f t="array" ref="M261">_xlfn.IFS(E261&lt;6, "0-6 Months", E261&lt;=12, "6-12 Months", E261&lt;=24, "12-24 Months", E261&gt;24, "24+ Months")</f>
        <v>6-12 Months</v>
      </c>
      <c r="N261" t="str" cm="1">
        <f t="array" ref="N261">_xlfn.IFS(E261&lt;6, "12-18 Months", E261&lt;=12, "18-24 Months", E261&lt;=24, "24+ Months", E261&gt;24, "24+ Months")</f>
        <v>18-24 Months</v>
      </c>
      <c r="O261" t="str" cm="1">
        <f t="array" ref="O261">_xlfn.IFS(D261&gt;=550, "Major", D261 &gt;= 100, "T1200", D261 &lt;100, "Other")</f>
        <v>Other</v>
      </c>
      <c r="P261">
        <f t="shared" si="4"/>
        <v>3</v>
      </c>
    </row>
    <row r="262" spans="1:16" x14ac:dyDescent="0.2">
      <c r="A262" s="12">
        <v>107920</v>
      </c>
      <c r="B262" s="12" t="s">
        <v>394</v>
      </c>
      <c r="C262" s="13">
        <v>150</v>
      </c>
      <c r="D262" s="13">
        <v>140</v>
      </c>
      <c r="E262" s="13">
        <v>9</v>
      </c>
      <c r="F262" s="13">
        <v>109</v>
      </c>
      <c r="G262" s="13">
        <v>109</v>
      </c>
      <c r="H262" s="13">
        <v>108</v>
      </c>
      <c r="I262" s="14">
        <v>0.77857142857142858</v>
      </c>
      <c r="J262" s="14">
        <v>0.77857142857142858</v>
      </c>
      <c r="K262" s="14">
        <v>0.77142857142857146</v>
      </c>
      <c r="L262" s="13">
        <v>0</v>
      </c>
      <c r="M262" t="str" cm="1">
        <f t="array" ref="M262">_xlfn.IFS(E262&lt;6, "0-6 Months", E262&lt;=12, "6-12 Months", E262&lt;=24, "12-24 Months", E262&gt;24, "24+ Months")</f>
        <v>6-12 Months</v>
      </c>
      <c r="N262" t="str" cm="1">
        <f t="array" ref="N262">_xlfn.IFS(E262&lt;6, "12-18 Months", E262&lt;=12, "18-24 Months", E262&lt;=24, "24+ Months", E262&gt;24, "24+ Months")</f>
        <v>18-24 Months</v>
      </c>
      <c r="O262" t="str" cm="1">
        <f t="array" ref="O262">_xlfn.IFS(D262&gt;=550, "Major", D262 &gt;= 100, "T1200", D262 &lt;100, "Other")</f>
        <v>T1200</v>
      </c>
      <c r="P262">
        <f t="shared" si="4"/>
        <v>0</v>
      </c>
    </row>
    <row r="263" spans="1:16" x14ac:dyDescent="0.2">
      <c r="A263" s="12">
        <v>109197</v>
      </c>
      <c r="B263" s="12" t="s">
        <v>326</v>
      </c>
      <c r="C263" s="13">
        <v>347</v>
      </c>
      <c r="D263" s="13">
        <v>363</v>
      </c>
      <c r="E263" s="13">
        <v>8</v>
      </c>
      <c r="F263" s="13">
        <v>108</v>
      </c>
      <c r="G263" s="13">
        <v>64</v>
      </c>
      <c r="H263" s="13">
        <v>0</v>
      </c>
      <c r="I263" s="14">
        <v>0.2975206611570248</v>
      </c>
      <c r="J263" s="14">
        <v>0.17630853994490359</v>
      </c>
      <c r="K263" s="14">
        <v>0</v>
      </c>
      <c r="L263" s="13">
        <v>168</v>
      </c>
      <c r="M263" t="str" cm="1">
        <f t="array" ref="M263">_xlfn.IFS(E263&lt;6, "0-6 Months", E263&lt;=12, "6-12 Months", E263&lt;=24, "12-24 Months", E263&gt;24, "24+ Months")</f>
        <v>6-12 Months</v>
      </c>
      <c r="N263" t="str" cm="1">
        <f t="array" ref="N263">_xlfn.IFS(E263&lt;6, "12-18 Months", E263&lt;=12, "18-24 Months", E263&lt;=24, "24+ Months", E263&gt;24, "24+ Months")</f>
        <v>18-24 Months</v>
      </c>
      <c r="O263" t="str" cm="1">
        <f t="array" ref="O263">_xlfn.IFS(D263&gt;=550, "Major", D263 &gt;= 100, "T1200", D263 &lt;100, "Other")</f>
        <v>T1200</v>
      </c>
      <c r="P263">
        <f t="shared" si="4"/>
        <v>0</v>
      </c>
    </row>
    <row r="264" spans="1:16" x14ac:dyDescent="0.2">
      <c r="A264" s="12">
        <v>164977</v>
      </c>
      <c r="B264" s="12" t="s">
        <v>334</v>
      </c>
      <c r="C264" s="13">
        <v>5</v>
      </c>
      <c r="D264" s="13">
        <v>22</v>
      </c>
      <c r="E264" s="13">
        <v>8</v>
      </c>
      <c r="F264" s="13">
        <v>108</v>
      </c>
      <c r="G264" s="13">
        <v>96</v>
      </c>
      <c r="H264" s="13">
        <v>37</v>
      </c>
      <c r="I264" s="14">
        <v>4.9090909090909092</v>
      </c>
      <c r="J264" s="14">
        <v>4.3636363636363633</v>
      </c>
      <c r="K264" s="14">
        <v>1.6818181818181821</v>
      </c>
      <c r="L264" s="13">
        <v>25</v>
      </c>
      <c r="M264" t="str" cm="1">
        <f t="array" ref="M264">_xlfn.IFS(E264&lt;6, "0-6 Months", E264&lt;=12, "6-12 Months", E264&lt;=24, "12-24 Months", E264&gt;24, "24+ Months")</f>
        <v>6-12 Months</v>
      </c>
      <c r="N264" t="str" cm="1">
        <f t="array" ref="N264">_xlfn.IFS(E264&lt;6, "12-18 Months", E264&lt;=12, "18-24 Months", E264&lt;=24, "24+ Months", E264&gt;24, "24+ Months")</f>
        <v>18-24 Months</v>
      </c>
      <c r="O264" t="str" cm="1">
        <f t="array" ref="O264">_xlfn.IFS(D264&gt;=550, "Major", D264 &gt;= 100, "T1200", D264 &lt;100, "Other")</f>
        <v>Other</v>
      </c>
      <c r="P264">
        <f t="shared" si="4"/>
        <v>5</v>
      </c>
    </row>
    <row r="265" spans="1:16" x14ac:dyDescent="0.2">
      <c r="A265" s="12">
        <v>109708</v>
      </c>
      <c r="B265" s="12" t="s">
        <v>329</v>
      </c>
      <c r="C265" s="13">
        <v>236</v>
      </c>
      <c r="D265" s="13">
        <v>135</v>
      </c>
      <c r="E265" s="13">
        <v>19</v>
      </c>
      <c r="F265" s="13">
        <v>107</v>
      </c>
      <c r="G265" s="13">
        <v>83</v>
      </c>
      <c r="H265" s="13">
        <v>75</v>
      </c>
      <c r="I265" s="14">
        <v>0.79259259259259263</v>
      </c>
      <c r="J265" s="14">
        <v>0.61481481481481481</v>
      </c>
      <c r="K265" s="14">
        <v>0.55555555555555558</v>
      </c>
      <c r="L265" s="13">
        <v>11</v>
      </c>
      <c r="M265" t="str" cm="1">
        <f t="array" ref="M265">_xlfn.IFS(E265&lt;6, "0-6 Months", E265&lt;=12, "6-12 Months", E265&lt;=24, "12-24 Months", E265&gt;24, "24+ Months")</f>
        <v>12-24 Months</v>
      </c>
      <c r="N265" t="str" cm="1">
        <f t="array" ref="N265">_xlfn.IFS(E265&lt;6, "12-18 Months", E265&lt;=12, "18-24 Months", E265&lt;=24, "24+ Months", E265&gt;24, "24+ Months")</f>
        <v>24+ Months</v>
      </c>
      <c r="O265" t="str" cm="1">
        <f t="array" ref="O265">_xlfn.IFS(D265&gt;=550, "Major", D265 &gt;= 100, "T1200", D265 &lt;100, "Other")</f>
        <v>T1200</v>
      </c>
      <c r="P265">
        <f t="shared" si="4"/>
        <v>0</v>
      </c>
    </row>
    <row r="266" spans="1:16" x14ac:dyDescent="0.2">
      <c r="A266" s="12">
        <v>570556</v>
      </c>
      <c r="B266" s="12" t="s">
        <v>327</v>
      </c>
      <c r="C266" s="13">
        <v>3</v>
      </c>
      <c r="D266" s="13">
        <v>35</v>
      </c>
      <c r="E266" s="13">
        <v>10</v>
      </c>
      <c r="F266" s="13">
        <v>104</v>
      </c>
      <c r="G266" s="13">
        <v>85</v>
      </c>
      <c r="H266" s="13">
        <v>0</v>
      </c>
      <c r="I266" s="14">
        <v>2.971428571428572</v>
      </c>
      <c r="J266" s="14">
        <v>2.4285714285714279</v>
      </c>
      <c r="K266" s="14">
        <v>0</v>
      </c>
      <c r="L266" s="13">
        <v>0</v>
      </c>
      <c r="M266" t="str" cm="1">
        <f t="array" ref="M266">_xlfn.IFS(E266&lt;6, "0-6 Months", E266&lt;=12, "6-12 Months", E266&lt;=24, "12-24 Months", E266&gt;24, "24+ Months")</f>
        <v>6-12 Months</v>
      </c>
      <c r="N266" t="str" cm="1">
        <f t="array" ref="N266">_xlfn.IFS(E266&lt;6, "12-18 Months", E266&lt;=12, "18-24 Months", E266&lt;=24, "24+ Months", E266&gt;24, "24+ Months")</f>
        <v>18-24 Months</v>
      </c>
      <c r="O266" t="str" cm="1">
        <f t="array" ref="O266">_xlfn.IFS(D266&gt;=550, "Major", D266 &gt;= 100, "T1200", D266 &lt;100, "Other")</f>
        <v>Other</v>
      </c>
      <c r="P266">
        <f t="shared" si="4"/>
        <v>3</v>
      </c>
    </row>
    <row r="267" spans="1:16" x14ac:dyDescent="0.2">
      <c r="A267" s="12">
        <v>117408</v>
      </c>
      <c r="B267" s="12" t="s">
        <v>324</v>
      </c>
      <c r="C267" s="13">
        <v>25</v>
      </c>
      <c r="D267" s="13">
        <v>65</v>
      </c>
      <c r="E267" s="13">
        <v>30</v>
      </c>
      <c r="F267" s="13">
        <v>103</v>
      </c>
      <c r="G267" s="13">
        <v>69</v>
      </c>
      <c r="H267" s="13">
        <v>0</v>
      </c>
      <c r="I267" s="14">
        <v>1.584615384615385</v>
      </c>
      <c r="J267" s="14">
        <v>1.061538461538462</v>
      </c>
      <c r="K267" s="14">
        <v>0</v>
      </c>
      <c r="L267" s="13">
        <v>10</v>
      </c>
      <c r="M267" t="str" cm="1">
        <f t="array" ref="M267">_xlfn.IFS(E267&lt;6, "0-6 Months", E267&lt;=12, "6-12 Months", E267&lt;=24, "12-24 Months", E267&gt;24, "24+ Months")</f>
        <v>24+ Months</v>
      </c>
      <c r="N267" t="str" cm="1">
        <f t="array" ref="N267">_xlfn.IFS(E267&lt;6, "12-18 Months", E267&lt;=12, "18-24 Months", E267&lt;=24, "24+ Months", E267&gt;24, "24+ Months")</f>
        <v>24+ Months</v>
      </c>
      <c r="O267" t="str" cm="1">
        <f t="array" ref="O267">_xlfn.IFS(D267&gt;=550, "Major", D267 &gt;= 100, "T1200", D267 &lt;100, "Other")</f>
        <v>Other</v>
      </c>
      <c r="P267">
        <f t="shared" si="4"/>
        <v>0</v>
      </c>
    </row>
    <row r="268" spans="1:16" x14ac:dyDescent="0.2">
      <c r="A268" s="12">
        <v>201477</v>
      </c>
      <c r="B268" s="12" t="s">
        <v>392</v>
      </c>
      <c r="C268" s="13">
        <v>52</v>
      </c>
      <c r="D268" s="13">
        <v>55</v>
      </c>
      <c r="E268" s="13">
        <v>38</v>
      </c>
      <c r="F268" s="13">
        <v>101</v>
      </c>
      <c r="G268" s="13">
        <v>101</v>
      </c>
      <c r="H268" s="13">
        <v>100</v>
      </c>
      <c r="I268" s="14">
        <v>1.836363636363636</v>
      </c>
      <c r="J268" s="14">
        <v>1.836363636363636</v>
      </c>
      <c r="K268" s="14">
        <v>1.8181818181818179</v>
      </c>
      <c r="L268" s="13">
        <v>36</v>
      </c>
      <c r="M268" t="str" cm="1">
        <f t="array" ref="M268">_xlfn.IFS(E268&lt;6, "0-6 Months", E268&lt;=12, "6-12 Months", E268&lt;=24, "12-24 Months", E268&gt;24, "24+ Months")</f>
        <v>24+ Months</v>
      </c>
      <c r="N268" t="str" cm="1">
        <f t="array" ref="N268">_xlfn.IFS(E268&lt;6, "12-18 Months", E268&lt;=12, "18-24 Months", E268&lt;=24, "24+ Months", E268&gt;24, "24+ Months")</f>
        <v>24+ Months</v>
      </c>
      <c r="O268" t="str" cm="1">
        <f t="array" ref="O268">_xlfn.IFS(D268&gt;=550, "Major", D268 &gt;= 100, "T1200", D268 &lt;100, "Other")</f>
        <v>Other</v>
      </c>
      <c r="P268">
        <f t="shared" si="4"/>
        <v>0</v>
      </c>
    </row>
    <row r="269" spans="1:16" x14ac:dyDescent="0.2">
      <c r="A269" s="12">
        <v>141725</v>
      </c>
      <c r="B269" s="12" t="s">
        <v>410</v>
      </c>
      <c r="C269" s="13">
        <v>1</v>
      </c>
      <c r="D269" s="13">
        <v>50</v>
      </c>
      <c r="E269" s="13">
        <v>9</v>
      </c>
      <c r="F269" s="13">
        <v>101</v>
      </c>
      <c r="G269" s="13">
        <v>101</v>
      </c>
      <c r="H269" s="13">
        <v>101</v>
      </c>
      <c r="I269" s="14">
        <v>2.02</v>
      </c>
      <c r="J269" s="14">
        <v>2.02</v>
      </c>
      <c r="K269" s="14">
        <v>2.02</v>
      </c>
      <c r="L269" s="13">
        <v>1</v>
      </c>
      <c r="M269" t="str" cm="1">
        <f t="array" ref="M269">_xlfn.IFS(E269&lt;6, "0-6 Months", E269&lt;=12, "6-12 Months", E269&lt;=24, "12-24 Months", E269&gt;24, "24+ Months")</f>
        <v>6-12 Months</v>
      </c>
      <c r="N269" t="str" cm="1">
        <f t="array" ref="N269">_xlfn.IFS(E269&lt;6, "12-18 Months", E269&lt;=12, "18-24 Months", E269&lt;=24, "24+ Months", E269&gt;24, "24+ Months")</f>
        <v>18-24 Months</v>
      </c>
      <c r="O269" t="str" cm="1">
        <f t="array" ref="O269">_xlfn.IFS(D269&gt;=550, "Major", D269 &gt;= 100, "T1200", D269 &lt;100, "Other")</f>
        <v>Other</v>
      </c>
      <c r="P269">
        <f t="shared" si="4"/>
        <v>1</v>
      </c>
    </row>
    <row r="270" spans="1:16" x14ac:dyDescent="0.2">
      <c r="A270" s="12">
        <v>319698</v>
      </c>
      <c r="B270" s="12" t="s">
        <v>583</v>
      </c>
      <c r="C270" s="13">
        <v>2037</v>
      </c>
      <c r="D270" s="13">
        <v>400</v>
      </c>
      <c r="E270" s="13">
        <v>6</v>
      </c>
      <c r="F270" s="13">
        <v>100</v>
      </c>
      <c r="G270" s="13">
        <v>5</v>
      </c>
      <c r="H270" s="13">
        <v>5</v>
      </c>
      <c r="I270" s="14">
        <v>0.25</v>
      </c>
      <c r="J270" s="14">
        <v>1.2500000000000001E-2</v>
      </c>
      <c r="K270" s="14">
        <v>1.2500000000000001E-2</v>
      </c>
      <c r="L270" s="13">
        <v>1</v>
      </c>
      <c r="M270" t="str" cm="1">
        <f t="array" ref="M270">_xlfn.IFS(E270&lt;6, "0-6 Months", E270&lt;=12, "6-12 Months", E270&lt;=24, "12-24 Months", E270&gt;24, "24+ Months")</f>
        <v>6-12 Months</v>
      </c>
      <c r="N270" t="str" cm="1">
        <f t="array" ref="N270">_xlfn.IFS(E270&lt;6, "12-18 Months", E270&lt;=12, "18-24 Months", E270&lt;=24, "24+ Months", E270&gt;24, "24+ Months")</f>
        <v>18-24 Months</v>
      </c>
      <c r="O270" t="str" cm="1">
        <f t="array" ref="O270">_xlfn.IFS(D270&gt;=550, "Major", D270 &gt;= 100, "T1200", D270 &lt;100, "Other")</f>
        <v>T1200</v>
      </c>
      <c r="P270">
        <f t="shared" si="4"/>
        <v>0</v>
      </c>
    </row>
    <row r="271" spans="1:16" x14ac:dyDescent="0.2">
      <c r="A271" s="12">
        <v>307831</v>
      </c>
      <c r="B271" s="12" t="s">
        <v>341</v>
      </c>
      <c r="C271" s="13">
        <v>28</v>
      </c>
      <c r="D271" s="13">
        <v>28</v>
      </c>
      <c r="E271" s="13">
        <v>7</v>
      </c>
      <c r="F271" s="13">
        <v>100</v>
      </c>
      <c r="G271" s="13">
        <v>100</v>
      </c>
      <c r="H271" s="13">
        <v>6</v>
      </c>
      <c r="I271" s="14">
        <v>3.5714285714285721</v>
      </c>
      <c r="J271" s="14">
        <v>3.5714285714285721</v>
      </c>
      <c r="K271" s="14">
        <v>0.2142857142857143</v>
      </c>
      <c r="L271" s="13">
        <v>169</v>
      </c>
      <c r="M271" t="str" cm="1">
        <f t="array" ref="M271">_xlfn.IFS(E271&lt;6, "0-6 Months", E271&lt;=12, "6-12 Months", E271&lt;=24, "12-24 Months", E271&gt;24, "24+ Months")</f>
        <v>6-12 Months</v>
      </c>
      <c r="N271" t="str" cm="1">
        <f t="array" ref="N271">_xlfn.IFS(E271&lt;6, "12-18 Months", E271&lt;=12, "18-24 Months", E271&lt;=24, "24+ Months", E271&gt;24, "24+ Months")</f>
        <v>18-24 Months</v>
      </c>
      <c r="O271" t="str" cm="1">
        <f t="array" ref="O271">_xlfn.IFS(D271&gt;=550, "Major", D271 &gt;= 100, "T1200", D271 &lt;100, "Other")</f>
        <v>Other</v>
      </c>
      <c r="P271">
        <f t="shared" si="4"/>
        <v>28</v>
      </c>
    </row>
    <row r="272" spans="1:16" x14ac:dyDescent="0.2">
      <c r="A272" s="12">
        <v>107787</v>
      </c>
      <c r="B272" s="12" t="s">
        <v>411</v>
      </c>
      <c r="C272" s="13">
        <v>119</v>
      </c>
      <c r="D272" s="13">
        <v>287</v>
      </c>
      <c r="E272" s="13">
        <v>12</v>
      </c>
      <c r="F272" s="13">
        <v>99</v>
      </c>
      <c r="G272" s="13">
        <v>0</v>
      </c>
      <c r="H272" s="13">
        <v>0</v>
      </c>
      <c r="I272" s="14">
        <v>0.34494773519163757</v>
      </c>
      <c r="J272" s="14">
        <v>0</v>
      </c>
      <c r="K272" s="14">
        <v>0</v>
      </c>
      <c r="L272" s="13">
        <v>0</v>
      </c>
      <c r="M272" t="str" cm="1">
        <f t="array" ref="M272">_xlfn.IFS(E272&lt;6, "0-6 Months", E272&lt;=12, "6-12 Months", E272&lt;=24, "12-24 Months", E272&gt;24, "24+ Months")</f>
        <v>6-12 Months</v>
      </c>
      <c r="N272" t="str" cm="1">
        <f t="array" ref="N272">_xlfn.IFS(E272&lt;6, "12-18 Months", E272&lt;=12, "18-24 Months", E272&lt;=24, "24+ Months", E272&gt;24, "24+ Months")</f>
        <v>18-24 Months</v>
      </c>
      <c r="O272" t="str" cm="1">
        <f t="array" ref="O272">_xlfn.IFS(D272&gt;=550, "Major", D272 &gt;= 100, "T1200", D272 &lt;100, "Other")</f>
        <v>T1200</v>
      </c>
      <c r="P272">
        <f t="shared" si="4"/>
        <v>0</v>
      </c>
    </row>
    <row r="273" spans="1:16" x14ac:dyDescent="0.2">
      <c r="A273" s="12">
        <v>108877</v>
      </c>
      <c r="B273" s="12" t="s">
        <v>309</v>
      </c>
      <c r="C273" s="13">
        <v>63</v>
      </c>
      <c r="D273" s="13">
        <v>81</v>
      </c>
      <c r="E273" s="13">
        <v>10</v>
      </c>
      <c r="F273" s="13">
        <v>99</v>
      </c>
      <c r="G273" s="13">
        <v>31</v>
      </c>
      <c r="H273" s="13">
        <v>6</v>
      </c>
      <c r="I273" s="14">
        <v>1.2222222222222221</v>
      </c>
      <c r="J273" s="14">
        <v>0.38271604938271597</v>
      </c>
      <c r="K273" s="14">
        <v>7.407407407407407E-2</v>
      </c>
      <c r="L273" s="13">
        <v>13</v>
      </c>
      <c r="M273" t="str" cm="1">
        <f t="array" ref="M273">_xlfn.IFS(E273&lt;6, "0-6 Months", E273&lt;=12, "6-12 Months", E273&lt;=24, "12-24 Months", E273&gt;24, "24+ Months")</f>
        <v>6-12 Months</v>
      </c>
      <c r="N273" t="str" cm="1">
        <f t="array" ref="N273">_xlfn.IFS(E273&lt;6, "12-18 Months", E273&lt;=12, "18-24 Months", E273&lt;=24, "24+ Months", E273&gt;24, "24+ Months")</f>
        <v>18-24 Months</v>
      </c>
      <c r="O273" t="str" cm="1">
        <f t="array" ref="O273">_xlfn.IFS(D273&gt;=550, "Major", D273 &gt;= 100, "T1200", D273 &lt;100, "Other")</f>
        <v>Other</v>
      </c>
      <c r="P273">
        <f t="shared" si="4"/>
        <v>0</v>
      </c>
    </row>
    <row r="274" spans="1:16" x14ac:dyDescent="0.2">
      <c r="A274" s="12">
        <v>554048</v>
      </c>
      <c r="B274" s="12" t="s">
        <v>340</v>
      </c>
      <c r="C274" s="13">
        <v>19</v>
      </c>
      <c r="D274" s="13">
        <v>20</v>
      </c>
      <c r="E274" s="13">
        <v>9</v>
      </c>
      <c r="F274" s="13">
        <v>99</v>
      </c>
      <c r="G274" s="13">
        <v>11</v>
      </c>
      <c r="H274" s="13">
        <v>0</v>
      </c>
      <c r="I274" s="14">
        <v>4.95</v>
      </c>
      <c r="J274" s="14">
        <v>0.55000000000000004</v>
      </c>
      <c r="K274" s="14">
        <v>0</v>
      </c>
      <c r="L274" s="13">
        <v>0</v>
      </c>
      <c r="M274" t="str" cm="1">
        <f t="array" ref="M274">_xlfn.IFS(E274&lt;6, "0-6 Months", E274&lt;=12, "6-12 Months", E274&lt;=24, "12-24 Months", E274&gt;24, "24+ Months")</f>
        <v>6-12 Months</v>
      </c>
      <c r="N274" t="str" cm="1">
        <f t="array" ref="N274">_xlfn.IFS(E274&lt;6, "12-18 Months", E274&lt;=12, "18-24 Months", E274&lt;=24, "24+ Months", E274&gt;24, "24+ Months")</f>
        <v>18-24 Months</v>
      </c>
      <c r="O274" t="str" cm="1">
        <f t="array" ref="O274">_xlfn.IFS(D274&gt;=550, "Major", D274 &gt;= 100, "T1200", D274 &lt;100, "Other")</f>
        <v>Other</v>
      </c>
      <c r="P274">
        <f t="shared" si="4"/>
        <v>19</v>
      </c>
    </row>
    <row r="275" spans="1:16" x14ac:dyDescent="0.2">
      <c r="A275" s="12">
        <v>109765</v>
      </c>
      <c r="B275" s="12" t="s">
        <v>288</v>
      </c>
      <c r="C275" s="13">
        <v>67</v>
      </c>
      <c r="D275" s="13">
        <v>66</v>
      </c>
      <c r="E275" s="13">
        <v>14</v>
      </c>
      <c r="F275" s="13">
        <v>97</v>
      </c>
      <c r="G275" s="13">
        <v>39</v>
      </c>
      <c r="H275" s="13">
        <v>18</v>
      </c>
      <c r="I275" s="14">
        <v>1.4696969696969699</v>
      </c>
      <c r="J275" s="14">
        <v>0.59090909090909094</v>
      </c>
      <c r="K275" s="14">
        <v>0.27272727272727271</v>
      </c>
      <c r="L275" s="13">
        <v>14</v>
      </c>
      <c r="M275" t="str" cm="1">
        <f t="array" ref="M275">_xlfn.IFS(E275&lt;6, "0-6 Months", E275&lt;=12, "6-12 Months", E275&lt;=24, "12-24 Months", E275&gt;24, "24+ Months")</f>
        <v>12-24 Months</v>
      </c>
      <c r="N275" t="str" cm="1">
        <f t="array" ref="N275">_xlfn.IFS(E275&lt;6, "12-18 Months", E275&lt;=12, "18-24 Months", E275&lt;=24, "24+ Months", E275&gt;24, "24+ Months")</f>
        <v>24+ Months</v>
      </c>
      <c r="O275" t="str" cm="1">
        <f t="array" ref="O275">_xlfn.IFS(D275&gt;=550, "Major", D275 &gt;= 100, "T1200", D275 &lt;100, "Other")</f>
        <v>Other</v>
      </c>
      <c r="P275">
        <f t="shared" si="4"/>
        <v>0</v>
      </c>
    </row>
    <row r="276" spans="1:16" x14ac:dyDescent="0.2">
      <c r="A276" s="12">
        <v>143651</v>
      </c>
      <c r="B276" s="12" t="s">
        <v>353</v>
      </c>
      <c r="C276" s="13">
        <v>40</v>
      </c>
      <c r="D276" s="13">
        <v>30</v>
      </c>
      <c r="E276" s="13">
        <v>9</v>
      </c>
      <c r="F276" s="13">
        <v>97</v>
      </c>
      <c r="G276" s="13">
        <v>72</v>
      </c>
      <c r="H276" s="13">
        <v>48</v>
      </c>
      <c r="I276" s="14">
        <v>3.2333333333333329</v>
      </c>
      <c r="J276" s="14">
        <v>2.4</v>
      </c>
      <c r="K276" s="14">
        <v>1.6</v>
      </c>
      <c r="L276" s="13">
        <v>52</v>
      </c>
      <c r="M276" t="str" cm="1">
        <f t="array" ref="M276">_xlfn.IFS(E276&lt;6, "0-6 Months", E276&lt;=12, "6-12 Months", E276&lt;=24, "12-24 Months", E276&gt;24, "24+ Months")</f>
        <v>6-12 Months</v>
      </c>
      <c r="N276" t="str" cm="1">
        <f t="array" ref="N276">_xlfn.IFS(E276&lt;6, "12-18 Months", E276&lt;=12, "18-24 Months", E276&lt;=24, "24+ Months", E276&gt;24, "24+ Months")</f>
        <v>18-24 Months</v>
      </c>
      <c r="O276" t="str" cm="1">
        <f t="array" ref="O276">_xlfn.IFS(D276&gt;=550, "Major", D276 &gt;= 100, "T1200", D276 &lt;100, "Other")</f>
        <v>Other</v>
      </c>
      <c r="P276">
        <f t="shared" si="4"/>
        <v>40</v>
      </c>
    </row>
    <row r="277" spans="1:16" x14ac:dyDescent="0.2">
      <c r="A277" s="12">
        <v>114564</v>
      </c>
      <c r="B277" s="12" t="s">
        <v>337</v>
      </c>
      <c r="C277" s="13">
        <v>30</v>
      </c>
      <c r="D277" s="13">
        <v>32</v>
      </c>
      <c r="E277" s="13">
        <v>21</v>
      </c>
      <c r="F277" s="13">
        <v>97</v>
      </c>
      <c r="G277" s="13">
        <v>97</v>
      </c>
      <c r="H277" s="13">
        <v>96</v>
      </c>
      <c r="I277" s="14">
        <v>3.03125</v>
      </c>
      <c r="J277" s="14">
        <v>3.03125</v>
      </c>
      <c r="K277" s="14">
        <v>3</v>
      </c>
      <c r="L277" s="13">
        <v>4</v>
      </c>
      <c r="M277" t="str" cm="1">
        <f t="array" ref="M277">_xlfn.IFS(E277&lt;6, "0-6 Months", E277&lt;=12, "6-12 Months", E277&lt;=24, "12-24 Months", E277&gt;24, "24+ Months")</f>
        <v>12-24 Months</v>
      </c>
      <c r="N277" t="str" cm="1">
        <f t="array" ref="N277">_xlfn.IFS(E277&lt;6, "12-18 Months", E277&lt;=12, "18-24 Months", E277&lt;=24, "24+ Months", E277&gt;24, "24+ Months")</f>
        <v>24+ Months</v>
      </c>
      <c r="O277" t="str" cm="1">
        <f t="array" ref="O277">_xlfn.IFS(D277&gt;=550, "Major", D277 &gt;= 100, "T1200", D277 &lt;100, "Other")</f>
        <v>Other</v>
      </c>
      <c r="P277">
        <f t="shared" si="4"/>
        <v>30</v>
      </c>
    </row>
    <row r="278" spans="1:16" x14ac:dyDescent="0.2">
      <c r="A278" s="12">
        <v>107397</v>
      </c>
      <c r="B278" s="12" t="s">
        <v>308</v>
      </c>
      <c r="C278" s="13">
        <v>673</v>
      </c>
      <c r="D278" s="13">
        <v>857</v>
      </c>
      <c r="E278" s="13">
        <v>37</v>
      </c>
      <c r="F278" s="13">
        <v>96</v>
      </c>
      <c r="G278" s="13">
        <v>19</v>
      </c>
      <c r="H278" s="13">
        <v>16</v>
      </c>
      <c r="I278" s="14">
        <v>0.1120186697782964</v>
      </c>
      <c r="J278" s="14">
        <v>2.2170361726954489E-2</v>
      </c>
      <c r="K278" s="14">
        <v>1.8669778296382729E-2</v>
      </c>
      <c r="L278" s="13">
        <v>37</v>
      </c>
      <c r="M278" t="str" cm="1">
        <f t="array" ref="M278">_xlfn.IFS(E278&lt;6, "0-6 Months", E278&lt;=12, "6-12 Months", E278&lt;=24, "12-24 Months", E278&gt;24, "24+ Months")</f>
        <v>24+ Months</v>
      </c>
      <c r="N278" t="str" cm="1">
        <f t="array" ref="N278">_xlfn.IFS(E278&lt;6, "12-18 Months", E278&lt;=12, "18-24 Months", E278&lt;=24, "24+ Months", E278&gt;24, "24+ Months")</f>
        <v>24+ Months</v>
      </c>
      <c r="O278" t="str" cm="1">
        <f t="array" ref="O278">_xlfn.IFS(D278&gt;=550, "Major", D278 &gt;= 100, "T1200", D278 &lt;100, "Other")</f>
        <v>Major</v>
      </c>
      <c r="P278">
        <f t="shared" si="4"/>
        <v>0</v>
      </c>
    </row>
    <row r="279" spans="1:16" x14ac:dyDescent="0.2">
      <c r="A279" s="12">
        <v>107126</v>
      </c>
      <c r="B279" s="12" t="s">
        <v>338</v>
      </c>
      <c r="C279" s="13">
        <v>129</v>
      </c>
      <c r="D279" s="13">
        <v>120</v>
      </c>
      <c r="E279" s="13">
        <v>36</v>
      </c>
      <c r="F279" s="13">
        <v>96</v>
      </c>
      <c r="G279" s="13">
        <v>83</v>
      </c>
      <c r="H279" s="13">
        <v>58</v>
      </c>
      <c r="I279" s="14">
        <v>0.8</v>
      </c>
      <c r="J279" s="14">
        <v>0.69166666666666665</v>
      </c>
      <c r="K279" s="14">
        <v>0.48333333333333328</v>
      </c>
      <c r="L279" s="13">
        <v>1</v>
      </c>
      <c r="M279" t="str" cm="1">
        <f t="array" ref="M279">_xlfn.IFS(E279&lt;6, "0-6 Months", E279&lt;=12, "6-12 Months", E279&lt;=24, "12-24 Months", E279&gt;24, "24+ Months")</f>
        <v>24+ Months</v>
      </c>
      <c r="N279" t="str" cm="1">
        <f t="array" ref="N279">_xlfn.IFS(E279&lt;6, "12-18 Months", E279&lt;=12, "18-24 Months", E279&lt;=24, "24+ Months", E279&gt;24, "24+ Months")</f>
        <v>24+ Months</v>
      </c>
      <c r="O279" t="str" cm="1">
        <f t="array" ref="O279">_xlfn.IFS(D279&gt;=550, "Major", D279 &gt;= 100, "T1200", D279 &lt;100, "Other")</f>
        <v>T1200</v>
      </c>
      <c r="P279">
        <f t="shared" si="4"/>
        <v>0</v>
      </c>
    </row>
    <row r="280" spans="1:16" x14ac:dyDescent="0.2">
      <c r="A280" s="12">
        <v>108106</v>
      </c>
      <c r="B280" s="12" t="s">
        <v>314</v>
      </c>
      <c r="C280" s="13">
        <v>51</v>
      </c>
      <c r="D280" s="13">
        <v>35</v>
      </c>
      <c r="E280" s="13">
        <v>10</v>
      </c>
      <c r="F280" s="13">
        <v>96</v>
      </c>
      <c r="G280" s="13">
        <v>77</v>
      </c>
      <c r="H280" s="13">
        <v>25</v>
      </c>
      <c r="I280" s="14">
        <v>2.7428571428571429</v>
      </c>
      <c r="J280" s="14">
        <v>2.2000000000000002</v>
      </c>
      <c r="K280" s="14">
        <v>0.7142857142857143</v>
      </c>
      <c r="L280" s="13">
        <v>80</v>
      </c>
      <c r="M280" t="str" cm="1">
        <f t="array" ref="M280">_xlfn.IFS(E280&lt;6, "0-6 Months", E280&lt;=12, "6-12 Months", E280&lt;=24, "12-24 Months", E280&gt;24, "24+ Months")</f>
        <v>6-12 Months</v>
      </c>
      <c r="N280" t="str" cm="1">
        <f t="array" ref="N280">_xlfn.IFS(E280&lt;6, "12-18 Months", E280&lt;=12, "18-24 Months", E280&lt;=24, "24+ Months", E280&gt;24, "24+ Months")</f>
        <v>18-24 Months</v>
      </c>
      <c r="O280" t="str" cm="1">
        <f t="array" ref="O280">_xlfn.IFS(D280&gt;=550, "Major", D280 &gt;= 100, "T1200", D280 &lt;100, "Other")</f>
        <v>Other</v>
      </c>
      <c r="P280">
        <f t="shared" si="4"/>
        <v>51</v>
      </c>
    </row>
    <row r="281" spans="1:16" x14ac:dyDescent="0.2">
      <c r="A281" s="12">
        <v>112577</v>
      </c>
      <c r="B281" s="12" t="s">
        <v>293</v>
      </c>
      <c r="C281" s="13">
        <v>202</v>
      </c>
      <c r="D281" s="13">
        <v>134</v>
      </c>
      <c r="E281" s="13">
        <v>10</v>
      </c>
      <c r="F281" s="13">
        <v>94</v>
      </c>
      <c r="G281" s="13">
        <v>49</v>
      </c>
      <c r="H281" s="13">
        <v>2</v>
      </c>
      <c r="I281" s="14">
        <v>0.70149253731343286</v>
      </c>
      <c r="J281" s="14">
        <v>0.36567164179104478</v>
      </c>
      <c r="K281" s="14">
        <v>1.492537313432836E-2</v>
      </c>
      <c r="L281" s="13">
        <v>7</v>
      </c>
      <c r="M281" t="str" cm="1">
        <f t="array" ref="M281">_xlfn.IFS(E281&lt;6, "0-6 Months", E281&lt;=12, "6-12 Months", E281&lt;=24, "12-24 Months", E281&gt;24, "24+ Months")</f>
        <v>6-12 Months</v>
      </c>
      <c r="N281" t="str" cm="1">
        <f t="array" ref="N281">_xlfn.IFS(E281&lt;6, "12-18 Months", E281&lt;=12, "18-24 Months", E281&lt;=24, "24+ Months", E281&gt;24, "24+ Months")</f>
        <v>18-24 Months</v>
      </c>
      <c r="O281" t="str" cm="1">
        <f t="array" ref="O281">_xlfn.IFS(D281&gt;=550, "Major", D281 &gt;= 100, "T1200", D281 &lt;100, "Other")</f>
        <v>T1200</v>
      </c>
      <c r="P281">
        <f t="shared" si="4"/>
        <v>0</v>
      </c>
    </row>
    <row r="282" spans="1:16" x14ac:dyDescent="0.2">
      <c r="A282" s="12">
        <v>109229</v>
      </c>
      <c r="B282" s="12" t="s">
        <v>389</v>
      </c>
      <c r="C282" s="13">
        <v>285</v>
      </c>
      <c r="D282" s="13">
        <v>228</v>
      </c>
      <c r="E282" s="13">
        <v>25</v>
      </c>
      <c r="F282" s="13">
        <v>93</v>
      </c>
      <c r="G282" s="13">
        <v>11</v>
      </c>
      <c r="H282" s="13">
        <v>0</v>
      </c>
      <c r="I282" s="14">
        <v>0.40789473684210531</v>
      </c>
      <c r="J282" s="14">
        <v>4.8245614035087717E-2</v>
      </c>
      <c r="K282" s="14">
        <v>0</v>
      </c>
      <c r="L282" s="13">
        <v>135</v>
      </c>
      <c r="M282" t="str" cm="1">
        <f t="array" ref="M282">_xlfn.IFS(E282&lt;6, "0-6 Months", E282&lt;=12, "6-12 Months", E282&lt;=24, "12-24 Months", E282&gt;24, "24+ Months")</f>
        <v>24+ Months</v>
      </c>
      <c r="N282" t="str" cm="1">
        <f t="array" ref="N282">_xlfn.IFS(E282&lt;6, "12-18 Months", E282&lt;=12, "18-24 Months", E282&lt;=24, "24+ Months", E282&gt;24, "24+ Months")</f>
        <v>24+ Months</v>
      </c>
      <c r="O282" t="str" cm="1">
        <f t="array" ref="O282">_xlfn.IFS(D282&gt;=550, "Major", D282 &gt;= 100, "T1200", D282 &lt;100, "Other")</f>
        <v>T1200</v>
      </c>
      <c r="P282">
        <f t="shared" si="4"/>
        <v>0</v>
      </c>
    </row>
    <row r="283" spans="1:16" x14ac:dyDescent="0.2">
      <c r="A283" s="12">
        <v>127414</v>
      </c>
      <c r="B283" s="12" t="s">
        <v>347</v>
      </c>
      <c r="C283" s="13">
        <v>59</v>
      </c>
      <c r="D283" s="13">
        <v>70</v>
      </c>
      <c r="E283" s="13">
        <v>9</v>
      </c>
      <c r="F283" s="13">
        <v>91</v>
      </c>
      <c r="G283" s="13">
        <v>20</v>
      </c>
      <c r="H283" s="13">
        <v>17</v>
      </c>
      <c r="I283" s="14">
        <v>1.3</v>
      </c>
      <c r="J283" s="14">
        <v>0.2857142857142857</v>
      </c>
      <c r="K283" s="14">
        <v>0.24285714285714291</v>
      </c>
      <c r="L283" s="13">
        <v>0</v>
      </c>
      <c r="M283" t="str" cm="1">
        <f t="array" ref="M283">_xlfn.IFS(E283&lt;6, "0-6 Months", E283&lt;=12, "6-12 Months", E283&lt;=24, "12-24 Months", E283&gt;24, "24+ Months")</f>
        <v>6-12 Months</v>
      </c>
      <c r="N283" t="str" cm="1">
        <f t="array" ref="N283">_xlfn.IFS(E283&lt;6, "12-18 Months", E283&lt;=12, "18-24 Months", E283&lt;=24, "24+ Months", E283&gt;24, "24+ Months")</f>
        <v>18-24 Months</v>
      </c>
      <c r="O283" t="str" cm="1">
        <f t="array" ref="O283">_xlfn.IFS(D283&gt;=550, "Major", D283 &gt;= 100, "T1200", D283 &lt;100, "Other")</f>
        <v>Other</v>
      </c>
      <c r="P283">
        <f t="shared" si="4"/>
        <v>0</v>
      </c>
    </row>
    <row r="284" spans="1:16" x14ac:dyDescent="0.2">
      <c r="A284" s="12">
        <v>112627</v>
      </c>
      <c r="B284" s="12" t="s">
        <v>381</v>
      </c>
      <c r="C284" s="13">
        <v>71</v>
      </c>
      <c r="D284" s="13">
        <v>35</v>
      </c>
      <c r="E284" s="13">
        <v>10</v>
      </c>
      <c r="F284" s="13">
        <v>90</v>
      </c>
      <c r="G284" s="13">
        <v>4</v>
      </c>
      <c r="H284" s="13">
        <v>0</v>
      </c>
      <c r="I284" s="14">
        <v>2.5714285714285721</v>
      </c>
      <c r="J284" s="14">
        <v>0.1142857142857143</v>
      </c>
      <c r="K284" s="14">
        <v>0</v>
      </c>
      <c r="L284" s="13">
        <v>0</v>
      </c>
      <c r="M284" t="str" cm="1">
        <f t="array" ref="M284">_xlfn.IFS(E284&lt;6, "0-6 Months", E284&lt;=12, "6-12 Months", E284&lt;=24, "12-24 Months", E284&gt;24, "24+ Months")</f>
        <v>6-12 Months</v>
      </c>
      <c r="N284" t="str" cm="1">
        <f t="array" ref="N284">_xlfn.IFS(E284&lt;6, "12-18 Months", E284&lt;=12, "18-24 Months", E284&lt;=24, "24+ Months", E284&gt;24, "24+ Months")</f>
        <v>18-24 Months</v>
      </c>
      <c r="O284" t="str" cm="1">
        <f t="array" ref="O284">_xlfn.IFS(D284&gt;=550, "Major", D284 &gt;= 100, "T1200", D284 &lt;100, "Other")</f>
        <v>Other</v>
      </c>
      <c r="P284">
        <f t="shared" si="4"/>
        <v>71</v>
      </c>
    </row>
    <row r="285" spans="1:16" x14ac:dyDescent="0.2">
      <c r="A285" s="12">
        <v>110318</v>
      </c>
      <c r="B285" s="12" t="s">
        <v>374</v>
      </c>
      <c r="C285" s="13">
        <v>533</v>
      </c>
      <c r="D285" s="13">
        <v>312</v>
      </c>
      <c r="E285" s="13">
        <v>25</v>
      </c>
      <c r="F285" s="13">
        <v>89</v>
      </c>
      <c r="G285" s="13">
        <v>19</v>
      </c>
      <c r="H285" s="13">
        <v>5</v>
      </c>
      <c r="I285" s="14">
        <v>0.28525641025641019</v>
      </c>
      <c r="J285" s="14">
        <v>6.0897435897435903E-2</v>
      </c>
      <c r="K285" s="14">
        <v>1.6025641025641021E-2</v>
      </c>
      <c r="L285" s="13">
        <v>0</v>
      </c>
      <c r="M285" t="str" cm="1">
        <f t="array" ref="M285">_xlfn.IFS(E285&lt;6, "0-6 Months", E285&lt;=12, "6-12 Months", E285&lt;=24, "12-24 Months", E285&gt;24, "24+ Months")</f>
        <v>24+ Months</v>
      </c>
      <c r="N285" t="str" cm="1">
        <f t="array" ref="N285">_xlfn.IFS(E285&lt;6, "12-18 Months", E285&lt;=12, "18-24 Months", E285&lt;=24, "24+ Months", E285&gt;24, "24+ Months")</f>
        <v>24+ Months</v>
      </c>
      <c r="O285" t="str" cm="1">
        <f t="array" ref="O285">_xlfn.IFS(D285&gt;=550, "Major", D285 &gt;= 100, "T1200", D285 &lt;100, "Other")</f>
        <v>T1200</v>
      </c>
      <c r="P285">
        <f t="shared" si="4"/>
        <v>0</v>
      </c>
    </row>
    <row r="286" spans="1:16" x14ac:dyDescent="0.2">
      <c r="A286" s="12">
        <v>131884</v>
      </c>
      <c r="B286" s="12" t="s">
        <v>386</v>
      </c>
      <c r="C286" s="13">
        <v>82</v>
      </c>
      <c r="D286" s="13">
        <v>95</v>
      </c>
      <c r="E286" s="13">
        <v>10</v>
      </c>
      <c r="F286" s="13">
        <v>89</v>
      </c>
      <c r="G286" s="13">
        <v>0</v>
      </c>
      <c r="H286" s="13">
        <v>0</v>
      </c>
      <c r="I286" s="14">
        <v>0.93684210526315792</v>
      </c>
      <c r="J286" s="14">
        <v>0</v>
      </c>
      <c r="K286" s="14">
        <v>0</v>
      </c>
      <c r="L286" s="13">
        <v>0</v>
      </c>
      <c r="M286" t="str" cm="1">
        <f t="array" ref="M286">_xlfn.IFS(E286&lt;6, "0-6 Months", E286&lt;=12, "6-12 Months", E286&lt;=24, "12-24 Months", E286&gt;24, "24+ Months")</f>
        <v>6-12 Months</v>
      </c>
      <c r="N286" t="str" cm="1">
        <f t="array" ref="N286">_xlfn.IFS(E286&lt;6, "12-18 Months", E286&lt;=12, "18-24 Months", E286&lt;=24, "24+ Months", E286&gt;24, "24+ Months")</f>
        <v>18-24 Months</v>
      </c>
      <c r="O286" t="str" cm="1">
        <f t="array" ref="O286">_xlfn.IFS(D286&gt;=550, "Major", D286 &gt;= 100, "T1200", D286 &lt;100, "Other")</f>
        <v>Other</v>
      </c>
      <c r="P286">
        <f t="shared" si="4"/>
        <v>0</v>
      </c>
    </row>
    <row r="287" spans="1:16" x14ac:dyDescent="0.2">
      <c r="A287" s="12">
        <v>109256</v>
      </c>
      <c r="B287" s="12" t="s">
        <v>292</v>
      </c>
      <c r="C287" s="13">
        <v>82</v>
      </c>
      <c r="D287" s="13">
        <v>75</v>
      </c>
      <c r="E287" s="13">
        <v>11</v>
      </c>
      <c r="F287" s="13">
        <v>85</v>
      </c>
      <c r="G287" s="13">
        <v>9</v>
      </c>
      <c r="H287" s="13">
        <v>0</v>
      </c>
      <c r="I287" s="14">
        <v>1.1333333333333331</v>
      </c>
      <c r="J287" s="14">
        <v>0.12</v>
      </c>
      <c r="K287" s="14">
        <v>0</v>
      </c>
      <c r="L287" s="13">
        <v>0</v>
      </c>
      <c r="M287" t="str" cm="1">
        <f t="array" ref="M287">_xlfn.IFS(E287&lt;6, "0-6 Months", E287&lt;=12, "6-12 Months", E287&lt;=24, "12-24 Months", E287&gt;24, "24+ Months")</f>
        <v>6-12 Months</v>
      </c>
      <c r="N287" t="str" cm="1">
        <f t="array" ref="N287">_xlfn.IFS(E287&lt;6, "12-18 Months", E287&lt;=12, "18-24 Months", E287&lt;=24, "24+ Months", E287&gt;24, "24+ Months")</f>
        <v>18-24 Months</v>
      </c>
      <c r="O287" t="str" cm="1">
        <f t="array" ref="O287">_xlfn.IFS(D287&gt;=550, "Major", D287 &gt;= 100, "T1200", D287 &lt;100, "Other")</f>
        <v>Other</v>
      </c>
      <c r="P287">
        <f t="shared" si="4"/>
        <v>0</v>
      </c>
    </row>
    <row r="288" spans="1:16" x14ac:dyDescent="0.2">
      <c r="A288" s="12">
        <v>156843</v>
      </c>
      <c r="B288" s="12" t="s">
        <v>245</v>
      </c>
      <c r="C288" s="13">
        <v>43</v>
      </c>
      <c r="D288" s="13">
        <v>36</v>
      </c>
      <c r="E288" s="13">
        <v>9</v>
      </c>
      <c r="F288" s="13">
        <v>85</v>
      </c>
      <c r="G288" s="13">
        <v>55</v>
      </c>
      <c r="H288" s="13">
        <v>0</v>
      </c>
      <c r="I288" s="14">
        <v>2.3611111111111112</v>
      </c>
      <c r="J288" s="14">
        <v>1.5277777777777779</v>
      </c>
      <c r="K288" s="14">
        <v>0</v>
      </c>
      <c r="L288" s="13">
        <v>0</v>
      </c>
      <c r="M288" t="str" cm="1">
        <f t="array" ref="M288">_xlfn.IFS(E288&lt;6, "0-6 Months", E288&lt;=12, "6-12 Months", E288&lt;=24, "12-24 Months", E288&gt;24, "24+ Months")</f>
        <v>6-12 Months</v>
      </c>
      <c r="N288" t="str" cm="1">
        <f t="array" ref="N288">_xlfn.IFS(E288&lt;6, "12-18 Months", E288&lt;=12, "18-24 Months", E288&lt;=24, "24+ Months", E288&gt;24, "24+ Months")</f>
        <v>18-24 Months</v>
      </c>
      <c r="O288" t="str" cm="1">
        <f t="array" ref="O288">_xlfn.IFS(D288&gt;=550, "Major", D288 &gt;= 100, "T1200", D288 &lt;100, "Other")</f>
        <v>Other</v>
      </c>
      <c r="P288">
        <f t="shared" si="4"/>
        <v>43</v>
      </c>
    </row>
    <row r="289" spans="1:16" x14ac:dyDescent="0.2">
      <c r="A289" s="12">
        <v>322638</v>
      </c>
      <c r="B289" s="12" t="s">
        <v>332</v>
      </c>
      <c r="C289" s="13">
        <v>10</v>
      </c>
      <c r="D289" s="13">
        <v>225</v>
      </c>
      <c r="E289" s="13">
        <v>19</v>
      </c>
      <c r="F289" s="13">
        <v>85</v>
      </c>
      <c r="G289" s="13">
        <v>30</v>
      </c>
      <c r="H289" s="13">
        <v>27</v>
      </c>
      <c r="I289" s="14">
        <v>0.37777777777777782</v>
      </c>
      <c r="J289" s="14">
        <v>0.1333333333333333</v>
      </c>
      <c r="K289" s="14">
        <v>0.12</v>
      </c>
      <c r="L289" s="13">
        <v>81</v>
      </c>
      <c r="M289" t="str" cm="1">
        <f t="array" ref="M289">_xlfn.IFS(E289&lt;6, "0-6 Months", E289&lt;=12, "6-12 Months", E289&lt;=24, "12-24 Months", E289&gt;24, "24+ Months")</f>
        <v>12-24 Months</v>
      </c>
      <c r="N289" t="str" cm="1">
        <f t="array" ref="N289">_xlfn.IFS(E289&lt;6, "12-18 Months", E289&lt;=12, "18-24 Months", E289&lt;=24, "24+ Months", E289&gt;24, "24+ Months")</f>
        <v>24+ Months</v>
      </c>
      <c r="O289" t="str" cm="1">
        <f t="array" ref="O289">_xlfn.IFS(D289&gt;=550, "Major", D289 &gt;= 100, "T1200", D289 &lt;100, "Other")</f>
        <v>T1200</v>
      </c>
      <c r="P289">
        <f t="shared" si="4"/>
        <v>0</v>
      </c>
    </row>
    <row r="290" spans="1:16" x14ac:dyDescent="0.2">
      <c r="A290" s="12">
        <v>307838</v>
      </c>
      <c r="B290" s="12" t="s">
        <v>366</v>
      </c>
      <c r="C290" s="13">
        <v>10</v>
      </c>
      <c r="D290" s="13">
        <v>32</v>
      </c>
      <c r="E290" s="13">
        <v>6</v>
      </c>
      <c r="F290" s="13">
        <v>83</v>
      </c>
      <c r="G290" s="13">
        <v>83</v>
      </c>
      <c r="H290" s="13">
        <v>83</v>
      </c>
      <c r="I290" s="14">
        <v>2.59375</v>
      </c>
      <c r="J290" s="14">
        <v>2.59375</v>
      </c>
      <c r="K290" s="14">
        <v>2.59375</v>
      </c>
      <c r="L290" s="13">
        <v>14</v>
      </c>
      <c r="M290" t="str" cm="1">
        <f t="array" ref="M290">_xlfn.IFS(E290&lt;6, "0-6 Months", E290&lt;=12, "6-12 Months", E290&lt;=24, "12-24 Months", E290&gt;24, "24+ Months")</f>
        <v>6-12 Months</v>
      </c>
      <c r="N290" t="str" cm="1">
        <f t="array" ref="N290">_xlfn.IFS(E290&lt;6, "12-18 Months", E290&lt;=12, "18-24 Months", E290&lt;=24, "24+ Months", E290&gt;24, "24+ Months")</f>
        <v>18-24 Months</v>
      </c>
      <c r="O290" t="str" cm="1">
        <f t="array" ref="O290">_xlfn.IFS(D290&gt;=550, "Major", D290 &gt;= 100, "T1200", D290 &lt;100, "Other")</f>
        <v>Other</v>
      </c>
      <c r="P290">
        <f t="shared" si="4"/>
        <v>10</v>
      </c>
    </row>
    <row r="291" spans="1:16" x14ac:dyDescent="0.2">
      <c r="A291" s="12">
        <v>488116</v>
      </c>
      <c r="B291" s="12" t="s">
        <v>367</v>
      </c>
      <c r="C291" s="13">
        <v>8</v>
      </c>
      <c r="D291" s="13">
        <v>8</v>
      </c>
      <c r="E291" s="13">
        <v>9</v>
      </c>
      <c r="F291" s="13">
        <v>83</v>
      </c>
      <c r="G291" s="13">
        <v>80</v>
      </c>
      <c r="H291" s="13">
        <v>77</v>
      </c>
      <c r="I291" s="14">
        <v>10.375</v>
      </c>
      <c r="J291" s="14">
        <v>10</v>
      </c>
      <c r="K291" s="14">
        <v>9.625</v>
      </c>
      <c r="L291" s="13">
        <v>19</v>
      </c>
      <c r="M291" t="str" cm="1">
        <f t="array" ref="M291">_xlfn.IFS(E291&lt;6, "0-6 Months", E291&lt;=12, "6-12 Months", E291&lt;=24, "12-24 Months", E291&gt;24, "24+ Months")</f>
        <v>6-12 Months</v>
      </c>
      <c r="N291" t="str" cm="1">
        <f t="array" ref="N291">_xlfn.IFS(E291&lt;6, "12-18 Months", E291&lt;=12, "18-24 Months", E291&lt;=24, "24+ Months", E291&gt;24, "24+ Months")</f>
        <v>18-24 Months</v>
      </c>
      <c r="O291" t="str" cm="1">
        <f t="array" ref="O291">_xlfn.IFS(D291&gt;=550, "Major", D291 &gt;= 100, "T1200", D291 &lt;100, "Other")</f>
        <v>Other</v>
      </c>
      <c r="P291">
        <f t="shared" si="4"/>
        <v>8</v>
      </c>
    </row>
    <row r="292" spans="1:16" x14ac:dyDescent="0.2">
      <c r="A292" s="12">
        <v>193540</v>
      </c>
      <c r="B292" s="12" t="s">
        <v>349</v>
      </c>
      <c r="C292" s="13">
        <v>80</v>
      </c>
      <c r="D292" s="13">
        <v>70</v>
      </c>
      <c r="E292" s="13">
        <v>16</v>
      </c>
      <c r="F292" s="13">
        <v>82</v>
      </c>
      <c r="G292" s="13">
        <v>0</v>
      </c>
      <c r="H292" s="13">
        <v>0</v>
      </c>
      <c r="I292" s="14">
        <v>1.171428571428571</v>
      </c>
      <c r="J292" s="14">
        <v>0</v>
      </c>
      <c r="K292" s="14">
        <v>0</v>
      </c>
      <c r="L292" s="13">
        <v>0</v>
      </c>
      <c r="M292" t="str" cm="1">
        <f t="array" ref="M292">_xlfn.IFS(E292&lt;6, "0-6 Months", E292&lt;=12, "6-12 Months", E292&lt;=24, "12-24 Months", E292&gt;24, "24+ Months")</f>
        <v>12-24 Months</v>
      </c>
      <c r="N292" t="str" cm="1">
        <f t="array" ref="N292">_xlfn.IFS(E292&lt;6, "12-18 Months", E292&lt;=12, "18-24 Months", E292&lt;=24, "24+ Months", E292&gt;24, "24+ Months")</f>
        <v>24+ Months</v>
      </c>
      <c r="O292" t="str" cm="1">
        <f t="array" ref="O292">_xlfn.IFS(D292&gt;=550, "Major", D292 &gt;= 100, "T1200", D292 &lt;100, "Other")</f>
        <v>Other</v>
      </c>
      <c r="P292">
        <f t="shared" si="4"/>
        <v>0</v>
      </c>
    </row>
    <row r="293" spans="1:16" x14ac:dyDescent="0.2">
      <c r="A293" s="12">
        <v>115901</v>
      </c>
      <c r="B293" s="12" t="s">
        <v>369</v>
      </c>
      <c r="C293" s="13">
        <v>48</v>
      </c>
      <c r="D293" s="13">
        <v>45</v>
      </c>
      <c r="E293" s="13">
        <v>14</v>
      </c>
      <c r="F293" s="13">
        <v>82</v>
      </c>
      <c r="G293" s="13">
        <v>82</v>
      </c>
      <c r="H293" s="13">
        <v>46</v>
      </c>
      <c r="I293" s="14">
        <v>1.822222222222222</v>
      </c>
      <c r="J293" s="14">
        <v>1.822222222222222</v>
      </c>
      <c r="K293" s="14">
        <v>1.0222222222222219</v>
      </c>
      <c r="L293" s="13">
        <v>5</v>
      </c>
      <c r="M293" t="str" cm="1">
        <f t="array" ref="M293">_xlfn.IFS(E293&lt;6, "0-6 Months", E293&lt;=12, "6-12 Months", E293&lt;=24, "12-24 Months", E293&gt;24, "24+ Months")</f>
        <v>12-24 Months</v>
      </c>
      <c r="N293" t="str" cm="1">
        <f t="array" ref="N293">_xlfn.IFS(E293&lt;6, "12-18 Months", E293&lt;=12, "18-24 Months", E293&lt;=24, "24+ Months", E293&gt;24, "24+ Months")</f>
        <v>24+ Months</v>
      </c>
      <c r="O293" t="str" cm="1">
        <f t="array" ref="O293">_xlfn.IFS(D293&gt;=550, "Major", D293 &gt;= 100, "T1200", D293 &lt;100, "Other")</f>
        <v>Other</v>
      </c>
      <c r="P293">
        <f t="shared" si="4"/>
        <v>0</v>
      </c>
    </row>
    <row r="294" spans="1:16" x14ac:dyDescent="0.2">
      <c r="A294" s="12">
        <v>543347</v>
      </c>
      <c r="B294" s="12" t="s">
        <v>254</v>
      </c>
      <c r="C294" s="13">
        <v>28</v>
      </c>
      <c r="D294" s="13">
        <v>104</v>
      </c>
      <c r="E294" s="13">
        <v>20</v>
      </c>
      <c r="F294" s="13">
        <v>80</v>
      </c>
      <c r="G294" s="13">
        <v>38</v>
      </c>
      <c r="H294" s="13">
        <v>0</v>
      </c>
      <c r="I294" s="14">
        <v>0.76923076923076927</v>
      </c>
      <c r="J294" s="14">
        <v>0.36538461538461542</v>
      </c>
      <c r="K294" s="14">
        <v>0</v>
      </c>
      <c r="L294" s="13">
        <v>0</v>
      </c>
      <c r="M294" t="str" cm="1">
        <f t="array" ref="M294">_xlfn.IFS(E294&lt;6, "0-6 Months", E294&lt;=12, "6-12 Months", E294&lt;=24, "12-24 Months", E294&gt;24, "24+ Months")</f>
        <v>12-24 Months</v>
      </c>
      <c r="N294" t="str" cm="1">
        <f t="array" ref="N294">_xlfn.IFS(E294&lt;6, "12-18 Months", E294&lt;=12, "18-24 Months", E294&lt;=24, "24+ Months", E294&gt;24, "24+ Months")</f>
        <v>24+ Months</v>
      </c>
      <c r="O294" t="str" cm="1">
        <f t="array" ref="O294">_xlfn.IFS(D294&gt;=550, "Major", D294 &gt;= 100, "T1200", D294 &lt;100, "Other")</f>
        <v>T1200</v>
      </c>
      <c r="P294">
        <f t="shared" si="4"/>
        <v>0</v>
      </c>
    </row>
    <row r="295" spans="1:16" x14ac:dyDescent="0.2">
      <c r="A295" s="12">
        <v>164112</v>
      </c>
      <c r="B295" s="12" t="s">
        <v>344</v>
      </c>
      <c r="C295" s="13">
        <v>27</v>
      </c>
      <c r="D295" s="13">
        <v>56</v>
      </c>
      <c r="E295" s="13">
        <v>7</v>
      </c>
      <c r="F295" s="13">
        <v>80</v>
      </c>
      <c r="G295" s="13">
        <v>28</v>
      </c>
      <c r="H295" s="13">
        <v>24</v>
      </c>
      <c r="I295" s="14">
        <v>1.428571428571429</v>
      </c>
      <c r="J295" s="14">
        <v>0.5</v>
      </c>
      <c r="K295" s="14">
        <v>0.42857142857142849</v>
      </c>
      <c r="L295" s="13">
        <v>0</v>
      </c>
      <c r="M295" t="str" cm="1">
        <f t="array" ref="M295">_xlfn.IFS(E295&lt;6, "0-6 Months", E295&lt;=12, "6-12 Months", E295&lt;=24, "12-24 Months", E295&gt;24, "24+ Months")</f>
        <v>6-12 Months</v>
      </c>
      <c r="N295" t="str" cm="1">
        <f t="array" ref="N295">_xlfn.IFS(E295&lt;6, "12-18 Months", E295&lt;=12, "18-24 Months", E295&lt;=24, "24+ Months", E295&gt;24, "24+ Months")</f>
        <v>18-24 Months</v>
      </c>
      <c r="O295" t="str" cm="1">
        <f t="array" ref="O295">_xlfn.IFS(D295&gt;=550, "Major", D295 &gt;= 100, "T1200", D295 &lt;100, "Other")</f>
        <v>Other</v>
      </c>
      <c r="P295">
        <f t="shared" si="4"/>
        <v>0</v>
      </c>
    </row>
    <row r="296" spans="1:16" x14ac:dyDescent="0.2">
      <c r="A296" s="12" t="s">
        <v>536</v>
      </c>
      <c r="B296" s="12" t="s">
        <v>535</v>
      </c>
      <c r="C296" s="13">
        <v>139</v>
      </c>
      <c r="D296" s="13">
        <v>30</v>
      </c>
      <c r="E296" s="13">
        <v>13</v>
      </c>
      <c r="F296" s="13">
        <v>78</v>
      </c>
      <c r="G296" s="13">
        <v>4</v>
      </c>
      <c r="H296" s="13">
        <v>4</v>
      </c>
      <c r="I296" s="14">
        <v>2.6</v>
      </c>
      <c r="J296" s="14">
        <v>0.1333333333333333</v>
      </c>
      <c r="K296" s="14">
        <v>0.1333333333333333</v>
      </c>
      <c r="L296" s="13">
        <v>3</v>
      </c>
      <c r="M296" t="str" cm="1">
        <f t="array" ref="M296">_xlfn.IFS(E296&lt;6, "0-6 Months", E296&lt;=12, "6-12 Months", E296&lt;=24, "12-24 Months", E296&gt;24, "24+ Months")</f>
        <v>12-24 Months</v>
      </c>
      <c r="N296" t="str" cm="1">
        <f t="array" ref="N296">_xlfn.IFS(E296&lt;6, "12-18 Months", E296&lt;=12, "18-24 Months", E296&lt;=24, "24+ Months", E296&gt;24, "24+ Months")</f>
        <v>24+ Months</v>
      </c>
      <c r="O296" t="str" cm="1">
        <f t="array" ref="O296">_xlfn.IFS(D296&gt;=550, "Major", D296 &gt;= 100, "T1200", D296 &lt;100, "Other")</f>
        <v>Other</v>
      </c>
      <c r="P296">
        <f t="shared" si="4"/>
        <v>139</v>
      </c>
    </row>
    <row r="297" spans="1:16" x14ac:dyDescent="0.2">
      <c r="A297" s="12">
        <v>108880</v>
      </c>
      <c r="B297" s="12" t="s">
        <v>357</v>
      </c>
      <c r="C297" s="13">
        <v>115</v>
      </c>
      <c r="D297" s="13">
        <v>95</v>
      </c>
      <c r="E297" s="13">
        <v>9</v>
      </c>
      <c r="F297" s="13">
        <v>76</v>
      </c>
      <c r="G297" s="13">
        <v>37</v>
      </c>
      <c r="H297" s="13">
        <v>4</v>
      </c>
      <c r="I297" s="14">
        <v>0.8</v>
      </c>
      <c r="J297" s="14">
        <v>0.38947368421052631</v>
      </c>
      <c r="K297" s="14">
        <v>4.2105263157894743E-2</v>
      </c>
      <c r="L297" s="13">
        <v>0</v>
      </c>
      <c r="M297" t="str" cm="1">
        <f t="array" ref="M297">_xlfn.IFS(E297&lt;6, "0-6 Months", E297&lt;=12, "6-12 Months", E297&lt;=24, "12-24 Months", E297&gt;24, "24+ Months")</f>
        <v>6-12 Months</v>
      </c>
      <c r="N297" t="str" cm="1">
        <f t="array" ref="N297">_xlfn.IFS(E297&lt;6, "12-18 Months", E297&lt;=12, "18-24 Months", E297&lt;=24, "24+ Months", E297&gt;24, "24+ Months")</f>
        <v>18-24 Months</v>
      </c>
      <c r="O297" t="str" cm="1">
        <f t="array" ref="O297">_xlfn.IFS(D297&gt;=550, "Major", D297 &gt;= 100, "T1200", D297 &lt;100, "Other")</f>
        <v>Other</v>
      </c>
      <c r="P297">
        <f t="shared" si="4"/>
        <v>0</v>
      </c>
    </row>
    <row r="298" spans="1:16" x14ac:dyDescent="0.2">
      <c r="A298" s="12">
        <v>106990</v>
      </c>
      <c r="B298" s="12" t="s">
        <v>289</v>
      </c>
      <c r="C298" s="13">
        <v>88</v>
      </c>
      <c r="D298" s="13">
        <v>84</v>
      </c>
      <c r="E298" s="13">
        <v>9</v>
      </c>
      <c r="F298" s="13">
        <v>76</v>
      </c>
      <c r="G298" s="13">
        <v>47</v>
      </c>
      <c r="H298" s="13">
        <v>0</v>
      </c>
      <c r="I298" s="14">
        <v>0.90476190476190477</v>
      </c>
      <c r="J298" s="14">
        <v>0.55952380952380953</v>
      </c>
      <c r="K298" s="14">
        <v>0</v>
      </c>
      <c r="L298" s="13">
        <v>98</v>
      </c>
      <c r="M298" t="str" cm="1">
        <f t="array" ref="M298">_xlfn.IFS(E298&lt;6, "0-6 Months", E298&lt;=12, "6-12 Months", E298&lt;=24, "12-24 Months", E298&gt;24, "24+ Months")</f>
        <v>6-12 Months</v>
      </c>
      <c r="N298" t="str" cm="1">
        <f t="array" ref="N298">_xlfn.IFS(E298&lt;6, "12-18 Months", E298&lt;=12, "18-24 Months", E298&lt;=24, "24+ Months", E298&gt;24, "24+ Months")</f>
        <v>18-24 Months</v>
      </c>
      <c r="O298" t="str" cm="1">
        <f t="array" ref="O298">_xlfn.IFS(D298&gt;=550, "Major", D298 &gt;= 100, "T1200", D298 &lt;100, "Other")</f>
        <v>Other</v>
      </c>
      <c r="P298">
        <f t="shared" si="4"/>
        <v>0</v>
      </c>
    </row>
    <row r="299" spans="1:16" x14ac:dyDescent="0.2">
      <c r="A299" s="12">
        <v>108263</v>
      </c>
      <c r="B299" s="12" t="s">
        <v>418</v>
      </c>
      <c r="C299" s="13">
        <v>0</v>
      </c>
      <c r="D299" s="13">
        <v>16</v>
      </c>
      <c r="E299" s="13">
        <v>13</v>
      </c>
      <c r="F299" s="13">
        <v>76</v>
      </c>
      <c r="G299" s="13">
        <v>48</v>
      </c>
      <c r="H299" s="13">
        <v>48</v>
      </c>
      <c r="I299" s="14">
        <v>4.75</v>
      </c>
      <c r="J299" s="14">
        <v>3</v>
      </c>
      <c r="K299" s="14">
        <v>3</v>
      </c>
      <c r="L299" s="13">
        <v>23</v>
      </c>
      <c r="M299" t="str" cm="1">
        <f t="array" ref="M299">_xlfn.IFS(E299&lt;6, "0-6 Months", E299&lt;=12, "6-12 Months", E299&lt;=24, "12-24 Months", E299&gt;24, "24+ Months")</f>
        <v>12-24 Months</v>
      </c>
      <c r="N299" t="str" cm="1">
        <f t="array" ref="N299">_xlfn.IFS(E299&lt;6, "12-18 Months", E299&lt;=12, "18-24 Months", E299&lt;=24, "24+ Months", E299&gt;24, "24+ Months")</f>
        <v>24+ Months</v>
      </c>
      <c r="O299" t="str" cm="1">
        <f t="array" ref="O299">_xlfn.IFS(D299&gt;=550, "Major", D299 &gt;= 100, "T1200", D299 &lt;100, "Other")</f>
        <v>Other</v>
      </c>
      <c r="P299">
        <f t="shared" si="4"/>
        <v>0</v>
      </c>
    </row>
    <row r="300" spans="1:16" x14ac:dyDescent="0.2">
      <c r="A300" s="12">
        <v>133567</v>
      </c>
      <c r="B300" s="12" t="s">
        <v>382</v>
      </c>
      <c r="C300" s="13">
        <v>463</v>
      </c>
      <c r="D300" s="13">
        <v>340</v>
      </c>
      <c r="E300" s="13">
        <v>12</v>
      </c>
      <c r="F300" s="13">
        <v>75</v>
      </c>
      <c r="G300" s="13">
        <v>0</v>
      </c>
      <c r="H300" s="13">
        <v>0</v>
      </c>
      <c r="I300" s="14">
        <v>0.22058823529411761</v>
      </c>
      <c r="J300" s="14">
        <v>0</v>
      </c>
      <c r="K300" s="14">
        <v>0</v>
      </c>
      <c r="L300" s="13">
        <v>0</v>
      </c>
      <c r="M300" t="str" cm="1">
        <f t="array" ref="M300">_xlfn.IFS(E300&lt;6, "0-6 Months", E300&lt;=12, "6-12 Months", E300&lt;=24, "12-24 Months", E300&gt;24, "24+ Months")</f>
        <v>6-12 Months</v>
      </c>
      <c r="N300" t="str" cm="1">
        <f t="array" ref="N300">_xlfn.IFS(E300&lt;6, "12-18 Months", E300&lt;=12, "18-24 Months", E300&lt;=24, "24+ Months", E300&gt;24, "24+ Months")</f>
        <v>18-24 Months</v>
      </c>
      <c r="O300" t="str" cm="1">
        <f t="array" ref="O300">_xlfn.IFS(D300&gt;=550, "Major", D300 &gt;= 100, "T1200", D300 &lt;100, "Other")</f>
        <v>T1200</v>
      </c>
      <c r="P300">
        <f t="shared" si="4"/>
        <v>0</v>
      </c>
    </row>
    <row r="301" spans="1:16" x14ac:dyDescent="0.2">
      <c r="A301" s="12">
        <v>116203</v>
      </c>
      <c r="B301" s="12" t="s">
        <v>359</v>
      </c>
      <c r="C301" s="13">
        <v>22</v>
      </c>
      <c r="D301" s="13">
        <v>27</v>
      </c>
      <c r="E301" s="13">
        <v>13</v>
      </c>
      <c r="F301" s="13">
        <v>75</v>
      </c>
      <c r="G301" s="13">
        <v>24</v>
      </c>
      <c r="H301" s="13">
        <v>7</v>
      </c>
      <c r="I301" s="14">
        <v>2.7777777777777781</v>
      </c>
      <c r="J301" s="14">
        <v>0.88888888888888884</v>
      </c>
      <c r="K301" s="14">
        <v>0.25925925925925919</v>
      </c>
      <c r="L301" s="13">
        <v>67</v>
      </c>
      <c r="M301" t="str" cm="1">
        <f t="array" ref="M301">_xlfn.IFS(E301&lt;6, "0-6 Months", E301&lt;=12, "6-12 Months", E301&lt;=24, "12-24 Months", E301&gt;24, "24+ Months")</f>
        <v>12-24 Months</v>
      </c>
      <c r="N301" t="str" cm="1">
        <f t="array" ref="N301">_xlfn.IFS(E301&lt;6, "12-18 Months", E301&lt;=12, "18-24 Months", E301&lt;=24, "24+ Months", E301&gt;24, "24+ Months")</f>
        <v>24+ Months</v>
      </c>
      <c r="O301" t="str" cm="1">
        <f t="array" ref="O301">_xlfn.IFS(D301&gt;=550, "Major", D301 &gt;= 100, "T1200", D301 &lt;100, "Other")</f>
        <v>Other</v>
      </c>
      <c r="P301">
        <f t="shared" si="4"/>
        <v>22</v>
      </c>
    </row>
    <row r="302" spans="1:16" x14ac:dyDescent="0.2">
      <c r="A302" s="12">
        <v>579148</v>
      </c>
      <c r="B302" s="12" t="s">
        <v>363</v>
      </c>
      <c r="C302" s="13">
        <v>1</v>
      </c>
      <c r="D302" s="13">
        <v>6</v>
      </c>
      <c r="E302" s="13">
        <v>8</v>
      </c>
      <c r="F302" s="13">
        <v>74</v>
      </c>
      <c r="G302" s="13">
        <v>74</v>
      </c>
      <c r="H302" s="13">
        <v>0</v>
      </c>
      <c r="I302" s="14">
        <v>12.33333333333333</v>
      </c>
      <c r="J302" s="14">
        <v>12.33333333333333</v>
      </c>
      <c r="K302" s="14">
        <v>0</v>
      </c>
      <c r="L302" s="13">
        <v>84</v>
      </c>
      <c r="M302" t="str" cm="1">
        <f t="array" ref="M302">_xlfn.IFS(E302&lt;6, "0-6 Months", E302&lt;=12, "6-12 Months", E302&lt;=24, "12-24 Months", E302&gt;24, "24+ Months")</f>
        <v>6-12 Months</v>
      </c>
      <c r="N302" t="str" cm="1">
        <f t="array" ref="N302">_xlfn.IFS(E302&lt;6, "12-18 Months", E302&lt;=12, "18-24 Months", E302&lt;=24, "24+ Months", E302&gt;24, "24+ Months")</f>
        <v>18-24 Months</v>
      </c>
      <c r="O302" t="str" cm="1">
        <f t="array" ref="O302">_xlfn.IFS(D302&gt;=550, "Major", D302 &gt;= 100, "T1200", D302 &lt;100, "Other")</f>
        <v>Other</v>
      </c>
      <c r="P302">
        <f t="shared" si="4"/>
        <v>1</v>
      </c>
    </row>
    <row r="303" spans="1:16" x14ac:dyDescent="0.2">
      <c r="A303" s="12">
        <v>109744</v>
      </c>
      <c r="B303" s="12" t="s">
        <v>452</v>
      </c>
      <c r="C303" s="13">
        <v>1571</v>
      </c>
      <c r="D303" s="13">
        <v>1962</v>
      </c>
      <c r="E303" s="13">
        <v>10</v>
      </c>
      <c r="F303" s="13">
        <v>72</v>
      </c>
      <c r="G303" s="13">
        <v>16</v>
      </c>
      <c r="H303" s="13">
        <v>6</v>
      </c>
      <c r="I303" s="14">
        <v>3.669724770642202E-2</v>
      </c>
      <c r="J303" s="14">
        <v>8.1549439347604492E-3</v>
      </c>
      <c r="K303" s="14">
        <v>3.0581039755351678E-3</v>
      </c>
      <c r="L303" s="13">
        <v>5</v>
      </c>
      <c r="M303" t="str" cm="1">
        <f t="array" ref="M303">_xlfn.IFS(E303&lt;6, "0-6 Months", E303&lt;=12, "6-12 Months", E303&lt;=24, "12-24 Months", E303&gt;24, "24+ Months")</f>
        <v>6-12 Months</v>
      </c>
      <c r="N303" t="str" cm="1">
        <f t="array" ref="N303">_xlfn.IFS(E303&lt;6, "12-18 Months", E303&lt;=12, "18-24 Months", E303&lt;=24, "24+ Months", E303&gt;24, "24+ Months")</f>
        <v>18-24 Months</v>
      </c>
      <c r="O303" t="str" cm="1">
        <f t="array" ref="O303">_xlfn.IFS(D303&gt;=550, "Major", D303 &gt;= 100, "T1200", D303 &lt;100, "Other")</f>
        <v>Major</v>
      </c>
      <c r="P303">
        <f t="shared" si="4"/>
        <v>0</v>
      </c>
    </row>
    <row r="304" spans="1:16" x14ac:dyDescent="0.2">
      <c r="A304" s="12">
        <v>108003</v>
      </c>
      <c r="B304" s="12" t="s">
        <v>342</v>
      </c>
      <c r="C304" s="13">
        <v>79</v>
      </c>
      <c r="D304" s="13">
        <v>75</v>
      </c>
      <c r="E304" s="13">
        <v>24</v>
      </c>
      <c r="F304" s="13">
        <v>72</v>
      </c>
      <c r="G304" s="13">
        <v>19</v>
      </c>
      <c r="H304" s="13">
        <v>16</v>
      </c>
      <c r="I304" s="14">
        <v>0.96</v>
      </c>
      <c r="J304" s="14">
        <v>0.25333333333333341</v>
      </c>
      <c r="K304" s="14">
        <v>0.21333333333333329</v>
      </c>
      <c r="L304" s="13">
        <v>0</v>
      </c>
      <c r="M304" t="str" cm="1">
        <f t="array" ref="M304">_xlfn.IFS(E304&lt;6, "0-6 Months", E304&lt;=12, "6-12 Months", E304&lt;=24, "12-24 Months", E304&gt;24, "24+ Months")</f>
        <v>12-24 Months</v>
      </c>
      <c r="N304" t="str" cm="1">
        <f t="array" ref="N304">_xlfn.IFS(E304&lt;6, "12-18 Months", E304&lt;=12, "18-24 Months", E304&lt;=24, "24+ Months", E304&gt;24, "24+ Months")</f>
        <v>24+ Months</v>
      </c>
      <c r="O304" t="str" cm="1">
        <f t="array" ref="O304">_xlfn.IFS(D304&gt;=550, "Major", D304 &gt;= 100, "T1200", D304 &lt;100, "Other")</f>
        <v>Other</v>
      </c>
      <c r="P304">
        <f t="shared" si="4"/>
        <v>0</v>
      </c>
    </row>
    <row r="305" spans="1:16" x14ac:dyDescent="0.2">
      <c r="A305" s="12">
        <v>132998</v>
      </c>
      <c r="B305" s="12" t="s">
        <v>362</v>
      </c>
      <c r="C305" s="13">
        <v>82</v>
      </c>
      <c r="D305" s="13">
        <v>80</v>
      </c>
      <c r="E305" s="13">
        <v>8</v>
      </c>
      <c r="F305" s="13">
        <v>71</v>
      </c>
      <c r="G305" s="13">
        <v>5</v>
      </c>
      <c r="H305" s="13">
        <v>5</v>
      </c>
      <c r="I305" s="14">
        <v>0.88749999999999996</v>
      </c>
      <c r="J305" s="14">
        <v>6.25E-2</v>
      </c>
      <c r="K305" s="14">
        <v>6.25E-2</v>
      </c>
      <c r="L305" s="13">
        <v>4</v>
      </c>
      <c r="M305" t="str" cm="1">
        <f t="array" ref="M305">_xlfn.IFS(E305&lt;6, "0-6 Months", E305&lt;=12, "6-12 Months", E305&lt;=24, "12-24 Months", E305&gt;24, "24+ Months")</f>
        <v>6-12 Months</v>
      </c>
      <c r="N305" t="str" cm="1">
        <f t="array" ref="N305">_xlfn.IFS(E305&lt;6, "12-18 Months", E305&lt;=12, "18-24 Months", E305&lt;=24, "24+ Months", E305&gt;24, "24+ Months")</f>
        <v>18-24 Months</v>
      </c>
      <c r="O305" t="str" cm="1">
        <f t="array" ref="O305">_xlfn.IFS(D305&gt;=550, "Major", D305 &gt;= 100, "T1200", D305 &lt;100, "Other")</f>
        <v>Other</v>
      </c>
      <c r="P305">
        <f t="shared" si="4"/>
        <v>0</v>
      </c>
    </row>
    <row r="306" spans="1:16" x14ac:dyDescent="0.2">
      <c r="A306" s="12">
        <v>109149</v>
      </c>
      <c r="B306" s="12" t="s">
        <v>405</v>
      </c>
      <c r="C306" s="13">
        <v>14</v>
      </c>
      <c r="D306" s="13">
        <v>14</v>
      </c>
      <c r="E306" s="13">
        <v>10</v>
      </c>
      <c r="F306" s="13">
        <v>71</v>
      </c>
      <c r="G306" s="13">
        <v>0</v>
      </c>
      <c r="H306" s="13">
        <v>0</v>
      </c>
      <c r="I306" s="14">
        <v>5.0714285714285712</v>
      </c>
      <c r="J306" s="14">
        <v>0</v>
      </c>
      <c r="K306" s="14">
        <v>0</v>
      </c>
      <c r="L306" s="13">
        <v>0</v>
      </c>
      <c r="M306" t="str" cm="1">
        <f t="array" ref="M306">_xlfn.IFS(E306&lt;6, "0-6 Months", E306&lt;=12, "6-12 Months", E306&lt;=24, "12-24 Months", E306&gt;24, "24+ Months")</f>
        <v>6-12 Months</v>
      </c>
      <c r="N306" t="str" cm="1">
        <f t="array" ref="N306">_xlfn.IFS(E306&lt;6, "12-18 Months", E306&lt;=12, "18-24 Months", E306&lt;=24, "24+ Months", E306&gt;24, "24+ Months")</f>
        <v>18-24 Months</v>
      </c>
      <c r="O306" t="str" cm="1">
        <f t="array" ref="O306">_xlfn.IFS(D306&gt;=550, "Major", D306 &gt;= 100, "T1200", D306 &lt;100, "Other")</f>
        <v>Other</v>
      </c>
      <c r="P306">
        <f t="shared" si="4"/>
        <v>14</v>
      </c>
    </row>
    <row r="307" spans="1:16" x14ac:dyDescent="0.2">
      <c r="A307" s="12">
        <v>521948</v>
      </c>
      <c r="B307" s="12" t="s">
        <v>458</v>
      </c>
      <c r="C307" s="13">
        <v>25</v>
      </c>
      <c r="D307" s="13">
        <v>17</v>
      </c>
      <c r="E307" s="13">
        <v>10</v>
      </c>
      <c r="F307" s="13">
        <v>70</v>
      </c>
      <c r="G307" s="13">
        <v>65</v>
      </c>
      <c r="H307" s="13">
        <v>65</v>
      </c>
      <c r="I307" s="14">
        <v>4.117647058823529</v>
      </c>
      <c r="J307" s="14">
        <v>3.8235294117647061</v>
      </c>
      <c r="K307" s="14">
        <v>3.8235294117647061</v>
      </c>
      <c r="L307" s="13">
        <v>2</v>
      </c>
      <c r="M307" t="str" cm="1">
        <f t="array" ref="M307">_xlfn.IFS(E307&lt;6, "0-6 Months", E307&lt;=12, "6-12 Months", E307&lt;=24, "12-24 Months", E307&gt;24, "24+ Months")</f>
        <v>6-12 Months</v>
      </c>
      <c r="N307" t="str" cm="1">
        <f t="array" ref="N307">_xlfn.IFS(E307&lt;6, "12-18 Months", E307&lt;=12, "18-24 Months", E307&lt;=24, "24+ Months", E307&gt;24, "24+ Months")</f>
        <v>18-24 Months</v>
      </c>
      <c r="O307" t="str" cm="1">
        <f t="array" ref="O307">_xlfn.IFS(D307&gt;=550, "Major", D307 &gt;= 100, "T1200", D307 &lt;100, "Other")</f>
        <v>Other</v>
      </c>
      <c r="P307">
        <f t="shared" si="4"/>
        <v>25</v>
      </c>
    </row>
    <row r="308" spans="1:16" x14ac:dyDescent="0.2">
      <c r="A308" s="12">
        <v>328024</v>
      </c>
      <c r="B308" s="12" t="s">
        <v>313</v>
      </c>
      <c r="C308" s="13">
        <v>85</v>
      </c>
      <c r="D308" s="13">
        <v>64</v>
      </c>
      <c r="E308" s="13">
        <v>17</v>
      </c>
      <c r="F308" s="13">
        <v>69</v>
      </c>
      <c r="G308" s="13">
        <v>0</v>
      </c>
      <c r="H308" s="13">
        <v>0</v>
      </c>
      <c r="I308" s="14">
        <v>1.078125</v>
      </c>
      <c r="J308" s="14">
        <v>0</v>
      </c>
      <c r="K308" s="14">
        <v>0</v>
      </c>
      <c r="L308" s="13">
        <v>0</v>
      </c>
      <c r="M308" t="str" cm="1">
        <f t="array" ref="M308">_xlfn.IFS(E308&lt;6, "0-6 Months", E308&lt;=12, "6-12 Months", E308&lt;=24, "12-24 Months", E308&gt;24, "24+ Months")</f>
        <v>12-24 Months</v>
      </c>
      <c r="N308" t="str" cm="1">
        <f t="array" ref="N308">_xlfn.IFS(E308&lt;6, "12-18 Months", E308&lt;=12, "18-24 Months", E308&lt;=24, "24+ Months", E308&gt;24, "24+ Months")</f>
        <v>24+ Months</v>
      </c>
      <c r="O308" t="str" cm="1">
        <f t="array" ref="O308">_xlfn.IFS(D308&gt;=550, "Major", D308 &gt;= 100, "T1200", D308 &lt;100, "Other")</f>
        <v>Other</v>
      </c>
      <c r="P308">
        <f t="shared" si="4"/>
        <v>0</v>
      </c>
    </row>
    <row r="309" spans="1:16" x14ac:dyDescent="0.2">
      <c r="A309" s="12">
        <v>493856</v>
      </c>
      <c r="B309" s="12" t="s">
        <v>365</v>
      </c>
      <c r="C309" s="13">
        <v>25</v>
      </c>
      <c r="D309" s="13">
        <v>2</v>
      </c>
      <c r="E309" s="13">
        <v>10</v>
      </c>
      <c r="F309" s="13">
        <v>68</v>
      </c>
      <c r="G309" s="13">
        <v>48</v>
      </c>
      <c r="H309" s="13">
        <v>0</v>
      </c>
      <c r="I309" s="14">
        <v>34</v>
      </c>
      <c r="J309" s="14">
        <v>24</v>
      </c>
      <c r="K309" s="14">
        <v>0</v>
      </c>
      <c r="L309" s="13">
        <v>41</v>
      </c>
      <c r="M309" t="str" cm="1">
        <f t="array" ref="M309">_xlfn.IFS(E309&lt;6, "0-6 Months", E309&lt;=12, "6-12 Months", E309&lt;=24, "12-24 Months", E309&gt;24, "24+ Months")</f>
        <v>6-12 Months</v>
      </c>
      <c r="N309" t="str" cm="1">
        <f t="array" ref="N309">_xlfn.IFS(E309&lt;6, "12-18 Months", E309&lt;=12, "18-24 Months", E309&lt;=24, "24+ Months", E309&gt;24, "24+ Months")</f>
        <v>18-24 Months</v>
      </c>
      <c r="O309" t="str" cm="1">
        <f t="array" ref="O309">_xlfn.IFS(D309&gt;=550, "Major", D309 &gt;= 100, "T1200", D309 &lt;100, "Other")</f>
        <v>Other</v>
      </c>
      <c r="P309">
        <f t="shared" si="4"/>
        <v>25</v>
      </c>
    </row>
    <row r="310" spans="1:16" x14ac:dyDescent="0.2">
      <c r="A310" s="12">
        <v>462647</v>
      </c>
      <c r="B310" s="12" t="s">
        <v>352</v>
      </c>
      <c r="C310" s="13">
        <v>2</v>
      </c>
      <c r="D310" s="13">
        <v>32</v>
      </c>
      <c r="E310" s="13">
        <v>6</v>
      </c>
      <c r="F310" s="13">
        <v>68</v>
      </c>
      <c r="G310" s="13">
        <v>68</v>
      </c>
      <c r="H310" s="13">
        <v>46</v>
      </c>
      <c r="I310" s="14">
        <v>2.125</v>
      </c>
      <c r="J310" s="14">
        <v>2.125</v>
      </c>
      <c r="K310" s="14">
        <v>1.4375</v>
      </c>
      <c r="L310" s="13">
        <v>80</v>
      </c>
      <c r="M310" t="str" cm="1">
        <f t="array" ref="M310">_xlfn.IFS(E310&lt;6, "0-6 Months", E310&lt;=12, "6-12 Months", E310&lt;=24, "12-24 Months", E310&gt;24, "24+ Months")</f>
        <v>6-12 Months</v>
      </c>
      <c r="N310" t="str" cm="1">
        <f t="array" ref="N310">_xlfn.IFS(E310&lt;6, "12-18 Months", E310&lt;=12, "18-24 Months", E310&lt;=24, "24+ Months", E310&gt;24, "24+ Months")</f>
        <v>18-24 Months</v>
      </c>
      <c r="O310" t="str" cm="1">
        <f t="array" ref="O310">_xlfn.IFS(D310&gt;=550, "Major", D310 &gt;= 100, "T1200", D310 &lt;100, "Other")</f>
        <v>Other</v>
      </c>
      <c r="P310">
        <f t="shared" si="4"/>
        <v>2</v>
      </c>
    </row>
    <row r="311" spans="1:16" x14ac:dyDescent="0.2">
      <c r="A311" s="12">
        <v>164536</v>
      </c>
      <c r="B311" s="12" t="s">
        <v>454</v>
      </c>
      <c r="C311" s="13">
        <v>196</v>
      </c>
      <c r="D311" s="13">
        <v>195</v>
      </c>
      <c r="E311" s="13">
        <v>25</v>
      </c>
      <c r="F311" s="13">
        <v>67</v>
      </c>
      <c r="G311" s="13">
        <v>8</v>
      </c>
      <c r="H311" s="13">
        <v>2</v>
      </c>
      <c r="I311" s="14">
        <v>0.34358974358974359</v>
      </c>
      <c r="J311" s="14">
        <v>4.1025641025641033E-2</v>
      </c>
      <c r="K311" s="14">
        <v>1.025641025641026E-2</v>
      </c>
      <c r="L311" s="13">
        <v>7</v>
      </c>
      <c r="M311" t="str" cm="1">
        <f t="array" ref="M311">_xlfn.IFS(E311&lt;6, "0-6 Months", E311&lt;=12, "6-12 Months", E311&lt;=24, "12-24 Months", E311&gt;24, "24+ Months")</f>
        <v>24+ Months</v>
      </c>
      <c r="N311" t="str" cm="1">
        <f t="array" ref="N311">_xlfn.IFS(E311&lt;6, "12-18 Months", E311&lt;=12, "18-24 Months", E311&lt;=24, "24+ Months", E311&gt;24, "24+ Months")</f>
        <v>24+ Months</v>
      </c>
      <c r="O311" t="str" cm="1">
        <f t="array" ref="O311">_xlfn.IFS(D311&gt;=550, "Major", D311 &gt;= 100, "T1200", D311 &lt;100, "Other")</f>
        <v>T1200</v>
      </c>
      <c r="P311">
        <f t="shared" si="4"/>
        <v>0</v>
      </c>
    </row>
    <row r="312" spans="1:16" x14ac:dyDescent="0.2">
      <c r="A312" s="12">
        <v>105706</v>
      </c>
      <c r="B312" s="12" t="s">
        <v>370</v>
      </c>
      <c r="C312" s="13">
        <v>760</v>
      </c>
      <c r="D312" s="13">
        <v>778</v>
      </c>
      <c r="E312" s="13">
        <v>34</v>
      </c>
      <c r="F312" s="13">
        <v>66</v>
      </c>
      <c r="G312" s="13">
        <v>26</v>
      </c>
      <c r="H312" s="13">
        <v>20</v>
      </c>
      <c r="I312" s="14">
        <v>8.4832904884318772E-2</v>
      </c>
      <c r="J312" s="14">
        <v>3.3419023136246777E-2</v>
      </c>
      <c r="K312" s="14">
        <v>2.570694087403599E-2</v>
      </c>
      <c r="L312" s="13">
        <v>807</v>
      </c>
      <c r="M312" t="str" cm="1">
        <f t="array" ref="M312">_xlfn.IFS(E312&lt;6, "0-6 Months", E312&lt;=12, "6-12 Months", E312&lt;=24, "12-24 Months", E312&gt;24, "24+ Months")</f>
        <v>24+ Months</v>
      </c>
      <c r="N312" t="str" cm="1">
        <f t="array" ref="N312">_xlfn.IFS(E312&lt;6, "12-18 Months", E312&lt;=12, "18-24 Months", E312&lt;=24, "24+ Months", E312&gt;24, "24+ Months")</f>
        <v>24+ Months</v>
      </c>
      <c r="O312" t="str" cm="1">
        <f t="array" ref="O312">_xlfn.IFS(D312&gt;=550, "Major", D312 &gt;= 100, "T1200", D312 &lt;100, "Other")</f>
        <v>Major</v>
      </c>
      <c r="P312">
        <f t="shared" si="4"/>
        <v>0</v>
      </c>
    </row>
    <row r="313" spans="1:16" x14ac:dyDescent="0.2">
      <c r="A313" s="12">
        <v>228700</v>
      </c>
      <c r="B313" s="12" t="s">
        <v>429</v>
      </c>
      <c r="C313" s="13">
        <v>608</v>
      </c>
      <c r="D313" s="13">
        <v>550</v>
      </c>
      <c r="E313" s="13">
        <v>16</v>
      </c>
      <c r="F313" s="13">
        <v>66</v>
      </c>
      <c r="G313" s="13">
        <v>21</v>
      </c>
      <c r="H313" s="13">
        <v>7</v>
      </c>
      <c r="I313" s="14">
        <v>0.12</v>
      </c>
      <c r="J313" s="14">
        <v>3.8181818181818178E-2</v>
      </c>
      <c r="K313" s="14">
        <v>1.2727272727272729E-2</v>
      </c>
      <c r="L313" s="13">
        <v>15</v>
      </c>
      <c r="M313" t="str" cm="1">
        <f t="array" ref="M313">_xlfn.IFS(E313&lt;6, "0-6 Months", E313&lt;=12, "6-12 Months", E313&lt;=24, "12-24 Months", E313&gt;24, "24+ Months")</f>
        <v>12-24 Months</v>
      </c>
      <c r="N313" t="str" cm="1">
        <f t="array" ref="N313">_xlfn.IFS(E313&lt;6, "12-18 Months", E313&lt;=12, "18-24 Months", E313&lt;=24, "24+ Months", E313&gt;24, "24+ Months")</f>
        <v>24+ Months</v>
      </c>
      <c r="O313" t="str" cm="1">
        <f t="array" ref="O313">_xlfn.IFS(D313&gt;=550, "Major", D313 &gt;= 100, "T1200", D313 &lt;100, "Other")</f>
        <v>Major</v>
      </c>
      <c r="P313">
        <f t="shared" si="4"/>
        <v>0</v>
      </c>
    </row>
    <row r="314" spans="1:16" x14ac:dyDescent="0.2">
      <c r="A314" s="12">
        <v>158258</v>
      </c>
      <c r="B314" s="12" t="s">
        <v>361</v>
      </c>
      <c r="C314" s="13">
        <v>250</v>
      </c>
      <c r="D314" s="13">
        <v>223</v>
      </c>
      <c r="E314" s="13">
        <v>40</v>
      </c>
      <c r="F314" s="13">
        <v>66</v>
      </c>
      <c r="G314" s="13">
        <v>66</v>
      </c>
      <c r="H314" s="13">
        <v>25</v>
      </c>
      <c r="I314" s="14">
        <v>0.29596412556053808</v>
      </c>
      <c r="J314" s="14">
        <v>0.29596412556053808</v>
      </c>
      <c r="K314" s="14">
        <v>0.1121076233183857</v>
      </c>
      <c r="L314" s="13">
        <v>106</v>
      </c>
      <c r="M314" t="str" cm="1">
        <f t="array" ref="M314">_xlfn.IFS(E314&lt;6, "0-6 Months", E314&lt;=12, "6-12 Months", E314&lt;=24, "12-24 Months", E314&gt;24, "24+ Months")</f>
        <v>24+ Months</v>
      </c>
      <c r="N314" t="str" cm="1">
        <f t="array" ref="N314">_xlfn.IFS(E314&lt;6, "12-18 Months", E314&lt;=12, "18-24 Months", E314&lt;=24, "24+ Months", E314&gt;24, "24+ Months")</f>
        <v>24+ Months</v>
      </c>
      <c r="O314" t="str" cm="1">
        <f t="array" ref="O314">_xlfn.IFS(D314&gt;=550, "Major", D314 &gt;= 100, "T1200", D314 &lt;100, "Other")</f>
        <v>T1200</v>
      </c>
      <c r="P314">
        <f t="shared" si="4"/>
        <v>0</v>
      </c>
    </row>
    <row r="315" spans="1:16" x14ac:dyDescent="0.2">
      <c r="A315" s="12">
        <v>109678</v>
      </c>
      <c r="B315" s="12" t="s">
        <v>379</v>
      </c>
      <c r="C315" s="13">
        <v>157</v>
      </c>
      <c r="D315" s="13">
        <v>150</v>
      </c>
      <c r="E315" s="13">
        <v>7</v>
      </c>
      <c r="F315" s="13">
        <v>66</v>
      </c>
      <c r="G315" s="13">
        <v>23</v>
      </c>
      <c r="H315" s="13">
        <v>14</v>
      </c>
      <c r="I315" s="14">
        <v>0.44</v>
      </c>
      <c r="J315" s="14">
        <v>0.15333333333333329</v>
      </c>
      <c r="K315" s="14">
        <v>9.3333333333333338E-2</v>
      </c>
      <c r="L315" s="13">
        <v>35</v>
      </c>
      <c r="M315" t="str" cm="1">
        <f t="array" ref="M315">_xlfn.IFS(E315&lt;6, "0-6 Months", E315&lt;=12, "6-12 Months", E315&lt;=24, "12-24 Months", E315&gt;24, "24+ Months")</f>
        <v>6-12 Months</v>
      </c>
      <c r="N315" t="str" cm="1">
        <f t="array" ref="N315">_xlfn.IFS(E315&lt;6, "12-18 Months", E315&lt;=12, "18-24 Months", E315&lt;=24, "24+ Months", E315&gt;24, "24+ Months")</f>
        <v>18-24 Months</v>
      </c>
      <c r="O315" t="str" cm="1">
        <f t="array" ref="O315">_xlfn.IFS(D315&gt;=550, "Major", D315 &gt;= 100, "T1200", D315 &lt;100, "Other")</f>
        <v>T1200</v>
      </c>
      <c r="P315">
        <f t="shared" si="4"/>
        <v>0</v>
      </c>
    </row>
    <row r="316" spans="1:16" x14ac:dyDescent="0.2">
      <c r="A316" s="12">
        <v>336327</v>
      </c>
      <c r="B316" s="12" t="s">
        <v>372</v>
      </c>
      <c r="C316" s="13">
        <v>82</v>
      </c>
      <c r="D316" s="13">
        <v>119</v>
      </c>
      <c r="E316" s="13">
        <v>12</v>
      </c>
      <c r="F316" s="13">
        <v>66</v>
      </c>
      <c r="G316" s="13">
        <v>33</v>
      </c>
      <c r="H316" s="13">
        <v>1</v>
      </c>
      <c r="I316" s="14">
        <v>0.55462184873949583</v>
      </c>
      <c r="J316" s="14">
        <v>0.27731092436974791</v>
      </c>
      <c r="K316" s="14">
        <v>8.4033613445378148E-3</v>
      </c>
      <c r="L316" s="13">
        <v>6</v>
      </c>
      <c r="M316" t="str" cm="1">
        <f t="array" ref="M316">_xlfn.IFS(E316&lt;6, "0-6 Months", E316&lt;=12, "6-12 Months", E316&lt;=24, "12-24 Months", E316&gt;24, "24+ Months")</f>
        <v>6-12 Months</v>
      </c>
      <c r="N316" t="str" cm="1">
        <f t="array" ref="N316">_xlfn.IFS(E316&lt;6, "12-18 Months", E316&lt;=12, "18-24 Months", E316&lt;=24, "24+ Months", E316&gt;24, "24+ Months")</f>
        <v>18-24 Months</v>
      </c>
      <c r="O316" t="str" cm="1">
        <f t="array" ref="O316">_xlfn.IFS(D316&gt;=550, "Major", D316 &gt;= 100, "T1200", D316 &lt;100, "Other")</f>
        <v>T1200</v>
      </c>
      <c r="P316">
        <f t="shared" si="4"/>
        <v>0</v>
      </c>
    </row>
    <row r="317" spans="1:16" x14ac:dyDescent="0.2">
      <c r="A317" s="12">
        <v>148303</v>
      </c>
      <c r="B317" s="12" t="s">
        <v>364</v>
      </c>
      <c r="C317" s="13">
        <v>15</v>
      </c>
      <c r="D317" s="13">
        <v>11</v>
      </c>
      <c r="E317" s="13">
        <v>7</v>
      </c>
      <c r="F317" s="13">
        <v>66</v>
      </c>
      <c r="G317" s="13">
        <v>59</v>
      </c>
      <c r="H317" s="13">
        <v>45</v>
      </c>
      <c r="I317" s="14">
        <v>6</v>
      </c>
      <c r="J317" s="14">
        <v>5.3636363636363633</v>
      </c>
      <c r="K317" s="14">
        <v>4.0909090909090908</v>
      </c>
      <c r="L317" s="13">
        <v>35</v>
      </c>
      <c r="M317" t="str" cm="1">
        <f t="array" ref="M317">_xlfn.IFS(E317&lt;6, "0-6 Months", E317&lt;=12, "6-12 Months", E317&lt;=24, "12-24 Months", E317&gt;24, "24+ Months")</f>
        <v>6-12 Months</v>
      </c>
      <c r="N317" t="str" cm="1">
        <f t="array" ref="N317">_xlfn.IFS(E317&lt;6, "12-18 Months", E317&lt;=12, "18-24 Months", E317&lt;=24, "24+ Months", E317&gt;24, "24+ Months")</f>
        <v>18-24 Months</v>
      </c>
      <c r="O317" t="str" cm="1">
        <f t="array" ref="O317">_xlfn.IFS(D317&gt;=550, "Major", D317 &gt;= 100, "T1200", D317 &lt;100, "Other")</f>
        <v>Other</v>
      </c>
      <c r="P317">
        <f t="shared" si="4"/>
        <v>15</v>
      </c>
    </row>
    <row r="318" spans="1:16" x14ac:dyDescent="0.2">
      <c r="A318" s="12">
        <v>156030</v>
      </c>
      <c r="B318" s="12" t="s">
        <v>371</v>
      </c>
      <c r="C318" s="13">
        <v>38</v>
      </c>
      <c r="D318" s="13">
        <v>25</v>
      </c>
      <c r="E318" s="13">
        <v>13</v>
      </c>
      <c r="F318" s="13">
        <v>65</v>
      </c>
      <c r="G318" s="13">
        <v>10</v>
      </c>
      <c r="H318" s="13">
        <v>0</v>
      </c>
      <c r="I318" s="14">
        <v>2.6</v>
      </c>
      <c r="J318" s="14">
        <v>0.4</v>
      </c>
      <c r="K318" s="14">
        <v>0</v>
      </c>
      <c r="L318" s="13">
        <v>0</v>
      </c>
      <c r="M318" t="str" cm="1">
        <f t="array" ref="M318">_xlfn.IFS(E318&lt;6, "0-6 Months", E318&lt;=12, "6-12 Months", E318&lt;=24, "12-24 Months", E318&gt;24, "24+ Months")</f>
        <v>12-24 Months</v>
      </c>
      <c r="N318" t="str" cm="1">
        <f t="array" ref="N318">_xlfn.IFS(E318&lt;6, "12-18 Months", E318&lt;=12, "18-24 Months", E318&lt;=24, "24+ Months", E318&gt;24, "24+ Months")</f>
        <v>24+ Months</v>
      </c>
      <c r="O318" t="str" cm="1">
        <f t="array" ref="O318">_xlfn.IFS(D318&gt;=550, "Major", D318 &gt;= 100, "T1200", D318 &lt;100, "Other")</f>
        <v>Other</v>
      </c>
      <c r="P318">
        <f t="shared" si="4"/>
        <v>38</v>
      </c>
    </row>
    <row r="319" spans="1:16" x14ac:dyDescent="0.2">
      <c r="A319" s="12">
        <v>552247</v>
      </c>
      <c r="B319" s="12" t="s">
        <v>350</v>
      </c>
      <c r="C319" s="13">
        <v>30</v>
      </c>
      <c r="D319" s="13">
        <v>25</v>
      </c>
      <c r="E319" s="13">
        <v>11</v>
      </c>
      <c r="F319" s="13">
        <v>65</v>
      </c>
      <c r="G319" s="13">
        <v>27</v>
      </c>
      <c r="H319" s="13">
        <v>11</v>
      </c>
      <c r="I319" s="14">
        <v>2.6</v>
      </c>
      <c r="J319" s="14">
        <v>1.08</v>
      </c>
      <c r="K319" s="14">
        <v>0.44</v>
      </c>
      <c r="L319" s="13">
        <v>11</v>
      </c>
      <c r="M319" t="str" cm="1">
        <f t="array" ref="M319">_xlfn.IFS(E319&lt;6, "0-6 Months", E319&lt;=12, "6-12 Months", E319&lt;=24, "12-24 Months", E319&gt;24, "24+ Months")</f>
        <v>6-12 Months</v>
      </c>
      <c r="N319" t="str" cm="1">
        <f t="array" ref="N319">_xlfn.IFS(E319&lt;6, "12-18 Months", E319&lt;=12, "18-24 Months", E319&lt;=24, "24+ Months", E319&gt;24, "24+ Months")</f>
        <v>18-24 Months</v>
      </c>
      <c r="O319" t="str" cm="1">
        <f t="array" ref="O319">_xlfn.IFS(D319&gt;=550, "Major", D319 &gt;= 100, "T1200", D319 &lt;100, "Other")</f>
        <v>Other</v>
      </c>
      <c r="P319">
        <f t="shared" si="4"/>
        <v>30</v>
      </c>
    </row>
    <row r="320" spans="1:16" x14ac:dyDescent="0.2">
      <c r="A320" s="12">
        <v>108014</v>
      </c>
      <c r="B320" s="12" t="s">
        <v>399</v>
      </c>
      <c r="C320" s="13">
        <v>157</v>
      </c>
      <c r="D320" s="13">
        <v>250</v>
      </c>
      <c r="E320" s="13">
        <v>49</v>
      </c>
      <c r="F320" s="13">
        <v>64</v>
      </c>
      <c r="G320" s="13">
        <v>59</v>
      </c>
      <c r="H320" s="13">
        <v>12</v>
      </c>
      <c r="I320" s="14">
        <v>0.25600000000000001</v>
      </c>
      <c r="J320" s="14">
        <v>0.23599999999999999</v>
      </c>
      <c r="K320" s="14">
        <v>4.8000000000000001E-2</v>
      </c>
      <c r="L320" s="13">
        <v>262</v>
      </c>
      <c r="M320" t="str" cm="1">
        <f t="array" ref="M320">_xlfn.IFS(E320&lt;6, "0-6 Months", E320&lt;=12, "6-12 Months", E320&lt;=24, "12-24 Months", E320&gt;24, "24+ Months")</f>
        <v>24+ Months</v>
      </c>
      <c r="N320" t="str" cm="1">
        <f t="array" ref="N320">_xlfn.IFS(E320&lt;6, "12-18 Months", E320&lt;=12, "18-24 Months", E320&lt;=24, "24+ Months", E320&gt;24, "24+ Months")</f>
        <v>24+ Months</v>
      </c>
      <c r="O320" t="str" cm="1">
        <f t="array" ref="O320">_xlfn.IFS(D320&gt;=550, "Major", D320 &gt;= 100, "T1200", D320 &lt;100, "Other")</f>
        <v>T1200</v>
      </c>
      <c r="P320">
        <f t="shared" si="4"/>
        <v>0</v>
      </c>
    </row>
    <row r="321" spans="1:16" x14ac:dyDescent="0.2">
      <c r="A321" s="12">
        <v>108060</v>
      </c>
      <c r="B321" s="12" t="s">
        <v>420</v>
      </c>
      <c r="C321" s="13">
        <v>31</v>
      </c>
      <c r="D321" s="13">
        <v>45</v>
      </c>
      <c r="E321" s="13">
        <v>46</v>
      </c>
      <c r="F321" s="13">
        <v>64</v>
      </c>
      <c r="G321" s="13">
        <v>38</v>
      </c>
      <c r="H321" s="13">
        <v>0</v>
      </c>
      <c r="I321" s="14">
        <v>1.4222222222222221</v>
      </c>
      <c r="J321" s="14">
        <v>0.84444444444444444</v>
      </c>
      <c r="K321" s="14">
        <v>0</v>
      </c>
      <c r="L321" s="13">
        <v>97</v>
      </c>
      <c r="M321" t="str" cm="1">
        <f t="array" ref="M321">_xlfn.IFS(E321&lt;6, "0-6 Months", E321&lt;=12, "6-12 Months", E321&lt;=24, "12-24 Months", E321&gt;24, "24+ Months")</f>
        <v>24+ Months</v>
      </c>
      <c r="N321" t="str" cm="1">
        <f t="array" ref="N321">_xlfn.IFS(E321&lt;6, "12-18 Months", E321&lt;=12, "18-24 Months", E321&lt;=24, "24+ Months", E321&gt;24, "24+ Months")</f>
        <v>24+ Months</v>
      </c>
      <c r="O321" t="str" cm="1">
        <f t="array" ref="O321">_xlfn.IFS(D321&gt;=550, "Major", D321 &gt;= 100, "T1200", D321 &lt;100, "Other")</f>
        <v>Other</v>
      </c>
      <c r="P321">
        <f t="shared" si="4"/>
        <v>0</v>
      </c>
    </row>
    <row r="322" spans="1:16" x14ac:dyDescent="0.2">
      <c r="A322" s="12">
        <v>108403</v>
      </c>
      <c r="B322" s="12" t="s">
        <v>397</v>
      </c>
      <c r="C322" s="13">
        <v>121</v>
      </c>
      <c r="D322" s="13">
        <v>109</v>
      </c>
      <c r="E322" s="13">
        <v>9</v>
      </c>
      <c r="F322" s="13">
        <v>62</v>
      </c>
      <c r="G322" s="13">
        <v>21</v>
      </c>
      <c r="H322" s="13">
        <v>1</v>
      </c>
      <c r="I322" s="14">
        <v>0.56880733944954132</v>
      </c>
      <c r="J322" s="14">
        <v>0.19266055045871561</v>
      </c>
      <c r="K322" s="14">
        <v>9.1743119266055051E-3</v>
      </c>
      <c r="L322" s="13">
        <v>8</v>
      </c>
      <c r="M322" t="str" cm="1">
        <f t="array" ref="M322">_xlfn.IFS(E322&lt;6, "0-6 Months", E322&lt;=12, "6-12 Months", E322&lt;=24, "12-24 Months", E322&gt;24, "24+ Months")</f>
        <v>6-12 Months</v>
      </c>
      <c r="N322" t="str" cm="1">
        <f t="array" ref="N322">_xlfn.IFS(E322&lt;6, "12-18 Months", E322&lt;=12, "18-24 Months", E322&lt;=24, "24+ Months", E322&gt;24, "24+ Months")</f>
        <v>18-24 Months</v>
      </c>
      <c r="O322" t="str" cm="1">
        <f t="array" ref="O322">_xlfn.IFS(D322&gt;=550, "Major", D322 &gt;= 100, "T1200", D322 &lt;100, "Other")</f>
        <v>T1200</v>
      </c>
      <c r="P322">
        <f t="shared" ref="P322:P385" si="5">SUMPRODUCT((I322&gt;=2) * C322 + ((D322&gt;=550) * (J322&gt;=0.75) * (I322&lt;2) * C322))</f>
        <v>0</v>
      </c>
    </row>
    <row r="323" spans="1:16" x14ac:dyDescent="0.2">
      <c r="A323" s="12">
        <v>448278</v>
      </c>
      <c r="B323" s="12" t="s">
        <v>385</v>
      </c>
      <c r="C323" s="13">
        <v>2</v>
      </c>
      <c r="D323" s="13">
        <v>13</v>
      </c>
      <c r="E323" s="13">
        <v>13</v>
      </c>
      <c r="F323" s="13">
        <v>62</v>
      </c>
      <c r="G323" s="13">
        <v>25</v>
      </c>
      <c r="H323" s="13">
        <v>25</v>
      </c>
      <c r="I323" s="14">
        <v>4.7692307692307692</v>
      </c>
      <c r="J323" s="14">
        <v>1.9230769230769229</v>
      </c>
      <c r="K323" s="14">
        <v>1.9230769230769229</v>
      </c>
      <c r="L323" s="13">
        <v>18</v>
      </c>
      <c r="M323" t="str" cm="1">
        <f t="array" ref="M323">_xlfn.IFS(E323&lt;6, "0-6 Months", E323&lt;=12, "6-12 Months", E323&lt;=24, "12-24 Months", E323&gt;24, "24+ Months")</f>
        <v>12-24 Months</v>
      </c>
      <c r="N323" t="str" cm="1">
        <f t="array" ref="N323">_xlfn.IFS(E323&lt;6, "12-18 Months", E323&lt;=12, "18-24 Months", E323&lt;=24, "24+ Months", E323&gt;24, "24+ Months")</f>
        <v>24+ Months</v>
      </c>
      <c r="O323" t="str" cm="1">
        <f t="array" ref="O323">_xlfn.IFS(D323&gt;=550, "Major", D323 &gt;= 100, "T1200", D323 &lt;100, "Other")</f>
        <v>Other</v>
      </c>
      <c r="P323">
        <f t="shared" si="5"/>
        <v>2</v>
      </c>
    </row>
    <row r="324" spans="1:16" x14ac:dyDescent="0.2">
      <c r="A324" s="12">
        <v>108283</v>
      </c>
      <c r="B324" s="12" t="s">
        <v>396</v>
      </c>
      <c r="C324" s="13">
        <v>0</v>
      </c>
      <c r="D324" s="13">
        <v>12</v>
      </c>
      <c r="E324" s="13">
        <v>12</v>
      </c>
      <c r="F324" s="13">
        <v>62</v>
      </c>
      <c r="G324" s="13">
        <v>8</v>
      </c>
      <c r="H324" s="13">
        <v>2</v>
      </c>
      <c r="I324" s="14">
        <v>5.166666666666667</v>
      </c>
      <c r="J324" s="14">
        <v>0.66666666666666663</v>
      </c>
      <c r="K324" s="14">
        <v>0.16666666666666671</v>
      </c>
      <c r="L324" s="13">
        <v>4</v>
      </c>
      <c r="M324" t="str" cm="1">
        <f t="array" ref="M324">_xlfn.IFS(E324&lt;6, "0-6 Months", E324&lt;=12, "6-12 Months", E324&lt;=24, "12-24 Months", E324&gt;24, "24+ Months")</f>
        <v>6-12 Months</v>
      </c>
      <c r="N324" t="str" cm="1">
        <f t="array" ref="N324">_xlfn.IFS(E324&lt;6, "12-18 Months", E324&lt;=12, "18-24 Months", E324&lt;=24, "24+ Months", E324&gt;24, "24+ Months")</f>
        <v>18-24 Months</v>
      </c>
      <c r="O324" t="str" cm="1">
        <f t="array" ref="O324">_xlfn.IFS(D324&gt;=550, "Major", D324 &gt;= 100, "T1200", D324 &lt;100, "Other")</f>
        <v>Other</v>
      </c>
      <c r="P324">
        <f t="shared" si="5"/>
        <v>0</v>
      </c>
    </row>
    <row r="325" spans="1:16" x14ac:dyDescent="0.2">
      <c r="A325" s="12">
        <v>156634</v>
      </c>
      <c r="B325" s="12" t="s">
        <v>373</v>
      </c>
      <c r="C325" s="13">
        <v>8</v>
      </c>
      <c r="D325" s="13">
        <v>7</v>
      </c>
      <c r="E325" s="13">
        <v>9</v>
      </c>
      <c r="F325" s="13">
        <v>61</v>
      </c>
      <c r="G325" s="13">
        <v>9</v>
      </c>
      <c r="H325" s="13">
        <v>0</v>
      </c>
      <c r="I325" s="14">
        <v>8.7142857142857135</v>
      </c>
      <c r="J325" s="14">
        <v>1.285714285714286</v>
      </c>
      <c r="K325" s="14">
        <v>0</v>
      </c>
      <c r="L325" s="13">
        <v>0</v>
      </c>
      <c r="M325" t="str" cm="1">
        <f t="array" ref="M325">_xlfn.IFS(E325&lt;6, "0-6 Months", E325&lt;=12, "6-12 Months", E325&lt;=24, "12-24 Months", E325&gt;24, "24+ Months")</f>
        <v>6-12 Months</v>
      </c>
      <c r="N325" t="str" cm="1">
        <f t="array" ref="N325">_xlfn.IFS(E325&lt;6, "12-18 Months", E325&lt;=12, "18-24 Months", E325&lt;=24, "24+ Months", E325&gt;24, "24+ Months")</f>
        <v>18-24 Months</v>
      </c>
      <c r="O325" t="str" cm="1">
        <f t="array" ref="O325">_xlfn.IFS(D325&gt;=550, "Major", D325 &gt;= 100, "T1200", D325 &lt;100, "Other")</f>
        <v>Other</v>
      </c>
      <c r="P325">
        <f t="shared" si="5"/>
        <v>8</v>
      </c>
    </row>
    <row r="326" spans="1:16" x14ac:dyDescent="0.2">
      <c r="A326" s="12">
        <v>109369</v>
      </c>
      <c r="B326" s="12" t="s">
        <v>423</v>
      </c>
      <c r="C326" s="13">
        <v>94</v>
      </c>
      <c r="D326" s="13">
        <v>86</v>
      </c>
      <c r="E326" s="13">
        <v>40</v>
      </c>
      <c r="F326" s="13">
        <v>60</v>
      </c>
      <c r="G326" s="13">
        <v>60</v>
      </c>
      <c r="H326" s="13">
        <v>45</v>
      </c>
      <c r="I326" s="14">
        <v>0.69767441860465118</v>
      </c>
      <c r="J326" s="14">
        <v>0.69767441860465118</v>
      </c>
      <c r="K326" s="14">
        <v>0.52325581395348841</v>
      </c>
      <c r="L326" s="13">
        <v>54</v>
      </c>
      <c r="M326" t="str" cm="1">
        <f t="array" ref="M326">_xlfn.IFS(E326&lt;6, "0-6 Months", E326&lt;=12, "6-12 Months", E326&lt;=24, "12-24 Months", E326&gt;24, "24+ Months")</f>
        <v>24+ Months</v>
      </c>
      <c r="N326" t="str" cm="1">
        <f t="array" ref="N326">_xlfn.IFS(E326&lt;6, "12-18 Months", E326&lt;=12, "18-24 Months", E326&lt;=24, "24+ Months", E326&gt;24, "24+ Months")</f>
        <v>24+ Months</v>
      </c>
      <c r="O326" t="str" cm="1">
        <f t="array" ref="O326">_xlfn.IFS(D326&gt;=550, "Major", D326 &gt;= 100, "T1200", D326 &lt;100, "Other")</f>
        <v>Other</v>
      </c>
      <c r="P326">
        <f t="shared" si="5"/>
        <v>0</v>
      </c>
    </row>
    <row r="327" spans="1:16" x14ac:dyDescent="0.2">
      <c r="A327" s="12">
        <v>106566</v>
      </c>
      <c r="B327" s="12" t="s">
        <v>380</v>
      </c>
      <c r="C327" s="13">
        <v>88</v>
      </c>
      <c r="D327" s="13">
        <v>90</v>
      </c>
      <c r="E327" s="13">
        <v>45</v>
      </c>
      <c r="F327" s="13">
        <v>59</v>
      </c>
      <c r="G327" s="13">
        <v>0</v>
      </c>
      <c r="H327" s="13">
        <v>0</v>
      </c>
      <c r="I327" s="14">
        <v>0.65555555555555556</v>
      </c>
      <c r="J327" s="14">
        <v>0</v>
      </c>
      <c r="K327" s="14">
        <v>0</v>
      </c>
      <c r="L327" s="13">
        <v>0</v>
      </c>
      <c r="M327" t="str" cm="1">
        <f t="array" ref="M327">_xlfn.IFS(E327&lt;6, "0-6 Months", E327&lt;=12, "6-12 Months", E327&lt;=24, "12-24 Months", E327&gt;24, "24+ Months")</f>
        <v>24+ Months</v>
      </c>
      <c r="N327" t="str" cm="1">
        <f t="array" ref="N327">_xlfn.IFS(E327&lt;6, "12-18 Months", E327&lt;=12, "18-24 Months", E327&lt;=24, "24+ Months", E327&gt;24, "24+ Months")</f>
        <v>24+ Months</v>
      </c>
      <c r="O327" t="str" cm="1">
        <f t="array" ref="O327">_xlfn.IFS(D327&gt;=550, "Major", D327 &gt;= 100, "T1200", D327 &lt;100, "Other")</f>
        <v>Other</v>
      </c>
      <c r="P327">
        <f t="shared" si="5"/>
        <v>0</v>
      </c>
    </row>
    <row r="328" spans="1:16" x14ac:dyDescent="0.2">
      <c r="A328" s="12">
        <v>204302</v>
      </c>
      <c r="B328" s="12" t="s">
        <v>531</v>
      </c>
      <c r="C328" s="13">
        <v>55</v>
      </c>
      <c r="D328" s="13">
        <v>50</v>
      </c>
      <c r="E328" s="13">
        <v>10</v>
      </c>
      <c r="F328" s="13">
        <v>59</v>
      </c>
      <c r="G328" s="13">
        <v>45</v>
      </c>
      <c r="H328" s="13">
        <v>2</v>
      </c>
      <c r="I328" s="14">
        <v>1.18</v>
      </c>
      <c r="J328" s="14">
        <v>0.9</v>
      </c>
      <c r="K328" s="14">
        <v>0.04</v>
      </c>
      <c r="L328" s="13">
        <v>0</v>
      </c>
      <c r="M328" t="str" cm="1">
        <f t="array" ref="M328">_xlfn.IFS(E328&lt;6, "0-6 Months", E328&lt;=12, "6-12 Months", E328&lt;=24, "12-24 Months", E328&gt;24, "24+ Months")</f>
        <v>6-12 Months</v>
      </c>
      <c r="N328" t="str" cm="1">
        <f t="array" ref="N328">_xlfn.IFS(E328&lt;6, "12-18 Months", E328&lt;=12, "18-24 Months", E328&lt;=24, "24+ Months", E328&gt;24, "24+ Months")</f>
        <v>18-24 Months</v>
      </c>
      <c r="O328" t="str" cm="1">
        <f t="array" ref="O328">_xlfn.IFS(D328&gt;=550, "Major", D328 &gt;= 100, "T1200", D328 &lt;100, "Other")</f>
        <v>Other</v>
      </c>
      <c r="P328">
        <f t="shared" si="5"/>
        <v>0</v>
      </c>
    </row>
    <row r="329" spans="1:16" x14ac:dyDescent="0.2">
      <c r="A329" s="12">
        <v>112992</v>
      </c>
      <c r="B329" s="12" t="s">
        <v>406</v>
      </c>
      <c r="C329" s="13">
        <v>14</v>
      </c>
      <c r="D329" s="13">
        <v>12</v>
      </c>
      <c r="E329" s="13">
        <v>15</v>
      </c>
      <c r="F329" s="13">
        <v>59</v>
      </c>
      <c r="G329" s="13">
        <v>1</v>
      </c>
      <c r="H329" s="13">
        <v>1</v>
      </c>
      <c r="I329" s="14">
        <v>4.916666666666667</v>
      </c>
      <c r="J329" s="14">
        <v>8.3333333333333329E-2</v>
      </c>
      <c r="K329" s="14">
        <v>8.3333333333333329E-2</v>
      </c>
      <c r="L329" s="13">
        <v>0</v>
      </c>
      <c r="M329" t="str" cm="1">
        <f t="array" ref="M329">_xlfn.IFS(E329&lt;6, "0-6 Months", E329&lt;=12, "6-12 Months", E329&lt;=24, "12-24 Months", E329&gt;24, "24+ Months")</f>
        <v>12-24 Months</v>
      </c>
      <c r="N329" t="str" cm="1">
        <f t="array" ref="N329">_xlfn.IFS(E329&lt;6, "12-18 Months", E329&lt;=12, "18-24 Months", E329&lt;=24, "24+ Months", E329&gt;24, "24+ Months")</f>
        <v>24+ Months</v>
      </c>
      <c r="O329" t="str" cm="1">
        <f t="array" ref="O329">_xlfn.IFS(D329&gt;=550, "Major", D329 &gt;= 100, "T1200", D329 &lt;100, "Other")</f>
        <v>Other</v>
      </c>
      <c r="P329">
        <f t="shared" si="5"/>
        <v>14</v>
      </c>
    </row>
    <row r="330" spans="1:16" x14ac:dyDescent="0.2">
      <c r="A330" s="12">
        <v>452290</v>
      </c>
      <c r="B330" s="12" t="s">
        <v>335</v>
      </c>
      <c r="C330" s="13">
        <v>2</v>
      </c>
      <c r="D330" s="13">
        <v>10</v>
      </c>
      <c r="E330" s="13">
        <v>7</v>
      </c>
      <c r="F330" s="13">
        <v>59</v>
      </c>
      <c r="G330" s="13">
        <v>13</v>
      </c>
      <c r="H330" s="13">
        <v>10</v>
      </c>
      <c r="I330" s="14">
        <v>5.9</v>
      </c>
      <c r="J330" s="14">
        <v>1.3</v>
      </c>
      <c r="K330" s="14">
        <v>1</v>
      </c>
      <c r="L330" s="13">
        <v>4</v>
      </c>
      <c r="M330" t="str" cm="1">
        <f t="array" ref="M330">_xlfn.IFS(E330&lt;6, "0-6 Months", E330&lt;=12, "6-12 Months", E330&lt;=24, "12-24 Months", E330&gt;24, "24+ Months")</f>
        <v>6-12 Months</v>
      </c>
      <c r="N330" t="str" cm="1">
        <f t="array" ref="N330">_xlfn.IFS(E330&lt;6, "12-18 Months", E330&lt;=12, "18-24 Months", E330&lt;=24, "24+ Months", E330&gt;24, "24+ Months")</f>
        <v>18-24 Months</v>
      </c>
      <c r="O330" t="str" cm="1">
        <f t="array" ref="O330">_xlfn.IFS(D330&gt;=550, "Major", D330 &gt;= 100, "T1200", D330 &lt;100, "Other")</f>
        <v>Other</v>
      </c>
      <c r="P330">
        <f t="shared" si="5"/>
        <v>2</v>
      </c>
    </row>
    <row r="331" spans="1:16" x14ac:dyDescent="0.2">
      <c r="A331" s="12">
        <v>108379</v>
      </c>
      <c r="B331" s="12" t="s">
        <v>391</v>
      </c>
      <c r="C331" s="13">
        <v>461</v>
      </c>
      <c r="D331" s="13">
        <v>368</v>
      </c>
      <c r="E331" s="13">
        <v>13</v>
      </c>
      <c r="F331" s="13">
        <v>58</v>
      </c>
      <c r="G331" s="13">
        <v>58</v>
      </c>
      <c r="H331" s="13">
        <v>39</v>
      </c>
      <c r="I331" s="14">
        <v>0.15760869565217389</v>
      </c>
      <c r="J331" s="14">
        <v>0.15760869565217389</v>
      </c>
      <c r="K331" s="14">
        <v>0.1059782608695652</v>
      </c>
      <c r="L331" s="13">
        <v>133</v>
      </c>
      <c r="M331" t="str" cm="1">
        <f t="array" ref="M331">_xlfn.IFS(E331&lt;6, "0-6 Months", E331&lt;=12, "6-12 Months", E331&lt;=24, "12-24 Months", E331&gt;24, "24+ Months")</f>
        <v>12-24 Months</v>
      </c>
      <c r="N331" t="str" cm="1">
        <f t="array" ref="N331">_xlfn.IFS(E331&lt;6, "12-18 Months", E331&lt;=12, "18-24 Months", E331&lt;=24, "24+ Months", E331&gt;24, "24+ Months")</f>
        <v>24+ Months</v>
      </c>
      <c r="O331" t="str" cm="1">
        <f t="array" ref="O331">_xlfn.IFS(D331&gt;=550, "Major", D331 &gt;= 100, "T1200", D331 &lt;100, "Other")</f>
        <v>T1200</v>
      </c>
      <c r="P331">
        <f t="shared" si="5"/>
        <v>0</v>
      </c>
    </row>
    <row r="332" spans="1:16" x14ac:dyDescent="0.2">
      <c r="A332" s="12">
        <v>110248</v>
      </c>
      <c r="B332" s="12" t="s">
        <v>402</v>
      </c>
      <c r="C332" s="13">
        <v>4</v>
      </c>
      <c r="D332" s="13">
        <v>48</v>
      </c>
      <c r="E332" s="13">
        <v>6</v>
      </c>
      <c r="F332" s="13">
        <v>58</v>
      </c>
      <c r="G332" s="13">
        <v>58</v>
      </c>
      <c r="H332" s="13">
        <v>58</v>
      </c>
      <c r="I332" s="14">
        <v>1.208333333333333</v>
      </c>
      <c r="J332" s="14">
        <v>1.208333333333333</v>
      </c>
      <c r="K332" s="14">
        <v>1.208333333333333</v>
      </c>
      <c r="L332" s="13">
        <v>5</v>
      </c>
      <c r="M332" t="str" cm="1">
        <f t="array" ref="M332">_xlfn.IFS(E332&lt;6, "0-6 Months", E332&lt;=12, "6-12 Months", E332&lt;=24, "12-24 Months", E332&gt;24, "24+ Months")</f>
        <v>6-12 Months</v>
      </c>
      <c r="N332" t="str" cm="1">
        <f t="array" ref="N332">_xlfn.IFS(E332&lt;6, "12-18 Months", E332&lt;=12, "18-24 Months", E332&lt;=24, "24+ Months", E332&gt;24, "24+ Months")</f>
        <v>18-24 Months</v>
      </c>
      <c r="O332" t="str" cm="1">
        <f t="array" ref="O332">_xlfn.IFS(D332&gt;=550, "Major", D332 &gt;= 100, "T1200", D332 &lt;100, "Other")</f>
        <v>Other</v>
      </c>
      <c r="P332">
        <f t="shared" si="5"/>
        <v>0</v>
      </c>
    </row>
    <row r="333" spans="1:16" x14ac:dyDescent="0.2">
      <c r="A333" s="12">
        <v>326240</v>
      </c>
      <c r="B333" s="12" t="s">
        <v>404</v>
      </c>
      <c r="C333" s="13">
        <v>0</v>
      </c>
      <c r="D333" s="13">
        <v>54</v>
      </c>
      <c r="E333" s="13">
        <v>19</v>
      </c>
      <c r="F333" s="13">
        <v>58</v>
      </c>
      <c r="G333" s="13">
        <v>24</v>
      </c>
      <c r="H333" s="13">
        <v>1</v>
      </c>
      <c r="I333" s="14">
        <v>1.074074074074074</v>
      </c>
      <c r="J333" s="14">
        <v>0.44444444444444442</v>
      </c>
      <c r="K333" s="14">
        <v>1.8518518518518521E-2</v>
      </c>
      <c r="L333" s="13">
        <v>2</v>
      </c>
      <c r="M333" t="str" cm="1">
        <f t="array" ref="M333">_xlfn.IFS(E333&lt;6, "0-6 Months", E333&lt;=12, "6-12 Months", E333&lt;=24, "12-24 Months", E333&gt;24, "24+ Months")</f>
        <v>12-24 Months</v>
      </c>
      <c r="N333" t="str" cm="1">
        <f t="array" ref="N333">_xlfn.IFS(E333&lt;6, "12-18 Months", E333&lt;=12, "18-24 Months", E333&lt;=24, "24+ Months", E333&gt;24, "24+ Months")</f>
        <v>24+ Months</v>
      </c>
      <c r="O333" t="str" cm="1">
        <f t="array" ref="O333">_xlfn.IFS(D333&gt;=550, "Major", D333 &gt;= 100, "T1200", D333 &lt;100, "Other")</f>
        <v>Other</v>
      </c>
      <c r="P333">
        <f t="shared" si="5"/>
        <v>0</v>
      </c>
    </row>
    <row r="334" spans="1:16" x14ac:dyDescent="0.2">
      <c r="A334" s="12">
        <v>112152</v>
      </c>
      <c r="B334" s="12" t="s">
        <v>400</v>
      </c>
      <c r="C334" s="13">
        <v>60</v>
      </c>
      <c r="D334" s="13">
        <v>60</v>
      </c>
      <c r="E334" s="13">
        <v>25</v>
      </c>
      <c r="F334" s="13">
        <v>57</v>
      </c>
      <c r="G334" s="13">
        <v>36</v>
      </c>
      <c r="H334" s="13">
        <v>36</v>
      </c>
      <c r="I334" s="14">
        <v>0.95</v>
      </c>
      <c r="J334" s="14">
        <v>0.6</v>
      </c>
      <c r="K334" s="14">
        <v>0.6</v>
      </c>
      <c r="L334" s="13">
        <v>4</v>
      </c>
      <c r="M334" t="str" cm="1">
        <f t="array" ref="M334">_xlfn.IFS(E334&lt;6, "0-6 Months", E334&lt;=12, "6-12 Months", E334&lt;=24, "12-24 Months", E334&gt;24, "24+ Months")</f>
        <v>24+ Months</v>
      </c>
      <c r="N334" t="str" cm="1">
        <f t="array" ref="N334">_xlfn.IFS(E334&lt;6, "12-18 Months", E334&lt;=12, "18-24 Months", E334&lt;=24, "24+ Months", E334&gt;24, "24+ Months")</f>
        <v>24+ Months</v>
      </c>
      <c r="O334" t="str" cm="1">
        <f t="array" ref="O334">_xlfn.IFS(D334&gt;=550, "Major", D334 &gt;= 100, "T1200", D334 &lt;100, "Other")</f>
        <v>Other</v>
      </c>
      <c r="P334">
        <f t="shared" si="5"/>
        <v>0</v>
      </c>
    </row>
    <row r="335" spans="1:16" x14ac:dyDescent="0.2">
      <c r="A335" s="12">
        <v>117857</v>
      </c>
      <c r="B335" s="12" t="s">
        <v>427</v>
      </c>
      <c r="C335" s="13">
        <v>38</v>
      </c>
      <c r="D335" s="13">
        <v>230</v>
      </c>
      <c r="E335" s="13">
        <v>10</v>
      </c>
      <c r="F335" s="13">
        <v>56</v>
      </c>
      <c r="G335" s="13">
        <v>34</v>
      </c>
      <c r="H335" s="13">
        <v>11</v>
      </c>
      <c r="I335" s="14">
        <v>0.2434782608695652</v>
      </c>
      <c r="J335" s="14">
        <v>0.14782608695652169</v>
      </c>
      <c r="K335" s="14">
        <v>4.7826086956521741E-2</v>
      </c>
      <c r="L335" s="13">
        <v>5</v>
      </c>
      <c r="M335" t="str" cm="1">
        <f t="array" ref="M335">_xlfn.IFS(E335&lt;6, "0-6 Months", E335&lt;=12, "6-12 Months", E335&lt;=24, "12-24 Months", E335&gt;24, "24+ Months")</f>
        <v>6-12 Months</v>
      </c>
      <c r="N335" t="str" cm="1">
        <f t="array" ref="N335">_xlfn.IFS(E335&lt;6, "12-18 Months", E335&lt;=12, "18-24 Months", E335&lt;=24, "24+ Months", E335&gt;24, "24+ Months")</f>
        <v>18-24 Months</v>
      </c>
      <c r="O335" t="str" cm="1">
        <f t="array" ref="O335">_xlfn.IFS(D335&gt;=550, "Major", D335 &gt;= 100, "T1200", D335 &lt;100, "Other")</f>
        <v>T1200</v>
      </c>
      <c r="P335">
        <f t="shared" si="5"/>
        <v>0</v>
      </c>
    </row>
    <row r="336" spans="1:16" x14ac:dyDescent="0.2">
      <c r="A336" s="12">
        <v>322803</v>
      </c>
      <c r="B336" s="12" t="s">
        <v>401</v>
      </c>
      <c r="C336" s="13">
        <v>31</v>
      </c>
      <c r="D336" s="13">
        <v>12</v>
      </c>
      <c r="E336" s="13">
        <v>12</v>
      </c>
      <c r="F336" s="13">
        <v>56</v>
      </c>
      <c r="G336" s="13">
        <v>10</v>
      </c>
      <c r="H336" s="13">
        <v>0</v>
      </c>
      <c r="I336" s="14">
        <v>4.666666666666667</v>
      </c>
      <c r="J336" s="14">
        <v>0.83333333333333337</v>
      </c>
      <c r="K336" s="14">
        <v>0</v>
      </c>
      <c r="L336" s="13">
        <v>11</v>
      </c>
      <c r="M336" t="str" cm="1">
        <f t="array" ref="M336">_xlfn.IFS(E336&lt;6, "0-6 Months", E336&lt;=12, "6-12 Months", E336&lt;=24, "12-24 Months", E336&gt;24, "24+ Months")</f>
        <v>6-12 Months</v>
      </c>
      <c r="N336" t="str" cm="1">
        <f t="array" ref="N336">_xlfn.IFS(E336&lt;6, "12-18 Months", E336&lt;=12, "18-24 Months", E336&lt;=24, "24+ Months", E336&gt;24, "24+ Months")</f>
        <v>18-24 Months</v>
      </c>
      <c r="O336" t="str" cm="1">
        <f t="array" ref="O336">_xlfn.IFS(D336&gt;=550, "Major", D336 &gt;= 100, "T1200", D336 &lt;100, "Other")</f>
        <v>Other</v>
      </c>
      <c r="P336">
        <f t="shared" si="5"/>
        <v>31</v>
      </c>
    </row>
    <row r="337" spans="1:16" x14ac:dyDescent="0.2">
      <c r="A337" s="12">
        <v>308856</v>
      </c>
      <c r="B337" s="12" t="s">
        <v>439</v>
      </c>
      <c r="C337" s="13">
        <v>275</v>
      </c>
      <c r="D337" s="13">
        <v>350</v>
      </c>
      <c r="E337" s="13">
        <v>11</v>
      </c>
      <c r="F337" s="13">
        <v>55</v>
      </c>
      <c r="G337" s="13">
        <v>23</v>
      </c>
      <c r="H337" s="13">
        <v>10</v>
      </c>
      <c r="I337" s="14">
        <v>0.15714285714285711</v>
      </c>
      <c r="J337" s="14">
        <v>6.5714285714285711E-2</v>
      </c>
      <c r="K337" s="14">
        <v>2.8571428571428571E-2</v>
      </c>
      <c r="L337" s="13">
        <v>36</v>
      </c>
      <c r="M337" t="str" cm="1">
        <f t="array" ref="M337">_xlfn.IFS(E337&lt;6, "0-6 Months", E337&lt;=12, "6-12 Months", E337&lt;=24, "12-24 Months", E337&gt;24, "24+ Months")</f>
        <v>6-12 Months</v>
      </c>
      <c r="N337" t="str" cm="1">
        <f t="array" ref="N337">_xlfn.IFS(E337&lt;6, "12-18 Months", E337&lt;=12, "18-24 Months", E337&lt;=24, "24+ Months", E337&gt;24, "24+ Months")</f>
        <v>18-24 Months</v>
      </c>
      <c r="O337" t="str" cm="1">
        <f t="array" ref="O337">_xlfn.IFS(D337&gt;=550, "Major", D337 &gt;= 100, "T1200", D337 &lt;100, "Other")</f>
        <v>T1200</v>
      </c>
      <c r="P337">
        <f t="shared" si="5"/>
        <v>0</v>
      </c>
    </row>
    <row r="338" spans="1:16" x14ac:dyDescent="0.2">
      <c r="A338" s="12">
        <v>106752</v>
      </c>
      <c r="B338" s="12" t="s">
        <v>501</v>
      </c>
      <c r="C338" s="13">
        <v>55</v>
      </c>
      <c r="D338" s="13">
        <v>81</v>
      </c>
      <c r="E338" s="13">
        <v>13</v>
      </c>
      <c r="F338" s="13">
        <v>55</v>
      </c>
      <c r="G338" s="13">
        <v>55</v>
      </c>
      <c r="H338" s="13">
        <v>14</v>
      </c>
      <c r="I338" s="14">
        <v>0.67901234567901236</v>
      </c>
      <c r="J338" s="14">
        <v>0.67901234567901236</v>
      </c>
      <c r="K338" s="14">
        <v>0.1728395061728395</v>
      </c>
      <c r="L338" s="13">
        <v>7</v>
      </c>
      <c r="M338" t="str" cm="1">
        <f t="array" ref="M338">_xlfn.IFS(E338&lt;6, "0-6 Months", E338&lt;=12, "6-12 Months", E338&lt;=24, "12-24 Months", E338&gt;24, "24+ Months")</f>
        <v>12-24 Months</v>
      </c>
      <c r="N338" t="str" cm="1">
        <f t="array" ref="N338">_xlfn.IFS(E338&lt;6, "12-18 Months", E338&lt;=12, "18-24 Months", E338&lt;=24, "24+ Months", E338&gt;24, "24+ Months")</f>
        <v>24+ Months</v>
      </c>
      <c r="O338" t="str" cm="1">
        <f t="array" ref="O338">_xlfn.IFS(D338&gt;=550, "Major", D338 &gt;= 100, "T1200", D338 &lt;100, "Other")</f>
        <v>Other</v>
      </c>
      <c r="P338">
        <f t="shared" si="5"/>
        <v>0</v>
      </c>
    </row>
    <row r="339" spans="1:16" x14ac:dyDescent="0.2">
      <c r="A339" s="12">
        <v>324380</v>
      </c>
      <c r="B339" s="12" t="s">
        <v>378</v>
      </c>
      <c r="C339" s="13">
        <v>43</v>
      </c>
      <c r="D339" s="13">
        <v>41</v>
      </c>
      <c r="E339" s="13">
        <v>7</v>
      </c>
      <c r="F339" s="13">
        <v>55</v>
      </c>
      <c r="G339" s="13">
        <v>41</v>
      </c>
      <c r="H339" s="13">
        <v>17</v>
      </c>
      <c r="I339" s="14">
        <v>1.341463414634146</v>
      </c>
      <c r="J339" s="14">
        <v>1</v>
      </c>
      <c r="K339" s="14">
        <v>0.41463414634146339</v>
      </c>
      <c r="L339" s="13">
        <v>262</v>
      </c>
      <c r="M339" t="str" cm="1">
        <f t="array" ref="M339">_xlfn.IFS(E339&lt;6, "0-6 Months", E339&lt;=12, "6-12 Months", E339&lt;=24, "12-24 Months", E339&gt;24, "24+ Months")</f>
        <v>6-12 Months</v>
      </c>
      <c r="N339" t="str" cm="1">
        <f t="array" ref="N339">_xlfn.IFS(E339&lt;6, "12-18 Months", E339&lt;=12, "18-24 Months", E339&lt;=24, "24+ Months", E339&gt;24, "24+ Months")</f>
        <v>18-24 Months</v>
      </c>
      <c r="O339" t="str" cm="1">
        <f t="array" ref="O339">_xlfn.IFS(D339&gt;=550, "Major", D339 &gt;= 100, "T1200", D339 &lt;100, "Other")</f>
        <v>Other</v>
      </c>
      <c r="P339">
        <f t="shared" si="5"/>
        <v>0</v>
      </c>
    </row>
    <row r="340" spans="1:16" x14ac:dyDescent="0.2">
      <c r="A340" s="12">
        <v>441034</v>
      </c>
      <c r="B340" s="12" t="s">
        <v>383</v>
      </c>
      <c r="C340" s="13">
        <v>210</v>
      </c>
      <c r="D340" s="13">
        <v>40</v>
      </c>
      <c r="E340" s="13">
        <v>8</v>
      </c>
      <c r="F340" s="13">
        <v>54</v>
      </c>
      <c r="G340" s="13">
        <v>37</v>
      </c>
      <c r="H340" s="13">
        <v>36</v>
      </c>
      <c r="I340" s="14">
        <v>1.35</v>
      </c>
      <c r="J340" s="14">
        <v>0.92500000000000004</v>
      </c>
      <c r="K340" s="14">
        <v>0.9</v>
      </c>
      <c r="L340" s="13">
        <v>0</v>
      </c>
      <c r="M340" t="str" cm="1">
        <f t="array" ref="M340">_xlfn.IFS(E340&lt;6, "0-6 Months", E340&lt;=12, "6-12 Months", E340&lt;=24, "12-24 Months", E340&gt;24, "24+ Months")</f>
        <v>6-12 Months</v>
      </c>
      <c r="N340" t="str" cm="1">
        <f t="array" ref="N340">_xlfn.IFS(E340&lt;6, "12-18 Months", E340&lt;=12, "18-24 Months", E340&lt;=24, "24+ Months", E340&gt;24, "24+ Months")</f>
        <v>18-24 Months</v>
      </c>
      <c r="O340" t="str" cm="1">
        <f t="array" ref="O340">_xlfn.IFS(D340&gt;=550, "Major", D340 &gt;= 100, "T1200", D340 &lt;100, "Other")</f>
        <v>Other</v>
      </c>
      <c r="P340">
        <f t="shared" si="5"/>
        <v>0</v>
      </c>
    </row>
    <row r="341" spans="1:16" x14ac:dyDescent="0.2">
      <c r="A341" s="12">
        <v>482999</v>
      </c>
      <c r="B341" s="12" t="s">
        <v>407</v>
      </c>
      <c r="C341" s="13">
        <v>18</v>
      </c>
      <c r="D341" s="13">
        <v>16</v>
      </c>
      <c r="E341" s="13">
        <v>49</v>
      </c>
      <c r="F341" s="13">
        <v>54</v>
      </c>
      <c r="G341" s="13">
        <v>54</v>
      </c>
      <c r="H341" s="13">
        <v>47</v>
      </c>
      <c r="I341" s="14">
        <v>3.375</v>
      </c>
      <c r="J341" s="14">
        <v>3.375</v>
      </c>
      <c r="K341" s="14">
        <v>2.9375</v>
      </c>
      <c r="L341" s="13">
        <v>33</v>
      </c>
      <c r="M341" t="str" cm="1">
        <f t="array" ref="M341">_xlfn.IFS(E341&lt;6, "0-6 Months", E341&lt;=12, "6-12 Months", E341&lt;=24, "12-24 Months", E341&gt;24, "24+ Months")</f>
        <v>24+ Months</v>
      </c>
      <c r="N341" t="str" cm="1">
        <f t="array" ref="N341">_xlfn.IFS(E341&lt;6, "12-18 Months", E341&lt;=12, "18-24 Months", E341&lt;=24, "24+ Months", E341&gt;24, "24+ Months")</f>
        <v>24+ Months</v>
      </c>
      <c r="O341" t="str" cm="1">
        <f t="array" ref="O341">_xlfn.IFS(D341&gt;=550, "Major", D341 &gt;= 100, "T1200", D341 &lt;100, "Other")</f>
        <v>Other</v>
      </c>
      <c r="P341">
        <f t="shared" si="5"/>
        <v>18</v>
      </c>
    </row>
    <row r="342" spans="1:16" x14ac:dyDescent="0.2">
      <c r="A342" s="12">
        <v>512912</v>
      </c>
      <c r="B342" s="12" t="s">
        <v>395</v>
      </c>
      <c r="C342" s="13">
        <v>0</v>
      </c>
      <c r="D342" s="13">
        <v>40</v>
      </c>
      <c r="E342" s="13">
        <v>21</v>
      </c>
      <c r="F342" s="13">
        <v>54</v>
      </c>
      <c r="G342" s="13">
        <v>38</v>
      </c>
      <c r="H342" s="13">
        <v>0</v>
      </c>
      <c r="I342" s="14">
        <v>1.35</v>
      </c>
      <c r="J342" s="14">
        <v>0.95</v>
      </c>
      <c r="K342" s="14">
        <v>0</v>
      </c>
      <c r="L342" s="13">
        <v>52</v>
      </c>
      <c r="M342" t="str" cm="1">
        <f t="array" ref="M342">_xlfn.IFS(E342&lt;6, "0-6 Months", E342&lt;=12, "6-12 Months", E342&lt;=24, "12-24 Months", E342&gt;24, "24+ Months")</f>
        <v>12-24 Months</v>
      </c>
      <c r="N342" t="str" cm="1">
        <f t="array" ref="N342">_xlfn.IFS(E342&lt;6, "12-18 Months", E342&lt;=12, "18-24 Months", E342&lt;=24, "24+ Months", E342&gt;24, "24+ Months")</f>
        <v>24+ Months</v>
      </c>
      <c r="O342" t="str" cm="1">
        <f t="array" ref="O342">_xlfn.IFS(D342&gt;=550, "Major", D342 &gt;= 100, "T1200", D342 &lt;100, "Other")</f>
        <v>Other</v>
      </c>
      <c r="P342">
        <f t="shared" si="5"/>
        <v>0</v>
      </c>
    </row>
    <row r="343" spans="1:16" x14ac:dyDescent="0.2">
      <c r="A343" s="12">
        <v>313924</v>
      </c>
      <c r="B343" s="12" t="s">
        <v>481</v>
      </c>
      <c r="C343" s="13">
        <v>61</v>
      </c>
      <c r="D343" s="13">
        <v>46</v>
      </c>
      <c r="E343" s="13">
        <v>9</v>
      </c>
      <c r="F343" s="13">
        <v>52</v>
      </c>
      <c r="G343" s="13">
        <v>52</v>
      </c>
      <c r="H343" s="13">
        <v>52</v>
      </c>
      <c r="I343" s="14">
        <v>1.130434782608696</v>
      </c>
      <c r="J343" s="14">
        <v>1.130434782608696</v>
      </c>
      <c r="K343" s="14">
        <v>1.130434782608696</v>
      </c>
      <c r="L343" s="13">
        <v>0</v>
      </c>
      <c r="M343" t="str" cm="1">
        <f t="array" ref="M343">_xlfn.IFS(E343&lt;6, "0-6 Months", E343&lt;=12, "6-12 Months", E343&lt;=24, "12-24 Months", E343&gt;24, "24+ Months")</f>
        <v>6-12 Months</v>
      </c>
      <c r="N343" t="str" cm="1">
        <f t="array" ref="N343">_xlfn.IFS(E343&lt;6, "12-18 Months", E343&lt;=12, "18-24 Months", E343&lt;=24, "24+ Months", E343&gt;24, "24+ Months")</f>
        <v>18-24 Months</v>
      </c>
      <c r="O343" t="str" cm="1">
        <f t="array" ref="O343">_xlfn.IFS(D343&gt;=550, "Major", D343 &gt;= 100, "T1200", D343 &lt;100, "Other")</f>
        <v>Other</v>
      </c>
      <c r="P343">
        <f t="shared" si="5"/>
        <v>0</v>
      </c>
    </row>
    <row r="344" spans="1:16" x14ac:dyDescent="0.2">
      <c r="A344" s="12">
        <v>126094</v>
      </c>
      <c r="B344" s="12" t="s">
        <v>493</v>
      </c>
      <c r="C344" s="13">
        <v>36</v>
      </c>
      <c r="D344" s="13">
        <v>32</v>
      </c>
      <c r="E344" s="13">
        <v>26</v>
      </c>
      <c r="F344" s="13">
        <v>52</v>
      </c>
      <c r="G344" s="13">
        <v>45</v>
      </c>
      <c r="H344" s="13">
        <v>45</v>
      </c>
      <c r="I344" s="14">
        <v>1.625</v>
      </c>
      <c r="J344" s="14">
        <v>1.40625</v>
      </c>
      <c r="K344" s="14">
        <v>1.40625</v>
      </c>
      <c r="L344" s="13">
        <v>12</v>
      </c>
      <c r="M344" t="str" cm="1">
        <f t="array" ref="M344">_xlfn.IFS(E344&lt;6, "0-6 Months", E344&lt;=12, "6-12 Months", E344&lt;=24, "12-24 Months", E344&gt;24, "24+ Months")</f>
        <v>24+ Months</v>
      </c>
      <c r="N344" t="str" cm="1">
        <f t="array" ref="N344">_xlfn.IFS(E344&lt;6, "12-18 Months", E344&lt;=12, "18-24 Months", E344&lt;=24, "24+ Months", E344&gt;24, "24+ Months")</f>
        <v>24+ Months</v>
      </c>
      <c r="O344" t="str" cm="1">
        <f t="array" ref="O344">_xlfn.IFS(D344&gt;=550, "Major", D344 &gt;= 100, "T1200", D344 &lt;100, "Other")</f>
        <v>Other</v>
      </c>
      <c r="P344">
        <f t="shared" si="5"/>
        <v>0</v>
      </c>
    </row>
    <row r="345" spans="1:16" x14ac:dyDescent="0.2">
      <c r="A345" s="12">
        <v>120234</v>
      </c>
      <c r="B345" s="12" t="s">
        <v>384</v>
      </c>
      <c r="C345" s="13">
        <v>1</v>
      </c>
      <c r="D345" s="13">
        <v>22</v>
      </c>
      <c r="E345" s="13">
        <v>8</v>
      </c>
      <c r="F345" s="13">
        <v>52</v>
      </c>
      <c r="G345" s="13">
        <v>18</v>
      </c>
      <c r="H345" s="13">
        <v>2</v>
      </c>
      <c r="I345" s="14">
        <v>2.3636363636363642</v>
      </c>
      <c r="J345" s="14">
        <v>0.81818181818181823</v>
      </c>
      <c r="K345" s="14">
        <v>9.0909090909090912E-2</v>
      </c>
      <c r="L345" s="13">
        <v>8</v>
      </c>
      <c r="M345" t="str" cm="1">
        <f t="array" ref="M345">_xlfn.IFS(E345&lt;6, "0-6 Months", E345&lt;=12, "6-12 Months", E345&lt;=24, "12-24 Months", E345&gt;24, "24+ Months")</f>
        <v>6-12 Months</v>
      </c>
      <c r="N345" t="str" cm="1">
        <f t="array" ref="N345">_xlfn.IFS(E345&lt;6, "12-18 Months", E345&lt;=12, "18-24 Months", E345&lt;=24, "24+ Months", E345&gt;24, "24+ Months")</f>
        <v>18-24 Months</v>
      </c>
      <c r="O345" t="str" cm="1">
        <f t="array" ref="O345">_xlfn.IFS(D345&gt;=550, "Major", D345 &gt;= 100, "T1200", D345 &lt;100, "Other")</f>
        <v>Other</v>
      </c>
      <c r="P345">
        <f t="shared" si="5"/>
        <v>1</v>
      </c>
    </row>
    <row r="346" spans="1:16" x14ac:dyDescent="0.2">
      <c r="A346" s="12">
        <v>110485</v>
      </c>
      <c r="B346" s="12" t="s">
        <v>564</v>
      </c>
      <c r="C346" s="13">
        <v>0</v>
      </c>
      <c r="D346" s="13">
        <v>7</v>
      </c>
      <c r="E346" s="13">
        <v>15</v>
      </c>
      <c r="F346" s="13">
        <v>52</v>
      </c>
      <c r="G346" s="13">
        <v>6</v>
      </c>
      <c r="H346" s="13">
        <v>0</v>
      </c>
      <c r="I346" s="14">
        <v>7.4285714285714288</v>
      </c>
      <c r="J346" s="14">
        <v>0.8571428571428571</v>
      </c>
      <c r="K346" s="14">
        <v>0</v>
      </c>
      <c r="L346" s="13">
        <v>4</v>
      </c>
      <c r="M346" t="str" cm="1">
        <f t="array" ref="M346">_xlfn.IFS(E346&lt;6, "0-6 Months", E346&lt;=12, "6-12 Months", E346&lt;=24, "12-24 Months", E346&gt;24, "24+ Months")</f>
        <v>12-24 Months</v>
      </c>
      <c r="N346" t="str" cm="1">
        <f t="array" ref="N346">_xlfn.IFS(E346&lt;6, "12-18 Months", E346&lt;=12, "18-24 Months", E346&lt;=24, "24+ Months", E346&gt;24, "24+ Months")</f>
        <v>24+ Months</v>
      </c>
      <c r="O346" t="str" cm="1">
        <f t="array" ref="O346">_xlfn.IFS(D346&gt;=550, "Major", D346 &gt;= 100, "T1200", D346 &lt;100, "Other")</f>
        <v>Other</v>
      </c>
      <c r="P346">
        <f t="shared" si="5"/>
        <v>0</v>
      </c>
    </row>
    <row r="347" spans="1:16" x14ac:dyDescent="0.2">
      <c r="A347" s="12">
        <v>106627</v>
      </c>
      <c r="B347" s="12" t="s">
        <v>403</v>
      </c>
      <c r="C347" s="13">
        <v>80</v>
      </c>
      <c r="D347" s="13">
        <v>40</v>
      </c>
      <c r="E347" s="13">
        <v>11</v>
      </c>
      <c r="F347" s="13">
        <v>51</v>
      </c>
      <c r="G347" s="13">
        <v>34</v>
      </c>
      <c r="H347" s="13">
        <v>8</v>
      </c>
      <c r="I347" s="14">
        <v>1.2749999999999999</v>
      </c>
      <c r="J347" s="14">
        <v>0.85</v>
      </c>
      <c r="K347" s="14">
        <v>0.2</v>
      </c>
      <c r="L347" s="13">
        <v>21</v>
      </c>
      <c r="M347" t="str" cm="1">
        <f t="array" ref="M347">_xlfn.IFS(E347&lt;6, "0-6 Months", E347&lt;=12, "6-12 Months", E347&lt;=24, "12-24 Months", E347&gt;24, "24+ Months")</f>
        <v>6-12 Months</v>
      </c>
      <c r="N347" t="str" cm="1">
        <f t="array" ref="N347">_xlfn.IFS(E347&lt;6, "12-18 Months", E347&lt;=12, "18-24 Months", E347&lt;=24, "24+ Months", E347&gt;24, "24+ Months")</f>
        <v>18-24 Months</v>
      </c>
      <c r="O347" t="str" cm="1">
        <f t="array" ref="O347">_xlfn.IFS(D347&gt;=550, "Major", D347 &gt;= 100, "T1200", D347 &lt;100, "Other")</f>
        <v>Other</v>
      </c>
      <c r="P347">
        <f t="shared" si="5"/>
        <v>0</v>
      </c>
    </row>
    <row r="348" spans="1:16" x14ac:dyDescent="0.2">
      <c r="A348" s="12">
        <v>108766</v>
      </c>
      <c r="B348" s="12" t="s">
        <v>433</v>
      </c>
      <c r="C348" s="13">
        <v>24</v>
      </c>
      <c r="D348" s="13">
        <v>19</v>
      </c>
      <c r="E348" s="13">
        <v>11</v>
      </c>
      <c r="F348" s="13">
        <v>51</v>
      </c>
      <c r="G348" s="13">
        <v>22</v>
      </c>
      <c r="H348" s="13">
        <v>0</v>
      </c>
      <c r="I348" s="14">
        <v>2.6842105263157889</v>
      </c>
      <c r="J348" s="14">
        <v>1.1578947368421051</v>
      </c>
      <c r="K348" s="14">
        <v>0</v>
      </c>
      <c r="L348" s="13">
        <v>68</v>
      </c>
      <c r="M348" t="str" cm="1">
        <f t="array" ref="M348">_xlfn.IFS(E348&lt;6, "0-6 Months", E348&lt;=12, "6-12 Months", E348&lt;=24, "12-24 Months", E348&gt;24, "24+ Months")</f>
        <v>6-12 Months</v>
      </c>
      <c r="N348" t="str" cm="1">
        <f t="array" ref="N348">_xlfn.IFS(E348&lt;6, "12-18 Months", E348&lt;=12, "18-24 Months", E348&lt;=24, "24+ Months", E348&gt;24, "24+ Months")</f>
        <v>18-24 Months</v>
      </c>
      <c r="O348" t="str" cm="1">
        <f t="array" ref="O348">_xlfn.IFS(D348&gt;=550, "Major", D348 &gt;= 100, "T1200", D348 &lt;100, "Other")</f>
        <v>Other</v>
      </c>
      <c r="P348">
        <f t="shared" si="5"/>
        <v>24</v>
      </c>
    </row>
    <row r="349" spans="1:16" x14ac:dyDescent="0.2">
      <c r="A349" s="12">
        <v>115661</v>
      </c>
      <c r="B349" s="12" t="s">
        <v>408</v>
      </c>
      <c r="C349" s="13">
        <v>107</v>
      </c>
      <c r="D349" s="13">
        <v>125</v>
      </c>
      <c r="E349" s="13">
        <v>11</v>
      </c>
      <c r="F349" s="13">
        <v>50</v>
      </c>
      <c r="G349" s="13">
        <v>9</v>
      </c>
      <c r="H349" s="13">
        <v>0</v>
      </c>
      <c r="I349" s="14">
        <v>0.4</v>
      </c>
      <c r="J349" s="14">
        <v>7.1999999999999995E-2</v>
      </c>
      <c r="K349" s="14">
        <v>0</v>
      </c>
      <c r="L349" s="13">
        <v>0</v>
      </c>
      <c r="M349" t="str" cm="1">
        <f t="array" ref="M349">_xlfn.IFS(E349&lt;6, "0-6 Months", E349&lt;=12, "6-12 Months", E349&lt;=24, "12-24 Months", E349&gt;24, "24+ Months")</f>
        <v>6-12 Months</v>
      </c>
      <c r="N349" t="str" cm="1">
        <f t="array" ref="N349">_xlfn.IFS(E349&lt;6, "12-18 Months", E349&lt;=12, "18-24 Months", E349&lt;=24, "24+ Months", E349&gt;24, "24+ Months")</f>
        <v>18-24 Months</v>
      </c>
      <c r="O349" t="str" cm="1">
        <f t="array" ref="O349">_xlfn.IFS(D349&gt;=550, "Major", D349 &gt;= 100, "T1200", D349 &lt;100, "Other")</f>
        <v>T1200</v>
      </c>
      <c r="P349">
        <f t="shared" si="5"/>
        <v>0</v>
      </c>
    </row>
    <row r="350" spans="1:16" x14ac:dyDescent="0.2">
      <c r="A350" s="12">
        <v>132097</v>
      </c>
      <c r="B350" s="12" t="s">
        <v>424</v>
      </c>
      <c r="C350" s="13">
        <v>377</v>
      </c>
      <c r="D350" s="13">
        <v>785</v>
      </c>
      <c r="E350" s="13">
        <v>12</v>
      </c>
      <c r="F350" s="13">
        <v>49</v>
      </c>
      <c r="G350" s="13">
        <v>12</v>
      </c>
      <c r="H350" s="13">
        <v>0</v>
      </c>
      <c r="I350" s="14">
        <v>6.2420382165605102E-2</v>
      </c>
      <c r="J350" s="14">
        <v>1.528662420382166E-2</v>
      </c>
      <c r="K350" s="14">
        <v>0</v>
      </c>
      <c r="L350" s="13">
        <v>0</v>
      </c>
      <c r="M350" t="str" cm="1">
        <f t="array" ref="M350">_xlfn.IFS(E350&lt;6, "0-6 Months", E350&lt;=12, "6-12 Months", E350&lt;=24, "12-24 Months", E350&gt;24, "24+ Months")</f>
        <v>6-12 Months</v>
      </c>
      <c r="N350" t="str" cm="1">
        <f t="array" ref="N350">_xlfn.IFS(E350&lt;6, "12-18 Months", E350&lt;=12, "18-24 Months", E350&lt;=24, "24+ Months", E350&gt;24, "24+ Months")</f>
        <v>18-24 Months</v>
      </c>
      <c r="O350" t="str" cm="1">
        <f t="array" ref="O350">_xlfn.IFS(D350&gt;=550, "Major", D350 &gt;= 100, "T1200", D350 &lt;100, "Other")</f>
        <v>Major</v>
      </c>
      <c r="P350">
        <f t="shared" si="5"/>
        <v>0</v>
      </c>
    </row>
    <row r="351" spans="1:16" x14ac:dyDescent="0.2">
      <c r="A351" s="12">
        <v>110360</v>
      </c>
      <c r="B351" s="12" t="s">
        <v>470</v>
      </c>
      <c r="C351" s="13">
        <v>85</v>
      </c>
      <c r="D351" s="13">
        <v>133</v>
      </c>
      <c r="E351" s="13">
        <v>20</v>
      </c>
      <c r="F351" s="13">
        <v>49</v>
      </c>
      <c r="G351" s="13">
        <v>3</v>
      </c>
      <c r="H351" s="13">
        <v>0</v>
      </c>
      <c r="I351" s="14">
        <v>0.36842105263157893</v>
      </c>
      <c r="J351" s="14">
        <v>2.2556390977443611E-2</v>
      </c>
      <c r="K351" s="14">
        <v>0</v>
      </c>
      <c r="L351" s="13">
        <v>2</v>
      </c>
      <c r="M351" t="str" cm="1">
        <f t="array" ref="M351">_xlfn.IFS(E351&lt;6, "0-6 Months", E351&lt;=12, "6-12 Months", E351&lt;=24, "12-24 Months", E351&gt;24, "24+ Months")</f>
        <v>12-24 Months</v>
      </c>
      <c r="N351" t="str" cm="1">
        <f t="array" ref="N351">_xlfn.IFS(E351&lt;6, "12-18 Months", E351&lt;=12, "18-24 Months", E351&lt;=24, "24+ Months", E351&gt;24, "24+ Months")</f>
        <v>24+ Months</v>
      </c>
      <c r="O351" t="str" cm="1">
        <f t="array" ref="O351">_xlfn.IFS(D351&gt;=550, "Major", D351 &gt;= 100, "T1200", D351 &lt;100, "Other")</f>
        <v>T1200</v>
      </c>
      <c r="P351">
        <f t="shared" si="5"/>
        <v>0</v>
      </c>
    </row>
    <row r="352" spans="1:16" x14ac:dyDescent="0.2">
      <c r="A352" s="12">
        <v>108398</v>
      </c>
      <c r="B352" s="12" t="s">
        <v>348</v>
      </c>
      <c r="C352" s="13">
        <v>38</v>
      </c>
      <c r="D352" s="13">
        <v>40</v>
      </c>
      <c r="E352" s="13">
        <v>15</v>
      </c>
      <c r="F352" s="13">
        <v>49</v>
      </c>
      <c r="G352" s="13">
        <v>0</v>
      </c>
      <c r="H352" s="13">
        <v>0</v>
      </c>
      <c r="I352" s="14">
        <v>1.2250000000000001</v>
      </c>
      <c r="J352" s="14">
        <v>0</v>
      </c>
      <c r="K352" s="14">
        <v>0</v>
      </c>
      <c r="L352" s="13">
        <v>0</v>
      </c>
      <c r="M352" t="str" cm="1">
        <f t="array" ref="M352">_xlfn.IFS(E352&lt;6, "0-6 Months", E352&lt;=12, "6-12 Months", E352&lt;=24, "12-24 Months", E352&gt;24, "24+ Months")</f>
        <v>12-24 Months</v>
      </c>
      <c r="N352" t="str" cm="1">
        <f t="array" ref="N352">_xlfn.IFS(E352&lt;6, "12-18 Months", E352&lt;=12, "18-24 Months", E352&lt;=24, "24+ Months", E352&gt;24, "24+ Months")</f>
        <v>24+ Months</v>
      </c>
      <c r="O352" t="str" cm="1">
        <f t="array" ref="O352">_xlfn.IFS(D352&gt;=550, "Major", D352 &gt;= 100, "T1200", D352 &lt;100, "Other")</f>
        <v>Other</v>
      </c>
      <c r="P352">
        <f t="shared" si="5"/>
        <v>0</v>
      </c>
    </row>
    <row r="353" spans="1:16" x14ac:dyDescent="0.2">
      <c r="A353" s="12">
        <v>127501</v>
      </c>
      <c r="B353" s="12" t="s">
        <v>303</v>
      </c>
      <c r="C353" s="13">
        <v>33</v>
      </c>
      <c r="D353" s="13">
        <v>28</v>
      </c>
      <c r="E353" s="13">
        <v>11</v>
      </c>
      <c r="F353" s="13">
        <v>49</v>
      </c>
      <c r="G353" s="13">
        <v>28</v>
      </c>
      <c r="H353" s="13">
        <v>0</v>
      </c>
      <c r="I353" s="14">
        <v>1.75</v>
      </c>
      <c r="J353" s="14">
        <v>1</v>
      </c>
      <c r="K353" s="14">
        <v>0</v>
      </c>
      <c r="L353" s="13">
        <v>0</v>
      </c>
      <c r="M353" t="str" cm="1">
        <f t="array" ref="M353">_xlfn.IFS(E353&lt;6, "0-6 Months", E353&lt;=12, "6-12 Months", E353&lt;=24, "12-24 Months", E353&gt;24, "24+ Months")</f>
        <v>6-12 Months</v>
      </c>
      <c r="N353" t="str" cm="1">
        <f t="array" ref="N353">_xlfn.IFS(E353&lt;6, "12-18 Months", E353&lt;=12, "18-24 Months", E353&lt;=24, "24+ Months", E353&gt;24, "24+ Months")</f>
        <v>18-24 Months</v>
      </c>
      <c r="O353" t="str" cm="1">
        <f t="array" ref="O353">_xlfn.IFS(D353&gt;=550, "Major", D353 &gt;= 100, "T1200", D353 &lt;100, "Other")</f>
        <v>Other</v>
      </c>
      <c r="P353">
        <f t="shared" si="5"/>
        <v>0</v>
      </c>
    </row>
    <row r="354" spans="1:16" x14ac:dyDescent="0.2">
      <c r="A354" s="12">
        <v>311450</v>
      </c>
      <c r="B354" s="12" t="s">
        <v>306</v>
      </c>
      <c r="C354" s="13">
        <v>17</v>
      </c>
      <c r="D354" s="13">
        <v>14</v>
      </c>
      <c r="E354" s="13">
        <v>12</v>
      </c>
      <c r="F354" s="13">
        <v>49</v>
      </c>
      <c r="G354" s="13">
        <v>6</v>
      </c>
      <c r="H354" s="13">
        <v>0</v>
      </c>
      <c r="I354" s="14">
        <v>3.5</v>
      </c>
      <c r="J354" s="14">
        <v>0.42857142857142849</v>
      </c>
      <c r="K354" s="14">
        <v>0</v>
      </c>
      <c r="L354" s="13">
        <v>0</v>
      </c>
      <c r="M354" t="str" cm="1">
        <f t="array" ref="M354">_xlfn.IFS(E354&lt;6, "0-6 Months", E354&lt;=12, "6-12 Months", E354&lt;=24, "12-24 Months", E354&gt;24, "24+ Months")</f>
        <v>6-12 Months</v>
      </c>
      <c r="N354" t="str" cm="1">
        <f t="array" ref="N354">_xlfn.IFS(E354&lt;6, "12-18 Months", E354&lt;=12, "18-24 Months", E354&lt;=24, "24+ Months", E354&gt;24, "24+ Months")</f>
        <v>18-24 Months</v>
      </c>
      <c r="O354" t="str" cm="1">
        <f t="array" ref="O354">_xlfn.IFS(D354&gt;=550, "Major", D354 &gt;= 100, "T1200", D354 &lt;100, "Other")</f>
        <v>Other</v>
      </c>
      <c r="P354">
        <f t="shared" si="5"/>
        <v>17</v>
      </c>
    </row>
    <row r="355" spans="1:16" x14ac:dyDescent="0.2">
      <c r="A355" s="12">
        <v>305996</v>
      </c>
      <c r="B355" s="12" t="s">
        <v>459</v>
      </c>
      <c r="C355" s="13">
        <v>16</v>
      </c>
      <c r="D355" s="13">
        <v>12</v>
      </c>
      <c r="E355" s="13">
        <v>6</v>
      </c>
      <c r="F355" s="13">
        <v>48</v>
      </c>
      <c r="G355" s="13">
        <v>48</v>
      </c>
      <c r="H355" s="13">
        <v>48</v>
      </c>
      <c r="I355" s="14">
        <v>4</v>
      </c>
      <c r="J355" s="14">
        <v>4</v>
      </c>
      <c r="K355" s="14">
        <v>4</v>
      </c>
      <c r="L355" s="13">
        <v>62</v>
      </c>
      <c r="M355" t="str" cm="1">
        <f t="array" ref="M355">_xlfn.IFS(E355&lt;6, "0-6 Months", E355&lt;=12, "6-12 Months", E355&lt;=24, "12-24 Months", E355&gt;24, "24+ Months")</f>
        <v>6-12 Months</v>
      </c>
      <c r="N355" t="str" cm="1">
        <f t="array" ref="N355">_xlfn.IFS(E355&lt;6, "12-18 Months", E355&lt;=12, "18-24 Months", E355&lt;=24, "24+ Months", E355&gt;24, "24+ Months")</f>
        <v>18-24 Months</v>
      </c>
      <c r="O355" t="str" cm="1">
        <f t="array" ref="O355">_xlfn.IFS(D355&gt;=550, "Major", D355 &gt;= 100, "T1200", D355 &lt;100, "Other")</f>
        <v>Other</v>
      </c>
      <c r="P355">
        <f t="shared" si="5"/>
        <v>16</v>
      </c>
    </row>
    <row r="356" spans="1:16" x14ac:dyDescent="0.2">
      <c r="A356" s="12">
        <v>146835</v>
      </c>
      <c r="B356" s="12" t="s">
        <v>486</v>
      </c>
      <c r="C356" s="13">
        <v>198</v>
      </c>
      <c r="D356" s="13">
        <v>210</v>
      </c>
      <c r="E356" s="13">
        <v>24</v>
      </c>
      <c r="F356" s="13">
        <v>46</v>
      </c>
      <c r="G356" s="13">
        <v>7</v>
      </c>
      <c r="H356" s="13">
        <v>4</v>
      </c>
      <c r="I356" s="14">
        <v>0.21904761904761899</v>
      </c>
      <c r="J356" s="14">
        <v>3.3333333333333333E-2</v>
      </c>
      <c r="K356" s="14">
        <v>1.9047619047619049E-2</v>
      </c>
      <c r="L356" s="13">
        <v>28</v>
      </c>
      <c r="M356" t="str" cm="1">
        <f t="array" ref="M356">_xlfn.IFS(E356&lt;6, "0-6 Months", E356&lt;=12, "6-12 Months", E356&lt;=24, "12-24 Months", E356&gt;24, "24+ Months")</f>
        <v>12-24 Months</v>
      </c>
      <c r="N356" t="str" cm="1">
        <f t="array" ref="N356">_xlfn.IFS(E356&lt;6, "12-18 Months", E356&lt;=12, "18-24 Months", E356&lt;=24, "24+ Months", E356&gt;24, "24+ Months")</f>
        <v>24+ Months</v>
      </c>
      <c r="O356" t="str" cm="1">
        <f t="array" ref="O356">_xlfn.IFS(D356&gt;=550, "Major", D356 &gt;= 100, "T1200", D356 &lt;100, "Other")</f>
        <v>T1200</v>
      </c>
      <c r="P356">
        <f t="shared" si="5"/>
        <v>0</v>
      </c>
    </row>
    <row r="357" spans="1:16" x14ac:dyDescent="0.2">
      <c r="A357" s="12">
        <v>494655</v>
      </c>
      <c r="B357" s="12" t="s">
        <v>419</v>
      </c>
      <c r="C357" s="13">
        <v>17</v>
      </c>
      <c r="D357" s="13">
        <v>15</v>
      </c>
      <c r="E357" s="13">
        <v>44</v>
      </c>
      <c r="F357" s="13">
        <v>46</v>
      </c>
      <c r="G357" s="13">
        <v>0</v>
      </c>
      <c r="H357" s="13">
        <v>0</v>
      </c>
      <c r="I357" s="14">
        <v>3.0666666666666669</v>
      </c>
      <c r="J357" s="14">
        <v>0</v>
      </c>
      <c r="K357" s="14">
        <v>0</v>
      </c>
      <c r="L357" s="13">
        <v>0</v>
      </c>
      <c r="M357" t="str" cm="1">
        <f t="array" ref="M357">_xlfn.IFS(E357&lt;6, "0-6 Months", E357&lt;=12, "6-12 Months", E357&lt;=24, "12-24 Months", E357&gt;24, "24+ Months")</f>
        <v>24+ Months</v>
      </c>
      <c r="N357" t="str" cm="1">
        <f t="array" ref="N357">_xlfn.IFS(E357&lt;6, "12-18 Months", E357&lt;=12, "18-24 Months", E357&lt;=24, "24+ Months", E357&gt;24, "24+ Months")</f>
        <v>24+ Months</v>
      </c>
      <c r="O357" t="str" cm="1">
        <f t="array" ref="O357">_xlfn.IFS(D357&gt;=550, "Major", D357 &gt;= 100, "T1200", D357 &lt;100, "Other")</f>
        <v>Other</v>
      </c>
      <c r="P357">
        <f t="shared" si="5"/>
        <v>17</v>
      </c>
    </row>
    <row r="358" spans="1:16" x14ac:dyDescent="0.2">
      <c r="A358" s="12">
        <v>321467</v>
      </c>
      <c r="B358" s="12" t="s">
        <v>413</v>
      </c>
      <c r="C358" s="13">
        <v>9</v>
      </c>
      <c r="D358" s="13">
        <v>36</v>
      </c>
      <c r="E358" s="13">
        <v>8</v>
      </c>
      <c r="F358" s="13">
        <v>46</v>
      </c>
      <c r="G358" s="13">
        <v>25</v>
      </c>
      <c r="H358" s="13">
        <v>6</v>
      </c>
      <c r="I358" s="14">
        <v>1.2777777777777779</v>
      </c>
      <c r="J358" s="14">
        <v>0.69444444444444442</v>
      </c>
      <c r="K358" s="14">
        <v>0.16666666666666671</v>
      </c>
      <c r="L358" s="13">
        <v>78</v>
      </c>
      <c r="M358" t="str" cm="1">
        <f t="array" ref="M358">_xlfn.IFS(E358&lt;6, "0-6 Months", E358&lt;=12, "6-12 Months", E358&lt;=24, "12-24 Months", E358&gt;24, "24+ Months")</f>
        <v>6-12 Months</v>
      </c>
      <c r="N358" t="str" cm="1">
        <f t="array" ref="N358">_xlfn.IFS(E358&lt;6, "12-18 Months", E358&lt;=12, "18-24 Months", E358&lt;=24, "24+ Months", E358&gt;24, "24+ Months")</f>
        <v>18-24 Months</v>
      </c>
      <c r="O358" t="str" cm="1">
        <f t="array" ref="O358">_xlfn.IFS(D358&gt;=550, "Major", D358 &gt;= 100, "T1200", D358 &lt;100, "Other")</f>
        <v>Other</v>
      </c>
      <c r="P358">
        <f t="shared" si="5"/>
        <v>0</v>
      </c>
    </row>
    <row r="359" spans="1:16" x14ac:dyDescent="0.2">
      <c r="A359" s="12">
        <v>315428</v>
      </c>
      <c r="B359" s="12" t="s">
        <v>409</v>
      </c>
      <c r="C359" s="13">
        <v>28</v>
      </c>
      <c r="D359" s="13">
        <v>48</v>
      </c>
      <c r="E359" s="13">
        <v>13</v>
      </c>
      <c r="F359" s="13">
        <v>43</v>
      </c>
      <c r="G359" s="13">
        <v>6</v>
      </c>
      <c r="H359" s="13">
        <v>0</v>
      </c>
      <c r="I359" s="14">
        <v>0.89583333333333337</v>
      </c>
      <c r="J359" s="14">
        <v>0.125</v>
      </c>
      <c r="K359" s="14">
        <v>0</v>
      </c>
      <c r="L359" s="13">
        <v>12</v>
      </c>
      <c r="M359" t="str" cm="1">
        <f t="array" ref="M359">_xlfn.IFS(E359&lt;6, "0-6 Months", E359&lt;=12, "6-12 Months", E359&lt;=24, "12-24 Months", E359&gt;24, "24+ Months")</f>
        <v>12-24 Months</v>
      </c>
      <c r="N359" t="str" cm="1">
        <f t="array" ref="N359">_xlfn.IFS(E359&lt;6, "12-18 Months", E359&lt;=12, "18-24 Months", E359&lt;=24, "24+ Months", E359&gt;24, "24+ Months")</f>
        <v>24+ Months</v>
      </c>
      <c r="O359" t="str" cm="1">
        <f t="array" ref="O359">_xlfn.IFS(D359&gt;=550, "Major", D359 &gt;= 100, "T1200", D359 &lt;100, "Other")</f>
        <v>Other</v>
      </c>
      <c r="P359">
        <f t="shared" si="5"/>
        <v>0</v>
      </c>
    </row>
    <row r="360" spans="1:16" x14ac:dyDescent="0.2">
      <c r="A360" s="12">
        <v>204311</v>
      </c>
      <c r="B360" s="12" t="s">
        <v>339</v>
      </c>
      <c r="C360" s="13">
        <v>26</v>
      </c>
      <c r="D360" s="13">
        <v>20</v>
      </c>
      <c r="E360" s="13">
        <v>27</v>
      </c>
      <c r="F360" s="13">
        <v>43</v>
      </c>
      <c r="G360" s="13">
        <v>30</v>
      </c>
      <c r="H360" s="13">
        <v>2</v>
      </c>
      <c r="I360" s="14">
        <v>2.15</v>
      </c>
      <c r="J360" s="14">
        <v>1.5</v>
      </c>
      <c r="K360" s="14">
        <v>0.1</v>
      </c>
      <c r="L360" s="13">
        <v>13</v>
      </c>
      <c r="M360" t="str" cm="1">
        <f t="array" ref="M360">_xlfn.IFS(E360&lt;6, "0-6 Months", E360&lt;=12, "6-12 Months", E360&lt;=24, "12-24 Months", E360&gt;24, "24+ Months")</f>
        <v>24+ Months</v>
      </c>
      <c r="N360" t="str" cm="1">
        <f t="array" ref="N360">_xlfn.IFS(E360&lt;6, "12-18 Months", E360&lt;=12, "18-24 Months", E360&lt;=24, "24+ Months", E360&gt;24, "24+ Months")</f>
        <v>24+ Months</v>
      </c>
      <c r="O360" t="str" cm="1">
        <f t="array" ref="O360">_xlfn.IFS(D360&gt;=550, "Major", D360 &gt;= 100, "T1200", D360 &lt;100, "Other")</f>
        <v>Other</v>
      </c>
      <c r="P360">
        <f t="shared" si="5"/>
        <v>26</v>
      </c>
    </row>
    <row r="361" spans="1:16" x14ac:dyDescent="0.2">
      <c r="A361" s="12">
        <v>107372</v>
      </c>
      <c r="B361" s="12" t="s">
        <v>414</v>
      </c>
      <c r="C361" s="13">
        <v>3</v>
      </c>
      <c r="D361" s="13">
        <v>65</v>
      </c>
      <c r="E361" s="13">
        <v>9</v>
      </c>
      <c r="F361" s="13">
        <v>43</v>
      </c>
      <c r="G361" s="13">
        <v>5</v>
      </c>
      <c r="H361" s="13">
        <v>0</v>
      </c>
      <c r="I361" s="14">
        <v>0.66153846153846152</v>
      </c>
      <c r="J361" s="14">
        <v>7.6923076923076927E-2</v>
      </c>
      <c r="K361" s="14">
        <v>0</v>
      </c>
      <c r="L361" s="13">
        <v>0</v>
      </c>
      <c r="M361" t="str" cm="1">
        <f t="array" ref="M361">_xlfn.IFS(E361&lt;6, "0-6 Months", E361&lt;=12, "6-12 Months", E361&lt;=24, "12-24 Months", E361&gt;24, "24+ Months")</f>
        <v>6-12 Months</v>
      </c>
      <c r="N361" t="str" cm="1">
        <f t="array" ref="N361">_xlfn.IFS(E361&lt;6, "12-18 Months", E361&lt;=12, "18-24 Months", E361&lt;=24, "24+ Months", E361&gt;24, "24+ Months")</f>
        <v>18-24 Months</v>
      </c>
      <c r="O361" t="str" cm="1">
        <f t="array" ref="O361">_xlfn.IFS(D361&gt;=550, "Major", D361 &gt;= 100, "T1200", D361 &lt;100, "Other")</f>
        <v>Other</v>
      </c>
      <c r="P361">
        <f t="shared" si="5"/>
        <v>0</v>
      </c>
    </row>
    <row r="362" spans="1:16" x14ac:dyDescent="0.2">
      <c r="A362" s="12">
        <v>493927</v>
      </c>
      <c r="B362" s="12" t="s">
        <v>519</v>
      </c>
      <c r="C362" s="13">
        <v>17</v>
      </c>
      <c r="D362" s="13">
        <v>17</v>
      </c>
      <c r="E362" s="13">
        <v>19</v>
      </c>
      <c r="F362" s="13">
        <v>42</v>
      </c>
      <c r="G362" s="13">
        <v>42</v>
      </c>
      <c r="H362" s="13">
        <v>42</v>
      </c>
      <c r="I362" s="14">
        <v>2.4705882352941182</v>
      </c>
      <c r="J362" s="14">
        <v>2.4705882352941182</v>
      </c>
      <c r="K362" s="14">
        <v>2.4705882352941182</v>
      </c>
      <c r="L362" s="13">
        <v>0</v>
      </c>
      <c r="M362" t="str" cm="1">
        <f t="array" ref="M362">_xlfn.IFS(E362&lt;6, "0-6 Months", E362&lt;=12, "6-12 Months", E362&lt;=24, "12-24 Months", E362&gt;24, "24+ Months")</f>
        <v>12-24 Months</v>
      </c>
      <c r="N362" t="str" cm="1">
        <f t="array" ref="N362">_xlfn.IFS(E362&lt;6, "12-18 Months", E362&lt;=12, "18-24 Months", E362&lt;=24, "24+ Months", E362&gt;24, "24+ Months")</f>
        <v>24+ Months</v>
      </c>
      <c r="O362" t="str" cm="1">
        <f t="array" ref="O362">_xlfn.IFS(D362&gt;=550, "Major", D362 &gt;= 100, "T1200", D362 &lt;100, "Other")</f>
        <v>Other</v>
      </c>
      <c r="P362">
        <f t="shared" si="5"/>
        <v>17</v>
      </c>
    </row>
    <row r="363" spans="1:16" x14ac:dyDescent="0.2">
      <c r="A363" s="12">
        <v>158519</v>
      </c>
      <c r="B363" s="12" t="s">
        <v>460</v>
      </c>
      <c r="C363" s="13">
        <v>14</v>
      </c>
      <c r="D363" s="13">
        <v>13</v>
      </c>
      <c r="E363" s="13">
        <v>6</v>
      </c>
      <c r="F363" s="13">
        <v>42</v>
      </c>
      <c r="G363" s="13">
        <v>42</v>
      </c>
      <c r="H363" s="13">
        <v>42</v>
      </c>
      <c r="I363" s="14">
        <v>3.2307692307692308</v>
      </c>
      <c r="J363" s="14">
        <v>3.2307692307692308</v>
      </c>
      <c r="K363" s="14">
        <v>3.2307692307692308</v>
      </c>
      <c r="L363" s="13">
        <v>12</v>
      </c>
      <c r="M363" t="str" cm="1">
        <f t="array" ref="M363">_xlfn.IFS(E363&lt;6, "0-6 Months", E363&lt;=12, "6-12 Months", E363&lt;=24, "12-24 Months", E363&gt;24, "24+ Months")</f>
        <v>6-12 Months</v>
      </c>
      <c r="N363" t="str" cm="1">
        <f t="array" ref="N363">_xlfn.IFS(E363&lt;6, "12-18 Months", E363&lt;=12, "18-24 Months", E363&lt;=24, "24+ Months", E363&gt;24, "24+ Months")</f>
        <v>18-24 Months</v>
      </c>
      <c r="O363" t="str" cm="1">
        <f t="array" ref="O363">_xlfn.IFS(D363&gt;=550, "Major", D363 &gt;= 100, "T1200", D363 &lt;100, "Other")</f>
        <v>Other</v>
      </c>
      <c r="P363">
        <f t="shared" si="5"/>
        <v>14</v>
      </c>
    </row>
    <row r="364" spans="1:16" x14ac:dyDescent="0.2">
      <c r="A364" s="12">
        <v>137813</v>
      </c>
      <c r="B364" s="12" t="s">
        <v>506</v>
      </c>
      <c r="C364" s="13">
        <v>274</v>
      </c>
      <c r="D364" s="13">
        <v>220</v>
      </c>
      <c r="E364" s="13">
        <v>23</v>
      </c>
      <c r="F364" s="13">
        <v>41</v>
      </c>
      <c r="G364" s="13">
        <v>10</v>
      </c>
      <c r="H364" s="13">
        <v>0</v>
      </c>
      <c r="I364" s="14">
        <v>0.1863636363636364</v>
      </c>
      <c r="J364" s="14">
        <v>4.5454545454545463E-2</v>
      </c>
      <c r="K364" s="14">
        <v>0</v>
      </c>
      <c r="L364" s="13">
        <v>37</v>
      </c>
      <c r="M364" t="str" cm="1">
        <f t="array" ref="M364">_xlfn.IFS(E364&lt;6, "0-6 Months", E364&lt;=12, "6-12 Months", E364&lt;=24, "12-24 Months", E364&gt;24, "24+ Months")</f>
        <v>12-24 Months</v>
      </c>
      <c r="N364" t="str" cm="1">
        <f t="array" ref="N364">_xlfn.IFS(E364&lt;6, "12-18 Months", E364&lt;=12, "18-24 Months", E364&lt;=24, "24+ Months", E364&gt;24, "24+ Months")</f>
        <v>24+ Months</v>
      </c>
      <c r="O364" t="str" cm="1">
        <f t="array" ref="O364">_xlfn.IFS(D364&gt;=550, "Major", D364 &gt;= 100, "T1200", D364 &lt;100, "Other")</f>
        <v>T1200</v>
      </c>
      <c r="P364">
        <f t="shared" si="5"/>
        <v>0</v>
      </c>
    </row>
    <row r="365" spans="1:16" x14ac:dyDescent="0.2">
      <c r="A365" s="12">
        <v>134938</v>
      </c>
      <c r="B365" s="12" t="s">
        <v>444</v>
      </c>
      <c r="C365" s="13">
        <v>204</v>
      </c>
      <c r="D365" s="13">
        <v>193</v>
      </c>
      <c r="E365" s="13">
        <v>10</v>
      </c>
      <c r="F365" s="13">
        <v>40</v>
      </c>
      <c r="G365" s="13">
        <v>10</v>
      </c>
      <c r="H365" s="13">
        <v>10</v>
      </c>
      <c r="I365" s="14">
        <v>0.20725388601036271</v>
      </c>
      <c r="J365" s="14">
        <v>5.181347150259067E-2</v>
      </c>
      <c r="K365" s="14">
        <v>5.181347150259067E-2</v>
      </c>
      <c r="L365" s="13">
        <v>0</v>
      </c>
      <c r="M365" t="str" cm="1">
        <f t="array" ref="M365">_xlfn.IFS(E365&lt;6, "0-6 Months", E365&lt;=12, "6-12 Months", E365&lt;=24, "12-24 Months", E365&gt;24, "24+ Months")</f>
        <v>6-12 Months</v>
      </c>
      <c r="N365" t="str" cm="1">
        <f t="array" ref="N365">_xlfn.IFS(E365&lt;6, "12-18 Months", E365&lt;=12, "18-24 Months", E365&lt;=24, "24+ Months", E365&gt;24, "24+ Months")</f>
        <v>18-24 Months</v>
      </c>
      <c r="O365" t="str" cm="1">
        <f t="array" ref="O365">_xlfn.IFS(D365&gt;=550, "Major", D365 &gt;= 100, "T1200", D365 &lt;100, "Other")</f>
        <v>T1200</v>
      </c>
      <c r="P365">
        <f t="shared" si="5"/>
        <v>0</v>
      </c>
    </row>
    <row r="366" spans="1:16" x14ac:dyDescent="0.2">
      <c r="A366" s="12">
        <v>219125</v>
      </c>
      <c r="B366" s="12" t="s">
        <v>360</v>
      </c>
      <c r="C366" s="13">
        <v>9</v>
      </c>
      <c r="D366" s="13">
        <v>8</v>
      </c>
      <c r="E366" s="13">
        <v>9</v>
      </c>
      <c r="F366" s="13">
        <v>40</v>
      </c>
      <c r="G366" s="13">
        <v>15</v>
      </c>
      <c r="H366" s="13">
        <v>0</v>
      </c>
      <c r="I366" s="14">
        <v>5</v>
      </c>
      <c r="J366" s="14">
        <v>1.875</v>
      </c>
      <c r="K366" s="14">
        <v>0</v>
      </c>
      <c r="L366" s="13">
        <v>30</v>
      </c>
      <c r="M366" t="str" cm="1">
        <f t="array" ref="M366">_xlfn.IFS(E366&lt;6, "0-6 Months", E366&lt;=12, "6-12 Months", E366&lt;=24, "12-24 Months", E366&gt;24, "24+ Months")</f>
        <v>6-12 Months</v>
      </c>
      <c r="N366" t="str" cm="1">
        <f t="array" ref="N366">_xlfn.IFS(E366&lt;6, "12-18 Months", E366&lt;=12, "18-24 Months", E366&lt;=24, "24+ Months", E366&gt;24, "24+ Months")</f>
        <v>18-24 Months</v>
      </c>
      <c r="O366" t="str" cm="1">
        <f t="array" ref="O366">_xlfn.IFS(D366&gt;=550, "Major", D366 &gt;= 100, "T1200", D366 &lt;100, "Other")</f>
        <v>Other</v>
      </c>
      <c r="P366">
        <f t="shared" si="5"/>
        <v>9</v>
      </c>
    </row>
    <row r="367" spans="1:16" x14ac:dyDescent="0.2">
      <c r="A367" s="12">
        <v>135122</v>
      </c>
      <c r="B367" s="12" t="s">
        <v>415</v>
      </c>
      <c r="C367" s="13">
        <v>862</v>
      </c>
      <c r="D367" s="13">
        <v>800</v>
      </c>
      <c r="E367" s="13">
        <v>28</v>
      </c>
      <c r="F367" s="13">
        <v>39</v>
      </c>
      <c r="G367" s="13">
        <v>5</v>
      </c>
      <c r="H367" s="13">
        <v>1</v>
      </c>
      <c r="I367" s="14">
        <v>4.8750000000000002E-2</v>
      </c>
      <c r="J367" s="14">
        <v>6.2500000000000003E-3</v>
      </c>
      <c r="K367" s="14">
        <v>1.25E-3</v>
      </c>
      <c r="L367" s="13">
        <v>923</v>
      </c>
      <c r="M367" t="str" cm="1">
        <f t="array" ref="M367">_xlfn.IFS(E367&lt;6, "0-6 Months", E367&lt;=12, "6-12 Months", E367&lt;=24, "12-24 Months", E367&gt;24, "24+ Months")</f>
        <v>24+ Months</v>
      </c>
      <c r="N367" t="str" cm="1">
        <f t="array" ref="N367">_xlfn.IFS(E367&lt;6, "12-18 Months", E367&lt;=12, "18-24 Months", E367&lt;=24, "24+ Months", E367&gt;24, "24+ Months")</f>
        <v>24+ Months</v>
      </c>
      <c r="O367" t="str" cm="1">
        <f t="array" ref="O367">_xlfn.IFS(D367&gt;=550, "Major", D367 &gt;= 100, "T1200", D367 &lt;100, "Other")</f>
        <v>Major</v>
      </c>
      <c r="P367">
        <f t="shared" si="5"/>
        <v>0</v>
      </c>
    </row>
    <row r="368" spans="1:16" x14ac:dyDescent="0.2">
      <c r="A368" s="12">
        <v>110487</v>
      </c>
      <c r="B368" s="12" t="s">
        <v>440</v>
      </c>
      <c r="C368" s="13">
        <v>296</v>
      </c>
      <c r="D368" s="13">
        <v>175</v>
      </c>
      <c r="E368" s="13">
        <v>7</v>
      </c>
      <c r="F368" s="13">
        <v>39</v>
      </c>
      <c r="G368" s="13">
        <v>39</v>
      </c>
      <c r="H368" s="13">
        <v>39</v>
      </c>
      <c r="I368" s="14">
        <v>0.22285714285714289</v>
      </c>
      <c r="J368" s="14">
        <v>0.22285714285714289</v>
      </c>
      <c r="K368" s="14">
        <v>0.22285714285714289</v>
      </c>
      <c r="L368" s="13">
        <v>7</v>
      </c>
      <c r="M368" t="str" cm="1">
        <f t="array" ref="M368">_xlfn.IFS(E368&lt;6, "0-6 Months", E368&lt;=12, "6-12 Months", E368&lt;=24, "12-24 Months", E368&gt;24, "24+ Months")</f>
        <v>6-12 Months</v>
      </c>
      <c r="N368" t="str" cm="1">
        <f t="array" ref="N368">_xlfn.IFS(E368&lt;6, "12-18 Months", E368&lt;=12, "18-24 Months", E368&lt;=24, "24+ Months", E368&gt;24, "24+ Months")</f>
        <v>18-24 Months</v>
      </c>
      <c r="O368" t="str" cm="1">
        <f t="array" ref="O368">_xlfn.IFS(D368&gt;=550, "Major", D368 &gt;= 100, "T1200", D368 &lt;100, "Other")</f>
        <v>T1200</v>
      </c>
      <c r="P368">
        <f t="shared" si="5"/>
        <v>0</v>
      </c>
    </row>
    <row r="369" spans="1:16" x14ac:dyDescent="0.2">
      <c r="A369" s="12">
        <v>486478</v>
      </c>
      <c r="B369" s="12" t="s">
        <v>412</v>
      </c>
      <c r="C369" s="13">
        <v>155</v>
      </c>
      <c r="D369" s="13">
        <v>350</v>
      </c>
      <c r="E369" s="13">
        <v>15</v>
      </c>
      <c r="F369" s="13">
        <v>39</v>
      </c>
      <c r="G369" s="13">
        <v>39</v>
      </c>
      <c r="H369" s="13">
        <v>5</v>
      </c>
      <c r="I369" s="14">
        <v>0.1114285714285714</v>
      </c>
      <c r="J369" s="14">
        <v>0.1114285714285714</v>
      </c>
      <c r="K369" s="14">
        <v>1.428571428571429E-2</v>
      </c>
      <c r="L369" s="13">
        <v>155</v>
      </c>
      <c r="M369" t="str" cm="1">
        <f t="array" ref="M369">_xlfn.IFS(E369&lt;6, "0-6 Months", E369&lt;=12, "6-12 Months", E369&lt;=24, "12-24 Months", E369&gt;24, "24+ Months")</f>
        <v>12-24 Months</v>
      </c>
      <c r="N369" t="str" cm="1">
        <f t="array" ref="N369">_xlfn.IFS(E369&lt;6, "12-18 Months", E369&lt;=12, "18-24 Months", E369&lt;=24, "24+ Months", E369&gt;24, "24+ Months")</f>
        <v>24+ Months</v>
      </c>
      <c r="O369" t="str" cm="1">
        <f t="array" ref="O369">_xlfn.IFS(D369&gt;=550, "Major", D369 &gt;= 100, "T1200", D369 &lt;100, "Other")</f>
        <v>T1200</v>
      </c>
      <c r="P369">
        <f t="shared" si="5"/>
        <v>0</v>
      </c>
    </row>
    <row r="370" spans="1:16" x14ac:dyDescent="0.2">
      <c r="A370" s="12">
        <v>510427</v>
      </c>
      <c r="B370" s="12" t="s">
        <v>319</v>
      </c>
      <c r="C370" s="13">
        <v>78</v>
      </c>
      <c r="D370" s="13">
        <v>40</v>
      </c>
      <c r="E370" s="13">
        <v>49</v>
      </c>
      <c r="F370" s="13">
        <v>39</v>
      </c>
      <c r="G370" s="13">
        <v>36</v>
      </c>
      <c r="H370" s="13">
        <v>36</v>
      </c>
      <c r="I370" s="14">
        <v>0.97499999999999998</v>
      </c>
      <c r="J370" s="14">
        <v>0.9</v>
      </c>
      <c r="K370" s="14">
        <v>0.9</v>
      </c>
      <c r="L370" s="13">
        <v>4</v>
      </c>
      <c r="M370" t="str" cm="1">
        <f t="array" ref="M370">_xlfn.IFS(E370&lt;6, "0-6 Months", E370&lt;=12, "6-12 Months", E370&lt;=24, "12-24 Months", E370&gt;24, "24+ Months")</f>
        <v>24+ Months</v>
      </c>
      <c r="N370" t="str" cm="1">
        <f t="array" ref="N370">_xlfn.IFS(E370&lt;6, "12-18 Months", E370&lt;=12, "18-24 Months", E370&lt;=24, "24+ Months", E370&gt;24, "24+ Months")</f>
        <v>24+ Months</v>
      </c>
      <c r="O370" t="str" cm="1">
        <f t="array" ref="O370">_xlfn.IFS(D370&gt;=550, "Major", D370 &gt;= 100, "T1200", D370 &lt;100, "Other")</f>
        <v>Other</v>
      </c>
      <c r="P370">
        <f t="shared" si="5"/>
        <v>0</v>
      </c>
    </row>
    <row r="371" spans="1:16" x14ac:dyDescent="0.2">
      <c r="A371" s="12">
        <v>542050</v>
      </c>
      <c r="B371" s="12" t="s">
        <v>441</v>
      </c>
      <c r="C371" s="13">
        <v>101</v>
      </c>
      <c r="D371" s="13">
        <v>100</v>
      </c>
      <c r="E371" s="13">
        <v>24</v>
      </c>
      <c r="F371" s="13">
        <v>38</v>
      </c>
      <c r="G371" s="13">
        <v>26</v>
      </c>
      <c r="H371" s="13">
        <v>26</v>
      </c>
      <c r="I371" s="14">
        <v>0.38</v>
      </c>
      <c r="J371" s="14">
        <v>0.26</v>
      </c>
      <c r="K371" s="14">
        <v>0.26</v>
      </c>
      <c r="L371" s="13">
        <v>10</v>
      </c>
      <c r="M371" t="str" cm="1">
        <f t="array" ref="M371">_xlfn.IFS(E371&lt;6, "0-6 Months", E371&lt;=12, "6-12 Months", E371&lt;=24, "12-24 Months", E371&gt;24, "24+ Months")</f>
        <v>12-24 Months</v>
      </c>
      <c r="N371" t="str" cm="1">
        <f t="array" ref="N371">_xlfn.IFS(E371&lt;6, "12-18 Months", E371&lt;=12, "18-24 Months", E371&lt;=24, "24+ Months", E371&gt;24, "24+ Months")</f>
        <v>24+ Months</v>
      </c>
      <c r="O371" t="str" cm="1">
        <f t="array" ref="O371">_xlfn.IFS(D371&gt;=550, "Major", D371 &gt;= 100, "T1200", D371 &lt;100, "Other")</f>
        <v>T1200</v>
      </c>
      <c r="P371">
        <f t="shared" si="5"/>
        <v>0</v>
      </c>
    </row>
    <row r="372" spans="1:16" x14ac:dyDescent="0.2">
      <c r="A372" s="12">
        <v>108412</v>
      </c>
      <c r="B372" s="12" t="s">
        <v>436</v>
      </c>
      <c r="C372" s="13">
        <v>93</v>
      </c>
      <c r="D372" s="13">
        <v>205</v>
      </c>
      <c r="E372" s="13">
        <v>34</v>
      </c>
      <c r="F372" s="13">
        <v>38</v>
      </c>
      <c r="G372" s="13">
        <v>11</v>
      </c>
      <c r="H372" s="13">
        <v>4</v>
      </c>
      <c r="I372" s="14">
        <v>0.18536585365853661</v>
      </c>
      <c r="J372" s="14">
        <v>5.3658536585365853E-2</v>
      </c>
      <c r="K372" s="14">
        <v>1.9512195121951219E-2</v>
      </c>
      <c r="L372" s="13">
        <v>39</v>
      </c>
      <c r="M372" t="str" cm="1">
        <f t="array" ref="M372">_xlfn.IFS(E372&lt;6, "0-6 Months", E372&lt;=12, "6-12 Months", E372&lt;=24, "12-24 Months", E372&gt;24, "24+ Months")</f>
        <v>24+ Months</v>
      </c>
      <c r="N372" t="str" cm="1">
        <f t="array" ref="N372">_xlfn.IFS(E372&lt;6, "12-18 Months", E372&lt;=12, "18-24 Months", E372&lt;=24, "24+ Months", E372&gt;24, "24+ Months")</f>
        <v>24+ Months</v>
      </c>
      <c r="O372" t="str" cm="1">
        <f t="array" ref="O372">_xlfn.IFS(D372&gt;=550, "Major", D372 &gt;= 100, "T1200", D372 &lt;100, "Other")</f>
        <v>T1200</v>
      </c>
      <c r="P372">
        <f t="shared" si="5"/>
        <v>0</v>
      </c>
    </row>
    <row r="373" spans="1:16" x14ac:dyDescent="0.2">
      <c r="A373" s="12">
        <v>205183</v>
      </c>
      <c r="B373" s="12" t="s">
        <v>387</v>
      </c>
      <c r="C373" s="13">
        <v>5</v>
      </c>
      <c r="D373" s="13">
        <v>10</v>
      </c>
      <c r="E373" s="13">
        <v>6</v>
      </c>
      <c r="F373" s="13">
        <v>38</v>
      </c>
      <c r="G373" s="13">
        <v>38</v>
      </c>
      <c r="H373" s="13">
        <v>0</v>
      </c>
      <c r="I373" s="14">
        <v>3.8</v>
      </c>
      <c r="J373" s="14">
        <v>3.8</v>
      </c>
      <c r="K373" s="14">
        <v>0</v>
      </c>
      <c r="L373" s="13">
        <v>0</v>
      </c>
      <c r="M373" t="str" cm="1">
        <f t="array" ref="M373">_xlfn.IFS(E373&lt;6, "0-6 Months", E373&lt;=12, "6-12 Months", E373&lt;=24, "12-24 Months", E373&gt;24, "24+ Months")</f>
        <v>6-12 Months</v>
      </c>
      <c r="N373" t="str" cm="1">
        <f t="array" ref="N373">_xlfn.IFS(E373&lt;6, "12-18 Months", E373&lt;=12, "18-24 Months", E373&lt;=24, "24+ Months", E373&gt;24, "24+ Months")</f>
        <v>18-24 Months</v>
      </c>
      <c r="O373" t="str" cm="1">
        <f t="array" ref="O373">_xlfn.IFS(D373&gt;=550, "Major", D373 &gt;= 100, "T1200", D373 &lt;100, "Other")</f>
        <v>Other</v>
      </c>
      <c r="P373">
        <f t="shared" si="5"/>
        <v>5</v>
      </c>
    </row>
    <row r="374" spans="1:16" x14ac:dyDescent="0.2">
      <c r="A374" s="12">
        <v>470907</v>
      </c>
      <c r="B374" s="12" t="s">
        <v>446</v>
      </c>
      <c r="C374" s="13">
        <v>2</v>
      </c>
      <c r="D374" s="13">
        <v>15</v>
      </c>
      <c r="E374" s="13">
        <v>8</v>
      </c>
      <c r="F374" s="13">
        <v>38</v>
      </c>
      <c r="G374" s="13">
        <v>22</v>
      </c>
      <c r="H374" s="13">
        <v>21</v>
      </c>
      <c r="I374" s="14">
        <v>2.5333333333333332</v>
      </c>
      <c r="J374" s="14">
        <v>1.466666666666667</v>
      </c>
      <c r="K374" s="14">
        <v>1.4</v>
      </c>
      <c r="L374" s="13">
        <v>70</v>
      </c>
      <c r="M374" t="str" cm="1">
        <f t="array" ref="M374">_xlfn.IFS(E374&lt;6, "0-6 Months", E374&lt;=12, "6-12 Months", E374&lt;=24, "12-24 Months", E374&gt;24, "24+ Months")</f>
        <v>6-12 Months</v>
      </c>
      <c r="N374" t="str" cm="1">
        <f t="array" ref="N374">_xlfn.IFS(E374&lt;6, "12-18 Months", E374&lt;=12, "18-24 Months", E374&lt;=24, "24+ Months", E374&gt;24, "24+ Months")</f>
        <v>18-24 Months</v>
      </c>
      <c r="O374" t="str" cm="1">
        <f t="array" ref="O374">_xlfn.IFS(D374&gt;=550, "Major", D374 &gt;= 100, "T1200", D374 &lt;100, "Other")</f>
        <v>Other</v>
      </c>
      <c r="P374">
        <f t="shared" si="5"/>
        <v>2</v>
      </c>
    </row>
    <row r="375" spans="1:16" x14ac:dyDescent="0.2">
      <c r="A375" s="12">
        <v>109719</v>
      </c>
      <c r="B375" s="12" t="s">
        <v>356</v>
      </c>
      <c r="C375" s="13">
        <v>85</v>
      </c>
      <c r="D375" s="13">
        <v>61</v>
      </c>
      <c r="E375" s="13">
        <v>12</v>
      </c>
      <c r="F375" s="13">
        <v>37</v>
      </c>
      <c r="G375" s="13">
        <v>14</v>
      </c>
      <c r="H375" s="13">
        <v>0</v>
      </c>
      <c r="I375" s="14">
        <v>0.60655737704918034</v>
      </c>
      <c r="J375" s="14">
        <v>0.22950819672131151</v>
      </c>
      <c r="K375" s="14">
        <v>0</v>
      </c>
      <c r="L375" s="13">
        <v>9</v>
      </c>
      <c r="M375" t="str" cm="1">
        <f t="array" ref="M375">_xlfn.IFS(E375&lt;6, "0-6 Months", E375&lt;=12, "6-12 Months", E375&lt;=24, "12-24 Months", E375&gt;24, "24+ Months")</f>
        <v>6-12 Months</v>
      </c>
      <c r="N375" t="str" cm="1">
        <f t="array" ref="N375">_xlfn.IFS(E375&lt;6, "12-18 Months", E375&lt;=12, "18-24 Months", E375&lt;=24, "24+ Months", E375&gt;24, "24+ Months")</f>
        <v>18-24 Months</v>
      </c>
      <c r="O375" t="str" cm="1">
        <f t="array" ref="O375">_xlfn.IFS(D375&gt;=550, "Major", D375 &gt;= 100, "T1200", D375 &lt;100, "Other")</f>
        <v>Other</v>
      </c>
      <c r="P375">
        <f t="shared" si="5"/>
        <v>0</v>
      </c>
    </row>
    <row r="376" spans="1:16" x14ac:dyDescent="0.2">
      <c r="A376" s="12">
        <v>113149</v>
      </c>
      <c r="B376" s="12" t="s">
        <v>435</v>
      </c>
      <c r="C376" s="13">
        <v>16</v>
      </c>
      <c r="D376" s="13">
        <v>12</v>
      </c>
      <c r="E376" s="13">
        <v>6</v>
      </c>
      <c r="F376" s="13">
        <v>37</v>
      </c>
      <c r="G376" s="13">
        <v>37</v>
      </c>
      <c r="H376" s="13">
        <v>20</v>
      </c>
      <c r="I376" s="14">
        <v>3.083333333333333</v>
      </c>
      <c r="J376" s="14">
        <v>3.083333333333333</v>
      </c>
      <c r="K376" s="14">
        <v>1.666666666666667</v>
      </c>
      <c r="L376" s="13">
        <v>0</v>
      </c>
      <c r="M376" t="str" cm="1">
        <f t="array" ref="M376">_xlfn.IFS(E376&lt;6, "0-6 Months", E376&lt;=12, "6-12 Months", E376&lt;=24, "12-24 Months", E376&gt;24, "24+ Months")</f>
        <v>6-12 Months</v>
      </c>
      <c r="N376" t="str" cm="1">
        <f t="array" ref="N376">_xlfn.IFS(E376&lt;6, "12-18 Months", E376&lt;=12, "18-24 Months", E376&lt;=24, "24+ Months", E376&gt;24, "24+ Months")</f>
        <v>18-24 Months</v>
      </c>
      <c r="O376" t="str" cm="1">
        <f t="array" ref="O376">_xlfn.IFS(D376&gt;=550, "Major", D376 &gt;= 100, "T1200", D376 &lt;100, "Other")</f>
        <v>Other</v>
      </c>
      <c r="P376">
        <f t="shared" si="5"/>
        <v>16</v>
      </c>
    </row>
    <row r="377" spans="1:16" x14ac:dyDescent="0.2">
      <c r="A377" s="12">
        <v>108360</v>
      </c>
      <c r="B377" s="12" t="s">
        <v>487</v>
      </c>
      <c r="C377" s="13">
        <v>782</v>
      </c>
      <c r="D377" s="13">
        <v>800</v>
      </c>
      <c r="E377" s="13">
        <v>50</v>
      </c>
      <c r="F377" s="13">
        <v>36</v>
      </c>
      <c r="G377" s="13">
        <v>5</v>
      </c>
      <c r="H377" s="13">
        <v>1</v>
      </c>
      <c r="I377" s="14">
        <v>4.4999999999999998E-2</v>
      </c>
      <c r="J377" s="14">
        <v>6.2500000000000003E-3</v>
      </c>
      <c r="K377" s="14">
        <v>1.25E-3</v>
      </c>
      <c r="L377" s="13">
        <v>72</v>
      </c>
      <c r="M377" t="str" cm="1">
        <f t="array" ref="M377">_xlfn.IFS(E377&lt;6, "0-6 Months", E377&lt;=12, "6-12 Months", E377&lt;=24, "12-24 Months", E377&gt;24, "24+ Months")</f>
        <v>24+ Months</v>
      </c>
      <c r="N377" t="str" cm="1">
        <f t="array" ref="N377">_xlfn.IFS(E377&lt;6, "12-18 Months", E377&lt;=12, "18-24 Months", E377&lt;=24, "24+ Months", E377&gt;24, "24+ Months")</f>
        <v>24+ Months</v>
      </c>
      <c r="O377" t="str" cm="1">
        <f t="array" ref="O377">_xlfn.IFS(D377&gt;=550, "Major", D377 &gt;= 100, "T1200", D377 &lt;100, "Other")</f>
        <v>Major</v>
      </c>
      <c r="P377">
        <f t="shared" si="5"/>
        <v>0</v>
      </c>
    </row>
    <row r="378" spans="1:16" x14ac:dyDescent="0.2">
      <c r="A378" s="12">
        <v>422611</v>
      </c>
      <c r="B378" s="12" t="s">
        <v>445</v>
      </c>
      <c r="C378" s="13">
        <v>62</v>
      </c>
      <c r="D378" s="13">
        <v>72</v>
      </c>
      <c r="E378" s="13">
        <v>12</v>
      </c>
      <c r="F378" s="13">
        <v>36</v>
      </c>
      <c r="G378" s="13">
        <v>0</v>
      </c>
      <c r="H378" s="13">
        <v>0</v>
      </c>
      <c r="I378" s="14">
        <v>0.5</v>
      </c>
      <c r="J378" s="14">
        <v>0</v>
      </c>
      <c r="K378" s="14">
        <v>0</v>
      </c>
      <c r="L378" s="13">
        <v>0</v>
      </c>
      <c r="M378" t="str" cm="1">
        <f t="array" ref="M378">_xlfn.IFS(E378&lt;6, "0-6 Months", E378&lt;=12, "6-12 Months", E378&lt;=24, "12-24 Months", E378&gt;24, "24+ Months")</f>
        <v>6-12 Months</v>
      </c>
      <c r="N378" t="str" cm="1">
        <f t="array" ref="N378">_xlfn.IFS(E378&lt;6, "12-18 Months", E378&lt;=12, "18-24 Months", E378&lt;=24, "24+ Months", E378&gt;24, "24+ Months")</f>
        <v>18-24 Months</v>
      </c>
      <c r="O378" t="str" cm="1">
        <f t="array" ref="O378">_xlfn.IFS(D378&gt;=550, "Major", D378 &gt;= 100, "T1200", D378 &lt;100, "Other")</f>
        <v>Other</v>
      </c>
      <c r="P378">
        <f t="shared" si="5"/>
        <v>0</v>
      </c>
    </row>
    <row r="379" spans="1:16" x14ac:dyDescent="0.2">
      <c r="A379" s="12">
        <v>493451</v>
      </c>
      <c r="B379" s="12" t="s">
        <v>417</v>
      </c>
      <c r="C379" s="13">
        <v>5</v>
      </c>
      <c r="D379" s="13">
        <v>8</v>
      </c>
      <c r="E379" s="13">
        <v>6</v>
      </c>
      <c r="F379" s="13">
        <v>36</v>
      </c>
      <c r="G379" s="13">
        <v>9</v>
      </c>
      <c r="H379" s="13">
        <v>0</v>
      </c>
      <c r="I379" s="14">
        <v>4.5</v>
      </c>
      <c r="J379" s="14">
        <v>1.125</v>
      </c>
      <c r="K379" s="14">
        <v>0</v>
      </c>
      <c r="L379" s="13">
        <v>26</v>
      </c>
      <c r="M379" t="str" cm="1">
        <f t="array" ref="M379">_xlfn.IFS(E379&lt;6, "0-6 Months", E379&lt;=12, "6-12 Months", E379&lt;=24, "12-24 Months", E379&gt;24, "24+ Months")</f>
        <v>6-12 Months</v>
      </c>
      <c r="N379" t="str" cm="1">
        <f t="array" ref="N379">_xlfn.IFS(E379&lt;6, "12-18 Months", E379&lt;=12, "18-24 Months", E379&lt;=24, "24+ Months", E379&gt;24, "24+ Months")</f>
        <v>18-24 Months</v>
      </c>
      <c r="O379" t="str" cm="1">
        <f t="array" ref="O379">_xlfn.IFS(D379&gt;=550, "Major", D379 &gt;= 100, "T1200", D379 &lt;100, "Other")</f>
        <v>Other</v>
      </c>
      <c r="P379">
        <f t="shared" si="5"/>
        <v>5</v>
      </c>
    </row>
    <row r="380" spans="1:16" x14ac:dyDescent="0.2">
      <c r="A380" s="12">
        <v>106876</v>
      </c>
      <c r="B380" s="12" t="s">
        <v>390</v>
      </c>
      <c r="C380" s="13">
        <v>3</v>
      </c>
      <c r="D380" s="13">
        <v>48</v>
      </c>
      <c r="E380" s="13">
        <v>45</v>
      </c>
      <c r="F380" s="13">
        <v>36</v>
      </c>
      <c r="G380" s="13">
        <v>21</v>
      </c>
      <c r="H380" s="13">
        <v>10</v>
      </c>
      <c r="I380" s="14">
        <v>0.75</v>
      </c>
      <c r="J380" s="14">
        <v>0.4375</v>
      </c>
      <c r="K380" s="14">
        <v>0.20833333333333329</v>
      </c>
      <c r="L380" s="13">
        <v>4</v>
      </c>
      <c r="M380" t="str" cm="1">
        <f t="array" ref="M380">_xlfn.IFS(E380&lt;6, "0-6 Months", E380&lt;=12, "6-12 Months", E380&lt;=24, "12-24 Months", E380&gt;24, "24+ Months")</f>
        <v>24+ Months</v>
      </c>
      <c r="N380" t="str" cm="1">
        <f t="array" ref="N380">_xlfn.IFS(E380&lt;6, "12-18 Months", E380&lt;=12, "18-24 Months", E380&lt;=24, "24+ Months", E380&gt;24, "24+ Months")</f>
        <v>24+ Months</v>
      </c>
      <c r="O380" t="str" cm="1">
        <f t="array" ref="O380">_xlfn.IFS(D380&gt;=550, "Major", D380 &gt;= 100, "T1200", D380 &lt;100, "Other")</f>
        <v>Other</v>
      </c>
      <c r="P380">
        <f t="shared" si="5"/>
        <v>0</v>
      </c>
    </row>
    <row r="381" spans="1:16" x14ac:dyDescent="0.2">
      <c r="A381" s="12">
        <v>189441</v>
      </c>
      <c r="B381" s="12" t="s">
        <v>497</v>
      </c>
      <c r="C381" s="13">
        <v>50</v>
      </c>
      <c r="D381" s="13">
        <v>82</v>
      </c>
      <c r="E381" s="13">
        <v>37</v>
      </c>
      <c r="F381" s="13">
        <v>35</v>
      </c>
      <c r="G381" s="13">
        <v>9</v>
      </c>
      <c r="H381" s="13">
        <v>5</v>
      </c>
      <c r="I381" s="14">
        <v>0.42682926829268292</v>
      </c>
      <c r="J381" s="14">
        <v>0.1097560975609756</v>
      </c>
      <c r="K381" s="14">
        <v>6.097560975609756E-2</v>
      </c>
      <c r="L381" s="13">
        <v>18</v>
      </c>
      <c r="M381" t="str" cm="1">
        <f t="array" ref="M381">_xlfn.IFS(E381&lt;6, "0-6 Months", E381&lt;=12, "6-12 Months", E381&lt;=24, "12-24 Months", E381&gt;24, "24+ Months")</f>
        <v>24+ Months</v>
      </c>
      <c r="N381" t="str" cm="1">
        <f t="array" ref="N381">_xlfn.IFS(E381&lt;6, "12-18 Months", E381&lt;=12, "18-24 Months", E381&lt;=24, "24+ Months", E381&gt;24, "24+ Months")</f>
        <v>24+ Months</v>
      </c>
      <c r="O381" t="str" cm="1">
        <f t="array" ref="O381">_xlfn.IFS(D381&gt;=550, "Major", D381 &gt;= 100, "T1200", D381 &lt;100, "Other")</f>
        <v>Other</v>
      </c>
      <c r="P381">
        <f t="shared" si="5"/>
        <v>0</v>
      </c>
    </row>
    <row r="382" spans="1:16" x14ac:dyDescent="0.2">
      <c r="A382" s="12">
        <v>106950</v>
      </c>
      <c r="B382" s="12" t="s">
        <v>464</v>
      </c>
      <c r="C382" s="13">
        <v>30</v>
      </c>
      <c r="D382" s="13">
        <v>35</v>
      </c>
      <c r="E382" s="13">
        <v>21</v>
      </c>
      <c r="F382" s="13">
        <v>35</v>
      </c>
      <c r="G382" s="13">
        <v>20</v>
      </c>
      <c r="H382" s="13">
        <v>8</v>
      </c>
      <c r="I382" s="14">
        <v>1</v>
      </c>
      <c r="J382" s="14">
        <v>0.5714285714285714</v>
      </c>
      <c r="K382" s="14">
        <v>0.22857142857142859</v>
      </c>
      <c r="L382" s="13">
        <v>5</v>
      </c>
      <c r="M382" t="str" cm="1">
        <f t="array" ref="M382">_xlfn.IFS(E382&lt;6, "0-6 Months", E382&lt;=12, "6-12 Months", E382&lt;=24, "12-24 Months", E382&gt;24, "24+ Months")</f>
        <v>12-24 Months</v>
      </c>
      <c r="N382" t="str" cm="1">
        <f t="array" ref="N382">_xlfn.IFS(E382&lt;6, "12-18 Months", E382&lt;=12, "18-24 Months", E382&lt;=24, "24+ Months", E382&gt;24, "24+ Months")</f>
        <v>24+ Months</v>
      </c>
      <c r="O382" t="str" cm="1">
        <f t="array" ref="O382">_xlfn.IFS(D382&gt;=550, "Major", D382 &gt;= 100, "T1200", D382 &lt;100, "Other")</f>
        <v>Other</v>
      </c>
      <c r="P382">
        <f t="shared" si="5"/>
        <v>0</v>
      </c>
    </row>
    <row r="383" spans="1:16" x14ac:dyDescent="0.2">
      <c r="A383" s="12">
        <v>106841</v>
      </c>
      <c r="B383" s="12" t="s">
        <v>425</v>
      </c>
      <c r="C383" s="13">
        <v>20</v>
      </c>
      <c r="D383" s="13">
        <v>54</v>
      </c>
      <c r="E383" s="13">
        <v>10</v>
      </c>
      <c r="F383" s="13">
        <v>35</v>
      </c>
      <c r="G383" s="13">
        <v>1</v>
      </c>
      <c r="H383" s="13">
        <v>0</v>
      </c>
      <c r="I383" s="14">
        <v>0.64814814814814814</v>
      </c>
      <c r="J383" s="14">
        <v>1.8518518518518521E-2</v>
      </c>
      <c r="K383" s="14">
        <v>0</v>
      </c>
      <c r="L383" s="13">
        <v>0</v>
      </c>
      <c r="M383" t="str" cm="1">
        <f t="array" ref="M383">_xlfn.IFS(E383&lt;6, "0-6 Months", E383&lt;=12, "6-12 Months", E383&lt;=24, "12-24 Months", E383&gt;24, "24+ Months")</f>
        <v>6-12 Months</v>
      </c>
      <c r="N383" t="str" cm="1">
        <f t="array" ref="N383">_xlfn.IFS(E383&lt;6, "12-18 Months", E383&lt;=12, "18-24 Months", E383&lt;=24, "24+ Months", E383&gt;24, "24+ Months")</f>
        <v>18-24 Months</v>
      </c>
      <c r="O383" t="str" cm="1">
        <f t="array" ref="O383">_xlfn.IFS(D383&gt;=550, "Major", D383 &gt;= 100, "T1200", D383 &lt;100, "Other")</f>
        <v>Other</v>
      </c>
      <c r="P383">
        <f t="shared" si="5"/>
        <v>0</v>
      </c>
    </row>
    <row r="384" spans="1:16" x14ac:dyDescent="0.2">
      <c r="A384" s="12">
        <v>107137</v>
      </c>
      <c r="B384" s="12" t="s">
        <v>422</v>
      </c>
      <c r="C384" s="13">
        <v>255</v>
      </c>
      <c r="D384" s="13">
        <v>64</v>
      </c>
      <c r="E384" s="13">
        <v>12</v>
      </c>
      <c r="F384" s="13">
        <v>34</v>
      </c>
      <c r="G384" s="13">
        <v>26</v>
      </c>
      <c r="H384" s="13">
        <v>11</v>
      </c>
      <c r="I384" s="14">
        <v>0.53125</v>
      </c>
      <c r="J384" s="14">
        <v>0.40625</v>
      </c>
      <c r="K384" s="14">
        <v>0.171875</v>
      </c>
      <c r="L384" s="13">
        <v>0</v>
      </c>
      <c r="M384" t="str" cm="1">
        <f t="array" ref="M384">_xlfn.IFS(E384&lt;6, "0-6 Months", E384&lt;=12, "6-12 Months", E384&lt;=24, "12-24 Months", E384&gt;24, "24+ Months")</f>
        <v>6-12 Months</v>
      </c>
      <c r="N384" t="str" cm="1">
        <f t="array" ref="N384">_xlfn.IFS(E384&lt;6, "12-18 Months", E384&lt;=12, "18-24 Months", E384&lt;=24, "24+ Months", E384&gt;24, "24+ Months")</f>
        <v>18-24 Months</v>
      </c>
      <c r="O384" t="str" cm="1">
        <f t="array" ref="O384">_xlfn.IFS(D384&gt;=550, "Major", D384 &gt;= 100, "T1200", D384 &lt;100, "Other")</f>
        <v>Other</v>
      </c>
      <c r="P384">
        <f t="shared" si="5"/>
        <v>0</v>
      </c>
    </row>
    <row r="385" spans="1:16" x14ac:dyDescent="0.2">
      <c r="A385" s="12">
        <v>109892</v>
      </c>
      <c r="B385" s="12" t="s">
        <v>453</v>
      </c>
      <c r="C385" s="13">
        <v>51</v>
      </c>
      <c r="D385" s="13">
        <v>54</v>
      </c>
      <c r="E385" s="13">
        <v>21</v>
      </c>
      <c r="F385" s="13">
        <v>34</v>
      </c>
      <c r="G385" s="13">
        <v>6</v>
      </c>
      <c r="H385" s="13">
        <v>0</v>
      </c>
      <c r="I385" s="14">
        <v>0.62962962962962965</v>
      </c>
      <c r="J385" s="14">
        <v>0.1111111111111111</v>
      </c>
      <c r="K385" s="14">
        <v>0</v>
      </c>
      <c r="L385" s="13">
        <v>0</v>
      </c>
      <c r="M385" t="str" cm="1">
        <f t="array" ref="M385">_xlfn.IFS(E385&lt;6, "0-6 Months", E385&lt;=12, "6-12 Months", E385&lt;=24, "12-24 Months", E385&gt;24, "24+ Months")</f>
        <v>12-24 Months</v>
      </c>
      <c r="N385" t="str" cm="1">
        <f t="array" ref="N385">_xlfn.IFS(E385&lt;6, "12-18 Months", E385&lt;=12, "18-24 Months", E385&lt;=24, "24+ Months", E385&gt;24, "24+ Months")</f>
        <v>24+ Months</v>
      </c>
      <c r="O385" t="str" cm="1">
        <f t="array" ref="O385">_xlfn.IFS(D385&gt;=550, "Major", D385 &gt;= 100, "T1200", D385 &lt;100, "Other")</f>
        <v>Other</v>
      </c>
      <c r="P385">
        <f t="shared" si="5"/>
        <v>0</v>
      </c>
    </row>
    <row r="386" spans="1:16" x14ac:dyDescent="0.2">
      <c r="A386" s="12">
        <v>293426</v>
      </c>
      <c r="B386" s="12" t="s">
        <v>449</v>
      </c>
      <c r="C386" s="13">
        <v>8</v>
      </c>
      <c r="D386" s="13">
        <v>16</v>
      </c>
      <c r="E386" s="13">
        <v>30</v>
      </c>
      <c r="F386" s="13">
        <v>34</v>
      </c>
      <c r="G386" s="13">
        <v>25</v>
      </c>
      <c r="H386" s="13">
        <v>0</v>
      </c>
      <c r="I386" s="14">
        <v>2.125</v>
      </c>
      <c r="J386" s="14">
        <v>1.5625</v>
      </c>
      <c r="K386" s="14">
        <v>0</v>
      </c>
      <c r="L386" s="13">
        <v>34</v>
      </c>
      <c r="M386" t="str" cm="1">
        <f t="array" ref="M386">_xlfn.IFS(E386&lt;6, "0-6 Months", E386&lt;=12, "6-12 Months", E386&lt;=24, "12-24 Months", E386&gt;24, "24+ Months")</f>
        <v>24+ Months</v>
      </c>
      <c r="N386" t="str" cm="1">
        <f t="array" ref="N386">_xlfn.IFS(E386&lt;6, "12-18 Months", E386&lt;=12, "18-24 Months", E386&lt;=24, "24+ Months", E386&gt;24, "24+ Months")</f>
        <v>24+ Months</v>
      </c>
      <c r="O386" t="str" cm="1">
        <f t="array" ref="O386">_xlfn.IFS(D386&gt;=550, "Major", D386 &gt;= 100, "T1200", D386 &lt;100, "Other")</f>
        <v>Other</v>
      </c>
      <c r="P386">
        <f t="shared" ref="P386:P449" si="6">SUMPRODUCT((I386&gt;=2) * C386 + ((D386&gt;=550) * (J386&gt;=0.75) * (I386&lt;2) * C386))</f>
        <v>8</v>
      </c>
    </row>
    <row r="387" spans="1:16" x14ac:dyDescent="0.2">
      <c r="A387" s="12">
        <v>458721</v>
      </c>
      <c r="B387" s="12" t="s">
        <v>430</v>
      </c>
      <c r="C387" s="13">
        <v>23</v>
      </c>
      <c r="D387" s="13">
        <v>46</v>
      </c>
      <c r="E387" s="13">
        <v>7</v>
      </c>
      <c r="F387" s="13">
        <v>33</v>
      </c>
      <c r="G387" s="13">
        <v>17</v>
      </c>
      <c r="H387" s="13">
        <v>0</v>
      </c>
      <c r="I387" s="14">
        <v>0.71739130434782605</v>
      </c>
      <c r="J387" s="14">
        <v>0.36956521739130432</v>
      </c>
      <c r="K387" s="14">
        <v>0</v>
      </c>
      <c r="L387" s="13">
        <v>38</v>
      </c>
      <c r="M387" t="str" cm="1">
        <f t="array" ref="M387">_xlfn.IFS(E387&lt;6, "0-6 Months", E387&lt;=12, "6-12 Months", E387&lt;=24, "12-24 Months", E387&gt;24, "24+ Months")</f>
        <v>6-12 Months</v>
      </c>
      <c r="N387" t="str" cm="1">
        <f t="array" ref="N387">_xlfn.IFS(E387&lt;6, "12-18 Months", E387&lt;=12, "18-24 Months", E387&lt;=24, "24+ Months", E387&gt;24, "24+ Months")</f>
        <v>18-24 Months</v>
      </c>
      <c r="O387" t="str" cm="1">
        <f t="array" ref="O387">_xlfn.IFS(D387&gt;=550, "Major", D387 &gt;= 100, "T1200", D387 &lt;100, "Other")</f>
        <v>Other</v>
      </c>
      <c r="P387">
        <f t="shared" si="6"/>
        <v>0</v>
      </c>
    </row>
    <row r="388" spans="1:16" x14ac:dyDescent="0.2">
      <c r="A388" s="12">
        <v>465304</v>
      </c>
      <c r="B388" s="12" t="s">
        <v>455</v>
      </c>
      <c r="C388" s="13">
        <v>18</v>
      </c>
      <c r="D388" s="13">
        <v>24</v>
      </c>
      <c r="E388" s="13">
        <v>27</v>
      </c>
      <c r="F388" s="13">
        <v>33</v>
      </c>
      <c r="G388" s="13">
        <v>26</v>
      </c>
      <c r="H388" s="13">
        <v>0</v>
      </c>
      <c r="I388" s="14">
        <v>1.375</v>
      </c>
      <c r="J388" s="14">
        <v>1.083333333333333</v>
      </c>
      <c r="K388" s="14">
        <v>0</v>
      </c>
      <c r="L388" s="13">
        <v>3</v>
      </c>
      <c r="M388" t="str" cm="1">
        <f t="array" ref="M388">_xlfn.IFS(E388&lt;6, "0-6 Months", E388&lt;=12, "6-12 Months", E388&lt;=24, "12-24 Months", E388&gt;24, "24+ Months")</f>
        <v>24+ Months</v>
      </c>
      <c r="N388" t="str" cm="1">
        <f t="array" ref="N388">_xlfn.IFS(E388&lt;6, "12-18 Months", E388&lt;=12, "18-24 Months", E388&lt;=24, "24+ Months", E388&gt;24, "24+ Months")</f>
        <v>24+ Months</v>
      </c>
      <c r="O388" t="str" cm="1">
        <f t="array" ref="O388">_xlfn.IFS(D388&gt;=550, "Major", D388 &gt;= 100, "T1200", D388 &lt;100, "Other")</f>
        <v>Other</v>
      </c>
      <c r="P388">
        <f t="shared" si="6"/>
        <v>0</v>
      </c>
    </row>
    <row r="389" spans="1:16" x14ac:dyDescent="0.2">
      <c r="A389" s="12">
        <v>479509</v>
      </c>
      <c r="B389" s="12" t="s">
        <v>451</v>
      </c>
      <c r="C389" s="13">
        <v>8</v>
      </c>
      <c r="D389" s="13">
        <v>7</v>
      </c>
      <c r="E389" s="13">
        <v>14</v>
      </c>
      <c r="F389" s="13">
        <v>33</v>
      </c>
      <c r="G389" s="13">
        <v>27</v>
      </c>
      <c r="H389" s="13">
        <v>20</v>
      </c>
      <c r="I389" s="14">
        <v>4.7142857142857144</v>
      </c>
      <c r="J389" s="14">
        <v>3.8571428571428572</v>
      </c>
      <c r="K389" s="14">
        <v>2.8571428571428572</v>
      </c>
      <c r="L389" s="13">
        <v>1</v>
      </c>
      <c r="M389" t="str" cm="1">
        <f t="array" ref="M389">_xlfn.IFS(E389&lt;6, "0-6 Months", E389&lt;=12, "6-12 Months", E389&lt;=24, "12-24 Months", E389&gt;24, "24+ Months")</f>
        <v>12-24 Months</v>
      </c>
      <c r="N389" t="str" cm="1">
        <f t="array" ref="N389">_xlfn.IFS(E389&lt;6, "12-18 Months", E389&lt;=12, "18-24 Months", E389&lt;=24, "24+ Months", E389&gt;24, "24+ Months")</f>
        <v>24+ Months</v>
      </c>
      <c r="O389" t="str" cm="1">
        <f t="array" ref="O389">_xlfn.IFS(D389&gt;=550, "Major", D389 &gt;= 100, "T1200", D389 &lt;100, "Other")</f>
        <v>Other</v>
      </c>
      <c r="P389">
        <f t="shared" si="6"/>
        <v>8</v>
      </c>
    </row>
    <row r="390" spans="1:16" x14ac:dyDescent="0.2">
      <c r="A390" s="12">
        <v>316023</v>
      </c>
      <c r="B390" s="12" t="s">
        <v>456</v>
      </c>
      <c r="C390" s="13">
        <v>28</v>
      </c>
      <c r="D390" s="13">
        <v>26</v>
      </c>
      <c r="E390" s="13">
        <v>11</v>
      </c>
      <c r="F390" s="13">
        <v>32</v>
      </c>
      <c r="G390" s="13">
        <v>7</v>
      </c>
      <c r="H390" s="13">
        <v>0</v>
      </c>
      <c r="I390" s="14">
        <v>1.2307692307692311</v>
      </c>
      <c r="J390" s="14">
        <v>0.26923076923076922</v>
      </c>
      <c r="K390" s="14">
        <v>0</v>
      </c>
      <c r="L390" s="13">
        <v>0</v>
      </c>
      <c r="M390" t="str" cm="1">
        <f t="array" ref="M390">_xlfn.IFS(E390&lt;6, "0-6 Months", E390&lt;=12, "6-12 Months", E390&lt;=24, "12-24 Months", E390&gt;24, "24+ Months")</f>
        <v>6-12 Months</v>
      </c>
      <c r="N390" t="str" cm="1">
        <f t="array" ref="N390">_xlfn.IFS(E390&lt;6, "12-18 Months", E390&lt;=12, "18-24 Months", E390&lt;=24, "24+ Months", E390&gt;24, "24+ Months")</f>
        <v>18-24 Months</v>
      </c>
      <c r="O390" t="str" cm="1">
        <f t="array" ref="O390">_xlfn.IFS(D390&gt;=550, "Major", D390 &gt;= 100, "T1200", D390 &lt;100, "Other")</f>
        <v>Other</v>
      </c>
      <c r="P390">
        <f t="shared" si="6"/>
        <v>0</v>
      </c>
    </row>
    <row r="391" spans="1:16" x14ac:dyDescent="0.2">
      <c r="A391" s="12">
        <v>461977</v>
      </c>
      <c r="B391" s="12" t="s">
        <v>376</v>
      </c>
      <c r="C391" s="13">
        <v>18</v>
      </c>
      <c r="D391" s="13">
        <v>10</v>
      </c>
      <c r="E391" s="13">
        <v>9</v>
      </c>
      <c r="F391" s="13">
        <v>32</v>
      </c>
      <c r="G391" s="13">
        <v>13</v>
      </c>
      <c r="H391" s="13">
        <v>0</v>
      </c>
      <c r="I391" s="14">
        <v>3.2</v>
      </c>
      <c r="J391" s="14">
        <v>1.3</v>
      </c>
      <c r="K391" s="14">
        <v>0</v>
      </c>
      <c r="L391" s="13">
        <v>0</v>
      </c>
      <c r="M391" t="str" cm="1">
        <f t="array" ref="M391">_xlfn.IFS(E391&lt;6, "0-6 Months", E391&lt;=12, "6-12 Months", E391&lt;=24, "12-24 Months", E391&gt;24, "24+ Months")</f>
        <v>6-12 Months</v>
      </c>
      <c r="N391" t="str" cm="1">
        <f t="array" ref="N391">_xlfn.IFS(E391&lt;6, "12-18 Months", E391&lt;=12, "18-24 Months", E391&lt;=24, "24+ Months", E391&gt;24, "24+ Months")</f>
        <v>18-24 Months</v>
      </c>
      <c r="O391" t="str" cm="1">
        <f t="array" ref="O391">_xlfn.IFS(D391&gt;=550, "Major", D391 &gt;= 100, "T1200", D391 &lt;100, "Other")</f>
        <v>Other</v>
      </c>
      <c r="P391">
        <f t="shared" si="6"/>
        <v>18</v>
      </c>
    </row>
    <row r="392" spans="1:16" x14ac:dyDescent="0.2">
      <c r="A392" s="12">
        <v>485670</v>
      </c>
      <c r="B392" s="12" t="s">
        <v>457</v>
      </c>
      <c r="C392" s="13">
        <v>18</v>
      </c>
      <c r="D392" s="13">
        <v>32</v>
      </c>
      <c r="E392" s="13">
        <v>49</v>
      </c>
      <c r="F392" s="13">
        <v>32</v>
      </c>
      <c r="G392" s="13">
        <v>9</v>
      </c>
      <c r="H392" s="13">
        <v>9</v>
      </c>
      <c r="I392" s="14">
        <v>1</v>
      </c>
      <c r="J392" s="14">
        <v>0.28125</v>
      </c>
      <c r="K392" s="14">
        <v>0.28125</v>
      </c>
      <c r="L392" s="13">
        <v>0</v>
      </c>
      <c r="M392" t="str" cm="1">
        <f t="array" ref="M392">_xlfn.IFS(E392&lt;6, "0-6 Months", E392&lt;=12, "6-12 Months", E392&lt;=24, "12-24 Months", E392&gt;24, "24+ Months")</f>
        <v>24+ Months</v>
      </c>
      <c r="N392" t="str" cm="1">
        <f t="array" ref="N392">_xlfn.IFS(E392&lt;6, "12-18 Months", E392&lt;=12, "18-24 Months", E392&lt;=24, "24+ Months", E392&gt;24, "24+ Months")</f>
        <v>24+ Months</v>
      </c>
      <c r="O392" t="str" cm="1">
        <f t="array" ref="O392">_xlfn.IFS(D392&gt;=550, "Major", D392 &gt;= 100, "T1200", D392 &lt;100, "Other")</f>
        <v>Other</v>
      </c>
      <c r="P392">
        <f t="shared" si="6"/>
        <v>0</v>
      </c>
    </row>
    <row r="393" spans="1:16" x14ac:dyDescent="0.2">
      <c r="A393" s="12">
        <v>107937</v>
      </c>
      <c r="B393" s="12" t="s">
        <v>442</v>
      </c>
      <c r="C393" s="13">
        <v>2</v>
      </c>
      <c r="D393" s="13">
        <v>5</v>
      </c>
      <c r="E393" s="13">
        <v>9</v>
      </c>
      <c r="F393" s="13">
        <v>32</v>
      </c>
      <c r="G393" s="13">
        <v>12</v>
      </c>
      <c r="H393" s="13">
        <v>3</v>
      </c>
      <c r="I393" s="14">
        <v>6.4</v>
      </c>
      <c r="J393" s="14">
        <v>2.4</v>
      </c>
      <c r="K393" s="14">
        <v>0.6</v>
      </c>
      <c r="L393" s="13">
        <v>0</v>
      </c>
      <c r="M393" t="str" cm="1">
        <f t="array" ref="M393">_xlfn.IFS(E393&lt;6, "0-6 Months", E393&lt;=12, "6-12 Months", E393&lt;=24, "12-24 Months", E393&gt;24, "24+ Months")</f>
        <v>6-12 Months</v>
      </c>
      <c r="N393" t="str" cm="1">
        <f t="array" ref="N393">_xlfn.IFS(E393&lt;6, "12-18 Months", E393&lt;=12, "18-24 Months", E393&lt;=24, "24+ Months", E393&gt;24, "24+ Months")</f>
        <v>18-24 Months</v>
      </c>
      <c r="O393" t="str" cm="1">
        <f t="array" ref="O393">_xlfn.IFS(D393&gt;=550, "Major", D393 &gt;= 100, "T1200", D393 &lt;100, "Other")</f>
        <v>Other</v>
      </c>
      <c r="P393">
        <f t="shared" si="6"/>
        <v>2</v>
      </c>
    </row>
    <row r="394" spans="1:16" x14ac:dyDescent="0.2">
      <c r="A394" s="12">
        <v>106735</v>
      </c>
      <c r="B394" s="12" t="s">
        <v>336</v>
      </c>
      <c r="C394" s="13">
        <v>0</v>
      </c>
      <c r="D394" s="13">
        <v>65</v>
      </c>
      <c r="E394" s="13">
        <v>19</v>
      </c>
      <c r="F394" s="13">
        <v>32</v>
      </c>
      <c r="G394" s="13">
        <v>32</v>
      </c>
      <c r="H394" s="13">
        <v>15</v>
      </c>
      <c r="I394" s="14">
        <v>0.49230769230769228</v>
      </c>
      <c r="J394" s="14">
        <v>0.49230769230769228</v>
      </c>
      <c r="K394" s="14">
        <v>0.23076923076923081</v>
      </c>
      <c r="L394" s="13">
        <v>1</v>
      </c>
      <c r="M394" t="str" cm="1">
        <f t="array" ref="M394">_xlfn.IFS(E394&lt;6, "0-6 Months", E394&lt;=12, "6-12 Months", E394&lt;=24, "12-24 Months", E394&gt;24, "24+ Months")</f>
        <v>12-24 Months</v>
      </c>
      <c r="N394" t="str" cm="1">
        <f t="array" ref="N394">_xlfn.IFS(E394&lt;6, "12-18 Months", E394&lt;=12, "18-24 Months", E394&lt;=24, "24+ Months", E394&gt;24, "24+ Months")</f>
        <v>24+ Months</v>
      </c>
      <c r="O394" t="str" cm="1">
        <f t="array" ref="O394">_xlfn.IFS(D394&gt;=550, "Major", D394 &gt;= 100, "T1200", D394 &lt;100, "Other")</f>
        <v>Other</v>
      </c>
      <c r="P394">
        <f t="shared" si="6"/>
        <v>0</v>
      </c>
    </row>
    <row r="395" spans="1:16" x14ac:dyDescent="0.2">
      <c r="A395" s="12">
        <v>109353</v>
      </c>
      <c r="B395" s="12" t="s">
        <v>434</v>
      </c>
      <c r="C395" s="13">
        <v>40</v>
      </c>
      <c r="D395" s="13">
        <v>34</v>
      </c>
      <c r="E395" s="13">
        <v>6</v>
      </c>
      <c r="F395" s="13">
        <v>31</v>
      </c>
      <c r="G395" s="13">
        <v>31</v>
      </c>
      <c r="H395" s="13">
        <v>31</v>
      </c>
      <c r="I395" s="14">
        <v>0.91176470588235292</v>
      </c>
      <c r="J395" s="14">
        <v>0.91176470588235292</v>
      </c>
      <c r="K395" s="14">
        <v>0.91176470588235292</v>
      </c>
      <c r="L395" s="13">
        <v>14</v>
      </c>
      <c r="M395" t="str" cm="1">
        <f t="array" ref="M395">_xlfn.IFS(E395&lt;6, "0-6 Months", E395&lt;=12, "6-12 Months", E395&lt;=24, "12-24 Months", E395&gt;24, "24+ Months")</f>
        <v>6-12 Months</v>
      </c>
      <c r="N395" t="str" cm="1">
        <f t="array" ref="N395">_xlfn.IFS(E395&lt;6, "12-18 Months", E395&lt;=12, "18-24 Months", E395&lt;=24, "24+ Months", E395&gt;24, "24+ Months")</f>
        <v>18-24 Months</v>
      </c>
      <c r="O395" t="str" cm="1">
        <f t="array" ref="O395">_xlfn.IFS(D395&gt;=550, "Major", D395 &gt;= 100, "T1200", D395 &lt;100, "Other")</f>
        <v>Other</v>
      </c>
      <c r="P395">
        <f t="shared" si="6"/>
        <v>0</v>
      </c>
    </row>
    <row r="396" spans="1:16" x14ac:dyDescent="0.2">
      <c r="A396" s="12">
        <v>480877</v>
      </c>
      <c r="B396" s="12" t="s">
        <v>393</v>
      </c>
      <c r="C396" s="13">
        <v>15</v>
      </c>
      <c r="D396" s="13">
        <v>15</v>
      </c>
      <c r="E396" s="13">
        <v>10</v>
      </c>
      <c r="F396" s="13">
        <v>31</v>
      </c>
      <c r="G396" s="13">
        <v>3</v>
      </c>
      <c r="H396" s="13">
        <v>3</v>
      </c>
      <c r="I396" s="14">
        <v>2.0666666666666669</v>
      </c>
      <c r="J396" s="14">
        <v>0.2</v>
      </c>
      <c r="K396" s="14">
        <v>0.2</v>
      </c>
      <c r="L396" s="13">
        <v>5</v>
      </c>
      <c r="M396" t="str" cm="1">
        <f t="array" ref="M396">_xlfn.IFS(E396&lt;6, "0-6 Months", E396&lt;=12, "6-12 Months", E396&lt;=24, "12-24 Months", E396&gt;24, "24+ Months")</f>
        <v>6-12 Months</v>
      </c>
      <c r="N396" t="str" cm="1">
        <f t="array" ref="N396">_xlfn.IFS(E396&lt;6, "12-18 Months", E396&lt;=12, "18-24 Months", E396&lt;=24, "24+ Months", E396&gt;24, "24+ Months")</f>
        <v>18-24 Months</v>
      </c>
      <c r="O396" t="str" cm="1">
        <f t="array" ref="O396">_xlfn.IFS(D396&gt;=550, "Major", D396 &gt;= 100, "T1200", D396 &lt;100, "Other")</f>
        <v>Other</v>
      </c>
      <c r="P396">
        <f t="shared" si="6"/>
        <v>15</v>
      </c>
    </row>
    <row r="397" spans="1:16" x14ac:dyDescent="0.2">
      <c r="A397" s="12">
        <v>128220</v>
      </c>
      <c r="B397" s="12" t="s">
        <v>448</v>
      </c>
      <c r="C397" s="13">
        <v>14</v>
      </c>
      <c r="D397" s="13">
        <v>11</v>
      </c>
      <c r="E397" s="13">
        <v>15</v>
      </c>
      <c r="F397" s="13">
        <v>31</v>
      </c>
      <c r="G397" s="13">
        <v>24</v>
      </c>
      <c r="H397" s="13">
        <v>10</v>
      </c>
      <c r="I397" s="14">
        <v>2.8181818181818179</v>
      </c>
      <c r="J397" s="14">
        <v>2.1818181818181821</v>
      </c>
      <c r="K397" s="14">
        <v>0.90909090909090906</v>
      </c>
      <c r="L397" s="13">
        <v>0</v>
      </c>
      <c r="M397" t="str" cm="1">
        <f t="array" ref="M397">_xlfn.IFS(E397&lt;6, "0-6 Months", E397&lt;=12, "6-12 Months", E397&lt;=24, "12-24 Months", E397&gt;24, "24+ Months")</f>
        <v>12-24 Months</v>
      </c>
      <c r="N397" t="str" cm="1">
        <f t="array" ref="N397">_xlfn.IFS(E397&lt;6, "12-18 Months", E397&lt;=12, "18-24 Months", E397&lt;=24, "24+ Months", E397&gt;24, "24+ Months")</f>
        <v>24+ Months</v>
      </c>
      <c r="O397" t="str" cm="1">
        <f t="array" ref="O397">_xlfn.IFS(D397&gt;=550, "Major", D397 &gt;= 100, "T1200", D397 &lt;100, "Other")</f>
        <v>Other</v>
      </c>
      <c r="P397">
        <f t="shared" si="6"/>
        <v>14</v>
      </c>
    </row>
    <row r="398" spans="1:16" x14ac:dyDescent="0.2">
      <c r="A398" s="12">
        <v>110142</v>
      </c>
      <c r="B398" s="12" t="s">
        <v>465</v>
      </c>
      <c r="C398" s="13">
        <v>482</v>
      </c>
      <c r="D398" s="13">
        <v>437</v>
      </c>
      <c r="E398" s="13">
        <v>13</v>
      </c>
      <c r="F398" s="13">
        <v>30</v>
      </c>
      <c r="G398" s="13">
        <v>18</v>
      </c>
      <c r="H398" s="13">
        <v>18</v>
      </c>
      <c r="I398" s="14">
        <v>6.8649885583524028E-2</v>
      </c>
      <c r="J398" s="14">
        <v>4.1189931350114423E-2</v>
      </c>
      <c r="K398" s="14">
        <v>4.1189931350114423E-2</v>
      </c>
      <c r="L398" s="13">
        <v>0</v>
      </c>
      <c r="M398" t="str" cm="1">
        <f t="array" ref="M398">_xlfn.IFS(E398&lt;6, "0-6 Months", E398&lt;=12, "6-12 Months", E398&lt;=24, "12-24 Months", E398&gt;24, "24+ Months")</f>
        <v>12-24 Months</v>
      </c>
      <c r="N398" t="str" cm="1">
        <f t="array" ref="N398">_xlfn.IFS(E398&lt;6, "12-18 Months", E398&lt;=12, "18-24 Months", E398&lt;=24, "24+ Months", E398&gt;24, "24+ Months")</f>
        <v>24+ Months</v>
      </c>
      <c r="O398" t="str" cm="1">
        <f t="array" ref="O398">_xlfn.IFS(D398&gt;=550, "Major", D398 &gt;= 100, "T1200", D398 &lt;100, "Other")</f>
        <v>T1200</v>
      </c>
      <c r="P398">
        <f t="shared" si="6"/>
        <v>0</v>
      </c>
    </row>
    <row r="399" spans="1:16" x14ac:dyDescent="0.2">
      <c r="A399" s="12">
        <v>300687</v>
      </c>
      <c r="B399" s="12" t="s">
        <v>447</v>
      </c>
      <c r="C399" s="13">
        <v>120</v>
      </c>
      <c r="D399" s="13">
        <v>175</v>
      </c>
      <c r="E399" s="13">
        <v>46</v>
      </c>
      <c r="F399" s="13">
        <v>30</v>
      </c>
      <c r="G399" s="13">
        <v>23</v>
      </c>
      <c r="H399" s="13">
        <v>12</v>
      </c>
      <c r="I399" s="14">
        <v>0.1714285714285714</v>
      </c>
      <c r="J399" s="14">
        <v>0.13142857142857139</v>
      </c>
      <c r="K399" s="14">
        <v>6.8571428571428575E-2</v>
      </c>
      <c r="L399" s="13">
        <v>12</v>
      </c>
      <c r="M399" t="str" cm="1">
        <f t="array" ref="M399">_xlfn.IFS(E399&lt;6, "0-6 Months", E399&lt;=12, "6-12 Months", E399&lt;=24, "12-24 Months", E399&gt;24, "24+ Months")</f>
        <v>24+ Months</v>
      </c>
      <c r="N399" t="str" cm="1">
        <f t="array" ref="N399">_xlfn.IFS(E399&lt;6, "12-18 Months", E399&lt;=12, "18-24 Months", E399&lt;=24, "24+ Months", E399&gt;24, "24+ Months")</f>
        <v>24+ Months</v>
      </c>
      <c r="O399" t="str" cm="1">
        <f t="array" ref="O399">_xlfn.IFS(D399&gt;=550, "Major", D399 &gt;= 100, "T1200", D399 &lt;100, "Other")</f>
        <v>T1200</v>
      </c>
      <c r="P399">
        <f t="shared" si="6"/>
        <v>0</v>
      </c>
    </row>
    <row r="400" spans="1:16" x14ac:dyDescent="0.2">
      <c r="A400" s="12">
        <v>465967</v>
      </c>
      <c r="B400" s="12" t="s">
        <v>461</v>
      </c>
      <c r="C400" s="13">
        <v>109</v>
      </c>
      <c r="D400" s="13">
        <v>125</v>
      </c>
      <c r="E400" s="13">
        <v>10</v>
      </c>
      <c r="F400" s="13">
        <v>30</v>
      </c>
      <c r="G400" s="13">
        <v>0</v>
      </c>
      <c r="H400" s="13">
        <v>0</v>
      </c>
      <c r="I400" s="14">
        <v>0.24</v>
      </c>
      <c r="J400" s="14">
        <v>0</v>
      </c>
      <c r="K400" s="14">
        <v>0</v>
      </c>
      <c r="L400" s="13">
        <v>2</v>
      </c>
      <c r="M400" t="str" cm="1">
        <f t="array" ref="M400">_xlfn.IFS(E400&lt;6, "0-6 Months", E400&lt;=12, "6-12 Months", E400&lt;=24, "12-24 Months", E400&gt;24, "24+ Months")</f>
        <v>6-12 Months</v>
      </c>
      <c r="N400" t="str" cm="1">
        <f t="array" ref="N400">_xlfn.IFS(E400&lt;6, "12-18 Months", E400&lt;=12, "18-24 Months", E400&lt;=24, "24+ Months", E400&gt;24, "24+ Months")</f>
        <v>18-24 Months</v>
      </c>
      <c r="O400" t="str" cm="1">
        <f t="array" ref="O400">_xlfn.IFS(D400&gt;=550, "Major", D400 &gt;= 100, "T1200", D400 &lt;100, "Other")</f>
        <v>T1200</v>
      </c>
      <c r="P400">
        <f t="shared" si="6"/>
        <v>0</v>
      </c>
    </row>
    <row r="401" spans="1:16" x14ac:dyDescent="0.2">
      <c r="A401" s="12">
        <v>479807</v>
      </c>
      <c r="B401" s="12" t="s">
        <v>431</v>
      </c>
      <c r="C401" s="13">
        <v>63</v>
      </c>
      <c r="D401" s="13">
        <v>60</v>
      </c>
      <c r="E401" s="13">
        <v>21</v>
      </c>
      <c r="F401" s="13">
        <v>30</v>
      </c>
      <c r="G401" s="13">
        <v>30</v>
      </c>
      <c r="H401" s="13">
        <v>0</v>
      </c>
      <c r="I401" s="14">
        <v>0.5</v>
      </c>
      <c r="J401" s="14">
        <v>0.5</v>
      </c>
      <c r="K401" s="14">
        <v>0</v>
      </c>
      <c r="L401" s="13">
        <v>0</v>
      </c>
      <c r="M401" t="str" cm="1">
        <f t="array" ref="M401">_xlfn.IFS(E401&lt;6, "0-6 Months", E401&lt;=12, "6-12 Months", E401&lt;=24, "12-24 Months", E401&gt;24, "24+ Months")</f>
        <v>12-24 Months</v>
      </c>
      <c r="N401" t="str" cm="1">
        <f t="array" ref="N401">_xlfn.IFS(E401&lt;6, "12-18 Months", E401&lt;=12, "18-24 Months", E401&lt;=24, "24+ Months", E401&gt;24, "24+ Months")</f>
        <v>24+ Months</v>
      </c>
      <c r="O401" t="str" cm="1">
        <f t="array" ref="O401">_xlfn.IFS(D401&gt;=550, "Major", D401 &gt;= 100, "T1200", D401 &lt;100, "Other")</f>
        <v>Other</v>
      </c>
      <c r="P401">
        <f t="shared" si="6"/>
        <v>0</v>
      </c>
    </row>
    <row r="402" spans="1:16" x14ac:dyDescent="0.2">
      <c r="A402" s="12">
        <v>304016</v>
      </c>
      <c r="B402" s="12" t="s">
        <v>463</v>
      </c>
      <c r="C402" s="13">
        <v>15</v>
      </c>
      <c r="D402" s="13">
        <v>5</v>
      </c>
      <c r="E402" s="13">
        <v>9</v>
      </c>
      <c r="F402" s="13">
        <v>30</v>
      </c>
      <c r="G402" s="13">
        <v>0</v>
      </c>
      <c r="H402" s="13">
        <v>0</v>
      </c>
      <c r="I402" s="14">
        <v>6</v>
      </c>
      <c r="J402" s="14">
        <v>0</v>
      </c>
      <c r="K402" s="14">
        <v>0</v>
      </c>
      <c r="L402" s="13">
        <v>0</v>
      </c>
      <c r="M402" t="str" cm="1">
        <f t="array" ref="M402">_xlfn.IFS(E402&lt;6, "0-6 Months", E402&lt;=12, "6-12 Months", E402&lt;=24, "12-24 Months", E402&gt;24, "24+ Months")</f>
        <v>6-12 Months</v>
      </c>
      <c r="N402" t="str" cm="1">
        <f t="array" ref="N402">_xlfn.IFS(E402&lt;6, "12-18 Months", E402&lt;=12, "18-24 Months", E402&lt;=24, "24+ Months", E402&gt;24, "24+ Months")</f>
        <v>18-24 Months</v>
      </c>
      <c r="O402" t="str" cm="1">
        <f t="array" ref="O402">_xlfn.IFS(D402&gt;=550, "Major", D402 &gt;= 100, "T1200", D402 &lt;100, "Other")</f>
        <v>Other</v>
      </c>
      <c r="P402">
        <f t="shared" si="6"/>
        <v>15</v>
      </c>
    </row>
    <row r="403" spans="1:16" x14ac:dyDescent="0.2">
      <c r="A403" s="12">
        <v>106477</v>
      </c>
      <c r="B403" s="12" t="s">
        <v>476</v>
      </c>
      <c r="C403" s="13">
        <v>158</v>
      </c>
      <c r="D403" s="13">
        <v>156</v>
      </c>
      <c r="E403" s="13">
        <v>45</v>
      </c>
      <c r="F403" s="13">
        <v>29</v>
      </c>
      <c r="G403" s="13">
        <v>27</v>
      </c>
      <c r="H403" s="13">
        <v>27</v>
      </c>
      <c r="I403" s="14">
        <v>0.1858974358974359</v>
      </c>
      <c r="J403" s="14">
        <v>0.1730769230769231</v>
      </c>
      <c r="K403" s="14">
        <v>0.1730769230769231</v>
      </c>
      <c r="L403" s="13">
        <v>0</v>
      </c>
      <c r="M403" t="str" cm="1">
        <f t="array" ref="M403">_xlfn.IFS(E403&lt;6, "0-6 Months", E403&lt;=12, "6-12 Months", E403&lt;=24, "12-24 Months", E403&gt;24, "24+ Months")</f>
        <v>24+ Months</v>
      </c>
      <c r="N403" t="str" cm="1">
        <f t="array" ref="N403">_xlfn.IFS(E403&lt;6, "12-18 Months", E403&lt;=12, "18-24 Months", E403&lt;=24, "24+ Months", E403&gt;24, "24+ Months")</f>
        <v>24+ Months</v>
      </c>
      <c r="O403" t="str" cm="1">
        <f t="array" ref="O403">_xlfn.IFS(D403&gt;=550, "Major", D403 &gt;= 100, "T1200", D403 &lt;100, "Other")</f>
        <v>T1200</v>
      </c>
      <c r="P403">
        <f t="shared" si="6"/>
        <v>0</v>
      </c>
    </row>
    <row r="404" spans="1:16" x14ac:dyDescent="0.2">
      <c r="A404" s="12">
        <v>109997</v>
      </c>
      <c r="B404" s="12" t="s">
        <v>499</v>
      </c>
      <c r="C404" s="13">
        <v>119</v>
      </c>
      <c r="D404" s="13">
        <v>125</v>
      </c>
      <c r="E404" s="13">
        <v>50</v>
      </c>
      <c r="F404" s="13">
        <v>29</v>
      </c>
      <c r="G404" s="13">
        <v>28</v>
      </c>
      <c r="H404" s="13">
        <v>24</v>
      </c>
      <c r="I404" s="14">
        <v>0.23200000000000001</v>
      </c>
      <c r="J404" s="14">
        <v>0.224</v>
      </c>
      <c r="K404" s="14">
        <v>0.192</v>
      </c>
      <c r="L404" s="13">
        <v>27</v>
      </c>
      <c r="M404" t="str" cm="1">
        <f t="array" ref="M404">_xlfn.IFS(E404&lt;6, "0-6 Months", E404&lt;=12, "6-12 Months", E404&lt;=24, "12-24 Months", E404&gt;24, "24+ Months")</f>
        <v>24+ Months</v>
      </c>
      <c r="N404" t="str" cm="1">
        <f t="array" ref="N404">_xlfn.IFS(E404&lt;6, "12-18 Months", E404&lt;=12, "18-24 Months", E404&lt;=24, "24+ Months", E404&gt;24, "24+ Months")</f>
        <v>24+ Months</v>
      </c>
      <c r="O404" t="str" cm="1">
        <f t="array" ref="O404">_xlfn.IFS(D404&gt;=550, "Major", D404 &gt;= 100, "T1200", D404 &lt;100, "Other")</f>
        <v>T1200</v>
      </c>
      <c r="P404">
        <f t="shared" si="6"/>
        <v>0</v>
      </c>
    </row>
    <row r="405" spans="1:16" x14ac:dyDescent="0.2">
      <c r="A405" s="12">
        <v>310479</v>
      </c>
      <c r="B405" s="12" t="s">
        <v>416</v>
      </c>
      <c r="C405" s="13">
        <v>44</v>
      </c>
      <c r="D405" s="13">
        <v>45</v>
      </c>
      <c r="E405" s="13">
        <v>8</v>
      </c>
      <c r="F405" s="13">
        <v>29</v>
      </c>
      <c r="G405" s="13">
        <v>13</v>
      </c>
      <c r="H405" s="13">
        <v>13</v>
      </c>
      <c r="I405" s="14">
        <v>0.64444444444444449</v>
      </c>
      <c r="J405" s="14">
        <v>0.28888888888888892</v>
      </c>
      <c r="K405" s="14">
        <v>0.28888888888888892</v>
      </c>
      <c r="L405" s="13">
        <v>30</v>
      </c>
      <c r="M405" t="str" cm="1">
        <f t="array" ref="M405">_xlfn.IFS(E405&lt;6, "0-6 Months", E405&lt;=12, "6-12 Months", E405&lt;=24, "12-24 Months", E405&gt;24, "24+ Months")</f>
        <v>6-12 Months</v>
      </c>
      <c r="N405" t="str" cm="1">
        <f t="array" ref="N405">_xlfn.IFS(E405&lt;6, "12-18 Months", E405&lt;=12, "18-24 Months", E405&lt;=24, "24+ Months", E405&gt;24, "24+ Months")</f>
        <v>18-24 Months</v>
      </c>
      <c r="O405" t="str" cm="1">
        <f t="array" ref="O405">_xlfn.IFS(D405&gt;=550, "Major", D405 &gt;= 100, "T1200", D405 &lt;100, "Other")</f>
        <v>Other</v>
      </c>
      <c r="P405">
        <f t="shared" si="6"/>
        <v>0</v>
      </c>
    </row>
    <row r="406" spans="1:16" x14ac:dyDescent="0.2">
      <c r="A406" s="12">
        <v>110252</v>
      </c>
      <c r="B406" s="12" t="s">
        <v>494</v>
      </c>
      <c r="C406" s="13">
        <v>41</v>
      </c>
      <c r="D406" s="13">
        <v>41</v>
      </c>
      <c r="E406" s="13">
        <v>12</v>
      </c>
      <c r="F406" s="13">
        <v>29</v>
      </c>
      <c r="G406" s="13">
        <v>20</v>
      </c>
      <c r="H406" s="13">
        <v>20</v>
      </c>
      <c r="I406" s="14">
        <v>0.70731707317073167</v>
      </c>
      <c r="J406" s="14">
        <v>0.48780487804878048</v>
      </c>
      <c r="K406" s="14">
        <v>0.48780487804878048</v>
      </c>
      <c r="L406" s="13">
        <v>8</v>
      </c>
      <c r="M406" t="str" cm="1">
        <f t="array" ref="M406">_xlfn.IFS(E406&lt;6, "0-6 Months", E406&lt;=12, "6-12 Months", E406&lt;=24, "12-24 Months", E406&gt;24, "24+ Months")</f>
        <v>6-12 Months</v>
      </c>
      <c r="N406" t="str" cm="1">
        <f t="array" ref="N406">_xlfn.IFS(E406&lt;6, "12-18 Months", E406&lt;=12, "18-24 Months", E406&lt;=24, "24+ Months", E406&gt;24, "24+ Months")</f>
        <v>18-24 Months</v>
      </c>
      <c r="O406" t="str" cm="1">
        <f t="array" ref="O406">_xlfn.IFS(D406&gt;=550, "Major", D406 &gt;= 100, "T1200", D406 &lt;100, "Other")</f>
        <v>Other</v>
      </c>
      <c r="P406">
        <f t="shared" si="6"/>
        <v>0</v>
      </c>
    </row>
    <row r="407" spans="1:16" x14ac:dyDescent="0.2">
      <c r="A407" s="12">
        <v>465602</v>
      </c>
      <c r="B407" s="12" t="s">
        <v>471</v>
      </c>
      <c r="C407" s="13">
        <v>13</v>
      </c>
      <c r="D407" s="13">
        <v>15</v>
      </c>
      <c r="E407" s="13">
        <v>13</v>
      </c>
      <c r="F407" s="13">
        <v>29</v>
      </c>
      <c r="G407" s="13">
        <v>21</v>
      </c>
      <c r="H407" s="13">
        <v>21</v>
      </c>
      <c r="I407" s="14">
        <v>1.9333333333333329</v>
      </c>
      <c r="J407" s="14">
        <v>1.4</v>
      </c>
      <c r="K407" s="14">
        <v>1.4</v>
      </c>
      <c r="L407" s="13">
        <v>2</v>
      </c>
      <c r="M407" t="str" cm="1">
        <f t="array" ref="M407">_xlfn.IFS(E407&lt;6, "0-6 Months", E407&lt;=12, "6-12 Months", E407&lt;=24, "12-24 Months", E407&gt;24, "24+ Months")</f>
        <v>12-24 Months</v>
      </c>
      <c r="N407" t="str" cm="1">
        <f t="array" ref="N407">_xlfn.IFS(E407&lt;6, "12-18 Months", E407&lt;=12, "18-24 Months", E407&lt;=24, "24+ Months", E407&gt;24, "24+ Months")</f>
        <v>24+ Months</v>
      </c>
      <c r="O407" t="str" cm="1">
        <f t="array" ref="O407">_xlfn.IFS(D407&gt;=550, "Major", D407 &gt;= 100, "T1200", D407 &lt;100, "Other")</f>
        <v>Other</v>
      </c>
      <c r="P407">
        <f t="shared" si="6"/>
        <v>0</v>
      </c>
    </row>
    <row r="408" spans="1:16" x14ac:dyDescent="0.2">
      <c r="A408" s="12">
        <v>109013</v>
      </c>
      <c r="B408" s="12" t="s">
        <v>428</v>
      </c>
      <c r="C408" s="13">
        <v>80</v>
      </c>
      <c r="D408" s="13">
        <v>145</v>
      </c>
      <c r="E408" s="13">
        <v>11</v>
      </c>
      <c r="F408" s="13">
        <v>28</v>
      </c>
      <c r="G408" s="13">
        <v>7</v>
      </c>
      <c r="H408" s="13">
        <v>7</v>
      </c>
      <c r="I408" s="14">
        <v>0.19310344827586209</v>
      </c>
      <c r="J408" s="14">
        <v>4.8275862068965517E-2</v>
      </c>
      <c r="K408" s="14">
        <v>4.8275862068965517E-2</v>
      </c>
      <c r="L408" s="13">
        <v>2</v>
      </c>
      <c r="M408" t="str" cm="1">
        <f t="array" ref="M408">_xlfn.IFS(E408&lt;6, "0-6 Months", E408&lt;=12, "6-12 Months", E408&lt;=24, "12-24 Months", E408&gt;24, "24+ Months")</f>
        <v>6-12 Months</v>
      </c>
      <c r="N408" t="str" cm="1">
        <f t="array" ref="N408">_xlfn.IFS(E408&lt;6, "12-18 Months", E408&lt;=12, "18-24 Months", E408&lt;=24, "24+ Months", E408&gt;24, "24+ Months")</f>
        <v>18-24 Months</v>
      </c>
      <c r="O408" t="str" cm="1">
        <f t="array" ref="O408">_xlfn.IFS(D408&gt;=550, "Major", D408 &gt;= 100, "T1200", D408 &lt;100, "Other")</f>
        <v>T1200</v>
      </c>
      <c r="P408">
        <f t="shared" si="6"/>
        <v>0</v>
      </c>
    </row>
    <row r="409" spans="1:16" x14ac:dyDescent="0.2">
      <c r="A409" s="12">
        <v>183987</v>
      </c>
      <c r="B409" s="12" t="s">
        <v>472</v>
      </c>
      <c r="C409" s="13">
        <v>65</v>
      </c>
      <c r="D409" s="13">
        <v>27</v>
      </c>
      <c r="E409" s="13">
        <v>6</v>
      </c>
      <c r="F409" s="13">
        <v>28</v>
      </c>
      <c r="G409" s="13">
        <v>28</v>
      </c>
      <c r="H409" s="13">
        <v>28</v>
      </c>
      <c r="I409" s="14">
        <v>1.037037037037037</v>
      </c>
      <c r="J409" s="14">
        <v>1.037037037037037</v>
      </c>
      <c r="K409" s="14">
        <v>1.037037037037037</v>
      </c>
      <c r="L409" s="13">
        <v>15</v>
      </c>
      <c r="M409" t="str" cm="1">
        <f t="array" ref="M409">_xlfn.IFS(E409&lt;6, "0-6 Months", E409&lt;=12, "6-12 Months", E409&lt;=24, "12-24 Months", E409&gt;24, "24+ Months")</f>
        <v>6-12 Months</v>
      </c>
      <c r="N409" t="str" cm="1">
        <f t="array" ref="N409">_xlfn.IFS(E409&lt;6, "12-18 Months", E409&lt;=12, "18-24 Months", E409&lt;=24, "24+ Months", E409&gt;24, "24+ Months")</f>
        <v>18-24 Months</v>
      </c>
      <c r="O409" t="str" cm="1">
        <f t="array" ref="O409">_xlfn.IFS(D409&gt;=550, "Major", D409 &gt;= 100, "T1200", D409 &lt;100, "Other")</f>
        <v>Other</v>
      </c>
      <c r="P409">
        <f t="shared" si="6"/>
        <v>0</v>
      </c>
    </row>
    <row r="410" spans="1:16" x14ac:dyDescent="0.2">
      <c r="A410" s="12">
        <v>156114</v>
      </c>
      <c r="B410" s="12" t="s">
        <v>469</v>
      </c>
      <c r="C410" s="13">
        <v>47</v>
      </c>
      <c r="D410" s="13">
        <v>25</v>
      </c>
      <c r="E410" s="13">
        <v>11</v>
      </c>
      <c r="F410" s="13">
        <v>28</v>
      </c>
      <c r="G410" s="13">
        <v>0</v>
      </c>
      <c r="H410" s="13">
        <v>0</v>
      </c>
      <c r="I410" s="14">
        <v>1.1200000000000001</v>
      </c>
      <c r="J410" s="14">
        <v>0</v>
      </c>
      <c r="K410" s="14">
        <v>0</v>
      </c>
      <c r="L410" s="13">
        <v>0</v>
      </c>
      <c r="M410" t="str" cm="1">
        <f t="array" ref="M410">_xlfn.IFS(E410&lt;6, "0-6 Months", E410&lt;=12, "6-12 Months", E410&lt;=24, "12-24 Months", E410&gt;24, "24+ Months")</f>
        <v>6-12 Months</v>
      </c>
      <c r="N410" t="str" cm="1">
        <f t="array" ref="N410">_xlfn.IFS(E410&lt;6, "12-18 Months", E410&lt;=12, "18-24 Months", E410&lt;=24, "24+ Months", E410&gt;24, "24+ Months")</f>
        <v>18-24 Months</v>
      </c>
      <c r="O410" t="str" cm="1">
        <f t="array" ref="O410">_xlfn.IFS(D410&gt;=550, "Major", D410 &gt;= 100, "T1200", D410 &lt;100, "Other")</f>
        <v>Other</v>
      </c>
      <c r="P410">
        <f t="shared" si="6"/>
        <v>0</v>
      </c>
    </row>
    <row r="411" spans="1:16" x14ac:dyDescent="0.2">
      <c r="A411" s="12">
        <v>241689</v>
      </c>
      <c r="B411" s="12" t="s">
        <v>466</v>
      </c>
      <c r="C411" s="13">
        <v>1</v>
      </c>
      <c r="D411" s="13">
        <v>6</v>
      </c>
      <c r="E411" s="13">
        <v>8</v>
      </c>
      <c r="F411" s="13">
        <v>28</v>
      </c>
      <c r="G411" s="13">
        <v>28</v>
      </c>
      <c r="H411" s="13">
        <v>9</v>
      </c>
      <c r="I411" s="14">
        <v>4.666666666666667</v>
      </c>
      <c r="J411" s="14">
        <v>4.666666666666667</v>
      </c>
      <c r="K411" s="14">
        <v>1.5</v>
      </c>
      <c r="L411" s="13">
        <v>84</v>
      </c>
      <c r="M411" t="str" cm="1">
        <f t="array" ref="M411">_xlfn.IFS(E411&lt;6, "0-6 Months", E411&lt;=12, "6-12 Months", E411&lt;=24, "12-24 Months", E411&gt;24, "24+ Months")</f>
        <v>6-12 Months</v>
      </c>
      <c r="N411" t="str" cm="1">
        <f t="array" ref="N411">_xlfn.IFS(E411&lt;6, "12-18 Months", E411&lt;=12, "18-24 Months", E411&lt;=24, "24+ Months", E411&gt;24, "24+ Months")</f>
        <v>18-24 Months</v>
      </c>
      <c r="O411" t="str" cm="1">
        <f t="array" ref="O411">_xlfn.IFS(D411&gt;=550, "Major", D411 &gt;= 100, "T1200", D411 &lt;100, "Other")</f>
        <v>Other</v>
      </c>
      <c r="P411">
        <f t="shared" si="6"/>
        <v>1</v>
      </c>
    </row>
    <row r="412" spans="1:16" x14ac:dyDescent="0.2">
      <c r="A412" s="12">
        <v>157441</v>
      </c>
      <c r="B412" s="12" t="s">
        <v>500</v>
      </c>
      <c r="C412" s="13">
        <v>650</v>
      </c>
      <c r="D412" s="13">
        <v>250</v>
      </c>
      <c r="E412" s="13">
        <v>6</v>
      </c>
      <c r="F412" s="13">
        <v>27</v>
      </c>
      <c r="G412" s="13">
        <v>27</v>
      </c>
      <c r="H412" s="13">
        <v>27</v>
      </c>
      <c r="I412" s="14">
        <v>0.108</v>
      </c>
      <c r="J412" s="14">
        <v>0.108</v>
      </c>
      <c r="K412" s="14">
        <v>0.108</v>
      </c>
      <c r="L412" s="13">
        <v>64</v>
      </c>
      <c r="M412" t="str" cm="1">
        <f t="array" ref="M412">_xlfn.IFS(E412&lt;6, "0-6 Months", E412&lt;=12, "6-12 Months", E412&lt;=24, "12-24 Months", E412&gt;24, "24+ Months")</f>
        <v>6-12 Months</v>
      </c>
      <c r="N412" t="str" cm="1">
        <f t="array" ref="N412">_xlfn.IFS(E412&lt;6, "12-18 Months", E412&lt;=12, "18-24 Months", E412&lt;=24, "24+ Months", E412&gt;24, "24+ Months")</f>
        <v>18-24 Months</v>
      </c>
      <c r="O412" t="str" cm="1">
        <f t="array" ref="O412">_xlfn.IFS(D412&gt;=550, "Major", D412 &gt;= 100, "T1200", D412 &lt;100, "Other")</f>
        <v>T1200</v>
      </c>
      <c r="P412">
        <f t="shared" si="6"/>
        <v>0</v>
      </c>
    </row>
    <row r="413" spans="1:16" x14ac:dyDescent="0.2">
      <c r="A413" s="12">
        <v>108260</v>
      </c>
      <c r="B413" s="12" t="s">
        <v>473</v>
      </c>
      <c r="C413" s="13">
        <v>59</v>
      </c>
      <c r="D413" s="13">
        <v>60</v>
      </c>
      <c r="E413" s="13">
        <v>8</v>
      </c>
      <c r="F413" s="13">
        <v>27</v>
      </c>
      <c r="G413" s="13">
        <v>0</v>
      </c>
      <c r="H413" s="13">
        <v>0</v>
      </c>
      <c r="I413" s="14">
        <v>0.45</v>
      </c>
      <c r="J413" s="14">
        <v>0</v>
      </c>
      <c r="K413" s="14">
        <v>0</v>
      </c>
      <c r="L413" s="13">
        <v>0</v>
      </c>
      <c r="M413" t="str" cm="1">
        <f t="array" ref="M413">_xlfn.IFS(E413&lt;6, "0-6 Months", E413&lt;=12, "6-12 Months", E413&lt;=24, "12-24 Months", E413&gt;24, "24+ Months")</f>
        <v>6-12 Months</v>
      </c>
      <c r="N413" t="str" cm="1">
        <f t="array" ref="N413">_xlfn.IFS(E413&lt;6, "12-18 Months", E413&lt;=12, "18-24 Months", E413&lt;=24, "24+ Months", E413&gt;24, "24+ Months")</f>
        <v>18-24 Months</v>
      </c>
      <c r="O413" t="str" cm="1">
        <f t="array" ref="O413">_xlfn.IFS(D413&gt;=550, "Major", D413 &gt;= 100, "T1200", D413 &lt;100, "Other")</f>
        <v>Other</v>
      </c>
      <c r="P413">
        <f t="shared" si="6"/>
        <v>0</v>
      </c>
    </row>
    <row r="414" spans="1:16" x14ac:dyDescent="0.2">
      <c r="A414" s="12">
        <v>107189</v>
      </c>
      <c r="B414" s="12" t="s">
        <v>437</v>
      </c>
      <c r="C414" s="13">
        <v>16</v>
      </c>
      <c r="D414" s="13">
        <v>25</v>
      </c>
      <c r="E414" s="13">
        <v>11</v>
      </c>
      <c r="F414" s="13">
        <v>27</v>
      </c>
      <c r="G414" s="13">
        <v>21</v>
      </c>
      <c r="H414" s="13">
        <v>0</v>
      </c>
      <c r="I414" s="14">
        <v>1.08</v>
      </c>
      <c r="J414" s="14">
        <v>0.84</v>
      </c>
      <c r="K414" s="14">
        <v>0</v>
      </c>
      <c r="L414" s="13">
        <v>0</v>
      </c>
      <c r="M414" t="str" cm="1">
        <f t="array" ref="M414">_xlfn.IFS(E414&lt;6, "0-6 Months", E414&lt;=12, "6-12 Months", E414&lt;=24, "12-24 Months", E414&gt;24, "24+ Months")</f>
        <v>6-12 Months</v>
      </c>
      <c r="N414" t="str" cm="1">
        <f t="array" ref="N414">_xlfn.IFS(E414&lt;6, "12-18 Months", E414&lt;=12, "18-24 Months", E414&lt;=24, "24+ Months", E414&gt;24, "24+ Months")</f>
        <v>18-24 Months</v>
      </c>
      <c r="O414" t="str" cm="1">
        <f t="array" ref="O414">_xlfn.IFS(D414&gt;=550, "Major", D414 &gt;= 100, "T1200", D414 &lt;100, "Other")</f>
        <v>Other</v>
      </c>
      <c r="P414">
        <f t="shared" si="6"/>
        <v>0</v>
      </c>
    </row>
    <row r="415" spans="1:16" x14ac:dyDescent="0.2">
      <c r="A415" s="12">
        <v>109084</v>
      </c>
      <c r="B415" s="12" t="s">
        <v>467</v>
      </c>
      <c r="C415" s="13">
        <v>10</v>
      </c>
      <c r="D415" s="13">
        <v>21</v>
      </c>
      <c r="E415" s="13">
        <v>7</v>
      </c>
      <c r="F415" s="13">
        <v>27</v>
      </c>
      <c r="G415" s="13">
        <v>27</v>
      </c>
      <c r="H415" s="13">
        <v>7</v>
      </c>
      <c r="I415" s="14">
        <v>1.285714285714286</v>
      </c>
      <c r="J415" s="14">
        <v>1.285714285714286</v>
      </c>
      <c r="K415" s="14">
        <v>0.33333333333333331</v>
      </c>
      <c r="L415" s="13">
        <v>12</v>
      </c>
      <c r="M415" t="str" cm="1">
        <f t="array" ref="M415">_xlfn.IFS(E415&lt;6, "0-6 Months", E415&lt;=12, "6-12 Months", E415&lt;=24, "12-24 Months", E415&gt;24, "24+ Months")</f>
        <v>6-12 Months</v>
      </c>
      <c r="N415" t="str" cm="1">
        <f t="array" ref="N415">_xlfn.IFS(E415&lt;6, "12-18 Months", E415&lt;=12, "18-24 Months", E415&lt;=24, "24+ Months", E415&gt;24, "24+ Months")</f>
        <v>18-24 Months</v>
      </c>
      <c r="O415" t="str" cm="1">
        <f t="array" ref="O415">_xlfn.IFS(D415&gt;=550, "Major", D415 &gt;= 100, "T1200", D415 &lt;100, "Other")</f>
        <v>Other</v>
      </c>
      <c r="P415">
        <f t="shared" si="6"/>
        <v>0</v>
      </c>
    </row>
    <row r="416" spans="1:16" x14ac:dyDescent="0.2">
      <c r="A416" s="12">
        <v>551150</v>
      </c>
      <c r="B416" s="12" t="s">
        <v>492</v>
      </c>
      <c r="C416" s="13">
        <v>3</v>
      </c>
      <c r="D416" s="13">
        <v>18</v>
      </c>
      <c r="E416" s="13">
        <v>8</v>
      </c>
      <c r="F416" s="13">
        <v>27</v>
      </c>
      <c r="G416" s="13">
        <v>27</v>
      </c>
      <c r="H416" s="13">
        <v>0</v>
      </c>
      <c r="I416" s="14">
        <v>1.5</v>
      </c>
      <c r="J416" s="14">
        <v>1.5</v>
      </c>
      <c r="K416" s="14">
        <v>0</v>
      </c>
      <c r="L416" s="13">
        <v>0</v>
      </c>
      <c r="M416" t="str" cm="1">
        <f t="array" ref="M416">_xlfn.IFS(E416&lt;6, "0-6 Months", E416&lt;=12, "6-12 Months", E416&lt;=24, "12-24 Months", E416&gt;24, "24+ Months")</f>
        <v>6-12 Months</v>
      </c>
      <c r="N416" t="str" cm="1">
        <f t="array" ref="N416">_xlfn.IFS(E416&lt;6, "12-18 Months", E416&lt;=12, "18-24 Months", E416&lt;=24, "24+ Months", E416&gt;24, "24+ Months")</f>
        <v>18-24 Months</v>
      </c>
      <c r="O416" t="str" cm="1">
        <f t="array" ref="O416">_xlfn.IFS(D416&gt;=550, "Major", D416 &gt;= 100, "T1200", D416 &lt;100, "Other")</f>
        <v>Other</v>
      </c>
      <c r="P416">
        <f t="shared" si="6"/>
        <v>0</v>
      </c>
    </row>
    <row r="417" spans="1:16" x14ac:dyDescent="0.2">
      <c r="A417" s="12">
        <v>106603</v>
      </c>
      <c r="B417" s="12" t="s">
        <v>474</v>
      </c>
      <c r="C417" s="13">
        <v>378</v>
      </c>
      <c r="D417" s="13">
        <v>622</v>
      </c>
      <c r="E417" s="13">
        <v>25</v>
      </c>
      <c r="F417" s="13">
        <v>26</v>
      </c>
      <c r="G417" s="13">
        <v>26</v>
      </c>
      <c r="H417" s="13">
        <v>26</v>
      </c>
      <c r="I417" s="14">
        <v>4.1800643086816719E-2</v>
      </c>
      <c r="J417" s="14">
        <v>4.1800643086816719E-2</v>
      </c>
      <c r="K417" s="14">
        <v>4.1800643086816719E-2</v>
      </c>
      <c r="L417" s="13">
        <v>33</v>
      </c>
      <c r="M417" t="str" cm="1">
        <f t="array" ref="M417">_xlfn.IFS(E417&lt;6, "0-6 Months", E417&lt;=12, "6-12 Months", E417&lt;=24, "12-24 Months", E417&gt;24, "24+ Months")</f>
        <v>24+ Months</v>
      </c>
      <c r="N417" t="str" cm="1">
        <f t="array" ref="N417">_xlfn.IFS(E417&lt;6, "12-18 Months", E417&lt;=12, "18-24 Months", E417&lt;=24, "24+ Months", E417&gt;24, "24+ Months")</f>
        <v>24+ Months</v>
      </c>
      <c r="O417" t="str" cm="1">
        <f t="array" ref="O417">_xlfn.IFS(D417&gt;=550, "Major", D417 &gt;= 100, "T1200", D417 &lt;100, "Other")</f>
        <v>Major</v>
      </c>
      <c r="P417">
        <f t="shared" si="6"/>
        <v>0</v>
      </c>
    </row>
    <row r="418" spans="1:16" x14ac:dyDescent="0.2">
      <c r="A418" s="12">
        <v>108627</v>
      </c>
      <c r="B418" s="12" t="s">
        <v>537</v>
      </c>
      <c r="C418" s="13">
        <v>36</v>
      </c>
      <c r="D418" s="13">
        <v>35</v>
      </c>
      <c r="E418" s="13">
        <v>8</v>
      </c>
      <c r="F418" s="13">
        <v>26</v>
      </c>
      <c r="G418" s="13">
        <v>26</v>
      </c>
      <c r="H418" s="13">
        <v>2</v>
      </c>
      <c r="I418" s="14">
        <v>0.74285714285714288</v>
      </c>
      <c r="J418" s="14">
        <v>0.74285714285714288</v>
      </c>
      <c r="K418" s="14">
        <v>5.7142857142857141E-2</v>
      </c>
      <c r="L418" s="13">
        <v>40</v>
      </c>
      <c r="M418" t="str" cm="1">
        <f t="array" ref="M418">_xlfn.IFS(E418&lt;6, "0-6 Months", E418&lt;=12, "6-12 Months", E418&lt;=24, "12-24 Months", E418&gt;24, "24+ Months")</f>
        <v>6-12 Months</v>
      </c>
      <c r="N418" t="str" cm="1">
        <f t="array" ref="N418">_xlfn.IFS(E418&lt;6, "12-18 Months", E418&lt;=12, "18-24 Months", E418&lt;=24, "24+ Months", E418&gt;24, "24+ Months")</f>
        <v>18-24 Months</v>
      </c>
      <c r="O418" t="str" cm="1">
        <f t="array" ref="O418">_xlfn.IFS(D418&gt;=550, "Major", D418 &gt;= 100, "T1200", D418 &lt;100, "Other")</f>
        <v>Other</v>
      </c>
      <c r="P418">
        <f t="shared" si="6"/>
        <v>0</v>
      </c>
    </row>
    <row r="419" spans="1:16" x14ac:dyDescent="0.2">
      <c r="A419" s="12">
        <v>317638</v>
      </c>
      <c r="B419" s="12" t="s">
        <v>478</v>
      </c>
      <c r="C419" s="13">
        <v>23</v>
      </c>
      <c r="D419" s="13">
        <v>23</v>
      </c>
      <c r="E419" s="13">
        <v>8</v>
      </c>
      <c r="F419" s="13">
        <v>26</v>
      </c>
      <c r="G419" s="13">
        <v>26</v>
      </c>
      <c r="H419" s="13">
        <v>0</v>
      </c>
      <c r="I419" s="14">
        <v>1.130434782608696</v>
      </c>
      <c r="J419" s="14">
        <v>1.130434782608696</v>
      </c>
      <c r="K419" s="14">
        <v>0</v>
      </c>
      <c r="L419" s="13">
        <v>32</v>
      </c>
      <c r="M419" t="str" cm="1">
        <f t="array" ref="M419">_xlfn.IFS(E419&lt;6, "0-6 Months", E419&lt;=12, "6-12 Months", E419&lt;=24, "12-24 Months", E419&gt;24, "24+ Months")</f>
        <v>6-12 Months</v>
      </c>
      <c r="N419" t="str" cm="1">
        <f t="array" ref="N419">_xlfn.IFS(E419&lt;6, "12-18 Months", E419&lt;=12, "18-24 Months", E419&lt;=24, "24+ Months", E419&gt;24, "24+ Months")</f>
        <v>18-24 Months</v>
      </c>
      <c r="O419" t="str" cm="1">
        <f t="array" ref="O419">_xlfn.IFS(D419&gt;=550, "Major", D419 &gt;= 100, "T1200", D419 &lt;100, "Other")</f>
        <v>Other</v>
      </c>
      <c r="P419">
        <f t="shared" si="6"/>
        <v>0</v>
      </c>
    </row>
    <row r="420" spans="1:16" x14ac:dyDescent="0.2">
      <c r="A420" s="12">
        <v>107396</v>
      </c>
      <c r="B420" s="12" t="s">
        <v>477</v>
      </c>
      <c r="C420" s="13">
        <v>106</v>
      </c>
      <c r="D420" s="13">
        <v>135</v>
      </c>
      <c r="E420" s="13">
        <v>50</v>
      </c>
      <c r="F420" s="13">
        <v>25</v>
      </c>
      <c r="G420" s="13">
        <v>25</v>
      </c>
      <c r="H420" s="13">
        <v>25</v>
      </c>
      <c r="I420" s="14">
        <v>0.1851851851851852</v>
      </c>
      <c r="J420" s="14">
        <v>0.1851851851851852</v>
      </c>
      <c r="K420" s="14">
        <v>0.1851851851851852</v>
      </c>
      <c r="L420" s="13">
        <v>35</v>
      </c>
      <c r="M420" t="str" cm="1">
        <f t="array" ref="M420">_xlfn.IFS(E420&lt;6, "0-6 Months", E420&lt;=12, "6-12 Months", E420&lt;=24, "12-24 Months", E420&gt;24, "24+ Months")</f>
        <v>24+ Months</v>
      </c>
      <c r="N420" t="str" cm="1">
        <f t="array" ref="N420">_xlfn.IFS(E420&lt;6, "12-18 Months", E420&lt;=12, "18-24 Months", E420&lt;=24, "24+ Months", E420&gt;24, "24+ Months")</f>
        <v>24+ Months</v>
      </c>
      <c r="O420" t="str" cm="1">
        <f t="array" ref="O420">_xlfn.IFS(D420&gt;=550, "Major", D420 &gt;= 100, "T1200", D420 &lt;100, "Other")</f>
        <v>T1200</v>
      </c>
      <c r="P420">
        <f t="shared" si="6"/>
        <v>0</v>
      </c>
    </row>
    <row r="421" spans="1:16" x14ac:dyDescent="0.2">
      <c r="A421" s="12">
        <v>222038</v>
      </c>
      <c r="B421" s="12" t="s">
        <v>443</v>
      </c>
      <c r="C421" s="13">
        <v>11</v>
      </c>
      <c r="D421" s="13">
        <v>20</v>
      </c>
      <c r="E421" s="13">
        <v>6</v>
      </c>
      <c r="F421" s="13">
        <v>25</v>
      </c>
      <c r="G421" s="13">
        <v>22</v>
      </c>
      <c r="H421" s="13">
        <v>2</v>
      </c>
      <c r="I421" s="14">
        <v>1.25</v>
      </c>
      <c r="J421" s="14">
        <v>1.1000000000000001</v>
      </c>
      <c r="K421" s="14">
        <v>0.1</v>
      </c>
      <c r="L421" s="13">
        <v>10</v>
      </c>
      <c r="M421" t="str" cm="1">
        <f t="array" ref="M421">_xlfn.IFS(E421&lt;6, "0-6 Months", E421&lt;=12, "6-12 Months", E421&lt;=24, "12-24 Months", E421&gt;24, "24+ Months")</f>
        <v>6-12 Months</v>
      </c>
      <c r="N421" t="str" cm="1">
        <f t="array" ref="N421">_xlfn.IFS(E421&lt;6, "12-18 Months", E421&lt;=12, "18-24 Months", E421&lt;=24, "24+ Months", E421&gt;24, "24+ Months")</f>
        <v>18-24 Months</v>
      </c>
      <c r="O421" t="str" cm="1">
        <f t="array" ref="O421">_xlfn.IFS(D421&gt;=550, "Major", D421 &gt;= 100, "T1200", D421 &lt;100, "Other")</f>
        <v>Other</v>
      </c>
      <c r="P421">
        <f t="shared" si="6"/>
        <v>0</v>
      </c>
    </row>
    <row r="422" spans="1:16" x14ac:dyDescent="0.2">
      <c r="A422" s="12">
        <v>106616</v>
      </c>
      <c r="B422" s="12" t="s">
        <v>484</v>
      </c>
      <c r="C422" s="13">
        <v>4</v>
      </c>
      <c r="D422" s="13">
        <v>92</v>
      </c>
      <c r="E422" s="13">
        <v>30</v>
      </c>
      <c r="F422" s="13">
        <v>25</v>
      </c>
      <c r="G422" s="13">
        <v>1</v>
      </c>
      <c r="H422" s="13">
        <v>1</v>
      </c>
      <c r="I422" s="14">
        <v>0.27173913043478259</v>
      </c>
      <c r="J422" s="14">
        <v>1.0869565217391301E-2</v>
      </c>
      <c r="K422" s="14">
        <v>1.0869565217391301E-2</v>
      </c>
      <c r="L422" s="13">
        <v>40</v>
      </c>
      <c r="M422" t="str" cm="1">
        <f t="array" ref="M422">_xlfn.IFS(E422&lt;6, "0-6 Months", E422&lt;=12, "6-12 Months", E422&lt;=24, "12-24 Months", E422&gt;24, "24+ Months")</f>
        <v>24+ Months</v>
      </c>
      <c r="N422" t="str" cm="1">
        <f t="array" ref="N422">_xlfn.IFS(E422&lt;6, "12-18 Months", E422&lt;=12, "18-24 Months", E422&lt;=24, "24+ Months", E422&gt;24, "24+ Months")</f>
        <v>24+ Months</v>
      </c>
      <c r="O422" t="str" cm="1">
        <f t="array" ref="O422">_xlfn.IFS(D422&gt;=550, "Major", D422 &gt;= 100, "T1200", D422 &lt;100, "Other")</f>
        <v>Other</v>
      </c>
      <c r="P422">
        <f t="shared" si="6"/>
        <v>0</v>
      </c>
    </row>
    <row r="423" spans="1:16" x14ac:dyDescent="0.2">
      <c r="A423" s="12">
        <v>107160</v>
      </c>
      <c r="B423" s="12" t="s">
        <v>510</v>
      </c>
      <c r="C423" s="13">
        <v>50</v>
      </c>
      <c r="D423" s="13">
        <v>45</v>
      </c>
      <c r="E423" s="13">
        <v>14</v>
      </c>
      <c r="F423" s="13">
        <v>24</v>
      </c>
      <c r="G423" s="13">
        <v>16</v>
      </c>
      <c r="H423" s="13">
        <v>12</v>
      </c>
      <c r="I423" s="14">
        <v>0.53333333333333333</v>
      </c>
      <c r="J423" s="14">
        <v>0.35555555555555562</v>
      </c>
      <c r="K423" s="14">
        <v>0.26666666666666672</v>
      </c>
      <c r="L423" s="13">
        <v>0</v>
      </c>
      <c r="M423" t="str" cm="1">
        <f t="array" ref="M423">_xlfn.IFS(E423&lt;6, "0-6 Months", E423&lt;=12, "6-12 Months", E423&lt;=24, "12-24 Months", E423&gt;24, "24+ Months")</f>
        <v>12-24 Months</v>
      </c>
      <c r="N423" t="str" cm="1">
        <f t="array" ref="N423">_xlfn.IFS(E423&lt;6, "12-18 Months", E423&lt;=12, "18-24 Months", E423&lt;=24, "24+ Months", E423&gt;24, "24+ Months")</f>
        <v>24+ Months</v>
      </c>
      <c r="O423" t="str" cm="1">
        <f t="array" ref="O423">_xlfn.IFS(D423&gt;=550, "Major", D423 &gt;= 100, "T1200", D423 &lt;100, "Other")</f>
        <v>Other</v>
      </c>
      <c r="P423">
        <f t="shared" si="6"/>
        <v>0</v>
      </c>
    </row>
    <row r="424" spans="1:16" x14ac:dyDescent="0.2">
      <c r="A424" s="12">
        <v>109947</v>
      </c>
      <c r="B424" s="12" t="s">
        <v>479</v>
      </c>
      <c r="C424" s="13">
        <v>15</v>
      </c>
      <c r="D424" s="13">
        <v>12</v>
      </c>
      <c r="E424" s="13">
        <v>13</v>
      </c>
      <c r="F424" s="13">
        <v>24</v>
      </c>
      <c r="G424" s="13">
        <v>7</v>
      </c>
      <c r="H424" s="13">
        <v>0</v>
      </c>
      <c r="I424" s="14">
        <v>2</v>
      </c>
      <c r="J424" s="14">
        <v>0.58333333333333337</v>
      </c>
      <c r="K424" s="14">
        <v>0</v>
      </c>
      <c r="L424" s="13">
        <v>0</v>
      </c>
      <c r="M424" t="str" cm="1">
        <f t="array" ref="M424">_xlfn.IFS(E424&lt;6, "0-6 Months", E424&lt;=12, "6-12 Months", E424&lt;=24, "12-24 Months", E424&gt;24, "24+ Months")</f>
        <v>12-24 Months</v>
      </c>
      <c r="N424" t="str" cm="1">
        <f t="array" ref="N424">_xlfn.IFS(E424&lt;6, "12-18 Months", E424&lt;=12, "18-24 Months", E424&lt;=24, "24+ Months", E424&gt;24, "24+ Months")</f>
        <v>24+ Months</v>
      </c>
      <c r="O424" t="str" cm="1">
        <f t="array" ref="O424">_xlfn.IFS(D424&gt;=550, "Major", D424 &gt;= 100, "T1200", D424 &lt;100, "Other")</f>
        <v>Other</v>
      </c>
      <c r="P424">
        <f t="shared" si="6"/>
        <v>15</v>
      </c>
    </row>
    <row r="425" spans="1:16" x14ac:dyDescent="0.2">
      <c r="A425" s="12">
        <v>112348</v>
      </c>
      <c r="B425" s="12" t="s">
        <v>515</v>
      </c>
      <c r="C425" s="13">
        <v>0</v>
      </c>
      <c r="D425" s="13">
        <v>40</v>
      </c>
      <c r="E425" s="13">
        <v>21</v>
      </c>
      <c r="F425" s="13">
        <v>24</v>
      </c>
      <c r="G425" s="13">
        <v>16</v>
      </c>
      <c r="H425" s="13">
        <v>6</v>
      </c>
      <c r="I425" s="14">
        <v>0.6</v>
      </c>
      <c r="J425" s="14">
        <v>0.4</v>
      </c>
      <c r="K425" s="14">
        <v>0.15</v>
      </c>
      <c r="L425" s="13">
        <v>2</v>
      </c>
      <c r="M425" t="str" cm="1">
        <f t="array" ref="M425">_xlfn.IFS(E425&lt;6, "0-6 Months", E425&lt;=12, "6-12 Months", E425&lt;=24, "12-24 Months", E425&gt;24, "24+ Months")</f>
        <v>12-24 Months</v>
      </c>
      <c r="N425" t="str" cm="1">
        <f t="array" ref="N425">_xlfn.IFS(E425&lt;6, "12-18 Months", E425&lt;=12, "18-24 Months", E425&lt;=24, "24+ Months", E425&gt;24, "24+ Months")</f>
        <v>24+ Months</v>
      </c>
      <c r="O425" t="str" cm="1">
        <f t="array" ref="O425">_xlfn.IFS(D425&gt;=550, "Major", D425 &gt;= 100, "T1200", D425 &lt;100, "Other")</f>
        <v>Other</v>
      </c>
      <c r="P425">
        <f t="shared" si="6"/>
        <v>0</v>
      </c>
    </row>
    <row r="426" spans="1:16" x14ac:dyDescent="0.2">
      <c r="A426" s="12">
        <v>174235</v>
      </c>
      <c r="B426" s="12" t="s">
        <v>426</v>
      </c>
      <c r="C426" s="13">
        <v>44</v>
      </c>
      <c r="D426" s="13">
        <v>40</v>
      </c>
      <c r="E426" s="13">
        <v>33</v>
      </c>
      <c r="F426" s="13">
        <v>23</v>
      </c>
      <c r="G426" s="13">
        <v>15</v>
      </c>
      <c r="H426" s="13">
        <v>0</v>
      </c>
      <c r="I426" s="14">
        <v>0.57499999999999996</v>
      </c>
      <c r="J426" s="14">
        <v>0.375</v>
      </c>
      <c r="K426" s="14">
        <v>0</v>
      </c>
      <c r="L426" s="13">
        <v>22</v>
      </c>
      <c r="M426" t="str" cm="1">
        <f t="array" ref="M426">_xlfn.IFS(E426&lt;6, "0-6 Months", E426&lt;=12, "6-12 Months", E426&lt;=24, "12-24 Months", E426&gt;24, "24+ Months")</f>
        <v>24+ Months</v>
      </c>
      <c r="N426" t="str" cm="1">
        <f t="array" ref="N426">_xlfn.IFS(E426&lt;6, "12-18 Months", E426&lt;=12, "18-24 Months", E426&lt;=24, "24+ Months", E426&gt;24, "24+ Months")</f>
        <v>24+ Months</v>
      </c>
      <c r="O426" t="str" cm="1">
        <f t="array" ref="O426">_xlfn.IFS(D426&gt;=550, "Major", D426 &gt;= 100, "T1200", D426 &lt;100, "Other")</f>
        <v>Other</v>
      </c>
      <c r="P426">
        <f t="shared" si="6"/>
        <v>0</v>
      </c>
    </row>
    <row r="427" spans="1:16" x14ac:dyDescent="0.2">
      <c r="A427" s="12">
        <v>549754</v>
      </c>
      <c r="B427" s="12" t="s">
        <v>483</v>
      </c>
      <c r="C427" s="13">
        <v>16</v>
      </c>
      <c r="D427" s="13">
        <v>25</v>
      </c>
      <c r="E427" s="13">
        <v>12</v>
      </c>
      <c r="F427" s="13">
        <v>22</v>
      </c>
      <c r="G427" s="13">
        <v>10</v>
      </c>
      <c r="H427" s="13">
        <v>1</v>
      </c>
      <c r="I427" s="14">
        <v>0.88</v>
      </c>
      <c r="J427" s="14">
        <v>0.4</v>
      </c>
      <c r="K427" s="14">
        <v>0.04</v>
      </c>
      <c r="L427" s="13">
        <v>1</v>
      </c>
      <c r="M427" t="str" cm="1">
        <f t="array" ref="M427">_xlfn.IFS(E427&lt;6, "0-6 Months", E427&lt;=12, "6-12 Months", E427&lt;=24, "12-24 Months", E427&gt;24, "24+ Months")</f>
        <v>6-12 Months</v>
      </c>
      <c r="N427" t="str" cm="1">
        <f t="array" ref="N427">_xlfn.IFS(E427&lt;6, "12-18 Months", E427&lt;=12, "18-24 Months", E427&lt;=24, "24+ Months", E427&gt;24, "24+ Months")</f>
        <v>18-24 Months</v>
      </c>
      <c r="O427" t="str" cm="1">
        <f t="array" ref="O427">_xlfn.IFS(D427&gt;=550, "Major", D427 &gt;= 100, "T1200", D427 &lt;100, "Other")</f>
        <v>Other</v>
      </c>
      <c r="P427">
        <f t="shared" si="6"/>
        <v>0</v>
      </c>
    </row>
    <row r="428" spans="1:16" x14ac:dyDescent="0.2">
      <c r="A428" s="12">
        <v>110104</v>
      </c>
      <c r="B428" s="12" t="s">
        <v>495</v>
      </c>
      <c r="C428" s="13">
        <v>1</v>
      </c>
      <c r="D428" s="13">
        <v>12</v>
      </c>
      <c r="E428" s="13">
        <v>50</v>
      </c>
      <c r="F428" s="13">
        <v>22</v>
      </c>
      <c r="G428" s="13">
        <v>0</v>
      </c>
      <c r="H428" s="13">
        <v>0</v>
      </c>
      <c r="I428" s="14">
        <v>1.833333333333333</v>
      </c>
      <c r="J428" s="14">
        <v>0</v>
      </c>
      <c r="K428" s="14">
        <v>0</v>
      </c>
      <c r="L428" s="13">
        <v>0</v>
      </c>
      <c r="M428" t="str" cm="1">
        <f t="array" ref="M428">_xlfn.IFS(E428&lt;6, "0-6 Months", E428&lt;=12, "6-12 Months", E428&lt;=24, "12-24 Months", E428&gt;24, "24+ Months")</f>
        <v>24+ Months</v>
      </c>
      <c r="N428" t="str" cm="1">
        <f t="array" ref="N428">_xlfn.IFS(E428&lt;6, "12-18 Months", E428&lt;=12, "18-24 Months", E428&lt;=24, "24+ Months", E428&gt;24, "24+ Months")</f>
        <v>24+ Months</v>
      </c>
      <c r="O428" t="str" cm="1">
        <f t="array" ref="O428">_xlfn.IFS(D428&gt;=550, "Major", D428 &gt;= 100, "T1200", D428 &lt;100, "Other")</f>
        <v>Other</v>
      </c>
      <c r="P428">
        <f t="shared" si="6"/>
        <v>0</v>
      </c>
    </row>
    <row r="429" spans="1:16" x14ac:dyDescent="0.2">
      <c r="A429" s="12">
        <v>157734</v>
      </c>
      <c r="B429" s="12" t="s">
        <v>398</v>
      </c>
      <c r="C429" s="13">
        <v>68</v>
      </c>
      <c r="D429" s="13">
        <v>73</v>
      </c>
      <c r="E429" s="13">
        <v>15</v>
      </c>
      <c r="F429" s="13">
        <v>21</v>
      </c>
      <c r="G429" s="13">
        <v>19</v>
      </c>
      <c r="H429" s="13">
        <v>4</v>
      </c>
      <c r="I429" s="14">
        <v>0.28767123287671231</v>
      </c>
      <c r="J429" s="14">
        <v>0.26027397260273971</v>
      </c>
      <c r="K429" s="14">
        <v>5.4794520547945202E-2</v>
      </c>
      <c r="L429" s="13">
        <v>6</v>
      </c>
      <c r="M429" t="str" cm="1">
        <f t="array" ref="M429">_xlfn.IFS(E429&lt;6, "0-6 Months", E429&lt;=12, "6-12 Months", E429&lt;=24, "12-24 Months", E429&gt;24, "24+ Months")</f>
        <v>12-24 Months</v>
      </c>
      <c r="N429" t="str" cm="1">
        <f t="array" ref="N429">_xlfn.IFS(E429&lt;6, "12-18 Months", E429&lt;=12, "18-24 Months", E429&lt;=24, "24+ Months", E429&gt;24, "24+ Months")</f>
        <v>24+ Months</v>
      </c>
      <c r="O429" t="str" cm="1">
        <f t="array" ref="O429">_xlfn.IFS(D429&gt;=550, "Major", D429 &gt;= 100, "T1200", D429 &lt;100, "Other")</f>
        <v>Other</v>
      </c>
      <c r="P429">
        <f t="shared" si="6"/>
        <v>0</v>
      </c>
    </row>
    <row r="430" spans="1:16" x14ac:dyDescent="0.2">
      <c r="A430" s="12">
        <v>116153</v>
      </c>
      <c r="B430" s="12" t="s">
        <v>489</v>
      </c>
      <c r="C430" s="13">
        <v>37</v>
      </c>
      <c r="D430" s="13">
        <v>36</v>
      </c>
      <c r="E430" s="13">
        <v>35</v>
      </c>
      <c r="F430" s="13">
        <v>21</v>
      </c>
      <c r="G430" s="13">
        <v>21</v>
      </c>
      <c r="H430" s="13">
        <v>21</v>
      </c>
      <c r="I430" s="14">
        <v>0.58333333333333337</v>
      </c>
      <c r="J430" s="14">
        <v>0.58333333333333337</v>
      </c>
      <c r="K430" s="14">
        <v>0.58333333333333337</v>
      </c>
      <c r="L430" s="13">
        <v>3</v>
      </c>
      <c r="M430" t="str" cm="1">
        <f t="array" ref="M430">_xlfn.IFS(E430&lt;6, "0-6 Months", E430&lt;=12, "6-12 Months", E430&lt;=24, "12-24 Months", E430&gt;24, "24+ Months")</f>
        <v>24+ Months</v>
      </c>
      <c r="N430" t="str" cm="1">
        <f t="array" ref="N430">_xlfn.IFS(E430&lt;6, "12-18 Months", E430&lt;=12, "18-24 Months", E430&lt;=24, "24+ Months", E430&gt;24, "24+ Months")</f>
        <v>24+ Months</v>
      </c>
      <c r="O430" t="str" cm="1">
        <f t="array" ref="O430">_xlfn.IFS(D430&gt;=550, "Major", D430 &gt;= 100, "T1200", D430 &lt;100, "Other")</f>
        <v>Other</v>
      </c>
      <c r="P430">
        <f t="shared" si="6"/>
        <v>0</v>
      </c>
    </row>
    <row r="431" spans="1:16" x14ac:dyDescent="0.2">
      <c r="A431" s="12">
        <v>111138</v>
      </c>
      <c r="B431" s="12" t="s">
        <v>490</v>
      </c>
      <c r="C431" s="13">
        <v>24</v>
      </c>
      <c r="D431" s="13">
        <v>28</v>
      </c>
      <c r="E431" s="13">
        <v>19</v>
      </c>
      <c r="F431" s="13">
        <v>21</v>
      </c>
      <c r="G431" s="13">
        <v>21</v>
      </c>
      <c r="H431" s="13">
        <v>0</v>
      </c>
      <c r="I431" s="14">
        <v>0.75</v>
      </c>
      <c r="J431" s="14">
        <v>0.75</v>
      </c>
      <c r="K431" s="14">
        <v>0</v>
      </c>
      <c r="L431" s="13">
        <v>2</v>
      </c>
      <c r="M431" t="str" cm="1">
        <f t="array" ref="M431">_xlfn.IFS(E431&lt;6, "0-6 Months", E431&lt;=12, "6-12 Months", E431&lt;=24, "12-24 Months", E431&gt;24, "24+ Months")</f>
        <v>12-24 Months</v>
      </c>
      <c r="N431" t="str" cm="1">
        <f t="array" ref="N431">_xlfn.IFS(E431&lt;6, "12-18 Months", E431&lt;=12, "18-24 Months", E431&lt;=24, "24+ Months", E431&gt;24, "24+ Months")</f>
        <v>24+ Months</v>
      </c>
      <c r="O431" t="str" cm="1">
        <f t="array" ref="O431">_xlfn.IFS(D431&gt;=550, "Major", D431 &gt;= 100, "T1200", D431 &lt;100, "Other")</f>
        <v>Other</v>
      </c>
      <c r="P431">
        <f t="shared" si="6"/>
        <v>0</v>
      </c>
    </row>
    <row r="432" spans="1:16" x14ac:dyDescent="0.2">
      <c r="A432" s="12">
        <v>500453</v>
      </c>
      <c r="B432" s="12" t="s">
        <v>502</v>
      </c>
      <c r="C432" s="13">
        <v>4</v>
      </c>
      <c r="D432" s="13">
        <v>4</v>
      </c>
      <c r="E432" s="13">
        <v>6</v>
      </c>
      <c r="F432" s="13">
        <v>21</v>
      </c>
      <c r="G432" s="13">
        <v>20</v>
      </c>
      <c r="H432" s="13">
        <v>14</v>
      </c>
      <c r="I432" s="14">
        <v>5.25</v>
      </c>
      <c r="J432" s="14">
        <v>5</v>
      </c>
      <c r="K432" s="14">
        <v>3.5</v>
      </c>
      <c r="L432" s="13">
        <v>34</v>
      </c>
      <c r="M432" t="str" cm="1">
        <f t="array" ref="M432">_xlfn.IFS(E432&lt;6, "0-6 Months", E432&lt;=12, "6-12 Months", E432&lt;=24, "12-24 Months", E432&gt;24, "24+ Months")</f>
        <v>6-12 Months</v>
      </c>
      <c r="N432" t="str" cm="1">
        <f t="array" ref="N432">_xlfn.IFS(E432&lt;6, "12-18 Months", E432&lt;=12, "18-24 Months", E432&lt;=24, "24+ Months", E432&gt;24, "24+ Months")</f>
        <v>18-24 Months</v>
      </c>
      <c r="O432" t="str" cm="1">
        <f t="array" ref="O432">_xlfn.IFS(D432&gt;=550, "Major", D432 &gt;= 100, "T1200", D432 &lt;100, "Other")</f>
        <v>Other</v>
      </c>
      <c r="P432">
        <f t="shared" si="6"/>
        <v>4</v>
      </c>
    </row>
    <row r="433" spans="1:16" x14ac:dyDescent="0.2">
      <c r="A433" s="12">
        <v>157728</v>
      </c>
      <c r="B433" s="12" t="s">
        <v>432</v>
      </c>
      <c r="C433" s="13">
        <v>95</v>
      </c>
      <c r="D433" s="13">
        <v>45</v>
      </c>
      <c r="E433" s="13">
        <v>8</v>
      </c>
      <c r="F433" s="13">
        <v>20</v>
      </c>
      <c r="G433" s="13">
        <v>14</v>
      </c>
      <c r="H433" s="13">
        <v>0</v>
      </c>
      <c r="I433" s="14">
        <v>0.44444444444444442</v>
      </c>
      <c r="J433" s="14">
        <v>0.31111111111111112</v>
      </c>
      <c r="K433" s="14">
        <v>0</v>
      </c>
      <c r="L433" s="13">
        <v>0</v>
      </c>
      <c r="M433" t="str" cm="1">
        <f t="array" ref="M433">_xlfn.IFS(E433&lt;6, "0-6 Months", E433&lt;=12, "6-12 Months", E433&lt;=24, "12-24 Months", E433&gt;24, "24+ Months")</f>
        <v>6-12 Months</v>
      </c>
      <c r="N433" t="str" cm="1">
        <f t="array" ref="N433">_xlfn.IFS(E433&lt;6, "12-18 Months", E433&lt;=12, "18-24 Months", E433&lt;=24, "24+ Months", E433&gt;24, "24+ Months")</f>
        <v>18-24 Months</v>
      </c>
      <c r="O433" t="str" cm="1">
        <f t="array" ref="O433">_xlfn.IFS(D433&gt;=550, "Major", D433 &gt;= 100, "T1200", D433 &lt;100, "Other")</f>
        <v>Other</v>
      </c>
      <c r="P433">
        <f t="shared" si="6"/>
        <v>0</v>
      </c>
    </row>
    <row r="434" spans="1:16" x14ac:dyDescent="0.2">
      <c r="A434" s="12">
        <v>109365</v>
      </c>
      <c r="B434" s="12" t="s">
        <v>503</v>
      </c>
      <c r="C434" s="13">
        <v>58</v>
      </c>
      <c r="D434" s="13">
        <v>50</v>
      </c>
      <c r="E434" s="13">
        <v>7</v>
      </c>
      <c r="F434" s="13">
        <v>20</v>
      </c>
      <c r="G434" s="13">
        <v>16</v>
      </c>
      <c r="H434" s="13">
        <v>16</v>
      </c>
      <c r="I434" s="14">
        <v>0.4</v>
      </c>
      <c r="J434" s="14">
        <v>0.32</v>
      </c>
      <c r="K434" s="14">
        <v>0.32</v>
      </c>
      <c r="L434" s="13">
        <v>98</v>
      </c>
      <c r="M434" t="str" cm="1">
        <f t="array" ref="M434">_xlfn.IFS(E434&lt;6, "0-6 Months", E434&lt;=12, "6-12 Months", E434&lt;=24, "12-24 Months", E434&gt;24, "24+ Months")</f>
        <v>6-12 Months</v>
      </c>
      <c r="N434" t="str" cm="1">
        <f t="array" ref="N434">_xlfn.IFS(E434&lt;6, "12-18 Months", E434&lt;=12, "18-24 Months", E434&lt;=24, "24+ Months", E434&gt;24, "24+ Months")</f>
        <v>18-24 Months</v>
      </c>
      <c r="O434" t="str" cm="1">
        <f t="array" ref="O434">_xlfn.IFS(D434&gt;=550, "Major", D434 &gt;= 100, "T1200", D434 &lt;100, "Other")</f>
        <v>Other</v>
      </c>
      <c r="P434">
        <f t="shared" si="6"/>
        <v>0</v>
      </c>
    </row>
    <row r="435" spans="1:16" x14ac:dyDescent="0.2">
      <c r="A435" s="12">
        <v>110380</v>
      </c>
      <c r="B435" s="12" t="s">
        <v>485</v>
      </c>
      <c r="C435" s="13">
        <v>36</v>
      </c>
      <c r="D435" s="13">
        <v>43</v>
      </c>
      <c r="E435" s="13">
        <v>22</v>
      </c>
      <c r="F435" s="13">
        <v>20</v>
      </c>
      <c r="G435" s="13">
        <v>20</v>
      </c>
      <c r="H435" s="13">
        <v>11</v>
      </c>
      <c r="I435" s="14">
        <v>0.46511627906976738</v>
      </c>
      <c r="J435" s="14">
        <v>0.46511627906976738</v>
      </c>
      <c r="K435" s="14">
        <v>0.2558139534883721</v>
      </c>
      <c r="L435" s="13">
        <v>20</v>
      </c>
      <c r="M435" t="str" cm="1">
        <f t="array" ref="M435">_xlfn.IFS(E435&lt;6, "0-6 Months", E435&lt;=12, "6-12 Months", E435&lt;=24, "12-24 Months", E435&gt;24, "24+ Months")</f>
        <v>12-24 Months</v>
      </c>
      <c r="N435" t="str" cm="1">
        <f t="array" ref="N435">_xlfn.IFS(E435&lt;6, "12-18 Months", E435&lt;=12, "18-24 Months", E435&lt;=24, "24+ Months", E435&gt;24, "24+ Months")</f>
        <v>24+ Months</v>
      </c>
      <c r="O435" t="str" cm="1">
        <f t="array" ref="O435">_xlfn.IFS(D435&gt;=550, "Major", D435 &gt;= 100, "T1200", D435 &lt;100, "Other")</f>
        <v>Other</v>
      </c>
      <c r="P435">
        <f t="shared" si="6"/>
        <v>0</v>
      </c>
    </row>
    <row r="436" spans="1:16" x14ac:dyDescent="0.2">
      <c r="A436" s="12">
        <v>442850</v>
      </c>
      <c r="B436" s="12" t="s">
        <v>579</v>
      </c>
      <c r="C436" s="13">
        <v>36</v>
      </c>
      <c r="D436" s="13">
        <v>51</v>
      </c>
      <c r="E436" s="13">
        <v>21</v>
      </c>
      <c r="F436" s="13">
        <v>20</v>
      </c>
      <c r="G436" s="13">
        <v>19</v>
      </c>
      <c r="H436" s="13">
        <v>19</v>
      </c>
      <c r="I436" s="14">
        <v>0.39215686274509798</v>
      </c>
      <c r="J436" s="14">
        <v>0.37254901960784309</v>
      </c>
      <c r="K436" s="14">
        <v>0.37254901960784309</v>
      </c>
      <c r="L436" s="13">
        <v>0</v>
      </c>
      <c r="M436" t="str" cm="1">
        <f t="array" ref="M436">_xlfn.IFS(E436&lt;6, "0-6 Months", E436&lt;=12, "6-12 Months", E436&lt;=24, "12-24 Months", E436&gt;24, "24+ Months")</f>
        <v>12-24 Months</v>
      </c>
      <c r="N436" t="str" cm="1">
        <f t="array" ref="N436">_xlfn.IFS(E436&lt;6, "12-18 Months", E436&lt;=12, "18-24 Months", E436&lt;=24, "24+ Months", E436&gt;24, "24+ Months")</f>
        <v>24+ Months</v>
      </c>
      <c r="O436" t="str" cm="1">
        <f t="array" ref="O436">_xlfn.IFS(D436&gt;=550, "Major", D436 &gt;= 100, "T1200", D436 &lt;100, "Other")</f>
        <v>Other</v>
      </c>
      <c r="P436">
        <f t="shared" si="6"/>
        <v>0</v>
      </c>
    </row>
    <row r="437" spans="1:16" x14ac:dyDescent="0.2">
      <c r="A437" s="12">
        <v>107174</v>
      </c>
      <c r="B437" s="12" t="s">
        <v>611</v>
      </c>
      <c r="C437" s="13">
        <v>34</v>
      </c>
      <c r="D437" s="13">
        <v>38</v>
      </c>
      <c r="E437" s="13">
        <v>38</v>
      </c>
      <c r="F437" s="13">
        <v>20</v>
      </c>
      <c r="G437" s="13">
        <v>1</v>
      </c>
      <c r="H437" s="13">
        <v>0</v>
      </c>
      <c r="I437" s="14">
        <v>0.52631578947368418</v>
      </c>
      <c r="J437" s="14">
        <v>2.6315789473684209E-2</v>
      </c>
      <c r="K437" s="14">
        <v>0</v>
      </c>
      <c r="L437" s="13">
        <v>7</v>
      </c>
      <c r="M437" t="str" cm="1">
        <f t="array" ref="M437">_xlfn.IFS(E437&lt;6, "0-6 Months", E437&lt;=12, "6-12 Months", E437&lt;=24, "12-24 Months", E437&gt;24, "24+ Months")</f>
        <v>24+ Months</v>
      </c>
      <c r="N437" t="str" cm="1">
        <f t="array" ref="N437">_xlfn.IFS(E437&lt;6, "12-18 Months", E437&lt;=12, "18-24 Months", E437&lt;=24, "24+ Months", E437&gt;24, "24+ Months")</f>
        <v>24+ Months</v>
      </c>
      <c r="O437" t="str" cm="1">
        <f t="array" ref="O437">_xlfn.IFS(D437&gt;=550, "Major", D437 &gt;= 100, "T1200", D437 &lt;100, "Other")</f>
        <v>Other</v>
      </c>
      <c r="P437">
        <f t="shared" si="6"/>
        <v>0</v>
      </c>
    </row>
    <row r="438" spans="1:16" x14ac:dyDescent="0.2">
      <c r="A438" s="12">
        <v>212348</v>
      </c>
      <c r="B438" s="12" t="s">
        <v>507</v>
      </c>
      <c r="C438" s="13">
        <v>32</v>
      </c>
      <c r="D438" s="13">
        <v>5</v>
      </c>
      <c r="E438" s="13">
        <v>6</v>
      </c>
      <c r="F438" s="13">
        <v>20</v>
      </c>
      <c r="G438" s="13">
        <v>7</v>
      </c>
      <c r="H438" s="13">
        <v>0</v>
      </c>
      <c r="I438" s="14">
        <v>4</v>
      </c>
      <c r="J438" s="14">
        <v>1.4</v>
      </c>
      <c r="K438" s="14">
        <v>0</v>
      </c>
      <c r="L438" s="13">
        <v>25</v>
      </c>
      <c r="M438" t="str" cm="1">
        <f t="array" ref="M438">_xlfn.IFS(E438&lt;6, "0-6 Months", E438&lt;=12, "6-12 Months", E438&lt;=24, "12-24 Months", E438&gt;24, "24+ Months")</f>
        <v>6-12 Months</v>
      </c>
      <c r="N438" t="str" cm="1">
        <f t="array" ref="N438">_xlfn.IFS(E438&lt;6, "12-18 Months", E438&lt;=12, "18-24 Months", E438&lt;=24, "24+ Months", E438&gt;24, "24+ Months")</f>
        <v>18-24 Months</v>
      </c>
      <c r="O438" t="str" cm="1">
        <f t="array" ref="O438">_xlfn.IFS(D438&gt;=550, "Major", D438 &gt;= 100, "T1200", D438 &lt;100, "Other")</f>
        <v>Other</v>
      </c>
      <c r="P438">
        <f t="shared" si="6"/>
        <v>32</v>
      </c>
    </row>
    <row r="439" spans="1:16" x14ac:dyDescent="0.2">
      <c r="A439" s="12">
        <v>542060</v>
      </c>
      <c r="B439" s="12" t="s">
        <v>517</v>
      </c>
      <c r="C439" s="13">
        <v>2</v>
      </c>
      <c r="D439" s="13">
        <v>9</v>
      </c>
      <c r="E439" s="13">
        <v>18</v>
      </c>
      <c r="F439" s="13">
        <v>20</v>
      </c>
      <c r="G439" s="13">
        <v>14</v>
      </c>
      <c r="H439" s="13">
        <v>14</v>
      </c>
      <c r="I439" s="14">
        <v>2.2222222222222219</v>
      </c>
      <c r="J439" s="14">
        <v>1.555555555555556</v>
      </c>
      <c r="K439" s="14">
        <v>1.555555555555556</v>
      </c>
      <c r="L439" s="13">
        <v>4</v>
      </c>
      <c r="M439" t="str" cm="1">
        <f t="array" ref="M439">_xlfn.IFS(E439&lt;6, "0-6 Months", E439&lt;=12, "6-12 Months", E439&lt;=24, "12-24 Months", E439&gt;24, "24+ Months")</f>
        <v>12-24 Months</v>
      </c>
      <c r="N439" t="str" cm="1">
        <f t="array" ref="N439">_xlfn.IFS(E439&lt;6, "12-18 Months", E439&lt;=12, "18-24 Months", E439&lt;=24, "24+ Months", E439&gt;24, "24+ Months")</f>
        <v>24+ Months</v>
      </c>
      <c r="O439" t="str" cm="1">
        <f t="array" ref="O439">_xlfn.IFS(D439&gt;=550, "Major", D439 &gt;= 100, "T1200", D439 &lt;100, "Other")</f>
        <v>Other</v>
      </c>
      <c r="P439">
        <f t="shared" si="6"/>
        <v>2</v>
      </c>
    </row>
    <row r="440" spans="1:16" x14ac:dyDescent="0.2">
      <c r="A440" s="12">
        <v>109205</v>
      </c>
      <c r="B440" s="12" t="s">
        <v>491</v>
      </c>
      <c r="C440" s="13">
        <v>249</v>
      </c>
      <c r="D440" s="13">
        <v>429</v>
      </c>
      <c r="E440" s="13">
        <v>10</v>
      </c>
      <c r="F440" s="13">
        <v>19</v>
      </c>
      <c r="G440" s="13">
        <v>14</v>
      </c>
      <c r="H440" s="13">
        <v>0</v>
      </c>
      <c r="I440" s="14">
        <v>4.4289044289044288E-2</v>
      </c>
      <c r="J440" s="14">
        <v>3.2634032634032632E-2</v>
      </c>
      <c r="K440" s="14">
        <v>0</v>
      </c>
      <c r="L440" s="13">
        <v>83</v>
      </c>
      <c r="M440" t="str" cm="1">
        <f t="array" ref="M440">_xlfn.IFS(E440&lt;6, "0-6 Months", E440&lt;=12, "6-12 Months", E440&lt;=24, "12-24 Months", E440&gt;24, "24+ Months")</f>
        <v>6-12 Months</v>
      </c>
      <c r="N440" t="str" cm="1">
        <f t="array" ref="N440">_xlfn.IFS(E440&lt;6, "12-18 Months", E440&lt;=12, "18-24 Months", E440&lt;=24, "24+ Months", E440&gt;24, "24+ Months")</f>
        <v>18-24 Months</v>
      </c>
      <c r="O440" t="str" cm="1">
        <f t="array" ref="O440">_xlfn.IFS(D440&gt;=550, "Major", D440 &gt;= 100, "T1200", D440 &lt;100, "Other")</f>
        <v>T1200</v>
      </c>
      <c r="P440">
        <f t="shared" si="6"/>
        <v>0</v>
      </c>
    </row>
    <row r="441" spans="1:16" x14ac:dyDescent="0.2">
      <c r="A441" s="12">
        <v>114873</v>
      </c>
      <c r="B441" s="12" t="s">
        <v>549</v>
      </c>
      <c r="C441" s="13">
        <v>216</v>
      </c>
      <c r="D441" s="13">
        <v>216</v>
      </c>
      <c r="E441" s="13">
        <v>22</v>
      </c>
      <c r="F441" s="13">
        <v>19</v>
      </c>
      <c r="G441" s="13">
        <v>0</v>
      </c>
      <c r="H441" s="13">
        <v>0</v>
      </c>
      <c r="I441" s="14">
        <v>8.7962962962962965E-2</v>
      </c>
      <c r="J441" s="14">
        <v>0</v>
      </c>
      <c r="K441" s="14">
        <v>0</v>
      </c>
      <c r="L441" s="13">
        <v>4</v>
      </c>
      <c r="M441" t="str" cm="1">
        <f t="array" ref="M441">_xlfn.IFS(E441&lt;6, "0-6 Months", E441&lt;=12, "6-12 Months", E441&lt;=24, "12-24 Months", E441&gt;24, "24+ Months")</f>
        <v>12-24 Months</v>
      </c>
      <c r="N441" t="str" cm="1">
        <f t="array" ref="N441">_xlfn.IFS(E441&lt;6, "12-18 Months", E441&lt;=12, "18-24 Months", E441&lt;=24, "24+ Months", E441&gt;24, "24+ Months")</f>
        <v>24+ Months</v>
      </c>
      <c r="O441" t="str" cm="1">
        <f t="array" ref="O441">_xlfn.IFS(D441&gt;=550, "Major", D441 &gt;= 100, "T1200", D441 &lt;100, "Other")</f>
        <v>T1200</v>
      </c>
      <c r="P441">
        <f t="shared" si="6"/>
        <v>0</v>
      </c>
    </row>
    <row r="442" spans="1:16" x14ac:dyDescent="0.2">
      <c r="A442" s="12">
        <v>109735</v>
      </c>
      <c r="B442" s="12" t="s">
        <v>529</v>
      </c>
      <c r="C442" s="13">
        <v>162</v>
      </c>
      <c r="D442" s="13">
        <v>166</v>
      </c>
      <c r="E442" s="13">
        <v>33</v>
      </c>
      <c r="F442" s="13">
        <v>19</v>
      </c>
      <c r="G442" s="13">
        <v>19</v>
      </c>
      <c r="H442" s="13">
        <v>19</v>
      </c>
      <c r="I442" s="14">
        <v>0.1144578313253012</v>
      </c>
      <c r="J442" s="14">
        <v>0.1144578313253012</v>
      </c>
      <c r="K442" s="14">
        <v>0.1144578313253012</v>
      </c>
      <c r="L442" s="13">
        <v>33</v>
      </c>
      <c r="M442" t="str" cm="1">
        <f t="array" ref="M442">_xlfn.IFS(E442&lt;6, "0-6 Months", E442&lt;=12, "6-12 Months", E442&lt;=24, "12-24 Months", E442&gt;24, "24+ Months")</f>
        <v>24+ Months</v>
      </c>
      <c r="N442" t="str" cm="1">
        <f t="array" ref="N442">_xlfn.IFS(E442&lt;6, "12-18 Months", E442&lt;=12, "18-24 Months", E442&lt;=24, "24+ Months", E442&gt;24, "24+ Months")</f>
        <v>24+ Months</v>
      </c>
      <c r="O442" t="str" cm="1">
        <f t="array" ref="O442">_xlfn.IFS(D442&gt;=550, "Major", D442 &gt;= 100, "T1200", D442 &lt;100, "Other")</f>
        <v>T1200</v>
      </c>
      <c r="P442">
        <f t="shared" si="6"/>
        <v>0</v>
      </c>
    </row>
    <row r="443" spans="1:16" x14ac:dyDescent="0.2">
      <c r="A443" s="12">
        <v>107214</v>
      </c>
      <c r="B443" s="12" t="s">
        <v>468</v>
      </c>
      <c r="C443" s="13">
        <v>7</v>
      </c>
      <c r="D443" s="13">
        <v>20</v>
      </c>
      <c r="E443" s="13">
        <v>9</v>
      </c>
      <c r="F443" s="13">
        <v>19</v>
      </c>
      <c r="G443" s="13">
        <v>7</v>
      </c>
      <c r="H443" s="13">
        <v>0</v>
      </c>
      <c r="I443" s="14">
        <v>0.95</v>
      </c>
      <c r="J443" s="14">
        <v>0.35</v>
      </c>
      <c r="K443" s="14">
        <v>0</v>
      </c>
      <c r="L443" s="13">
        <v>0</v>
      </c>
      <c r="M443" t="str" cm="1">
        <f t="array" ref="M443">_xlfn.IFS(E443&lt;6, "0-6 Months", E443&lt;=12, "6-12 Months", E443&lt;=24, "12-24 Months", E443&gt;24, "24+ Months")</f>
        <v>6-12 Months</v>
      </c>
      <c r="N443" t="str" cm="1">
        <f t="array" ref="N443">_xlfn.IFS(E443&lt;6, "12-18 Months", E443&lt;=12, "18-24 Months", E443&lt;=24, "24+ Months", E443&gt;24, "24+ Months")</f>
        <v>18-24 Months</v>
      </c>
      <c r="O443" t="str" cm="1">
        <f t="array" ref="O443">_xlfn.IFS(D443&gt;=550, "Major", D443 &gt;= 100, "T1200", D443 &lt;100, "Other")</f>
        <v>Other</v>
      </c>
      <c r="P443">
        <f t="shared" si="6"/>
        <v>0</v>
      </c>
    </row>
    <row r="444" spans="1:16" x14ac:dyDescent="0.2">
      <c r="A444" s="12">
        <v>512879</v>
      </c>
      <c r="B444" s="12" t="s">
        <v>496</v>
      </c>
      <c r="C444" s="13">
        <v>1841</v>
      </c>
      <c r="D444" s="13">
        <v>300</v>
      </c>
      <c r="E444" s="13">
        <v>7</v>
      </c>
      <c r="F444" s="13">
        <v>18</v>
      </c>
      <c r="G444" s="13">
        <v>18</v>
      </c>
      <c r="H444" s="13">
        <v>3</v>
      </c>
      <c r="I444" s="14">
        <v>0.06</v>
      </c>
      <c r="J444" s="14">
        <v>0.06</v>
      </c>
      <c r="K444" s="14">
        <v>0.01</v>
      </c>
      <c r="L444" s="13">
        <v>22</v>
      </c>
      <c r="M444" t="str" cm="1">
        <f t="array" ref="M444">_xlfn.IFS(E444&lt;6, "0-6 Months", E444&lt;=12, "6-12 Months", E444&lt;=24, "12-24 Months", E444&gt;24, "24+ Months")</f>
        <v>6-12 Months</v>
      </c>
      <c r="N444" t="str" cm="1">
        <f t="array" ref="N444">_xlfn.IFS(E444&lt;6, "12-18 Months", E444&lt;=12, "18-24 Months", E444&lt;=24, "24+ Months", E444&gt;24, "24+ Months")</f>
        <v>18-24 Months</v>
      </c>
      <c r="O444" t="str" cm="1">
        <f t="array" ref="O444">_xlfn.IFS(D444&gt;=550, "Major", D444 &gt;= 100, "T1200", D444 &lt;100, "Other")</f>
        <v>T1200</v>
      </c>
      <c r="P444">
        <f t="shared" si="6"/>
        <v>0</v>
      </c>
    </row>
    <row r="445" spans="1:16" x14ac:dyDescent="0.2">
      <c r="A445" s="12">
        <v>114556</v>
      </c>
      <c r="B445" s="12" t="s">
        <v>505</v>
      </c>
      <c r="C445" s="13">
        <v>414</v>
      </c>
      <c r="D445" s="13">
        <v>450</v>
      </c>
      <c r="E445" s="13">
        <v>49</v>
      </c>
      <c r="F445" s="13">
        <v>18</v>
      </c>
      <c r="G445" s="13">
        <v>16</v>
      </c>
      <c r="H445" s="13">
        <v>0</v>
      </c>
      <c r="I445" s="14">
        <v>0.04</v>
      </c>
      <c r="J445" s="14">
        <v>3.5555555555555562E-2</v>
      </c>
      <c r="K445" s="14">
        <v>0</v>
      </c>
      <c r="L445" s="13">
        <v>34</v>
      </c>
      <c r="M445" t="str" cm="1">
        <f t="array" ref="M445">_xlfn.IFS(E445&lt;6, "0-6 Months", E445&lt;=12, "6-12 Months", E445&lt;=24, "12-24 Months", E445&gt;24, "24+ Months")</f>
        <v>24+ Months</v>
      </c>
      <c r="N445" t="str" cm="1">
        <f t="array" ref="N445">_xlfn.IFS(E445&lt;6, "12-18 Months", E445&lt;=12, "18-24 Months", E445&lt;=24, "24+ Months", E445&gt;24, "24+ Months")</f>
        <v>24+ Months</v>
      </c>
      <c r="O445" t="str" cm="1">
        <f t="array" ref="O445">_xlfn.IFS(D445&gt;=550, "Major", D445 &gt;= 100, "T1200", D445 &lt;100, "Other")</f>
        <v>T1200</v>
      </c>
      <c r="P445">
        <f t="shared" si="6"/>
        <v>0</v>
      </c>
    </row>
    <row r="446" spans="1:16" x14ac:dyDescent="0.2">
      <c r="A446" s="12">
        <v>105721</v>
      </c>
      <c r="B446" s="12" t="s">
        <v>438</v>
      </c>
      <c r="C446" s="13">
        <v>142</v>
      </c>
      <c r="D446" s="13">
        <v>132</v>
      </c>
      <c r="E446" s="13">
        <v>36</v>
      </c>
      <c r="F446" s="13">
        <v>18</v>
      </c>
      <c r="G446" s="13">
        <v>9</v>
      </c>
      <c r="H446" s="13">
        <v>9</v>
      </c>
      <c r="I446" s="14">
        <v>0.13636363636363641</v>
      </c>
      <c r="J446" s="14">
        <v>6.8181818181818177E-2</v>
      </c>
      <c r="K446" s="14">
        <v>6.8181818181818177E-2</v>
      </c>
      <c r="L446" s="13">
        <v>51</v>
      </c>
      <c r="M446" t="str" cm="1">
        <f t="array" ref="M446">_xlfn.IFS(E446&lt;6, "0-6 Months", E446&lt;=12, "6-12 Months", E446&lt;=24, "12-24 Months", E446&gt;24, "24+ Months")</f>
        <v>24+ Months</v>
      </c>
      <c r="N446" t="str" cm="1">
        <f t="array" ref="N446">_xlfn.IFS(E446&lt;6, "12-18 Months", E446&lt;=12, "18-24 Months", E446&lt;=24, "24+ Months", E446&gt;24, "24+ Months")</f>
        <v>24+ Months</v>
      </c>
      <c r="O446" t="str" cm="1">
        <f t="array" ref="O446">_xlfn.IFS(D446&gt;=550, "Major", D446 &gt;= 100, "T1200", D446 &lt;100, "Other")</f>
        <v>T1200</v>
      </c>
      <c r="P446">
        <f t="shared" si="6"/>
        <v>0</v>
      </c>
    </row>
    <row r="447" spans="1:16" x14ac:dyDescent="0.2">
      <c r="A447" s="12">
        <v>106743</v>
      </c>
      <c r="B447" s="12" t="s">
        <v>504</v>
      </c>
      <c r="C447" s="13">
        <v>122</v>
      </c>
      <c r="D447" s="13">
        <v>125</v>
      </c>
      <c r="E447" s="13">
        <v>13</v>
      </c>
      <c r="F447" s="13">
        <v>18</v>
      </c>
      <c r="G447" s="13">
        <v>18</v>
      </c>
      <c r="H447" s="13">
        <v>0</v>
      </c>
      <c r="I447" s="14">
        <v>0.14399999999999999</v>
      </c>
      <c r="J447" s="14">
        <v>0.14399999999999999</v>
      </c>
      <c r="K447" s="14">
        <v>0</v>
      </c>
      <c r="L447" s="13">
        <v>0</v>
      </c>
      <c r="M447" t="str" cm="1">
        <f t="array" ref="M447">_xlfn.IFS(E447&lt;6, "0-6 Months", E447&lt;=12, "6-12 Months", E447&lt;=24, "12-24 Months", E447&gt;24, "24+ Months")</f>
        <v>12-24 Months</v>
      </c>
      <c r="N447" t="str" cm="1">
        <f t="array" ref="N447">_xlfn.IFS(E447&lt;6, "12-18 Months", E447&lt;=12, "18-24 Months", E447&lt;=24, "24+ Months", E447&gt;24, "24+ Months")</f>
        <v>24+ Months</v>
      </c>
      <c r="O447" t="str" cm="1">
        <f t="array" ref="O447">_xlfn.IFS(D447&gt;=550, "Major", D447 &gt;= 100, "T1200", D447 &lt;100, "Other")</f>
        <v>T1200</v>
      </c>
      <c r="P447">
        <f t="shared" si="6"/>
        <v>0</v>
      </c>
    </row>
    <row r="448" spans="1:16" x14ac:dyDescent="0.2">
      <c r="A448" s="12">
        <v>118351</v>
      </c>
      <c r="B448" s="12" t="s">
        <v>508</v>
      </c>
      <c r="C448" s="13">
        <v>325</v>
      </c>
      <c r="D448" s="13">
        <v>371</v>
      </c>
      <c r="E448" s="13">
        <v>50</v>
      </c>
      <c r="F448" s="13">
        <v>17</v>
      </c>
      <c r="G448" s="13">
        <v>11</v>
      </c>
      <c r="H448" s="13">
        <v>11</v>
      </c>
      <c r="I448" s="14">
        <v>4.5822102425876012E-2</v>
      </c>
      <c r="J448" s="14">
        <v>2.964959568733154E-2</v>
      </c>
      <c r="K448" s="14">
        <v>2.964959568733154E-2</v>
      </c>
      <c r="L448" s="13">
        <v>0</v>
      </c>
      <c r="M448" t="str" cm="1">
        <f t="array" ref="M448">_xlfn.IFS(E448&lt;6, "0-6 Months", E448&lt;=12, "6-12 Months", E448&lt;=24, "12-24 Months", E448&gt;24, "24+ Months")</f>
        <v>24+ Months</v>
      </c>
      <c r="N448" t="str" cm="1">
        <f t="array" ref="N448">_xlfn.IFS(E448&lt;6, "12-18 Months", E448&lt;=12, "18-24 Months", E448&lt;=24, "24+ Months", E448&gt;24, "24+ Months")</f>
        <v>24+ Months</v>
      </c>
      <c r="O448" t="str" cm="1">
        <f t="array" ref="O448">_xlfn.IFS(D448&gt;=550, "Major", D448 &gt;= 100, "T1200", D448 &lt;100, "Other")</f>
        <v>T1200</v>
      </c>
      <c r="P448">
        <f t="shared" si="6"/>
        <v>0</v>
      </c>
    </row>
    <row r="449" spans="1:16" x14ac:dyDescent="0.2">
      <c r="A449" s="12">
        <v>464691</v>
      </c>
      <c r="B449" s="12" t="s">
        <v>518</v>
      </c>
      <c r="C449" s="13">
        <v>66</v>
      </c>
      <c r="D449" s="13">
        <v>20</v>
      </c>
      <c r="E449" s="13">
        <v>9</v>
      </c>
      <c r="F449" s="13">
        <v>17</v>
      </c>
      <c r="G449" s="13">
        <v>13</v>
      </c>
      <c r="H449" s="13">
        <v>0</v>
      </c>
      <c r="I449" s="14">
        <v>0.85</v>
      </c>
      <c r="J449" s="14">
        <v>0.65</v>
      </c>
      <c r="K449" s="14">
        <v>0</v>
      </c>
      <c r="L449" s="13">
        <v>14</v>
      </c>
      <c r="M449" t="str" cm="1">
        <f t="array" ref="M449">_xlfn.IFS(E449&lt;6, "0-6 Months", E449&lt;=12, "6-12 Months", E449&lt;=24, "12-24 Months", E449&gt;24, "24+ Months")</f>
        <v>6-12 Months</v>
      </c>
      <c r="N449" t="str" cm="1">
        <f t="array" ref="N449">_xlfn.IFS(E449&lt;6, "12-18 Months", E449&lt;=12, "18-24 Months", E449&lt;=24, "24+ Months", E449&gt;24, "24+ Months")</f>
        <v>18-24 Months</v>
      </c>
      <c r="O449" t="str" cm="1">
        <f t="array" ref="O449">_xlfn.IFS(D449&gt;=550, "Major", D449 &gt;= 100, "T1200", D449 &lt;100, "Other")</f>
        <v>Other</v>
      </c>
      <c r="P449">
        <f t="shared" si="6"/>
        <v>0</v>
      </c>
    </row>
    <row r="450" spans="1:16" x14ac:dyDescent="0.2">
      <c r="A450" s="12">
        <v>112123</v>
      </c>
      <c r="B450" s="12" t="s">
        <v>577</v>
      </c>
      <c r="C450" s="13">
        <v>27</v>
      </c>
      <c r="D450" s="13">
        <v>23</v>
      </c>
      <c r="E450" s="13">
        <v>15</v>
      </c>
      <c r="F450" s="13">
        <v>17</v>
      </c>
      <c r="G450" s="13">
        <v>0</v>
      </c>
      <c r="H450" s="13">
        <v>0</v>
      </c>
      <c r="I450" s="14">
        <v>0.73913043478260865</v>
      </c>
      <c r="J450" s="14">
        <v>0</v>
      </c>
      <c r="K450" s="14">
        <v>0</v>
      </c>
      <c r="L450" s="13">
        <v>0</v>
      </c>
      <c r="M450" t="str" cm="1">
        <f t="array" ref="M450">_xlfn.IFS(E450&lt;6, "0-6 Months", E450&lt;=12, "6-12 Months", E450&lt;=24, "12-24 Months", E450&gt;24, "24+ Months")</f>
        <v>12-24 Months</v>
      </c>
      <c r="N450" t="str" cm="1">
        <f t="array" ref="N450">_xlfn.IFS(E450&lt;6, "12-18 Months", E450&lt;=12, "18-24 Months", E450&lt;=24, "24+ Months", E450&gt;24, "24+ Months")</f>
        <v>24+ Months</v>
      </c>
      <c r="O450" t="str" cm="1">
        <f t="array" ref="O450">_xlfn.IFS(D450&gt;=550, "Major", D450 &gt;= 100, "T1200", D450 &lt;100, "Other")</f>
        <v>Other</v>
      </c>
      <c r="P450">
        <f t="shared" ref="P450:P513" si="7">SUMPRODUCT((I450&gt;=2) * C450 + ((D450&gt;=550) * (J450&gt;=0.75) * (I450&lt;2) * C450))</f>
        <v>0</v>
      </c>
    </row>
    <row r="451" spans="1:16" x14ac:dyDescent="0.2">
      <c r="A451" s="12">
        <v>547648</v>
      </c>
      <c r="B451" s="12" t="s">
        <v>516</v>
      </c>
      <c r="C451" s="13">
        <v>0</v>
      </c>
      <c r="D451" s="13">
        <v>100</v>
      </c>
      <c r="E451" s="13">
        <v>13</v>
      </c>
      <c r="F451" s="13">
        <v>17</v>
      </c>
      <c r="G451" s="13">
        <v>0</v>
      </c>
      <c r="H451" s="13">
        <v>0</v>
      </c>
      <c r="I451" s="14">
        <v>0.17</v>
      </c>
      <c r="J451" s="14">
        <v>0</v>
      </c>
      <c r="K451" s="14">
        <v>0</v>
      </c>
      <c r="L451" s="13">
        <v>5</v>
      </c>
      <c r="M451" t="str" cm="1">
        <f t="array" ref="M451">_xlfn.IFS(E451&lt;6, "0-6 Months", E451&lt;=12, "6-12 Months", E451&lt;=24, "12-24 Months", E451&gt;24, "24+ Months")</f>
        <v>12-24 Months</v>
      </c>
      <c r="N451" t="str" cm="1">
        <f t="array" ref="N451">_xlfn.IFS(E451&lt;6, "12-18 Months", E451&lt;=12, "18-24 Months", E451&lt;=24, "24+ Months", E451&gt;24, "24+ Months")</f>
        <v>24+ Months</v>
      </c>
      <c r="O451" t="str" cm="1">
        <f t="array" ref="O451">_xlfn.IFS(D451&gt;=550, "Major", D451 &gt;= 100, "T1200", D451 &lt;100, "Other")</f>
        <v>T1200</v>
      </c>
      <c r="P451">
        <f t="shared" si="7"/>
        <v>0</v>
      </c>
    </row>
    <row r="452" spans="1:16" x14ac:dyDescent="0.2">
      <c r="A452" s="12">
        <v>108484</v>
      </c>
      <c r="B452" s="12" t="s">
        <v>475</v>
      </c>
      <c r="C452" s="13">
        <v>218</v>
      </c>
      <c r="D452" s="13">
        <v>150</v>
      </c>
      <c r="E452" s="13">
        <v>16</v>
      </c>
      <c r="F452" s="13">
        <v>16</v>
      </c>
      <c r="G452" s="13">
        <v>3</v>
      </c>
      <c r="H452" s="13">
        <v>1</v>
      </c>
      <c r="I452" s="14">
        <v>0.1066666666666667</v>
      </c>
      <c r="J452" s="14">
        <v>0.02</v>
      </c>
      <c r="K452" s="14">
        <v>6.6666666666666671E-3</v>
      </c>
      <c r="L452" s="13">
        <v>0</v>
      </c>
      <c r="M452" t="str" cm="1">
        <f t="array" ref="M452">_xlfn.IFS(E452&lt;6, "0-6 Months", E452&lt;=12, "6-12 Months", E452&lt;=24, "12-24 Months", E452&gt;24, "24+ Months")</f>
        <v>12-24 Months</v>
      </c>
      <c r="N452" t="str" cm="1">
        <f t="array" ref="N452">_xlfn.IFS(E452&lt;6, "12-18 Months", E452&lt;=12, "18-24 Months", E452&lt;=24, "24+ Months", E452&gt;24, "24+ Months")</f>
        <v>24+ Months</v>
      </c>
      <c r="O452" t="str" cm="1">
        <f t="array" ref="O452">_xlfn.IFS(D452&gt;=550, "Major", D452 &gt;= 100, "T1200", D452 &lt;100, "Other")</f>
        <v>T1200</v>
      </c>
      <c r="P452">
        <f t="shared" si="7"/>
        <v>0</v>
      </c>
    </row>
    <row r="453" spans="1:16" x14ac:dyDescent="0.2">
      <c r="A453" s="12">
        <v>106169</v>
      </c>
      <c r="B453" s="12" t="s">
        <v>509</v>
      </c>
      <c r="C453" s="13">
        <v>1</v>
      </c>
      <c r="D453" s="13">
        <v>20</v>
      </c>
      <c r="E453" s="13">
        <v>26</v>
      </c>
      <c r="F453" s="13">
        <v>16</v>
      </c>
      <c r="G453" s="13">
        <v>0</v>
      </c>
      <c r="H453" s="13">
        <v>0</v>
      </c>
      <c r="I453" s="14">
        <v>0.8</v>
      </c>
      <c r="J453" s="14">
        <v>0</v>
      </c>
      <c r="K453" s="14">
        <v>0</v>
      </c>
      <c r="L453" s="13">
        <v>0</v>
      </c>
      <c r="M453" t="str" cm="1">
        <f t="array" ref="M453">_xlfn.IFS(E453&lt;6, "0-6 Months", E453&lt;=12, "6-12 Months", E453&lt;=24, "12-24 Months", E453&gt;24, "24+ Months")</f>
        <v>24+ Months</v>
      </c>
      <c r="N453" t="str" cm="1">
        <f t="array" ref="N453">_xlfn.IFS(E453&lt;6, "12-18 Months", E453&lt;=12, "18-24 Months", E453&lt;=24, "24+ Months", E453&gt;24, "24+ Months")</f>
        <v>24+ Months</v>
      </c>
      <c r="O453" t="str" cm="1">
        <f t="array" ref="O453">_xlfn.IFS(D453&gt;=550, "Major", D453 &gt;= 100, "T1200", D453 &lt;100, "Other")</f>
        <v>Other</v>
      </c>
      <c r="P453">
        <f t="shared" si="7"/>
        <v>0</v>
      </c>
    </row>
    <row r="454" spans="1:16" x14ac:dyDescent="0.2">
      <c r="A454" s="12">
        <v>476910</v>
      </c>
      <c r="B454" s="12" t="s">
        <v>511</v>
      </c>
      <c r="C454" s="13">
        <v>1</v>
      </c>
      <c r="D454" s="13">
        <v>4</v>
      </c>
      <c r="E454" s="13">
        <v>6</v>
      </c>
      <c r="F454" s="13">
        <v>16</v>
      </c>
      <c r="G454" s="13">
        <v>0</v>
      </c>
      <c r="H454" s="13">
        <v>0</v>
      </c>
      <c r="I454" s="14">
        <v>4</v>
      </c>
      <c r="J454" s="14">
        <v>0</v>
      </c>
      <c r="K454" s="14">
        <v>0</v>
      </c>
      <c r="L454" s="13">
        <v>0</v>
      </c>
      <c r="M454" t="str" cm="1">
        <f t="array" ref="M454">_xlfn.IFS(E454&lt;6, "0-6 Months", E454&lt;=12, "6-12 Months", E454&lt;=24, "12-24 Months", E454&gt;24, "24+ Months")</f>
        <v>6-12 Months</v>
      </c>
      <c r="N454" t="str" cm="1">
        <f t="array" ref="N454">_xlfn.IFS(E454&lt;6, "12-18 Months", E454&lt;=12, "18-24 Months", E454&lt;=24, "24+ Months", E454&gt;24, "24+ Months")</f>
        <v>18-24 Months</v>
      </c>
      <c r="O454" t="str" cm="1">
        <f t="array" ref="O454">_xlfn.IFS(D454&gt;=550, "Major", D454 &gt;= 100, "T1200", D454 &lt;100, "Other")</f>
        <v>Other</v>
      </c>
      <c r="P454">
        <f t="shared" si="7"/>
        <v>1</v>
      </c>
    </row>
    <row r="455" spans="1:16" x14ac:dyDescent="0.2">
      <c r="A455" s="12">
        <v>152571</v>
      </c>
      <c r="B455" s="12" t="s">
        <v>512</v>
      </c>
      <c r="C455" s="13">
        <v>1</v>
      </c>
      <c r="D455" s="13">
        <v>60</v>
      </c>
      <c r="E455" s="13">
        <v>6</v>
      </c>
      <c r="F455" s="13">
        <v>16</v>
      </c>
      <c r="G455" s="13">
        <v>16</v>
      </c>
      <c r="H455" s="13">
        <v>14</v>
      </c>
      <c r="I455" s="14">
        <v>0.26666666666666672</v>
      </c>
      <c r="J455" s="14">
        <v>0.26666666666666672</v>
      </c>
      <c r="K455" s="14">
        <v>0.23333333333333331</v>
      </c>
      <c r="L455" s="13">
        <v>0</v>
      </c>
      <c r="M455" t="str" cm="1">
        <f t="array" ref="M455">_xlfn.IFS(E455&lt;6, "0-6 Months", E455&lt;=12, "6-12 Months", E455&lt;=24, "12-24 Months", E455&gt;24, "24+ Months")</f>
        <v>6-12 Months</v>
      </c>
      <c r="N455" t="str" cm="1">
        <f t="array" ref="N455">_xlfn.IFS(E455&lt;6, "12-18 Months", E455&lt;=12, "18-24 Months", E455&lt;=24, "24+ Months", E455&gt;24, "24+ Months")</f>
        <v>18-24 Months</v>
      </c>
      <c r="O455" t="str" cm="1">
        <f t="array" ref="O455">_xlfn.IFS(D455&gt;=550, "Major", D455 &gt;= 100, "T1200", D455 &lt;100, "Other")</f>
        <v>Other</v>
      </c>
      <c r="P455">
        <f t="shared" si="7"/>
        <v>0</v>
      </c>
    </row>
    <row r="456" spans="1:16" x14ac:dyDescent="0.2">
      <c r="A456" s="12">
        <v>470994</v>
      </c>
      <c r="B456" s="12" t="s">
        <v>498</v>
      </c>
      <c r="C456" s="13">
        <v>18</v>
      </c>
      <c r="D456" s="13">
        <v>16</v>
      </c>
      <c r="E456" s="13">
        <v>14</v>
      </c>
      <c r="F456" s="13">
        <v>15</v>
      </c>
      <c r="G456" s="13">
        <v>0</v>
      </c>
      <c r="H456" s="13">
        <v>0</v>
      </c>
      <c r="I456" s="14">
        <v>0.9375</v>
      </c>
      <c r="J456" s="14">
        <v>0</v>
      </c>
      <c r="K456" s="14">
        <v>0</v>
      </c>
      <c r="L456" s="13">
        <v>0</v>
      </c>
      <c r="M456" t="str" cm="1">
        <f t="array" ref="M456">_xlfn.IFS(E456&lt;6, "0-6 Months", E456&lt;=12, "6-12 Months", E456&lt;=24, "12-24 Months", E456&gt;24, "24+ Months")</f>
        <v>12-24 Months</v>
      </c>
      <c r="N456" t="str" cm="1">
        <f t="array" ref="N456">_xlfn.IFS(E456&lt;6, "12-18 Months", E456&lt;=12, "18-24 Months", E456&lt;=24, "24+ Months", E456&gt;24, "24+ Months")</f>
        <v>24+ Months</v>
      </c>
      <c r="O456" t="str" cm="1">
        <f t="array" ref="O456">_xlfn.IFS(D456&gt;=550, "Major", D456 &gt;= 100, "T1200", D456 &lt;100, "Other")</f>
        <v>Other</v>
      </c>
      <c r="P456">
        <f t="shared" si="7"/>
        <v>0</v>
      </c>
    </row>
    <row r="457" spans="1:16" x14ac:dyDescent="0.2">
      <c r="A457" s="12">
        <v>105389</v>
      </c>
      <c r="B457" s="12" t="s">
        <v>553</v>
      </c>
      <c r="C457" s="13">
        <v>111</v>
      </c>
      <c r="D457" s="13">
        <v>92</v>
      </c>
      <c r="E457" s="13">
        <v>48</v>
      </c>
      <c r="F457" s="13">
        <v>14</v>
      </c>
      <c r="G457" s="13">
        <v>8</v>
      </c>
      <c r="H457" s="13">
        <v>6</v>
      </c>
      <c r="I457" s="14">
        <v>0.1521739130434783</v>
      </c>
      <c r="J457" s="14">
        <v>8.6956521739130432E-2</v>
      </c>
      <c r="K457" s="14">
        <v>6.5217391304347824E-2</v>
      </c>
      <c r="L457" s="13">
        <v>5</v>
      </c>
      <c r="M457" t="str" cm="1">
        <f t="array" ref="M457">_xlfn.IFS(E457&lt;6, "0-6 Months", E457&lt;=12, "6-12 Months", E457&lt;=24, "12-24 Months", E457&gt;24, "24+ Months")</f>
        <v>24+ Months</v>
      </c>
      <c r="N457" t="str" cm="1">
        <f t="array" ref="N457">_xlfn.IFS(E457&lt;6, "12-18 Months", E457&lt;=12, "18-24 Months", E457&lt;=24, "24+ Months", E457&gt;24, "24+ Months")</f>
        <v>24+ Months</v>
      </c>
      <c r="O457" t="str" cm="1">
        <f t="array" ref="O457">_xlfn.IFS(D457&gt;=550, "Major", D457 &gt;= 100, "T1200", D457 &lt;100, "Other")</f>
        <v>Other</v>
      </c>
      <c r="P457">
        <f t="shared" si="7"/>
        <v>0</v>
      </c>
    </row>
    <row r="458" spans="1:16" x14ac:dyDescent="0.2">
      <c r="A458" s="12">
        <v>109740</v>
      </c>
      <c r="B458" s="12" t="s">
        <v>514</v>
      </c>
      <c r="C458" s="13">
        <v>40</v>
      </c>
      <c r="D458" s="13">
        <v>10</v>
      </c>
      <c r="E458" s="13">
        <v>12</v>
      </c>
      <c r="F458" s="13">
        <v>14</v>
      </c>
      <c r="G458" s="13">
        <v>5</v>
      </c>
      <c r="H458" s="13">
        <v>2</v>
      </c>
      <c r="I458" s="14">
        <v>1.4</v>
      </c>
      <c r="J458" s="14">
        <v>0.5</v>
      </c>
      <c r="K458" s="14">
        <v>0.2</v>
      </c>
      <c r="L458" s="13">
        <v>1</v>
      </c>
      <c r="M458" t="str" cm="1">
        <f t="array" ref="M458">_xlfn.IFS(E458&lt;6, "0-6 Months", E458&lt;=12, "6-12 Months", E458&lt;=24, "12-24 Months", E458&gt;24, "24+ Months")</f>
        <v>6-12 Months</v>
      </c>
      <c r="N458" t="str" cm="1">
        <f t="array" ref="N458">_xlfn.IFS(E458&lt;6, "12-18 Months", E458&lt;=12, "18-24 Months", E458&lt;=24, "24+ Months", E458&gt;24, "24+ Months")</f>
        <v>18-24 Months</v>
      </c>
      <c r="O458" t="str" cm="1">
        <f t="array" ref="O458">_xlfn.IFS(D458&gt;=550, "Major", D458 &gt;= 100, "T1200", D458 &lt;100, "Other")</f>
        <v>Other</v>
      </c>
      <c r="P458">
        <f t="shared" si="7"/>
        <v>0</v>
      </c>
    </row>
    <row r="459" spans="1:16" x14ac:dyDescent="0.2">
      <c r="A459" s="12">
        <v>318425</v>
      </c>
      <c r="B459" s="12" t="s">
        <v>544</v>
      </c>
      <c r="C459" s="13">
        <v>25</v>
      </c>
      <c r="D459" s="13">
        <v>40</v>
      </c>
      <c r="E459" s="13">
        <v>25</v>
      </c>
      <c r="F459" s="13">
        <v>14</v>
      </c>
      <c r="G459" s="13">
        <v>0</v>
      </c>
      <c r="H459" s="13">
        <v>0</v>
      </c>
      <c r="I459" s="14">
        <v>0.35</v>
      </c>
      <c r="J459" s="14">
        <v>0</v>
      </c>
      <c r="K459" s="14">
        <v>0</v>
      </c>
      <c r="L459" s="13">
        <v>0</v>
      </c>
      <c r="M459" t="str" cm="1">
        <f t="array" ref="M459">_xlfn.IFS(E459&lt;6, "0-6 Months", E459&lt;=12, "6-12 Months", E459&lt;=24, "12-24 Months", E459&gt;24, "24+ Months")</f>
        <v>24+ Months</v>
      </c>
      <c r="N459" t="str" cm="1">
        <f t="array" ref="N459">_xlfn.IFS(E459&lt;6, "12-18 Months", E459&lt;=12, "18-24 Months", E459&lt;=24, "24+ Months", E459&gt;24, "24+ Months")</f>
        <v>24+ Months</v>
      </c>
      <c r="O459" t="str" cm="1">
        <f t="array" ref="O459">_xlfn.IFS(D459&gt;=550, "Major", D459 &gt;= 100, "T1200", D459 &lt;100, "Other")</f>
        <v>Other</v>
      </c>
      <c r="P459">
        <f t="shared" si="7"/>
        <v>0</v>
      </c>
    </row>
    <row r="460" spans="1:16" x14ac:dyDescent="0.2">
      <c r="A460" s="12">
        <v>210852</v>
      </c>
      <c r="B460" s="12" t="s">
        <v>513</v>
      </c>
      <c r="C460" s="13">
        <v>21</v>
      </c>
      <c r="D460" s="13">
        <v>24</v>
      </c>
      <c r="E460" s="13">
        <v>24</v>
      </c>
      <c r="F460" s="13">
        <v>14</v>
      </c>
      <c r="G460" s="13">
        <v>5</v>
      </c>
      <c r="H460" s="13">
        <v>0</v>
      </c>
      <c r="I460" s="14">
        <v>0.58333333333333337</v>
      </c>
      <c r="J460" s="14">
        <v>0.20833333333333329</v>
      </c>
      <c r="K460" s="14">
        <v>0</v>
      </c>
      <c r="L460" s="13">
        <v>0</v>
      </c>
      <c r="M460" t="str" cm="1">
        <f t="array" ref="M460">_xlfn.IFS(E460&lt;6, "0-6 Months", E460&lt;=12, "6-12 Months", E460&lt;=24, "12-24 Months", E460&gt;24, "24+ Months")</f>
        <v>12-24 Months</v>
      </c>
      <c r="N460" t="str" cm="1">
        <f t="array" ref="N460">_xlfn.IFS(E460&lt;6, "12-18 Months", E460&lt;=12, "18-24 Months", E460&lt;=24, "24+ Months", E460&gt;24, "24+ Months")</f>
        <v>24+ Months</v>
      </c>
      <c r="O460" t="str" cm="1">
        <f t="array" ref="O460">_xlfn.IFS(D460&gt;=550, "Major", D460 &gt;= 100, "T1200", D460 &lt;100, "Other")</f>
        <v>Other</v>
      </c>
      <c r="P460">
        <f t="shared" si="7"/>
        <v>0</v>
      </c>
    </row>
    <row r="461" spans="1:16" x14ac:dyDescent="0.2">
      <c r="A461" s="12">
        <v>321168</v>
      </c>
      <c r="B461" s="12" t="s">
        <v>520</v>
      </c>
      <c r="C461" s="13">
        <v>36</v>
      </c>
      <c r="D461" s="13">
        <v>115</v>
      </c>
      <c r="E461" s="13">
        <v>7</v>
      </c>
      <c r="F461" s="13">
        <v>13</v>
      </c>
      <c r="G461" s="13">
        <v>13</v>
      </c>
      <c r="H461" s="13">
        <v>0</v>
      </c>
      <c r="I461" s="14">
        <v>0.11304347826086961</v>
      </c>
      <c r="J461" s="14">
        <v>0.11304347826086961</v>
      </c>
      <c r="K461" s="14">
        <v>0</v>
      </c>
      <c r="L461" s="13">
        <v>17</v>
      </c>
      <c r="M461" t="str" cm="1">
        <f t="array" ref="M461">_xlfn.IFS(E461&lt;6, "0-6 Months", E461&lt;=12, "6-12 Months", E461&lt;=24, "12-24 Months", E461&gt;24, "24+ Months")</f>
        <v>6-12 Months</v>
      </c>
      <c r="N461" t="str" cm="1">
        <f t="array" ref="N461">_xlfn.IFS(E461&lt;6, "12-18 Months", E461&lt;=12, "18-24 Months", E461&lt;=24, "24+ Months", E461&gt;24, "24+ Months")</f>
        <v>18-24 Months</v>
      </c>
      <c r="O461" t="str" cm="1">
        <f t="array" ref="O461">_xlfn.IFS(D461&gt;=550, "Major", D461 &gt;= 100, "T1200", D461 &lt;100, "Other")</f>
        <v>T1200</v>
      </c>
      <c r="P461">
        <f t="shared" si="7"/>
        <v>0</v>
      </c>
    </row>
    <row r="462" spans="1:16" x14ac:dyDescent="0.2">
      <c r="A462" s="12">
        <v>143994</v>
      </c>
      <c r="B462" s="12" t="s">
        <v>522</v>
      </c>
      <c r="C462" s="13">
        <v>31</v>
      </c>
      <c r="D462" s="13">
        <v>35</v>
      </c>
      <c r="E462" s="13">
        <v>8</v>
      </c>
      <c r="F462" s="13">
        <v>13</v>
      </c>
      <c r="G462" s="13">
        <v>0</v>
      </c>
      <c r="H462" s="13">
        <v>0</v>
      </c>
      <c r="I462" s="14">
        <v>0.37142857142857139</v>
      </c>
      <c r="J462" s="14">
        <v>0</v>
      </c>
      <c r="K462" s="14">
        <v>0</v>
      </c>
      <c r="L462" s="13">
        <v>0</v>
      </c>
      <c r="M462" t="str" cm="1">
        <f t="array" ref="M462">_xlfn.IFS(E462&lt;6, "0-6 Months", E462&lt;=12, "6-12 Months", E462&lt;=24, "12-24 Months", E462&gt;24, "24+ Months")</f>
        <v>6-12 Months</v>
      </c>
      <c r="N462" t="str" cm="1">
        <f t="array" ref="N462">_xlfn.IFS(E462&lt;6, "12-18 Months", E462&lt;=12, "18-24 Months", E462&lt;=24, "24+ Months", E462&gt;24, "24+ Months")</f>
        <v>18-24 Months</v>
      </c>
      <c r="O462" t="str" cm="1">
        <f t="array" ref="O462">_xlfn.IFS(D462&gt;=550, "Major", D462 &gt;= 100, "T1200", D462 &lt;100, "Other")</f>
        <v>Other</v>
      </c>
      <c r="P462">
        <f t="shared" si="7"/>
        <v>0</v>
      </c>
    </row>
    <row r="463" spans="1:16" x14ac:dyDescent="0.2">
      <c r="A463" s="12">
        <v>313325</v>
      </c>
      <c r="B463" s="12" t="s">
        <v>521</v>
      </c>
      <c r="C463" s="13">
        <v>1</v>
      </c>
      <c r="D463" s="13">
        <v>6</v>
      </c>
      <c r="E463" s="13">
        <v>6</v>
      </c>
      <c r="F463" s="13">
        <v>13</v>
      </c>
      <c r="G463" s="13">
        <v>13</v>
      </c>
      <c r="H463" s="13">
        <v>5</v>
      </c>
      <c r="I463" s="14">
        <v>2.166666666666667</v>
      </c>
      <c r="J463" s="14">
        <v>2.166666666666667</v>
      </c>
      <c r="K463" s="14">
        <v>0.83333333333333337</v>
      </c>
      <c r="L463" s="13">
        <v>10</v>
      </c>
      <c r="M463" t="str" cm="1">
        <f t="array" ref="M463">_xlfn.IFS(E463&lt;6, "0-6 Months", E463&lt;=12, "6-12 Months", E463&lt;=24, "12-24 Months", E463&gt;24, "24+ Months")</f>
        <v>6-12 Months</v>
      </c>
      <c r="N463" t="str" cm="1">
        <f t="array" ref="N463">_xlfn.IFS(E463&lt;6, "12-18 Months", E463&lt;=12, "18-24 Months", E463&lt;=24, "24+ Months", E463&gt;24, "24+ Months")</f>
        <v>18-24 Months</v>
      </c>
      <c r="O463" t="str" cm="1">
        <f t="array" ref="O463">_xlfn.IFS(D463&gt;=550, "Major", D463 &gt;= 100, "T1200", D463 &lt;100, "Other")</f>
        <v>Other</v>
      </c>
      <c r="P463">
        <f t="shared" si="7"/>
        <v>1</v>
      </c>
    </row>
    <row r="464" spans="1:16" x14ac:dyDescent="0.2">
      <c r="A464" s="12">
        <v>112630</v>
      </c>
      <c r="B464" s="12" t="s">
        <v>526</v>
      </c>
      <c r="C464" s="13">
        <v>0</v>
      </c>
      <c r="D464" s="13">
        <v>20</v>
      </c>
      <c r="E464" s="13">
        <v>21</v>
      </c>
      <c r="F464" s="13">
        <v>13</v>
      </c>
      <c r="G464" s="13">
        <v>13</v>
      </c>
      <c r="H464" s="13">
        <v>6</v>
      </c>
      <c r="I464" s="14">
        <v>0.65</v>
      </c>
      <c r="J464" s="14">
        <v>0.65</v>
      </c>
      <c r="K464" s="14">
        <v>0.3</v>
      </c>
      <c r="L464" s="13">
        <v>0</v>
      </c>
      <c r="M464" t="str" cm="1">
        <f t="array" ref="M464">_xlfn.IFS(E464&lt;6, "0-6 Months", E464&lt;=12, "6-12 Months", E464&lt;=24, "12-24 Months", E464&gt;24, "24+ Months")</f>
        <v>12-24 Months</v>
      </c>
      <c r="N464" t="str" cm="1">
        <f t="array" ref="N464">_xlfn.IFS(E464&lt;6, "12-18 Months", E464&lt;=12, "18-24 Months", E464&lt;=24, "24+ Months", E464&gt;24, "24+ Months")</f>
        <v>24+ Months</v>
      </c>
      <c r="O464" t="str" cm="1">
        <f t="array" ref="O464">_xlfn.IFS(D464&gt;=550, "Major", D464 &gt;= 100, "T1200", D464 &lt;100, "Other")</f>
        <v>Other</v>
      </c>
      <c r="P464">
        <f t="shared" si="7"/>
        <v>0</v>
      </c>
    </row>
    <row r="465" spans="1:16" x14ac:dyDescent="0.2">
      <c r="A465" s="12">
        <v>110479</v>
      </c>
      <c r="B465" s="12" t="s">
        <v>532</v>
      </c>
      <c r="C465" s="13">
        <v>103</v>
      </c>
      <c r="D465" s="13">
        <v>170</v>
      </c>
      <c r="E465" s="13">
        <v>24</v>
      </c>
      <c r="F465" s="13">
        <v>12</v>
      </c>
      <c r="G465" s="13">
        <v>0</v>
      </c>
      <c r="H465" s="13">
        <v>0</v>
      </c>
      <c r="I465" s="14">
        <v>7.0588235294117646E-2</v>
      </c>
      <c r="J465" s="14">
        <v>0</v>
      </c>
      <c r="K465" s="14">
        <v>0</v>
      </c>
      <c r="L465" s="13">
        <v>120</v>
      </c>
      <c r="M465" t="str" cm="1">
        <f t="array" ref="M465">_xlfn.IFS(E465&lt;6, "0-6 Months", E465&lt;=12, "6-12 Months", E465&lt;=24, "12-24 Months", E465&gt;24, "24+ Months")</f>
        <v>12-24 Months</v>
      </c>
      <c r="N465" t="str" cm="1">
        <f t="array" ref="N465">_xlfn.IFS(E465&lt;6, "12-18 Months", E465&lt;=12, "18-24 Months", E465&lt;=24, "24+ Months", E465&gt;24, "24+ Months")</f>
        <v>24+ Months</v>
      </c>
      <c r="O465" t="str" cm="1">
        <f t="array" ref="O465">_xlfn.IFS(D465&gt;=550, "Major", D465 &gt;= 100, "T1200", D465 &lt;100, "Other")</f>
        <v>T1200</v>
      </c>
      <c r="P465">
        <f t="shared" si="7"/>
        <v>0</v>
      </c>
    </row>
    <row r="466" spans="1:16" x14ac:dyDescent="0.2">
      <c r="A466" s="12">
        <v>114232</v>
      </c>
      <c r="B466" s="12" t="s">
        <v>550</v>
      </c>
      <c r="C466" s="13">
        <v>57</v>
      </c>
      <c r="D466" s="13">
        <v>12</v>
      </c>
      <c r="E466" s="13">
        <v>6</v>
      </c>
      <c r="F466" s="13">
        <v>12</v>
      </c>
      <c r="G466" s="13">
        <v>12</v>
      </c>
      <c r="H466" s="13">
        <v>12</v>
      </c>
      <c r="I466" s="14">
        <v>1</v>
      </c>
      <c r="J466" s="14">
        <v>1</v>
      </c>
      <c r="K466" s="14">
        <v>1</v>
      </c>
      <c r="L466" s="13">
        <v>0</v>
      </c>
      <c r="M466" t="str" cm="1">
        <f t="array" ref="M466">_xlfn.IFS(E466&lt;6, "0-6 Months", E466&lt;=12, "6-12 Months", E466&lt;=24, "12-24 Months", E466&gt;24, "24+ Months")</f>
        <v>6-12 Months</v>
      </c>
      <c r="N466" t="str" cm="1">
        <f t="array" ref="N466">_xlfn.IFS(E466&lt;6, "12-18 Months", E466&lt;=12, "18-24 Months", E466&lt;=24, "24+ Months", E466&gt;24, "24+ Months")</f>
        <v>18-24 Months</v>
      </c>
      <c r="O466" t="str" cm="1">
        <f t="array" ref="O466">_xlfn.IFS(D466&gt;=550, "Major", D466 &gt;= 100, "T1200", D466 &lt;100, "Other")</f>
        <v>Other</v>
      </c>
      <c r="P466">
        <f t="shared" si="7"/>
        <v>0</v>
      </c>
    </row>
    <row r="467" spans="1:16" x14ac:dyDescent="0.2">
      <c r="A467" s="12">
        <v>518257</v>
      </c>
      <c r="B467" s="12" t="s">
        <v>568</v>
      </c>
      <c r="C467" s="13">
        <v>44</v>
      </c>
      <c r="D467" s="13">
        <v>65</v>
      </c>
      <c r="E467" s="13">
        <v>47</v>
      </c>
      <c r="F467" s="13">
        <v>12</v>
      </c>
      <c r="G467" s="13">
        <v>12</v>
      </c>
      <c r="H467" s="13">
        <v>12</v>
      </c>
      <c r="I467" s="14">
        <v>0.1846153846153846</v>
      </c>
      <c r="J467" s="14">
        <v>0.1846153846153846</v>
      </c>
      <c r="K467" s="14">
        <v>0.1846153846153846</v>
      </c>
      <c r="L467" s="13">
        <v>10</v>
      </c>
      <c r="M467" t="str" cm="1">
        <f t="array" ref="M467">_xlfn.IFS(E467&lt;6, "0-6 Months", E467&lt;=12, "6-12 Months", E467&lt;=24, "12-24 Months", E467&gt;24, "24+ Months")</f>
        <v>24+ Months</v>
      </c>
      <c r="N467" t="str" cm="1">
        <f t="array" ref="N467">_xlfn.IFS(E467&lt;6, "12-18 Months", E467&lt;=12, "18-24 Months", E467&lt;=24, "24+ Months", E467&gt;24, "24+ Months")</f>
        <v>24+ Months</v>
      </c>
      <c r="O467" t="str" cm="1">
        <f t="array" ref="O467">_xlfn.IFS(D467&gt;=550, "Major", D467 &gt;= 100, "T1200", D467 &lt;100, "Other")</f>
        <v>Other</v>
      </c>
      <c r="P467">
        <f t="shared" si="7"/>
        <v>0</v>
      </c>
    </row>
    <row r="468" spans="1:16" x14ac:dyDescent="0.2">
      <c r="A468" s="12">
        <v>198139</v>
      </c>
      <c r="B468" s="12" t="s">
        <v>523</v>
      </c>
      <c r="C468" s="13">
        <v>25</v>
      </c>
      <c r="D468" s="13">
        <v>16</v>
      </c>
      <c r="E468" s="13">
        <v>29</v>
      </c>
      <c r="F468" s="13">
        <v>12</v>
      </c>
      <c r="G468" s="13">
        <v>12</v>
      </c>
      <c r="H468" s="13">
        <v>12</v>
      </c>
      <c r="I468" s="14">
        <v>0.75</v>
      </c>
      <c r="J468" s="14">
        <v>0.75</v>
      </c>
      <c r="K468" s="14">
        <v>0.75</v>
      </c>
      <c r="L468" s="13">
        <v>4</v>
      </c>
      <c r="M468" t="str" cm="1">
        <f t="array" ref="M468">_xlfn.IFS(E468&lt;6, "0-6 Months", E468&lt;=12, "6-12 Months", E468&lt;=24, "12-24 Months", E468&gt;24, "24+ Months")</f>
        <v>24+ Months</v>
      </c>
      <c r="N468" t="str" cm="1">
        <f t="array" ref="N468">_xlfn.IFS(E468&lt;6, "12-18 Months", E468&lt;=12, "18-24 Months", E468&lt;=24, "24+ Months", E468&gt;24, "24+ Months")</f>
        <v>24+ Months</v>
      </c>
      <c r="O468" t="str" cm="1">
        <f t="array" ref="O468">_xlfn.IFS(D468&gt;=550, "Major", D468 &gt;= 100, "T1200", D468 &lt;100, "Other")</f>
        <v>Other</v>
      </c>
      <c r="P468">
        <f t="shared" si="7"/>
        <v>0</v>
      </c>
    </row>
    <row r="469" spans="1:16" x14ac:dyDescent="0.2">
      <c r="A469" s="12">
        <v>172684</v>
      </c>
      <c r="B469" s="12" t="s">
        <v>530</v>
      </c>
      <c r="C469" s="13">
        <v>20</v>
      </c>
      <c r="D469" s="13">
        <v>15</v>
      </c>
      <c r="E469" s="13">
        <v>11</v>
      </c>
      <c r="F469" s="13">
        <v>12</v>
      </c>
      <c r="G469" s="13">
        <v>4</v>
      </c>
      <c r="H469" s="13">
        <v>4</v>
      </c>
      <c r="I469" s="14">
        <v>0.8</v>
      </c>
      <c r="J469" s="14">
        <v>0.26666666666666672</v>
      </c>
      <c r="K469" s="14">
        <v>0.26666666666666672</v>
      </c>
      <c r="L469" s="13">
        <v>0</v>
      </c>
      <c r="M469" t="str" cm="1">
        <f t="array" ref="M469">_xlfn.IFS(E469&lt;6, "0-6 Months", E469&lt;=12, "6-12 Months", E469&lt;=24, "12-24 Months", E469&gt;24, "24+ Months")</f>
        <v>6-12 Months</v>
      </c>
      <c r="N469" t="str" cm="1">
        <f t="array" ref="N469">_xlfn.IFS(E469&lt;6, "12-18 Months", E469&lt;=12, "18-24 Months", E469&lt;=24, "24+ Months", E469&gt;24, "24+ Months")</f>
        <v>18-24 Months</v>
      </c>
      <c r="O469" t="str" cm="1">
        <f t="array" ref="O469">_xlfn.IFS(D469&gt;=550, "Major", D469 &gt;= 100, "T1200", D469 &lt;100, "Other")</f>
        <v>Other</v>
      </c>
      <c r="P469">
        <f t="shared" si="7"/>
        <v>0</v>
      </c>
    </row>
    <row r="470" spans="1:16" x14ac:dyDescent="0.2">
      <c r="A470" s="12">
        <v>166614</v>
      </c>
      <c r="B470" s="12" t="s">
        <v>554</v>
      </c>
      <c r="C470" s="13">
        <v>19</v>
      </c>
      <c r="D470" s="13">
        <v>18</v>
      </c>
      <c r="E470" s="13">
        <v>6</v>
      </c>
      <c r="F470" s="13">
        <v>12</v>
      </c>
      <c r="G470" s="13">
        <v>8</v>
      </c>
      <c r="H470" s="13">
        <v>8</v>
      </c>
      <c r="I470" s="14">
        <v>0.66666666666666663</v>
      </c>
      <c r="J470" s="14">
        <v>0.44444444444444442</v>
      </c>
      <c r="K470" s="14">
        <v>0.44444444444444442</v>
      </c>
      <c r="L470" s="13">
        <v>62</v>
      </c>
      <c r="M470" t="str" cm="1">
        <f t="array" ref="M470">_xlfn.IFS(E470&lt;6, "0-6 Months", E470&lt;=12, "6-12 Months", E470&lt;=24, "12-24 Months", E470&gt;24, "24+ Months")</f>
        <v>6-12 Months</v>
      </c>
      <c r="N470" t="str" cm="1">
        <f t="array" ref="N470">_xlfn.IFS(E470&lt;6, "12-18 Months", E470&lt;=12, "18-24 Months", E470&lt;=24, "24+ Months", E470&gt;24, "24+ Months")</f>
        <v>18-24 Months</v>
      </c>
      <c r="O470" t="str" cm="1">
        <f t="array" ref="O470">_xlfn.IFS(D470&gt;=550, "Major", D470 &gt;= 100, "T1200", D470 &lt;100, "Other")</f>
        <v>Other</v>
      </c>
      <c r="P470">
        <f t="shared" si="7"/>
        <v>0</v>
      </c>
    </row>
    <row r="471" spans="1:16" x14ac:dyDescent="0.2">
      <c r="A471" s="12">
        <v>515108</v>
      </c>
      <c r="B471" s="12" t="s">
        <v>552</v>
      </c>
      <c r="C471" s="13">
        <v>15</v>
      </c>
      <c r="D471" s="13">
        <v>3</v>
      </c>
      <c r="E471" s="13">
        <v>9</v>
      </c>
      <c r="F471" s="13">
        <v>12</v>
      </c>
      <c r="G471" s="13">
        <v>0</v>
      </c>
      <c r="H471" s="13">
        <v>0</v>
      </c>
      <c r="I471" s="14">
        <v>4</v>
      </c>
      <c r="J471" s="14">
        <v>0</v>
      </c>
      <c r="K471" s="14">
        <v>0</v>
      </c>
      <c r="L471" s="13">
        <v>0</v>
      </c>
      <c r="M471" t="str" cm="1">
        <f t="array" ref="M471">_xlfn.IFS(E471&lt;6, "0-6 Months", E471&lt;=12, "6-12 Months", E471&lt;=24, "12-24 Months", E471&gt;24, "24+ Months")</f>
        <v>6-12 Months</v>
      </c>
      <c r="N471" t="str" cm="1">
        <f t="array" ref="N471">_xlfn.IFS(E471&lt;6, "12-18 Months", E471&lt;=12, "18-24 Months", E471&lt;=24, "24+ Months", E471&gt;24, "24+ Months")</f>
        <v>18-24 Months</v>
      </c>
      <c r="O471" t="str" cm="1">
        <f t="array" ref="O471">_xlfn.IFS(D471&gt;=550, "Major", D471 &gt;= 100, "T1200", D471 &lt;100, "Other")</f>
        <v>Other</v>
      </c>
      <c r="P471">
        <f t="shared" si="7"/>
        <v>15</v>
      </c>
    </row>
    <row r="472" spans="1:16" x14ac:dyDescent="0.2">
      <c r="A472" s="12">
        <v>461758</v>
      </c>
      <c r="B472" s="12" t="s">
        <v>527</v>
      </c>
      <c r="C472" s="13">
        <v>9</v>
      </c>
      <c r="D472" s="13">
        <v>5</v>
      </c>
      <c r="E472" s="13">
        <v>6</v>
      </c>
      <c r="F472" s="13">
        <v>12</v>
      </c>
      <c r="G472" s="13">
        <v>12</v>
      </c>
      <c r="H472" s="13">
        <v>12</v>
      </c>
      <c r="I472" s="14">
        <v>2.4</v>
      </c>
      <c r="J472" s="14">
        <v>2.4</v>
      </c>
      <c r="K472" s="14">
        <v>2.4</v>
      </c>
      <c r="L472" s="13">
        <v>18</v>
      </c>
      <c r="M472" t="str" cm="1">
        <f t="array" ref="M472">_xlfn.IFS(E472&lt;6, "0-6 Months", E472&lt;=12, "6-12 Months", E472&lt;=24, "12-24 Months", E472&gt;24, "24+ Months")</f>
        <v>6-12 Months</v>
      </c>
      <c r="N472" t="str" cm="1">
        <f t="array" ref="N472">_xlfn.IFS(E472&lt;6, "12-18 Months", E472&lt;=12, "18-24 Months", E472&lt;=24, "24+ Months", E472&gt;24, "24+ Months")</f>
        <v>18-24 Months</v>
      </c>
      <c r="O472" t="str" cm="1">
        <f t="array" ref="O472">_xlfn.IFS(D472&gt;=550, "Major", D472 &gt;= 100, "T1200", D472 &lt;100, "Other")</f>
        <v>Other</v>
      </c>
      <c r="P472">
        <f t="shared" si="7"/>
        <v>9</v>
      </c>
    </row>
    <row r="473" spans="1:16" x14ac:dyDescent="0.2">
      <c r="A473" s="12">
        <v>477467</v>
      </c>
      <c r="B473" s="12" t="s">
        <v>528</v>
      </c>
      <c r="C473" s="13">
        <v>6</v>
      </c>
      <c r="D473" s="13">
        <v>6</v>
      </c>
      <c r="E473" s="13">
        <v>17</v>
      </c>
      <c r="F473" s="13">
        <v>12</v>
      </c>
      <c r="G473" s="13">
        <v>0</v>
      </c>
      <c r="H473" s="13">
        <v>0</v>
      </c>
      <c r="I473" s="14">
        <v>2</v>
      </c>
      <c r="J473" s="14">
        <v>0</v>
      </c>
      <c r="K473" s="14">
        <v>0</v>
      </c>
      <c r="L473" s="13">
        <v>0</v>
      </c>
      <c r="M473" t="str" cm="1">
        <f t="array" ref="M473">_xlfn.IFS(E473&lt;6, "0-6 Months", E473&lt;=12, "6-12 Months", E473&lt;=24, "12-24 Months", E473&gt;24, "24+ Months")</f>
        <v>12-24 Months</v>
      </c>
      <c r="N473" t="str" cm="1">
        <f t="array" ref="N473">_xlfn.IFS(E473&lt;6, "12-18 Months", E473&lt;=12, "18-24 Months", E473&lt;=24, "24+ Months", E473&gt;24, "24+ Months")</f>
        <v>24+ Months</v>
      </c>
      <c r="O473" t="str" cm="1">
        <f t="array" ref="O473">_xlfn.IFS(D473&gt;=550, "Major", D473 &gt;= 100, "T1200", D473 &lt;100, "Other")</f>
        <v>Other</v>
      </c>
      <c r="P473">
        <f t="shared" si="7"/>
        <v>6</v>
      </c>
    </row>
    <row r="474" spans="1:16" x14ac:dyDescent="0.2">
      <c r="A474" s="12">
        <v>475512</v>
      </c>
      <c r="B474" s="12" t="s">
        <v>482</v>
      </c>
      <c r="C474" s="13">
        <v>1</v>
      </c>
      <c r="D474" s="13">
        <v>10</v>
      </c>
      <c r="E474" s="13">
        <v>6</v>
      </c>
      <c r="F474" s="13">
        <v>12</v>
      </c>
      <c r="G474" s="13">
        <v>12</v>
      </c>
      <c r="H474" s="13">
        <v>0</v>
      </c>
      <c r="I474" s="14">
        <v>1.2</v>
      </c>
      <c r="J474" s="14">
        <v>1.2</v>
      </c>
      <c r="K474" s="14">
        <v>0</v>
      </c>
      <c r="L474" s="13">
        <v>0</v>
      </c>
      <c r="M474" t="str" cm="1">
        <f t="array" ref="M474">_xlfn.IFS(E474&lt;6, "0-6 Months", E474&lt;=12, "6-12 Months", E474&lt;=24, "12-24 Months", E474&gt;24, "24+ Months")</f>
        <v>6-12 Months</v>
      </c>
      <c r="N474" t="str" cm="1">
        <f t="array" ref="N474">_xlfn.IFS(E474&lt;6, "12-18 Months", E474&lt;=12, "18-24 Months", E474&lt;=24, "24+ Months", E474&gt;24, "24+ Months")</f>
        <v>18-24 Months</v>
      </c>
      <c r="O474" t="str" cm="1">
        <f t="array" ref="O474">_xlfn.IFS(D474&gt;=550, "Major", D474 &gt;= 100, "T1200", D474 &lt;100, "Other")</f>
        <v>Other</v>
      </c>
      <c r="P474">
        <f t="shared" si="7"/>
        <v>0</v>
      </c>
    </row>
    <row r="475" spans="1:16" x14ac:dyDescent="0.2">
      <c r="A475" s="12">
        <v>106199</v>
      </c>
      <c r="B475" s="12" t="s">
        <v>587</v>
      </c>
      <c r="C475" s="13">
        <v>109</v>
      </c>
      <c r="D475" s="13">
        <v>62</v>
      </c>
      <c r="E475" s="13">
        <v>34</v>
      </c>
      <c r="F475" s="13">
        <v>11</v>
      </c>
      <c r="G475" s="13">
        <v>11</v>
      </c>
      <c r="H475" s="13">
        <v>7</v>
      </c>
      <c r="I475" s="14">
        <v>0.17741935483870969</v>
      </c>
      <c r="J475" s="14">
        <v>0.17741935483870969</v>
      </c>
      <c r="K475" s="14">
        <v>0.1129032258064516</v>
      </c>
      <c r="L475" s="13">
        <v>2</v>
      </c>
      <c r="M475" t="str" cm="1">
        <f t="array" ref="M475">_xlfn.IFS(E475&lt;6, "0-6 Months", E475&lt;=12, "6-12 Months", E475&lt;=24, "12-24 Months", E475&gt;24, "24+ Months")</f>
        <v>24+ Months</v>
      </c>
      <c r="N475" t="str" cm="1">
        <f t="array" ref="N475">_xlfn.IFS(E475&lt;6, "12-18 Months", E475&lt;=12, "18-24 Months", E475&lt;=24, "24+ Months", E475&gt;24, "24+ Months")</f>
        <v>24+ Months</v>
      </c>
      <c r="O475" t="str" cm="1">
        <f t="array" ref="O475">_xlfn.IFS(D475&gt;=550, "Major", D475 &gt;= 100, "T1200", D475 &lt;100, "Other")</f>
        <v>Other</v>
      </c>
      <c r="P475">
        <f t="shared" si="7"/>
        <v>0</v>
      </c>
    </row>
    <row r="476" spans="1:16" x14ac:dyDescent="0.2">
      <c r="A476" s="12">
        <v>128688</v>
      </c>
      <c r="B476" s="12" t="s">
        <v>533</v>
      </c>
      <c r="C476" s="13">
        <v>89</v>
      </c>
      <c r="D476" s="13">
        <v>89</v>
      </c>
      <c r="E476" s="13">
        <v>23</v>
      </c>
      <c r="F476" s="13">
        <v>11</v>
      </c>
      <c r="G476" s="13">
        <v>11</v>
      </c>
      <c r="H476" s="13">
        <v>0</v>
      </c>
      <c r="I476" s="14">
        <v>0.1235955056179775</v>
      </c>
      <c r="J476" s="14">
        <v>0.1235955056179775</v>
      </c>
      <c r="K476" s="14">
        <v>0</v>
      </c>
      <c r="L476" s="13">
        <v>0</v>
      </c>
      <c r="M476" t="str" cm="1">
        <f t="array" ref="M476">_xlfn.IFS(E476&lt;6, "0-6 Months", E476&lt;=12, "6-12 Months", E476&lt;=24, "12-24 Months", E476&gt;24, "24+ Months")</f>
        <v>12-24 Months</v>
      </c>
      <c r="N476" t="str" cm="1">
        <f t="array" ref="N476">_xlfn.IFS(E476&lt;6, "12-18 Months", E476&lt;=12, "18-24 Months", E476&lt;=24, "24+ Months", E476&gt;24, "24+ Months")</f>
        <v>24+ Months</v>
      </c>
      <c r="O476" t="str" cm="1">
        <f t="array" ref="O476">_xlfn.IFS(D476&gt;=550, "Major", D476 &gt;= 100, "T1200", D476 &lt;100, "Other")</f>
        <v>Other</v>
      </c>
      <c r="P476">
        <f t="shared" si="7"/>
        <v>0</v>
      </c>
    </row>
    <row r="477" spans="1:16" x14ac:dyDescent="0.2">
      <c r="A477" s="12">
        <v>237422</v>
      </c>
      <c r="B477" s="12" t="s">
        <v>584</v>
      </c>
      <c r="C477" s="13">
        <v>15</v>
      </c>
      <c r="D477" s="13">
        <v>16</v>
      </c>
      <c r="E477" s="13">
        <v>7</v>
      </c>
      <c r="F477" s="13">
        <v>11</v>
      </c>
      <c r="G477" s="13">
        <v>6</v>
      </c>
      <c r="H477" s="13">
        <v>6</v>
      </c>
      <c r="I477" s="14">
        <v>0.6875</v>
      </c>
      <c r="J477" s="14">
        <v>0.375</v>
      </c>
      <c r="K477" s="14">
        <v>0.375</v>
      </c>
      <c r="L477" s="13">
        <v>4</v>
      </c>
      <c r="M477" t="str" cm="1">
        <f t="array" ref="M477">_xlfn.IFS(E477&lt;6, "0-6 Months", E477&lt;=12, "6-12 Months", E477&lt;=24, "12-24 Months", E477&gt;24, "24+ Months")</f>
        <v>6-12 Months</v>
      </c>
      <c r="N477" t="str" cm="1">
        <f t="array" ref="N477">_xlfn.IFS(E477&lt;6, "12-18 Months", E477&lt;=12, "18-24 Months", E477&lt;=24, "24+ Months", E477&gt;24, "24+ Months")</f>
        <v>18-24 Months</v>
      </c>
      <c r="O477" t="str" cm="1">
        <f t="array" ref="O477">_xlfn.IFS(D477&gt;=550, "Major", D477 &gt;= 100, "T1200", D477 &lt;100, "Other")</f>
        <v>Other</v>
      </c>
      <c r="P477">
        <f t="shared" si="7"/>
        <v>0</v>
      </c>
    </row>
    <row r="478" spans="1:16" x14ac:dyDescent="0.2">
      <c r="A478" s="12">
        <v>468524</v>
      </c>
      <c r="B478" s="12" t="s">
        <v>462</v>
      </c>
      <c r="C478" s="13">
        <v>8</v>
      </c>
      <c r="D478" s="13">
        <v>7</v>
      </c>
      <c r="E478" s="13">
        <v>10</v>
      </c>
      <c r="F478" s="13">
        <v>11</v>
      </c>
      <c r="G478" s="13">
        <v>0</v>
      </c>
      <c r="H478" s="13">
        <v>0</v>
      </c>
      <c r="I478" s="14">
        <v>1.571428571428571</v>
      </c>
      <c r="J478" s="14">
        <v>0</v>
      </c>
      <c r="K478" s="14">
        <v>0</v>
      </c>
      <c r="L478" s="13">
        <v>0</v>
      </c>
      <c r="M478" t="str" cm="1">
        <f t="array" ref="M478">_xlfn.IFS(E478&lt;6, "0-6 Months", E478&lt;=12, "6-12 Months", E478&lt;=24, "12-24 Months", E478&gt;24, "24+ Months")</f>
        <v>6-12 Months</v>
      </c>
      <c r="N478" t="str" cm="1">
        <f t="array" ref="N478">_xlfn.IFS(E478&lt;6, "12-18 Months", E478&lt;=12, "18-24 Months", E478&lt;=24, "24+ Months", E478&gt;24, "24+ Months")</f>
        <v>18-24 Months</v>
      </c>
      <c r="O478" t="str" cm="1">
        <f t="array" ref="O478">_xlfn.IFS(D478&gt;=550, "Major", D478 &gt;= 100, "T1200", D478 &lt;100, "Other")</f>
        <v>Other</v>
      </c>
      <c r="P478">
        <f t="shared" si="7"/>
        <v>0</v>
      </c>
    </row>
    <row r="479" spans="1:16" x14ac:dyDescent="0.2">
      <c r="A479" s="12">
        <v>502025</v>
      </c>
      <c r="B479" s="12" t="s">
        <v>534</v>
      </c>
      <c r="C479" s="13">
        <v>1</v>
      </c>
      <c r="D479" s="13">
        <v>1</v>
      </c>
      <c r="E479" s="13">
        <v>6</v>
      </c>
      <c r="F479" s="13">
        <v>11</v>
      </c>
      <c r="G479" s="13">
        <v>10</v>
      </c>
      <c r="H479" s="13">
        <v>6</v>
      </c>
      <c r="I479" s="14">
        <v>11</v>
      </c>
      <c r="J479" s="14">
        <v>10</v>
      </c>
      <c r="K479" s="14">
        <v>6</v>
      </c>
      <c r="L479" s="13">
        <v>19</v>
      </c>
      <c r="M479" t="str" cm="1">
        <f t="array" ref="M479">_xlfn.IFS(E479&lt;6, "0-6 Months", E479&lt;=12, "6-12 Months", E479&lt;=24, "12-24 Months", E479&gt;24, "24+ Months")</f>
        <v>6-12 Months</v>
      </c>
      <c r="N479" t="str" cm="1">
        <f t="array" ref="N479">_xlfn.IFS(E479&lt;6, "12-18 Months", E479&lt;=12, "18-24 Months", E479&lt;=24, "24+ Months", E479&gt;24, "24+ Months")</f>
        <v>18-24 Months</v>
      </c>
      <c r="O479" t="str" cm="1">
        <f t="array" ref="O479">_xlfn.IFS(D479&gt;=550, "Major", D479 &gt;= 100, "T1200", D479 &lt;100, "Other")</f>
        <v>Other</v>
      </c>
      <c r="P479">
        <f t="shared" si="7"/>
        <v>1</v>
      </c>
    </row>
    <row r="480" spans="1:16" x14ac:dyDescent="0.2">
      <c r="A480" s="12">
        <v>328240</v>
      </c>
      <c r="B480" s="12" t="s">
        <v>545</v>
      </c>
      <c r="C480" s="13">
        <v>88</v>
      </c>
      <c r="D480" s="13">
        <v>92</v>
      </c>
      <c r="E480" s="13">
        <v>13</v>
      </c>
      <c r="F480" s="13">
        <v>10</v>
      </c>
      <c r="G480" s="13">
        <v>0</v>
      </c>
      <c r="H480" s="13">
        <v>0</v>
      </c>
      <c r="I480" s="14">
        <v>0.108695652173913</v>
      </c>
      <c r="J480" s="14">
        <v>0</v>
      </c>
      <c r="K480" s="14">
        <v>0</v>
      </c>
      <c r="L480" s="13">
        <v>0</v>
      </c>
      <c r="M480" t="str" cm="1">
        <f t="array" ref="M480">_xlfn.IFS(E480&lt;6, "0-6 Months", E480&lt;=12, "6-12 Months", E480&lt;=24, "12-24 Months", E480&gt;24, "24+ Months")</f>
        <v>12-24 Months</v>
      </c>
      <c r="N480" t="str" cm="1">
        <f t="array" ref="N480">_xlfn.IFS(E480&lt;6, "12-18 Months", E480&lt;=12, "18-24 Months", E480&lt;=24, "24+ Months", E480&gt;24, "24+ Months")</f>
        <v>24+ Months</v>
      </c>
      <c r="O480" t="str" cm="1">
        <f t="array" ref="O480">_xlfn.IFS(D480&gt;=550, "Major", D480 &gt;= 100, "T1200", D480 &lt;100, "Other")</f>
        <v>Other</v>
      </c>
      <c r="P480">
        <f t="shared" si="7"/>
        <v>0</v>
      </c>
    </row>
    <row r="481" spans="1:16" x14ac:dyDescent="0.2">
      <c r="A481" s="12">
        <v>115132</v>
      </c>
      <c r="B481" s="12" t="s">
        <v>539</v>
      </c>
      <c r="C481" s="13">
        <v>39</v>
      </c>
      <c r="D481" s="13">
        <v>69</v>
      </c>
      <c r="E481" s="13">
        <v>47</v>
      </c>
      <c r="F481" s="13">
        <v>10</v>
      </c>
      <c r="G481" s="13">
        <v>0</v>
      </c>
      <c r="H481" s="13">
        <v>0</v>
      </c>
      <c r="I481" s="14">
        <v>0.14492753623188409</v>
      </c>
      <c r="J481" s="14">
        <v>0</v>
      </c>
      <c r="K481" s="14">
        <v>0</v>
      </c>
      <c r="L481" s="13">
        <v>0</v>
      </c>
      <c r="M481" t="str" cm="1">
        <f t="array" ref="M481">_xlfn.IFS(E481&lt;6, "0-6 Months", E481&lt;=12, "6-12 Months", E481&lt;=24, "12-24 Months", E481&gt;24, "24+ Months")</f>
        <v>24+ Months</v>
      </c>
      <c r="N481" t="str" cm="1">
        <f t="array" ref="N481">_xlfn.IFS(E481&lt;6, "12-18 Months", E481&lt;=12, "18-24 Months", E481&lt;=24, "24+ Months", E481&gt;24, "24+ Months")</f>
        <v>24+ Months</v>
      </c>
      <c r="O481" t="str" cm="1">
        <f t="array" ref="O481">_xlfn.IFS(D481&gt;=550, "Major", D481 &gt;= 100, "T1200", D481 &lt;100, "Other")</f>
        <v>Other</v>
      </c>
      <c r="P481">
        <f t="shared" si="7"/>
        <v>0</v>
      </c>
    </row>
    <row r="482" spans="1:16" x14ac:dyDescent="0.2">
      <c r="A482" s="12">
        <v>472299</v>
      </c>
      <c r="B482" s="12" t="s">
        <v>580</v>
      </c>
      <c r="C482" s="13">
        <v>20</v>
      </c>
      <c r="D482" s="13">
        <v>36</v>
      </c>
      <c r="E482" s="13">
        <v>6</v>
      </c>
      <c r="F482" s="13">
        <v>10</v>
      </c>
      <c r="G482" s="13">
        <v>10</v>
      </c>
      <c r="H482" s="13">
        <v>8</v>
      </c>
      <c r="I482" s="14">
        <v>0.27777777777777779</v>
      </c>
      <c r="J482" s="14">
        <v>0.27777777777777779</v>
      </c>
      <c r="K482" s="14">
        <v>0.22222222222222221</v>
      </c>
      <c r="L482" s="13">
        <v>34</v>
      </c>
      <c r="M482" t="str" cm="1">
        <f t="array" ref="M482">_xlfn.IFS(E482&lt;6, "0-6 Months", E482&lt;=12, "6-12 Months", E482&lt;=24, "12-24 Months", E482&gt;24, "24+ Months")</f>
        <v>6-12 Months</v>
      </c>
      <c r="N482" t="str" cm="1">
        <f t="array" ref="N482">_xlfn.IFS(E482&lt;6, "12-18 Months", E482&lt;=12, "18-24 Months", E482&lt;=24, "24+ Months", E482&gt;24, "24+ Months")</f>
        <v>18-24 Months</v>
      </c>
      <c r="O482" t="str" cm="1">
        <f t="array" ref="O482">_xlfn.IFS(D482&gt;=550, "Major", D482 &gt;= 100, "T1200", D482 &lt;100, "Other")</f>
        <v>Other</v>
      </c>
      <c r="P482">
        <f t="shared" si="7"/>
        <v>0</v>
      </c>
    </row>
    <row r="483" spans="1:16" x14ac:dyDescent="0.2">
      <c r="A483" s="12">
        <v>120210</v>
      </c>
      <c r="B483" s="12" t="s">
        <v>540</v>
      </c>
      <c r="C483" s="13">
        <v>15</v>
      </c>
      <c r="D483" s="13">
        <v>15</v>
      </c>
      <c r="E483" s="13">
        <v>6</v>
      </c>
      <c r="F483" s="13">
        <v>10</v>
      </c>
      <c r="G483" s="13">
        <v>10</v>
      </c>
      <c r="H483" s="13">
        <v>10</v>
      </c>
      <c r="I483" s="14">
        <v>0.66666666666666663</v>
      </c>
      <c r="J483" s="14">
        <v>0.66666666666666663</v>
      </c>
      <c r="K483" s="14">
        <v>0.66666666666666663</v>
      </c>
      <c r="L483" s="13">
        <v>0</v>
      </c>
      <c r="M483" t="str" cm="1">
        <f t="array" ref="M483">_xlfn.IFS(E483&lt;6, "0-6 Months", E483&lt;=12, "6-12 Months", E483&lt;=24, "12-24 Months", E483&gt;24, "24+ Months")</f>
        <v>6-12 Months</v>
      </c>
      <c r="N483" t="str" cm="1">
        <f t="array" ref="N483">_xlfn.IFS(E483&lt;6, "12-18 Months", E483&lt;=12, "18-24 Months", E483&lt;=24, "24+ Months", E483&gt;24, "24+ Months")</f>
        <v>18-24 Months</v>
      </c>
      <c r="O483" t="str" cm="1">
        <f t="array" ref="O483">_xlfn.IFS(D483&gt;=550, "Major", D483 &gt;= 100, "T1200", D483 &lt;100, "Other")</f>
        <v>Other</v>
      </c>
      <c r="P483">
        <f t="shared" si="7"/>
        <v>0</v>
      </c>
    </row>
    <row r="484" spans="1:16" x14ac:dyDescent="0.2">
      <c r="A484" s="12">
        <v>130140</v>
      </c>
      <c r="B484" s="12" t="s">
        <v>541</v>
      </c>
      <c r="C484" s="13">
        <v>7</v>
      </c>
      <c r="D484" s="13">
        <v>7</v>
      </c>
      <c r="E484" s="13">
        <v>22</v>
      </c>
      <c r="F484" s="13">
        <v>10</v>
      </c>
      <c r="G484" s="13">
        <v>10</v>
      </c>
      <c r="H484" s="13">
        <v>0</v>
      </c>
      <c r="I484" s="14">
        <v>1.428571428571429</v>
      </c>
      <c r="J484" s="14">
        <v>1.428571428571429</v>
      </c>
      <c r="K484" s="14">
        <v>0</v>
      </c>
      <c r="L484" s="13">
        <v>3</v>
      </c>
      <c r="M484" t="str" cm="1">
        <f t="array" ref="M484">_xlfn.IFS(E484&lt;6, "0-6 Months", E484&lt;=12, "6-12 Months", E484&lt;=24, "12-24 Months", E484&gt;24, "24+ Months")</f>
        <v>12-24 Months</v>
      </c>
      <c r="N484" t="str" cm="1">
        <f t="array" ref="N484">_xlfn.IFS(E484&lt;6, "12-18 Months", E484&lt;=12, "18-24 Months", E484&lt;=24, "24+ Months", E484&gt;24, "24+ Months")</f>
        <v>24+ Months</v>
      </c>
      <c r="O484" t="str" cm="1">
        <f t="array" ref="O484">_xlfn.IFS(D484&gt;=550, "Major", D484 &gt;= 100, "T1200", D484 &lt;100, "Other")</f>
        <v>Other</v>
      </c>
      <c r="P484">
        <f t="shared" si="7"/>
        <v>0</v>
      </c>
    </row>
    <row r="485" spans="1:16" x14ac:dyDescent="0.2">
      <c r="A485" s="12">
        <v>491098</v>
      </c>
      <c r="B485" s="12" t="s">
        <v>551</v>
      </c>
      <c r="C485" s="13">
        <v>0</v>
      </c>
      <c r="D485" s="13">
        <v>15</v>
      </c>
      <c r="E485" s="13">
        <v>21</v>
      </c>
      <c r="F485" s="13">
        <v>10</v>
      </c>
      <c r="G485" s="13">
        <v>4</v>
      </c>
      <c r="H485" s="13">
        <v>1</v>
      </c>
      <c r="I485" s="14">
        <v>0.66666666666666663</v>
      </c>
      <c r="J485" s="14">
        <v>0.26666666666666672</v>
      </c>
      <c r="K485" s="14">
        <v>6.6666666666666666E-2</v>
      </c>
      <c r="L485" s="13">
        <v>0</v>
      </c>
      <c r="M485" t="str" cm="1">
        <f t="array" ref="M485">_xlfn.IFS(E485&lt;6, "0-6 Months", E485&lt;=12, "6-12 Months", E485&lt;=24, "12-24 Months", E485&gt;24, "24+ Months")</f>
        <v>12-24 Months</v>
      </c>
      <c r="N485" t="str" cm="1">
        <f t="array" ref="N485">_xlfn.IFS(E485&lt;6, "12-18 Months", E485&lt;=12, "18-24 Months", E485&lt;=24, "24+ Months", E485&gt;24, "24+ Months")</f>
        <v>24+ Months</v>
      </c>
      <c r="O485" t="str" cm="1">
        <f t="array" ref="O485">_xlfn.IFS(D485&gt;=550, "Major", D485 &gt;= 100, "T1200", D485 &lt;100, "Other")</f>
        <v>Other</v>
      </c>
      <c r="P485">
        <f t="shared" si="7"/>
        <v>0</v>
      </c>
    </row>
    <row r="486" spans="1:16" x14ac:dyDescent="0.2">
      <c r="A486" s="12">
        <v>108481</v>
      </c>
      <c r="B486" s="12" t="s">
        <v>563</v>
      </c>
      <c r="C486" s="13">
        <v>2000</v>
      </c>
      <c r="D486" s="13">
        <v>4700</v>
      </c>
      <c r="E486" s="13">
        <v>36</v>
      </c>
      <c r="F486" s="13">
        <v>9</v>
      </c>
      <c r="G486" s="13">
        <v>7</v>
      </c>
      <c r="H486" s="13">
        <v>2</v>
      </c>
      <c r="I486" s="14">
        <v>1.9148936170212761E-3</v>
      </c>
      <c r="J486" s="14">
        <v>1.4893617021276601E-3</v>
      </c>
      <c r="K486" s="14">
        <v>4.2553191489361702E-4</v>
      </c>
      <c r="L486" s="13">
        <v>10</v>
      </c>
      <c r="M486" t="str" cm="1">
        <f t="array" ref="M486">_xlfn.IFS(E486&lt;6, "0-6 Months", E486&lt;=12, "6-12 Months", E486&lt;=24, "12-24 Months", E486&gt;24, "24+ Months")</f>
        <v>24+ Months</v>
      </c>
      <c r="N486" t="str" cm="1">
        <f t="array" ref="N486">_xlfn.IFS(E486&lt;6, "12-18 Months", E486&lt;=12, "18-24 Months", E486&lt;=24, "24+ Months", E486&gt;24, "24+ Months")</f>
        <v>24+ Months</v>
      </c>
      <c r="O486" t="str" cm="1">
        <f t="array" ref="O486">_xlfn.IFS(D486&gt;=550, "Major", D486 &gt;= 100, "T1200", D486 &lt;100, "Other")</f>
        <v>Major</v>
      </c>
      <c r="P486">
        <f t="shared" si="7"/>
        <v>0</v>
      </c>
    </row>
    <row r="487" spans="1:16" x14ac:dyDescent="0.2">
      <c r="A487" s="12">
        <v>106509</v>
      </c>
      <c r="B487" s="12" t="s">
        <v>559</v>
      </c>
      <c r="C487" s="13">
        <v>341</v>
      </c>
      <c r="D487" s="13">
        <v>330</v>
      </c>
      <c r="E487" s="13">
        <v>33</v>
      </c>
      <c r="F487" s="13">
        <v>9</v>
      </c>
      <c r="G487" s="13">
        <v>10</v>
      </c>
      <c r="H487" s="13">
        <v>10</v>
      </c>
      <c r="I487" s="14">
        <v>2.7272727272727271E-2</v>
      </c>
      <c r="J487" s="14">
        <v>3.03030303030303E-2</v>
      </c>
      <c r="K487" s="14">
        <v>3.03030303030303E-2</v>
      </c>
      <c r="L487" s="13">
        <v>0</v>
      </c>
      <c r="M487" t="str" cm="1">
        <f t="array" ref="M487">_xlfn.IFS(E487&lt;6, "0-6 Months", E487&lt;=12, "6-12 Months", E487&lt;=24, "12-24 Months", E487&gt;24, "24+ Months")</f>
        <v>24+ Months</v>
      </c>
      <c r="N487" t="str" cm="1">
        <f t="array" ref="N487">_xlfn.IFS(E487&lt;6, "12-18 Months", E487&lt;=12, "18-24 Months", E487&lt;=24, "24+ Months", E487&gt;24, "24+ Months")</f>
        <v>24+ Months</v>
      </c>
      <c r="O487" t="str" cm="1">
        <f t="array" ref="O487">_xlfn.IFS(D487&gt;=550, "Major", D487 &gt;= 100, "T1200", D487 &lt;100, "Other")</f>
        <v>T1200</v>
      </c>
      <c r="P487">
        <f t="shared" si="7"/>
        <v>0</v>
      </c>
    </row>
    <row r="488" spans="1:16" x14ac:dyDescent="0.2">
      <c r="A488" s="12">
        <v>163211</v>
      </c>
      <c r="B488" s="12" t="s">
        <v>567</v>
      </c>
      <c r="C488" s="13">
        <v>200</v>
      </c>
      <c r="D488" s="13">
        <v>560</v>
      </c>
      <c r="E488" s="13">
        <v>49</v>
      </c>
      <c r="F488" s="13">
        <v>9</v>
      </c>
      <c r="G488" s="13">
        <v>2</v>
      </c>
      <c r="H488" s="13">
        <v>0</v>
      </c>
      <c r="I488" s="14">
        <v>1.607142857142857E-2</v>
      </c>
      <c r="J488" s="14">
        <v>3.5714285714285709E-3</v>
      </c>
      <c r="K488" s="14">
        <v>0</v>
      </c>
      <c r="L488" s="13">
        <v>1</v>
      </c>
      <c r="M488" t="str" cm="1">
        <f t="array" ref="M488">_xlfn.IFS(E488&lt;6, "0-6 Months", E488&lt;=12, "6-12 Months", E488&lt;=24, "12-24 Months", E488&gt;24, "24+ Months")</f>
        <v>24+ Months</v>
      </c>
      <c r="N488" t="str" cm="1">
        <f t="array" ref="N488">_xlfn.IFS(E488&lt;6, "12-18 Months", E488&lt;=12, "18-24 Months", E488&lt;=24, "24+ Months", E488&gt;24, "24+ Months")</f>
        <v>24+ Months</v>
      </c>
      <c r="O488" t="str" cm="1">
        <f t="array" ref="O488">_xlfn.IFS(D488&gt;=550, "Major", D488 &gt;= 100, "T1200", D488 &lt;100, "Other")</f>
        <v>Major</v>
      </c>
      <c r="P488">
        <f t="shared" si="7"/>
        <v>0</v>
      </c>
    </row>
    <row r="489" spans="1:16" x14ac:dyDescent="0.2">
      <c r="A489" s="12">
        <v>106197</v>
      </c>
      <c r="B489" s="12" t="s">
        <v>546</v>
      </c>
      <c r="C489" s="13">
        <v>100</v>
      </c>
      <c r="D489" s="13">
        <v>100</v>
      </c>
      <c r="E489" s="13">
        <v>11</v>
      </c>
      <c r="F489" s="13">
        <v>9</v>
      </c>
      <c r="G489" s="13">
        <v>9</v>
      </c>
      <c r="H489" s="13">
        <v>9</v>
      </c>
      <c r="I489" s="14">
        <v>0.09</v>
      </c>
      <c r="J489" s="14">
        <v>0.09</v>
      </c>
      <c r="K489" s="14">
        <v>0.09</v>
      </c>
      <c r="L489" s="13">
        <v>14</v>
      </c>
      <c r="M489" t="str" cm="1">
        <f t="array" ref="M489">_xlfn.IFS(E489&lt;6, "0-6 Months", E489&lt;=12, "6-12 Months", E489&lt;=24, "12-24 Months", E489&gt;24, "24+ Months")</f>
        <v>6-12 Months</v>
      </c>
      <c r="N489" t="str" cm="1">
        <f t="array" ref="N489">_xlfn.IFS(E489&lt;6, "12-18 Months", E489&lt;=12, "18-24 Months", E489&lt;=24, "24+ Months", E489&gt;24, "24+ Months")</f>
        <v>18-24 Months</v>
      </c>
      <c r="O489" t="str" cm="1">
        <f t="array" ref="O489">_xlfn.IFS(D489&gt;=550, "Major", D489 &gt;= 100, "T1200", D489 &lt;100, "Other")</f>
        <v>T1200</v>
      </c>
      <c r="P489">
        <f t="shared" si="7"/>
        <v>0</v>
      </c>
    </row>
    <row r="490" spans="1:16" x14ac:dyDescent="0.2">
      <c r="A490" s="12">
        <v>124527</v>
      </c>
      <c r="B490" s="12" t="s">
        <v>560</v>
      </c>
      <c r="C490" s="13">
        <v>50</v>
      </c>
      <c r="D490" s="13">
        <v>37</v>
      </c>
      <c r="E490" s="13">
        <v>13</v>
      </c>
      <c r="F490" s="13">
        <v>9</v>
      </c>
      <c r="G490" s="13">
        <v>3</v>
      </c>
      <c r="H490" s="13">
        <v>0</v>
      </c>
      <c r="I490" s="14">
        <v>0.24324324324324331</v>
      </c>
      <c r="J490" s="14">
        <v>8.1081081081081086E-2</v>
      </c>
      <c r="K490" s="14">
        <v>0</v>
      </c>
      <c r="L490" s="13">
        <v>21</v>
      </c>
      <c r="M490" t="str" cm="1">
        <f t="array" ref="M490">_xlfn.IFS(E490&lt;6, "0-6 Months", E490&lt;=12, "6-12 Months", E490&lt;=24, "12-24 Months", E490&gt;24, "24+ Months")</f>
        <v>12-24 Months</v>
      </c>
      <c r="N490" t="str" cm="1">
        <f t="array" ref="N490">_xlfn.IFS(E490&lt;6, "12-18 Months", E490&lt;=12, "18-24 Months", E490&lt;=24, "24+ Months", E490&gt;24, "24+ Months")</f>
        <v>24+ Months</v>
      </c>
      <c r="O490" t="str" cm="1">
        <f t="array" ref="O490">_xlfn.IFS(D490&gt;=550, "Major", D490 &gt;= 100, "T1200", D490 &lt;100, "Other")</f>
        <v>Other</v>
      </c>
      <c r="P490">
        <f t="shared" si="7"/>
        <v>0</v>
      </c>
    </row>
    <row r="491" spans="1:16" x14ac:dyDescent="0.2">
      <c r="A491" s="12">
        <v>166224</v>
      </c>
      <c r="B491" s="12" t="s">
        <v>480</v>
      </c>
      <c r="C491" s="13">
        <v>22</v>
      </c>
      <c r="D491" s="13">
        <v>24</v>
      </c>
      <c r="E491" s="13">
        <v>33</v>
      </c>
      <c r="F491" s="13">
        <v>9</v>
      </c>
      <c r="G491" s="13">
        <v>4</v>
      </c>
      <c r="H491" s="13">
        <v>1</v>
      </c>
      <c r="I491" s="14">
        <v>0.375</v>
      </c>
      <c r="J491" s="14">
        <v>0.16666666666666671</v>
      </c>
      <c r="K491" s="14">
        <v>4.1666666666666657E-2</v>
      </c>
      <c r="L491" s="13">
        <v>7</v>
      </c>
      <c r="M491" t="str" cm="1">
        <f t="array" ref="M491">_xlfn.IFS(E491&lt;6, "0-6 Months", E491&lt;=12, "6-12 Months", E491&lt;=24, "12-24 Months", E491&gt;24, "24+ Months")</f>
        <v>24+ Months</v>
      </c>
      <c r="N491" t="str" cm="1">
        <f t="array" ref="N491">_xlfn.IFS(E491&lt;6, "12-18 Months", E491&lt;=12, "18-24 Months", E491&lt;=24, "24+ Months", E491&gt;24, "24+ Months")</f>
        <v>24+ Months</v>
      </c>
      <c r="O491" t="str" cm="1">
        <f t="array" ref="O491">_xlfn.IFS(D491&gt;=550, "Major", D491 &gt;= 100, "T1200", D491 &lt;100, "Other")</f>
        <v>Other</v>
      </c>
      <c r="P491">
        <f t="shared" si="7"/>
        <v>0</v>
      </c>
    </row>
    <row r="492" spans="1:16" x14ac:dyDescent="0.2">
      <c r="A492" s="12">
        <v>110482</v>
      </c>
      <c r="B492" s="12" t="s">
        <v>548</v>
      </c>
      <c r="C492" s="13">
        <v>22</v>
      </c>
      <c r="D492" s="13">
        <v>13</v>
      </c>
      <c r="E492" s="13">
        <v>6</v>
      </c>
      <c r="F492" s="13">
        <v>9</v>
      </c>
      <c r="G492" s="13">
        <v>9</v>
      </c>
      <c r="H492" s="13">
        <v>9</v>
      </c>
      <c r="I492" s="14">
        <v>0.69230769230769229</v>
      </c>
      <c r="J492" s="14">
        <v>0.69230769230769229</v>
      </c>
      <c r="K492" s="14">
        <v>0.69230769230769229</v>
      </c>
      <c r="L492" s="13">
        <v>1</v>
      </c>
      <c r="M492" t="str" cm="1">
        <f t="array" ref="M492">_xlfn.IFS(E492&lt;6, "0-6 Months", E492&lt;=12, "6-12 Months", E492&lt;=24, "12-24 Months", E492&gt;24, "24+ Months")</f>
        <v>6-12 Months</v>
      </c>
      <c r="N492" t="str" cm="1">
        <f t="array" ref="N492">_xlfn.IFS(E492&lt;6, "12-18 Months", E492&lt;=12, "18-24 Months", E492&lt;=24, "24+ Months", E492&gt;24, "24+ Months")</f>
        <v>18-24 Months</v>
      </c>
      <c r="O492" t="str" cm="1">
        <f t="array" ref="O492">_xlfn.IFS(D492&gt;=550, "Major", D492 &gt;= 100, "T1200", D492 &lt;100, "Other")</f>
        <v>Other</v>
      </c>
      <c r="P492">
        <f t="shared" si="7"/>
        <v>0</v>
      </c>
    </row>
    <row r="493" spans="1:16" x14ac:dyDescent="0.2">
      <c r="A493" s="12">
        <v>442328</v>
      </c>
      <c r="B493" s="12" t="s">
        <v>570</v>
      </c>
      <c r="C493" s="13">
        <v>18</v>
      </c>
      <c r="D493" s="13">
        <v>25</v>
      </c>
      <c r="E493" s="13">
        <v>13</v>
      </c>
      <c r="F493" s="13">
        <v>9</v>
      </c>
      <c r="G493" s="13">
        <v>3</v>
      </c>
      <c r="H493" s="13">
        <v>1</v>
      </c>
      <c r="I493" s="14">
        <v>0.36</v>
      </c>
      <c r="J493" s="14">
        <v>0.12</v>
      </c>
      <c r="K493" s="14">
        <v>0.04</v>
      </c>
      <c r="L493" s="13">
        <v>8</v>
      </c>
      <c r="M493" t="str" cm="1">
        <f t="array" ref="M493">_xlfn.IFS(E493&lt;6, "0-6 Months", E493&lt;=12, "6-12 Months", E493&lt;=24, "12-24 Months", E493&gt;24, "24+ Months")</f>
        <v>12-24 Months</v>
      </c>
      <c r="N493" t="str" cm="1">
        <f t="array" ref="N493">_xlfn.IFS(E493&lt;6, "12-18 Months", E493&lt;=12, "18-24 Months", E493&lt;=24, "24+ Months", E493&gt;24, "24+ Months")</f>
        <v>24+ Months</v>
      </c>
      <c r="O493" t="str" cm="1">
        <f t="array" ref="O493">_xlfn.IFS(D493&gt;=550, "Major", D493 &gt;= 100, "T1200", D493 &lt;100, "Other")</f>
        <v>Other</v>
      </c>
      <c r="P493">
        <f t="shared" si="7"/>
        <v>0</v>
      </c>
    </row>
    <row r="494" spans="1:16" x14ac:dyDescent="0.2">
      <c r="A494" s="12">
        <v>110385</v>
      </c>
      <c r="B494" s="12" t="s">
        <v>488</v>
      </c>
      <c r="C494" s="13">
        <v>9</v>
      </c>
      <c r="D494" s="13">
        <v>23</v>
      </c>
      <c r="E494" s="13">
        <v>9</v>
      </c>
      <c r="F494" s="13">
        <v>9</v>
      </c>
      <c r="G494" s="13">
        <v>0</v>
      </c>
      <c r="H494" s="13">
        <v>0</v>
      </c>
      <c r="I494" s="14">
        <v>0.39130434782608697</v>
      </c>
      <c r="J494" s="14">
        <v>0</v>
      </c>
      <c r="K494" s="14">
        <v>0</v>
      </c>
      <c r="L494" s="13">
        <v>0</v>
      </c>
      <c r="M494" t="str" cm="1">
        <f t="array" ref="M494">_xlfn.IFS(E494&lt;6, "0-6 Months", E494&lt;=12, "6-12 Months", E494&lt;=24, "12-24 Months", E494&gt;24, "24+ Months")</f>
        <v>6-12 Months</v>
      </c>
      <c r="N494" t="str" cm="1">
        <f t="array" ref="N494">_xlfn.IFS(E494&lt;6, "12-18 Months", E494&lt;=12, "18-24 Months", E494&lt;=24, "24+ Months", E494&gt;24, "24+ Months")</f>
        <v>18-24 Months</v>
      </c>
      <c r="O494" t="str" cm="1">
        <f t="array" ref="O494">_xlfn.IFS(D494&gt;=550, "Major", D494 &gt;= 100, "T1200", D494 &lt;100, "Other")</f>
        <v>Other</v>
      </c>
      <c r="P494">
        <f t="shared" si="7"/>
        <v>0</v>
      </c>
    </row>
    <row r="495" spans="1:16" x14ac:dyDescent="0.2">
      <c r="A495" s="12">
        <v>109762</v>
      </c>
      <c r="B495" s="12" t="s">
        <v>547</v>
      </c>
      <c r="C495" s="13">
        <v>0</v>
      </c>
      <c r="D495" s="13">
        <v>10</v>
      </c>
      <c r="E495" s="13">
        <v>21</v>
      </c>
      <c r="F495" s="13">
        <v>9</v>
      </c>
      <c r="G495" s="13">
        <v>0</v>
      </c>
      <c r="H495" s="13">
        <v>0</v>
      </c>
      <c r="I495" s="14">
        <v>0.9</v>
      </c>
      <c r="J495" s="14">
        <v>0</v>
      </c>
      <c r="K495" s="14">
        <v>0</v>
      </c>
      <c r="L495" s="13">
        <v>0</v>
      </c>
      <c r="M495" t="str" cm="1">
        <f t="array" ref="M495">_xlfn.IFS(E495&lt;6, "0-6 Months", E495&lt;=12, "6-12 Months", E495&lt;=24, "12-24 Months", E495&gt;24, "24+ Months")</f>
        <v>12-24 Months</v>
      </c>
      <c r="N495" t="str" cm="1">
        <f t="array" ref="N495">_xlfn.IFS(E495&lt;6, "12-18 Months", E495&lt;=12, "18-24 Months", E495&lt;=24, "24+ Months", E495&gt;24, "24+ Months")</f>
        <v>24+ Months</v>
      </c>
      <c r="O495" t="str" cm="1">
        <f t="array" ref="O495">_xlfn.IFS(D495&gt;=550, "Major", D495 &gt;= 100, "T1200", D495 &lt;100, "Other")</f>
        <v>Other</v>
      </c>
      <c r="P495">
        <f t="shared" si="7"/>
        <v>0</v>
      </c>
    </row>
    <row r="496" spans="1:16" x14ac:dyDescent="0.2">
      <c r="A496" s="12">
        <v>145570</v>
      </c>
      <c r="B496" s="12" t="s">
        <v>561</v>
      </c>
      <c r="C496" s="13">
        <v>189</v>
      </c>
      <c r="D496" s="13">
        <v>153</v>
      </c>
      <c r="E496" s="13">
        <v>26</v>
      </c>
      <c r="F496" s="13">
        <v>8</v>
      </c>
      <c r="G496" s="13">
        <v>8</v>
      </c>
      <c r="H496" s="13">
        <v>8</v>
      </c>
      <c r="I496" s="14">
        <v>5.2287581699346407E-2</v>
      </c>
      <c r="J496" s="14">
        <v>5.2287581699346407E-2</v>
      </c>
      <c r="K496" s="14">
        <v>5.2287581699346407E-2</v>
      </c>
      <c r="L496" s="13">
        <v>15</v>
      </c>
      <c r="M496" t="str" cm="1">
        <f t="array" ref="M496">_xlfn.IFS(E496&lt;6, "0-6 Months", E496&lt;=12, "6-12 Months", E496&lt;=24, "12-24 Months", E496&gt;24, "24+ Months")</f>
        <v>24+ Months</v>
      </c>
      <c r="N496" t="str" cm="1">
        <f t="array" ref="N496">_xlfn.IFS(E496&lt;6, "12-18 Months", E496&lt;=12, "18-24 Months", E496&lt;=24, "24+ Months", E496&gt;24, "24+ Months")</f>
        <v>24+ Months</v>
      </c>
      <c r="O496" t="str" cm="1">
        <f t="array" ref="O496">_xlfn.IFS(D496&gt;=550, "Major", D496 &gt;= 100, "T1200", D496 &lt;100, "Other")</f>
        <v>T1200</v>
      </c>
      <c r="P496">
        <f t="shared" si="7"/>
        <v>0</v>
      </c>
    </row>
    <row r="497" spans="1:16" x14ac:dyDescent="0.2">
      <c r="A497" s="12">
        <v>112780</v>
      </c>
      <c r="B497" s="12" t="s">
        <v>558</v>
      </c>
      <c r="C497" s="13">
        <v>37</v>
      </c>
      <c r="D497" s="13">
        <v>24</v>
      </c>
      <c r="E497" s="13">
        <v>6</v>
      </c>
      <c r="F497" s="13">
        <v>8</v>
      </c>
      <c r="G497" s="13">
        <v>8</v>
      </c>
      <c r="H497" s="13">
        <v>8</v>
      </c>
      <c r="I497" s="14">
        <v>0.33333333333333331</v>
      </c>
      <c r="J497" s="14">
        <v>0.33333333333333331</v>
      </c>
      <c r="K497" s="14">
        <v>0.33333333333333331</v>
      </c>
      <c r="L497" s="13">
        <v>27</v>
      </c>
      <c r="M497" t="str" cm="1">
        <f t="array" ref="M497">_xlfn.IFS(E497&lt;6, "0-6 Months", E497&lt;=12, "6-12 Months", E497&lt;=24, "12-24 Months", E497&gt;24, "24+ Months")</f>
        <v>6-12 Months</v>
      </c>
      <c r="N497" t="str" cm="1">
        <f t="array" ref="N497">_xlfn.IFS(E497&lt;6, "12-18 Months", E497&lt;=12, "18-24 Months", E497&lt;=24, "24+ Months", E497&gt;24, "24+ Months")</f>
        <v>18-24 Months</v>
      </c>
      <c r="O497" t="str" cm="1">
        <f t="array" ref="O497">_xlfn.IFS(D497&gt;=550, "Major", D497 &gt;= 100, "T1200", D497 &lt;100, "Other")</f>
        <v>Other</v>
      </c>
      <c r="P497">
        <f t="shared" si="7"/>
        <v>0</v>
      </c>
    </row>
    <row r="498" spans="1:16" x14ac:dyDescent="0.2">
      <c r="A498" s="12">
        <v>217880</v>
      </c>
      <c r="B498" s="12" t="s">
        <v>557</v>
      </c>
      <c r="C498" s="13">
        <v>21</v>
      </c>
      <c r="D498" s="13">
        <v>25</v>
      </c>
      <c r="E498" s="13">
        <v>16</v>
      </c>
      <c r="F498" s="13">
        <v>8</v>
      </c>
      <c r="G498" s="13">
        <v>8</v>
      </c>
      <c r="H498" s="13">
        <v>0</v>
      </c>
      <c r="I498" s="14">
        <v>0.32</v>
      </c>
      <c r="J498" s="14">
        <v>0.32</v>
      </c>
      <c r="K498" s="14">
        <v>0</v>
      </c>
      <c r="L498" s="13">
        <v>0</v>
      </c>
      <c r="M498" t="str" cm="1">
        <f t="array" ref="M498">_xlfn.IFS(E498&lt;6, "0-6 Months", E498&lt;=12, "6-12 Months", E498&lt;=24, "12-24 Months", E498&gt;24, "24+ Months")</f>
        <v>12-24 Months</v>
      </c>
      <c r="N498" t="str" cm="1">
        <f t="array" ref="N498">_xlfn.IFS(E498&lt;6, "12-18 Months", E498&lt;=12, "18-24 Months", E498&lt;=24, "24+ Months", E498&gt;24, "24+ Months")</f>
        <v>24+ Months</v>
      </c>
      <c r="O498" t="str" cm="1">
        <f t="array" ref="O498">_xlfn.IFS(D498&gt;=550, "Major", D498 &gt;= 100, "T1200", D498 &lt;100, "Other")</f>
        <v>Other</v>
      </c>
      <c r="P498">
        <f t="shared" si="7"/>
        <v>0</v>
      </c>
    </row>
    <row r="499" spans="1:16" x14ac:dyDescent="0.2">
      <c r="A499" s="12">
        <v>302987</v>
      </c>
      <c r="B499" s="12" t="s">
        <v>556</v>
      </c>
      <c r="C499" s="13">
        <v>16</v>
      </c>
      <c r="D499" s="13">
        <v>28</v>
      </c>
      <c r="E499" s="13">
        <v>50</v>
      </c>
      <c r="F499" s="13">
        <v>8</v>
      </c>
      <c r="G499" s="13">
        <v>1</v>
      </c>
      <c r="H499" s="13">
        <v>0</v>
      </c>
      <c r="I499" s="14">
        <v>0.2857142857142857</v>
      </c>
      <c r="J499" s="14">
        <v>3.5714285714285712E-2</v>
      </c>
      <c r="K499" s="14">
        <v>0</v>
      </c>
      <c r="L499" s="13">
        <v>0</v>
      </c>
      <c r="M499" t="str" cm="1">
        <f t="array" ref="M499">_xlfn.IFS(E499&lt;6, "0-6 Months", E499&lt;=12, "6-12 Months", E499&lt;=24, "12-24 Months", E499&gt;24, "24+ Months")</f>
        <v>24+ Months</v>
      </c>
      <c r="N499" t="str" cm="1">
        <f t="array" ref="N499">_xlfn.IFS(E499&lt;6, "12-18 Months", E499&lt;=12, "18-24 Months", E499&lt;=24, "24+ Months", E499&gt;24, "24+ Months")</f>
        <v>24+ Months</v>
      </c>
      <c r="O499" t="str" cm="1">
        <f t="array" ref="O499">_xlfn.IFS(D499&gt;=550, "Major", D499 &gt;= 100, "T1200", D499 &lt;100, "Other")</f>
        <v>Other</v>
      </c>
      <c r="P499">
        <f t="shared" si="7"/>
        <v>0</v>
      </c>
    </row>
    <row r="500" spans="1:16" x14ac:dyDescent="0.2">
      <c r="A500" s="12">
        <v>113444</v>
      </c>
      <c r="B500" s="12" t="s">
        <v>555</v>
      </c>
      <c r="C500" s="13">
        <v>2</v>
      </c>
      <c r="D500" s="13">
        <v>34</v>
      </c>
      <c r="E500" s="13">
        <v>10</v>
      </c>
      <c r="F500" s="13">
        <v>8</v>
      </c>
      <c r="G500" s="13">
        <v>0</v>
      </c>
      <c r="H500" s="13">
        <v>0</v>
      </c>
      <c r="I500" s="14">
        <v>0.23529411764705879</v>
      </c>
      <c r="J500" s="14">
        <v>0</v>
      </c>
      <c r="K500" s="14">
        <v>0</v>
      </c>
      <c r="L500" s="13">
        <v>0</v>
      </c>
      <c r="M500" t="str" cm="1">
        <f t="array" ref="M500">_xlfn.IFS(E500&lt;6, "0-6 Months", E500&lt;=12, "6-12 Months", E500&lt;=24, "12-24 Months", E500&gt;24, "24+ Months")</f>
        <v>6-12 Months</v>
      </c>
      <c r="N500" t="str" cm="1">
        <f t="array" ref="N500">_xlfn.IFS(E500&lt;6, "12-18 Months", E500&lt;=12, "18-24 Months", E500&lt;=24, "24+ Months", E500&gt;24, "24+ Months")</f>
        <v>18-24 Months</v>
      </c>
      <c r="O500" t="str" cm="1">
        <f t="array" ref="O500">_xlfn.IFS(D500&gt;=550, "Major", D500 &gt;= 100, "T1200", D500 &lt;100, "Other")</f>
        <v>Other</v>
      </c>
      <c r="P500">
        <f t="shared" si="7"/>
        <v>0</v>
      </c>
    </row>
    <row r="501" spans="1:16" x14ac:dyDescent="0.2">
      <c r="A501" s="12">
        <v>110673</v>
      </c>
      <c r="B501" s="12" t="s">
        <v>565</v>
      </c>
      <c r="C501" s="13">
        <v>190</v>
      </c>
      <c r="D501" s="13">
        <v>150</v>
      </c>
      <c r="E501" s="13">
        <v>28</v>
      </c>
      <c r="F501" s="13">
        <v>7</v>
      </c>
      <c r="G501" s="13">
        <v>9</v>
      </c>
      <c r="H501" s="13">
        <v>9</v>
      </c>
      <c r="I501" s="14">
        <v>4.6666666666666669E-2</v>
      </c>
      <c r="J501" s="14">
        <v>0.06</v>
      </c>
      <c r="K501" s="14">
        <v>0.06</v>
      </c>
      <c r="L501" s="13">
        <v>5</v>
      </c>
      <c r="M501" t="str" cm="1">
        <f t="array" ref="M501">_xlfn.IFS(E501&lt;6, "0-6 Months", E501&lt;=12, "6-12 Months", E501&lt;=24, "12-24 Months", E501&gt;24, "24+ Months")</f>
        <v>24+ Months</v>
      </c>
      <c r="N501" t="str" cm="1">
        <f t="array" ref="N501">_xlfn.IFS(E501&lt;6, "12-18 Months", E501&lt;=12, "18-24 Months", E501&lt;=24, "24+ Months", E501&gt;24, "24+ Months")</f>
        <v>24+ Months</v>
      </c>
      <c r="O501" t="str" cm="1">
        <f t="array" ref="O501">_xlfn.IFS(D501&gt;=550, "Major", D501 &gt;= 100, "T1200", D501 &lt;100, "Other")</f>
        <v>T1200</v>
      </c>
      <c r="P501">
        <f t="shared" si="7"/>
        <v>0</v>
      </c>
    </row>
    <row r="502" spans="1:16" x14ac:dyDescent="0.2">
      <c r="A502" s="12">
        <v>110715</v>
      </c>
      <c r="B502" s="12" t="s">
        <v>566</v>
      </c>
      <c r="C502" s="13">
        <v>117</v>
      </c>
      <c r="D502" s="13">
        <v>107</v>
      </c>
      <c r="E502" s="13">
        <v>16</v>
      </c>
      <c r="F502" s="13">
        <v>7</v>
      </c>
      <c r="G502" s="13">
        <v>7</v>
      </c>
      <c r="H502" s="13">
        <v>0</v>
      </c>
      <c r="I502" s="14">
        <v>6.5420560747663545E-2</v>
      </c>
      <c r="J502" s="14">
        <v>6.5420560747663545E-2</v>
      </c>
      <c r="K502" s="14">
        <v>0</v>
      </c>
      <c r="L502" s="13">
        <v>0</v>
      </c>
      <c r="M502" t="str" cm="1">
        <f t="array" ref="M502">_xlfn.IFS(E502&lt;6, "0-6 Months", E502&lt;=12, "6-12 Months", E502&lt;=24, "12-24 Months", E502&gt;24, "24+ Months")</f>
        <v>12-24 Months</v>
      </c>
      <c r="N502" t="str" cm="1">
        <f t="array" ref="N502">_xlfn.IFS(E502&lt;6, "12-18 Months", E502&lt;=12, "18-24 Months", E502&lt;=24, "24+ Months", E502&gt;24, "24+ Months")</f>
        <v>24+ Months</v>
      </c>
      <c r="O502" t="str" cm="1">
        <f t="array" ref="O502">_xlfn.IFS(D502&gt;=550, "Major", D502 &gt;= 100, "T1200", D502 &lt;100, "Other")</f>
        <v>T1200</v>
      </c>
      <c r="P502">
        <f t="shared" si="7"/>
        <v>0</v>
      </c>
    </row>
    <row r="503" spans="1:16" x14ac:dyDescent="0.2">
      <c r="A503" s="12">
        <v>327053</v>
      </c>
      <c r="B503" s="12" t="s">
        <v>562</v>
      </c>
      <c r="C503" s="13">
        <v>10</v>
      </c>
      <c r="D503" s="13">
        <v>10</v>
      </c>
      <c r="E503" s="13">
        <v>18</v>
      </c>
      <c r="F503" s="13">
        <v>7</v>
      </c>
      <c r="G503" s="13">
        <v>3</v>
      </c>
      <c r="H503" s="13">
        <v>0</v>
      </c>
      <c r="I503" s="14">
        <v>0.7</v>
      </c>
      <c r="J503" s="14">
        <v>0.3</v>
      </c>
      <c r="K503" s="14">
        <v>0</v>
      </c>
      <c r="L503" s="13">
        <v>0</v>
      </c>
      <c r="M503" t="str" cm="1">
        <f t="array" ref="M503">_xlfn.IFS(E503&lt;6, "0-6 Months", E503&lt;=12, "6-12 Months", E503&lt;=24, "12-24 Months", E503&gt;24, "24+ Months")</f>
        <v>12-24 Months</v>
      </c>
      <c r="N503" t="str" cm="1">
        <f t="array" ref="N503">_xlfn.IFS(E503&lt;6, "12-18 Months", E503&lt;=12, "18-24 Months", E503&lt;=24, "24+ Months", E503&gt;24, "24+ Months")</f>
        <v>24+ Months</v>
      </c>
      <c r="O503" t="str" cm="1">
        <f t="array" ref="O503">_xlfn.IFS(D503&gt;=550, "Major", D503 &gt;= 100, "T1200", D503 &lt;100, "Other")</f>
        <v>Other</v>
      </c>
      <c r="P503">
        <f t="shared" si="7"/>
        <v>0</v>
      </c>
    </row>
    <row r="504" spans="1:16" x14ac:dyDescent="0.2">
      <c r="A504" s="12">
        <v>325652</v>
      </c>
      <c r="B504" s="12" t="s">
        <v>646</v>
      </c>
      <c r="C504" s="13">
        <v>7</v>
      </c>
      <c r="D504" s="13">
        <v>320</v>
      </c>
      <c r="E504" s="13">
        <v>45</v>
      </c>
      <c r="F504" s="13">
        <v>7</v>
      </c>
      <c r="G504" s="13">
        <v>7</v>
      </c>
      <c r="H504" s="13">
        <v>7</v>
      </c>
      <c r="I504" s="14">
        <v>2.1874999999999999E-2</v>
      </c>
      <c r="J504" s="14">
        <v>2.1874999999999999E-2</v>
      </c>
      <c r="K504" s="14">
        <v>2.1874999999999999E-2</v>
      </c>
      <c r="L504" s="13">
        <v>9</v>
      </c>
      <c r="M504" t="str" cm="1">
        <f t="array" ref="M504">_xlfn.IFS(E504&lt;6, "0-6 Months", E504&lt;=12, "6-12 Months", E504&lt;=24, "12-24 Months", E504&gt;24, "24+ Months")</f>
        <v>24+ Months</v>
      </c>
      <c r="N504" t="str" cm="1">
        <f t="array" ref="N504">_xlfn.IFS(E504&lt;6, "12-18 Months", E504&lt;=12, "18-24 Months", E504&lt;=24, "24+ Months", E504&gt;24, "24+ Months")</f>
        <v>24+ Months</v>
      </c>
      <c r="O504" t="str" cm="1">
        <f t="array" ref="O504">_xlfn.IFS(D504&gt;=550, "Major", D504 &gt;= 100, "T1200", D504 &lt;100, "Other")</f>
        <v>T1200</v>
      </c>
      <c r="P504">
        <f t="shared" si="7"/>
        <v>0</v>
      </c>
    </row>
    <row r="505" spans="1:16" x14ac:dyDescent="0.2">
      <c r="A505" s="12">
        <v>304056</v>
      </c>
      <c r="B505" s="12" t="s">
        <v>569</v>
      </c>
      <c r="C505" s="13">
        <v>1</v>
      </c>
      <c r="D505" s="13">
        <v>5</v>
      </c>
      <c r="E505" s="13">
        <v>9</v>
      </c>
      <c r="F505" s="13">
        <v>7</v>
      </c>
      <c r="G505" s="13">
        <v>7</v>
      </c>
      <c r="H505" s="13">
        <v>7</v>
      </c>
      <c r="I505" s="14">
        <v>1.4</v>
      </c>
      <c r="J505" s="14">
        <v>1.4</v>
      </c>
      <c r="K505" s="14">
        <v>1.4</v>
      </c>
      <c r="L505" s="13">
        <v>0</v>
      </c>
      <c r="M505" t="str" cm="1">
        <f t="array" ref="M505">_xlfn.IFS(E505&lt;6, "0-6 Months", E505&lt;=12, "6-12 Months", E505&lt;=24, "12-24 Months", E505&gt;24, "24+ Months")</f>
        <v>6-12 Months</v>
      </c>
      <c r="N505" t="str" cm="1">
        <f t="array" ref="N505">_xlfn.IFS(E505&lt;6, "12-18 Months", E505&lt;=12, "18-24 Months", E505&lt;=24, "24+ Months", E505&gt;24, "24+ Months")</f>
        <v>18-24 Months</v>
      </c>
      <c r="O505" t="str" cm="1">
        <f t="array" ref="O505">_xlfn.IFS(D505&gt;=550, "Major", D505 &gt;= 100, "T1200", D505 &lt;100, "Other")</f>
        <v>Other</v>
      </c>
      <c r="P505">
        <f t="shared" si="7"/>
        <v>0</v>
      </c>
    </row>
    <row r="506" spans="1:16" x14ac:dyDescent="0.2">
      <c r="A506" s="12">
        <v>513921</v>
      </c>
      <c r="B506" s="12" t="s">
        <v>571</v>
      </c>
      <c r="C506" s="13">
        <v>649</v>
      </c>
      <c r="D506" s="13">
        <v>470</v>
      </c>
      <c r="E506" s="13">
        <v>8</v>
      </c>
      <c r="F506" s="13">
        <v>6</v>
      </c>
      <c r="G506" s="13">
        <v>6</v>
      </c>
      <c r="H506" s="13">
        <v>0</v>
      </c>
      <c r="I506" s="14">
        <v>1.276595744680851E-2</v>
      </c>
      <c r="J506" s="14">
        <v>1.276595744680851E-2</v>
      </c>
      <c r="K506" s="14">
        <v>0</v>
      </c>
      <c r="L506" s="13">
        <v>6</v>
      </c>
      <c r="M506" t="str" cm="1">
        <f t="array" ref="M506">_xlfn.IFS(E506&lt;6, "0-6 Months", E506&lt;=12, "6-12 Months", E506&lt;=24, "12-24 Months", E506&gt;24, "24+ Months")</f>
        <v>6-12 Months</v>
      </c>
      <c r="N506" t="str" cm="1">
        <f t="array" ref="N506">_xlfn.IFS(E506&lt;6, "12-18 Months", E506&lt;=12, "18-24 Months", E506&lt;=24, "24+ Months", E506&gt;24, "24+ Months")</f>
        <v>18-24 Months</v>
      </c>
      <c r="O506" t="str" cm="1">
        <f t="array" ref="O506">_xlfn.IFS(D506&gt;=550, "Major", D506 &gt;= 100, "T1200", D506 &lt;100, "Other")</f>
        <v>T1200</v>
      </c>
      <c r="P506">
        <f t="shared" si="7"/>
        <v>0</v>
      </c>
    </row>
    <row r="507" spans="1:16" x14ac:dyDescent="0.2">
      <c r="A507" s="12">
        <v>105331</v>
      </c>
      <c r="B507" s="12" t="s">
        <v>542</v>
      </c>
      <c r="C507" s="13">
        <v>480</v>
      </c>
      <c r="D507" s="13">
        <v>487</v>
      </c>
      <c r="E507" s="13">
        <v>40</v>
      </c>
      <c r="F507" s="13">
        <v>6</v>
      </c>
      <c r="G507" s="13">
        <v>0</v>
      </c>
      <c r="H507" s="13">
        <v>0</v>
      </c>
      <c r="I507" s="14">
        <v>1.232032854209446E-2</v>
      </c>
      <c r="J507" s="14">
        <v>0</v>
      </c>
      <c r="K507" s="14">
        <v>0</v>
      </c>
      <c r="L507" s="13">
        <v>0</v>
      </c>
      <c r="M507" t="str" cm="1">
        <f t="array" ref="M507">_xlfn.IFS(E507&lt;6, "0-6 Months", E507&lt;=12, "6-12 Months", E507&lt;=24, "12-24 Months", E507&gt;24, "24+ Months")</f>
        <v>24+ Months</v>
      </c>
      <c r="N507" t="str" cm="1">
        <f t="array" ref="N507">_xlfn.IFS(E507&lt;6, "12-18 Months", E507&lt;=12, "18-24 Months", E507&lt;=24, "24+ Months", E507&gt;24, "24+ Months")</f>
        <v>24+ Months</v>
      </c>
      <c r="O507" t="str" cm="1">
        <f t="array" ref="O507">_xlfn.IFS(D507&gt;=550, "Major", D507 &gt;= 100, "T1200", D507 &lt;100, "Other")</f>
        <v>T1200</v>
      </c>
      <c r="P507">
        <f t="shared" si="7"/>
        <v>0</v>
      </c>
    </row>
    <row r="508" spans="1:16" x14ac:dyDescent="0.2">
      <c r="A508" s="12">
        <v>108362</v>
      </c>
      <c r="B508" s="12" t="s">
        <v>574</v>
      </c>
      <c r="C508" s="13">
        <v>215</v>
      </c>
      <c r="D508" s="13">
        <v>290</v>
      </c>
      <c r="E508" s="13">
        <v>10</v>
      </c>
      <c r="F508" s="13">
        <v>6</v>
      </c>
      <c r="G508" s="13">
        <v>6</v>
      </c>
      <c r="H508" s="13">
        <v>5</v>
      </c>
      <c r="I508" s="14">
        <v>2.0689655172413789E-2</v>
      </c>
      <c r="J508" s="14">
        <v>2.0689655172413789E-2</v>
      </c>
      <c r="K508" s="14">
        <v>1.7241379310344831E-2</v>
      </c>
      <c r="L508" s="13">
        <v>5</v>
      </c>
      <c r="M508" t="str" cm="1">
        <f t="array" ref="M508">_xlfn.IFS(E508&lt;6, "0-6 Months", E508&lt;=12, "6-12 Months", E508&lt;=24, "12-24 Months", E508&gt;24, "24+ Months")</f>
        <v>6-12 Months</v>
      </c>
      <c r="N508" t="str" cm="1">
        <f t="array" ref="N508">_xlfn.IFS(E508&lt;6, "12-18 Months", E508&lt;=12, "18-24 Months", E508&lt;=24, "24+ Months", E508&gt;24, "24+ Months")</f>
        <v>18-24 Months</v>
      </c>
      <c r="O508" t="str" cm="1">
        <f t="array" ref="O508">_xlfn.IFS(D508&gt;=550, "Major", D508 &gt;= 100, "T1200", D508 &lt;100, "Other")</f>
        <v>T1200</v>
      </c>
      <c r="P508">
        <f t="shared" si="7"/>
        <v>0</v>
      </c>
    </row>
    <row r="509" spans="1:16" x14ac:dyDescent="0.2">
      <c r="A509" s="12">
        <v>113502</v>
      </c>
      <c r="B509" s="12" t="s">
        <v>525</v>
      </c>
      <c r="C509" s="13">
        <v>145</v>
      </c>
      <c r="D509" s="13">
        <v>128</v>
      </c>
      <c r="E509" s="13">
        <v>10</v>
      </c>
      <c r="F509" s="13">
        <v>6</v>
      </c>
      <c r="G509" s="13">
        <v>0</v>
      </c>
      <c r="H509" s="13">
        <v>0</v>
      </c>
      <c r="I509" s="14">
        <v>4.6875E-2</v>
      </c>
      <c r="J509" s="14">
        <v>0</v>
      </c>
      <c r="K509" s="14">
        <v>0</v>
      </c>
      <c r="L509" s="13">
        <v>0</v>
      </c>
      <c r="M509" t="str" cm="1">
        <f t="array" ref="M509">_xlfn.IFS(E509&lt;6, "0-6 Months", E509&lt;=12, "6-12 Months", E509&lt;=24, "12-24 Months", E509&gt;24, "24+ Months")</f>
        <v>6-12 Months</v>
      </c>
      <c r="N509" t="str" cm="1">
        <f t="array" ref="N509">_xlfn.IFS(E509&lt;6, "12-18 Months", E509&lt;=12, "18-24 Months", E509&lt;=24, "24+ Months", E509&gt;24, "24+ Months")</f>
        <v>18-24 Months</v>
      </c>
      <c r="O509" t="str" cm="1">
        <f t="array" ref="O509">_xlfn.IFS(D509&gt;=550, "Major", D509 &gt;= 100, "T1200", D509 &lt;100, "Other")</f>
        <v>T1200</v>
      </c>
      <c r="P509">
        <f t="shared" si="7"/>
        <v>0</v>
      </c>
    </row>
    <row r="510" spans="1:16" x14ac:dyDescent="0.2">
      <c r="A510" s="12">
        <v>148367</v>
      </c>
      <c r="B510" s="12" t="s">
        <v>572</v>
      </c>
      <c r="C510" s="13">
        <v>46</v>
      </c>
      <c r="D510" s="13">
        <v>47</v>
      </c>
      <c r="E510" s="13">
        <v>13</v>
      </c>
      <c r="F510" s="13">
        <v>6</v>
      </c>
      <c r="G510" s="13">
        <v>0</v>
      </c>
      <c r="H510" s="13">
        <v>0</v>
      </c>
      <c r="I510" s="14">
        <v>0.1276595744680851</v>
      </c>
      <c r="J510" s="14">
        <v>0</v>
      </c>
      <c r="K510" s="14">
        <v>0</v>
      </c>
      <c r="L510" s="13">
        <v>0</v>
      </c>
      <c r="M510" t="str" cm="1">
        <f t="array" ref="M510">_xlfn.IFS(E510&lt;6, "0-6 Months", E510&lt;=12, "6-12 Months", E510&lt;=24, "12-24 Months", E510&gt;24, "24+ Months")</f>
        <v>12-24 Months</v>
      </c>
      <c r="N510" t="str" cm="1">
        <f t="array" ref="N510">_xlfn.IFS(E510&lt;6, "12-18 Months", E510&lt;=12, "18-24 Months", E510&lt;=24, "24+ Months", E510&gt;24, "24+ Months")</f>
        <v>24+ Months</v>
      </c>
      <c r="O510" t="str" cm="1">
        <f t="array" ref="O510">_xlfn.IFS(D510&gt;=550, "Major", D510 &gt;= 100, "T1200", D510 &lt;100, "Other")</f>
        <v>Other</v>
      </c>
      <c r="P510">
        <f t="shared" si="7"/>
        <v>0</v>
      </c>
    </row>
    <row r="511" spans="1:16" x14ac:dyDescent="0.2">
      <c r="A511" s="12">
        <v>467660</v>
      </c>
      <c r="B511" s="12" t="s">
        <v>575</v>
      </c>
      <c r="C511" s="13">
        <v>26</v>
      </c>
      <c r="D511" s="13">
        <v>19</v>
      </c>
      <c r="E511" s="13">
        <v>6</v>
      </c>
      <c r="F511" s="13">
        <v>6</v>
      </c>
      <c r="G511" s="13">
        <v>6</v>
      </c>
      <c r="H511" s="13">
        <v>6</v>
      </c>
      <c r="I511" s="14">
        <v>0.31578947368421051</v>
      </c>
      <c r="J511" s="14">
        <v>0.31578947368421051</v>
      </c>
      <c r="K511" s="14">
        <v>0.31578947368421051</v>
      </c>
      <c r="L511" s="13">
        <v>4</v>
      </c>
      <c r="M511" t="str" cm="1">
        <f t="array" ref="M511">_xlfn.IFS(E511&lt;6, "0-6 Months", E511&lt;=12, "6-12 Months", E511&lt;=24, "12-24 Months", E511&gt;24, "24+ Months")</f>
        <v>6-12 Months</v>
      </c>
      <c r="N511" t="str" cm="1">
        <f t="array" ref="N511">_xlfn.IFS(E511&lt;6, "12-18 Months", E511&lt;=12, "18-24 Months", E511&lt;=24, "24+ Months", E511&gt;24, "24+ Months")</f>
        <v>18-24 Months</v>
      </c>
      <c r="O511" t="str" cm="1">
        <f t="array" ref="O511">_xlfn.IFS(D511&gt;=550, "Major", D511 &gt;= 100, "T1200", D511 &lt;100, "Other")</f>
        <v>Other</v>
      </c>
      <c r="P511">
        <f t="shared" si="7"/>
        <v>0</v>
      </c>
    </row>
    <row r="512" spans="1:16" x14ac:dyDescent="0.2">
      <c r="A512" s="12">
        <v>135100</v>
      </c>
      <c r="B512" s="12" t="s">
        <v>573</v>
      </c>
      <c r="C512" s="13">
        <v>4</v>
      </c>
      <c r="D512" s="13">
        <v>43</v>
      </c>
      <c r="E512" s="13">
        <v>49</v>
      </c>
      <c r="F512" s="13">
        <v>6</v>
      </c>
      <c r="G512" s="13">
        <v>0</v>
      </c>
      <c r="H512" s="13">
        <v>0</v>
      </c>
      <c r="I512" s="14">
        <v>0.1395348837209302</v>
      </c>
      <c r="J512" s="14">
        <v>0</v>
      </c>
      <c r="K512" s="14">
        <v>0</v>
      </c>
      <c r="L512" s="13">
        <v>0</v>
      </c>
      <c r="M512" t="str" cm="1">
        <f t="array" ref="M512">_xlfn.IFS(E512&lt;6, "0-6 Months", E512&lt;=12, "6-12 Months", E512&lt;=24, "12-24 Months", E512&gt;24, "24+ Months")</f>
        <v>24+ Months</v>
      </c>
      <c r="N512" t="str" cm="1">
        <f t="array" ref="N512">_xlfn.IFS(E512&lt;6, "12-18 Months", E512&lt;=12, "18-24 Months", E512&lt;=24, "24+ Months", E512&gt;24, "24+ Months")</f>
        <v>24+ Months</v>
      </c>
      <c r="O512" t="str" cm="1">
        <f t="array" ref="O512">_xlfn.IFS(D512&gt;=550, "Major", D512 &gt;= 100, "T1200", D512 &lt;100, "Other")</f>
        <v>Other</v>
      </c>
      <c r="P512">
        <f t="shared" si="7"/>
        <v>0</v>
      </c>
    </row>
    <row r="513" spans="1:16" x14ac:dyDescent="0.2">
      <c r="A513" s="12">
        <v>193887</v>
      </c>
      <c r="B513" s="12" t="s">
        <v>576</v>
      </c>
      <c r="C513" s="13">
        <v>0</v>
      </c>
      <c r="D513" s="13">
        <v>8</v>
      </c>
      <c r="E513" s="13">
        <v>12</v>
      </c>
      <c r="F513" s="13">
        <v>6</v>
      </c>
      <c r="G513" s="13">
        <v>0</v>
      </c>
      <c r="H513" s="13">
        <v>0</v>
      </c>
      <c r="I513" s="14">
        <v>0.75</v>
      </c>
      <c r="J513" s="14">
        <v>0</v>
      </c>
      <c r="K513" s="14">
        <v>0</v>
      </c>
      <c r="L513" s="13">
        <v>0</v>
      </c>
      <c r="M513" t="str" cm="1">
        <f t="array" ref="M513">_xlfn.IFS(E513&lt;6, "0-6 Months", E513&lt;=12, "6-12 Months", E513&lt;=24, "12-24 Months", E513&gt;24, "24+ Months")</f>
        <v>6-12 Months</v>
      </c>
      <c r="N513" t="str" cm="1">
        <f t="array" ref="N513">_xlfn.IFS(E513&lt;6, "12-18 Months", E513&lt;=12, "18-24 Months", E513&lt;=24, "24+ Months", E513&gt;24, "24+ Months")</f>
        <v>18-24 Months</v>
      </c>
      <c r="O513" t="str" cm="1">
        <f t="array" ref="O513">_xlfn.IFS(D513&gt;=550, "Major", D513 &gt;= 100, "T1200", D513 &lt;100, "Other")</f>
        <v>Other</v>
      </c>
      <c r="P513">
        <f t="shared" si="7"/>
        <v>0</v>
      </c>
    </row>
    <row r="514" spans="1:16" x14ac:dyDescent="0.2">
      <c r="A514" s="12">
        <v>315176</v>
      </c>
      <c r="B514" s="12" t="s">
        <v>582</v>
      </c>
      <c r="C514" s="13">
        <v>83</v>
      </c>
      <c r="D514" s="13">
        <v>64</v>
      </c>
      <c r="E514" s="13">
        <v>13</v>
      </c>
      <c r="F514" s="13">
        <v>5</v>
      </c>
      <c r="G514" s="13">
        <v>0</v>
      </c>
      <c r="H514" s="13">
        <v>0</v>
      </c>
      <c r="I514" s="14">
        <v>7.8125E-2</v>
      </c>
      <c r="J514" s="14">
        <v>0</v>
      </c>
      <c r="K514" s="14">
        <v>0</v>
      </c>
      <c r="L514" s="13">
        <v>0</v>
      </c>
      <c r="M514" t="str" cm="1">
        <f t="array" ref="M514">_xlfn.IFS(E514&lt;6, "0-6 Months", E514&lt;=12, "6-12 Months", E514&lt;=24, "12-24 Months", E514&gt;24, "24+ Months")</f>
        <v>12-24 Months</v>
      </c>
      <c r="N514" t="str" cm="1">
        <f t="array" ref="N514">_xlfn.IFS(E514&lt;6, "12-18 Months", E514&lt;=12, "18-24 Months", E514&lt;=24, "24+ Months", E514&gt;24, "24+ Months")</f>
        <v>24+ Months</v>
      </c>
      <c r="O514" t="str" cm="1">
        <f t="array" ref="O514">_xlfn.IFS(D514&gt;=550, "Major", D514 &gt;= 100, "T1200", D514 &lt;100, "Other")</f>
        <v>Other</v>
      </c>
      <c r="P514">
        <f t="shared" ref="P514:P577" si="8">SUMPRODUCT((I514&gt;=2) * C514 + ((D514&gt;=550) * (J514&gt;=0.75) * (I514&lt;2) * C514))</f>
        <v>0</v>
      </c>
    </row>
    <row r="515" spans="1:16" x14ac:dyDescent="0.2">
      <c r="A515" s="12">
        <v>177293</v>
      </c>
      <c r="B515" s="12" t="s">
        <v>581</v>
      </c>
      <c r="C515" s="13">
        <v>46</v>
      </c>
      <c r="D515" s="13">
        <v>44</v>
      </c>
      <c r="E515" s="13">
        <v>36</v>
      </c>
      <c r="F515" s="13">
        <v>5</v>
      </c>
      <c r="G515" s="13">
        <v>5</v>
      </c>
      <c r="H515" s="13">
        <v>5</v>
      </c>
      <c r="I515" s="14">
        <v>0.1136363636363636</v>
      </c>
      <c r="J515" s="14">
        <v>0.1136363636363636</v>
      </c>
      <c r="K515" s="14">
        <v>0.1136363636363636</v>
      </c>
      <c r="L515" s="13">
        <v>25</v>
      </c>
      <c r="M515" t="str" cm="1">
        <f t="array" ref="M515">_xlfn.IFS(E515&lt;6, "0-6 Months", E515&lt;=12, "6-12 Months", E515&lt;=24, "12-24 Months", E515&gt;24, "24+ Months")</f>
        <v>24+ Months</v>
      </c>
      <c r="N515" t="str" cm="1">
        <f t="array" ref="N515">_xlfn.IFS(E515&lt;6, "12-18 Months", E515&lt;=12, "18-24 Months", E515&lt;=24, "24+ Months", E515&gt;24, "24+ Months")</f>
        <v>24+ Months</v>
      </c>
      <c r="O515" t="str" cm="1">
        <f t="array" ref="O515">_xlfn.IFS(D515&gt;=550, "Major", D515 &gt;= 100, "T1200", D515 &lt;100, "Other")</f>
        <v>Other</v>
      </c>
      <c r="P515">
        <f t="shared" si="8"/>
        <v>0</v>
      </c>
    </row>
    <row r="516" spans="1:16" x14ac:dyDescent="0.2">
      <c r="A516" s="12">
        <v>325495</v>
      </c>
      <c r="B516" s="12" t="s">
        <v>598</v>
      </c>
      <c r="C516" s="13">
        <v>45</v>
      </c>
      <c r="D516" s="13">
        <v>37</v>
      </c>
      <c r="E516" s="13">
        <v>14</v>
      </c>
      <c r="F516" s="13">
        <v>5</v>
      </c>
      <c r="G516" s="13">
        <v>5</v>
      </c>
      <c r="H516" s="13">
        <v>5</v>
      </c>
      <c r="I516" s="14">
        <v>0.13513513513513509</v>
      </c>
      <c r="J516" s="14">
        <v>0.13513513513513509</v>
      </c>
      <c r="K516" s="14">
        <v>0.13513513513513509</v>
      </c>
      <c r="L516" s="13">
        <v>1</v>
      </c>
      <c r="M516" t="str" cm="1">
        <f t="array" ref="M516">_xlfn.IFS(E516&lt;6, "0-6 Months", E516&lt;=12, "6-12 Months", E516&lt;=24, "12-24 Months", E516&gt;24, "24+ Months")</f>
        <v>12-24 Months</v>
      </c>
      <c r="N516" t="str" cm="1">
        <f t="array" ref="N516">_xlfn.IFS(E516&lt;6, "12-18 Months", E516&lt;=12, "18-24 Months", E516&lt;=24, "24+ Months", E516&gt;24, "24+ Months")</f>
        <v>24+ Months</v>
      </c>
      <c r="O516" t="str" cm="1">
        <f t="array" ref="O516">_xlfn.IFS(D516&gt;=550, "Major", D516 &gt;= 100, "T1200", D516 &lt;100, "Other")</f>
        <v>Other</v>
      </c>
      <c r="P516">
        <f t="shared" si="8"/>
        <v>0</v>
      </c>
    </row>
    <row r="517" spans="1:16" x14ac:dyDescent="0.2">
      <c r="A517" s="12">
        <v>512963</v>
      </c>
      <c r="B517" s="12" t="s">
        <v>605</v>
      </c>
      <c r="C517" s="13">
        <v>30</v>
      </c>
      <c r="D517" s="13">
        <v>32</v>
      </c>
      <c r="E517" s="13">
        <v>37</v>
      </c>
      <c r="F517" s="13">
        <v>5</v>
      </c>
      <c r="G517" s="13">
        <v>0</v>
      </c>
      <c r="H517" s="13">
        <v>0</v>
      </c>
      <c r="I517" s="14">
        <v>0.15625</v>
      </c>
      <c r="J517" s="14">
        <v>0</v>
      </c>
      <c r="K517" s="14">
        <v>0</v>
      </c>
      <c r="L517" s="13">
        <v>0</v>
      </c>
      <c r="M517" t="str" cm="1">
        <f t="array" ref="M517">_xlfn.IFS(E517&lt;6, "0-6 Months", E517&lt;=12, "6-12 Months", E517&lt;=24, "12-24 Months", E517&gt;24, "24+ Months")</f>
        <v>24+ Months</v>
      </c>
      <c r="N517" t="str" cm="1">
        <f t="array" ref="N517">_xlfn.IFS(E517&lt;6, "12-18 Months", E517&lt;=12, "18-24 Months", E517&lt;=24, "24+ Months", E517&gt;24, "24+ Months")</f>
        <v>24+ Months</v>
      </c>
      <c r="O517" t="str" cm="1">
        <f t="array" ref="O517">_xlfn.IFS(D517&gt;=550, "Major", D517 &gt;= 100, "T1200", D517 &lt;100, "Other")</f>
        <v>Other</v>
      </c>
      <c r="P517">
        <f t="shared" si="8"/>
        <v>0</v>
      </c>
    </row>
    <row r="518" spans="1:16" x14ac:dyDescent="0.2">
      <c r="A518" s="12">
        <v>451492</v>
      </c>
      <c r="B518" s="12" t="s">
        <v>585</v>
      </c>
      <c r="C518" s="13">
        <v>1</v>
      </c>
      <c r="D518" s="13">
        <v>8</v>
      </c>
      <c r="E518" s="13">
        <v>6</v>
      </c>
      <c r="F518" s="13">
        <v>5</v>
      </c>
      <c r="G518" s="13">
        <v>5</v>
      </c>
      <c r="H518" s="13">
        <v>0</v>
      </c>
      <c r="I518" s="14">
        <v>0.625</v>
      </c>
      <c r="J518" s="14">
        <v>0.625</v>
      </c>
      <c r="K518" s="14">
        <v>0</v>
      </c>
      <c r="L518" s="13">
        <v>0</v>
      </c>
      <c r="M518" t="str" cm="1">
        <f t="array" ref="M518">_xlfn.IFS(E518&lt;6, "0-6 Months", E518&lt;=12, "6-12 Months", E518&lt;=24, "12-24 Months", E518&gt;24, "24+ Months")</f>
        <v>6-12 Months</v>
      </c>
      <c r="N518" t="str" cm="1">
        <f t="array" ref="N518">_xlfn.IFS(E518&lt;6, "12-18 Months", E518&lt;=12, "18-24 Months", E518&lt;=24, "24+ Months", E518&gt;24, "24+ Months")</f>
        <v>18-24 Months</v>
      </c>
      <c r="O518" t="str" cm="1">
        <f t="array" ref="O518">_xlfn.IFS(D518&gt;=550, "Major", D518 &gt;= 100, "T1200", D518 &lt;100, "Other")</f>
        <v>Other</v>
      </c>
      <c r="P518">
        <f t="shared" si="8"/>
        <v>0</v>
      </c>
    </row>
    <row r="519" spans="1:16" x14ac:dyDescent="0.2">
      <c r="A519" s="12">
        <v>164535</v>
      </c>
      <c r="B519" s="12" t="s">
        <v>592</v>
      </c>
      <c r="C519" s="13">
        <v>0</v>
      </c>
      <c r="D519" s="13">
        <v>13</v>
      </c>
      <c r="E519" s="13">
        <v>12</v>
      </c>
      <c r="F519" s="13">
        <v>5</v>
      </c>
      <c r="G519" s="13">
        <v>0</v>
      </c>
      <c r="H519" s="13">
        <v>0</v>
      </c>
      <c r="I519" s="14">
        <v>0.38461538461538458</v>
      </c>
      <c r="J519" s="14">
        <v>0</v>
      </c>
      <c r="K519" s="14">
        <v>0</v>
      </c>
      <c r="L519" s="13">
        <v>0</v>
      </c>
      <c r="M519" t="str" cm="1">
        <f t="array" ref="M519">_xlfn.IFS(E519&lt;6, "0-6 Months", E519&lt;=12, "6-12 Months", E519&lt;=24, "12-24 Months", E519&gt;24, "24+ Months")</f>
        <v>6-12 Months</v>
      </c>
      <c r="N519" t="str" cm="1">
        <f t="array" ref="N519">_xlfn.IFS(E519&lt;6, "12-18 Months", E519&lt;=12, "18-24 Months", E519&lt;=24, "24+ Months", E519&gt;24, "24+ Months")</f>
        <v>18-24 Months</v>
      </c>
      <c r="O519" t="str" cm="1">
        <f t="array" ref="O519">_xlfn.IFS(D519&gt;=550, "Major", D519 &gt;= 100, "T1200", D519 &lt;100, "Other")</f>
        <v>Other</v>
      </c>
      <c r="P519">
        <f t="shared" si="8"/>
        <v>0</v>
      </c>
    </row>
    <row r="520" spans="1:16" x14ac:dyDescent="0.2">
      <c r="A520" s="12">
        <v>109686</v>
      </c>
      <c r="B520" s="12" t="s">
        <v>586</v>
      </c>
      <c r="C520" s="13">
        <v>165</v>
      </c>
      <c r="D520" s="13">
        <v>171</v>
      </c>
      <c r="E520" s="13">
        <v>24</v>
      </c>
      <c r="F520" s="13">
        <v>4</v>
      </c>
      <c r="G520" s="13">
        <v>0</v>
      </c>
      <c r="H520" s="13">
        <v>0</v>
      </c>
      <c r="I520" s="14">
        <v>2.3391812865497071E-2</v>
      </c>
      <c r="J520" s="14">
        <v>0</v>
      </c>
      <c r="K520" s="14">
        <v>0</v>
      </c>
      <c r="L520" s="13">
        <v>0</v>
      </c>
      <c r="M520" t="str" cm="1">
        <f t="array" ref="M520">_xlfn.IFS(E520&lt;6, "0-6 Months", E520&lt;=12, "6-12 Months", E520&lt;=24, "12-24 Months", E520&gt;24, "24+ Months")</f>
        <v>12-24 Months</v>
      </c>
      <c r="N520" t="str" cm="1">
        <f t="array" ref="N520">_xlfn.IFS(E520&lt;6, "12-18 Months", E520&lt;=12, "18-24 Months", E520&lt;=24, "24+ Months", E520&gt;24, "24+ Months")</f>
        <v>24+ Months</v>
      </c>
      <c r="O520" t="str" cm="1">
        <f t="array" ref="O520">_xlfn.IFS(D520&gt;=550, "Major", D520 &gt;= 100, "T1200", D520 &lt;100, "Other")</f>
        <v>T1200</v>
      </c>
      <c r="P520">
        <f t="shared" si="8"/>
        <v>0</v>
      </c>
    </row>
    <row r="521" spans="1:16" x14ac:dyDescent="0.2">
      <c r="A521" s="12">
        <v>141788</v>
      </c>
      <c r="B521" s="12" t="s">
        <v>589</v>
      </c>
      <c r="C521" s="13">
        <v>72</v>
      </c>
      <c r="D521" s="13">
        <v>35</v>
      </c>
      <c r="E521" s="13">
        <v>8</v>
      </c>
      <c r="F521" s="13">
        <v>4</v>
      </c>
      <c r="G521" s="13">
        <v>4</v>
      </c>
      <c r="H521" s="13">
        <v>4</v>
      </c>
      <c r="I521" s="14">
        <v>0.1142857142857143</v>
      </c>
      <c r="J521" s="14">
        <v>0.1142857142857143</v>
      </c>
      <c r="K521" s="14">
        <v>0.1142857142857143</v>
      </c>
      <c r="L521" s="13">
        <v>7</v>
      </c>
      <c r="M521" t="str" cm="1">
        <f t="array" ref="M521">_xlfn.IFS(E521&lt;6, "0-6 Months", E521&lt;=12, "6-12 Months", E521&lt;=24, "12-24 Months", E521&gt;24, "24+ Months")</f>
        <v>6-12 Months</v>
      </c>
      <c r="N521" t="str" cm="1">
        <f t="array" ref="N521">_xlfn.IFS(E521&lt;6, "12-18 Months", E521&lt;=12, "18-24 Months", E521&lt;=24, "24+ Months", E521&gt;24, "24+ Months")</f>
        <v>18-24 Months</v>
      </c>
      <c r="O521" t="str" cm="1">
        <f t="array" ref="O521">_xlfn.IFS(D521&gt;=550, "Major", D521 &gt;= 100, "T1200", D521 &lt;100, "Other")</f>
        <v>Other</v>
      </c>
      <c r="P521">
        <f t="shared" si="8"/>
        <v>0</v>
      </c>
    </row>
    <row r="522" spans="1:16" x14ac:dyDescent="0.2">
      <c r="A522" s="12">
        <v>170384</v>
      </c>
      <c r="B522" s="12" t="s">
        <v>588</v>
      </c>
      <c r="C522" s="13">
        <v>20</v>
      </c>
      <c r="D522" s="13">
        <v>18</v>
      </c>
      <c r="E522" s="13">
        <v>8</v>
      </c>
      <c r="F522" s="13">
        <v>4</v>
      </c>
      <c r="G522" s="13">
        <v>0</v>
      </c>
      <c r="H522" s="13">
        <v>0</v>
      </c>
      <c r="I522" s="14">
        <v>0.22222222222222221</v>
      </c>
      <c r="J522" s="14">
        <v>0</v>
      </c>
      <c r="K522" s="14">
        <v>0</v>
      </c>
      <c r="L522" s="13">
        <v>0</v>
      </c>
      <c r="M522" t="str" cm="1">
        <f t="array" ref="M522">_xlfn.IFS(E522&lt;6, "0-6 Months", E522&lt;=12, "6-12 Months", E522&lt;=24, "12-24 Months", E522&gt;24, "24+ Months")</f>
        <v>6-12 Months</v>
      </c>
      <c r="N522" t="str" cm="1">
        <f t="array" ref="N522">_xlfn.IFS(E522&lt;6, "12-18 Months", E522&lt;=12, "18-24 Months", E522&lt;=24, "24+ Months", E522&gt;24, "24+ Months")</f>
        <v>18-24 Months</v>
      </c>
      <c r="O522" t="str" cm="1">
        <f t="array" ref="O522">_xlfn.IFS(D522&gt;=550, "Major", D522 &gt;= 100, "T1200", D522 &lt;100, "Other")</f>
        <v>Other</v>
      </c>
      <c r="P522">
        <f t="shared" si="8"/>
        <v>0</v>
      </c>
    </row>
    <row r="523" spans="1:16" x14ac:dyDescent="0.2">
      <c r="A523" s="12">
        <v>321757</v>
      </c>
      <c r="B523" s="12" t="s">
        <v>543</v>
      </c>
      <c r="C523" s="13">
        <v>12</v>
      </c>
      <c r="D523" s="13">
        <v>6</v>
      </c>
      <c r="E523" s="13">
        <v>6</v>
      </c>
      <c r="F523" s="13">
        <v>4</v>
      </c>
      <c r="G523" s="13">
        <v>0</v>
      </c>
      <c r="H523" s="13">
        <v>0</v>
      </c>
      <c r="I523" s="14">
        <v>0.66666666666666663</v>
      </c>
      <c r="J523" s="14">
        <v>0</v>
      </c>
      <c r="K523" s="14">
        <v>0</v>
      </c>
      <c r="L523" s="13">
        <v>0</v>
      </c>
      <c r="M523" t="str" cm="1">
        <f t="array" ref="M523">_xlfn.IFS(E523&lt;6, "0-6 Months", E523&lt;=12, "6-12 Months", E523&lt;=24, "12-24 Months", E523&gt;24, "24+ Months")</f>
        <v>6-12 Months</v>
      </c>
      <c r="N523" t="str" cm="1">
        <f t="array" ref="N523">_xlfn.IFS(E523&lt;6, "12-18 Months", E523&lt;=12, "18-24 Months", E523&lt;=24, "24+ Months", E523&gt;24, "24+ Months")</f>
        <v>18-24 Months</v>
      </c>
      <c r="O523" t="str" cm="1">
        <f t="array" ref="O523">_xlfn.IFS(D523&gt;=550, "Major", D523 &gt;= 100, "T1200", D523 &lt;100, "Other")</f>
        <v>Other</v>
      </c>
      <c r="P523">
        <f t="shared" si="8"/>
        <v>0</v>
      </c>
    </row>
    <row r="524" spans="1:16" x14ac:dyDescent="0.2">
      <c r="A524" s="12">
        <v>480485</v>
      </c>
      <c r="B524" s="12" t="s">
        <v>590</v>
      </c>
      <c r="C524" s="13">
        <v>4</v>
      </c>
      <c r="D524" s="13">
        <v>4</v>
      </c>
      <c r="E524" s="13">
        <v>22</v>
      </c>
      <c r="F524" s="13">
        <v>4</v>
      </c>
      <c r="G524" s="13">
        <v>2</v>
      </c>
      <c r="H524" s="13">
        <v>0</v>
      </c>
      <c r="I524" s="14">
        <v>1</v>
      </c>
      <c r="J524" s="14">
        <v>0.5</v>
      </c>
      <c r="K524" s="14">
        <v>0</v>
      </c>
      <c r="L524" s="13">
        <v>2</v>
      </c>
      <c r="M524" t="str" cm="1">
        <f t="array" ref="M524">_xlfn.IFS(E524&lt;6, "0-6 Months", E524&lt;=12, "6-12 Months", E524&lt;=24, "12-24 Months", E524&gt;24, "24+ Months")</f>
        <v>12-24 Months</v>
      </c>
      <c r="N524" t="str" cm="1">
        <f t="array" ref="N524">_xlfn.IFS(E524&lt;6, "12-18 Months", E524&lt;=12, "18-24 Months", E524&lt;=24, "24+ Months", E524&gt;24, "24+ Months")</f>
        <v>24+ Months</v>
      </c>
      <c r="O524" t="str" cm="1">
        <f t="array" ref="O524">_xlfn.IFS(D524&gt;=550, "Major", D524 &gt;= 100, "T1200", D524 &lt;100, "Other")</f>
        <v>Other</v>
      </c>
      <c r="P524">
        <f t="shared" si="8"/>
        <v>0</v>
      </c>
    </row>
    <row r="525" spans="1:16" x14ac:dyDescent="0.2">
      <c r="A525" s="12">
        <v>500661</v>
      </c>
      <c r="B525" s="12" t="s">
        <v>538</v>
      </c>
      <c r="C525" s="13">
        <v>2</v>
      </c>
      <c r="D525" s="13">
        <v>9</v>
      </c>
      <c r="E525" s="13">
        <v>9</v>
      </c>
      <c r="F525" s="13">
        <v>4</v>
      </c>
      <c r="G525" s="13">
        <v>0</v>
      </c>
      <c r="H525" s="13">
        <v>0</v>
      </c>
      <c r="I525" s="14">
        <v>0.44444444444444442</v>
      </c>
      <c r="J525" s="14">
        <v>0</v>
      </c>
      <c r="K525" s="14">
        <v>0</v>
      </c>
      <c r="L525" s="13">
        <v>0</v>
      </c>
      <c r="M525" t="str" cm="1">
        <f t="array" ref="M525">_xlfn.IFS(E525&lt;6, "0-6 Months", E525&lt;=12, "6-12 Months", E525&lt;=24, "12-24 Months", E525&gt;24, "24+ Months")</f>
        <v>6-12 Months</v>
      </c>
      <c r="N525" t="str" cm="1">
        <f t="array" ref="N525">_xlfn.IFS(E525&lt;6, "12-18 Months", E525&lt;=12, "18-24 Months", E525&lt;=24, "24+ Months", E525&gt;24, "24+ Months")</f>
        <v>18-24 Months</v>
      </c>
      <c r="O525" t="str" cm="1">
        <f t="array" ref="O525">_xlfn.IFS(D525&gt;=550, "Major", D525 &gt;= 100, "T1200", D525 &lt;100, "Other")</f>
        <v>Other</v>
      </c>
      <c r="P525">
        <f t="shared" si="8"/>
        <v>0</v>
      </c>
    </row>
    <row r="526" spans="1:16" x14ac:dyDescent="0.2">
      <c r="A526" s="12">
        <v>252871</v>
      </c>
      <c r="B526" s="12" t="s">
        <v>524</v>
      </c>
      <c r="C526" s="13">
        <v>1</v>
      </c>
      <c r="D526" s="13">
        <v>6</v>
      </c>
      <c r="E526" s="13">
        <v>6</v>
      </c>
      <c r="F526" s="13">
        <v>4</v>
      </c>
      <c r="G526" s="13">
        <v>4</v>
      </c>
      <c r="H526" s="13">
        <v>0</v>
      </c>
      <c r="I526" s="14">
        <v>0.66666666666666663</v>
      </c>
      <c r="J526" s="14">
        <v>0.66666666666666663</v>
      </c>
      <c r="K526" s="14">
        <v>0</v>
      </c>
      <c r="L526" s="13">
        <v>3</v>
      </c>
      <c r="M526" t="str" cm="1">
        <f t="array" ref="M526">_xlfn.IFS(E526&lt;6, "0-6 Months", E526&lt;=12, "6-12 Months", E526&lt;=24, "12-24 Months", E526&gt;24, "24+ Months")</f>
        <v>6-12 Months</v>
      </c>
      <c r="N526" t="str" cm="1">
        <f t="array" ref="N526">_xlfn.IFS(E526&lt;6, "12-18 Months", E526&lt;=12, "18-24 Months", E526&lt;=24, "24+ Months", E526&gt;24, "24+ Months")</f>
        <v>18-24 Months</v>
      </c>
      <c r="O526" t="str" cm="1">
        <f t="array" ref="O526">_xlfn.IFS(D526&gt;=550, "Major", D526 &gt;= 100, "T1200", D526 &lt;100, "Other")</f>
        <v>Other</v>
      </c>
      <c r="P526">
        <f t="shared" si="8"/>
        <v>0</v>
      </c>
    </row>
    <row r="527" spans="1:16" x14ac:dyDescent="0.2">
      <c r="A527" s="12">
        <v>108015</v>
      </c>
      <c r="B527" s="12" t="s">
        <v>596</v>
      </c>
      <c r="C527" s="13">
        <v>775</v>
      </c>
      <c r="D527" s="13">
        <v>768</v>
      </c>
      <c r="E527" s="13">
        <v>28</v>
      </c>
      <c r="F527" s="13">
        <v>3</v>
      </c>
      <c r="G527" s="13">
        <v>3</v>
      </c>
      <c r="H527" s="13">
        <v>0</v>
      </c>
      <c r="I527" s="14">
        <v>3.90625E-3</v>
      </c>
      <c r="J527" s="14">
        <v>3.90625E-3</v>
      </c>
      <c r="K527" s="14">
        <v>0</v>
      </c>
      <c r="L527" s="13">
        <v>210</v>
      </c>
      <c r="M527" t="str" cm="1">
        <f t="array" ref="M527">_xlfn.IFS(E527&lt;6, "0-6 Months", E527&lt;=12, "6-12 Months", E527&lt;=24, "12-24 Months", E527&gt;24, "24+ Months")</f>
        <v>24+ Months</v>
      </c>
      <c r="N527" t="str" cm="1">
        <f t="array" ref="N527">_xlfn.IFS(E527&lt;6, "12-18 Months", E527&lt;=12, "18-24 Months", E527&lt;=24, "24+ Months", E527&gt;24, "24+ Months")</f>
        <v>24+ Months</v>
      </c>
      <c r="O527" t="str" cm="1">
        <f t="array" ref="O527">_xlfn.IFS(D527&gt;=550, "Major", D527 &gt;= 100, "T1200", D527 &lt;100, "Other")</f>
        <v>Major</v>
      </c>
      <c r="P527">
        <f t="shared" si="8"/>
        <v>0</v>
      </c>
    </row>
    <row r="528" spans="1:16" x14ac:dyDescent="0.2">
      <c r="A528" s="12">
        <v>110545</v>
      </c>
      <c r="B528" s="12" t="s">
        <v>595</v>
      </c>
      <c r="C528" s="13">
        <v>198</v>
      </c>
      <c r="D528" s="13">
        <v>250</v>
      </c>
      <c r="E528" s="13">
        <v>34</v>
      </c>
      <c r="F528" s="13">
        <v>3</v>
      </c>
      <c r="G528" s="13">
        <v>0</v>
      </c>
      <c r="H528" s="13">
        <v>0</v>
      </c>
      <c r="I528" s="14">
        <v>1.2E-2</v>
      </c>
      <c r="J528" s="14">
        <v>0</v>
      </c>
      <c r="K528" s="14">
        <v>0</v>
      </c>
      <c r="L528" s="13">
        <v>0</v>
      </c>
      <c r="M528" t="str" cm="1">
        <f t="array" ref="M528">_xlfn.IFS(E528&lt;6, "0-6 Months", E528&lt;=12, "6-12 Months", E528&lt;=24, "12-24 Months", E528&gt;24, "24+ Months")</f>
        <v>24+ Months</v>
      </c>
      <c r="N528" t="str" cm="1">
        <f t="array" ref="N528">_xlfn.IFS(E528&lt;6, "12-18 Months", E528&lt;=12, "18-24 Months", E528&lt;=24, "24+ Months", E528&gt;24, "24+ Months")</f>
        <v>24+ Months</v>
      </c>
      <c r="O528" t="str" cm="1">
        <f t="array" ref="O528">_xlfn.IFS(D528&gt;=550, "Major", D528 &gt;= 100, "T1200", D528 &lt;100, "Other")</f>
        <v>T1200</v>
      </c>
      <c r="P528">
        <f t="shared" si="8"/>
        <v>0</v>
      </c>
    </row>
    <row r="529" spans="1:16" x14ac:dyDescent="0.2">
      <c r="A529" s="12">
        <v>213659</v>
      </c>
      <c r="B529" s="12" t="s">
        <v>593</v>
      </c>
      <c r="C529" s="13">
        <v>13</v>
      </c>
      <c r="D529" s="13">
        <v>5</v>
      </c>
      <c r="E529" s="13">
        <v>43</v>
      </c>
      <c r="F529" s="13">
        <v>3</v>
      </c>
      <c r="G529" s="13">
        <v>3</v>
      </c>
      <c r="H529" s="13">
        <v>0</v>
      </c>
      <c r="I529" s="14">
        <v>0.6</v>
      </c>
      <c r="J529" s="14">
        <v>0.6</v>
      </c>
      <c r="K529" s="14">
        <v>0</v>
      </c>
      <c r="L529" s="13">
        <v>0</v>
      </c>
      <c r="M529" t="str" cm="1">
        <f t="array" ref="M529">_xlfn.IFS(E529&lt;6, "0-6 Months", E529&lt;=12, "6-12 Months", E529&lt;=24, "12-24 Months", E529&gt;24, "24+ Months")</f>
        <v>24+ Months</v>
      </c>
      <c r="N529" t="str" cm="1">
        <f t="array" ref="N529">_xlfn.IFS(E529&lt;6, "12-18 Months", E529&lt;=12, "18-24 Months", E529&lt;=24, "24+ Months", E529&gt;24, "24+ Months")</f>
        <v>24+ Months</v>
      </c>
      <c r="O529" t="str" cm="1">
        <f t="array" ref="O529">_xlfn.IFS(D529&gt;=550, "Major", D529 &gt;= 100, "T1200", D529 &lt;100, "Other")</f>
        <v>Other</v>
      </c>
      <c r="P529">
        <f t="shared" si="8"/>
        <v>0</v>
      </c>
    </row>
    <row r="530" spans="1:16" x14ac:dyDescent="0.2">
      <c r="A530" s="12" t="s">
        <v>355</v>
      </c>
      <c r="B530" s="12" t="s">
        <v>354</v>
      </c>
      <c r="C530" s="13">
        <v>10</v>
      </c>
      <c r="D530" s="13">
        <v>2</v>
      </c>
      <c r="E530" s="13">
        <v>13</v>
      </c>
      <c r="F530" s="13">
        <v>3</v>
      </c>
      <c r="G530" s="13">
        <v>1</v>
      </c>
      <c r="H530" s="13">
        <v>0</v>
      </c>
      <c r="I530" s="14">
        <v>1.5</v>
      </c>
      <c r="J530" s="14">
        <v>0.5</v>
      </c>
      <c r="K530" s="14">
        <v>0</v>
      </c>
      <c r="L530" s="13">
        <v>2</v>
      </c>
      <c r="M530" t="str" cm="1">
        <f t="array" ref="M530">_xlfn.IFS(E530&lt;6, "0-6 Months", E530&lt;=12, "6-12 Months", E530&lt;=24, "12-24 Months", E530&gt;24, "24+ Months")</f>
        <v>12-24 Months</v>
      </c>
      <c r="N530" t="str" cm="1">
        <f t="array" ref="N530">_xlfn.IFS(E530&lt;6, "12-18 Months", E530&lt;=12, "18-24 Months", E530&lt;=24, "24+ Months", E530&gt;24, "24+ Months")</f>
        <v>24+ Months</v>
      </c>
      <c r="O530" t="str" cm="1">
        <f t="array" ref="O530">_xlfn.IFS(D530&gt;=550, "Major", D530 &gt;= 100, "T1200", D530 &lt;100, "Other")</f>
        <v>Other</v>
      </c>
      <c r="P530">
        <f t="shared" si="8"/>
        <v>0</v>
      </c>
    </row>
    <row r="531" spans="1:16" x14ac:dyDescent="0.2">
      <c r="A531" s="12">
        <v>112987</v>
      </c>
      <c r="B531" s="12" t="s">
        <v>594</v>
      </c>
      <c r="C531" s="13">
        <v>9</v>
      </c>
      <c r="D531" s="13">
        <v>16</v>
      </c>
      <c r="E531" s="13">
        <v>6</v>
      </c>
      <c r="F531" s="13">
        <v>3</v>
      </c>
      <c r="G531" s="13">
        <v>3</v>
      </c>
      <c r="H531" s="13">
        <v>0</v>
      </c>
      <c r="I531" s="14">
        <v>0.1875</v>
      </c>
      <c r="J531" s="14">
        <v>0.1875</v>
      </c>
      <c r="K531" s="14">
        <v>0</v>
      </c>
      <c r="L531" s="13">
        <v>2</v>
      </c>
      <c r="M531" t="str" cm="1">
        <f t="array" ref="M531">_xlfn.IFS(E531&lt;6, "0-6 Months", E531&lt;=12, "6-12 Months", E531&lt;=24, "12-24 Months", E531&gt;24, "24+ Months")</f>
        <v>6-12 Months</v>
      </c>
      <c r="N531" t="str" cm="1">
        <f t="array" ref="N531">_xlfn.IFS(E531&lt;6, "12-18 Months", E531&lt;=12, "18-24 Months", E531&lt;=24, "24+ Months", E531&gt;24, "24+ Months")</f>
        <v>18-24 Months</v>
      </c>
      <c r="O531" t="str" cm="1">
        <f t="array" ref="O531">_xlfn.IFS(D531&gt;=550, "Major", D531 &gt;= 100, "T1200", D531 &lt;100, "Other")</f>
        <v>Other</v>
      </c>
      <c r="P531">
        <f t="shared" si="8"/>
        <v>0</v>
      </c>
    </row>
    <row r="532" spans="1:16" x14ac:dyDescent="0.2">
      <c r="A532" s="12">
        <v>557455</v>
      </c>
      <c r="B532" s="12" t="s">
        <v>597</v>
      </c>
      <c r="C532" s="13">
        <v>0</v>
      </c>
      <c r="D532" s="13">
        <v>68</v>
      </c>
      <c r="E532" s="13">
        <v>12</v>
      </c>
      <c r="F532" s="13">
        <v>3</v>
      </c>
      <c r="G532" s="13">
        <v>0</v>
      </c>
      <c r="H532" s="13">
        <v>0</v>
      </c>
      <c r="I532" s="14">
        <v>4.4117647058823532E-2</v>
      </c>
      <c r="J532" s="14">
        <v>0</v>
      </c>
      <c r="K532" s="14">
        <v>0</v>
      </c>
      <c r="L532" s="13">
        <v>0</v>
      </c>
      <c r="M532" t="str" cm="1">
        <f t="array" ref="M532">_xlfn.IFS(E532&lt;6, "0-6 Months", E532&lt;=12, "6-12 Months", E532&lt;=24, "12-24 Months", E532&gt;24, "24+ Months")</f>
        <v>6-12 Months</v>
      </c>
      <c r="N532" t="str" cm="1">
        <f t="array" ref="N532">_xlfn.IFS(E532&lt;6, "12-18 Months", E532&lt;=12, "18-24 Months", E532&lt;=24, "24+ Months", E532&gt;24, "24+ Months")</f>
        <v>18-24 Months</v>
      </c>
      <c r="O532" t="str" cm="1">
        <f t="array" ref="O532">_xlfn.IFS(D532&gt;=550, "Major", D532 &gt;= 100, "T1200", D532 &lt;100, "Other")</f>
        <v>Other</v>
      </c>
      <c r="P532">
        <f t="shared" si="8"/>
        <v>0</v>
      </c>
    </row>
    <row r="533" spans="1:16" x14ac:dyDescent="0.2">
      <c r="A533" s="12">
        <v>115809</v>
      </c>
      <c r="B533" s="12" t="s">
        <v>616</v>
      </c>
      <c r="C533" s="13">
        <v>0</v>
      </c>
      <c r="D533" s="13">
        <v>15</v>
      </c>
      <c r="E533" s="13">
        <v>21</v>
      </c>
      <c r="F533" s="13">
        <v>3</v>
      </c>
      <c r="G533" s="13">
        <v>0</v>
      </c>
      <c r="H533" s="13">
        <v>0</v>
      </c>
      <c r="I533" s="14">
        <v>0.2</v>
      </c>
      <c r="J533" s="14">
        <v>0</v>
      </c>
      <c r="K533" s="14">
        <v>0</v>
      </c>
      <c r="L533" s="13">
        <v>0</v>
      </c>
      <c r="M533" t="str" cm="1">
        <f t="array" ref="M533">_xlfn.IFS(E533&lt;6, "0-6 Months", E533&lt;=12, "6-12 Months", E533&lt;=24, "12-24 Months", E533&gt;24, "24+ Months")</f>
        <v>12-24 Months</v>
      </c>
      <c r="N533" t="str" cm="1">
        <f t="array" ref="N533">_xlfn.IFS(E533&lt;6, "12-18 Months", E533&lt;=12, "18-24 Months", E533&lt;=24, "24+ Months", E533&gt;24, "24+ Months")</f>
        <v>24+ Months</v>
      </c>
      <c r="O533" t="str" cm="1">
        <f t="array" ref="O533">_xlfn.IFS(D533&gt;=550, "Major", D533 &gt;= 100, "T1200", D533 &lt;100, "Other")</f>
        <v>Other</v>
      </c>
      <c r="P533">
        <f t="shared" si="8"/>
        <v>0</v>
      </c>
    </row>
    <row r="534" spans="1:16" x14ac:dyDescent="0.2">
      <c r="A534" s="12">
        <v>107911</v>
      </c>
      <c r="B534" s="12" t="s">
        <v>599</v>
      </c>
      <c r="C534" s="13">
        <v>1312</v>
      </c>
      <c r="D534" s="13">
        <v>1215</v>
      </c>
      <c r="E534" s="13">
        <v>47</v>
      </c>
      <c r="F534" s="13">
        <v>2</v>
      </c>
      <c r="G534" s="13">
        <v>2</v>
      </c>
      <c r="H534" s="13">
        <v>0</v>
      </c>
      <c r="I534" s="14">
        <v>1.6460905349794241E-3</v>
      </c>
      <c r="J534" s="14">
        <v>1.6460905349794241E-3</v>
      </c>
      <c r="K534" s="14">
        <v>0</v>
      </c>
      <c r="L534" s="13">
        <v>0</v>
      </c>
      <c r="M534" t="str" cm="1">
        <f t="array" ref="M534">_xlfn.IFS(E534&lt;6, "0-6 Months", E534&lt;=12, "6-12 Months", E534&lt;=24, "12-24 Months", E534&gt;24, "24+ Months")</f>
        <v>24+ Months</v>
      </c>
      <c r="N534" t="str" cm="1">
        <f t="array" ref="N534">_xlfn.IFS(E534&lt;6, "12-18 Months", E534&lt;=12, "18-24 Months", E534&lt;=24, "24+ Months", E534&gt;24, "24+ Months")</f>
        <v>24+ Months</v>
      </c>
      <c r="O534" t="str" cm="1">
        <f t="array" ref="O534">_xlfn.IFS(D534&gt;=550, "Major", D534 &gt;= 100, "T1200", D534 &lt;100, "Other")</f>
        <v>Major</v>
      </c>
      <c r="P534">
        <f t="shared" si="8"/>
        <v>0</v>
      </c>
    </row>
    <row r="535" spans="1:16" x14ac:dyDescent="0.2">
      <c r="A535" s="12">
        <v>143890</v>
      </c>
      <c r="B535" s="12" t="s">
        <v>602</v>
      </c>
      <c r="C535" s="13">
        <v>670</v>
      </c>
      <c r="D535" s="13">
        <v>550</v>
      </c>
      <c r="E535" s="13">
        <v>39</v>
      </c>
      <c r="F535" s="13">
        <v>2</v>
      </c>
      <c r="G535" s="13">
        <v>0</v>
      </c>
      <c r="H535" s="13">
        <v>0</v>
      </c>
      <c r="I535" s="14">
        <v>3.6363636363636359E-3</v>
      </c>
      <c r="J535" s="14">
        <v>0</v>
      </c>
      <c r="K535" s="14">
        <v>0</v>
      </c>
      <c r="L535" s="13">
        <v>0</v>
      </c>
      <c r="M535" t="str" cm="1">
        <f t="array" ref="M535">_xlfn.IFS(E535&lt;6, "0-6 Months", E535&lt;=12, "6-12 Months", E535&lt;=24, "12-24 Months", E535&gt;24, "24+ Months")</f>
        <v>24+ Months</v>
      </c>
      <c r="N535" t="str" cm="1">
        <f t="array" ref="N535">_xlfn.IFS(E535&lt;6, "12-18 Months", E535&lt;=12, "18-24 Months", E535&lt;=24, "24+ Months", E535&gt;24, "24+ Months")</f>
        <v>24+ Months</v>
      </c>
      <c r="O535" t="str" cm="1">
        <f t="array" ref="O535">_xlfn.IFS(D535&gt;=550, "Major", D535 &gt;= 100, "T1200", D535 &lt;100, "Other")</f>
        <v>Major</v>
      </c>
      <c r="P535">
        <f t="shared" si="8"/>
        <v>0</v>
      </c>
    </row>
    <row r="536" spans="1:16" x14ac:dyDescent="0.2">
      <c r="A536" s="12">
        <v>113387</v>
      </c>
      <c r="B536" s="12" t="s">
        <v>601</v>
      </c>
      <c r="C536" s="13">
        <v>267</v>
      </c>
      <c r="D536" s="13">
        <v>255</v>
      </c>
      <c r="E536" s="13">
        <v>21</v>
      </c>
      <c r="F536" s="13">
        <v>2</v>
      </c>
      <c r="G536" s="13">
        <v>0</v>
      </c>
      <c r="H536" s="13">
        <v>0</v>
      </c>
      <c r="I536" s="14">
        <v>7.8431372549019607E-3</v>
      </c>
      <c r="J536" s="14">
        <v>0</v>
      </c>
      <c r="K536" s="14">
        <v>0</v>
      </c>
      <c r="L536" s="13">
        <v>9</v>
      </c>
      <c r="M536" t="str" cm="1">
        <f t="array" ref="M536">_xlfn.IFS(E536&lt;6, "0-6 Months", E536&lt;=12, "6-12 Months", E536&lt;=24, "12-24 Months", E536&gt;24, "24+ Months")</f>
        <v>12-24 Months</v>
      </c>
      <c r="N536" t="str" cm="1">
        <f t="array" ref="N536">_xlfn.IFS(E536&lt;6, "12-18 Months", E536&lt;=12, "18-24 Months", E536&lt;=24, "24+ Months", E536&gt;24, "24+ Months")</f>
        <v>24+ Months</v>
      </c>
      <c r="O536" t="str" cm="1">
        <f t="array" ref="O536">_xlfn.IFS(D536&gt;=550, "Major", D536 &gt;= 100, "T1200", D536 &lt;100, "Other")</f>
        <v>T1200</v>
      </c>
      <c r="P536">
        <f t="shared" si="8"/>
        <v>0</v>
      </c>
    </row>
    <row r="537" spans="1:16" x14ac:dyDescent="0.2">
      <c r="A537" s="12">
        <v>113397</v>
      </c>
      <c r="B537" s="12" t="s">
        <v>603</v>
      </c>
      <c r="C537" s="13">
        <v>93</v>
      </c>
      <c r="D537" s="13">
        <v>145</v>
      </c>
      <c r="E537" s="13">
        <v>45</v>
      </c>
      <c r="F537" s="13">
        <v>2</v>
      </c>
      <c r="G537" s="13">
        <v>2</v>
      </c>
      <c r="H537" s="13">
        <v>0</v>
      </c>
      <c r="I537" s="14">
        <v>1.379310344827586E-2</v>
      </c>
      <c r="J537" s="14">
        <v>1.379310344827586E-2</v>
      </c>
      <c r="K537" s="14">
        <v>0</v>
      </c>
      <c r="L537" s="13">
        <v>2</v>
      </c>
      <c r="M537" t="str" cm="1">
        <f t="array" ref="M537">_xlfn.IFS(E537&lt;6, "0-6 Months", E537&lt;=12, "6-12 Months", E537&lt;=24, "12-24 Months", E537&gt;24, "24+ Months")</f>
        <v>24+ Months</v>
      </c>
      <c r="N537" t="str" cm="1">
        <f t="array" ref="N537">_xlfn.IFS(E537&lt;6, "12-18 Months", E537&lt;=12, "18-24 Months", E537&lt;=24, "24+ Months", E537&gt;24, "24+ Months")</f>
        <v>24+ Months</v>
      </c>
      <c r="O537" t="str" cm="1">
        <f t="array" ref="O537">_xlfn.IFS(D537&gt;=550, "Major", D537 &gt;= 100, "T1200", D537 &lt;100, "Other")</f>
        <v>T1200</v>
      </c>
      <c r="P537">
        <f t="shared" si="8"/>
        <v>0</v>
      </c>
    </row>
    <row r="538" spans="1:16" x14ac:dyDescent="0.2">
      <c r="A538" s="12">
        <v>158758</v>
      </c>
      <c r="B538" s="12" t="s">
        <v>600</v>
      </c>
      <c r="C538" s="13">
        <v>53</v>
      </c>
      <c r="D538" s="13">
        <v>80</v>
      </c>
      <c r="E538" s="13">
        <v>7</v>
      </c>
      <c r="F538" s="13">
        <v>2</v>
      </c>
      <c r="G538" s="13">
        <v>2</v>
      </c>
      <c r="H538" s="13">
        <v>1</v>
      </c>
      <c r="I538" s="14">
        <v>2.5000000000000001E-2</v>
      </c>
      <c r="J538" s="14">
        <v>2.5000000000000001E-2</v>
      </c>
      <c r="K538" s="14">
        <v>1.2500000000000001E-2</v>
      </c>
      <c r="L538" s="13">
        <v>0</v>
      </c>
      <c r="M538" t="str" cm="1">
        <f t="array" ref="M538">_xlfn.IFS(E538&lt;6, "0-6 Months", E538&lt;=12, "6-12 Months", E538&lt;=24, "12-24 Months", E538&gt;24, "24+ Months")</f>
        <v>6-12 Months</v>
      </c>
      <c r="N538" t="str" cm="1">
        <f t="array" ref="N538">_xlfn.IFS(E538&lt;6, "12-18 Months", E538&lt;=12, "18-24 Months", E538&lt;=24, "24+ Months", E538&gt;24, "24+ Months")</f>
        <v>18-24 Months</v>
      </c>
      <c r="O538" t="str" cm="1">
        <f t="array" ref="O538">_xlfn.IFS(D538&gt;=550, "Major", D538 &gt;= 100, "T1200", D538 &lt;100, "Other")</f>
        <v>Other</v>
      </c>
      <c r="P538">
        <f t="shared" si="8"/>
        <v>0</v>
      </c>
    </row>
    <row r="539" spans="1:16" x14ac:dyDescent="0.2">
      <c r="A539" s="12">
        <v>126706</v>
      </c>
      <c r="B539" s="12" t="s">
        <v>656</v>
      </c>
      <c r="C539" s="13">
        <v>41</v>
      </c>
      <c r="D539" s="13">
        <v>35</v>
      </c>
      <c r="E539" s="13">
        <v>16</v>
      </c>
      <c r="F539" s="13">
        <v>2</v>
      </c>
      <c r="G539" s="13">
        <v>2</v>
      </c>
      <c r="H539" s="13">
        <v>2</v>
      </c>
      <c r="I539" s="14">
        <v>5.7142857142857141E-2</v>
      </c>
      <c r="J539" s="14">
        <v>5.7142857142857141E-2</v>
      </c>
      <c r="K539" s="14">
        <v>5.7142857142857141E-2</v>
      </c>
      <c r="L539" s="13">
        <v>9</v>
      </c>
      <c r="M539" t="str" cm="1">
        <f t="array" ref="M539">_xlfn.IFS(E539&lt;6, "0-6 Months", E539&lt;=12, "6-12 Months", E539&lt;=24, "12-24 Months", E539&gt;24, "24+ Months")</f>
        <v>12-24 Months</v>
      </c>
      <c r="N539" t="str" cm="1">
        <f t="array" ref="N539">_xlfn.IFS(E539&lt;6, "12-18 Months", E539&lt;=12, "18-24 Months", E539&lt;=24, "24+ Months", E539&gt;24, "24+ Months")</f>
        <v>24+ Months</v>
      </c>
      <c r="O539" t="str" cm="1">
        <f t="array" ref="O539">_xlfn.IFS(D539&gt;=550, "Major", D539 &gt;= 100, "T1200", D539 &lt;100, "Other")</f>
        <v>Other</v>
      </c>
      <c r="P539">
        <f t="shared" si="8"/>
        <v>0</v>
      </c>
    </row>
    <row r="540" spans="1:16" x14ac:dyDescent="0.2">
      <c r="A540" s="12">
        <v>193186</v>
      </c>
      <c r="B540" s="12" t="s">
        <v>604</v>
      </c>
      <c r="C540" s="13">
        <v>0</v>
      </c>
      <c r="D540" s="13">
        <v>25</v>
      </c>
      <c r="E540" s="13">
        <v>12</v>
      </c>
      <c r="F540" s="13">
        <v>2</v>
      </c>
      <c r="G540" s="13">
        <v>0</v>
      </c>
      <c r="H540" s="13">
        <v>0</v>
      </c>
      <c r="I540" s="14">
        <v>0.08</v>
      </c>
      <c r="J540" s="14">
        <v>0</v>
      </c>
      <c r="K540" s="14">
        <v>0</v>
      </c>
      <c r="L540" s="13">
        <v>0</v>
      </c>
      <c r="M540" t="str" cm="1">
        <f t="array" ref="M540">_xlfn.IFS(E540&lt;6, "0-6 Months", E540&lt;=12, "6-12 Months", E540&lt;=24, "12-24 Months", E540&gt;24, "24+ Months")</f>
        <v>6-12 Months</v>
      </c>
      <c r="N540" t="str" cm="1">
        <f t="array" ref="N540">_xlfn.IFS(E540&lt;6, "12-18 Months", E540&lt;=12, "18-24 Months", E540&lt;=24, "24+ Months", E540&gt;24, "24+ Months")</f>
        <v>18-24 Months</v>
      </c>
      <c r="O540" t="str" cm="1">
        <f t="array" ref="O540">_xlfn.IFS(D540&gt;=550, "Major", D540 &gt;= 100, "T1200", D540 &lt;100, "Other")</f>
        <v>Other</v>
      </c>
      <c r="P540">
        <f t="shared" si="8"/>
        <v>0</v>
      </c>
    </row>
    <row r="541" spans="1:16" x14ac:dyDescent="0.2">
      <c r="A541" s="12">
        <v>158327</v>
      </c>
      <c r="B541" s="12" t="s">
        <v>615</v>
      </c>
      <c r="C541" s="13">
        <v>323</v>
      </c>
      <c r="D541" s="13">
        <v>263</v>
      </c>
      <c r="E541" s="13">
        <v>12</v>
      </c>
      <c r="F541" s="13">
        <v>1</v>
      </c>
      <c r="G541" s="13">
        <v>0</v>
      </c>
      <c r="H541" s="13">
        <v>0</v>
      </c>
      <c r="I541" s="14">
        <v>3.8022813688212932E-3</v>
      </c>
      <c r="J541" s="14">
        <v>0</v>
      </c>
      <c r="K541" s="14">
        <v>0</v>
      </c>
      <c r="L541" s="13">
        <v>0</v>
      </c>
      <c r="M541" t="str" cm="1">
        <f t="array" ref="M541">_xlfn.IFS(E541&lt;6, "0-6 Months", E541&lt;=12, "6-12 Months", E541&lt;=24, "12-24 Months", E541&gt;24, "24+ Months")</f>
        <v>6-12 Months</v>
      </c>
      <c r="N541" t="str" cm="1">
        <f t="array" ref="N541">_xlfn.IFS(E541&lt;6, "12-18 Months", E541&lt;=12, "18-24 Months", E541&lt;=24, "24+ Months", E541&gt;24, "24+ Months")</f>
        <v>18-24 Months</v>
      </c>
      <c r="O541" t="str" cm="1">
        <f t="array" ref="O541">_xlfn.IFS(D541&gt;=550, "Major", D541 &gt;= 100, "T1200", D541 &lt;100, "Other")</f>
        <v>T1200</v>
      </c>
      <c r="P541">
        <f t="shared" si="8"/>
        <v>0</v>
      </c>
    </row>
    <row r="542" spans="1:16" x14ac:dyDescent="0.2">
      <c r="A542" s="12">
        <v>122506</v>
      </c>
      <c r="B542" s="12" t="s">
        <v>608</v>
      </c>
      <c r="C542" s="13">
        <v>25</v>
      </c>
      <c r="D542" s="13">
        <v>24</v>
      </c>
      <c r="E542" s="13">
        <v>10</v>
      </c>
      <c r="F542" s="13">
        <v>1</v>
      </c>
      <c r="G542" s="13">
        <v>0</v>
      </c>
      <c r="H542" s="13">
        <v>0</v>
      </c>
      <c r="I542" s="14">
        <v>4.1666666666666657E-2</v>
      </c>
      <c r="J542" s="14">
        <v>0</v>
      </c>
      <c r="K542" s="14">
        <v>0</v>
      </c>
      <c r="L542" s="13">
        <v>0</v>
      </c>
      <c r="M542" t="str" cm="1">
        <f t="array" ref="M542">_xlfn.IFS(E542&lt;6, "0-6 Months", E542&lt;=12, "6-12 Months", E542&lt;=24, "12-24 Months", E542&gt;24, "24+ Months")</f>
        <v>6-12 Months</v>
      </c>
      <c r="N542" t="str" cm="1">
        <f t="array" ref="N542">_xlfn.IFS(E542&lt;6, "12-18 Months", E542&lt;=12, "18-24 Months", E542&lt;=24, "24+ Months", E542&gt;24, "24+ Months")</f>
        <v>18-24 Months</v>
      </c>
      <c r="O542" t="str" cm="1">
        <f t="array" ref="O542">_xlfn.IFS(D542&gt;=550, "Major", D542 &gt;= 100, "T1200", D542 &lt;100, "Other")</f>
        <v>Other</v>
      </c>
      <c r="P542">
        <f t="shared" si="8"/>
        <v>0</v>
      </c>
    </row>
    <row r="543" spans="1:16" x14ac:dyDescent="0.2">
      <c r="A543" s="12">
        <v>206457</v>
      </c>
      <c r="B543" s="12" t="s">
        <v>610</v>
      </c>
      <c r="C543" s="13">
        <v>18</v>
      </c>
      <c r="D543" s="13">
        <v>20</v>
      </c>
      <c r="E543" s="13">
        <v>50</v>
      </c>
      <c r="F543" s="13">
        <v>1</v>
      </c>
      <c r="G543" s="13">
        <v>1</v>
      </c>
      <c r="H543" s="13">
        <v>0</v>
      </c>
      <c r="I543" s="14">
        <v>0.05</v>
      </c>
      <c r="J543" s="14">
        <v>0.05</v>
      </c>
      <c r="K543" s="14">
        <v>0</v>
      </c>
      <c r="L543" s="13">
        <v>0</v>
      </c>
      <c r="M543" t="str" cm="1">
        <f t="array" ref="M543">_xlfn.IFS(E543&lt;6, "0-6 Months", E543&lt;=12, "6-12 Months", E543&lt;=24, "12-24 Months", E543&gt;24, "24+ Months")</f>
        <v>24+ Months</v>
      </c>
      <c r="N543" t="str" cm="1">
        <f t="array" ref="N543">_xlfn.IFS(E543&lt;6, "12-18 Months", E543&lt;=12, "18-24 Months", E543&lt;=24, "24+ Months", E543&gt;24, "24+ Months")</f>
        <v>24+ Months</v>
      </c>
      <c r="O543" t="str" cm="1">
        <f t="array" ref="O543">_xlfn.IFS(D543&gt;=550, "Major", D543 &gt;= 100, "T1200", D543 &lt;100, "Other")</f>
        <v>Other</v>
      </c>
      <c r="P543">
        <f t="shared" si="8"/>
        <v>0</v>
      </c>
    </row>
    <row r="544" spans="1:16" x14ac:dyDescent="0.2">
      <c r="A544" s="12">
        <v>153711</v>
      </c>
      <c r="B544" s="12" t="s">
        <v>614</v>
      </c>
      <c r="C544" s="13">
        <v>15</v>
      </c>
      <c r="D544" s="13">
        <v>16</v>
      </c>
      <c r="E544" s="13">
        <v>20</v>
      </c>
      <c r="F544" s="13">
        <v>1</v>
      </c>
      <c r="G544" s="13">
        <v>0</v>
      </c>
      <c r="H544" s="13">
        <v>0</v>
      </c>
      <c r="I544" s="14">
        <v>6.25E-2</v>
      </c>
      <c r="J544" s="14">
        <v>0</v>
      </c>
      <c r="K544" s="14">
        <v>0</v>
      </c>
      <c r="L544" s="13">
        <v>0</v>
      </c>
      <c r="M544" t="str" cm="1">
        <f t="array" ref="M544">_xlfn.IFS(E544&lt;6, "0-6 Months", E544&lt;=12, "6-12 Months", E544&lt;=24, "12-24 Months", E544&gt;24, "24+ Months")</f>
        <v>12-24 Months</v>
      </c>
      <c r="N544" t="str" cm="1">
        <f t="array" ref="N544">_xlfn.IFS(E544&lt;6, "12-18 Months", E544&lt;=12, "18-24 Months", E544&lt;=24, "24+ Months", E544&gt;24, "24+ Months")</f>
        <v>24+ Months</v>
      </c>
      <c r="O544" t="str" cm="1">
        <f t="array" ref="O544">_xlfn.IFS(D544&gt;=550, "Major", D544 &gt;= 100, "T1200", D544 &lt;100, "Other")</f>
        <v>Other</v>
      </c>
      <c r="P544">
        <f t="shared" si="8"/>
        <v>0</v>
      </c>
    </row>
    <row r="545" spans="1:16" x14ac:dyDescent="0.2">
      <c r="A545" s="12">
        <v>142059</v>
      </c>
      <c r="B545" s="12" t="s">
        <v>609</v>
      </c>
      <c r="C545" s="13">
        <v>10</v>
      </c>
      <c r="D545" s="13">
        <v>9</v>
      </c>
      <c r="E545" s="13">
        <v>17</v>
      </c>
      <c r="F545" s="13">
        <v>1</v>
      </c>
      <c r="G545" s="13">
        <v>0</v>
      </c>
      <c r="H545" s="13">
        <v>0</v>
      </c>
      <c r="I545" s="14">
        <v>0.1111111111111111</v>
      </c>
      <c r="J545" s="14">
        <v>0</v>
      </c>
      <c r="K545" s="14">
        <v>0</v>
      </c>
      <c r="L545" s="13">
        <v>0</v>
      </c>
      <c r="M545" t="str" cm="1">
        <f t="array" ref="M545">_xlfn.IFS(E545&lt;6, "0-6 Months", E545&lt;=12, "6-12 Months", E545&lt;=24, "12-24 Months", E545&gt;24, "24+ Months")</f>
        <v>12-24 Months</v>
      </c>
      <c r="N545" t="str" cm="1">
        <f t="array" ref="N545">_xlfn.IFS(E545&lt;6, "12-18 Months", E545&lt;=12, "18-24 Months", E545&lt;=24, "24+ Months", E545&gt;24, "24+ Months")</f>
        <v>24+ Months</v>
      </c>
      <c r="O545" t="str" cm="1">
        <f t="array" ref="O545">_xlfn.IFS(D545&gt;=550, "Major", D545 &gt;= 100, "T1200", D545 &lt;100, "Other")</f>
        <v>Other</v>
      </c>
      <c r="P545">
        <f t="shared" si="8"/>
        <v>0</v>
      </c>
    </row>
    <row r="546" spans="1:16" x14ac:dyDescent="0.2">
      <c r="A546" s="12">
        <v>121105</v>
      </c>
      <c r="B546" s="12" t="s">
        <v>607</v>
      </c>
      <c r="C546" s="13">
        <v>8</v>
      </c>
      <c r="D546" s="13">
        <v>20</v>
      </c>
      <c r="E546" s="13">
        <v>44</v>
      </c>
      <c r="F546" s="13">
        <v>1</v>
      </c>
      <c r="G546" s="13">
        <v>1</v>
      </c>
      <c r="H546" s="13">
        <v>0</v>
      </c>
      <c r="I546" s="14">
        <v>0.05</v>
      </c>
      <c r="J546" s="14">
        <v>0.05</v>
      </c>
      <c r="K546" s="14">
        <v>0</v>
      </c>
      <c r="L546" s="13">
        <v>0</v>
      </c>
      <c r="M546" t="str" cm="1">
        <f t="array" ref="M546">_xlfn.IFS(E546&lt;6, "0-6 Months", E546&lt;=12, "6-12 Months", E546&lt;=24, "12-24 Months", E546&gt;24, "24+ Months")</f>
        <v>24+ Months</v>
      </c>
      <c r="N546" t="str" cm="1">
        <f t="array" ref="N546">_xlfn.IFS(E546&lt;6, "12-18 Months", E546&lt;=12, "18-24 Months", E546&lt;=24, "24+ Months", E546&gt;24, "24+ Months")</f>
        <v>24+ Months</v>
      </c>
      <c r="O546" t="str" cm="1">
        <f t="array" ref="O546">_xlfn.IFS(D546&gt;=550, "Major", D546 &gt;= 100, "T1200", D546 &lt;100, "Other")</f>
        <v>Other</v>
      </c>
      <c r="P546">
        <f t="shared" si="8"/>
        <v>0</v>
      </c>
    </row>
    <row r="547" spans="1:16" x14ac:dyDescent="0.2">
      <c r="A547" s="12">
        <v>310328</v>
      </c>
      <c r="B547" s="12" t="s">
        <v>613</v>
      </c>
      <c r="C547" s="13">
        <v>3</v>
      </c>
      <c r="D547" s="13">
        <v>12</v>
      </c>
      <c r="E547" s="13">
        <v>6</v>
      </c>
      <c r="F547" s="13">
        <v>1</v>
      </c>
      <c r="G547" s="13">
        <v>1</v>
      </c>
      <c r="H547" s="13">
        <v>0</v>
      </c>
      <c r="I547" s="14">
        <v>8.3333333333333329E-2</v>
      </c>
      <c r="J547" s="14">
        <v>8.3333333333333329E-2</v>
      </c>
      <c r="K547" s="14">
        <v>0</v>
      </c>
      <c r="L547" s="13">
        <v>9</v>
      </c>
      <c r="M547" t="str" cm="1">
        <f t="array" ref="M547">_xlfn.IFS(E547&lt;6, "0-6 Months", E547&lt;=12, "6-12 Months", E547&lt;=24, "12-24 Months", E547&gt;24, "24+ Months")</f>
        <v>6-12 Months</v>
      </c>
      <c r="N547" t="str" cm="1">
        <f t="array" ref="N547">_xlfn.IFS(E547&lt;6, "12-18 Months", E547&lt;=12, "18-24 Months", E547&lt;=24, "24+ Months", E547&gt;24, "24+ Months")</f>
        <v>18-24 Months</v>
      </c>
      <c r="O547" t="str" cm="1">
        <f t="array" ref="O547">_xlfn.IFS(D547&gt;=550, "Major", D547 &gt;= 100, "T1200", D547 &lt;100, "Other")</f>
        <v>Other</v>
      </c>
      <c r="P547">
        <f t="shared" si="8"/>
        <v>0</v>
      </c>
    </row>
    <row r="548" spans="1:16" x14ac:dyDescent="0.2">
      <c r="A548" s="12">
        <v>461447</v>
      </c>
      <c r="B548" s="12" t="s">
        <v>578</v>
      </c>
      <c r="C548" s="13">
        <v>1</v>
      </c>
      <c r="D548" s="13">
        <v>2</v>
      </c>
      <c r="E548" s="13">
        <v>7</v>
      </c>
      <c r="F548" s="13">
        <v>1</v>
      </c>
      <c r="G548" s="13">
        <v>1</v>
      </c>
      <c r="H548" s="13">
        <v>0</v>
      </c>
      <c r="I548" s="14">
        <v>0.5</v>
      </c>
      <c r="J548" s="14">
        <v>0.5</v>
      </c>
      <c r="K548" s="14">
        <v>0</v>
      </c>
      <c r="L548" s="13">
        <v>0</v>
      </c>
      <c r="M548" t="str" cm="1">
        <f t="array" ref="M548">_xlfn.IFS(E548&lt;6, "0-6 Months", E548&lt;=12, "6-12 Months", E548&lt;=24, "12-24 Months", E548&gt;24, "24+ Months")</f>
        <v>6-12 Months</v>
      </c>
      <c r="N548" t="str" cm="1">
        <f t="array" ref="N548">_xlfn.IFS(E548&lt;6, "12-18 Months", E548&lt;=12, "18-24 Months", E548&lt;=24, "24+ Months", E548&gt;24, "24+ Months")</f>
        <v>18-24 Months</v>
      </c>
      <c r="O548" t="str" cm="1">
        <f t="array" ref="O548">_xlfn.IFS(D548&gt;=550, "Major", D548 &gt;= 100, "T1200", D548 &lt;100, "Other")</f>
        <v>Other</v>
      </c>
      <c r="P548">
        <f t="shared" si="8"/>
        <v>0</v>
      </c>
    </row>
    <row r="549" spans="1:16" x14ac:dyDescent="0.2">
      <c r="A549" s="12">
        <v>584550</v>
      </c>
      <c r="B549" s="12" t="s">
        <v>612</v>
      </c>
      <c r="C549" s="13">
        <v>1</v>
      </c>
      <c r="D549" s="13">
        <v>2</v>
      </c>
      <c r="E549" s="13">
        <v>6</v>
      </c>
      <c r="F549" s="13">
        <v>1</v>
      </c>
      <c r="G549" s="13">
        <v>1</v>
      </c>
      <c r="H549" s="13">
        <v>1</v>
      </c>
      <c r="I549" s="14">
        <v>0.5</v>
      </c>
      <c r="J549" s="14">
        <v>0.5</v>
      </c>
      <c r="K549" s="14">
        <v>0.5</v>
      </c>
      <c r="L549" s="13">
        <v>0</v>
      </c>
      <c r="M549" t="str" cm="1">
        <f t="array" ref="M549">_xlfn.IFS(E549&lt;6, "0-6 Months", E549&lt;=12, "6-12 Months", E549&lt;=24, "12-24 Months", E549&gt;24, "24+ Months")</f>
        <v>6-12 Months</v>
      </c>
      <c r="N549" t="str" cm="1">
        <f t="array" ref="N549">_xlfn.IFS(E549&lt;6, "12-18 Months", E549&lt;=12, "18-24 Months", E549&lt;=24, "24+ Months", E549&gt;24, "24+ Months")</f>
        <v>18-24 Months</v>
      </c>
      <c r="O549" t="str" cm="1">
        <f t="array" ref="O549">_xlfn.IFS(D549&gt;=550, "Major", D549 &gt;= 100, "T1200", D549 &lt;100, "Other")</f>
        <v>Other</v>
      </c>
      <c r="P549">
        <f t="shared" si="8"/>
        <v>0</v>
      </c>
    </row>
    <row r="550" spans="1:16" x14ac:dyDescent="0.2">
      <c r="A550" s="12">
        <v>515162</v>
      </c>
      <c r="B550" s="12" t="s">
        <v>606</v>
      </c>
      <c r="C550" s="13">
        <v>0</v>
      </c>
      <c r="D550" s="13">
        <v>6</v>
      </c>
      <c r="E550" s="13">
        <v>25</v>
      </c>
      <c r="F550" s="13">
        <v>1</v>
      </c>
      <c r="G550" s="13">
        <v>0</v>
      </c>
      <c r="H550" s="13">
        <v>0</v>
      </c>
      <c r="I550" s="14">
        <v>0.16666666666666671</v>
      </c>
      <c r="J550" s="14">
        <v>0</v>
      </c>
      <c r="K550" s="14">
        <v>0</v>
      </c>
      <c r="L550" s="13">
        <v>0</v>
      </c>
      <c r="M550" t="str" cm="1">
        <f t="array" ref="M550">_xlfn.IFS(E550&lt;6, "0-6 Months", E550&lt;=12, "6-12 Months", E550&lt;=24, "12-24 Months", E550&gt;24, "24+ Months")</f>
        <v>24+ Months</v>
      </c>
      <c r="N550" t="str" cm="1">
        <f t="array" ref="N550">_xlfn.IFS(E550&lt;6, "12-18 Months", E550&lt;=12, "18-24 Months", E550&lt;=24, "24+ Months", E550&gt;24, "24+ Months")</f>
        <v>24+ Months</v>
      </c>
      <c r="O550" t="str" cm="1">
        <f t="array" ref="O550">_xlfn.IFS(D550&gt;=550, "Major", D550 &gt;= 100, "T1200", D550 &lt;100, "Other")</f>
        <v>Other</v>
      </c>
      <c r="P550">
        <f t="shared" si="8"/>
        <v>0</v>
      </c>
    </row>
    <row r="551" spans="1:16" x14ac:dyDescent="0.2">
      <c r="A551" s="12">
        <v>309455</v>
      </c>
      <c r="B551" s="12" t="s">
        <v>629</v>
      </c>
      <c r="C551" s="13">
        <v>0</v>
      </c>
      <c r="D551" s="13">
        <v>10</v>
      </c>
      <c r="E551" s="13">
        <v>23</v>
      </c>
      <c r="F551" s="13">
        <v>1</v>
      </c>
      <c r="G551" s="13">
        <v>1</v>
      </c>
      <c r="H551" s="13">
        <v>1</v>
      </c>
      <c r="I551" s="14">
        <v>0.1</v>
      </c>
      <c r="J551" s="14">
        <v>0.1</v>
      </c>
      <c r="K551" s="14">
        <v>0.1</v>
      </c>
      <c r="L551" s="13">
        <v>2</v>
      </c>
      <c r="M551" t="str" cm="1">
        <f t="array" ref="M551">_xlfn.IFS(E551&lt;6, "0-6 Months", E551&lt;=12, "6-12 Months", E551&lt;=24, "12-24 Months", E551&gt;24, "24+ Months")</f>
        <v>12-24 Months</v>
      </c>
      <c r="N551" t="str" cm="1">
        <f t="array" ref="N551">_xlfn.IFS(E551&lt;6, "12-18 Months", E551&lt;=12, "18-24 Months", E551&lt;=24, "24+ Months", E551&gt;24, "24+ Months")</f>
        <v>24+ Months</v>
      </c>
      <c r="O551" t="str" cm="1">
        <f t="array" ref="O551">_xlfn.IFS(D551&gt;=550, "Major", D551 &gt;= 100, "T1200", D551 &lt;100, "Other")</f>
        <v>Other</v>
      </c>
      <c r="P551">
        <f t="shared" si="8"/>
        <v>0</v>
      </c>
    </row>
    <row r="552" spans="1:16" x14ac:dyDescent="0.2">
      <c r="A552" s="12">
        <v>106562</v>
      </c>
      <c r="B552" s="12" t="s">
        <v>662</v>
      </c>
      <c r="C552" s="13">
        <v>1800</v>
      </c>
      <c r="D552" s="13">
        <v>1200</v>
      </c>
      <c r="E552" s="13">
        <v>10</v>
      </c>
      <c r="F552" s="13">
        <v>0</v>
      </c>
      <c r="G552" s="13">
        <v>0</v>
      </c>
      <c r="H552" s="13">
        <v>0</v>
      </c>
      <c r="I552" s="14">
        <v>0</v>
      </c>
      <c r="J552" s="14">
        <v>0</v>
      </c>
      <c r="K552" s="14">
        <v>0</v>
      </c>
      <c r="L552" s="13">
        <v>0</v>
      </c>
      <c r="M552" t="str" cm="1">
        <f t="array" ref="M552">_xlfn.IFS(E552&lt;6, "0-6 Months", E552&lt;=12, "6-12 Months", E552&lt;=24, "12-24 Months", E552&gt;24, "24+ Months")</f>
        <v>6-12 Months</v>
      </c>
      <c r="N552" t="str" cm="1">
        <f t="array" ref="N552">_xlfn.IFS(E552&lt;6, "12-18 Months", E552&lt;=12, "18-24 Months", E552&lt;=24, "24+ Months", E552&gt;24, "24+ Months")</f>
        <v>18-24 Months</v>
      </c>
      <c r="O552" t="str" cm="1">
        <f t="array" ref="O552">_xlfn.IFS(D552&gt;=550, "Major", D552 &gt;= 100, "T1200", D552 &lt;100, "Other")</f>
        <v>Major</v>
      </c>
      <c r="P552">
        <f t="shared" si="8"/>
        <v>0</v>
      </c>
    </row>
    <row r="553" spans="1:16" x14ac:dyDescent="0.2">
      <c r="A553" s="12">
        <v>154518</v>
      </c>
      <c r="B553" s="12" t="s">
        <v>652</v>
      </c>
      <c r="C553" s="13">
        <v>899</v>
      </c>
      <c r="D553" s="13">
        <v>201</v>
      </c>
      <c r="E553" s="13">
        <v>9</v>
      </c>
      <c r="F553" s="13">
        <v>0</v>
      </c>
      <c r="G553" s="13">
        <v>0</v>
      </c>
      <c r="H553" s="13">
        <v>0</v>
      </c>
      <c r="I553" s="14">
        <v>0</v>
      </c>
      <c r="J553" s="14">
        <v>0</v>
      </c>
      <c r="K553" s="14">
        <v>0</v>
      </c>
      <c r="L553" s="13">
        <v>0</v>
      </c>
      <c r="M553" t="str" cm="1">
        <f t="array" ref="M553">_xlfn.IFS(E553&lt;6, "0-6 Months", E553&lt;=12, "6-12 Months", E553&lt;=24, "12-24 Months", E553&gt;24, "24+ Months")</f>
        <v>6-12 Months</v>
      </c>
      <c r="N553" t="str" cm="1">
        <f t="array" ref="N553">_xlfn.IFS(E553&lt;6, "12-18 Months", E553&lt;=12, "18-24 Months", E553&lt;=24, "24+ Months", E553&gt;24, "24+ Months")</f>
        <v>18-24 Months</v>
      </c>
      <c r="O553" t="str" cm="1">
        <f t="array" ref="O553">_xlfn.IFS(D553&gt;=550, "Major", D553 &gt;= 100, "T1200", D553 &lt;100, "Other")</f>
        <v>T1200</v>
      </c>
      <c r="P553">
        <f t="shared" si="8"/>
        <v>0</v>
      </c>
    </row>
    <row r="554" spans="1:16" x14ac:dyDescent="0.2">
      <c r="A554" s="12">
        <v>113228</v>
      </c>
      <c r="B554" s="12" t="s">
        <v>641</v>
      </c>
      <c r="C554" s="13">
        <v>580</v>
      </c>
      <c r="D554" s="13">
        <v>645</v>
      </c>
      <c r="E554" s="13">
        <v>20</v>
      </c>
      <c r="F554" s="13">
        <v>0</v>
      </c>
      <c r="G554" s="13">
        <v>0</v>
      </c>
      <c r="H554" s="13">
        <v>0</v>
      </c>
      <c r="I554" s="14">
        <v>0</v>
      </c>
      <c r="J554" s="14">
        <v>0</v>
      </c>
      <c r="K554" s="14">
        <v>0</v>
      </c>
      <c r="L554" s="13">
        <v>0</v>
      </c>
      <c r="M554" t="str" cm="1">
        <f t="array" ref="M554">_xlfn.IFS(E554&lt;6, "0-6 Months", E554&lt;=12, "6-12 Months", E554&lt;=24, "12-24 Months", E554&gt;24, "24+ Months")</f>
        <v>12-24 Months</v>
      </c>
      <c r="N554" t="str" cm="1">
        <f t="array" ref="N554">_xlfn.IFS(E554&lt;6, "12-18 Months", E554&lt;=12, "18-24 Months", E554&lt;=24, "24+ Months", E554&gt;24, "24+ Months")</f>
        <v>24+ Months</v>
      </c>
      <c r="O554" t="str" cm="1">
        <f t="array" ref="O554">_xlfn.IFS(D554&gt;=550, "Major", D554 &gt;= 100, "T1200", D554 &lt;100, "Other")</f>
        <v>Major</v>
      </c>
      <c r="P554">
        <f t="shared" si="8"/>
        <v>0</v>
      </c>
    </row>
    <row r="555" spans="1:16" x14ac:dyDescent="0.2">
      <c r="A555" s="12">
        <v>106844</v>
      </c>
      <c r="B555" s="12" t="s">
        <v>642</v>
      </c>
      <c r="C555" s="13">
        <v>456</v>
      </c>
      <c r="D555" s="13">
        <v>193</v>
      </c>
      <c r="E555" s="13">
        <v>49</v>
      </c>
      <c r="F555" s="13">
        <v>0</v>
      </c>
      <c r="G555" s="13">
        <v>0</v>
      </c>
      <c r="H555" s="13">
        <v>0</v>
      </c>
      <c r="I555" s="14">
        <v>0</v>
      </c>
      <c r="J555" s="14">
        <v>0</v>
      </c>
      <c r="K555" s="14">
        <v>0</v>
      </c>
      <c r="L555" s="13">
        <v>5</v>
      </c>
      <c r="M555" t="str" cm="1">
        <f t="array" ref="M555">_xlfn.IFS(E555&lt;6, "0-6 Months", E555&lt;=12, "6-12 Months", E555&lt;=24, "12-24 Months", E555&gt;24, "24+ Months")</f>
        <v>24+ Months</v>
      </c>
      <c r="N555" t="str" cm="1">
        <f t="array" ref="N555">_xlfn.IFS(E555&lt;6, "12-18 Months", E555&lt;=12, "18-24 Months", E555&lt;=24, "24+ Months", E555&gt;24, "24+ Months")</f>
        <v>24+ Months</v>
      </c>
      <c r="O555" t="str" cm="1">
        <f t="array" ref="O555">_xlfn.IFS(D555&gt;=550, "Major", D555 &gt;= 100, "T1200", D555 &lt;100, "Other")</f>
        <v>T1200</v>
      </c>
      <c r="P555">
        <f t="shared" si="8"/>
        <v>0</v>
      </c>
    </row>
    <row r="556" spans="1:16" x14ac:dyDescent="0.2">
      <c r="A556" s="12">
        <v>110771</v>
      </c>
      <c r="B556" s="12" t="s">
        <v>634</v>
      </c>
      <c r="C556" s="13">
        <v>406</v>
      </c>
      <c r="D556" s="13">
        <v>140</v>
      </c>
      <c r="E556" s="13">
        <v>31</v>
      </c>
      <c r="F556" s="13">
        <v>0</v>
      </c>
      <c r="G556" s="13">
        <v>0</v>
      </c>
      <c r="H556" s="13">
        <v>0</v>
      </c>
      <c r="I556" s="14">
        <v>0</v>
      </c>
      <c r="J556" s="14">
        <v>0</v>
      </c>
      <c r="K556" s="14">
        <v>0</v>
      </c>
      <c r="L556" s="13">
        <v>46</v>
      </c>
      <c r="M556" t="str" cm="1">
        <f t="array" ref="M556">_xlfn.IFS(E556&lt;6, "0-6 Months", E556&lt;=12, "6-12 Months", E556&lt;=24, "12-24 Months", E556&gt;24, "24+ Months")</f>
        <v>24+ Months</v>
      </c>
      <c r="N556" t="str" cm="1">
        <f t="array" ref="N556">_xlfn.IFS(E556&lt;6, "12-18 Months", E556&lt;=12, "18-24 Months", E556&lt;=24, "24+ Months", E556&gt;24, "24+ Months")</f>
        <v>24+ Months</v>
      </c>
      <c r="O556" t="str" cm="1">
        <f t="array" ref="O556">_xlfn.IFS(D556&gt;=550, "Major", D556 &gt;= 100, "T1200", D556 &lt;100, "Other")</f>
        <v>T1200</v>
      </c>
      <c r="P556">
        <f t="shared" si="8"/>
        <v>0</v>
      </c>
    </row>
    <row r="557" spans="1:16" x14ac:dyDescent="0.2">
      <c r="A557" s="12">
        <v>108406</v>
      </c>
      <c r="B557" s="12" t="s">
        <v>648</v>
      </c>
      <c r="C557" s="13">
        <v>280</v>
      </c>
      <c r="D557" s="13">
        <v>200</v>
      </c>
      <c r="E557" s="13">
        <v>19</v>
      </c>
      <c r="F557" s="13">
        <v>0</v>
      </c>
      <c r="G557" s="13">
        <v>0</v>
      </c>
      <c r="H557" s="13">
        <v>0</v>
      </c>
      <c r="I557" s="14">
        <v>0</v>
      </c>
      <c r="J557" s="14">
        <v>0</v>
      </c>
      <c r="K557" s="14">
        <v>0</v>
      </c>
      <c r="L557" s="13">
        <v>0</v>
      </c>
      <c r="M557" t="str" cm="1">
        <f t="array" ref="M557">_xlfn.IFS(E557&lt;6, "0-6 Months", E557&lt;=12, "6-12 Months", E557&lt;=24, "12-24 Months", E557&gt;24, "24+ Months")</f>
        <v>12-24 Months</v>
      </c>
      <c r="N557" t="str" cm="1">
        <f t="array" ref="N557">_xlfn.IFS(E557&lt;6, "12-18 Months", E557&lt;=12, "18-24 Months", E557&lt;=24, "24+ Months", E557&gt;24, "24+ Months")</f>
        <v>24+ Months</v>
      </c>
      <c r="O557" t="str" cm="1">
        <f t="array" ref="O557">_xlfn.IFS(D557&gt;=550, "Major", D557 &gt;= 100, "T1200", D557 &lt;100, "Other")</f>
        <v>T1200</v>
      </c>
      <c r="P557">
        <f t="shared" si="8"/>
        <v>0</v>
      </c>
    </row>
    <row r="558" spans="1:16" x14ac:dyDescent="0.2">
      <c r="A558" s="12">
        <v>105754</v>
      </c>
      <c r="B558" s="12" t="s">
        <v>676</v>
      </c>
      <c r="C558" s="13">
        <v>228</v>
      </c>
      <c r="D558" s="13">
        <v>166</v>
      </c>
      <c r="E558" s="13">
        <v>21</v>
      </c>
      <c r="F558" s="13">
        <v>0</v>
      </c>
      <c r="G558" s="13">
        <v>0</v>
      </c>
      <c r="H558" s="13">
        <v>0</v>
      </c>
      <c r="I558" s="14">
        <v>0</v>
      </c>
      <c r="J558" s="14">
        <v>0</v>
      </c>
      <c r="K558" s="14">
        <v>0</v>
      </c>
      <c r="L558" s="13">
        <v>0</v>
      </c>
      <c r="M558" t="str" cm="1">
        <f t="array" ref="M558">_xlfn.IFS(E558&lt;6, "0-6 Months", E558&lt;=12, "6-12 Months", E558&lt;=24, "12-24 Months", E558&gt;24, "24+ Months")</f>
        <v>12-24 Months</v>
      </c>
      <c r="N558" t="str" cm="1">
        <f t="array" ref="N558">_xlfn.IFS(E558&lt;6, "12-18 Months", E558&lt;=12, "18-24 Months", E558&lt;=24, "24+ Months", E558&gt;24, "24+ Months")</f>
        <v>24+ Months</v>
      </c>
      <c r="O558" t="str" cm="1">
        <f t="array" ref="O558">_xlfn.IFS(D558&gt;=550, "Major", D558 &gt;= 100, "T1200", D558 &lt;100, "Other")</f>
        <v>T1200</v>
      </c>
      <c r="P558">
        <f t="shared" si="8"/>
        <v>0</v>
      </c>
    </row>
    <row r="559" spans="1:16" x14ac:dyDescent="0.2">
      <c r="A559" s="12">
        <v>115965</v>
      </c>
      <c r="B559" s="12" t="s">
        <v>622</v>
      </c>
      <c r="C559" s="13">
        <v>151</v>
      </c>
      <c r="D559" s="13">
        <v>140</v>
      </c>
      <c r="E559" s="13">
        <v>22</v>
      </c>
      <c r="F559" s="13">
        <v>0</v>
      </c>
      <c r="G559" s="13">
        <v>0</v>
      </c>
      <c r="H559" s="13">
        <v>0</v>
      </c>
      <c r="I559" s="14">
        <v>0</v>
      </c>
      <c r="J559" s="14">
        <v>0</v>
      </c>
      <c r="K559" s="14">
        <v>0</v>
      </c>
      <c r="L559" s="13">
        <v>2</v>
      </c>
      <c r="M559" t="str" cm="1">
        <f t="array" ref="M559">_xlfn.IFS(E559&lt;6, "0-6 Months", E559&lt;=12, "6-12 Months", E559&lt;=24, "12-24 Months", E559&gt;24, "24+ Months")</f>
        <v>12-24 Months</v>
      </c>
      <c r="N559" t="str" cm="1">
        <f t="array" ref="N559">_xlfn.IFS(E559&lt;6, "12-18 Months", E559&lt;=12, "18-24 Months", E559&lt;=24, "24+ Months", E559&gt;24, "24+ Months")</f>
        <v>24+ Months</v>
      </c>
      <c r="O559" t="str" cm="1">
        <f t="array" ref="O559">_xlfn.IFS(D559&gt;=550, "Major", D559 &gt;= 100, "T1200", D559 &lt;100, "Other")</f>
        <v>T1200</v>
      </c>
      <c r="P559">
        <f t="shared" si="8"/>
        <v>0</v>
      </c>
    </row>
    <row r="560" spans="1:16" x14ac:dyDescent="0.2">
      <c r="A560" s="12">
        <v>210651</v>
      </c>
      <c r="B560" s="12" t="s">
        <v>678</v>
      </c>
      <c r="C560" s="13">
        <v>150</v>
      </c>
      <c r="D560" s="13">
        <v>180</v>
      </c>
      <c r="E560" s="13">
        <v>10</v>
      </c>
      <c r="F560" s="13">
        <v>0</v>
      </c>
      <c r="G560" s="13">
        <v>0</v>
      </c>
      <c r="H560" s="13">
        <v>0</v>
      </c>
      <c r="I560" s="14">
        <v>0</v>
      </c>
      <c r="J560" s="14">
        <v>0</v>
      </c>
      <c r="K560" s="14">
        <v>0</v>
      </c>
      <c r="L560" s="13">
        <v>0</v>
      </c>
      <c r="M560" t="str" cm="1">
        <f t="array" ref="M560">_xlfn.IFS(E560&lt;6, "0-6 Months", E560&lt;=12, "6-12 Months", E560&lt;=24, "12-24 Months", E560&gt;24, "24+ Months")</f>
        <v>6-12 Months</v>
      </c>
      <c r="N560" t="str" cm="1">
        <f t="array" ref="N560">_xlfn.IFS(E560&lt;6, "12-18 Months", E560&lt;=12, "18-24 Months", E560&lt;=24, "24+ Months", E560&gt;24, "24+ Months")</f>
        <v>18-24 Months</v>
      </c>
      <c r="O560" t="str" cm="1">
        <f t="array" ref="O560">_xlfn.IFS(D560&gt;=550, "Major", D560 &gt;= 100, "T1200", D560 &lt;100, "Other")</f>
        <v>T1200</v>
      </c>
      <c r="P560">
        <f t="shared" si="8"/>
        <v>0</v>
      </c>
    </row>
    <row r="561" spans="1:16" x14ac:dyDescent="0.2">
      <c r="A561" s="12">
        <v>112666</v>
      </c>
      <c r="B561" s="12" t="s">
        <v>633</v>
      </c>
      <c r="C561" s="13">
        <v>145</v>
      </c>
      <c r="D561" s="13">
        <v>62</v>
      </c>
      <c r="E561" s="13">
        <v>19</v>
      </c>
      <c r="F561" s="13">
        <v>0</v>
      </c>
      <c r="G561" s="13">
        <v>0</v>
      </c>
      <c r="H561" s="13">
        <v>0</v>
      </c>
      <c r="I561" s="14">
        <v>0</v>
      </c>
      <c r="J561" s="14">
        <v>0</v>
      </c>
      <c r="K561" s="14">
        <v>0</v>
      </c>
      <c r="L561" s="13">
        <v>0</v>
      </c>
      <c r="M561" t="str" cm="1">
        <f t="array" ref="M561">_xlfn.IFS(E561&lt;6, "0-6 Months", E561&lt;=12, "6-12 Months", E561&lt;=24, "12-24 Months", E561&gt;24, "24+ Months")</f>
        <v>12-24 Months</v>
      </c>
      <c r="N561" t="str" cm="1">
        <f t="array" ref="N561">_xlfn.IFS(E561&lt;6, "12-18 Months", E561&lt;=12, "18-24 Months", E561&lt;=24, "24+ Months", E561&gt;24, "24+ Months")</f>
        <v>24+ Months</v>
      </c>
      <c r="O561" t="str" cm="1">
        <f t="array" ref="O561">_xlfn.IFS(D561&gt;=550, "Major", D561 &gt;= 100, "T1200", D561 &lt;100, "Other")</f>
        <v>Other</v>
      </c>
      <c r="P561">
        <f t="shared" si="8"/>
        <v>0</v>
      </c>
    </row>
    <row r="562" spans="1:16" x14ac:dyDescent="0.2">
      <c r="A562" s="12">
        <v>106575</v>
      </c>
      <c r="B562" s="12" t="s">
        <v>644</v>
      </c>
      <c r="C562" s="13">
        <v>142</v>
      </c>
      <c r="D562" s="13">
        <v>166</v>
      </c>
      <c r="E562" s="13">
        <v>34</v>
      </c>
      <c r="F562" s="13">
        <v>0</v>
      </c>
      <c r="G562" s="13">
        <v>0</v>
      </c>
      <c r="H562" s="13">
        <v>0</v>
      </c>
      <c r="I562" s="14">
        <v>0</v>
      </c>
      <c r="J562" s="14">
        <v>0</v>
      </c>
      <c r="K562" s="14">
        <v>0</v>
      </c>
      <c r="L562" s="13">
        <v>0</v>
      </c>
      <c r="M562" t="str" cm="1">
        <f t="array" ref="M562">_xlfn.IFS(E562&lt;6, "0-6 Months", E562&lt;=12, "6-12 Months", E562&lt;=24, "12-24 Months", E562&gt;24, "24+ Months")</f>
        <v>24+ Months</v>
      </c>
      <c r="N562" t="str" cm="1">
        <f t="array" ref="N562">_xlfn.IFS(E562&lt;6, "12-18 Months", E562&lt;=12, "18-24 Months", E562&lt;=24, "24+ Months", E562&gt;24, "24+ Months")</f>
        <v>24+ Months</v>
      </c>
      <c r="O562" t="str" cm="1">
        <f t="array" ref="O562">_xlfn.IFS(D562&gt;=550, "Major", D562 &gt;= 100, "T1200", D562 &lt;100, "Other")</f>
        <v>T1200</v>
      </c>
      <c r="P562">
        <f t="shared" si="8"/>
        <v>0</v>
      </c>
    </row>
    <row r="563" spans="1:16" x14ac:dyDescent="0.2">
      <c r="A563" s="12">
        <v>110737</v>
      </c>
      <c r="B563" s="12" t="s">
        <v>657</v>
      </c>
      <c r="C563" s="13">
        <v>138</v>
      </c>
      <c r="D563" s="13">
        <v>120</v>
      </c>
      <c r="E563" s="13">
        <v>20</v>
      </c>
      <c r="F563" s="13">
        <v>0</v>
      </c>
      <c r="G563" s="13">
        <v>0</v>
      </c>
      <c r="H563" s="13">
        <v>0</v>
      </c>
      <c r="I563" s="14">
        <v>0</v>
      </c>
      <c r="J563" s="14">
        <v>0</v>
      </c>
      <c r="K563" s="14">
        <v>0</v>
      </c>
      <c r="L563" s="13">
        <v>0</v>
      </c>
      <c r="M563" t="str" cm="1">
        <f t="array" ref="M563">_xlfn.IFS(E563&lt;6, "0-6 Months", E563&lt;=12, "6-12 Months", E563&lt;=24, "12-24 Months", E563&gt;24, "24+ Months")</f>
        <v>12-24 Months</v>
      </c>
      <c r="N563" t="str" cm="1">
        <f t="array" ref="N563">_xlfn.IFS(E563&lt;6, "12-18 Months", E563&lt;=12, "18-24 Months", E563&lt;=24, "24+ Months", E563&gt;24, "24+ Months")</f>
        <v>24+ Months</v>
      </c>
      <c r="O563" t="str" cm="1">
        <f t="array" ref="O563">_xlfn.IFS(D563&gt;=550, "Major", D563 &gt;= 100, "T1200", D563 &lt;100, "Other")</f>
        <v>T1200</v>
      </c>
      <c r="P563">
        <f t="shared" si="8"/>
        <v>0</v>
      </c>
    </row>
    <row r="564" spans="1:16" x14ac:dyDescent="0.2">
      <c r="A564" s="12">
        <v>111152</v>
      </c>
      <c r="B564" s="12" t="s">
        <v>640</v>
      </c>
      <c r="C564" s="13">
        <v>130</v>
      </c>
      <c r="D564" s="13">
        <v>150</v>
      </c>
      <c r="E564" s="13">
        <v>50</v>
      </c>
      <c r="F564" s="13">
        <v>0</v>
      </c>
      <c r="G564" s="13">
        <v>0</v>
      </c>
      <c r="H564" s="13">
        <v>0</v>
      </c>
      <c r="I564" s="14">
        <v>0</v>
      </c>
      <c r="J564" s="14">
        <v>0</v>
      </c>
      <c r="K564" s="14">
        <v>0</v>
      </c>
      <c r="L564" s="13">
        <v>3</v>
      </c>
      <c r="M564" t="str" cm="1">
        <f t="array" ref="M564">_xlfn.IFS(E564&lt;6, "0-6 Months", E564&lt;=12, "6-12 Months", E564&lt;=24, "12-24 Months", E564&gt;24, "24+ Months")</f>
        <v>24+ Months</v>
      </c>
      <c r="N564" t="str" cm="1">
        <f t="array" ref="N564">_xlfn.IFS(E564&lt;6, "12-18 Months", E564&lt;=12, "18-24 Months", E564&lt;=24, "24+ Months", E564&gt;24, "24+ Months")</f>
        <v>24+ Months</v>
      </c>
      <c r="O564" t="str" cm="1">
        <f t="array" ref="O564">_xlfn.IFS(D564&gt;=550, "Major", D564 &gt;= 100, "T1200", D564 &lt;100, "Other")</f>
        <v>T1200</v>
      </c>
      <c r="P564">
        <f t="shared" si="8"/>
        <v>0</v>
      </c>
    </row>
    <row r="565" spans="1:16" x14ac:dyDescent="0.2">
      <c r="A565" s="12">
        <v>110456</v>
      </c>
      <c r="B565" s="12" t="s">
        <v>635</v>
      </c>
      <c r="C565" s="13">
        <v>78</v>
      </c>
      <c r="D565" s="13">
        <v>91</v>
      </c>
      <c r="E565" s="13">
        <v>51</v>
      </c>
      <c r="F565" s="13">
        <v>0</v>
      </c>
      <c r="G565" s="13">
        <v>0</v>
      </c>
      <c r="H565" s="13">
        <v>0</v>
      </c>
      <c r="I565" s="14">
        <v>0</v>
      </c>
      <c r="J565" s="14">
        <v>0</v>
      </c>
      <c r="K565" s="14">
        <v>0</v>
      </c>
      <c r="L565" s="13">
        <v>0</v>
      </c>
      <c r="M565" t="str" cm="1">
        <f t="array" ref="M565">_xlfn.IFS(E565&lt;6, "0-6 Months", E565&lt;=12, "6-12 Months", E565&lt;=24, "12-24 Months", E565&gt;24, "24+ Months")</f>
        <v>24+ Months</v>
      </c>
      <c r="N565" t="str" cm="1">
        <f t="array" ref="N565">_xlfn.IFS(E565&lt;6, "12-18 Months", E565&lt;=12, "18-24 Months", E565&lt;=24, "24+ Months", E565&gt;24, "24+ Months")</f>
        <v>24+ Months</v>
      </c>
      <c r="O565" t="str" cm="1">
        <f t="array" ref="O565">_xlfn.IFS(D565&gt;=550, "Major", D565 &gt;= 100, "T1200", D565 &lt;100, "Other")</f>
        <v>Other</v>
      </c>
      <c r="P565">
        <f t="shared" si="8"/>
        <v>0</v>
      </c>
    </row>
    <row r="566" spans="1:16" x14ac:dyDescent="0.2">
      <c r="A566" s="12">
        <v>116353</v>
      </c>
      <c r="B566" s="12" t="s">
        <v>672</v>
      </c>
      <c r="C566" s="13">
        <v>72</v>
      </c>
      <c r="D566" s="13">
        <v>72</v>
      </c>
      <c r="E566" s="13">
        <v>6</v>
      </c>
      <c r="F566" s="13">
        <v>0</v>
      </c>
      <c r="G566" s="13">
        <v>0</v>
      </c>
      <c r="H566" s="13">
        <v>0</v>
      </c>
      <c r="I566" s="14">
        <v>0</v>
      </c>
      <c r="J566" s="14">
        <v>0</v>
      </c>
      <c r="K566" s="14">
        <v>0</v>
      </c>
      <c r="L566" s="13">
        <v>0</v>
      </c>
      <c r="M566" t="str" cm="1">
        <f t="array" ref="M566">_xlfn.IFS(E566&lt;6, "0-6 Months", E566&lt;=12, "6-12 Months", E566&lt;=24, "12-24 Months", E566&gt;24, "24+ Months")</f>
        <v>6-12 Months</v>
      </c>
      <c r="N566" t="str" cm="1">
        <f t="array" ref="N566">_xlfn.IFS(E566&lt;6, "12-18 Months", E566&lt;=12, "18-24 Months", E566&lt;=24, "24+ Months", E566&gt;24, "24+ Months")</f>
        <v>18-24 Months</v>
      </c>
      <c r="O566" t="str" cm="1">
        <f t="array" ref="O566">_xlfn.IFS(D566&gt;=550, "Major", D566 &gt;= 100, "T1200", D566 &lt;100, "Other")</f>
        <v>Other</v>
      </c>
      <c r="P566">
        <f t="shared" si="8"/>
        <v>0</v>
      </c>
    </row>
    <row r="567" spans="1:16" x14ac:dyDescent="0.2">
      <c r="A567" s="12">
        <v>115752</v>
      </c>
      <c r="B567" s="12" t="s">
        <v>651</v>
      </c>
      <c r="C567" s="13">
        <v>60</v>
      </c>
      <c r="D567" s="13">
        <v>130</v>
      </c>
      <c r="E567" s="13">
        <v>39</v>
      </c>
      <c r="F567" s="13">
        <v>0</v>
      </c>
      <c r="G567" s="13">
        <v>0</v>
      </c>
      <c r="H567" s="13">
        <v>0</v>
      </c>
      <c r="I567" s="14">
        <v>0</v>
      </c>
      <c r="J567" s="14">
        <v>0</v>
      </c>
      <c r="K567" s="14">
        <v>0</v>
      </c>
      <c r="L567" s="13">
        <v>0</v>
      </c>
      <c r="M567" t="str" cm="1">
        <f t="array" ref="M567">_xlfn.IFS(E567&lt;6, "0-6 Months", E567&lt;=12, "6-12 Months", E567&lt;=24, "12-24 Months", E567&gt;24, "24+ Months")</f>
        <v>24+ Months</v>
      </c>
      <c r="N567" t="str" cm="1">
        <f t="array" ref="N567">_xlfn.IFS(E567&lt;6, "12-18 Months", E567&lt;=12, "18-24 Months", E567&lt;=24, "24+ Months", E567&gt;24, "24+ Months")</f>
        <v>24+ Months</v>
      </c>
      <c r="O567" t="str" cm="1">
        <f t="array" ref="O567">_xlfn.IFS(D567&gt;=550, "Major", D567 &gt;= 100, "T1200", D567 &lt;100, "Other")</f>
        <v>T1200</v>
      </c>
      <c r="P567">
        <f t="shared" si="8"/>
        <v>0</v>
      </c>
    </row>
    <row r="568" spans="1:16" x14ac:dyDescent="0.2">
      <c r="A568" s="12">
        <v>315246</v>
      </c>
      <c r="B568" s="12" t="s">
        <v>680</v>
      </c>
      <c r="C568" s="13">
        <v>57</v>
      </c>
      <c r="D568" s="13">
        <v>27</v>
      </c>
      <c r="E568" s="13">
        <v>49</v>
      </c>
      <c r="F568" s="13">
        <v>0</v>
      </c>
      <c r="G568" s="13">
        <v>0</v>
      </c>
      <c r="H568" s="13">
        <v>0</v>
      </c>
      <c r="I568" s="14">
        <v>0</v>
      </c>
      <c r="J568" s="14">
        <v>0</v>
      </c>
      <c r="K568" s="14">
        <v>0</v>
      </c>
      <c r="L568" s="13">
        <v>0</v>
      </c>
      <c r="M568" t="str" cm="1">
        <f t="array" ref="M568">_xlfn.IFS(E568&lt;6, "0-6 Months", E568&lt;=12, "6-12 Months", E568&lt;=24, "12-24 Months", E568&gt;24, "24+ Months")</f>
        <v>24+ Months</v>
      </c>
      <c r="N568" t="str" cm="1">
        <f t="array" ref="N568">_xlfn.IFS(E568&lt;6, "12-18 Months", E568&lt;=12, "18-24 Months", E568&lt;=24, "24+ Months", E568&gt;24, "24+ Months")</f>
        <v>24+ Months</v>
      </c>
      <c r="O568" t="str" cm="1">
        <f t="array" ref="O568">_xlfn.IFS(D568&gt;=550, "Major", D568 &gt;= 100, "T1200", D568 &lt;100, "Other")</f>
        <v>Other</v>
      </c>
      <c r="P568">
        <f t="shared" si="8"/>
        <v>0</v>
      </c>
    </row>
    <row r="569" spans="1:16" x14ac:dyDescent="0.2">
      <c r="A569" s="12">
        <v>106139</v>
      </c>
      <c r="B569" s="12" t="s">
        <v>655</v>
      </c>
      <c r="C569" s="13">
        <v>50</v>
      </c>
      <c r="D569" s="13">
        <v>92</v>
      </c>
      <c r="E569" s="13">
        <v>6</v>
      </c>
      <c r="F569" s="13">
        <v>0</v>
      </c>
      <c r="G569" s="13">
        <v>0</v>
      </c>
      <c r="H569" s="13">
        <v>0</v>
      </c>
      <c r="I569" s="14">
        <v>0</v>
      </c>
      <c r="J569" s="14">
        <v>0</v>
      </c>
      <c r="K569" s="14">
        <v>0</v>
      </c>
      <c r="L569" s="13">
        <v>0</v>
      </c>
      <c r="M569" t="str" cm="1">
        <f t="array" ref="M569">_xlfn.IFS(E569&lt;6, "0-6 Months", E569&lt;=12, "6-12 Months", E569&lt;=24, "12-24 Months", E569&gt;24, "24+ Months")</f>
        <v>6-12 Months</v>
      </c>
      <c r="N569" t="str" cm="1">
        <f t="array" ref="N569">_xlfn.IFS(E569&lt;6, "12-18 Months", E569&lt;=12, "18-24 Months", E569&lt;=24, "24+ Months", E569&gt;24, "24+ Months")</f>
        <v>18-24 Months</v>
      </c>
      <c r="O569" t="str" cm="1">
        <f t="array" ref="O569">_xlfn.IFS(D569&gt;=550, "Major", D569 &gt;= 100, "T1200", D569 &lt;100, "Other")</f>
        <v>Other</v>
      </c>
      <c r="P569">
        <f t="shared" si="8"/>
        <v>0</v>
      </c>
    </row>
    <row r="570" spans="1:16" x14ac:dyDescent="0.2">
      <c r="A570" s="12">
        <v>328070</v>
      </c>
      <c r="B570" s="12" t="s">
        <v>630</v>
      </c>
      <c r="C570" s="13">
        <v>45</v>
      </c>
      <c r="D570" s="13">
        <v>50</v>
      </c>
      <c r="E570" s="13">
        <v>48</v>
      </c>
      <c r="F570" s="13">
        <v>0</v>
      </c>
      <c r="G570" s="13">
        <v>0</v>
      </c>
      <c r="H570" s="13">
        <v>0</v>
      </c>
      <c r="I570" s="14">
        <v>0</v>
      </c>
      <c r="J570" s="14">
        <v>0</v>
      </c>
      <c r="K570" s="14">
        <v>0</v>
      </c>
      <c r="L570" s="13">
        <v>0</v>
      </c>
      <c r="M570" t="str" cm="1">
        <f t="array" ref="M570">_xlfn.IFS(E570&lt;6, "0-6 Months", E570&lt;=12, "6-12 Months", E570&lt;=24, "12-24 Months", E570&gt;24, "24+ Months")</f>
        <v>24+ Months</v>
      </c>
      <c r="N570" t="str" cm="1">
        <f t="array" ref="N570">_xlfn.IFS(E570&lt;6, "12-18 Months", E570&lt;=12, "18-24 Months", E570&lt;=24, "24+ Months", E570&gt;24, "24+ Months")</f>
        <v>24+ Months</v>
      </c>
      <c r="O570" t="str" cm="1">
        <f t="array" ref="O570">_xlfn.IFS(D570&gt;=550, "Major", D570 &gt;= 100, "T1200", D570 &lt;100, "Other")</f>
        <v>Other</v>
      </c>
      <c r="P570">
        <f t="shared" si="8"/>
        <v>0</v>
      </c>
    </row>
    <row r="571" spans="1:16" x14ac:dyDescent="0.2">
      <c r="A571" s="12">
        <v>459683</v>
      </c>
      <c r="B571" s="12" t="s">
        <v>639</v>
      </c>
      <c r="C571" s="13">
        <v>45</v>
      </c>
      <c r="D571" s="13">
        <v>40</v>
      </c>
      <c r="E571" s="13">
        <v>18</v>
      </c>
      <c r="F571" s="13">
        <v>0</v>
      </c>
      <c r="G571" s="13">
        <v>0</v>
      </c>
      <c r="H571" s="13">
        <v>0</v>
      </c>
      <c r="I571" s="14">
        <v>0</v>
      </c>
      <c r="J571" s="14">
        <v>0</v>
      </c>
      <c r="K571" s="14">
        <v>0</v>
      </c>
      <c r="L571" s="13">
        <v>0</v>
      </c>
      <c r="M571" t="str" cm="1">
        <f t="array" ref="M571">_xlfn.IFS(E571&lt;6, "0-6 Months", E571&lt;=12, "6-12 Months", E571&lt;=24, "12-24 Months", E571&gt;24, "24+ Months")</f>
        <v>12-24 Months</v>
      </c>
      <c r="N571" t="str" cm="1">
        <f t="array" ref="N571">_xlfn.IFS(E571&lt;6, "12-18 Months", E571&lt;=12, "18-24 Months", E571&lt;=24, "24+ Months", E571&gt;24, "24+ Months")</f>
        <v>24+ Months</v>
      </c>
      <c r="O571" t="str" cm="1">
        <f t="array" ref="O571">_xlfn.IFS(D571&gt;=550, "Major", D571 &gt;= 100, "T1200", D571 &lt;100, "Other")</f>
        <v>Other</v>
      </c>
      <c r="P571">
        <f t="shared" si="8"/>
        <v>0</v>
      </c>
    </row>
    <row r="572" spans="1:16" x14ac:dyDescent="0.2">
      <c r="A572" s="12">
        <v>113455</v>
      </c>
      <c r="B572" s="12" t="s">
        <v>647</v>
      </c>
      <c r="C572" s="13">
        <v>42</v>
      </c>
      <c r="D572" s="13">
        <v>35</v>
      </c>
      <c r="E572" s="13">
        <v>38</v>
      </c>
      <c r="F572" s="13">
        <v>0</v>
      </c>
      <c r="G572" s="13">
        <v>0</v>
      </c>
      <c r="H572" s="13">
        <v>0</v>
      </c>
      <c r="I572" s="14">
        <v>0</v>
      </c>
      <c r="J572" s="14">
        <v>0</v>
      </c>
      <c r="K572" s="14">
        <v>0</v>
      </c>
      <c r="L572" s="13">
        <v>0</v>
      </c>
      <c r="M572" t="str" cm="1">
        <f t="array" ref="M572">_xlfn.IFS(E572&lt;6, "0-6 Months", E572&lt;=12, "6-12 Months", E572&lt;=24, "12-24 Months", E572&gt;24, "24+ Months")</f>
        <v>24+ Months</v>
      </c>
      <c r="N572" t="str" cm="1">
        <f t="array" ref="N572">_xlfn.IFS(E572&lt;6, "12-18 Months", E572&lt;=12, "18-24 Months", E572&lt;=24, "24+ Months", E572&gt;24, "24+ Months")</f>
        <v>24+ Months</v>
      </c>
      <c r="O572" t="str" cm="1">
        <f t="array" ref="O572">_xlfn.IFS(D572&gt;=550, "Major", D572 &gt;= 100, "T1200", D572 &lt;100, "Other")</f>
        <v>Other</v>
      </c>
      <c r="P572">
        <f t="shared" si="8"/>
        <v>0</v>
      </c>
    </row>
    <row r="573" spans="1:16" x14ac:dyDescent="0.2">
      <c r="A573" s="12">
        <v>112069</v>
      </c>
      <c r="B573" s="12" t="s">
        <v>668</v>
      </c>
      <c r="C573" s="13">
        <v>32</v>
      </c>
      <c r="D573" s="13">
        <v>42</v>
      </c>
      <c r="E573" s="13">
        <v>18</v>
      </c>
      <c r="F573" s="13">
        <v>0</v>
      </c>
      <c r="G573" s="13">
        <v>0</v>
      </c>
      <c r="H573" s="13">
        <v>0</v>
      </c>
      <c r="I573" s="14">
        <v>0</v>
      </c>
      <c r="J573" s="14">
        <v>0</v>
      </c>
      <c r="K573" s="14">
        <v>0</v>
      </c>
      <c r="L573" s="13">
        <v>0</v>
      </c>
      <c r="M573" t="str" cm="1">
        <f t="array" ref="M573">_xlfn.IFS(E573&lt;6, "0-6 Months", E573&lt;=12, "6-12 Months", E573&lt;=24, "12-24 Months", E573&gt;24, "24+ Months")</f>
        <v>12-24 Months</v>
      </c>
      <c r="N573" t="str" cm="1">
        <f t="array" ref="N573">_xlfn.IFS(E573&lt;6, "12-18 Months", E573&lt;=12, "18-24 Months", E573&lt;=24, "24+ Months", E573&gt;24, "24+ Months")</f>
        <v>24+ Months</v>
      </c>
      <c r="O573" t="str" cm="1">
        <f t="array" ref="O573">_xlfn.IFS(D573&gt;=550, "Major", D573 &gt;= 100, "T1200", D573 &lt;100, "Other")</f>
        <v>Other</v>
      </c>
      <c r="P573">
        <f t="shared" si="8"/>
        <v>0</v>
      </c>
    </row>
    <row r="574" spans="1:16" x14ac:dyDescent="0.2">
      <c r="A574" s="12">
        <v>475505</v>
      </c>
      <c r="B574" s="12" t="s">
        <v>677</v>
      </c>
      <c r="C574" s="13">
        <v>31</v>
      </c>
      <c r="D574" s="13">
        <v>31</v>
      </c>
      <c r="E574" s="13">
        <v>12</v>
      </c>
      <c r="F574" s="13">
        <v>0</v>
      </c>
      <c r="G574" s="13">
        <v>0</v>
      </c>
      <c r="H574" s="13">
        <v>0</v>
      </c>
      <c r="I574" s="14">
        <v>0</v>
      </c>
      <c r="J574" s="14">
        <v>0</v>
      </c>
      <c r="K574" s="14">
        <v>0</v>
      </c>
      <c r="L574" s="13">
        <v>3</v>
      </c>
      <c r="M574" t="str" cm="1">
        <f t="array" ref="M574">_xlfn.IFS(E574&lt;6, "0-6 Months", E574&lt;=12, "6-12 Months", E574&lt;=24, "12-24 Months", E574&gt;24, "24+ Months")</f>
        <v>6-12 Months</v>
      </c>
      <c r="N574" t="str" cm="1">
        <f t="array" ref="N574">_xlfn.IFS(E574&lt;6, "12-18 Months", E574&lt;=12, "18-24 Months", E574&lt;=24, "24+ Months", E574&gt;24, "24+ Months")</f>
        <v>18-24 Months</v>
      </c>
      <c r="O574" t="str" cm="1">
        <f t="array" ref="O574">_xlfn.IFS(D574&gt;=550, "Major", D574 &gt;= 100, "T1200", D574 &lt;100, "Other")</f>
        <v>Other</v>
      </c>
      <c r="P574">
        <f t="shared" si="8"/>
        <v>0</v>
      </c>
    </row>
    <row r="575" spans="1:16" x14ac:dyDescent="0.2">
      <c r="A575" s="12">
        <v>305999</v>
      </c>
      <c r="B575" s="12" t="s">
        <v>626</v>
      </c>
      <c r="C575" s="13">
        <v>28</v>
      </c>
      <c r="D575" s="13">
        <v>24</v>
      </c>
      <c r="E575" s="13">
        <v>6</v>
      </c>
      <c r="F575" s="13">
        <v>0</v>
      </c>
      <c r="G575" s="13">
        <v>0</v>
      </c>
      <c r="H575" s="13">
        <v>0</v>
      </c>
      <c r="I575" s="14">
        <v>0</v>
      </c>
      <c r="J575" s="14">
        <v>0</v>
      </c>
      <c r="K575" s="14">
        <v>0</v>
      </c>
      <c r="L575" s="13">
        <v>0</v>
      </c>
      <c r="M575" t="str" cm="1">
        <f t="array" ref="M575">_xlfn.IFS(E575&lt;6, "0-6 Months", E575&lt;=12, "6-12 Months", E575&lt;=24, "12-24 Months", E575&gt;24, "24+ Months")</f>
        <v>6-12 Months</v>
      </c>
      <c r="N575" t="str" cm="1">
        <f t="array" ref="N575">_xlfn.IFS(E575&lt;6, "12-18 Months", E575&lt;=12, "18-24 Months", E575&lt;=24, "24+ Months", E575&gt;24, "24+ Months")</f>
        <v>18-24 Months</v>
      </c>
      <c r="O575" t="str" cm="1">
        <f t="array" ref="O575">_xlfn.IFS(D575&gt;=550, "Major", D575 &gt;= 100, "T1200", D575 &lt;100, "Other")</f>
        <v>Other</v>
      </c>
      <c r="P575">
        <f t="shared" si="8"/>
        <v>0</v>
      </c>
    </row>
    <row r="576" spans="1:16" x14ac:dyDescent="0.2">
      <c r="A576" s="12">
        <v>306001</v>
      </c>
      <c r="B576" s="12" t="s">
        <v>638</v>
      </c>
      <c r="C576" s="13">
        <v>25</v>
      </c>
      <c r="D576" s="13">
        <v>20</v>
      </c>
      <c r="E576" s="13">
        <v>6</v>
      </c>
      <c r="F576" s="13">
        <v>0</v>
      </c>
      <c r="G576" s="13">
        <v>0</v>
      </c>
      <c r="H576" s="13">
        <v>0</v>
      </c>
      <c r="I576" s="14">
        <v>0</v>
      </c>
      <c r="J576" s="14">
        <v>0</v>
      </c>
      <c r="K576" s="14">
        <v>0</v>
      </c>
      <c r="L576" s="13">
        <v>0</v>
      </c>
      <c r="M576" t="str" cm="1">
        <f t="array" ref="M576">_xlfn.IFS(E576&lt;6, "0-6 Months", E576&lt;=12, "6-12 Months", E576&lt;=24, "12-24 Months", E576&gt;24, "24+ Months")</f>
        <v>6-12 Months</v>
      </c>
      <c r="N576" t="str" cm="1">
        <f t="array" ref="N576">_xlfn.IFS(E576&lt;6, "12-18 Months", E576&lt;=12, "18-24 Months", E576&lt;=24, "24+ Months", E576&gt;24, "24+ Months")</f>
        <v>18-24 Months</v>
      </c>
      <c r="O576" t="str" cm="1">
        <f t="array" ref="O576">_xlfn.IFS(D576&gt;=550, "Major", D576 &gt;= 100, "T1200", D576 &lt;100, "Other")</f>
        <v>Other</v>
      </c>
      <c r="P576">
        <f t="shared" si="8"/>
        <v>0</v>
      </c>
    </row>
    <row r="577" spans="1:16" x14ac:dyDescent="0.2">
      <c r="A577" s="12">
        <v>109105</v>
      </c>
      <c r="B577" s="12" t="s">
        <v>627</v>
      </c>
      <c r="C577" s="13">
        <v>24</v>
      </c>
      <c r="D577" s="13">
        <v>27</v>
      </c>
      <c r="E577" s="13">
        <v>36</v>
      </c>
      <c r="F577" s="13">
        <v>0</v>
      </c>
      <c r="G577" s="13">
        <v>0</v>
      </c>
      <c r="H577" s="13">
        <v>0</v>
      </c>
      <c r="I577" s="14">
        <v>0</v>
      </c>
      <c r="J577" s="14">
        <v>0</v>
      </c>
      <c r="K577" s="14">
        <v>0</v>
      </c>
      <c r="L577" s="13">
        <v>18</v>
      </c>
      <c r="M577" t="str" cm="1">
        <f t="array" ref="M577">_xlfn.IFS(E577&lt;6, "0-6 Months", E577&lt;=12, "6-12 Months", E577&lt;=24, "12-24 Months", E577&gt;24, "24+ Months")</f>
        <v>24+ Months</v>
      </c>
      <c r="N577" t="str" cm="1">
        <f t="array" ref="N577">_xlfn.IFS(E577&lt;6, "12-18 Months", E577&lt;=12, "18-24 Months", E577&lt;=24, "24+ Months", E577&gt;24, "24+ Months")</f>
        <v>24+ Months</v>
      </c>
      <c r="O577" t="str" cm="1">
        <f t="array" ref="O577">_xlfn.IFS(D577&gt;=550, "Major", D577 &gt;= 100, "T1200", D577 &lt;100, "Other")</f>
        <v>Other</v>
      </c>
      <c r="P577">
        <f t="shared" si="8"/>
        <v>0</v>
      </c>
    </row>
    <row r="578" spans="1:16" x14ac:dyDescent="0.2">
      <c r="A578" s="12">
        <v>481940</v>
      </c>
      <c r="B578" s="12" t="s">
        <v>670</v>
      </c>
      <c r="C578" s="13">
        <v>23</v>
      </c>
      <c r="D578" s="13">
        <v>24</v>
      </c>
      <c r="E578" s="13">
        <v>21</v>
      </c>
      <c r="F578" s="13">
        <v>0</v>
      </c>
      <c r="G578" s="13">
        <v>0</v>
      </c>
      <c r="H578" s="13">
        <v>0</v>
      </c>
      <c r="I578" s="14">
        <v>0</v>
      </c>
      <c r="J578" s="14">
        <v>0</v>
      </c>
      <c r="K578" s="14">
        <v>0</v>
      </c>
      <c r="L578" s="13">
        <v>0</v>
      </c>
      <c r="M578" t="str" cm="1">
        <f t="array" ref="M578">_xlfn.IFS(E578&lt;6, "0-6 Months", E578&lt;=12, "6-12 Months", E578&lt;=24, "12-24 Months", E578&gt;24, "24+ Months")</f>
        <v>12-24 Months</v>
      </c>
      <c r="N578" t="str" cm="1">
        <f t="array" ref="N578">_xlfn.IFS(E578&lt;6, "12-18 Months", E578&lt;=12, "18-24 Months", E578&lt;=24, "24+ Months", E578&gt;24, "24+ Months")</f>
        <v>24+ Months</v>
      </c>
      <c r="O578" t="str" cm="1">
        <f t="array" ref="O578">_xlfn.IFS(D578&gt;=550, "Major", D578 &gt;= 100, "T1200", D578 &lt;100, "Other")</f>
        <v>Other</v>
      </c>
      <c r="P578">
        <f t="shared" ref="P578:P611" si="9">SUMPRODUCT((I578&gt;=2) * C578 + ((D578&gt;=550) * (J578&gt;=0.75) * (I578&lt;2) * C578))</f>
        <v>0</v>
      </c>
    </row>
    <row r="579" spans="1:16" x14ac:dyDescent="0.2">
      <c r="A579" s="12">
        <v>513206</v>
      </c>
      <c r="B579" s="12" t="s">
        <v>653</v>
      </c>
      <c r="C579" s="13">
        <v>22</v>
      </c>
      <c r="D579" s="13">
        <v>14</v>
      </c>
      <c r="E579" s="13">
        <v>10</v>
      </c>
      <c r="F579" s="13">
        <v>0</v>
      </c>
      <c r="G579" s="13">
        <v>0</v>
      </c>
      <c r="H579" s="13">
        <v>0</v>
      </c>
      <c r="I579" s="14">
        <v>0</v>
      </c>
      <c r="J579" s="14">
        <v>0</v>
      </c>
      <c r="K579" s="14">
        <v>0</v>
      </c>
      <c r="L579" s="13">
        <v>0</v>
      </c>
      <c r="M579" t="str" cm="1">
        <f t="array" ref="M579">_xlfn.IFS(E579&lt;6, "0-6 Months", E579&lt;=12, "6-12 Months", E579&lt;=24, "12-24 Months", E579&gt;24, "24+ Months")</f>
        <v>6-12 Months</v>
      </c>
      <c r="N579" t="str" cm="1">
        <f t="array" ref="N579">_xlfn.IFS(E579&lt;6, "12-18 Months", E579&lt;=12, "18-24 Months", E579&lt;=24, "24+ Months", E579&gt;24, "24+ Months")</f>
        <v>18-24 Months</v>
      </c>
      <c r="O579" t="str" cm="1">
        <f t="array" ref="O579">_xlfn.IFS(D579&gt;=550, "Major", D579 &gt;= 100, "T1200", D579 &lt;100, "Other")</f>
        <v>Other</v>
      </c>
      <c r="P579">
        <f t="shared" si="9"/>
        <v>0</v>
      </c>
    </row>
    <row r="580" spans="1:16" x14ac:dyDescent="0.2">
      <c r="A580" s="12">
        <v>123323</v>
      </c>
      <c r="B580" s="12" t="s">
        <v>661</v>
      </c>
      <c r="C580" s="13">
        <v>21</v>
      </c>
      <c r="D580" s="13">
        <v>20</v>
      </c>
      <c r="E580" s="13">
        <v>6</v>
      </c>
      <c r="F580" s="13">
        <v>0</v>
      </c>
      <c r="G580" s="13">
        <v>0</v>
      </c>
      <c r="H580" s="13">
        <v>0</v>
      </c>
      <c r="I580" s="14">
        <v>0</v>
      </c>
      <c r="J580" s="14">
        <v>0</v>
      </c>
      <c r="K580" s="14">
        <v>0</v>
      </c>
      <c r="L580" s="13">
        <v>0</v>
      </c>
      <c r="M580" t="str" cm="1">
        <f t="array" ref="M580">_xlfn.IFS(E580&lt;6, "0-6 Months", E580&lt;=12, "6-12 Months", E580&lt;=24, "12-24 Months", E580&gt;24, "24+ Months")</f>
        <v>6-12 Months</v>
      </c>
      <c r="N580" t="str" cm="1">
        <f t="array" ref="N580">_xlfn.IFS(E580&lt;6, "12-18 Months", E580&lt;=12, "18-24 Months", E580&lt;=24, "24+ Months", E580&gt;24, "24+ Months")</f>
        <v>18-24 Months</v>
      </c>
      <c r="O580" t="str" cm="1">
        <f t="array" ref="O580">_xlfn.IFS(D580&gt;=550, "Major", D580 &gt;= 100, "T1200", D580 &lt;100, "Other")</f>
        <v>Other</v>
      </c>
      <c r="P580">
        <f t="shared" si="9"/>
        <v>0</v>
      </c>
    </row>
    <row r="581" spans="1:16" x14ac:dyDescent="0.2">
      <c r="A581" s="12">
        <v>306000</v>
      </c>
      <c r="B581" s="12" t="s">
        <v>660</v>
      </c>
      <c r="C581" s="13">
        <v>20</v>
      </c>
      <c r="D581" s="13">
        <v>17</v>
      </c>
      <c r="E581" s="13">
        <v>6</v>
      </c>
      <c r="F581" s="13">
        <v>0</v>
      </c>
      <c r="G581" s="13">
        <v>0</v>
      </c>
      <c r="H581" s="13">
        <v>0</v>
      </c>
      <c r="I581" s="14">
        <v>0</v>
      </c>
      <c r="J581" s="14">
        <v>0</v>
      </c>
      <c r="K581" s="14">
        <v>0</v>
      </c>
      <c r="L581" s="13">
        <v>0</v>
      </c>
      <c r="M581" t="str" cm="1">
        <f t="array" ref="M581">_xlfn.IFS(E581&lt;6, "0-6 Months", E581&lt;=12, "6-12 Months", E581&lt;=24, "12-24 Months", E581&gt;24, "24+ Months")</f>
        <v>6-12 Months</v>
      </c>
      <c r="N581" t="str" cm="1">
        <f t="array" ref="N581">_xlfn.IFS(E581&lt;6, "12-18 Months", E581&lt;=12, "18-24 Months", E581&lt;=24, "24+ Months", E581&gt;24, "24+ Months")</f>
        <v>18-24 Months</v>
      </c>
      <c r="O581" t="str" cm="1">
        <f t="array" ref="O581">_xlfn.IFS(D581&gt;=550, "Major", D581 &gt;= 100, "T1200", D581 &lt;100, "Other")</f>
        <v>Other</v>
      </c>
      <c r="P581">
        <f t="shared" si="9"/>
        <v>0</v>
      </c>
    </row>
    <row r="582" spans="1:16" x14ac:dyDescent="0.2">
      <c r="A582" s="12">
        <v>114486</v>
      </c>
      <c r="B582" s="12" t="s">
        <v>658</v>
      </c>
      <c r="C582" s="13">
        <v>19</v>
      </c>
      <c r="D582" s="13">
        <v>20</v>
      </c>
      <c r="E582" s="13">
        <v>6</v>
      </c>
      <c r="F582" s="13">
        <v>0</v>
      </c>
      <c r="G582" s="13">
        <v>0</v>
      </c>
      <c r="H582" s="13">
        <v>0</v>
      </c>
      <c r="I582" s="14">
        <v>0</v>
      </c>
      <c r="J582" s="14">
        <v>0</v>
      </c>
      <c r="K582" s="14">
        <v>0</v>
      </c>
      <c r="L582" s="13">
        <v>0</v>
      </c>
      <c r="M582" t="str" cm="1">
        <f t="array" ref="M582">_xlfn.IFS(E582&lt;6, "0-6 Months", E582&lt;=12, "6-12 Months", E582&lt;=24, "12-24 Months", E582&gt;24, "24+ Months")</f>
        <v>6-12 Months</v>
      </c>
      <c r="N582" t="str" cm="1">
        <f t="array" ref="N582">_xlfn.IFS(E582&lt;6, "12-18 Months", E582&lt;=12, "18-24 Months", E582&lt;=24, "24+ Months", E582&gt;24, "24+ Months")</f>
        <v>18-24 Months</v>
      </c>
      <c r="O582" t="str" cm="1">
        <f t="array" ref="O582">_xlfn.IFS(D582&gt;=550, "Major", D582 &gt;= 100, "T1200", D582 &lt;100, "Other")</f>
        <v>Other</v>
      </c>
      <c r="P582">
        <f t="shared" si="9"/>
        <v>0</v>
      </c>
    </row>
    <row r="583" spans="1:16" x14ac:dyDescent="0.2">
      <c r="A583" s="12">
        <v>313390</v>
      </c>
      <c r="B583" s="12" t="s">
        <v>669</v>
      </c>
      <c r="C583" s="13">
        <v>18</v>
      </c>
      <c r="D583" s="13">
        <v>12</v>
      </c>
      <c r="E583" s="13">
        <v>6</v>
      </c>
      <c r="F583" s="13">
        <v>0</v>
      </c>
      <c r="G583" s="13">
        <v>0</v>
      </c>
      <c r="H583" s="13">
        <v>0</v>
      </c>
      <c r="I583" s="14">
        <v>0</v>
      </c>
      <c r="J583" s="14">
        <v>0</v>
      </c>
      <c r="K583" s="14">
        <v>0</v>
      </c>
      <c r="L583" s="13">
        <v>0</v>
      </c>
      <c r="M583" t="str" cm="1">
        <f t="array" ref="M583">_xlfn.IFS(E583&lt;6, "0-6 Months", E583&lt;=12, "6-12 Months", E583&lt;=24, "12-24 Months", E583&gt;24, "24+ Months")</f>
        <v>6-12 Months</v>
      </c>
      <c r="N583" t="str" cm="1">
        <f t="array" ref="N583">_xlfn.IFS(E583&lt;6, "12-18 Months", E583&lt;=12, "18-24 Months", E583&lt;=24, "24+ Months", E583&gt;24, "24+ Months")</f>
        <v>18-24 Months</v>
      </c>
      <c r="O583" t="str" cm="1">
        <f t="array" ref="O583">_xlfn.IFS(D583&gt;=550, "Major", D583 &gt;= 100, "T1200", D583 &lt;100, "Other")</f>
        <v>Other</v>
      </c>
      <c r="P583">
        <f t="shared" si="9"/>
        <v>0</v>
      </c>
    </row>
    <row r="584" spans="1:16" x14ac:dyDescent="0.2">
      <c r="A584" s="12">
        <v>305998</v>
      </c>
      <c r="B584" s="12" t="s">
        <v>628</v>
      </c>
      <c r="C584" s="13">
        <v>17</v>
      </c>
      <c r="D584" s="13">
        <v>17</v>
      </c>
      <c r="E584" s="13">
        <v>6</v>
      </c>
      <c r="F584" s="13">
        <v>0</v>
      </c>
      <c r="G584" s="13">
        <v>0</v>
      </c>
      <c r="H584" s="13">
        <v>0</v>
      </c>
      <c r="I584" s="14">
        <v>0</v>
      </c>
      <c r="J584" s="14">
        <v>0</v>
      </c>
      <c r="K584" s="14">
        <v>0</v>
      </c>
      <c r="L584" s="13">
        <v>0</v>
      </c>
      <c r="M584" t="str" cm="1">
        <f t="array" ref="M584">_xlfn.IFS(E584&lt;6, "0-6 Months", E584&lt;=12, "6-12 Months", E584&lt;=24, "12-24 Months", E584&gt;24, "24+ Months")</f>
        <v>6-12 Months</v>
      </c>
      <c r="N584" t="str" cm="1">
        <f t="array" ref="N584">_xlfn.IFS(E584&lt;6, "12-18 Months", E584&lt;=12, "18-24 Months", E584&lt;=24, "24+ Months", E584&gt;24, "24+ Months")</f>
        <v>18-24 Months</v>
      </c>
      <c r="O584" t="str" cm="1">
        <f t="array" ref="O584">_xlfn.IFS(D584&gt;=550, "Major", D584 &gt;= 100, "T1200", D584 &lt;100, "Other")</f>
        <v>Other</v>
      </c>
      <c r="P584">
        <f t="shared" si="9"/>
        <v>0</v>
      </c>
    </row>
    <row r="585" spans="1:16" x14ac:dyDescent="0.2">
      <c r="A585" s="12">
        <v>478423</v>
      </c>
      <c r="B585" s="12" t="s">
        <v>624</v>
      </c>
      <c r="C585" s="13">
        <v>14</v>
      </c>
      <c r="D585" s="13">
        <v>14</v>
      </c>
      <c r="E585" s="13">
        <v>21</v>
      </c>
      <c r="F585" s="13">
        <v>0</v>
      </c>
      <c r="G585" s="13">
        <v>0</v>
      </c>
      <c r="H585" s="13">
        <v>0</v>
      </c>
      <c r="I585" s="14">
        <v>0</v>
      </c>
      <c r="J585" s="14">
        <v>0</v>
      </c>
      <c r="K585" s="14">
        <v>0</v>
      </c>
      <c r="L585" s="13">
        <v>0</v>
      </c>
      <c r="M585" t="str" cm="1">
        <f t="array" ref="M585">_xlfn.IFS(E585&lt;6, "0-6 Months", E585&lt;=12, "6-12 Months", E585&lt;=24, "12-24 Months", E585&gt;24, "24+ Months")</f>
        <v>12-24 Months</v>
      </c>
      <c r="N585" t="str" cm="1">
        <f t="array" ref="N585">_xlfn.IFS(E585&lt;6, "12-18 Months", E585&lt;=12, "18-24 Months", E585&lt;=24, "24+ Months", E585&gt;24, "24+ Months")</f>
        <v>24+ Months</v>
      </c>
      <c r="O585" t="str" cm="1">
        <f t="array" ref="O585">_xlfn.IFS(D585&gt;=550, "Major", D585 &gt;= 100, "T1200", D585 &lt;100, "Other")</f>
        <v>Other</v>
      </c>
      <c r="P585">
        <f t="shared" si="9"/>
        <v>0</v>
      </c>
    </row>
    <row r="586" spans="1:16" x14ac:dyDescent="0.2">
      <c r="A586" s="12">
        <v>157301</v>
      </c>
      <c r="B586" s="12" t="s">
        <v>667</v>
      </c>
      <c r="C586" s="13">
        <v>13</v>
      </c>
      <c r="D586" s="13">
        <v>15</v>
      </c>
      <c r="E586" s="13">
        <v>19</v>
      </c>
      <c r="F586" s="13">
        <v>0</v>
      </c>
      <c r="G586" s="13">
        <v>0</v>
      </c>
      <c r="H586" s="13">
        <v>0</v>
      </c>
      <c r="I586" s="14">
        <v>0</v>
      </c>
      <c r="J586" s="14">
        <v>0</v>
      </c>
      <c r="K586" s="14">
        <v>0</v>
      </c>
      <c r="L586" s="13">
        <v>0</v>
      </c>
      <c r="M586" t="str" cm="1">
        <f t="array" ref="M586">_xlfn.IFS(E586&lt;6, "0-6 Months", E586&lt;=12, "6-12 Months", E586&lt;=24, "12-24 Months", E586&gt;24, "24+ Months")</f>
        <v>12-24 Months</v>
      </c>
      <c r="N586" t="str" cm="1">
        <f t="array" ref="N586">_xlfn.IFS(E586&lt;6, "12-18 Months", E586&lt;=12, "18-24 Months", E586&lt;=24, "24+ Months", E586&gt;24, "24+ Months")</f>
        <v>24+ Months</v>
      </c>
      <c r="O586" t="str" cm="1">
        <f t="array" ref="O586">_xlfn.IFS(D586&gt;=550, "Major", D586 &gt;= 100, "T1200", D586 &lt;100, "Other")</f>
        <v>Other</v>
      </c>
      <c r="P586">
        <f t="shared" si="9"/>
        <v>0</v>
      </c>
    </row>
    <row r="587" spans="1:16" x14ac:dyDescent="0.2">
      <c r="A587" s="12">
        <v>488474</v>
      </c>
      <c r="B587" s="12" t="s">
        <v>663</v>
      </c>
      <c r="C587" s="13">
        <v>8</v>
      </c>
      <c r="D587" s="13">
        <v>7</v>
      </c>
      <c r="E587" s="13">
        <v>36</v>
      </c>
      <c r="F587" s="13">
        <v>0</v>
      </c>
      <c r="G587" s="13">
        <v>0</v>
      </c>
      <c r="H587" s="13">
        <v>0</v>
      </c>
      <c r="I587" s="14">
        <v>0</v>
      </c>
      <c r="J587" s="14">
        <v>0</v>
      </c>
      <c r="K587" s="14">
        <v>0</v>
      </c>
      <c r="L587" s="13">
        <v>0</v>
      </c>
      <c r="M587" t="str" cm="1">
        <f t="array" ref="M587">_xlfn.IFS(E587&lt;6, "0-6 Months", E587&lt;=12, "6-12 Months", E587&lt;=24, "12-24 Months", E587&gt;24, "24+ Months")</f>
        <v>24+ Months</v>
      </c>
      <c r="N587" t="str" cm="1">
        <f t="array" ref="N587">_xlfn.IFS(E587&lt;6, "12-18 Months", E587&lt;=12, "18-24 Months", E587&lt;=24, "24+ Months", E587&gt;24, "24+ Months")</f>
        <v>24+ Months</v>
      </c>
      <c r="O587" t="str" cm="1">
        <f t="array" ref="O587">_xlfn.IFS(D587&gt;=550, "Major", D587 &gt;= 100, "T1200", D587 &lt;100, "Other")</f>
        <v>Other</v>
      </c>
      <c r="P587">
        <f t="shared" si="9"/>
        <v>0</v>
      </c>
    </row>
    <row r="588" spans="1:16" x14ac:dyDescent="0.2">
      <c r="A588" s="12">
        <v>277916</v>
      </c>
      <c r="B588" s="12" t="s">
        <v>649</v>
      </c>
      <c r="C588" s="13">
        <v>7</v>
      </c>
      <c r="D588" s="13">
        <v>7</v>
      </c>
      <c r="E588" s="13">
        <v>22</v>
      </c>
      <c r="F588" s="13">
        <v>0</v>
      </c>
      <c r="G588" s="13">
        <v>0</v>
      </c>
      <c r="H588" s="13">
        <v>0</v>
      </c>
      <c r="I588" s="14">
        <v>0</v>
      </c>
      <c r="J588" s="14">
        <v>0</v>
      </c>
      <c r="K588" s="14">
        <v>0</v>
      </c>
      <c r="L588" s="13">
        <v>0</v>
      </c>
      <c r="M588" t="str" cm="1">
        <f t="array" ref="M588">_xlfn.IFS(E588&lt;6, "0-6 Months", E588&lt;=12, "6-12 Months", E588&lt;=24, "12-24 Months", E588&gt;24, "24+ Months")</f>
        <v>12-24 Months</v>
      </c>
      <c r="N588" t="str" cm="1">
        <f t="array" ref="N588">_xlfn.IFS(E588&lt;6, "12-18 Months", E588&lt;=12, "18-24 Months", E588&lt;=24, "24+ Months", E588&gt;24, "24+ Months")</f>
        <v>24+ Months</v>
      </c>
      <c r="O588" t="str" cm="1">
        <f t="array" ref="O588">_xlfn.IFS(D588&gt;=550, "Major", D588 &gt;= 100, "T1200", D588 &lt;100, "Other")</f>
        <v>Other</v>
      </c>
      <c r="P588">
        <f t="shared" si="9"/>
        <v>0</v>
      </c>
    </row>
    <row r="589" spans="1:16" x14ac:dyDescent="0.2">
      <c r="A589" s="12">
        <v>323066</v>
      </c>
      <c r="B589" s="12" t="s">
        <v>623</v>
      </c>
      <c r="C589" s="13">
        <v>6</v>
      </c>
      <c r="D589" s="13">
        <v>4</v>
      </c>
      <c r="E589" s="13">
        <v>11</v>
      </c>
      <c r="F589" s="13">
        <v>0</v>
      </c>
      <c r="G589" s="13">
        <v>0</v>
      </c>
      <c r="H589" s="13">
        <v>0</v>
      </c>
      <c r="I589" s="14">
        <v>0</v>
      </c>
      <c r="J589" s="14">
        <v>0</v>
      </c>
      <c r="K589" s="14">
        <v>0</v>
      </c>
      <c r="L589" s="13">
        <v>0</v>
      </c>
      <c r="M589" t="str" cm="1">
        <f t="array" ref="M589">_xlfn.IFS(E589&lt;6, "0-6 Months", E589&lt;=12, "6-12 Months", E589&lt;=24, "12-24 Months", E589&gt;24, "24+ Months")</f>
        <v>6-12 Months</v>
      </c>
      <c r="N589" t="str" cm="1">
        <f t="array" ref="N589">_xlfn.IFS(E589&lt;6, "12-18 Months", E589&lt;=12, "18-24 Months", E589&lt;=24, "24+ Months", E589&gt;24, "24+ Months")</f>
        <v>18-24 Months</v>
      </c>
      <c r="O589" t="str" cm="1">
        <f t="array" ref="O589">_xlfn.IFS(D589&gt;=550, "Major", D589 &gt;= 100, "T1200", D589 &lt;100, "Other")</f>
        <v>Other</v>
      </c>
      <c r="P589">
        <f t="shared" si="9"/>
        <v>0</v>
      </c>
    </row>
    <row r="590" spans="1:16" x14ac:dyDescent="0.2">
      <c r="A590" s="12">
        <v>556953</v>
      </c>
      <c r="B590" s="12" t="s">
        <v>625</v>
      </c>
      <c r="C590" s="13">
        <v>6</v>
      </c>
      <c r="D590" s="13">
        <v>5</v>
      </c>
      <c r="E590" s="13">
        <v>13</v>
      </c>
      <c r="F590" s="13">
        <v>0</v>
      </c>
      <c r="G590" s="13">
        <v>0</v>
      </c>
      <c r="H590" s="13">
        <v>0</v>
      </c>
      <c r="I590" s="14">
        <v>0</v>
      </c>
      <c r="J590" s="14">
        <v>0</v>
      </c>
      <c r="K590" s="14">
        <v>0</v>
      </c>
      <c r="L590" s="13">
        <v>0</v>
      </c>
      <c r="M590" t="str" cm="1">
        <f t="array" ref="M590">_xlfn.IFS(E590&lt;6, "0-6 Months", E590&lt;=12, "6-12 Months", E590&lt;=24, "12-24 Months", E590&gt;24, "24+ Months")</f>
        <v>12-24 Months</v>
      </c>
      <c r="N590" t="str" cm="1">
        <f t="array" ref="N590">_xlfn.IFS(E590&lt;6, "12-18 Months", E590&lt;=12, "18-24 Months", E590&lt;=24, "24+ Months", E590&gt;24, "24+ Months")</f>
        <v>24+ Months</v>
      </c>
      <c r="O590" t="str" cm="1">
        <f t="array" ref="O590">_xlfn.IFS(D590&gt;=550, "Major", D590 &gt;= 100, "T1200", D590 &lt;100, "Other")</f>
        <v>Other</v>
      </c>
      <c r="P590">
        <f t="shared" si="9"/>
        <v>0</v>
      </c>
    </row>
    <row r="591" spans="1:16" x14ac:dyDescent="0.2">
      <c r="A591" s="12">
        <v>498161</v>
      </c>
      <c r="B591" s="12" t="s">
        <v>643</v>
      </c>
      <c r="C591" s="13">
        <v>6</v>
      </c>
      <c r="D591" s="13">
        <v>4</v>
      </c>
      <c r="E591" s="13">
        <v>16</v>
      </c>
      <c r="F591" s="13">
        <v>0</v>
      </c>
      <c r="G591" s="13">
        <v>0</v>
      </c>
      <c r="H591" s="13">
        <v>0</v>
      </c>
      <c r="I591" s="14">
        <v>0</v>
      </c>
      <c r="J591" s="14">
        <v>0</v>
      </c>
      <c r="K591" s="14">
        <v>0</v>
      </c>
      <c r="L591" s="13">
        <v>0</v>
      </c>
      <c r="M591" t="str" cm="1">
        <f t="array" ref="M591">_xlfn.IFS(E591&lt;6, "0-6 Months", E591&lt;=12, "6-12 Months", E591&lt;=24, "12-24 Months", E591&gt;24, "24+ Months")</f>
        <v>12-24 Months</v>
      </c>
      <c r="N591" t="str" cm="1">
        <f t="array" ref="N591">_xlfn.IFS(E591&lt;6, "12-18 Months", E591&lt;=12, "18-24 Months", E591&lt;=24, "24+ Months", E591&gt;24, "24+ Months")</f>
        <v>24+ Months</v>
      </c>
      <c r="O591" t="str" cm="1">
        <f t="array" ref="O591">_xlfn.IFS(D591&gt;=550, "Major", D591 &gt;= 100, "T1200", D591 &lt;100, "Other")</f>
        <v>Other</v>
      </c>
      <c r="P591">
        <f t="shared" si="9"/>
        <v>0</v>
      </c>
    </row>
    <row r="592" spans="1:16" x14ac:dyDescent="0.2">
      <c r="A592" s="12">
        <v>106938</v>
      </c>
      <c r="B592" s="12" t="s">
        <v>675</v>
      </c>
      <c r="C592" s="13">
        <v>5</v>
      </c>
      <c r="D592" s="13">
        <v>11</v>
      </c>
      <c r="E592" s="13">
        <v>6</v>
      </c>
      <c r="F592" s="13">
        <v>0</v>
      </c>
      <c r="G592" s="13">
        <v>0</v>
      </c>
      <c r="H592" s="13">
        <v>0</v>
      </c>
      <c r="I592" s="14">
        <v>0</v>
      </c>
      <c r="J592" s="14">
        <v>0</v>
      </c>
      <c r="K592" s="14">
        <v>0</v>
      </c>
      <c r="L592" s="13">
        <v>0</v>
      </c>
      <c r="M592" t="str" cm="1">
        <f t="array" ref="M592">_xlfn.IFS(E592&lt;6, "0-6 Months", E592&lt;=12, "6-12 Months", E592&lt;=24, "12-24 Months", E592&gt;24, "24+ Months")</f>
        <v>6-12 Months</v>
      </c>
      <c r="N592" t="str" cm="1">
        <f t="array" ref="N592">_xlfn.IFS(E592&lt;6, "12-18 Months", E592&lt;=12, "18-24 Months", E592&lt;=24, "24+ Months", E592&gt;24, "24+ Months")</f>
        <v>18-24 Months</v>
      </c>
      <c r="O592" t="str" cm="1">
        <f t="array" ref="O592">_xlfn.IFS(D592&gt;=550, "Major", D592 &gt;= 100, "T1200", D592 &lt;100, "Other")</f>
        <v>Other</v>
      </c>
      <c r="P592">
        <f t="shared" si="9"/>
        <v>0</v>
      </c>
    </row>
    <row r="593" spans="1:16" x14ac:dyDescent="0.2">
      <c r="A593" s="12">
        <v>305270</v>
      </c>
      <c r="B593" s="12" t="s">
        <v>631</v>
      </c>
      <c r="C593" s="13">
        <v>4</v>
      </c>
      <c r="D593" s="13">
        <v>4</v>
      </c>
      <c r="E593" s="13">
        <v>20</v>
      </c>
      <c r="F593" s="13">
        <v>0</v>
      </c>
      <c r="G593" s="13">
        <v>0</v>
      </c>
      <c r="H593" s="13">
        <v>0</v>
      </c>
      <c r="I593" s="14">
        <v>0</v>
      </c>
      <c r="J593" s="14">
        <v>0</v>
      </c>
      <c r="K593" s="14">
        <v>0</v>
      </c>
      <c r="L593" s="13">
        <v>0</v>
      </c>
      <c r="M593" t="str" cm="1">
        <f t="array" ref="M593">_xlfn.IFS(E593&lt;6, "0-6 Months", E593&lt;=12, "6-12 Months", E593&lt;=24, "12-24 Months", E593&gt;24, "24+ Months")</f>
        <v>12-24 Months</v>
      </c>
      <c r="N593" t="str" cm="1">
        <f t="array" ref="N593">_xlfn.IFS(E593&lt;6, "12-18 Months", E593&lt;=12, "18-24 Months", E593&lt;=24, "24+ Months", E593&gt;24, "24+ Months")</f>
        <v>24+ Months</v>
      </c>
      <c r="O593" t="str" cm="1">
        <f t="array" ref="O593">_xlfn.IFS(D593&gt;=550, "Major", D593 &gt;= 100, "T1200", D593 &lt;100, "Other")</f>
        <v>Other</v>
      </c>
      <c r="P593">
        <f t="shared" si="9"/>
        <v>0</v>
      </c>
    </row>
    <row r="594" spans="1:16" x14ac:dyDescent="0.2">
      <c r="A594" s="12">
        <v>462439</v>
      </c>
      <c r="B594" s="12" t="s">
        <v>664</v>
      </c>
      <c r="C594" s="13">
        <v>4</v>
      </c>
      <c r="D594" s="13">
        <v>23</v>
      </c>
      <c r="E594" s="13">
        <v>6</v>
      </c>
      <c r="F594" s="13">
        <v>0</v>
      </c>
      <c r="G594" s="13">
        <v>0</v>
      </c>
      <c r="H594" s="13">
        <v>0</v>
      </c>
      <c r="I594" s="14">
        <v>0</v>
      </c>
      <c r="J594" s="14">
        <v>0</v>
      </c>
      <c r="K594" s="14">
        <v>0</v>
      </c>
      <c r="L594" s="13">
        <v>0</v>
      </c>
      <c r="M594" t="str" cm="1">
        <f t="array" ref="M594">_xlfn.IFS(E594&lt;6, "0-6 Months", E594&lt;=12, "6-12 Months", E594&lt;=24, "12-24 Months", E594&gt;24, "24+ Months")</f>
        <v>6-12 Months</v>
      </c>
      <c r="N594" t="str" cm="1">
        <f t="array" ref="N594">_xlfn.IFS(E594&lt;6, "12-18 Months", E594&lt;=12, "18-24 Months", E594&lt;=24, "24+ Months", E594&gt;24, "24+ Months")</f>
        <v>18-24 Months</v>
      </c>
      <c r="O594" t="str" cm="1">
        <f t="array" ref="O594">_xlfn.IFS(D594&gt;=550, "Major", D594 &gt;= 100, "T1200", D594 &lt;100, "Other")</f>
        <v>Other</v>
      </c>
      <c r="P594">
        <f t="shared" si="9"/>
        <v>0</v>
      </c>
    </row>
    <row r="595" spans="1:16" x14ac:dyDescent="0.2">
      <c r="A595" s="12">
        <v>305994</v>
      </c>
      <c r="B595" s="12" t="s">
        <v>666</v>
      </c>
      <c r="C595" s="13">
        <v>4</v>
      </c>
      <c r="D595" s="13">
        <v>18</v>
      </c>
      <c r="E595" s="13">
        <v>6</v>
      </c>
      <c r="F595" s="13">
        <v>0</v>
      </c>
      <c r="G595" s="13">
        <v>0</v>
      </c>
      <c r="H595" s="13">
        <v>0</v>
      </c>
      <c r="I595" s="14">
        <v>0</v>
      </c>
      <c r="J595" s="14">
        <v>0</v>
      </c>
      <c r="K595" s="14">
        <v>0</v>
      </c>
      <c r="L595" s="13">
        <v>0</v>
      </c>
      <c r="M595" t="str" cm="1">
        <f t="array" ref="M595">_xlfn.IFS(E595&lt;6, "0-6 Months", E595&lt;=12, "6-12 Months", E595&lt;=24, "12-24 Months", E595&gt;24, "24+ Months")</f>
        <v>6-12 Months</v>
      </c>
      <c r="N595" t="str" cm="1">
        <f t="array" ref="N595">_xlfn.IFS(E595&lt;6, "12-18 Months", E595&lt;=12, "18-24 Months", E595&lt;=24, "24+ Months", E595&gt;24, "24+ Months")</f>
        <v>18-24 Months</v>
      </c>
      <c r="O595" t="str" cm="1">
        <f t="array" ref="O595">_xlfn.IFS(D595&gt;=550, "Major", D595 &gt;= 100, "T1200", D595 &lt;100, "Other")</f>
        <v>Other</v>
      </c>
      <c r="P595">
        <f t="shared" si="9"/>
        <v>0</v>
      </c>
    </row>
    <row r="596" spans="1:16" x14ac:dyDescent="0.2">
      <c r="A596" s="12">
        <v>321548</v>
      </c>
      <c r="B596" s="12" t="s">
        <v>632</v>
      </c>
      <c r="C596" s="13">
        <v>2</v>
      </c>
      <c r="D596" s="13">
        <v>10</v>
      </c>
      <c r="E596" s="13">
        <v>6</v>
      </c>
      <c r="F596" s="13">
        <v>0</v>
      </c>
      <c r="G596" s="13">
        <v>0</v>
      </c>
      <c r="H596" s="13">
        <v>0</v>
      </c>
      <c r="I596" s="14">
        <v>0</v>
      </c>
      <c r="J596" s="14">
        <v>0</v>
      </c>
      <c r="K596" s="14">
        <v>0</v>
      </c>
      <c r="L596" s="13">
        <v>0</v>
      </c>
      <c r="M596" t="str" cm="1">
        <f t="array" ref="M596">_xlfn.IFS(E596&lt;6, "0-6 Months", E596&lt;=12, "6-12 Months", E596&lt;=24, "12-24 Months", E596&gt;24, "24+ Months")</f>
        <v>6-12 Months</v>
      </c>
      <c r="N596" t="str" cm="1">
        <f t="array" ref="N596">_xlfn.IFS(E596&lt;6, "12-18 Months", E596&lt;=12, "18-24 Months", E596&lt;=24, "24+ Months", E596&gt;24, "24+ Months")</f>
        <v>18-24 Months</v>
      </c>
      <c r="O596" t="str" cm="1">
        <f t="array" ref="O596">_xlfn.IFS(D596&gt;=550, "Major", D596 &gt;= 100, "T1200", D596 &lt;100, "Other")</f>
        <v>Other</v>
      </c>
      <c r="P596">
        <f t="shared" si="9"/>
        <v>0</v>
      </c>
    </row>
    <row r="597" spans="1:16" x14ac:dyDescent="0.2">
      <c r="A597" s="12">
        <v>213641</v>
      </c>
      <c r="B597" s="12" t="s">
        <v>654</v>
      </c>
      <c r="C597" s="13">
        <v>2</v>
      </c>
      <c r="D597" s="13">
        <v>20</v>
      </c>
      <c r="E597" s="13">
        <v>6</v>
      </c>
      <c r="F597" s="13">
        <v>0</v>
      </c>
      <c r="G597" s="13">
        <v>0</v>
      </c>
      <c r="H597" s="13">
        <v>0</v>
      </c>
      <c r="I597" s="14">
        <v>0</v>
      </c>
      <c r="J597" s="14">
        <v>0</v>
      </c>
      <c r="K597" s="14">
        <v>0</v>
      </c>
      <c r="L597" s="13">
        <v>0</v>
      </c>
      <c r="M597" t="str" cm="1">
        <f t="array" ref="M597">_xlfn.IFS(E597&lt;6, "0-6 Months", E597&lt;=12, "6-12 Months", E597&lt;=24, "12-24 Months", E597&gt;24, "24+ Months")</f>
        <v>6-12 Months</v>
      </c>
      <c r="N597" t="str" cm="1">
        <f t="array" ref="N597">_xlfn.IFS(E597&lt;6, "12-18 Months", E597&lt;=12, "18-24 Months", E597&lt;=24, "24+ Months", E597&gt;24, "24+ Months")</f>
        <v>18-24 Months</v>
      </c>
      <c r="O597" t="str" cm="1">
        <f t="array" ref="O597">_xlfn.IFS(D597&gt;=550, "Major", D597 &gt;= 100, "T1200", D597 &lt;100, "Other")</f>
        <v>Other</v>
      </c>
      <c r="P597">
        <f t="shared" si="9"/>
        <v>0</v>
      </c>
    </row>
    <row r="598" spans="1:16" x14ac:dyDescent="0.2">
      <c r="A598" s="12">
        <v>454236</v>
      </c>
      <c r="B598" s="12" t="s">
        <v>674</v>
      </c>
      <c r="C598" s="13">
        <v>2</v>
      </c>
      <c r="D598" s="13">
        <v>36</v>
      </c>
      <c r="E598" s="13">
        <v>7</v>
      </c>
      <c r="F598" s="13">
        <v>0</v>
      </c>
      <c r="G598" s="13">
        <v>0</v>
      </c>
      <c r="H598" s="13">
        <v>0</v>
      </c>
      <c r="I598" s="14">
        <v>0</v>
      </c>
      <c r="J598" s="14">
        <v>0</v>
      </c>
      <c r="K598" s="14">
        <v>0</v>
      </c>
      <c r="L598" s="13">
        <v>0</v>
      </c>
      <c r="M598" t="str" cm="1">
        <f t="array" ref="M598">_xlfn.IFS(E598&lt;6, "0-6 Months", E598&lt;=12, "6-12 Months", E598&lt;=24, "12-24 Months", E598&gt;24, "24+ Months")</f>
        <v>6-12 Months</v>
      </c>
      <c r="N598" t="str" cm="1">
        <f t="array" ref="N598">_xlfn.IFS(E598&lt;6, "12-18 Months", E598&lt;=12, "18-24 Months", E598&lt;=24, "24+ Months", E598&gt;24, "24+ Months")</f>
        <v>18-24 Months</v>
      </c>
      <c r="O598" t="str" cm="1">
        <f t="array" ref="O598">_xlfn.IFS(D598&gt;=550, "Major", D598 &gt;= 100, "T1200", D598 &lt;100, "Other")</f>
        <v>Other</v>
      </c>
      <c r="P598">
        <f t="shared" si="9"/>
        <v>0</v>
      </c>
    </row>
    <row r="599" spans="1:16" x14ac:dyDescent="0.2">
      <c r="A599" s="12">
        <v>128243</v>
      </c>
      <c r="B599" s="12" t="s">
        <v>636</v>
      </c>
      <c r="C599" s="13">
        <v>1</v>
      </c>
      <c r="D599" s="13">
        <v>20</v>
      </c>
      <c r="E599" s="13">
        <v>50</v>
      </c>
      <c r="F599" s="13">
        <v>0</v>
      </c>
      <c r="G599" s="13">
        <v>0</v>
      </c>
      <c r="H599" s="13">
        <v>0</v>
      </c>
      <c r="I599" s="14">
        <v>0</v>
      </c>
      <c r="J599" s="14">
        <v>0</v>
      </c>
      <c r="K599" s="14">
        <v>0</v>
      </c>
      <c r="L599" s="13">
        <v>0</v>
      </c>
      <c r="M599" t="str" cm="1">
        <f t="array" ref="M599">_xlfn.IFS(E599&lt;6, "0-6 Months", E599&lt;=12, "6-12 Months", E599&lt;=24, "12-24 Months", E599&gt;24, "24+ Months")</f>
        <v>24+ Months</v>
      </c>
      <c r="N599" t="str" cm="1">
        <f t="array" ref="N599">_xlfn.IFS(E599&lt;6, "12-18 Months", E599&lt;=12, "18-24 Months", E599&lt;=24, "24+ Months", E599&gt;24, "24+ Months")</f>
        <v>24+ Months</v>
      </c>
      <c r="O599" t="str" cm="1">
        <f t="array" ref="O599">_xlfn.IFS(D599&gt;=550, "Major", D599 &gt;= 100, "T1200", D599 &lt;100, "Other")</f>
        <v>Other</v>
      </c>
      <c r="P599">
        <f t="shared" si="9"/>
        <v>0</v>
      </c>
    </row>
    <row r="600" spans="1:16" x14ac:dyDescent="0.2">
      <c r="A600" s="12">
        <v>456328</v>
      </c>
      <c r="B600" s="12" t="s">
        <v>645</v>
      </c>
      <c r="C600" s="13">
        <v>1</v>
      </c>
      <c r="D600" s="13">
        <v>40</v>
      </c>
      <c r="E600" s="13">
        <v>6</v>
      </c>
      <c r="F600" s="13">
        <v>0</v>
      </c>
      <c r="G600" s="13">
        <v>0</v>
      </c>
      <c r="H600" s="13">
        <v>0</v>
      </c>
      <c r="I600" s="14">
        <v>0</v>
      </c>
      <c r="J600" s="14">
        <v>0</v>
      </c>
      <c r="K600" s="14">
        <v>0</v>
      </c>
      <c r="L600" s="13">
        <v>0</v>
      </c>
      <c r="M600" t="str" cm="1">
        <f t="array" ref="M600">_xlfn.IFS(E600&lt;6, "0-6 Months", E600&lt;=12, "6-12 Months", E600&lt;=24, "12-24 Months", E600&gt;24, "24+ Months")</f>
        <v>6-12 Months</v>
      </c>
      <c r="N600" t="str" cm="1">
        <f t="array" ref="N600">_xlfn.IFS(E600&lt;6, "12-18 Months", E600&lt;=12, "18-24 Months", E600&lt;=24, "24+ Months", E600&gt;24, "24+ Months")</f>
        <v>18-24 Months</v>
      </c>
      <c r="O600" t="str" cm="1">
        <f t="array" ref="O600">_xlfn.IFS(D600&gt;=550, "Major", D600 &gt;= 100, "T1200", D600 &lt;100, "Other")</f>
        <v>Other</v>
      </c>
      <c r="P600">
        <f t="shared" si="9"/>
        <v>0</v>
      </c>
    </row>
    <row r="601" spans="1:16" x14ac:dyDescent="0.2">
      <c r="A601" s="12">
        <v>110580</v>
      </c>
      <c r="B601" s="12" t="s">
        <v>665</v>
      </c>
      <c r="C601" s="13">
        <v>1</v>
      </c>
      <c r="D601" s="13">
        <v>70</v>
      </c>
      <c r="E601" s="13">
        <v>9</v>
      </c>
      <c r="F601" s="13">
        <v>0</v>
      </c>
      <c r="G601" s="13">
        <v>0</v>
      </c>
      <c r="H601" s="13">
        <v>0</v>
      </c>
      <c r="I601" s="14">
        <v>0</v>
      </c>
      <c r="J601" s="14">
        <v>0</v>
      </c>
      <c r="K601" s="14">
        <v>0</v>
      </c>
      <c r="L601" s="13">
        <v>0</v>
      </c>
      <c r="M601" t="str" cm="1">
        <f t="array" ref="M601">_xlfn.IFS(E601&lt;6, "0-6 Months", E601&lt;=12, "6-12 Months", E601&lt;=24, "12-24 Months", E601&gt;24, "24+ Months")</f>
        <v>6-12 Months</v>
      </c>
      <c r="N601" t="str" cm="1">
        <f t="array" ref="N601">_xlfn.IFS(E601&lt;6, "12-18 Months", E601&lt;=12, "18-24 Months", E601&lt;=24, "24+ Months", E601&gt;24, "24+ Months")</f>
        <v>18-24 Months</v>
      </c>
      <c r="O601" t="str" cm="1">
        <f t="array" ref="O601">_xlfn.IFS(D601&gt;=550, "Major", D601 &gt;= 100, "T1200", D601 &lt;100, "Other")</f>
        <v>Other</v>
      </c>
      <c r="P601">
        <f t="shared" si="9"/>
        <v>0</v>
      </c>
    </row>
    <row r="602" spans="1:16" x14ac:dyDescent="0.2">
      <c r="A602" s="12">
        <v>471807</v>
      </c>
      <c r="B602" s="12" t="s">
        <v>671</v>
      </c>
      <c r="C602" s="13">
        <v>1</v>
      </c>
      <c r="D602" s="13">
        <v>4</v>
      </c>
      <c r="E602" s="13">
        <v>13</v>
      </c>
      <c r="F602" s="13">
        <v>0</v>
      </c>
      <c r="G602" s="13">
        <v>0</v>
      </c>
      <c r="H602" s="13">
        <v>0</v>
      </c>
      <c r="I602" s="14">
        <v>0</v>
      </c>
      <c r="J602" s="14">
        <v>0</v>
      </c>
      <c r="K602" s="14">
        <v>0</v>
      </c>
      <c r="L602" s="13">
        <v>0</v>
      </c>
      <c r="M602" t="str" cm="1">
        <f t="array" ref="M602">_xlfn.IFS(E602&lt;6, "0-6 Months", E602&lt;=12, "6-12 Months", E602&lt;=24, "12-24 Months", E602&gt;24, "24+ Months")</f>
        <v>12-24 Months</v>
      </c>
      <c r="N602" t="str" cm="1">
        <f t="array" ref="N602">_xlfn.IFS(E602&lt;6, "12-18 Months", E602&lt;=12, "18-24 Months", E602&lt;=24, "24+ Months", E602&gt;24, "24+ Months")</f>
        <v>24+ Months</v>
      </c>
      <c r="O602" t="str" cm="1">
        <f t="array" ref="O602">_xlfn.IFS(D602&gt;=550, "Major", D602 &gt;= 100, "T1200", D602 &lt;100, "Other")</f>
        <v>Other</v>
      </c>
      <c r="P602">
        <f t="shared" si="9"/>
        <v>0</v>
      </c>
    </row>
    <row r="603" spans="1:16" x14ac:dyDescent="0.2">
      <c r="A603" s="12">
        <v>485188</v>
      </c>
      <c r="B603" s="12" t="s">
        <v>673</v>
      </c>
      <c r="C603" s="13">
        <v>1</v>
      </c>
      <c r="D603" s="13">
        <v>6</v>
      </c>
      <c r="E603" s="13">
        <v>21</v>
      </c>
      <c r="F603" s="13">
        <v>0</v>
      </c>
      <c r="G603" s="13">
        <v>0</v>
      </c>
      <c r="H603" s="13">
        <v>0</v>
      </c>
      <c r="I603" s="14">
        <v>0</v>
      </c>
      <c r="J603" s="14">
        <v>0</v>
      </c>
      <c r="K603" s="14">
        <v>0</v>
      </c>
      <c r="L603" s="13">
        <v>0</v>
      </c>
      <c r="M603" t="str" cm="1">
        <f t="array" ref="M603">_xlfn.IFS(E603&lt;6, "0-6 Months", E603&lt;=12, "6-12 Months", E603&lt;=24, "12-24 Months", E603&gt;24, "24+ Months")</f>
        <v>12-24 Months</v>
      </c>
      <c r="N603" t="str" cm="1">
        <f t="array" ref="N603">_xlfn.IFS(E603&lt;6, "12-18 Months", E603&lt;=12, "18-24 Months", E603&lt;=24, "24+ Months", E603&gt;24, "24+ Months")</f>
        <v>24+ Months</v>
      </c>
      <c r="O603" t="str" cm="1">
        <f t="array" ref="O603">_xlfn.IFS(D603&gt;=550, "Major", D603 &gt;= 100, "T1200", D603 &lt;100, "Other")</f>
        <v>Other</v>
      </c>
      <c r="P603">
        <f t="shared" si="9"/>
        <v>0</v>
      </c>
    </row>
    <row r="604" spans="1:16" x14ac:dyDescent="0.2">
      <c r="A604" s="12">
        <v>108380</v>
      </c>
      <c r="B604" s="12" t="s">
        <v>679</v>
      </c>
      <c r="C604" s="13">
        <v>1</v>
      </c>
      <c r="D604" s="13">
        <v>28</v>
      </c>
      <c r="E604" s="13">
        <v>34</v>
      </c>
      <c r="F604" s="13">
        <v>0</v>
      </c>
      <c r="G604" s="13">
        <v>0</v>
      </c>
      <c r="H604" s="13">
        <v>0</v>
      </c>
      <c r="I604" s="14">
        <v>0</v>
      </c>
      <c r="J604" s="14">
        <v>0</v>
      </c>
      <c r="K604" s="14">
        <v>0</v>
      </c>
      <c r="L604" s="13">
        <v>0</v>
      </c>
      <c r="M604" t="str" cm="1">
        <f t="array" ref="M604">_xlfn.IFS(E604&lt;6, "0-6 Months", E604&lt;=12, "6-12 Months", E604&lt;=24, "12-24 Months", E604&gt;24, "24+ Months")</f>
        <v>24+ Months</v>
      </c>
      <c r="N604" t="str" cm="1">
        <f t="array" ref="N604">_xlfn.IFS(E604&lt;6, "12-18 Months", E604&lt;=12, "18-24 Months", E604&lt;=24, "24+ Months", E604&gt;24, "24+ Months")</f>
        <v>24+ Months</v>
      </c>
      <c r="O604" t="str" cm="1">
        <f t="array" ref="O604">_xlfn.IFS(D604&gt;=550, "Major", D604 &gt;= 100, "T1200", D604 &lt;100, "Other")</f>
        <v>Other</v>
      </c>
      <c r="P604">
        <f t="shared" si="9"/>
        <v>0</v>
      </c>
    </row>
    <row r="605" spans="1:16" x14ac:dyDescent="0.2">
      <c r="A605" s="12">
        <v>551261</v>
      </c>
      <c r="B605" s="12" t="s">
        <v>617</v>
      </c>
      <c r="C605" s="13">
        <v>0</v>
      </c>
      <c r="D605" s="13">
        <v>50</v>
      </c>
      <c r="E605" s="13">
        <v>17</v>
      </c>
      <c r="F605" s="13">
        <v>0</v>
      </c>
      <c r="G605" s="13">
        <v>0</v>
      </c>
      <c r="H605" s="13">
        <v>0</v>
      </c>
      <c r="I605" s="14">
        <v>0</v>
      </c>
      <c r="J605" s="14">
        <v>0</v>
      </c>
      <c r="K605" s="14">
        <v>0</v>
      </c>
      <c r="L605" s="13">
        <v>0</v>
      </c>
      <c r="M605" t="str" cm="1">
        <f t="array" ref="M605">_xlfn.IFS(E605&lt;6, "0-6 Months", E605&lt;=12, "6-12 Months", E605&lt;=24, "12-24 Months", E605&gt;24, "24+ Months")</f>
        <v>12-24 Months</v>
      </c>
      <c r="N605" t="str" cm="1">
        <f t="array" ref="N605">_xlfn.IFS(E605&lt;6, "12-18 Months", E605&lt;=12, "18-24 Months", E605&lt;=24, "24+ Months", E605&gt;24, "24+ Months")</f>
        <v>24+ Months</v>
      </c>
      <c r="O605" t="str" cm="1">
        <f t="array" ref="O605">_xlfn.IFS(D605&gt;=550, "Major", D605 &gt;= 100, "T1200", D605 &lt;100, "Other")</f>
        <v>Other</v>
      </c>
      <c r="P605">
        <f t="shared" si="9"/>
        <v>0</v>
      </c>
    </row>
    <row r="606" spans="1:16" x14ac:dyDescent="0.2">
      <c r="A606" s="12" t="s">
        <v>619</v>
      </c>
      <c r="B606" s="12" t="s">
        <v>618</v>
      </c>
      <c r="C606" s="13">
        <v>0</v>
      </c>
      <c r="D606" s="13">
        <v>100</v>
      </c>
      <c r="E606" s="13">
        <v>6</v>
      </c>
      <c r="F606" s="13">
        <v>0</v>
      </c>
      <c r="G606" s="13">
        <v>0</v>
      </c>
      <c r="H606" s="13">
        <v>0</v>
      </c>
      <c r="I606" s="14">
        <v>0</v>
      </c>
      <c r="J606" s="14">
        <v>0</v>
      </c>
      <c r="K606" s="14">
        <v>0</v>
      </c>
      <c r="L606" s="13">
        <v>0</v>
      </c>
      <c r="M606" t="str" cm="1">
        <f t="array" ref="M606">_xlfn.IFS(E606&lt;6, "0-6 Months", E606&lt;=12, "6-12 Months", E606&lt;=24, "12-24 Months", E606&gt;24, "24+ Months")</f>
        <v>6-12 Months</v>
      </c>
      <c r="N606" t="str" cm="1">
        <f t="array" ref="N606">_xlfn.IFS(E606&lt;6, "12-18 Months", E606&lt;=12, "18-24 Months", E606&lt;=24, "24+ Months", E606&gt;24, "24+ Months")</f>
        <v>18-24 Months</v>
      </c>
      <c r="O606" t="str" cm="1">
        <f t="array" ref="O606">_xlfn.IFS(D606&gt;=550, "Major", D606 &gt;= 100, "T1200", D606 &lt;100, "Other")</f>
        <v>T1200</v>
      </c>
      <c r="P606">
        <f t="shared" si="9"/>
        <v>0</v>
      </c>
    </row>
    <row r="607" spans="1:16" x14ac:dyDescent="0.2">
      <c r="A607" s="12" t="s">
        <v>621</v>
      </c>
      <c r="B607" s="12" t="s">
        <v>620</v>
      </c>
      <c r="C607" s="13">
        <v>0</v>
      </c>
      <c r="D607" s="13">
        <v>250</v>
      </c>
      <c r="E607" s="13">
        <v>8</v>
      </c>
      <c r="F607" s="13">
        <v>0</v>
      </c>
      <c r="G607" s="13">
        <v>0</v>
      </c>
      <c r="H607" s="13">
        <v>0</v>
      </c>
      <c r="I607" s="14">
        <v>0</v>
      </c>
      <c r="J607" s="14">
        <v>0</v>
      </c>
      <c r="K607" s="14">
        <v>0</v>
      </c>
      <c r="L607" s="13">
        <v>0</v>
      </c>
      <c r="M607" t="str" cm="1">
        <f t="array" ref="M607">_xlfn.IFS(E607&lt;6, "0-6 Months", E607&lt;=12, "6-12 Months", E607&lt;=24, "12-24 Months", E607&gt;24, "24+ Months")</f>
        <v>6-12 Months</v>
      </c>
      <c r="N607" t="str" cm="1">
        <f t="array" ref="N607">_xlfn.IFS(E607&lt;6, "12-18 Months", E607&lt;=12, "18-24 Months", E607&lt;=24, "24+ Months", E607&gt;24, "24+ Months")</f>
        <v>18-24 Months</v>
      </c>
      <c r="O607" t="str" cm="1">
        <f t="array" ref="O607">_xlfn.IFS(D607&gt;=550, "Major", D607 &gt;= 100, "T1200", D607 &lt;100, "Other")</f>
        <v>T1200</v>
      </c>
      <c r="P607">
        <f t="shared" si="9"/>
        <v>0</v>
      </c>
    </row>
    <row r="608" spans="1:16" x14ac:dyDescent="0.2">
      <c r="A608" s="12" t="s">
        <v>621</v>
      </c>
      <c r="B608" s="12" t="s">
        <v>620</v>
      </c>
      <c r="C608" s="13">
        <v>0</v>
      </c>
      <c r="D608" s="13">
        <v>250</v>
      </c>
      <c r="E608" s="13">
        <v>8</v>
      </c>
      <c r="F608" s="13">
        <v>0</v>
      </c>
      <c r="G608" s="13">
        <v>0</v>
      </c>
      <c r="H608" s="13">
        <v>0</v>
      </c>
      <c r="I608" s="14">
        <v>0</v>
      </c>
      <c r="J608" s="14">
        <v>0</v>
      </c>
      <c r="K608" s="14">
        <v>0</v>
      </c>
      <c r="L608" s="13">
        <v>0</v>
      </c>
      <c r="M608" t="str" cm="1">
        <f t="array" ref="M608">_xlfn.IFS(E608&lt;6, "0-6 Months", E608&lt;=12, "6-12 Months", E608&lt;=24, "12-24 Months", E608&gt;24, "24+ Months")</f>
        <v>6-12 Months</v>
      </c>
      <c r="N608" t="str" cm="1">
        <f t="array" ref="N608">_xlfn.IFS(E608&lt;6, "12-18 Months", E608&lt;=12, "18-24 Months", E608&lt;=24, "24+ Months", E608&gt;24, "24+ Months")</f>
        <v>18-24 Months</v>
      </c>
      <c r="O608" t="str" cm="1">
        <f t="array" ref="O608">_xlfn.IFS(D608&gt;=550, "Major", D608 &gt;= 100, "T1200", D608 &lt;100, "Other")</f>
        <v>T1200</v>
      </c>
      <c r="P608">
        <f t="shared" si="9"/>
        <v>0</v>
      </c>
    </row>
    <row r="609" spans="1:16" x14ac:dyDescent="0.2">
      <c r="A609" s="12">
        <v>458279</v>
      </c>
      <c r="B609" s="12" t="s">
        <v>637</v>
      </c>
      <c r="C609" s="13">
        <v>0</v>
      </c>
      <c r="D609" s="13">
        <v>30</v>
      </c>
      <c r="E609" s="13">
        <v>20</v>
      </c>
      <c r="F609" s="13">
        <v>0</v>
      </c>
      <c r="G609" s="13">
        <v>0</v>
      </c>
      <c r="H609" s="13">
        <v>0</v>
      </c>
      <c r="I609" s="14">
        <v>0</v>
      </c>
      <c r="J609" s="14">
        <v>0</v>
      </c>
      <c r="K609" s="14">
        <v>0</v>
      </c>
      <c r="L609" s="13">
        <v>0</v>
      </c>
      <c r="M609" t="str" cm="1">
        <f t="array" ref="M609">_xlfn.IFS(E609&lt;6, "0-6 Months", E609&lt;=12, "6-12 Months", E609&lt;=24, "12-24 Months", E609&gt;24, "24+ Months")</f>
        <v>12-24 Months</v>
      </c>
      <c r="N609" t="str" cm="1">
        <f t="array" ref="N609">_xlfn.IFS(E609&lt;6, "12-18 Months", E609&lt;=12, "18-24 Months", E609&lt;=24, "24+ Months", E609&gt;24, "24+ Months")</f>
        <v>24+ Months</v>
      </c>
      <c r="O609" t="str" cm="1">
        <f t="array" ref="O609">_xlfn.IFS(D609&gt;=550, "Major", D609 &gt;= 100, "T1200", D609 &lt;100, "Other")</f>
        <v>Other</v>
      </c>
      <c r="P609">
        <f t="shared" si="9"/>
        <v>0</v>
      </c>
    </row>
    <row r="610" spans="1:16" x14ac:dyDescent="0.2">
      <c r="A610" s="12">
        <v>323651</v>
      </c>
      <c r="B610" s="12" t="s">
        <v>650</v>
      </c>
      <c r="C610" s="13">
        <v>0</v>
      </c>
      <c r="D610" s="13">
        <v>20</v>
      </c>
      <c r="E610" s="13">
        <v>12</v>
      </c>
      <c r="F610" s="13">
        <v>0</v>
      </c>
      <c r="G610" s="13">
        <v>0</v>
      </c>
      <c r="H610" s="13">
        <v>0</v>
      </c>
      <c r="I610" s="14">
        <v>0</v>
      </c>
      <c r="J610" s="14">
        <v>0</v>
      </c>
      <c r="K610" s="14">
        <v>0</v>
      </c>
      <c r="L610" s="13">
        <v>0</v>
      </c>
      <c r="M610" t="str" cm="1">
        <f t="array" ref="M610">_xlfn.IFS(E610&lt;6, "0-6 Months", E610&lt;=12, "6-12 Months", E610&lt;=24, "12-24 Months", E610&gt;24, "24+ Months")</f>
        <v>6-12 Months</v>
      </c>
      <c r="N610" t="str" cm="1">
        <f t="array" ref="N610">_xlfn.IFS(E610&lt;6, "12-18 Months", E610&lt;=12, "18-24 Months", E610&lt;=24, "24+ Months", E610&gt;24, "24+ Months")</f>
        <v>18-24 Months</v>
      </c>
      <c r="O610" t="str" cm="1">
        <f t="array" ref="O610">_xlfn.IFS(D610&gt;=550, "Major", D610 &gt;= 100, "T1200", D610 &lt;100, "Other")</f>
        <v>Other</v>
      </c>
      <c r="P610">
        <f t="shared" si="9"/>
        <v>0</v>
      </c>
    </row>
    <row r="611" spans="1:16" x14ac:dyDescent="0.2">
      <c r="A611" s="12">
        <v>319013</v>
      </c>
      <c r="B611" s="12" t="s">
        <v>659</v>
      </c>
      <c r="C611" s="13">
        <v>0</v>
      </c>
      <c r="D611" s="13">
        <v>16</v>
      </c>
      <c r="E611" s="13">
        <v>23</v>
      </c>
      <c r="F611" s="13">
        <v>0</v>
      </c>
      <c r="G611" s="13">
        <v>0</v>
      </c>
      <c r="H611" s="13">
        <v>0</v>
      </c>
      <c r="I611" s="14">
        <v>0</v>
      </c>
      <c r="J611" s="14">
        <v>0</v>
      </c>
      <c r="K611" s="14">
        <v>0</v>
      </c>
      <c r="L611" s="13">
        <v>0</v>
      </c>
      <c r="M611" t="str" cm="1">
        <f t="array" ref="M611">_xlfn.IFS(E611&lt;6, "0-6 Months", E611&lt;=12, "6-12 Months", E611&lt;=24, "12-24 Months", E611&gt;24, "24+ Months")</f>
        <v>12-24 Months</v>
      </c>
      <c r="N611" t="str" cm="1">
        <f t="array" ref="N611">_xlfn.IFS(E611&lt;6, "12-18 Months", E611&lt;=12, "18-24 Months", E611&lt;=24, "24+ Months", E611&gt;24, "24+ Months")</f>
        <v>24+ Months</v>
      </c>
      <c r="O611" t="str" cm="1">
        <f t="array" ref="O611">_xlfn.IFS(D611&gt;=550, "Major", D611 &gt;= 100, "T1200", D611 &lt;100, "Other")</f>
        <v>Other</v>
      </c>
      <c r="P611">
        <f t="shared" si="9"/>
        <v>0</v>
      </c>
    </row>
  </sheetData>
  <autoFilter ref="A1:P611" xr:uid="{00000000-0001-0000-0000-000000000000}"/>
  <conditionalFormatting sqref="F2:F1400">
    <cfRule type="cellIs" dxfId="5" priority="4" operator="greaterThanOrEqual">
      <formula>1000</formula>
    </cfRule>
  </conditionalFormatting>
  <conditionalFormatting sqref="G2:G1400">
    <cfRule type="cellIs" dxfId="4" priority="2" operator="greaterThanOrEqual">
      <formula>225</formula>
    </cfRule>
  </conditionalFormatting>
  <conditionalFormatting sqref="H2:H41400">
    <cfRule type="cellIs" dxfId="3" priority="1" operator="greaterThanOrEqual">
      <formula>300</formula>
    </cfRule>
  </conditionalFormatting>
  <conditionalFormatting sqref="I2:I611">
    <cfRule type="cellIs" dxfId="2" priority="5" operator="lessThan">
      <formula>2</formula>
    </cfRule>
    <cfRule type="cellIs" dxfId="1" priority="6" operator="greaterThanOrEqual">
      <formula>2</formula>
    </cfRule>
  </conditionalFormatting>
  <conditionalFormatting sqref="J2:J611">
    <cfRule type="cellIs" dxfId="0" priority="3" operator="greaterThanOrEqual">
      <formula>0.75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TaxCatchAll xmlns="0e5e2ee4-4f3b-4c23-bafa-682863a3aace" xsi:nil="true"/>
    <lcf76f155ced4ddcb4097134ff3c332f xmlns="b8a03246-5c55-4eb1-b0ae-4b828b6c214f">
      <Terms xmlns="http://schemas.microsoft.com/office/infopath/2007/PartnerControls"/>
    </lcf76f155ced4ddcb4097134ff3c332f>
    <_ip_UnifiedCompliancePolicyProperties xmlns="http://schemas.microsoft.com/sharepoint/v3" xsi:nil="true"/>
    <Notes xmlns="b8a03246-5c55-4eb1-b0ae-4b828b6c214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85FEB1AD253AB4E816790388A7EDAFB" ma:contentTypeVersion="19" ma:contentTypeDescription="Create a new document." ma:contentTypeScope="" ma:versionID="70dc2fde1d6003e156bd7fa266f14095">
  <xsd:schema xmlns:xsd="http://www.w3.org/2001/XMLSchema" xmlns:xs="http://www.w3.org/2001/XMLSchema" xmlns:p="http://schemas.microsoft.com/office/2006/metadata/properties" xmlns:ns1="http://schemas.microsoft.com/sharepoint/v3" xmlns:ns2="b8a03246-5c55-4eb1-b0ae-4b828b6c214f" xmlns:ns3="0e5e2ee4-4f3b-4c23-bafa-682863a3aace" targetNamespace="http://schemas.microsoft.com/office/2006/metadata/properties" ma:root="true" ma:fieldsID="93b782750a77f578bc245df68edca1da" ns1:_="" ns2:_="" ns3:_="">
    <xsd:import namespace="http://schemas.microsoft.com/sharepoint/v3"/>
    <xsd:import namespace="b8a03246-5c55-4eb1-b0ae-4b828b6c214f"/>
    <xsd:import namespace="0e5e2ee4-4f3b-4c23-bafa-682863a3aac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ObjectDetectorVersions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Location" minOccurs="0"/>
                <xsd:element ref="ns2:MediaServiceSearchProperties" minOccurs="0"/>
                <xsd:element ref="ns2:Notes" minOccurs="0"/>
                <xsd:element ref="ns2:MediaServiceBillingMetadata" minOccurs="0"/>
                <xsd:element ref="ns1:_ip_UnifiedCompliancePolicyProperties" minOccurs="0"/>
                <xsd:element ref="ns1:_ip_UnifiedCompliancePolicyUIAc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25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26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8a03246-5c55-4eb1-b0ae-4b828b6c21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Image Tags" ma:readOnly="false" ma:fieldId="{5cf76f15-5ced-4ddc-b409-7134ff3c332f}" ma:taxonomyMulti="true" ma:sspId="c6552212-2631-4cff-ab6d-7e855d7b08c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6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1" nillable="true" ma:displayName="Location" ma:indexed="true" ma:internalName="MediaServiceLocation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Notes" ma:index="23" nillable="true" ma:displayName="Notes" ma:format="Dropdown" ma:internalName="Notes">
      <xsd:simpleType>
        <xsd:restriction base="dms:Text">
          <xsd:maxLength value="255"/>
        </xsd:restriction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e5e2ee4-4f3b-4c23-bafa-682863a3aace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539f15a4-016c-461f-8902-748dfb75c8cd}" ma:internalName="TaxCatchAll" ma:showField="CatchAllData" ma:web="0e5e2ee4-4f3b-4c23-bafa-682863a3aac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F776AC6-579A-4E46-846B-A3022B5A331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5EEE002-0881-4733-A0C1-731010A0DD7A}">
  <ds:schemaRefs>
    <ds:schemaRef ds:uri="http://schemas.microsoft.com/office/2006/metadata/properties"/>
    <ds:schemaRef ds:uri="http://schemas.microsoft.com/office/infopath/2007/PartnerControls"/>
    <ds:schemaRef ds:uri="http://schemas.microsoft.com/sharepoint/v3"/>
    <ds:schemaRef ds:uri="0e5e2ee4-4f3b-4c23-bafa-682863a3aace"/>
    <ds:schemaRef ds:uri="b8a03246-5c55-4eb1-b0ae-4b828b6c214f"/>
  </ds:schemaRefs>
</ds:datastoreItem>
</file>

<file path=customXml/itemProps3.xml><?xml version="1.0" encoding="utf-8"?>
<ds:datastoreItem xmlns:ds="http://schemas.openxmlformats.org/officeDocument/2006/customXml" ds:itemID="{F455037D-3FC8-4489-941B-B24C7FA3605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b8a03246-5c55-4eb1-b0ae-4b828b6c214f"/>
    <ds:schemaRef ds:uri="0e5e2ee4-4f3b-4c23-bafa-682863a3a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Thi Sandbox</vt:lpstr>
      <vt:lpstr>Goal Model (Final)</vt:lpstr>
      <vt:lpstr>Example Visualization Table</vt:lpstr>
      <vt:lpstr>Goal Model (2)</vt:lpstr>
      <vt:lpstr>Engagement M&amp;M Data</vt:lpstr>
      <vt:lpstr>Engagement M&amp;M Baselines</vt:lpstr>
      <vt:lpstr>Baseline Analysis</vt:lpstr>
      <vt:lpstr>Data</vt:lpstr>
      <vt:lpstr>v2 Data</vt:lpstr>
      <vt:lpstr>v1 Goal Model</vt:lpstr>
      <vt:lpstr>v1 Dataset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Christian Kardish</cp:lastModifiedBy>
  <cp:revision/>
  <dcterms:created xsi:type="dcterms:W3CDTF">2025-12-02T14:50:07Z</dcterms:created>
  <dcterms:modified xsi:type="dcterms:W3CDTF">2026-01-29T21:17:35Z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0x010100685FEB1AD253AB4E816790388A7EDAFB</vt:lpwstr>
  </property>
  <property fmtid="{D5CDD505-2E9C-101B-9397-08002B2CF9AE}" pid="3" name="MediaServiceImageTags">
    <vt:lpwstr/>
  </property>
</Properties>
</file>