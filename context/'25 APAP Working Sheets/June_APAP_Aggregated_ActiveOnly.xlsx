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EF132246-FE36-1048-9250-3F90ED10D26E}" xr6:coauthVersionLast="47" xr6:coauthVersionMax="47" xr10:uidLastSave="{00000000-0000-0000-0000-000000000000}"/>
  <bookViews>
    <workbookView xWindow="-38400" yWindow="-500" windowWidth="38400" windowHeight="21100" activeTab="2" xr2:uid="{00000000-000D-0000-FFFF-FFFF00000000}"/>
  </bookViews>
  <sheets>
    <sheet name="Detailed Data" sheetId="1" r:id="rId1"/>
    <sheet name="Overview" sheetId="2" r:id="rId2"/>
    <sheet name="Charts" sheetId="3" r:id="rId3"/>
  </sheets>
  <definedNames>
    <definedName name="_xlchart.v1.5" hidden="1">Charts!$A$11</definedName>
    <definedName name="_xlchart.v1.6" hidden="1">Charts!$A$12</definedName>
    <definedName name="_xlchart.v1.7" hidden="1">Charts!$B$11:$M$11</definedName>
    <definedName name="_xlchart.v1.8" hidden="1">Charts!$B$12:$M$12</definedName>
    <definedName name="_xlchart.v1.9" hidden="1">Charts!$B$8:$M$8</definedName>
    <definedName name="_xlchart.v2.0" hidden="1">Charts!$A$11</definedName>
    <definedName name="_xlchart.v2.1" hidden="1">Charts!$A$12</definedName>
    <definedName name="_xlchart.v2.2" hidden="1">Charts!$B$11:$M$11</definedName>
    <definedName name="_xlchart.v2.3" hidden="1">Charts!$B$12:$M$12</definedName>
    <definedName name="_xlchart.v2.4" hidden="1">Charts!$B$8:$M$8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F14" i="3"/>
  <c r="E14" i="3"/>
  <c r="K17" i="3"/>
  <c r="J17" i="3"/>
  <c r="I17" i="3"/>
</calcChain>
</file>

<file path=xl/sharedStrings.xml><?xml version="1.0" encoding="utf-8"?>
<sst xmlns="http://schemas.openxmlformats.org/spreadsheetml/2006/main" count="948" uniqueCount="934">
  <si>
    <t>AgencySlug</t>
  </si>
  <si>
    <t>AgencyName</t>
  </si>
  <si>
    <t>Agency Size</t>
  </si>
  <si>
    <t>SIM Completions</t>
  </si>
  <si>
    <t>Non-SIM Completions</t>
  </si>
  <si>
    <t>SIM Per Person</t>
  </si>
  <si>
    <t>Oregon Health and Science University Police Dept.</t>
  </si>
  <si>
    <t>Culver City Police Department - CA</t>
  </si>
  <si>
    <t>Chesapeake Police Dept. - VA</t>
  </si>
  <si>
    <t>Los Angeles Police Dept. - CA</t>
  </si>
  <si>
    <t>Clackamas County Sheriff's Office - OR</t>
  </si>
  <si>
    <t>Glendale Police Dept. - AZ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</si>
  <si>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</si>
  <si>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</si>
  <si>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</si>
  <si>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</si>
  <si>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</si>
  <si>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</si>
  <si>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</si>
  <si>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</si>
  <si>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</si>
  <si>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</si>
  <si>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Westminster Police Dept. - CO</t>
  </si>
  <si>
    <t>Corona Police Dept. - CA</t>
  </si>
  <si>
    <t>Pueblo Police Department - CO</t>
  </si>
  <si>
    <t>Montgomery County Sheriff's Dept. - AL</t>
  </si>
  <si>
    <t>Amarillo Police Dept - TX</t>
  </si>
  <si>
    <t>Fort Worth Police Department - TX</t>
  </si>
  <si>
    <t>Largo Police Dept. - FL</t>
  </si>
  <si>
    <t>Atlanta Police Dept. - GA</t>
  </si>
  <si>
    <t>Commerce City Police Department - CO</t>
  </si>
  <si>
    <t>Phoenix Police Dept. - AZ</t>
  </si>
  <si>
    <t>Bristol Police Dept. - CT</t>
  </si>
  <si>
    <t>LOUISIANA STATE PENITENTIARY</t>
  </si>
  <si>
    <t>Northglenn Police Department - CO</t>
  </si>
  <si>
    <t>Waushara County Sheriff's Office  - WI</t>
  </si>
  <si>
    <t>Laredo Police Dept. - TX</t>
  </si>
  <si>
    <t>Springfield Police Department - MO</t>
  </si>
  <si>
    <t>Los Angeles County Sheriff's Dept. - HQ</t>
  </si>
  <si>
    <t>Schaumburg Police Dept. - IL</t>
  </si>
  <si>
    <t>Oregon State Police - OR</t>
  </si>
  <si>
    <t>Seattle Police Dept. - WA</t>
  </si>
  <si>
    <t>Minneapolis Police Dept. - MN</t>
  </si>
  <si>
    <t>Washington County Sheriff's Office - OR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</si>
  <si>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</si>
  <si>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</si>
  <si>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</si>
  <si>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</si>
  <si>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</si>
  <si>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</si>
  <si>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Port of Seattle Police Dept. - WA</t>
  </si>
  <si>
    <t>Eagan Police Dept. - MN</t>
  </si>
  <si>
    <t>Washoe County Sheriff's Office - NV</t>
  </si>
  <si>
    <t>Titusville Police Dept - FL</t>
  </si>
  <si>
    <t>Appleton Police Department - WI</t>
  </si>
  <si>
    <t>Elk Grove Village Police Dept. - IL</t>
  </si>
  <si>
    <t>FINNEY COUNTY SHERIFF'S OFFICE- KS</t>
  </si>
  <si>
    <t>Mobile Police Department - AL</t>
  </si>
  <si>
    <t>Olmsted County Sheriff's Office - MN</t>
  </si>
  <si>
    <t>Scottsdale Police Dept. - AZ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</si>
  <si>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</si>
  <si>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</si>
  <si>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</si>
  <si>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</si>
  <si>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</si>
  <si>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</si>
  <si>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Jonesboro Police Department - AR</t>
  </si>
  <si>
    <t>Tucson Police Dept - AZ</t>
  </si>
  <si>
    <t>El Centro Police Dept. - CA</t>
  </si>
  <si>
    <t>Oak Brook Police Dept. - IL</t>
  </si>
  <si>
    <t>Pima County Sheriff's Office - AZ</t>
  </si>
  <si>
    <t>Fairfax County Police Dept. - VA</t>
  </si>
  <si>
    <t>Pittsburg Police Dept - CA</t>
  </si>
  <si>
    <t>Henrico County Police Dept. - VA</t>
  </si>
  <si>
    <t>Charlotte - Mecklenburg Police Dept. - NC</t>
  </si>
  <si>
    <t>Hurricane Police Department - UT</t>
  </si>
  <si>
    <t>Rochester Police Department - MN</t>
  </si>
  <si>
    <t>Santa Monica Police Dept. - CA</t>
  </si>
  <si>
    <t>Marysville Police Dept. - WA</t>
  </si>
  <si>
    <t>Port Orchard Police Dept. - WA</t>
  </si>
  <si>
    <t>Chautauqua County Sheriff's Office - NY</t>
  </si>
  <si>
    <t>Alameda County Sheriff's Office - CA</t>
  </si>
  <si>
    <t>Wood County Sheriff's Office - OH</t>
  </si>
  <si>
    <t>Seminole County Sheriff's Office - FL</t>
  </si>
  <si>
    <t>Lincoln Police Department - NE</t>
  </si>
  <si>
    <t>Flagstaff Police Dept. - AZ</t>
  </si>
  <si>
    <t>Rosemont Department of Public Safety - IL</t>
  </si>
  <si>
    <t>Margate Police Dept. - FL</t>
  </si>
  <si>
    <t>Brunswick Police Department - GA</t>
  </si>
  <si>
    <t>Wilmer Police Dept. - TX</t>
  </si>
  <si>
    <t>Washington State Patrol - District 1- WA</t>
  </si>
  <si>
    <t>Long Beach Police Dept. - CA</t>
  </si>
  <si>
    <t>Asotin County Sheriff's Office-WA</t>
  </si>
  <si>
    <t>Clarkston Police Dept. - WA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</si>
  <si>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</si>
  <si>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</si>
  <si>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</si>
  <si>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</si>
  <si>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</si>
  <si>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Kearney Police Dept. - NE</t>
  </si>
  <si>
    <t>Pasco Sheriff's Office - FL</t>
  </si>
  <si>
    <t>Firestone Police Department - CO</t>
  </si>
  <si>
    <t>Criminal Justice Training Commission - WA</t>
  </si>
  <si>
    <t>Brier Police Dept. - WA</t>
  </si>
  <si>
    <t>Coral Springs Police Dept. - FL</t>
  </si>
  <si>
    <t>Vancouver Police Dept. - WA</t>
  </si>
  <si>
    <t>Schenectady City Police Dept - NY</t>
  </si>
  <si>
    <t>Orange County Sheriff's Office - NY</t>
  </si>
  <si>
    <t>Clinton Police Dept. - IA</t>
  </si>
  <si>
    <t>New Mexico Dept. of Public Safety - NM</t>
  </si>
  <si>
    <t>Spokane County Sheriff's Office - WA</t>
  </si>
  <si>
    <t>Houston Metro Transit Authority - TX</t>
  </si>
  <si>
    <t>East Baton Rouge Parish Sheriff's Dept. - LA</t>
  </si>
  <si>
    <t>Cape Girardeau Police Dept. - MO</t>
  </si>
  <si>
    <t>Blue Springs Police Dept. - MO</t>
  </si>
  <si>
    <t>Memphis Police Department - TN</t>
  </si>
  <si>
    <t>Louisville Metro Police Department</t>
  </si>
  <si>
    <t>Winthrop Police Dept - MN</t>
  </si>
  <si>
    <t>Lower Merion Twp Police Dept. - PA</t>
  </si>
  <si>
    <t>Port Hueneme Police Dept. - CA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</si>
  <si>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</si>
  <si>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</si>
  <si>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</si>
  <si>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</si>
  <si>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</si>
  <si>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Dothan Police Department - AL</t>
  </si>
  <si>
    <t>Lee's Summit Police Department - MO</t>
  </si>
  <si>
    <t>Tigard Police Dept. - OR</t>
  </si>
  <si>
    <t>Metro Nashville Police Department -TN</t>
  </si>
  <si>
    <t>Williamson County Sheriff's Office - TN</t>
  </si>
  <si>
    <t>Frederick Police Department - CO</t>
  </si>
  <si>
    <t>Waukesha Police Dept. - WI</t>
  </si>
  <si>
    <t>Montgomery County Police Department - MD</t>
  </si>
  <si>
    <t>Greenbelt Police Dept. - MD</t>
  </si>
  <si>
    <t>Newport News Police Dept. - VA</t>
  </si>
  <si>
    <t>Saint Paul Park Police Dept. - MN</t>
  </si>
  <si>
    <t>Arapahoe County Sheriff's Office - CO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</si>
  <si>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</si>
  <si>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</si>
  <si>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</si>
  <si>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</si>
  <si>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</si>
  <si>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Las Cruces Police Dept. - NM</t>
  </si>
  <si>
    <t>Las Vegas Police Dept. - NM</t>
  </si>
  <si>
    <t>Niceville Police Dept. - FL</t>
  </si>
  <si>
    <t>Minnesota State Patrol - MN</t>
  </si>
  <si>
    <t>Merced County Sheriff's Dept. - HQ</t>
  </si>
  <si>
    <t>San Joaquin County Sheriff's Office - CA</t>
  </si>
  <si>
    <t>Ripon Police Dept. - CA</t>
  </si>
  <si>
    <t>Evans Police Department - CO</t>
  </si>
  <si>
    <t>Shawnee County Sheriff's Office - KS</t>
  </si>
  <si>
    <t>Tuscaloosa County Sheriff's Office - AL</t>
  </si>
  <si>
    <t>Upper Moreland Township Police Dept - PA</t>
  </si>
  <si>
    <t>Woodburn Police Dept. - OR</t>
  </si>
  <si>
    <t>Colerain Township Police Dept. - OH</t>
  </si>
  <si>
    <t>Englewood Police Department - OH</t>
  </si>
  <si>
    <t>Charlotte County Sheriff's Office - FL</t>
  </si>
  <si>
    <t>Melbourne Police Dept - FL</t>
  </si>
  <si>
    <t>Blount County Sheriffs Office - TN</t>
  </si>
  <si>
    <t>HILLSBOROUGH CO SHERIFF'S OFFICE - FL</t>
  </si>
  <si>
    <t>Peoria Police Dept. - AZ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</si>
  <si>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</si>
  <si>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</si>
  <si>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</si>
  <si>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</si>
  <si>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</si>
  <si>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Multnomah County Sheriff's Office - OR</t>
  </si>
  <si>
    <t>Payson Police Department - AZ</t>
  </si>
  <si>
    <t>Natrona County Sheriff's Office - WY</t>
  </si>
  <si>
    <t>Travis County Sheriff's Office - TX</t>
  </si>
  <si>
    <t>Turlock Police Dept. - CA</t>
  </si>
  <si>
    <t>Tuttle Police Department - OK</t>
  </si>
  <si>
    <t>Temple Police Dept. - TX</t>
  </si>
  <si>
    <t>Sweetwater Police Dept. - TX</t>
  </si>
  <si>
    <t>Sullivan Police Department - MO</t>
  </si>
  <si>
    <t>Belton Police Department - MO</t>
  </si>
  <si>
    <t>Omaha Police Dept - NE</t>
  </si>
  <si>
    <t>Sarpy County Sheriff's - NE</t>
  </si>
  <si>
    <t>Metro Transit Police Dept - MN</t>
  </si>
  <si>
    <t>Savage Police Dept. - MN</t>
  </si>
  <si>
    <t>Eloy Police Dept. - AZ</t>
  </si>
  <si>
    <t>Littleton Police Department - CO</t>
  </si>
  <si>
    <t>Westfield Police Department - IN</t>
  </si>
  <si>
    <t>Bloomington Police Dept. - IN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</si>
  <si>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</si>
  <si>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</si>
  <si>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</si>
  <si>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</si>
  <si>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</si>
  <si>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Blackman-Leoni Twp Dept Of Public Safety - MI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</si>
  <si>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</si>
  <si>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</si>
  <si>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</si>
  <si>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</si>
  <si>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</si>
  <si>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Monterey Police Dept. - CA</t>
  </si>
  <si>
    <t>Clarksville Police Dept. - TN</t>
  </si>
  <si>
    <t>Madison County Sheriffs Office - IL</t>
  </si>
  <si>
    <t>North Carolina State Highway Patrol - NC</t>
  </si>
  <si>
    <t>Martin County Sheriff's Office - FL</t>
  </si>
  <si>
    <t>Yavapai County Sheriff's Office - AZ</t>
  </si>
  <si>
    <t>Metropolitan Transportation Authority PD - NY</t>
  </si>
  <si>
    <t>Buncombe County Sheriff's Office - NC</t>
  </si>
  <si>
    <t>Hialeah Police Dept. - FL</t>
  </si>
  <si>
    <t>Indian River County Sheriff's Office - FL</t>
  </si>
  <si>
    <t>Kissimmee Police Dept. - FL</t>
  </si>
  <si>
    <t>Maryland Transportation Authority Police - MD</t>
  </si>
  <si>
    <t>Greenville Police Dept. - SC</t>
  </si>
  <si>
    <t>Osceola County Sheriff's Office - FL</t>
  </si>
  <si>
    <t>Clay County Sheriff's Office - FL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</si>
  <si>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</si>
  <si>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</si>
  <si>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</si>
  <si>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</si>
  <si>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</si>
  <si>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</si>
  <si>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</si>
  <si>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Seal Beach Police Dept. - CA</t>
  </si>
  <si>
    <t>Kalamazoo County Sheriff's Office - MI</t>
  </si>
  <si>
    <t>Naperville Police Dept. - IL</t>
  </si>
  <si>
    <t>Dekalb County Police Dept.- GA</t>
  </si>
  <si>
    <t>Renton Police Dept. - WA</t>
  </si>
  <si>
    <t>Calcasieu Parish Sheriff's Office - LA</t>
  </si>
  <si>
    <t>Castle Rock Police Department - CO</t>
  </si>
  <si>
    <t>Duluth Police Dept. - MN</t>
  </si>
  <si>
    <t>Richmond Police Dept. - CA</t>
  </si>
  <si>
    <t>Broomfield Police Dept. - CO</t>
  </si>
  <si>
    <t>Surprise Police Dept. - AZ</t>
  </si>
  <si>
    <t>Kalamazoo Department of Public Safety - MI</t>
  </si>
  <si>
    <t>University of Colorado - Boulder - CO</t>
  </si>
  <si>
    <t>Minooka Police Department - IL</t>
  </si>
  <si>
    <t>Macomb County Sheriff's Office - MI</t>
  </si>
  <si>
    <t>St. Mary's County Sheriff's Office - MD</t>
  </si>
  <si>
    <t>Frederick Police Dept. - MD</t>
  </si>
  <si>
    <t>Alliance Police Dept - OH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</si>
  <si>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</si>
  <si>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</si>
  <si>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</si>
  <si>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</si>
  <si>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</si>
  <si>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Brockport Police Dept. - NY</t>
  </si>
  <si>
    <t>Manatee County Sheriff's Office - FL</t>
  </si>
  <si>
    <t>Oswego City Police Dept. - NY</t>
  </si>
  <si>
    <t>Kern County Sheriff's Office - CA</t>
  </si>
  <si>
    <t>Bethalto Police Dept. - IL</t>
  </si>
  <si>
    <t>Southern Connecticut State University Police Dept</t>
  </si>
  <si>
    <t>Palm Beach County Sheriff's Office - FL</t>
  </si>
  <si>
    <t>Michigan State University Police Dept.</t>
  </si>
  <si>
    <t>Lake Hamilton Police Dept.- FL</t>
  </si>
  <si>
    <t>Miami Beach Police Dept. - FL</t>
  </si>
  <si>
    <t>Greenwood Police Dept - IN</t>
  </si>
  <si>
    <t>Richmond Hill Police Dept. - GA</t>
  </si>
  <si>
    <t>Port Authority of Allegheny County Police - PA</t>
  </si>
  <si>
    <t>Maumee Police Division - OH</t>
  </si>
  <si>
    <t>Florence County Sheriff's Office - SC</t>
  </si>
  <si>
    <t>Kansas City Police Dept. - KS</t>
  </si>
  <si>
    <t>Volusia Sheriff's Office - FL</t>
  </si>
  <si>
    <t>Tracy Police Dept. - CA</t>
  </si>
  <si>
    <t>Germantown Police Department - WI</t>
  </si>
  <si>
    <t>Downingtown Police Dept - PA</t>
  </si>
  <si>
    <t>Placer County Sheriff's Office - CA</t>
  </si>
  <si>
    <t>Boca Raton Police Dept - FL</t>
  </si>
  <si>
    <t>San Marcos Police Dept. - TX</t>
  </si>
  <si>
    <t>Sleepy Eye Police Dept - MN</t>
  </si>
  <si>
    <t>Greensboro Police Dept. - NC</t>
  </si>
  <si>
    <t>Wilson Police Department - NC</t>
  </si>
  <si>
    <t>Apex Police Department - NC</t>
  </si>
  <si>
    <t>Daly City Police Department - CA</t>
  </si>
  <si>
    <t>Hammond Police Dept. - IN</t>
  </si>
  <si>
    <t>Charlottesville Police Dept. - VA</t>
  </si>
  <si>
    <t>Cabarrus County Sheriff's Office - NC</t>
  </si>
  <si>
    <t>Flagler County Sheriff's Office - FL</t>
  </si>
  <si>
    <t>Joliet Police Dept. - IL</t>
  </si>
  <si>
    <t>Rensselaer County Sheriff's Office - NY</t>
  </si>
  <si>
    <t>Shreveport Police Dept - LA</t>
  </si>
  <si>
    <t>Toledo Police Dept. - OH</t>
  </si>
  <si>
    <t>Grand Prairie Police Dept. - TX</t>
  </si>
  <si>
    <t>Hagerstown Police Dept. - MD</t>
  </si>
  <si>
    <t>Lansing Police Department - MI</t>
  </si>
  <si>
    <t>Mountain View Police Dept. - CA</t>
  </si>
  <si>
    <t>Farmington Hills Police Dept. - MI</t>
  </si>
  <si>
    <t>New Britain Police Department - CT</t>
  </si>
  <si>
    <t>Albany County Sheriff's Office - NY</t>
  </si>
  <si>
    <t>University of California Police - Davis</t>
  </si>
  <si>
    <t>Walton County Sheriff's Office - GA</t>
  </si>
  <si>
    <t>Citrus County Sheriff's Office - FL</t>
  </si>
  <si>
    <t>Durango Police Department - CO</t>
  </si>
  <si>
    <t>Lake County Sheriff's Office - FL</t>
  </si>
  <si>
    <t>Boynton Beach Police Dept. - FL</t>
  </si>
  <si>
    <t>Leander Police Dept. - TX</t>
  </si>
  <si>
    <t>Chaffee County Sheriff's Office - CO</t>
  </si>
  <si>
    <t>Federal Way Police Dept. - WA</t>
  </si>
  <si>
    <t>Ann Arbor Police Dept. - MI</t>
  </si>
  <si>
    <t>St. Charles Police Dept. - MO</t>
  </si>
  <si>
    <t>Kauai Police Dept. - HI</t>
  </si>
  <si>
    <t>Jefferson Parish Sheriff's Office - LA</t>
  </si>
  <si>
    <t>Hays County Sheriff's Office- TX</t>
  </si>
  <si>
    <t>Temple Terrace Police Dept.-FL</t>
  </si>
  <si>
    <t>Shiloh Police Dept. - IL</t>
  </si>
  <si>
    <t>Leon County Sheriff's Dept. - FL</t>
  </si>
  <si>
    <t>Gilroy Police Department - CA</t>
  </si>
  <si>
    <t>San Benito County Sheriff's Office - CA</t>
  </si>
  <si>
    <t>Wilkes-Barre City Police Dept - PA</t>
  </si>
  <si>
    <t>New Rochelle Police Dept. - NY</t>
  </si>
  <si>
    <t>Wauwatosa Police Dept. - WI</t>
  </si>
  <si>
    <t>Clinton City Police Dept - UT</t>
  </si>
  <si>
    <t>Highland Village Police Dept. - TX</t>
  </si>
  <si>
    <t>Killeen Police Dept. - TX</t>
  </si>
  <si>
    <t>Virginia Beach Police Dept. - VA</t>
  </si>
  <si>
    <t>Milton Police Dept. - DE</t>
  </si>
  <si>
    <t>Orleans County Sheriff's Dept. - NY</t>
  </si>
  <si>
    <t>DuPage County Sheriff's Office</t>
  </si>
  <si>
    <t>Cicero Police Dept. - IL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</si>
  <si>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</si>
  <si>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</si>
  <si>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</si>
  <si>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</si>
  <si>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</si>
  <si>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Fremont Police Dept. - CA</t>
  </si>
  <si>
    <t>University of Florida Police Dept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</si>
  <si>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</si>
  <si>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</si>
  <si>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</si>
  <si>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</si>
  <si>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</si>
  <si>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Oak Point Dept. of Public Safety - TX</t>
  </si>
  <si>
    <t>Kyle Police Dept. - TX</t>
  </si>
  <si>
    <t>City of Bend, Police Dept -OR</t>
  </si>
  <si>
    <t>Birmingham Police Dept. - MI</t>
  </si>
  <si>
    <t>Clay Twp. Police Dept. - MI</t>
  </si>
  <si>
    <t>Royal Oak Police Dept.- MI</t>
  </si>
  <si>
    <t>Johnson City Police Dept. -TN</t>
  </si>
  <si>
    <t>Alhambra Police Dept. - CA</t>
  </si>
  <si>
    <t>Missoula Police Dept. - MT</t>
  </si>
  <si>
    <t>Saint Croix Falls Police Department - WI</t>
  </si>
  <si>
    <t>Buckley Police Dept. - WA</t>
  </si>
  <si>
    <t>Ponca City Police Department-OK</t>
  </si>
  <si>
    <t>Pinellas Park Police Dept - FL</t>
  </si>
  <si>
    <t>Oklahoma City Police Dept. - OK</t>
  </si>
  <si>
    <t>Roseburg Police Dept. - OR</t>
  </si>
  <si>
    <t>Williamsburg Police Dept. - OH</t>
  </si>
  <si>
    <t>Jeffersonville Police Department - IN</t>
  </si>
  <si>
    <t>Apopka Police Dept.-FL</t>
  </si>
  <si>
    <t>Tulsa Police Dept. - OK</t>
  </si>
  <si>
    <t>Pinehurst Police Dept. - NC</t>
  </si>
  <si>
    <t>Modesto Police Dept. - CA</t>
  </si>
  <si>
    <t>Santa Cruz Police Dept. - CA</t>
  </si>
  <si>
    <t>Niagara Falls Police Dept - NY</t>
  </si>
  <si>
    <t>Cheektowaga Police Dept - NY</t>
  </si>
  <si>
    <t>Anaheim Police Dept. - CA</t>
  </si>
  <si>
    <t>Douglas County Sheriff's Office - GA</t>
  </si>
  <si>
    <t>Alachua Police Dept.- FL</t>
  </si>
  <si>
    <t>Atwater Police Dept. - CA</t>
  </si>
  <si>
    <t>Coconut Creek Police Dept - FL</t>
  </si>
  <si>
    <t>Allentown Police Department - PA</t>
  </si>
  <si>
    <t>SYRACUSE POLICE DEPT.  - NY</t>
  </si>
  <si>
    <t>Lake Stevens Police Dept. - WA</t>
  </si>
  <si>
    <t>Monroe County Sheriff's Dept. - NY</t>
  </si>
  <si>
    <t>City of Wichita Police Department</t>
  </si>
  <si>
    <t>Milan Police Dept. - MI</t>
  </si>
  <si>
    <t>Texas Department of Public Safety - TX</t>
  </si>
  <si>
    <t>Catoosa County Sheriff's Office - GA</t>
  </si>
  <si>
    <t>Knox County Sheriff's Office - TN</t>
  </si>
  <si>
    <t>Melissa Police Dept. - TX</t>
  </si>
  <si>
    <t>Baltimore County Police Dept. - MD</t>
  </si>
  <si>
    <t>Cheatham County Sheriff's Office - TN</t>
  </si>
  <si>
    <t>Williams County Sheriff's Office - ND</t>
  </si>
  <si>
    <t>Manor Police Dept - TX</t>
  </si>
  <si>
    <t>Juneau County Sheriff's Office - WI</t>
  </si>
  <si>
    <t>Hayward Police Dept. - CA</t>
  </si>
  <si>
    <t>Columbus Police Dept - OH</t>
  </si>
  <si>
    <t>Attleboro Police Dept - MA</t>
  </si>
  <si>
    <t>Paradise Valley Police Dept. - AZ</t>
  </si>
  <si>
    <t>Hays County Constable Pct. 1 - TX</t>
  </si>
  <si>
    <t>Jefferson County Sheriff's Office - AL</t>
  </si>
  <si>
    <t>Summit County Sheriff's Office - CO</t>
  </si>
  <si>
    <t>Clayton County Sheriff's Office - GA</t>
  </si>
  <si>
    <t>Yakima Police Dept. - WA</t>
  </si>
  <si>
    <t>Waukesha County Sheriff-WI</t>
  </si>
  <si>
    <t>Division of Capitol Police - VA</t>
  </si>
  <si>
    <t>Napa County Sheriff's Office - CA</t>
  </si>
  <si>
    <t>Upper Chichester Township Police Dept. - PA</t>
  </si>
  <si>
    <t>Bryan Police Dept. - TX</t>
  </si>
  <si>
    <t>Mount Horeb Police Department</t>
  </si>
  <si>
    <t>Indianola Police Dept. - IA</t>
  </si>
  <si>
    <t>Walla Walla Police Dept. - WA</t>
  </si>
  <si>
    <t>Mesquite Police Department - NV</t>
  </si>
  <si>
    <t>Auburn Hills Police Department - MI</t>
  </si>
  <si>
    <t>Sarasota Police Dept - FL</t>
  </si>
  <si>
    <t>Cary Police Department - NC</t>
  </si>
  <si>
    <t>Elk Grove Police Dept. - CA</t>
  </si>
  <si>
    <t>Burlington Police Dept. - VT</t>
  </si>
  <si>
    <t>Morton Police Dept. - IL</t>
  </si>
  <si>
    <t>Savannah Police - GA</t>
  </si>
  <si>
    <t>Daytona Beach PD - FL</t>
  </si>
  <si>
    <t>Pasco County Board of County Commissioners (Corrections Department)</t>
  </si>
  <si>
    <t>Albuquerque Police Dept. - NM</t>
  </si>
  <si>
    <t>College Station Police Dept. - TX</t>
  </si>
  <si>
    <t>Lakeland Police Dept. - FL</t>
  </si>
  <si>
    <t>Addison Police Department - IL</t>
  </si>
  <si>
    <t>Lawrenceville Police Dept. - GA</t>
  </si>
  <si>
    <t>CADDO PARISH SHERIFF'S OFFICE - LA</t>
  </si>
  <si>
    <t>Fishers Police Dept. - IN</t>
  </si>
  <si>
    <t>Lynchburg Police Department - VA</t>
  </si>
  <si>
    <t>SLC Unified Police Dept. - UT</t>
  </si>
  <si>
    <t>Visalia Police Dept. - CA</t>
  </si>
  <si>
    <t>Pasadena Police Dept. - TX</t>
  </si>
  <si>
    <t>Alexandria Police Dept. - LA</t>
  </si>
  <si>
    <t>New Castle County Police Dept. - DE</t>
  </si>
  <si>
    <t>Lower Gwynedd Twp Police Dept - PA</t>
  </si>
  <si>
    <t>TRIBAL-CHEROKEE INDIAN PD (EBCI)-NC</t>
  </si>
  <si>
    <t>New Buffalo City Police Dept. - MI</t>
  </si>
  <si>
    <t>Surf City Police Department - NC</t>
  </si>
  <si>
    <t>Fruitland Park Police Dept.-FL</t>
  </si>
  <si>
    <t>Horry County Police Dept - SC</t>
  </si>
  <si>
    <t>Columbus Police Department - GA</t>
  </si>
  <si>
    <t>Pittsburgh Bureau of Police - PA</t>
  </si>
  <si>
    <t>Vail Police Dept. - CO</t>
  </si>
  <si>
    <t>Auburn Police Dept - AL</t>
  </si>
  <si>
    <t>Delaware Capitol Police Dept. - DE</t>
  </si>
  <si>
    <t>Hoffman Estates Police Dept. - IL</t>
  </si>
  <si>
    <t>Jenkintown Police Dept - PA</t>
  </si>
  <si>
    <t>Otter Tail County Sheriff's Office - MN</t>
  </si>
  <si>
    <t>New Windsor Police Dept. - NY</t>
  </si>
  <si>
    <t>Old Town Police Dept. - ME</t>
  </si>
  <si>
    <t>Sedgwick County Sheriff's Office - KS</t>
  </si>
  <si>
    <t>Inyo County Sheriff's Office - CA</t>
  </si>
  <si>
    <t>Mississippi Highway Patrol - MS</t>
  </si>
  <si>
    <t>Castle Shannon Police Dept. - PA</t>
  </si>
  <si>
    <t>Bakersfield Police Dept. - CA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</si>
  <si>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</si>
  <si>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</si>
  <si>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</si>
  <si>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</si>
  <si>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</si>
  <si>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Jackson County Sheriff's - MS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</si>
  <si>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</si>
  <si>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</si>
  <si>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</si>
  <si>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</si>
  <si>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</si>
  <si>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Denton Police Dept. - TX</t>
  </si>
  <si>
    <t>TRIBAL-SEMINOLE PD-FL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</si>
  <si>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</si>
  <si>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</si>
  <si>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</si>
  <si>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</si>
  <si>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</si>
  <si>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Maine State Police - ME</t>
  </si>
  <si>
    <t>Bexar County Sheriff's Office - TX</t>
  </si>
  <si>
    <t>Austin Police Dept. - TX</t>
  </si>
  <si>
    <t>Bolingbrook Police Dept. - IL</t>
  </si>
  <si>
    <t>New London Police Department - CT</t>
  </si>
  <si>
    <t>San Francisco County Sheriff's Dept. - CA</t>
  </si>
  <si>
    <t>Seminole County Sheriffs Office - GA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</si>
  <si>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</si>
  <si>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</si>
  <si>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</si>
  <si>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</si>
  <si>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</si>
  <si>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Seward Police Dept. - AK</t>
  </si>
  <si>
    <t>Bellevue Police Dept. - WA</t>
  </si>
  <si>
    <t>North Port Police Dept. - FL</t>
  </si>
  <si>
    <t>Villa Grove Police Dept. - IL</t>
  </si>
  <si>
    <t>LeRoy Police Dept. - IL</t>
  </si>
  <si>
    <t>Hennepin County Medical Center Security</t>
  </si>
  <si>
    <t>Oxford Police Dept. - MS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</si>
  <si>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</si>
  <si>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</si>
  <si>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</si>
  <si>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</si>
  <si>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</si>
  <si>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</si>
  <si>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</si>
  <si>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</si>
  <si>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</si>
  <si>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</si>
  <si>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Ilion Village Police Dept. - NY</t>
  </si>
  <si>
    <t>Ontario County Sheriff's Office - NY</t>
  </si>
  <si>
    <t>Hennepin County Sheriff's Office - MN</t>
  </si>
  <si>
    <t>Dover Police Dept. - DE</t>
  </si>
  <si>
    <t>North Catasauqua Police Dept - PA</t>
  </si>
  <si>
    <t>Mauldin Police Dept. - SC</t>
  </si>
  <si>
    <t>Clark County Sheriff's Office - WA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</si>
  <si>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</si>
  <si>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</si>
  <si>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</si>
  <si>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</si>
  <si>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</si>
  <si>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Wright State University Police Dept. - OH</t>
  </si>
  <si>
    <t>Middletown Police Dept. - RI</t>
  </si>
  <si>
    <t>Silt Police Department - CO</t>
  </si>
  <si>
    <t>Fairfield Police Department - CT</t>
  </si>
  <si>
    <t>Decatur County Sheriff's Office - IN</t>
  </si>
  <si>
    <t>Langley Police Dept. - WA</t>
  </si>
  <si>
    <t>Suffolk Police Dept. - VA</t>
  </si>
  <si>
    <t>Columbia Police Department - SC</t>
  </si>
  <si>
    <t>Worcester Police Department - MA</t>
  </si>
  <si>
    <t>Centre County Correctional Facility - PA</t>
  </si>
  <si>
    <t>Suffolk County Sheriff's Office - NY</t>
  </si>
  <si>
    <t>Franklin Parish Sheriff's Office - LA</t>
  </si>
  <si>
    <t>Justin Police Dept. - TX</t>
  </si>
  <si>
    <t>Grantham Police Department - NH</t>
  </si>
  <si>
    <t>Concord Police Department - NC</t>
  </si>
  <si>
    <t>Marion County Sheriff's Office - IL</t>
  </si>
  <si>
    <t>Bartow County Sheriff's Office - GA</t>
  </si>
  <si>
    <t>Floyd County Sheriff's Office - GA</t>
  </si>
  <si>
    <t>Quincy Police Department - MA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</si>
  <si>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</si>
  <si>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</si>
  <si>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</si>
  <si>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</si>
  <si>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</si>
  <si>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</si>
  <si>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Utica City Police Dept. - NY</t>
  </si>
  <si>
    <t>Benicia Police Dept. - CA</t>
  </si>
  <si>
    <t>Bloomington Police Dept. - MN</t>
  </si>
  <si>
    <t>Inman Police Dept. - SC</t>
  </si>
  <si>
    <t>Evanston Police Dept. - IL</t>
  </si>
  <si>
    <t>Burr Ridge Police Dept. - IL</t>
  </si>
  <si>
    <t>Shafter Police Dept. - CA</t>
  </si>
  <si>
    <t>Hanford Police Dept. - CA</t>
  </si>
  <si>
    <t>Minnetonka Police Department - MN</t>
  </si>
  <si>
    <t>Palatine Police Department - IL</t>
  </si>
  <si>
    <t>Oneida County Sheriff's Office - NY</t>
  </si>
  <si>
    <t>Gainesville Police Dept. -FL</t>
  </si>
  <si>
    <t>Sealy Police Dept. - TX</t>
  </si>
  <si>
    <t>University Of Kentucky Police Department - KY</t>
  </si>
  <si>
    <t>Westmont Police Dept. - IL</t>
  </si>
  <si>
    <t>Cortez Police Department - CO</t>
  </si>
  <si>
    <t>Washtenaw County Sheriff's Office - MI</t>
  </si>
  <si>
    <t>Shaler Township Police Dept. - PA</t>
  </si>
  <si>
    <t>West Baton Rouge Parish Sheriff's Office - LA</t>
  </si>
  <si>
    <t>Oscoda Township Police Department - MI</t>
  </si>
  <si>
    <t>Erie Police Dept. - PA</t>
  </si>
  <si>
    <t>Ft Smith Police Dept / Fort Smith Police Dept. - AR</t>
  </si>
  <si>
    <t>Harrisonville Police Department - MO</t>
  </si>
  <si>
    <t>Douglasville Police Dept. - GA</t>
  </si>
  <si>
    <t>Richmond Police Dept. - VA</t>
  </si>
  <si>
    <t>Moab City Police Dept. - UT</t>
  </si>
  <si>
    <t>Fort Mill Police Dept. - SC</t>
  </si>
  <si>
    <t>New Braunfels Police Dept. - TX</t>
  </si>
  <si>
    <t>Kanawha County Sheriff's Office - WV</t>
  </si>
  <si>
    <t>Cobb County Sheriff's Office - GA</t>
  </si>
  <si>
    <t>Ridgefield Police Department - WA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</si>
  <si>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</si>
  <si>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</si>
  <si>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</si>
  <si>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</si>
  <si>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</si>
  <si>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Gilford Police Dept. - NH</t>
  </si>
  <si>
    <t>Cass County Sheriff - IL</t>
  </si>
  <si>
    <t>Walker Police Dept. - MI</t>
  </si>
  <si>
    <t>Beecher Police Dept. - IL</t>
  </si>
  <si>
    <t>Lafayette Police Department - CO</t>
  </si>
  <si>
    <t>St. Cloud Police Dept. - FL</t>
  </si>
  <si>
    <t>Revere Police Dept. - MA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</si>
  <si>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</si>
  <si>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</si>
  <si>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</si>
  <si>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</si>
  <si>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</si>
  <si>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</si>
  <si>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</si>
  <si>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</si>
  <si>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</si>
  <si>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Trousdale County Sheriff's Office - TN</t>
  </si>
  <si>
    <t>Berkley Police Dept. - MI</t>
  </si>
  <si>
    <t>San Rafael Police Dept. - CA</t>
  </si>
  <si>
    <t>Mount Vernon Municipal Court - OH</t>
  </si>
  <si>
    <t>Roswell Police Dept. - GA</t>
  </si>
  <si>
    <t>Black Mountain Police Dept. - NC</t>
  </si>
  <si>
    <t>Old Dominion University Police Dept. - VA</t>
  </si>
  <si>
    <t>Malden Police Department - MA</t>
  </si>
  <si>
    <t>Laconia Police Dept. - NH</t>
  </si>
  <si>
    <t>Leominster Police Dept - MA</t>
  </si>
  <si>
    <t>Gary Police Dept. - IN</t>
  </si>
  <si>
    <t>Carteret County Sheriff's Office - NC</t>
  </si>
  <si>
    <t>Stallings Police Department - NC</t>
  </si>
  <si>
    <t>Lancaster City Police Dept. - PA</t>
  </si>
  <si>
    <t>Divide County Sheriff's Office - ND</t>
  </si>
  <si>
    <t>Monterey County Sheriffs Office - CA</t>
  </si>
  <si>
    <t>Hillsborough Community College - FL</t>
  </si>
  <si>
    <t>Anniston Police Dept. - AL</t>
  </si>
  <si>
    <t>Aberdeen Police Dept. - MD</t>
  </si>
  <si>
    <t>Baker Police Dept. - LA</t>
  </si>
  <si>
    <t>Doral Police Dept. - FL</t>
  </si>
  <si>
    <t>Liberty Hill Police Dept. - TX</t>
  </si>
  <si>
    <t>Mission Police Dept - KS</t>
  </si>
  <si>
    <t>Tarrant County College Police Academy - TX</t>
  </si>
  <si>
    <t>Washoe County Dept of Alternative Sentencing - NV</t>
  </si>
  <si>
    <t>Carrollton Police Dept. - TX</t>
  </si>
  <si>
    <t>DIXIE INN POLICE DEPT. - LA</t>
  </si>
  <si>
    <t>Grapevine Police Dept. - TX</t>
  </si>
  <si>
    <t>Grady County Sheriff - GA</t>
  </si>
  <si>
    <t>Breezy Point Police Dept. - MN</t>
  </si>
  <si>
    <t>WI State Fair PD - WI</t>
  </si>
  <si>
    <t>Genoa Police Dept. - IL</t>
  </si>
  <si>
    <t>Kentwood Police Department - MI</t>
  </si>
  <si>
    <t>Amherst Police Dept. - NY</t>
  </si>
  <si>
    <t>Florida Highway Patrol - FL</t>
  </si>
  <si>
    <t>DEPT. OF HOMELESS SERVICES POLICE DEPT. - NY</t>
  </si>
  <si>
    <t>Franklin Police Dept - MA</t>
  </si>
  <si>
    <t>Elizabethton Police Dept. - TN</t>
  </si>
  <si>
    <t>Brentwood Borough Police Dept. - PA</t>
  </si>
  <si>
    <t>Rincon Police Dept. - GA</t>
  </si>
  <si>
    <t>Ninety Six Police Dept. - SC</t>
  </si>
  <si>
    <t>CORTLAND POLICE DEPT - IL</t>
  </si>
  <si>
    <t>Tonkawa Police Dept.</t>
  </si>
  <si>
    <t>State of Hawai'i, Dept. of Law Enforcement</t>
  </si>
  <si>
    <t>Hutchinson Regional Medical Center - KS</t>
  </si>
  <si>
    <t>Metra Police Department - IL</t>
  </si>
  <si>
    <t>TRIBAL-AK-CHIN PD-AZ</t>
  </si>
  <si>
    <t>TEXAS CHILDREN'S HOSPITAL Main Campus - TX</t>
  </si>
  <si>
    <t>Louisiana Probation &amp; Parole</t>
  </si>
  <si>
    <t>Muskogee County Sheriff's Office - OK</t>
  </si>
  <si>
    <t>San Diego County Probation Department - CA</t>
  </si>
  <si>
    <t>North Little Rock Police Dept. - AR</t>
  </si>
  <si>
    <t>San Bernardino County Probation Dept. - CA</t>
  </si>
  <si>
    <t>Brush Police Department - CO</t>
  </si>
  <si>
    <t>Michigan Department of Natural Resources</t>
  </si>
  <si>
    <t>Ocean City Police Dept - MD</t>
  </si>
  <si>
    <t>Oswego County Probation - NY</t>
  </si>
  <si>
    <t>Pulaski County Sheriff's Dept. - IL</t>
  </si>
  <si>
    <t>Vass Police Dept. - NC</t>
  </si>
  <si>
    <t>Medford Township Police Dept - NJ</t>
  </si>
  <si>
    <t>Washington Metro Area Transit</t>
  </si>
  <si>
    <t>Portsmouth Police Department - VA</t>
  </si>
  <si>
    <t>Scranton Police Dept. - PA</t>
  </si>
  <si>
    <t>California State University Police - Fresno</t>
  </si>
  <si>
    <t>Redmond Police Dept. - WA</t>
  </si>
  <si>
    <t>Spink County Sheriff's Department - SD</t>
  </si>
  <si>
    <t>Glynn County School Police Department - GA</t>
  </si>
  <si>
    <t>Parkview Health Department of Public Safety - IN</t>
  </si>
  <si>
    <t>TRIBAL-MICCOSUKEE PD-FL</t>
  </si>
  <si>
    <t>Orleans Parish Sheriff's Dept. - LA</t>
  </si>
  <si>
    <t>Moniteau County Sheriff's Dept. - MO</t>
  </si>
  <si>
    <t>Saratoga County Sheriff's Office - NY</t>
  </si>
  <si>
    <t>Wichita County Sheriff's Office - TX</t>
  </si>
  <si>
    <t>Huntsville Police Department - AL</t>
  </si>
  <si>
    <t>Ferguson Police Dept. - MO</t>
  </si>
  <si>
    <t>Lockport Police Dept. - NY</t>
  </si>
  <si>
    <t>Ogden Police Dept. - NY</t>
  </si>
  <si>
    <t>Fairfield County Municipal Court - OH</t>
  </si>
  <si>
    <t>Somersworth Police Dept. - NH</t>
  </si>
  <si>
    <t>Tuscaloosa Police Dept. - AL</t>
  </si>
  <si>
    <t>MNCP POLICE - Montgomery County Division</t>
  </si>
  <si>
    <t>Foley Police Dept. - AL</t>
  </si>
  <si>
    <t>Bossier City Police Dept. - LA</t>
  </si>
  <si>
    <t>Melrose Park Police Dept.- IL</t>
  </si>
  <si>
    <t>Hardeeville Police Department - SC</t>
  </si>
  <si>
    <t>University of Maryland Baltimore - MD</t>
  </si>
  <si>
    <t>Maryland Transit Administration Police - MD</t>
  </si>
  <si>
    <t>Fremont County Sheriff's Office - ID</t>
  </si>
  <si>
    <t>BUFFALO CITY POLICE DEPT. - NY</t>
  </si>
  <si>
    <t>Erie County Sheriff‚Äôs Office - NY</t>
  </si>
  <si>
    <t>Esmeralda County Sheriff's Office - NV</t>
  </si>
  <si>
    <t>Hopewell City Sheriff's Office - VA</t>
  </si>
  <si>
    <t>Youngsville Police Dept. - LA</t>
  </si>
  <si>
    <t>Athens-Clarke County Police Dept. - GA</t>
  </si>
  <si>
    <t>Crockett Police Dept. - TX</t>
  </si>
  <si>
    <t>Broome County Sheriff's Office - NY</t>
  </si>
  <si>
    <t>Amherst County Sheriff's Office - VA</t>
  </si>
  <si>
    <t>Peachtree City Police Dept - GA</t>
  </si>
  <si>
    <t>University of Southern California DPS - CA</t>
  </si>
  <si>
    <t>McCracken County Sheriff's Office - KY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</si>
  <si>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</si>
  <si>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</si>
  <si>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</si>
  <si>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</si>
  <si>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</si>
  <si>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</si>
  <si>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</si>
  <si>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</si>
  <si>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</si>
  <si>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</si>
  <si>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Ottawa Police Dept. - IL</t>
  </si>
  <si>
    <t>Annapolis Police Dept. - MD</t>
  </si>
  <si>
    <t>Warwick Police Department - RI</t>
  </si>
  <si>
    <t>Williamsport Police Dept - PA</t>
  </si>
  <si>
    <t>Virginia Department of Corrections - VA</t>
  </si>
  <si>
    <t>Yuma Police Department - CO</t>
  </si>
  <si>
    <t>Philadelphia Police Dept. - PA</t>
  </si>
  <si>
    <t>Newark Police Department - CA</t>
  </si>
  <si>
    <t>Canton Police Dept. - GA</t>
  </si>
  <si>
    <t>Detroit Police Dept. - MI</t>
  </si>
  <si>
    <t>Prescott Police Department - AZ</t>
  </si>
  <si>
    <t>Ocoee Police Dept. - FL</t>
  </si>
  <si>
    <t>Ohio Dept of Natural Resources - OH</t>
  </si>
  <si>
    <t>Santa Clara County Sheriff's Office - CA</t>
  </si>
  <si>
    <t>Decorah Police Dept. - IA</t>
  </si>
  <si>
    <t>Arkansas Game and Fish Commission - AR</t>
  </si>
  <si>
    <t>Middlesex County (NJ) Prosecutor‚Äôs Office</t>
  </si>
  <si>
    <t>University of Illinois PD at Urbana-Champaign</t>
  </si>
  <si>
    <t>Maple Shade Police Dept - NJ</t>
  </si>
  <si>
    <t>Monmouth County Sheriff's Office - NJ</t>
  </si>
  <si>
    <t>Braselton Police Dept. - GA</t>
  </si>
  <si>
    <t>Crawford County Sheriff's Office - KS</t>
  </si>
  <si>
    <t>Alexandria Police Dept. - VA</t>
  </si>
  <si>
    <t>Spokane Police Dept. - WA</t>
  </si>
  <si>
    <t>Elwood Police Dept. - IL</t>
  </si>
  <si>
    <t>Richardson Police Department - TX</t>
  </si>
  <si>
    <t>Durham County Sheriff's Office - NC</t>
  </si>
  <si>
    <t>Sherman Police Dept. - IL</t>
  </si>
  <si>
    <t>Charlottesville-Albemarle Airport Police - VA</t>
  </si>
  <si>
    <t>Forest Heights Police Dept. - MD</t>
  </si>
  <si>
    <t>Louisville Metro Department of Corrections - KY</t>
  </si>
  <si>
    <t>Brockway Borough Police Dept.</t>
  </si>
  <si>
    <t>Chesapeake Bay Bridge-Tunnel Police Dept. - VA</t>
  </si>
  <si>
    <t>Ward County Sheriff's Office - TX</t>
  </si>
  <si>
    <t>Dallas Area Rapid Transit Police Department - TX</t>
  </si>
  <si>
    <t>Allegheny County Police Dept. - PA</t>
  </si>
  <si>
    <t>Pennsauken Police Dept. - NJ</t>
  </si>
  <si>
    <t>Brookhaven Police Department - GA</t>
  </si>
  <si>
    <t>Univ. Of Tennessee Knoxville - TN</t>
  </si>
  <si>
    <t>Hays County Constable Pct. 5 - TX</t>
  </si>
  <si>
    <t>Georgia Tech Police Department - GA</t>
  </si>
  <si>
    <t>Syracuse University DPS - NY</t>
  </si>
  <si>
    <t>West Lake Hills Police Dept. - TX</t>
  </si>
  <si>
    <t>University of Pittsburgh Police Dept. - HQ</t>
  </si>
  <si>
    <t>Montgomery County Sheriff's Office - PA</t>
  </si>
  <si>
    <t>St. Clair County Sheriff's Office - AL</t>
  </si>
  <si>
    <t>York City School Police Dept - PA</t>
  </si>
  <si>
    <t>Duck Police Dept. - NC</t>
  </si>
  <si>
    <t>Lincoln University Police Dept. - PA</t>
  </si>
  <si>
    <t>Cobb County School Police Dept. - GA</t>
  </si>
  <si>
    <t>Forest Preserves of Cook County Police Dept. - IL</t>
  </si>
  <si>
    <t>Gurnee Police Dept - IL</t>
  </si>
  <si>
    <t>Braintree Police Dept. - MA</t>
  </si>
  <si>
    <t>North Andover Police Dept - MA</t>
  </si>
  <si>
    <t>Sumter Police Department - SC</t>
  </si>
  <si>
    <t>Clemson Police Dept. - SC</t>
  </si>
  <si>
    <t>Pigeon Forge Police Dept. - TN</t>
  </si>
  <si>
    <t>Nutley Police Dept. - NJ</t>
  </si>
  <si>
    <t>Westfield Police Dept. - NJ</t>
  </si>
  <si>
    <t>Lindenwold Police Dept - NJ</t>
  </si>
  <si>
    <t>Rutgers University PD - New Brunswick - NJ</t>
  </si>
  <si>
    <t>Holmdel Police Dept. - NJ</t>
  </si>
  <si>
    <t>Verona Police Dept. - NJ</t>
  </si>
  <si>
    <t>Union Township Police Dept. - NJ</t>
  </si>
  <si>
    <t>Chicopee Police Department - MA</t>
  </si>
  <si>
    <t>Fairfax County Sheriff's Office - VA</t>
  </si>
  <si>
    <t>Minneapolis-St Paul Airport Police Dept -MN</t>
  </si>
  <si>
    <t>Co-Op City Police - NY</t>
  </si>
  <si>
    <t>Hays County Constable Pct. 4 - TX</t>
  </si>
  <si>
    <t>Moody County Sheriff's Office - SD</t>
  </si>
  <si>
    <t>Mississippi Alcoholic Beverage Control - MS</t>
  </si>
  <si>
    <t>Delphi Police Dept.-IN</t>
  </si>
  <si>
    <t>Georgia State Patrol</t>
  </si>
  <si>
    <t>Harris County Constable Pct. 8 - TX</t>
  </si>
  <si>
    <t>Lincoln University Police Department - MO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</si>
  <si>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</si>
  <si>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</si>
  <si>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</si>
  <si>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</si>
  <si>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</si>
  <si>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Toledo Public Schools PD - OH</t>
  </si>
  <si>
    <t>Nevada Dept of Motor Vehicles</t>
  </si>
  <si>
    <t>Savannah Airport Commission Police - GA</t>
  </si>
  <si>
    <t>Northern Lancaster County Regional Police Dept-PA</t>
  </si>
  <si>
    <t>Amber Police Department - OK</t>
  </si>
  <si>
    <t>Pamlico County Sheriff's Office - NC</t>
  </si>
  <si>
    <t>Ore City Police Dept. - TX</t>
  </si>
  <si>
    <t>Winhall Police and Rescue - VT</t>
  </si>
  <si>
    <t>Scituate Police Dept - MA</t>
  </si>
  <si>
    <t>BERRIEN SPRINGS-ORONOKO TWP POLICE DEPT</t>
  </si>
  <si>
    <t>QuikTrip Corporation</t>
  </si>
  <si>
    <t>Philadelphia County Sheriff's Office - PA</t>
  </si>
  <si>
    <t>Union Pacific Railroad Police Dept. - NE</t>
  </si>
  <si>
    <t>Mashpee Wampanoag Police Dept. - MA</t>
  </si>
  <si>
    <t>Cotter Police Dept. - AR</t>
  </si>
  <si>
    <t>South Carolina State University - SC</t>
  </si>
  <si>
    <t>DuBois City Police Department - PA</t>
  </si>
  <si>
    <t>McCook County Sheriff's Office - SD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</si>
  <si>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</si>
  <si>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</si>
  <si>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</si>
  <si>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</si>
  <si>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</si>
  <si>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</si>
  <si>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University of Nebraska Police Department - NE</t>
  </si>
  <si>
    <t>PR Policia de Puerto Rico</t>
  </si>
  <si>
    <t>Venango County Prison - PA</t>
  </si>
  <si>
    <t>Network Henry Ford Hospital- MI</t>
  </si>
  <si>
    <t>Newport Police Department- DE</t>
  </si>
  <si>
    <t>Atlanta Technical College Police Dept.- GA</t>
  </si>
  <si>
    <t>Shippingport Police Dept - PA</t>
  </si>
  <si>
    <t>Anna Police Dept. - TX</t>
  </si>
  <si>
    <t>Regional Transportation District Police - CO</t>
  </si>
  <si>
    <t>Hesperia Recreation &amp; Park District Rangers - CA</t>
  </si>
  <si>
    <t>Erie School District Police Dept - PA</t>
  </si>
  <si>
    <t>Fairfield Glade Police Dept. - TN</t>
  </si>
  <si>
    <t>West Lampeter Township Police Dept - PA</t>
  </si>
  <si>
    <t>Harris-Stowe State University Public Safety - MO</t>
  </si>
  <si>
    <t>Ohio Dept of Rehabilitation and Correction</t>
  </si>
  <si>
    <t>Rawlins County Sheriff Office - KS</t>
  </si>
  <si>
    <t>Harper College Police Dept. - IL</t>
  </si>
  <si>
    <t>City of South Fulton Police Department - GA</t>
  </si>
  <si>
    <t>Madison Police Department - NE</t>
  </si>
  <si>
    <t>Belt Railway Police Dept. - IL</t>
  </si>
  <si>
    <t>New Harmony Police Dept. - IN</t>
  </si>
  <si>
    <t>Menifee Police Dept. - CA</t>
  </si>
  <si>
    <t>Miami County Park District Rangers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</si>
  <si>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</si>
  <si>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</si>
  <si>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</si>
  <si>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</si>
  <si>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</si>
  <si>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</si>
  <si>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Escalon Police Dept. - CA</t>
  </si>
  <si>
    <t>DISBANDED Lockney Police Dept - TX</t>
  </si>
  <si>
    <t>Indiana Dept of Nat Resources LE Div</t>
  </si>
  <si>
    <t>Virginia Beach Sheriff's Office - VA</t>
  </si>
  <si>
    <t>Network Legacy Health System</t>
  </si>
  <si>
    <t>Columbia County School District Police - GA</t>
  </si>
  <si>
    <t>San Joaquin County Sheriff's Office - CUSTODY</t>
  </si>
  <si>
    <t>Renown Health - NV</t>
  </si>
  <si>
    <t>Mountain Park Police Dept - OK</t>
  </si>
  <si>
    <t>Lehi Police Department - UT</t>
  </si>
  <si>
    <t>Golden West College Criminal Justice - Training Center</t>
  </si>
  <si>
    <t>Lathrop Police Department - CA</t>
  </si>
  <si>
    <t>Network - Providence (North Division)</t>
  </si>
  <si>
    <t>Children's Healthcare of Atlanta</t>
  </si>
  <si>
    <t>Delaware State Fire Marshal's Office</t>
  </si>
  <si>
    <t>Children's Minnesota</t>
  </si>
  <si>
    <t>Central Montana Protection Services</t>
  </si>
  <si>
    <t>Villanova Department of Public Safety - PA</t>
  </si>
  <si>
    <t>National Commissioner of the Icelandic Police</t>
  </si>
  <si>
    <t>Network McLaren Flint Hospital- MI</t>
  </si>
  <si>
    <t>BR DF DPF Departamento de Policia Federal</t>
  </si>
  <si>
    <t>Mellette County Sheriffs Office - SD</t>
  </si>
  <si>
    <t>Endeavor Health</t>
  </si>
  <si>
    <t>Johns Hopkins University Police Dept. - MD</t>
  </si>
  <si>
    <t>Bedford County Probation - PA</t>
  </si>
  <si>
    <t>CSX Railroad Police - FL</t>
  </si>
  <si>
    <t>Boston University Police Dept - MA</t>
  </si>
  <si>
    <t>Florala Police Dept. - AL</t>
  </si>
  <si>
    <t>CapMetro Transit Police Dept - TX</t>
  </si>
  <si>
    <t>Rhode Island Department of Corrections - RI</t>
  </si>
  <si>
    <t>Syracuse Regional Airport Authority Police Department</t>
  </si>
  <si>
    <t>BR DF PRF Pol√≠cia Rodovi√°ria Federal</t>
  </si>
  <si>
    <t>University of Denver Campus Safety. - CO</t>
  </si>
  <si>
    <t>Okawville Police Dept. - IL</t>
  </si>
  <si>
    <t>Webb County Sheriff's Office - TX</t>
  </si>
  <si>
    <t>New River Community College Police Dept. - VA</t>
  </si>
  <si>
    <t>Providence - South Division</t>
  </si>
  <si>
    <t>Peru State College - NE</t>
  </si>
  <si>
    <t>MBTA Transit Police Department - MA</t>
  </si>
  <si>
    <t>Columbia County Prison - PA</t>
  </si>
  <si>
    <t>Hallsville Police Department - TX</t>
  </si>
  <si>
    <t>AU0115817</t>
  </si>
  <si>
    <t>Office of Sheriff of New South Wales</t>
  </si>
  <si>
    <t>CA0115409</t>
  </si>
  <si>
    <t>Peel Regional Police Service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</si>
  <si>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</si>
  <si>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</si>
  <si>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</si>
  <si>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</si>
  <si>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</si>
  <si>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</si>
  <si>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CA0115465</t>
  </si>
  <si>
    <t>Barrie Police Service</t>
  </si>
  <si>
    <t>CA0115498</t>
  </si>
  <si>
    <t>Fredericton Police Force</t>
  </si>
  <si>
    <t>CA0115551</t>
  </si>
  <si>
    <t>Guelph Police Service</t>
  </si>
  <si>
    <t>CA0115604</t>
  </si>
  <si>
    <t>Manitoba First Nations Police Service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</si>
  <si>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</si>
  <si>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</si>
  <si>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</si>
  <si>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</si>
  <si>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</si>
  <si>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</si>
  <si>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</si>
  <si>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</si>
  <si>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</si>
  <si>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</si>
  <si>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</si>
  <si>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</si>
  <si>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ES100047</t>
  </si>
  <si>
    <t>BARRAGUN Armament S.L.</t>
  </si>
  <si>
    <t>SE0116151</t>
  </si>
  <si>
    <t>GuardWings s.r.l.</t>
  </si>
  <si>
    <t>SE0116199</t>
  </si>
  <si>
    <t>UMO Sp. z o.o.</t>
  </si>
  <si>
    <t>UK0115453</t>
  </si>
  <si>
    <t>College of Policing</t>
  </si>
  <si>
    <t>Metric</t>
  </si>
  <si>
    <t>Agency Count</t>
  </si>
  <si>
    <t>Total Agency Size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</si>
  <si>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</si>
  <si>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</si>
  <si>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</si>
  <si>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</si>
  <si>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</si>
  <si>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</si>
  <si>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</si>
  <si>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</si>
  <si>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</si>
  <si>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</si>
  <si>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</si>
  <si>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</si>
  <si>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</si>
  <si>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</si>
  <si>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</si>
  <si>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</si>
  <si>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</si>
  <si>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</si>
  <si>
    <t>January</t>
  </si>
  <si>
    <t>February</t>
  </si>
  <si>
    <t>March</t>
  </si>
  <si>
    <t>April</t>
  </si>
  <si>
    <t>May</t>
  </si>
  <si>
    <t>June</t>
  </si>
  <si>
    <t>Product Completions</t>
  </si>
  <si>
    <t>2024 SIM Completions</t>
  </si>
  <si>
    <t>July</t>
  </si>
  <si>
    <t>August</t>
  </si>
  <si>
    <t>September</t>
  </si>
  <si>
    <t>October</t>
  </si>
  <si>
    <t>November</t>
  </si>
  <si>
    <t>December</t>
  </si>
  <si>
    <t>Shadow Goal Progress</t>
  </si>
  <si>
    <t>Shadow Goal</t>
  </si>
  <si>
    <t>Stretch Major Accounts %</t>
  </si>
  <si>
    <t>High Confidence Goal</t>
  </si>
  <si>
    <t>Hard Climb Goal</t>
  </si>
  <si>
    <t>APAP Actual</t>
  </si>
  <si>
    <t>Majors</t>
  </si>
  <si>
    <t>T1200</t>
  </si>
  <si>
    <t>Inside</t>
  </si>
  <si>
    <t>Shadow Goal Incl. Stretch Major Accounts</t>
  </si>
  <si>
    <t>Shadow Goal Incl. Likely Non-Major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</si>
</sst>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10" fontId="0" fillId="0" borderId="0" xfId="0" applyNumberFormat="1"/>
    <xf numFmtId="10" fontId="2" fillId="0" borderId="0" xfId="0" applyNumberFormat="1" applyFont="1"/>
    <xf numFmtId="10" fontId="3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Product Completions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SIM Completions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Charts!$B$2:$M$2</c:f>
              <c:numCache>
                <c:formatCode>#,##0</c:formatCode>
                <c:ptCount val="12"/>
                <c:pt idx="0">
                  <c:v>10923</c:v>
                </c:pt>
                <c:pt idx="1">
                  <c:v>13025</c:v>
                </c:pt>
                <c:pt idx="2">
                  <c:v>15096</c:v>
                </c:pt>
                <c:pt idx="3">
                  <c:v>17931</c:v>
                </c:pt>
                <c:pt idx="4">
                  <c:v>17165</c:v>
                </c:pt>
                <c:pt idx="5">
                  <c:v>17483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C-BC42-B8F7-6E1FC0D047EB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Non-SIM Completions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Charts!$B$3:$M$3</c:f>
              <c:numCache>
                <c:formatCode>#,##0</c:formatCode>
                <c:ptCount val="12"/>
                <c:pt idx="0">
                  <c:v>3211</c:v>
                </c:pt>
                <c:pt idx="1">
                  <c:v>3143</c:v>
                </c:pt>
                <c:pt idx="2">
                  <c:v>7483</c:v>
                </c:pt>
                <c:pt idx="3">
                  <c:v>10966</c:v>
                </c:pt>
                <c:pt idx="4">
                  <c:v>11887</c:v>
                </c:pt>
                <c:pt idx="5">
                  <c:v>11347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C-BC42-B8F7-6E1FC0D047EB}"/>
            </c:ext>
          </c:extLst>
        </c:ser>
        <c:ser>
          <c:idx val="2"/>
          <c:order val="2"/>
          <c:tx>
            <c:strRef>
              <c:f>Charts!$A$4</c:f>
              <c:strCache>
                <c:ptCount val="1"/>
                <c:pt idx="0">
                  <c:v>2024 SIM Completions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Charts!$B$4:$M$4</c:f>
              <c:numCache>
                <c:formatCode>#,##0</c:formatCode>
                <c:ptCount val="12"/>
                <c:pt idx="0">
                  <c:v>1408</c:v>
                </c:pt>
                <c:pt idx="1">
                  <c:v>2601</c:v>
                </c:pt>
                <c:pt idx="2">
                  <c:v>3814</c:v>
                </c:pt>
                <c:pt idx="3">
                  <c:v>5494</c:v>
                </c:pt>
                <c:pt idx="4">
                  <c:v>6825</c:v>
                </c:pt>
                <c:pt idx="5">
                  <c:v>2830</c:v>
                </c:pt>
                <c:pt idx="6">
                  <c:v>3623</c:v>
                </c:pt>
                <c:pt idx="7">
                  <c:v>6126</c:v>
                </c:pt>
                <c:pt idx="8">
                  <c:v>6413</c:v>
                </c:pt>
                <c:pt idx="9">
                  <c:v>8787</c:v>
                </c:pt>
                <c:pt idx="10">
                  <c:v>7633</c:v>
                </c:pt>
                <c:pt idx="11">
                  <c:v>6818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C-BC42-B8F7-6E1FC0D0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579136"/>
        <c:axId val="562678544"/>
      </c:lineChart>
      <c:catAx>
        <c:axId val="5625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78544"/>
        <c:crosses val="autoZero"/>
        <c:auto val="1"/>
        <c:lblAlgn val="ctr"/>
        <c:lblOffset val="100"/>
        <c:noMultiLvlLbl val="0"/>
      </c:catAx>
      <c:valAx>
        <c:axId val="5626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APAP</a:t>
            </a:r>
            <a:r>
              <a:rPr lang="en-US" baseline="0"/>
              <a:t> vs Shadow Goal Progress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Charts!$A$9</c:f>
              <c:strCache>
                <c:ptCount val="1"/>
                <c:pt idx="0">
                  <c:v>High Confidence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Charts!$B$9:$M$9</c:f>
              <c:numCache>
                <c:formatCode>0.00%</c:formatCode>
                <c:ptCount val="12"/>
                <c:pt idx="0">
                  <c:v>0.317</c:v>
                </c:pt>
                <c:pt idx="1">
                  <c:v>0.317</c:v>
                </c:pt>
                <c:pt idx="2">
                  <c:v>0.317</c:v>
                </c:pt>
                <c:pt idx="3">
                  <c:v>0.317</c:v>
                </c:pt>
                <c:pt idx="4">
                  <c:v>0.317</c:v>
                </c:pt>
                <c:pt idx="5">
                  <c:v>0.317</c:v>
                </c:pt>
                <c:pt idx="6">
                  <c:v>0.317</c:v>
                </c:pt>
                <c:pt idx="7">
                  <c:v>0.317</c:v>
                </c:pt>
                <c:pt idx="8">
                  <c:v>0.317</c:v>
                </c:pt>
                <c:pt idx="9">
                  <c:v>0.317</c:v>
                </c:pt>
                <c:pt idx="10">
                  <c:v>0.317</c:v>
                </c:pt>
                <c:pt idx="11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D-3F4C-A7D5-D2F18C92FCB9}"/>
            </c:ext>
          </c:extLst>
        </c:ser>
        <c:ser>
          <c:idx val="1"/>
          <c:order val="1"/>
          <c:tx>
            <c:strRef>
              <c:f>Charts!$A$10</c:f>
              <c:strCache>
                <c:ptCount val="1"/>
                <c:pt idx="0">
                  <c:v>Hard Climb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Charts!$B$10:$M$10</c:f>
              <c:numCache>
                <c:formatCode>0.00%</c:formatCode>
                <c:ptCount val="12"/>
                <c:pt idx="0">
                  <c:v>0.43099999999999999</c:v>
                </c:pt>
                <c:pt idx="1">
                  <c:v>0.43099999999999999</c:v>
                </c:pt>
                <c:pt idx="2">
                  <c:v>0.43099999999999999</c:v>
                </c:pt>
                <c:pt idx="3">
                  <c:v>0.43099999999999999</c:v>
                </c:pt>
                <c:pt idx="4">
                  <c:v>0.43099999999999999</c:v>
                </c:pt>
                <c:pt idx="5">
                  <c:v>0.43099999999999999</c:v>
                </c:pt>
                <c:pt idx="6">
                  <c:v>0.43099999999999999</c:v>
                </c:pt>
                <c:pt idx="7">
                  <c:v>0.43099999999999999</c:v>
                </c:pt>
                <c:pt idx="8">
                  <c:v>0.43099999999999999</c:v>
                </c:pt>
                <c:pt idx="9">
                  <c:v>0.43099999999999999</c:v>
                </c:pt>
                <c:pt idx="10">
                  <c:v>0.43099999999999999</c:v>
                </c:pt>
                <c:pt idx="11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D-3F4C-A7D5-D2F18C92FCB9}"/>
            </c:ext>
          </c:extLst>
        </c:ser>
        <c:ser>
          <c:idx val="2"/>
          <c:order val="2"/>
          <c:tx>
            <c:strRef>
              <c:f>Charts!$A$11</c:f>
              <c:strCache>
                <c:ptCount val="1"/>
                <c:pt idx="0">
                  <c:v>APAP 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Charts!$B$11:$M$11</c:f>
              <c:numCache>
                <c:formatCode>0.00%</c:formatCode>
                <c:ptCount val="12"/>
                <c:pt idx="0">
                  <c:v>0.03</c:v>
                </c:pt>
                <c:pt idx="1">
                  <c:v>3.1E-2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4.2000000000000003E-2</c:v>
                </c:pt>
                <c:pt idx="5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ED-3F4C-A7D5-D2F18C92FCB9}"/>
            </c:ext>
          </c:extLst>
        </c:ser>
        <c:ser>
          <c:idx val="3"/>
          <c:order val="3"/>
          <c:tx>
            <c:strRef>
              <c:f>Charts!$A$12</c:f>
              <c:strCache>
                <c:ptCount val="1"/>
                <c:pt idx="0">
                  <c:v>Shadow Goal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Charts!$B$12:$M$12</c:f>
              <c:numCache>
                <c:formatCode>0.00%</c:formatCode>
                <c:ptCount val="12"/>
                <c:pt idx="1">
                  <c:v>0.11</c:v>
                </c:pt>
                <c:pt idx="2">
                  <c:v>0.129</c:v>
                </c:pt>
                <c:pt idx="3">
                  <c:v>0.13200000000000001</c:v>
                </c:pt>
                <c:pt idx="4">
                  <c:v>0.14099999999999999</c:v>
                </c:pt>
                <c:pt idx="5">
                  <c:v>0.152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ED-3F4C-A7D5-D2F18C92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439104"/>
        <c:axId val="1324458400"/>
      </c:lineChart>
      <c:catAx>
        <c:axId val="13244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58400"/>
        <c:crosses val="autoZero"/>
        <c:auto val="1"/>
        <c:lblAlgn val="ctr"/>
        <c:lblOffset val="100"/>
        <c:noMultiLvlLbl val="0"/>
      </c:catAx>
      <c:valAx>
        <c:axId val="13244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Shadow Goal Opportunities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Charts!$A$9</c:f>
              <c:strCache>
                <c:ptCount val="1"/>
                <c:pt idx="0">
                  <c:v>High Confidence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Charts!$B$9:$M$9</c:f>
              <c:numCache>
                <c:formatCode>0.00%</c:formatCode>
                <c:ptCount val="12"/>
                <c:pt idx="0">
                  <c:v>0.317</c:v>
                </c:pt>
                <c:pt idx="1">
                  <c:v>0.317</c:v>
                </c:pt>
                <c:pt idx="2">
                  <c:v>0.317</c:v>
                </c:pt>
                <c:pt idx="3">
                  <c:v>0.317</c:v>
                </c:pt>
                <c:pt idx="4">
                  <c:v>0.317</c:v>
                </c:pt>
                <c:pt idx="5">
                  <c:v>0.317</c:v>
                </c:pt>
                <c:pt idx="6">
                  <c:v>0.317</c:v>
                </c:pt>
                <c:pt idx="7">
                  <c:v>0.317</c:v>
                </c:pt>
                <c:pt idx="8">
                  <c:v>0.317</c:v>
                </c:pt>
                <c:pt idx="9">
                  <c:v>0.317</c:v>
                </c:pt>
                <c:pt idx="10">
                  <c:v>0.317</c:v>
                </c:pt>
                <c:pt idx="11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9-B04D-A067-3CA57090557F}"/>
            </c:ext>
          </c:extLst>
        </c:ser>
        <c:ser>
          <c:idx val="1"/>
          <c:order val="1"/>
          <c:tx>
            <c:strRef>
              <c:f>Charts!$A$10</c:f>
              <c:strCache>
                <c:ptCount val="1"/>
                <c:pt idx="0">
                  <c:v>Hard Climb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Charts!$B$10:$M$10</c:f>
              <c:numCache>
                <c:formatCode>0.00%</c:formatCode>
                <c:ptCount val="12"/>
                <c:pt idx="0">
                  <c:v>0.43099999999999999</c:v>
                </c:pt>
                <c:pt idx="1">
                  <c:v>0.43099999999999999</c:v>
                </c:pt>
                <c:pt idx="2">
                  <c:v>0.43099999999999999</c:v>
                </c:pt>
                <c:pt idx="3">
                  <c:v>0.43099999999999999</c:v>
                </c:pt>
                <c:pt idx="4">
                  <c:v>0.43099999999999999</c:v>
                </c:pt>
                <c:pt idx="5">
                  <c:v>0.43099999999999999</c:v>
                </c:pt>
                <c:pt idx="6">
                  <c:v>0.43099999999999999</c:v>
                </c:pt>
                <c:pt idx="7">
                  <c:v>0.43099999999999999</c:v>
                </c:pt>
                <c:pt idx="8">
                  <c:v>0.43099999999999999</c:v>
                </c:pt>
                <c:pt idx="9">
                  <c:v>0.43099999999999999</c:v>
                </c:pt>
                <c:pt idx="10">
                  <c:v>0.43099999999999999</c:v>
                </c:pt>
                <c:pt idx="11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9-B04D-A067-3CA57090557F}"/>
            </c:ext>
          </c:extLst>
        </c:ser>
        <c:ser>
          <c:idx val="2"/>
          <c:order val="2"/>
          <c:tx>
            <c:strRef>
              <c:f>Charts!$A$11</c:f>
              <c:strCache>
                <c:ptCount val="1"/>
                <c:pt idx="0">
                  <c:v>APAP 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Charts!$B$11:$M$11</c:f>
              <c:numCache>
                <c:formatCode>0.00%</c:formatCode>
                <c:ptCount val="12"/>
                <c:pt idx="0">
                  <c:v>0.03</c:v>
                </c:pt>
                <c:pt idx="1">
                  <c:v>3.1E-2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4.2000000000000003E-2</c:v>
                </c:pt>
                <c:pt idx="5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9-B04D-A067-3CA57090557F}"/>
            </c:ext>
          </c:extLst>
        </c:ser>
        <c:ser>
          <c:idx val="3"/>
          <c:order val="3"/>
          <c:tx>
            <c:strRef>
              <c:f>Charts!$A$12</c:f>
              <c:strCache>
                <c:ptCount val="1"/>
                <c:pt idx="0">
                  <c:v>Shadow Goal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Charts!$B$12:$M$12</c:f>
              <c:numCache>
                <c:formatCode>0.00%</c:formatCode>
                <c:ptCount val="12"/>
                <c:pt idx="1">
                  <c:v>0.11</c:v>
                </c:pt>
                <c:pt idx="2">
                  <c:v>0.129</c:v>
                </c:pt>
                <c:pt idx="3">
                  <c:v>0.13200000000000001</c:v>
                </c:pt>
                <c:pt idx="4">
                  <c:v>0.14099999999999999</c:v>
                </c:pt>
                <c:pt idx="5">
                  <c:v>0.152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9-B04D-A067-3CA57090557F}"/>
            </c:ext>
          </c:extLst>
        </c:ser>
        <c:ser>
          <c:idx val="4"/>
          <c:order val="4"/>
          <c:tx>
            <c:strRef>
              <c:f>Charts!$A$13</c:f>
              <c:strCache>
                <c:ptCount val="1"/>
                <c:pt idx="0">
                  <c:v>Shadow Goal Incl. Likely Non-Major Accounts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Charts!$B$13:$M$13</c:f>
              <c:numCache>
                <c:formatCode>0.00%</c:formatCode>
                <c:ptCount val="12"/>
                <c:pt idx="1">
                  <c:v>0.14099999999999999</c:v>
                </c:pt>
                <c:pt idx="2">
                  <c:v>0.16500000000000001</c:v>
                </c:pt>
                <c:pt idx="3">
                  <c:v>0.189</c:v>
                </c:pt>
                <c:pt idx="4">
                  <c:v>0.2</c:v>
                </c:pt>
                <c:pt idx="5">
                  <c:v>0.22900000000000001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9-B04D-A067-3CA57090557F}"/>
            </c:ext>
          </c:extLst>
        </c:ser>
        <c:ser>
          <c:idx val="5"/>
          <c:order val="5"/>
          <c:tx>
            <c:strRef>
              <c:f>Charts!$A$14</c:f>
              <c:strCache>
                <c:ptCount val="1"/>
                <c:pt idx="0">
                  <c:v>Shadow Goal Incl. Stretch Major Accounts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Charts!$B$8:$M$8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Charts!$B$14:$M$14</c:f>
              <c:numCache>
                <c:formatCode>General</c:formatCode>
                <c:ptCount val="12"/>
                <c:pt idx="3" formatCode="0.00%">
                  <c:v>0.28800000000000003</c:v>
                </c:pt>
                <c:pt idx="4" formatCode="0.00%">
                  <c:v>0.33900000000000002</c:v>
                </c:pt>
                <c:pt idx="5" formatCode="0.00%">
                  <c:v>0.35799999999999998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9-B04D-A067-3CA570905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927136"/>
        <c:axId val="1827287504"/>
      </c:lineChart>
      <c:catAx>
        <c:axId val="12309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87504"/>
        <c:crosses val="autoZero"/>
        <c:auto val="1"/>
        <c:lblAlgn val="ctr"/>
        <c:lblOffset val="100"/>
        <c:noMultiLvlLbl val="0"/>
      </c:catAx>
      <c:valAx>
        <c:axId val="18272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158750</xdr:colOff>
      <xdr:row>0</xdr:row>
      <xdr:rowOff>127000</xdr:rowOff>
    </xdr:from>
    <xdr:to>
      <xdr:col>20</xdr:col>
      <xdr:colOff>603250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01B60-F01B-C09C-FD5E-F22F739E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1003300</xdr:colOff>
      <xdr:row>21</xdr:row>
      <xdr:rowOff>101600</xdr:rowOff>
    </xdr:from>
    <xdr:to>
      <xdr:col>9</xdr:col>
      <xdr:colOff>444500</xdr:colOff>
      <xdr:row>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4887B-01A9-9566-F974-54B9A7268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88900</xdr:colOff>
      <xdr:row>20</xdr:row>
      <xdr:rowOff>177800</xdr:rowOff>
    </xdr:from>
    <xdr:to>
      <xdr:col>21</xdr:col>
      <xdr:colOff>355600</xdr:colOff>
      <xdr:row>47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C4D162-C9E8-AB63-7B70-2BF5771E3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100003</v>
      </c>
      <c r="B2" t="s">
        <v>6</v>
      </c>
      <c r="C2">
        <v>70</v>
      </c>
      <c r="D2">
        <v>120</v>
      </c>
      <c r="E2">
        <v>1</v>
      </c>
      <c r="F2">
        <v>1.714285714285714</v>
      </c>
    </row>
    <row r="3" spans="1:6" x14ac:dyDescent="0.2">
      <c r="A3">
        <v>100239</v>
      </c>
      <c r="B3" t="s">
        <v>7</v>
      </c>
      <c r="C3">
        <v>100</v>
      </c>
      <c r="D3">
        <v>133</v>
      </c>
      <c r="E3">
        <v>1</v>
      </c>
      <c r="F3">
        <v>1.33</v>
      </c>
    </row>
    <row r="4" spans="1:6" x14ac:dyDescent="0.2">
      <c r="A4">
        <v>100282</v>
      </c>
      <c r="B4" t="s">
        <v>8</v>
      </c>
      <c r="C4">
        <v>423</v>
      </c>
      <c r="D4">
        <v>69</v>
      </c>
      <c r="E4">
        <v>454</v>
      </c>
      <c r="F4">
        <v>0.16312056737588651</v>
      </c>
    </row>
    <row r="5" spans="1:6" x14ac:dyDescent="0.2">
      <c r="A5">
        <v>103302</v>
      </c>
      <c r="B5" t="s">
        <v>9</v>
      </c>
      <c r="C5">
        <v>9000</v>
      </c>
      <c r="D5">
        <v>2</v>
      </c>
      <c r="E5">
        <v>0</v>
      </c>
      <c r="F5">
        <v>2.2222222222222221E-4</v>
      </c>
    </row>
    <row r="6" spans="1:6" x14ac:dyDescent="0.2">
      <c r="A6">
        <v>105226</v>
      </c>
      <c r="B6" t="s">
        <v>10</v>
      </c>
      <c r="C6">
        <v>120</v>
      </c>
      <c r="D6">
        <v>72</v>
      </c>
      <c r="E6">
        <v>0</v>
      </c>
      <c r="F6">
        <v>0.6</v>
      </c>
    </row>
    <row r="7" spans="1:6" x14ac:dyDescent="0.2">
      <c r="A7">
        <v>105331</v>
      </c>
      <c r="B7" t="s">
        <v>11</v>
      </c>
      <c r="C7">
        <v>480</v>
      </c>
      <c r="D7">
        <v>6</v>
      </c>
      <c r="E7">
        <v>64</v>
      </c>
      <c r="F7">
        <v>1.2500000000000001E-2</v>
      </c>
    </row>
    <row r="8" spans="1:6" x14ac:dyDescent="0.2">
      <c r="A8">
        <v>105389</v>
      </c>
      <c r="B8" t="s">
        <v>12</v>
      </c>
      <c r="C8">
        <v>111</v>
      </c>
      <c r="D8">
        <v>7</v>
      </c>
      <c r="E8">
        <v>74</v>
      </c>
      <c r="F8">
        <v>6.3063063063063057E-2</v>
      </c>
    </row>
    <row r="9" spans="1:6" x14ac:dyDescent="0.2">
      <c r="A9">
        <v>105469</v>
      </c>
      <c r="B9" t="s">
        <v>13</v>
      </c>
      <c r="C9">
        <v>950</v>
      </c>
      <c r="D9">
        <v>3152</v>
      </c>
      <c r="E9">
        <v>133</v>
      </c>
      <c r="F9">
        <v>3.317894736842105</v>
      </c>
    </row>
    <row r="10" spans="1:6" x14ac:dyDescent="0.2">
      <c r="A10">
        <v>105506</v>
      </c>
      <c r="B10" t="s">
        <v>14</v>
      </c>
      <c r="C10">
        <v>394</v>
      </c>
      <c r="D10">
        <v>1374</v>
      </c>
      <c r="E10">
        <v>34</v>
      </c>
      <c r="F10">
        <v>3.4873096446700509</v>
      </c>
    </row>
    <row r="11" spans="1:6" x14ac:dyDescent="0.2">
      <c r="A11">
        <v>105516</v>
      </c>
      <c r="B11" t="s">
        <v>15</v>
      </c>
      <c r="C11">
        <v>1079</v>
      </c>
      <c r="D11">
        <v>153</v>
      </c>
      <c r="E11">
        <v>128</v>
      </c>
      <c r="F11">
        <v>0.14179796107506951</v>
      </c>
    </row>
    <row r="12" spans="1:6" x14ac:dyDescent="0.2">
      <c r="A12">
        <v>105526</v>
      </c>
      <c r="B12" t="s">
        <v>16</v>
      </c>
      <c r="C12">
        <v>2836</v>
      </c>
      <c r="D12">
        <v>1810</v>
      </c>
      <c r="E12">
        <v>3678</v>
      </c>
      <c r="F12">
        <v>0.6382228490832158</v>
      </c>
    </row>
    <row r="13" spans="1:6" x14ac:dyDescent="0.2">
      <c r="A13">
        <v>105614</v>
      </c>
      <c r="B13" t="s">
        <v>17</v>
      </c>
      <c r="C13">
        <v>384</v>
      </c>
      <c r="D13">
        <v>24</v>
      </c>
      <c r="E13">
        <v>0</v>
      </c>
      <c r="F13">
        <v>6.25E-2</v>
      </c>
    </row>
    <row r="14" spans="1:6" x14ac:dyDescent="0.2">
      <c r="A14">
        <v>105678</v>
      </c>
      <c r="B14" t="s">
        <v>18</v>
      </c>
      <c r="C14">
        <v>90</v>
      </c>
      <c r="D14">
        <v>48</v>
      </c>
      <c r="E14">
        <v>3</v>
      </c>
      <c r="F14">
        <v>0.53333333333333333</v>
      </c>
    </row>
    <row r="15" spans="1:6" x14ac:dyDescent="0.2">
      <c r="A15">
        <v>105702</v>
      </c>
      <c r="B15" t="s">
        <v>19</v>
      </c>
      <c r="C15">
        <v>928</v>
      </c>
      <c r="D15">
        <v>504</v>
      </c>
      <c r="E15">
        <v>185</v>
      </c>
      <c r="F15">
        <v>0.5431034482758621</v>
      </c>
    </row>
    <row r="16" spans="1:6" x14ac:dyDescent="0.2">
      <c r="A16">
        <v>105706</v>
      </c>
      <c r="B16" t="s">
        <v>20</v>
      </c>
      <c r="C16">
        <v>760</v>
      </c>
      <c r="D16">
        <v>45</v>
      </c>
      <c r="E16">
        <v>505</v>
      </c>
      <c r="F16">
        <v>5.921052631578947E-2</v>
      </c>
    </row>
    <row r="17" spans="1:6" x14ac:dyDescent="0.2">
      <c r="A17">
        <v>105721</v>
      </c>
      <c r="B17" t="s">
        <v>21</v>
      </c>
      <c r="C17">
        <v>142</v>
      </c>
      <c r="D17">
        <v>13</v>
      </c>
      <c r="E17">
        <v>39</v>
      </c>
      <c r="F17">
        <v>9.154929577464789E-2</v>
      </c>
    </row>
    <row r="18" spans="1:6" x14ac:dyDescent="0.2">
      <c r="A18">
        <v>105751</v>
      </c>
      <c r="B18" t="s">
        <v>22</v>
      </c>
      <c r="C18">
        <v>248</v>
      </c>
      <c r="D18">
        <v>322</v>
      </c>
      <c r="E18">
        <v>224</v>
      </c>
      <c r="F18">
        <v>1.2983870967741939</v>
      </c>
    </row>
    <row r="19" spans="1:6" x14ac:dyDescent="0.2">
      <c r="A19">
        <v>105754</v>
      </c>
      <c r="B19" t="s">
        <v>23</v>
      </c>
      <c r="C19">
        <v>228</v>
      </c>
      <c r="D19">
        <v>32</v>
      </c>
      <c r="E19">
        <v>28</v>
      </c>
      <c r="F19">
        <v>0.14035087719298239</v>
      </c>
    </row>
    <row r="20" spans="1:6" x14ac:dyDescent="0.2">
      <c r="A20">
        <v>105756</v>
      </c>
      <c r="B20" t="s">
        <v>24</v>
      </c>
      <c r="C20">
        <v>195</v>
      </c>
      <c r="D20">
        <v>69</v>
      </c>
      <c r="E20">
        <v>83</v>
      </c>
      <c r="F20">
        <v>0.35384615384615392</v>
      </c>
    </row>
    <row r="21" spans="1:6" x14ac:dyDescent="0.2">
      <c r="A21">
        <v>105772</v>
      </c>
      <c r="B21" t="s">
        <v>25</v>
      </c>
      <c r="C21">
        <v>109</v>
      </c>
      <c r="D21">
        <v>68</v>
      </c>
      <c r="E21">
        <v>163</v>
      </c>
      <c r="F21">
        <v>0.62385321100917435</v>
      </c>
    </row>
    <row r="22" spans="1:6" x14ac:dyDescent="0.2">
      <c r="A22">
        <v>105779</v>
      </c>
      <c r="B22" t="s">
        <v>26</v>
      </c>
      <c r="C22">
        <v>446</v>
      </c>
      <c r="D22">
        <v>154</v>
      </c>
      <c r="E22">
        <v>12</v>
      </c>
      <c r="F22">
        <v>0.3452914798206278</v>
      </c>
    </row>
    <row r="23" spans="1:6" x14ac:dyDescent="0.2">
      <c r="A23">
        <v>105785</v>
      </c>
      <c r="B23" t="s">
        <v>27</v>
      </c>
      <c r="C23">
        <v>1993</v>
      </c>
      <c r="D23">
        <v>1035</v>
      </c>
      <c r="E23">
        <v>178</v>
      </c>
      <c r="F23">
        <v>0.51931761164074264</v>
      </c>
    </row>
    <row r="24" spans="1:6" x14ac:dyDescent="0.2">
      <c r="A24">
        <v>105861</v>
      </c>
      <c r="B24" t="s">
        <v>28</v>
      </c>
      <c r="C24">
        <v>157</v>
      </c>
      <c r="D24">
        <v>5</v>
      </c>
      <c r="E24">
        <v>14</v>
      </c>
      <c r="F24">
        <v>3.1847133757961783E-2</v>
      </c>
    </row>
    <row r="25" spans="1:6" x14ac:dyDescent="0.2">
      <c r="A25">
        <v>106000</v>
      </c>
      <c r="B25" t="s">
        <v>29</v>
      </c>
      <c r="C25">
        <v>1800</v>
      </c>
      <c r="D25">
        <v>95</v>
      </c>
      <c r="E25">
        <v>16</v>
      </c>
      <c r="F25">
        <v>5.2777777777777778E-2</v>
      </c>
    </row>
    <row r="26" spans="1:6" x14ac:dyDescent="0.2">
      <c r="A26">
        <v>106135</v>
      </c>
      <c r="B26" t="s">
        <v>30</v>
      </c>
      <c r="C26">
        <v>92</v>
      </c>
      <c r="D26">
        <v>375</v>
      </c>
      <c r="E26">
        <v>41</v>
      </c>
      <c r="F26">
        <v>4.0760869565217392</v>
      </c>
    </row>
    <row r="27" spans="1:6" x14ac:dyDescent="0.2">
      <c r="A27">
        <v>106155</v>
      </c>
      <c r="B27" t="s">
        <v>31</v>
      </c>
      <c r="C27">
        <v>3183</v>
      </c>
      <c r="D27">
        <v>213</v>
      </c>
      <c r="E27">
        <v>0</v>
      </c>
      <c r="F27">
        <v>6.6918001885014136E-2</v>
      </c>
    </row>
    <row r="28" spans="1:6" x14ac:dyDescent="0.2">
      <c r="A28">
        <v>106159</v>
      </c>
      <c r="B28" t="s">
        <v>32</v>
      </c>
      <c r="C28">
        <v>122</v>
      </c>
      <c r="D28">
        <v>38</v>
      </c>
      <c r="E28">
        <v>0</v>
      </c>
      <c r="F28">
        <v>0.31147540983606559</v>
      </c>
    </row>
    <row r="29" spans="1:6" x14ac:dyDescent="0.2">
      <c r="A29">
        <v>106169</v>
      </c>
      <c r="B29" t="s">
        <v>33</v>
      </c>
      <c r="C29">
        <v>1</v>
      </c>
      <c r="D29">
        <v>20</v>
      </c>
      <c r="E29">
        <v>1</v>
      </c>
      <c r="F29">
        <v>20</v>
      </c>
    </row>
    <row r="30" spans="1:6" x14ac:dyDescent="0.2">
      <c r="A30">
        <v>106223</v>
      </c>
      <c r="B30" t="s">
        <v>34</v>
      </c>
      <c r="C30">
        <v>79</v>
      </c>
      <c r="D30">
        <v>1</v>
      </c>
      <c r="E30">
        <v>21</v>
      </c>
      <c r="F30">
        <v>1.2658227848101271E-2</v>
      </c>
    </row>
    <row r="31" spans="1:6" x14ac:dyDescent="0.2">
      <c r="A31">
        <v>106273</v>
      </c>
      <c r="B31" t="s">
        <v>35</v>
      </c>
      <c r="C31">
        <v>0</v>
      </c>
      <c r="D31">
        <v>147</v>
      </c>
      <c r="E31">
        <v>1</v>
      </c>
      <c r="F31">
        <v>0</v>
      </c>
    </row>
    <row r="32" spans="1:6" x14ac:dyDescent="0.2">
      <c r="A32">
        <v>106281</v>
      </c>
      <c r="B32" t="s">
        <v>36</v>
      </c>
      <c r="C32">
        <v>58</v>
      </c>
      <c r="D32">
        <v>11</v>
      </c>
      <c r="E32">
        <v>0</v>
      </c>
      <c r="F32">
        <v>0.18965517241379309</v>
      </c>
    </row>
    <row r="33" spans="1:6" x14ac:dyDescent="0.2">
      <c r="A33">
        <v>106297</v>
      </c>
      <c r="B33" t="s">
        <v>37</v>
      </c>
      <c r="C33">
        <v>296</v>
      </c>
      <c r="D33">
        <v>453</v>
      </c>
      <c r="E33">
        <v>78</v>
      </c>
      <c r="F33">
        <v>1.530405405405405</v>
      </c>
    </row>
    <row r="34" spans="1:6" x14ac:dyDescent="0.2">
      <c r="A34">
        <v>106304</v>
      </c>
      <c r="B34" t="s">
        <v>38</v>
      </c>
      <c r="C34">
        <v>6053</v>
      </c>
      <c r="D34">
        <v>966</v>
      </c>
      <c r="E34">
        <v>0</v>
      </c>
      <c r="F34">
        <v>0.15959028580868989</v>
      </c>
    </row>
    <row r="35" spans="1:6" x14ac:dyDescent="0.2">
      <c r="A35">
        <v>106311</v>
      </c>
      <c r="B35" t="s">
        <v>39</v>
      </c>
      <c r="C35">
        <v>148</v>
      </c>
      <c r="D35">
        <v>30</v>
      </c>
      <c r="E35">
        <v>0</v>
      </c>
      <c r="F35">
        <v>0.20270270270270269</v>
      </c>
    </row>
    <row r="36" spans="1:6" x14ac:dyDescent="0.2">
      <c r="A36">
        <v>106338</v>
      </c>
      <c r="B36" t="s">
        <v>40</v>
      </c>
      <c r="C36">
        <v>895</v>
      </c>
      <c r="D36">
        <v>12</v>
      </c>
      <c r="E36">
        <v>31</v>
      </c>
      <c r="F36">
        <v>1.3407821229050281E-2</v>
      </c>
    </row>
    <row r="37" spans="1:6" x14ac:dyDescent="0.2">
      <c r="A37">
        <v>106346</v>
      </c>
      <c r="B37" t="s">
        <v>41</v>
      </c>
      <c r="C37">
        <v>1340</v>
      </c>
      <c r="D37">
        <v>660</v>
      </c>
      <c r="E37">
        <v>17</v>
      </c>
      <c r="F37">
        <v>0.4925373134328358</v>
      </c>
    </row>
    <row r="38" spans="1:6" x14ac:dyDescent="0.2">
      <c r="A38">
        <v>106372</v>
      </c>
      <c r="B38" t="s">
        <v>42</v>
      </c>
      <c r="C38">
        <v>650</v>
      </c>
      <c r="D38">
        <v>2402</v>
      </c>
      <c r="E38">
        <v>81</v>
      </c>
      <c r="F38">
        <v>3.695384615384615</v>
      </c>
    </row>
    <row r="39" spans="1:6" x14ac:dyDescent="0.2">
      <c r="A39">
        <v>106384</v>
      </c>
      <c r="B39" t="s">
        <v>43</v>
      </c>
      <c r="C39">
        <v>2</v>
      </c>
      <c r="D39">
        <v>72</v>
      </c>
      <c r="E39">
        <v>153</v>
      </c>
      <c r="F39">
        <v>36</v>
      </c>
    </row>
    <row r="40" spans="1:6" x14ac:dyDescent="0.2">
      <c r="A40">
        <v>106476</v>
      </c>
      <c r="B40" t="s">
        <v>44</v>
      </c>
      <c r="C40">
        <v>385</v>
      </c>
      <c r="D40">
        <v>136</v>
      </c>
      <c r="E40">
        <v>90</v>
      </c>
      <c r="F40">
        <v>0.35324675324675331</v>
      </c>
    </row>
    <row r="41" spans="1:6" x14ac:dyDescent="0.2">
      <c r="A41">
        <v>106477</v>
      </c>
      <c r="B41" t="s">
        <v>45</v>
      </c>
      <c r="C41">
        <v>158</v>
      </c>
      <c r="D41">
        <v>2</v>
      </c>
      <c r="E41">
        <v>0</v>
      </c>
      <c r="F41">
        <v>1.2658227848101271E-2</v>
      </c>
    </row>
    <row r="42" spans="1:6" x14ac:dyDescent="0.2">
      <c r="A42">
        <v>106478</v>
      </c>
      <c r="B42" t="s">
        <v>46</v>
      </c>
      <c r="C42">
        <v>1286</v>
      </c>
      <c r="D42">
        <v>99</v>
      </c>
      <c r="E42">
        <v>188</v>
      </c>
      <c r="F42">
        <v>7.6982892690513213E-2</v>
      </c>
    </row>
    <row r="43" spans="1:6" x14ac:dyDescent="0.2">
      <c r="A43">
        <v>106509</v>
      </c>
      <c r="B43" t="s">
        <v>47</v>
      </c>
      <c r="C43">
        <v>341</v>
      </c>
      <c r="D43">
        <v>4</v>
      </c>
      <c r="E43">
        <v>0</v>
      </c>
      <c r="F43">
        <v>1.1730205278592381E-2</v>
      </c>
    </row>
    <row r="44" spans="1:6" x14ac:dyDescent="0.2">
      <c r="A44">
        <v>106516</v>
      </c>
      <c r="B44" t="s">
        <v>48</v>
      </c>
      <c r="C44">
        <v>101</v>
      </c>
      <c r="D44">
        <v>246</v>
      </c>
      <c r="E44">
        <v>132</v>
      </c>
      <c r="F44">
        <v>2.435643564356436</v>
      </c>
    </row>
    <row r="45" spans="1:6" x14ac:dyDescent="0.2">
      <c r="A45">
        <v>106522</v>
      </c>
      <c r="B45" t="s">
        <v>49</v>
      </c>
      <c r="C45">
        <v>690</v>
      </c>
      <c r="D45">
        <v>11</v>
      </c>
      <c r="E45">
        <v>0</v>
      </c>
      <c r="F45">
        <v>1.5942028985507249E-2</v>
      </c>
    </row>
    <row r="46" spans="1:6" x14ac:dyDescent="0.2">
      <c r="A46">
        <v>106528</v>
      </c>
      <c r="B46" t="s">
        <v>50</v>
      </c>
      <c r="C46">
        <v>120</v>
      </c>
      <c r="D46">
        <v>38</v>
      </c>
      <c r="E46">
        <v>101</v>
      </c>
      <c r="F46">
        <v>0.31666666666666671</v>
      </c>
    </row>
    <row r="47" spans="1:6" x14ac:dyDescent="0.2">
      <c r="A47">
        <v>106566</v>
      </c>
      <c r="B47" t="s">
        <v>51</v>
      </c>
      <c r="C47">
        <v>88</v>
      </c>
      <c r="D47">
        <v>62</v>
      </c>
      <c r="E47">
        <v>24</v>
      </c>
      <c r="F47">
        <v>0.70454545454545459</v>
      </c>
    </row>
    <row r="48" spans="1:6" x14ac:dyDescent="0.2">
      <c r="A48">
        <v>106569</v>
      </c>
      <c r="B48" t="s">
        <v>52</v>
      </c>
      <c r="C48">
        <v>407</v>
      </c>
      <c r="D48">
        <v>1942</v>
      </c>
      <c r="E48">
        <v>822</v>
      </c>
      <c r="F48">
        <v>4.7714987714987718</v>
      </c>
    </row>
    <row r="49" spans="1:6" x14ac:dyDescent="0.2">
      <c r="A49">
        <v>106587</v>
      </c>
      <c r="B49" t="s">
        <v>53</v>
      </c>
      <c r="C49">
        <v>114</v>
      </c>
      <c r="D49">
        <v>428</v>
      </c>
      <c r="E49">
        <v>180</v>
      </c>
      <c r="F49">
        <v>3.7543859649122808</v>
      </c>
    </row>
    <row r="50" spans="1:6" x14ac:dyDescent="0.2">
      <c r="A50">
        <v>106590</v>
      </c>
      <c r="B50" t="s">
        <v>54</v>
      </c>
      <c r="C50">
        <v>150</v>
      </c>
      <c r="D50">
        <v>177</v>
      </c>
      <c r="E50">
        <v>85</v>
      </c>
      <c r="F50">
        <v>1.18</v>
      </c>
    </row>
    <row r="51" spans="1:6" x14ac:dyDescent="0.2">
      <c r="A51">
        <v>106616</v>
      </c>
      <c r="B51" t="s">
        <v>55</v>
      </c>
      <c r="C51">
        <v>4</v>
      </c>
      <c r="D51">
        <v>73</v>
      </c>
      <c r="E51">
        <v>105</v>
      </c>
      <c r="F51">
        <v>18.25</v>
      </c>
    </row>
    <row r="52" spans="1:6" x14ac:dyDescent="0.2">
      <c r="A52">
        <v>106627</v>
      </c>
      <c r="B52" t="s">
        <v>56</v>
      </c>
      <c r="C52">
        <v>80</v>
      </c>
      <c r="D52">
        <v>37</v>
      </c>
      <c r="E52">
        <v>28</v>
      </c>
      <c r="F52">
        <v>0.46250000000000002</v>
      </c>
    </row>
    <row r="53" spans="1:6" x14ac:dyDescent="0.2">
      <c r="A53">
        <v>106658</v>
      </c>
      <c r="B53" t="s">
        <v>57</v>
      </c>
      <c r="C53">
        <v>449</v>
      </c>
      <c r="D53">
        <v>471</v>
      </c>
      <c r="E53">
        <v>171</v>
      </c>
      <c r="F53">
        <v>1.048997772828508</v>
      </c>
    </row>
    <row r="54" spans="1:6" x14ac:dyDescent="0.2">
      <c r="A54">
        <v>106669</v>
      </c>
      <c r="B54" t="s">
        <v>58</v>
      </c>
      <c r="C54">
        <v>200</v>
      </c>
      <c r="D54">
        <v>706</v>
      </c>
      <c r="E54">
        <v>6</v>
      </c>
      <c r="F54">
        <v>3.53</v>
      </c>
    </row>
    <row r="55" spans="1:6" x14ac:dyDescent="0.2">
      <c r="A55">
        <v>106677</v>
      </c>
      <c r="B55" t="s">
        <v>59</v>
      </c>
      <c r="C55">
        <v>455</v>
      </c>
      <c r="D55">
        <v>945</v>
      </c>
      <c r="E55">
        <v>178</v>
      </c>
      <c r="F55">
        <v>2.0769230769230771</v>
      </c>
    </row>
    <row r="56" spans="1:6" x14ac:dyDescent="0.2">
      <c r="A56">
        <v>106698</v>
      </c>
      <c r="B56" t="s">
        <v>60</v>
      </c>
      <c r="C56">
        <v>78</v>
      </c>
      <c r="D56">
        <v>891</v>
      </c>
      <c r="E56">
        <v>193</v>
      </c>
      <c r="F56">
        <v>11.42307692307692</v>
      </c>
    </row>
    <row r="57" spans="1:6" x14ac:dyDescent="0.2">
      <c r="A57">
        <v>106711</v>
      </c>
      <c r="B57" t="s">
        <v>61</v>
      </c>
      <c r="C57">
        <v>171</v>
      </c>
      <c r="D57">
        <v>230</v>
      </c>
      <c r="E57">
        <v>0</v>
      </c>
      <c r="F57">
        <v>1.3450292397660819</v>
      </c>
    </row>
    <row r="58" spans="1:6" x14ac:dyDescent="0.2">
      <c r="A58">
        <v>106715</v>
      </c>
      <c r="B58" t="s">
        <v>62</v>
      </c>
      <c r="C58">
        <v>186</v>
      </c>
      <c r="D58">
        <v>1041</v>
      </c>
      <c r="E58">
        <v>99</v>
      </c>
      <c r="F58">
        <v>5.596774193548387</v>
      </c>
    </row>
    <row r="59" spans="1:6" x14ac:dyDescent="0.2">
      <c r="A59">
        <v>106735</v>
      </c>
      <c r="B59" t="s">
        <v>63</v>
      </c>
      <c r="C59">
        <v>0</v>
      </c>
      <c r="D59">
        <v>59</v>
      </c>
      <c r="E59">
        <v>0</v>
      </c>
      <c r="F59">
        <v>0</v>
      </c>
    </row>
    <row r="60" spans="1:6" x14ac:dyDescent="0.2">
      <c r="A60">
        <v>106743</v>
      </c>
      <c r="B60" t="s">
        <v>64</v>
      </c>
      <c r="C60">
        <v>122</v>
      </c>
      <c r="D60">
        <v>70</v>
      </c>
      <c r="E60">
        <v>0</v>
      </c>
      <c r="F60">
        <v>0.57377049180327866</v>
      </c>
    </row>
    <row r="61" spans="1:6" x14ac:dyDescent="0.2">
      <c r="A61">
        <v>106750</v>
      </c>
      <c r="B61" t="s">
        <v>65</v>
      </c>
      <c r="C61">
        <v>1</v>
      </c>
      <c r="D61">
        <v>185</v>
      </c>
      <c r="E61">
        <v>12</v>
      </c>
      <c r="F61">
        <v>185</v>
      </c>
    </row>
    <row r="62" spans="1:6" x14ac:dyDescent="0.2">
      <c r="A62">
        <v>106758</v>
      </c>
      <c r="B62" t="s">
        <v>66</v>
      </c>
      <c r="C62">
        <v>217</v>
      </c>
      <c r="D62">
        <v>112</v>
      </c>
      <c r="E62">
        <v>75</v>
      </c>
      <c r="F62">
        <v>0.5161290322580645</v>
      </c>
    </row>
    <row r="63" spans="1:6" x14ac:dyDescent="0.2">
      <c r="A63">
        <v>106774</v>
      </c>
      <c r="B63" t="s">
        <v>67</v>
      </c>
      <c r="C63">
        <v>1018</v>
      </c>
      <c r="D63">
        <v>111</v>
      </c>
      <c r="E63">
        <v>86</v>
      </c>
      <c r="F63">
        <v>0.1090373280943026</v>
      </c>
    </row>
    <row r="64" spans="1:6" x14ac:dyDescent="0.2">
      <c r="A64">
        <v>106841</v>
      </c>
      <c r="B64" t="s">
        <v>68</v>
      </c>
      <c r="C64">
        <v>20</v>
      </c>
      <c r="D64">
        <v>34</v>
      </c>
      <c r="E64">
        <v>13</v>
      </c>
      <c r="F64">
        <v>1.7</v>
      </c>
    </row>
    <row r="65" spans="1:6" x14ac:dyDescent="0.2">
      <c r="A65">
        <v>106876</v>
      </c>
      <c r="B65" t="s">
        <v>69</v>
      </c>
      <c r="C65">
        <v>3</v>
      </c>
      <c r="D65">
        <v>15</v>
      </c>
      <c r="E65">
        <v>4</v>
      </c>
      <c r="F65">
        <v>5</v>
      </c>
    </row>
    <row r="66" spans="1:6" x14ac:dyDescent="0.2">
      <c r="A66">
        <v>106880</v>
      </c>
      <c r="B66" t="s">
        <v>70</v>
      </c>
      <c r="C66">
        <v>1065</v>
      </c>
      <c r="D66">
        <v>581</v>
      </c>
      <c r="E66">
        <v>5</v>
      </c>
      <c r="F66">
        <v>0.5455399061032864</v>
      </c>
    </row>
    <row r="67" spans="1:6" x14ac:dyDescent="0.2">
      <c r="A67">
        <v>106896</v>
      </c>
      <c r="B67" t="s">
        <v>71</v>
      </c>
      <c r="C67">
        <v>1515</v>
      </c>
      <c r="D67">
        <v>69</v>
      </c>
      <c r="E67">
        <v>99</v>
      </c>
      <c r="F67">
        <v>4.5544554455445543E-2</v>
      </c>
    </row>
    <row r="68" spans="1:6" x14ac:dyDescent="0.2">
      <c r="A68">
        <v>106911</v>
      </c>
      <c r="B68" t="s">
        <v>72</v>
      </c>
      <c r="C68">
        <v>107</v>
      </c>
      <c r="D68">
        <v>11</v>
      </c>
      <c r="E68">
        <v>0</v>
      </c>
      <c r="F68">
        <v>0.10280373831775701</v>
      </c>
    </row>
    <row r="69" spans="1:6" x14ac:dyDescent="0.2">
      <c r="A69">
        <v>106916</v>
      </c>
      <c r="B69" t="s">
        <v>73</v>
      </c>
      <c r="C69">
        <v>533</v>
      </c>
      <c r="D69">
        <v>181</v>
      </c>
      <c r="E69">
        <v>68</v>
      </c>
      <c r="F69">
        <v>0.33958724202626639</v>
      </c>
    </row>
    <row r="70" spans="1:6" x14ac:dyDescent="0.2">
      <c r="A70">
        <v>106936</v>
      </c>
      <c r="B70" t="s">
        <v>74</v>
      </c>
      <c r="C70">
        <v>2010</v>
      </c>
      <c r="D70">
        <v>2175</v>
      </c>
      <c r="E70">
        <v>1967</v>
      </c>
      <c r="F70">
        <v>1.0820895522388061</v>
      </c>
    </row>
    <row r="71" spans="1:6" x14ac:dyDescent="0.2">
      <c r="A71">
        <v>106950</v>
      </c>
      <c r="B71" t="s">
        <v>75</v>
      </c>
      <c r="C71">
        <v>30</v>
      </c>
      <c r="D71">
        <v>45</v>
      </c>
      <c r="E71">
        <v>3</v>
      </c>
      <c r="F71">
        <v>1.5</v>
      </c>
    </row>
    <row r="72" spans="1:6" x14ac:dyDescent="0.2">
      <c r="A72">
        <v>106967</v>
      </c>
      <c r="B72" t="s">
        <v>76</v>
      </c>
      <c r="C72">
        <v>194</v>
      </c>
      <c r="D72">
        <v>3</v>
      </c>
      <c r="E72">
        <v>0</v>
      </c>
      <c r="F72">
        <v>1.54639175257732E-2</v>
      </c>
    </row>
    <row r="73" spans="1:6" x14ac:dyDescent="0.2">
      <c r="A73">
        <v>106976</v>
      </c>
      <c r="B73" t="s">
        <v>77</v>
      </c>
      <c r="C73">
        <v>350</v>
      </c>
      <c r="D73">
        <v>260</v>
      </c>
      <c r="E73">
        <v>192</v>
      </c>
      <c r="F73">
        <v>0.74285714285714288</v>
      </c>
    </row>
    <row r="74" spans="1:6" x14ac:dyDescent="0.2">
      <c r="A74">
        <v>106985</v>
      </c>
      <c r="B74" t="s">
        <v>78</v>
      </c>
      <c r="C74">
        <v>11</v>
      </c>
      <c r="D74">
        <v>5</v>
      </c>
      <c r="E74">
        <v>5</v>
      </c>
      <c r="F74">
        <v>0.45454545454545447</v>
      </c>
    </row>
    <row r="75" spans="1:6" x14ac:dyDescent="0.2">
      <c r="A75">
        <v>106987</v>
      </c>
      <c r="B75" t="s">
        <v>79</v>
      </c>
      <c r="C75">
        <v>27</v>
      </c>
      <c r="D75">
        <v>0</v>
      </c>
      <c r="E75">
        <v>6</v>
      </c>
      <c r="F75">
        <v>0</v>
      </c>
    </row>
    <row r="76" spans="1:6" x14ac:dyDescent="0.2">
      <c r="A76">
        <v>106990</v>
      </c>
      <c r="B76" t="s">
        <v>80</v>
      </c>
      <c r="C76">
        <v>88</v>
      </c>
      <c r="D76">
        <v>33</v>
      </c>
      <c r="E76">
        <v>92</v>
      </c>
      <c r="F76">
        <v>0.375</v>
      </c>
    </row>
    <row r="77" spans="1:6" x14ac:dyDescent="0.2">
      <c r="A77">
        <v>107016</v>
      </c>
      <c r="B77" t="s">
        <v>81</v>
      </c>
      <c r="C77">
        <v>1201</v>
      </c>
      <c r="D77">
        <v>90</v>
      </c>
      <c r="E77">
        <v>2</v>
      </c>
      <c r="F77">
        <v>7.4937552039966701E-2</v>
      </c>
    </row>
    <row r="78" spans="1:6" x14ac:dyDescent="0.2">
      <c r="A78">
        <v>107083</v>
      </c>
      <c r="B78" t="s">
        <v>82</v>
      </c>
      <c r="C78">
        <v>47</v>
      </c>
      <c r="D78">
        <v>3</v>
      </c>
      <c r="E78">
        <v>26</v>
      </c>
      <c r="F78">
        <v>6.3829787234042548E-2</v>
      </c>
    </row>
    <row r="79" spans="1:6" x14ac:dyDescent="0.2">
      <c r="A79">
        <v>107092</v>
      </c>
      <c r="B79" t="s">
        <v>83</v>
      </c>
      <c r="C79">
        <v>570</v>
      </c>
      <c r="D79">
        <v>836</v>
      </c>
      <c r="E79">
        <v>7</v>
      </c>
      <c r="F79">
        <v>1.466666666666667</v>
      </c>
    </row>
    <row r="80" spans="1:6" x14ac:dyDescent="0.2">
      <c r="A80">
        <v>107124</v>
      </c>
      <c r="B80" t="s">
        <v>84</v>
      </c>
      <c r="C80">
        <v>327</v>
      </c>
      <c r="D80">
        <v>1015</v>
      </c>
      <c r="E80">
        <v>765</v>
      </c>
      <c r="F80">
        <v>3.1039755351681961</v>
      </c>
    </row>
    <row r="81" spans="1:6" x14ac:dyDescent="0.2">
      <c r="A81">
        <v>107126</v>
      </c>
      <c r="B81" t="s">
        <v>85</v>
      </c>
      <c r="C81">
        <v>129</v>
      </c>
      <c r="D81">
        <v>58</v>
      </c>
      <c r="E81">
        <v>1</v>
      </c>
      <c r="F81">
        <v>0.44961240310077522</v>
      </c>
    </row>
    <row r="82" spans="1:6" x14ac:dyDescent="0.2">
      <c r="A82">
        <v>107137</v>
      </c>
      <c r="B82" t="s">
        <v>86</v>
      </c>
      <c r="C82">
        <v>255</v>
      </c>
      <c r="D82">
        <v>33</v>
      </c>
      <c r="E82">
        <v>0</v>
      </c>
      <c r="F82">
        <v>0.12941176470588239</v>
      </c>
    </row>
    <row r="83" spans="1:6" x14ac:dyDescent="0.2">
      <c r="A83">
        <v>107156</v>
      </c>
      <c r="B83" t="s">
        <v>87</v>
      </c>
      <c r="C83">
        <v>123</v>
      </c>
      <c r="D83">
        <v>36</v>
      </c>
      <c r="E83">
        <v>30</v>
      </c>
      <c r="F83">
        <v>0.29268292682926828</v>
      </c>
    </row>
    <row r="84" spans="1:6" x14ac:dyDescent="0.2">
      <c r="A84">
        <v>107160</v>
      </c>
      <c r="B84" t="s">
        <v>88</v>
      </c>
      <c r="C84">
        <v>50</v>
      </c>
      <c r="D84">
        <v>72</v>
      </c>
      <c r="E84">
        <v>0</v>
      </c>
      <c r="F84">
        <v>1.44</v>
      </c>
    </row>
    <row r="85" spans="1:6" x14ac:dyDescent="0.2">
      <c r="A85">
        <v>107189</v>
      </c>
      <c r="B85" t="s">
        <v>89</v>
      </c>
      <c r="C85">
        <v>0</v>
      </c>
      <c r="D85">
        <v>10</v>
      </c>
      <c r="E85">
        <v>2</v>
      </c>
      <c r="F85">
        <v>0</v>
      </c>
    </row>
    <row r="86" spans="1:6" x14ac:dyDescent="0.2">
      <c r="A86">
        <v>107197</v>
      </c>
      <c r="B86" t="s">
        <v>90</v>
      </c>
      <c r="C86">
        <v>1202</v>
      </c>
      <c r="D86">
        <v>445</v>
      </c>
      <c r="E86">
        <v>94</v>
      </c>
      <c r="F86">
        <v>0.37021630615640599</v>
      </c>
    </row>
    <row r="87" spans="1:6" x14ac:dyDescent="0.2">
      <c r="A87">
        <v>107206</v>
      </c>
      <c r="B87" t="s">
        <v>91</v>
      </c>
      <c r="C87">
        <v>896</v>
      </c>
      <c r="D87">
        <v>8</v>
      </c>
      <c r="E87">
        <v>0</v>
      </c>
      <c r="F87">
        <v>8.9285714285714281E-3</v>
      </c>
    </row>
    <row r="88" spans="1:6" x14ac:dyDescent="0.2">
      <c r="A88">
        <v>107214</v>
      </c>
      <c r="B88" t="s">
        <v>92</v>
      </c>
      <c r="C88">
        <v>7</v>
      </c>
      <c r="D88">
        <v>19</v>
      </c>
      <c r="E88">
        <v>1</v>
      </c>
      <c r="F88">
        <v>2.714285714285714</v>
      </c>
    </row>
    <row r="89" spans="1:6" x14ac:dyDescent="0.2">
      <c r="A89">
        <v>107215</v>
      </c>
      <c r="B89" t="s">
        <v>93</v>
      </c>
      <c r="C89">
        <v>0</v>
      </c>
      <c r="D89">
        <v>12</v>
      </c>
      <c r="E89">
        <v>15</v>
      </c>
      <c r="F89">
        <v>0</v>
      </c>
    </row>
    <row r="90" spans="1:6" x14ac:dyDescent="0.2">
      <c r="A90">
        <v>107245</v>
      </c>
      <c r="B90" t="s">
        <v>94</v>
      </c>
      <c r="C90">
        <v>160</v>
      </c>
      <c r="D90">
        <v>42</v>
      </c>
      <c r="E90">
        <v>145</v>
      </c>
      <c r="F90">
        <v>0.26250000000000001</v>
      </c>
    </row>
    <row r="91" spans="1:6" x14ac:dyDescent="0.2">
      <c r="A91">
        <v>107272</v>
      </c>
      <c r="B91" t="s">
        <v>95</v>
      </c>
      <c r="C91">
        <v>130</v>
      </c>
      <c r="D91">
        <v>507</v>
      </c>
      <c r="E91">
        <v>6</v>
      </c>
      <c r="F91">
        <v>3.9</v>
      </c>
    </row>
    <row r="92" spans="1:6" x14ac:dyDescent="0.2">
      <c r="A92">
        <v>107277</v>
      </c>
      <c r="B92" t="s">
        <v>96</v>
      </c>
      <c r="C92">
        <v>46</v>
      </c>
      <c r="D92">
        <v>179</v>
      </c>
      <c r="E92">
        <v>0</v>
      </c>
      <c r="F92">
        <v>3.8913043478260869</v>
      </c>
    </row>
    <row r="93" spans="1:6" x14ac:dyDescent="0.2">
      <c r="A93">
        <v>107319</v>
      </c>
      <c r="B93" t="s">
        <v>97</v>
      </c>
      <c r="C93">
        <v>135</v>
      </c>
      <c r="D93">
        <v>115</v>
      </c>
      <c r="E93">
        <v>5</v>
      </c>
      <c r="F93">
        <v>0.85185185185185186</v>
      </c>
    </row>
    <row r="94" spans="1:6" x14ac:dyDescent="0.2">
      <c r="A94">
        <v>107333</v>
      </c>
      <c r="B94" t="s">
        <v>98</v>
      </c>
      <c r="C94">
        <v>438</v>
      </c>
      <c r="D94">
        <v>8</v>
      </c>
      <c r="E94">
        <v>186</v>
      </c>
      <c r="F94">
        <v>1.8264840182648401E-2</v>
      </c>
    </row>
    <row r="95" spans="1:6" x14ac:dyDescent="0.2">
      <c r="A95">
        <v>107372</v>
      </c>
      <c r="B95" t="s">
        <v>99</v>
      </c>
      <c r="C95">
        <v>0</v>
      </c>
      <c r="D95">
        <v>38</v>
      </c>
      <c r="E95">
        <v>19</v>
      </c>
      <c r="F95">
        <v>0</v>
      </c>
    </row>
    <row r="96" spans="1:6" x14ac:dyDescent="0.2">
      <c r="A96">
        <v>107397</v>
      </c>
      <c r="B96" t="s">
        <v>100</v>
      </c>
      <c r="C96">
        <v>673</v>
      </c>
      <c r="D96">
        <v>74</v>
      </c>
      <c r="E96">
        <v>3</v>
      </c>
      <c r="F96">
        <v>0.10995542347696879</v>
      </c>
    </row>
    <row r="97" spans="1:6" x14ac:dyDescent="0.2">
      <c r="A97">
        <v>107430</v>
      </c>
      <c r="B97" t="s">
        <v>101</v>
      </c>
      <c r="C97">
        <v>7</v>
      </c>
      <c r="D97">
        <v>68</v>
      </c>
      <c r="E97">
        <v>13</v>
      </c>
      <c r="F97">
        <v>9.7142857142857135</v>
      </c>
    </row>
    <row r="98" spans="1:6" x14ac:dyDescent="0.2">
      <c r="A98">
        <v>107448</v>
      </c>
      <c r="B98" t="s">
        <v>102</v>
      </c>
      <c r="C98">
        <v>0</v>
      </c>
      <c r="D98">
        <v>5</v>
      </c>
      <c r="E98">
        <v>9</v>
      </c>
      <c r="F98">
        <v>0</v>
      </c>
    </row>
    <row r="99" spans="1:6" x14ac:dyDescent="0.2">
      <c r="A99">
        <v>107450</v>
      </c>
      <c r="B99" t="s">
        <v>103</v>
      </c>
      <c r="C99">
        <v>0</v>
      </c>
      <c r="D99">
        <v>11</v>
      </c>
      <c r="E99">
        <v>1</v>
      </c>
      <c r="F99">
        <v>0</v>
      </c>
    </row>
    <row r="100" spans="1:6" x14ac:dyDescent="0.2">
      <c r="A100">
        <v>107619</v>
      </c>
      <c r="B100" t="s">
        <v>104</v>
      </c>
      <c r="C100">
        <v>255</v>
      </c>
      <c r="D100">
        <v>426</v>
      </c>
      <c r="E100">
        <v>19</v>
      </c>
      <c r="F100">
        <v>1.6705882352941179</v>
      </c>
    </row>
    <row r="101" spans="1:6" x14ac:dyDescent="0.2">
      <c r="A101">
        <v>107621</v>
      </c>
      <c r="B101" t="s">
        <v>105</v>
      </c>
      <c r="C101">
        <v>22</v>
      </c>
      <c r="D101">
        <v>9</v>
      </c>
      <c r="E101">
        <v>0</v>
      </c>
      <c r="F101">
        <v>0.40909090909090912</v>
      </c>
    </row>
    <row r="102" spans="1:6" x14ac:dyDescent="0.2">
      <c r="A102">
        <v>107650</v>
      </c>
      <c r="B102" t="s">
        <v>106</v>
      </c>
      <c r="C102">
        <v>149</v>
      </c>
      <c r="D102">
        <v>174</v>
      </c>
      <c r="E102">
        <v>192</v>
      </c>
      <c r="F102">
        <v>1.1677852348993289</v>
      </c>
    </row>
    <row r="103" spans="1:6" x14ac:dyDescent="0.2">
      <c r="A103">
        <v>107655</v>
      </c>
      <c r="B103" t="s">
        <v>107</v>
      </c>
      <c r="C103">
        <v>88</v>
      </c>
      <c r="D103">
        <v>35</v>
      </c>
      <c r="E103">
        <v>1</v>
      </c>
      <c r="F103">
        <v>0.39772727272727271</v>
      </c>
    </row>
    <row r="104" spans="1:6" x14ac:dyDescent="0.2">
      <c r="A104">
        <v>107673</v>
      </c>
      <c r="B104" t="s">
        <v>108</v>
      </c>
      <c r="C104">
        <v>47</v>
      </c>
      <c r="D104">
        <v>1</v>
      </c>
      <c r="E104">
        <v>10</v>
      </c>
      <c r="F104">
        <v>2.1276595744680851E-2</v>
      </c>
    </row>
    <row r="105" spans="1:6" x14ac:dyDescent="0.2">
      <c r="A105">
        <v>107750</v>
      </c>
      <c r="B105" t="s">
        <v>109</v>
      </c>
      <c r="C105">
        <v>745</v>
      </c>
      <c r="D105">
        <v>1041</v>
      </c>
      <c r="E105">
        <v>209</v>
      </c>
      <c r="F105">
        <v>1.3973154362416109</v>
      </c>
    </row>
    <row r="106" spans="1:6" x14ac:dyDescent="0.2">
      <c r="A106">
        <v>107787</v>
      </c>
      <c r="B106" t="s">
        <v>110</v>
      </c>
      <c r="C106">
        <v>119</v>
      </c>
      <c r="D106">
        <v>244</v>
      </c>
      <c r="E106">
        <v>0</v>
      </c>
      <c r="F106">
        <v>2.0504201680672272</v>
      </c>
    </row>
    <row r="107" spans="1:6" x14ac:dyDescent="0.2">
      <c r="A107">
        <v>107794</v>
      </c>
      <c r="B107" t="s">
        <v>111</v>
      </c>
      <c r="C107">
        <v>250</v>
      </c>
      <c r="D107">
        <v>417</v>
      </c>
      <c r="E107">
        <v>0</v>
      </c>
      <c r="F107">
        <v>1.6679999999999999</v>
      </c>
    </row>
    <row r="108" spans="1:6" x14ac:dyDescent="0.2">
      <c r="A108">
        <v>107831</v>
      </c>
      <c r="B108" t="s">
        <v>112</v>
      </c>
      <c r="C108">
        <v>402</v>
      </c>
      <c r="D108">
        <v>43</v>
      </c>
      <c r="E108">
        <v>9</v>
      </c>
      <c r="F108">
        <v>0.1069651741293532</v>
      </c>
    </row>
    <row r="109" spans="1:6" x14ac:dyDescent="0.2">
      <c r="A109">
        <v>107851</v>
      </c>
      <c r="B109" t="s">
        <v>113</v>
      </c>
      <c r="C109">
        <v>18</v>
      </c>
      <c r="D109">
        <v>10</v>
      </c>
      <c r="E109">
        <v>0</v>
      </c>
      <c r="F109">
        <v>0.55555555555555558</v>
      </c>
    </row>
    <row r="110" spans="1:6" x14ac:dyDescent="0.2">
      <c r="A110">
        <v>107880</v>
      </c>
      <c r="B110" t="s">
        <v>114</v>
      </c>
      <c r="C110">
        <v>14</v>
      </c>
      <c r="D110">
        <v>2</v>
      </c>
      <c r="E110">
        <v>0</v>
      </c>
      <c r="F110">
        <v>0.14285714285714279</v>
      </c>
    </row>
    <row r="111" spans="1:6" x14ac:dyDescent="0.2">
      <c r="A111">
        <v>107887</v>
      </c>
      <c r="B111" t="s">
        <v>115</v>
      </c>
      <c r="C111">
        <v>2281</v>
      </c>
      <c r="D111">
        <v>73</v>
      </c>
      <c r="E111">
        <v>157</v>
      </c>
      <c r="F111">
        <v>3.2003507233669452E-2</v>
      </c>
    </row>
    <row r="112" spans="1:6" x14ac:dyDescent="0.2">
      <c r="A112">
        <v>107911</v>
      </c>
      <c r="B112" t="s">
        <v>116</v>
      </c>
      <c r="C112">
        <v>1312</v>
      </c>
      <c r="D112">
        <v>18</v>
      </c>
      <c r="E112">
        <v>0</v>
      </c>
      <c r="F112">
        <v>1.371951219512195E-2</v>
      </c>
    </row>
    <row r="113" spans="1:6" x14ac:dyDescent="0.2">
      <c r="A113">
        <v>107937</v>
      </c>
      <c r="B113" t="s">
        <v>117</v>
      </c>
      <c r="C113">
        <v>0</v>
      </c>
      <c r="D113">
        <v>22</v>
      </c>
      <c r="E113">
        <v>16</v>
      </c>
      <c r="F113">
        <v>0</v>
      </c>
    </row>
    <row r="114" spans="1:6" x14ac:dyDescent="0.2">
      <c r="A114">
        <v>107969</v>
      </c>
      <c r="B114" t="s">
        <v>118</v>
      </c>
      <c r="C114">
        <v>7</v>
      </c>
      <c r="D114">
        <v>591</v>
      </c>
      <c r="E114">
        <v>76</v>
      </c>
      <c r="F114">
        <v>84.428571428571431</v>
      </c>
    </row>
    <row r="115" spans="1:6" x14ac:dyDescent="0.2">
      <c r="A115">
        <v>107980</v>
      </c>
      <c r="B115" t="s">
        <v>119</v>
      </c>
      <c r="C115">
        <v>40</v>
      </c>
      <c r="D115">
        <v>57</v>
      </c>
      <c r="E115">
        <v>0</v>
      </c>
      <c r="F115">
        <v>1.425</v>
      </c>
    </row>
    <row r="116" spans="1:6" x14ac:dyDescent="0.2">
      <c r="A116">
        <v>107989</v>
      </c>
      <c r="B116" t="s">
        <v>120</v>
      </c>
      <c r="C116">
        <v>236</v>
      </c>
      <c r="D116">
        <v>464</v>
      </c>
      <c r="E116">
        <v>15</v>
      </c>
      <c r="F116">
        <v>1.9661016949152541</v>
      </c>
    </row>
    <row r="117" spans="1:6" x14ac:dyDescent="0.2">
      <c r="A117">
        <v>107993</v>
      </c>
      <c r="B117" t="s">
        <v>121</v>
      </c>
      <c r="C117">
        <v>157</v>
      </c>
      <c r="D117">
        <v>393</v>
      </c>
      <c r="E117">
        <v>11</v>
      </c>
      <c r="F117">
        <v>2.5031847133757958</v>
      </c>
    </row>
    <row r="118" spans="1:6" x14ac:dyDescent="0.2">
      <c r="A118">
        <v>108002</v>
      </c>
      <c r="B118" t="s">
        <v>122</v>
      </c>
      <c r="C118">
        <v>65</v>
      </c>
      <c r="D118">
        <v>15</v>
      </c>
      <c r="E118">
        <v>1</v>
      </c>
      <c r="F118">
        <v>0.23076923076923081</v>
      </c>
    </row>
    <row r="119" spans="1:6" x14ac:dyDescent="0.2">
      <c r="A119">
        <v>108003</v>
      </c>
      <c r="B119" t="s">
        <v>123</v>
      </c>
      <c r="C119">
        <v>79</v>
      </c>
      <c r="D119">
        <v>48</v>
      </c>
      <c r="E119">
        <v>2</v>
      </c>
      <c r="F119">
        <v>0.60759493670886078</v>
      </c>
    </row>
    <row r="120" spans="1:6" x14ac:dyDescent="0.2">
      <c r="A120">
        <v>108011</v>
      </c>
      <c r="B120" t="s">
        <v>124</v>
      </c>
      <c r="C120">
        <v>476</v>
      </c>
      <c r="D120">
        <v>4</v>
      </c>
      <c r="E120">
        <v>0</v>
      </c>
      <c r="F120">
        <v>8.4033613445378148E-3</v>
      </c>
    </row>
    <row r="121" spans="1:6" x14ac:dyDescent="0.2">
      <c r="A121">
        <v>108014</v>
      </c>
      <c r="B121" t="s">
        <v>125</v>
      </c>
      <c r="C121">
        <v>157</v>
      </c>
      <c r="D121">
        <v>26</v>
      </c>
      <c r="E121">
        <v>365</v>
      </c>
      <c r="F121">
        <v>0.16560509554140129</v>
      </c>
    </row>
    <row r="122" spans="1:6" x14ac:dyDescent="0.2">
      <c r="A122">
        <v>108027</v>
      </c>
      <c r="B122" t="s">
        <v>126</v>
      </c>
      <c r="C122">
        <v>148</v>
      </c>
      <c r="D122">
        <v>19</v>
      </c>
      <c r="E122">
        <v>0</v>
      </c>
      <c r="F122">
        <v>0.1283783783783784</v>
      </c>
    </row>
    <row r="123" spans="1:6" x14ac:dyDescent="0.2">
      <c r="A123">
        <v>108043</v>
      </c>
      <c r="B123" t="s">
        <v>127</v>
      </c>
      <c r="C123">
        <v>85</v>
      </c>
      <c r="D123">
        <v>41</v>
      </c>
      <c r="E123">
        <v>7</v>
      </c>
      <c r="F123">
        <v>0.4823529411764706</v>
      </c>
    </row>
    <row r="124" spans="1:6" x14ac:dyDescent="0.2">
      <c r="A124">
        <v>108050</v>
      </c>
      <c r="B124" t="s">
        <v>128</v>
      </c>
      <c r="C124">
        <v>1400</v>
      </c>
      <c r="D124">
        <v>4597</v>
      </c>
      <c r="E124">
        <v>109</v>
      </c>
      <c r="F124">
        <v>3.2835714285714279</v>
      </c>
    </row>
    <row r="125" spans="1:6" x14ac:dyDescent="0.2">
      <c r="A125">
        <v>108053</v>
      </c>
      <c r="B125" t="s">
        <v>129</v>
      </c>
      <c r="C125">
        <v>3</v>
      </c>
      <c r="D125">
        <v>815</v>
      </c>
      <c r="E125">
        <v>0</v>
      </c>
      <c r="F125">
        <v>271.66666666666669</v>
      </c>
    </row>
    <row r="126" spans="1:6" x14ac:dyDescent="0.2">
      <c r="A126">
        <v>108060</v>
      </c>
      <c r="B126" t="s">
        <v>130</v>
      </c>
      <c r="C126">
        <v>31</v>
      </c>
      <c r="D126">
        <v>38</v>
      </c>
      <c r="E126">
        <v>57</v>
      </c>
      <c r="F126">
        <v>1.225806451612903</v>
      </c>
    </row>
    <row r="127" spans="1:6" x14ac:dyDescent="0.2">
      <c r="A127">
        <v>108080</v>
      </c>
      <c r="B127" t="s">
        <v>131</v>
      </c>
      <c r="C127">
        <v>152</v>
      </c>
      <c r="D127">
        <v>149</v>
      </c>
      <c r="E127">
        <v>0</v>
      </c>
      <c r="F127">
        <v>0.98026315789473684</v>
      </c>
    </row>
    <row r="128" spans="1:6" x14ac:dyDescent="0.2">
      <c r="A128">
        <v>108086</v>
      </c>
      <c r="B128" t="s">
        <v>132</v>
      </c>
      <c r="C128">
        <v>1365</v>
      </c>
      <c r="D128">
        <v>1155</v>
      </c>
      <c r="E128">
        <v>420</v>
      </c>
      <c r="F128">
        <v>0.84615384615384615</v>
      </c>
    </row>
    <row r="129" spans="1:6" x14ac:dyDescent="0.2">
      <c r="A129">
        <v>108106</v>
      </c>
      <c r="B129" t="s">
        <v>133</v>
      </c>
      <c r="C129">
        <v>51</v>
      </c>
      <c r="D129">
        <v>14</v>
      </c>
      <c r="E129">
        <v>35</v>
      </c>
      <c r="F129">
        <v>0.27450980392156871</v>
      </c>
    </row>
    <row r="130" spans="1:6" x14ac:dyDescent="0.2">
      <c r="A130">
        <v>108109</v>
      </c>
      <c r="B130" t="s">
        <v>134</v>
      </c>
      <c r="C130">
        <v>499</v>
      </c>
      <c r="D130">
        <v>84</v>
      </c>
      <c r="E130">
        <v>0</v>
      </c>
      <c r="F130">
        <v>0.16833667334669339</v>
      </c>
    </row>
    <row r="131" spans="1:6" x14ac:dyDescent="0.2">
      <c r="A131">
        <v>108180</v>
      </c>
      <c r="B131" t="s">
        <v>135</v>
      </c>
      <c r="C131">
        <v>9</v>
      </c>
      <c r="D131">
        <v>1</v>
      </c>
      <c r="E131">
        <v>2</v>
      </c>
      <c r="F131">
        <v>0.1111111111111111</v>
      </c>
    </row>
    <row r="132" spans="1:6" x14ac:dyDescent="0.2">
      <c r="A132">
        <v>108230</v>
      </c>
      <c r="B132" t="s">
        <v>136</v>
      </c>
      <c r="C132">
        <v>2</v>
      </c>
      <c r="D132">
        <v>46</v>
      </c>
      <c r="E132">
        <v>5</v>
      </c>
      <c r="F132">
        <v>23</v>
      </c>
    </row>
    <row r="133" spans="1:6" x14ac:dyDescent="0.2">
      <c r="A133">
        <v>108237</v>
      </c>
      <c r="B133" t="s">
        <v>137</v>
      </c>
      <c r="C133">
        <v>131</v>
      </c>
      <c r="D133">
        <v>746</v>
      </c>
      <c r="E133">
        <v>520</v>
      </c>
      <c r="F133">
        <v>5.6946564885496187</v>
      </c>
    </row>
    <row r="134" spans="1:6" x14ac:dyDescent="0.2">
      <c r="A134">
        <v>108260</v>
      </c>
      <c r="B134" t="s">
        <v>138</v>
      </c>
      <c r="C134">
        <v>59</v>
      </c>
      <c r="D134">
        <v>27</v>
      </c>
      <c r="E134">
        <v>33</v>
      </c>
      <c r="F134">
        <v>0.4576271186440678</v>
      </c>
    </row>
    <row r="135" spans="1:6" x14ac:dyDescent="0.2">
      <c r="A135">
        <v>108263</v>
      </c>
      <c r="B135" t="s">
        <v>139</v>
      </c>
      <c r="C135">
        <v>0</v>
      </c>
      <c r="D135">
        <v>87</v>
      </c>
      <c r="E135">
        <v>12</v>
      </c>
      <c r="F135">
        <v>0</v>
      </c>
    </row>
    <row r="136" spans="1:6" x14ac:dyDescent="0.2">
      <c r="A136">
        <v>108276</v>
      </c>
      <c r="B136" t="s">
        <v>140</v>
      </c>
      <c r="C136">
        <v>38</v>
      </c>
      <c r="D136">
        <v>124</v>
      </c>
      <c r="E136">
        <v>117</v>
      </c>
      <c r="F136">
        <v>3.263157894736842</v>
      </c>
    </row>
    <row r="137" spans="1:6" x14ac:dyDescent="0.2">
      <c r="A137">
        <v>108283</v>
      </c>
      <c r="B137" t="s">
        <v>141</v>
      </c>
      <c r="C137">
        <v>0</v>
      </c>
      <c r="D137">
        <v>64</v>
      </c>
      <c r="E137">
        <v>16</v>
      </c>
      <c r="F137">
        <v>0</v>
      </c>
    </row>
    <row r="138" spans="1:6" x14ac:dyDescent="0.2">
      <c r="A138">
        <v>108325</v>
      </c>
      <c r="B138" t="s">
        <v>142</v>
      </c>
      <c r="C138">
        <v>237</v>
      </c>
      <c r="D138">
        <v>40</v>
      </c>
      <c r="E138">
        <v>11</v>
      </c>
      <c r="F138">
        <v>0.1687763713080169</v>
      </c>
    </row>
    <row r="139" spans="1:6" x14ac:dyDescent="0.2">
      <c r="A139">
        <v>108326</v>
      </c>
      <c r="B139" t="s">
        <v>143</v>
      </c>
      <c r="C139">
        <v>35</v>
      </c>
      <c r="D139">
        <v>21</v>
      </c>
      <c r="E139">
        <v>19</v>
      </c>
      <c r="F139">
        <v>0.6</v>
      </c>
    </row>
    <row r="140" spans="1:6" x14ac:dyDescent="0.2">
      <c r="A140">
        <v>108354</v>
      </c>
      <c r="B140" t="s">
        <v>144</v>
      </c>
      <c r="C140">
        <v>35</v>
      </c>
      <c r="D140">
        <v>171</v>
      </c>
      <c r="E140">
        <v>34</v>
      </c>
      <c r="F140">
        <v>4.8857142857142861</v>
      </c>
    </row>
    <row r="141" spans="1:6" x14ac:dyDescent="0.2">
      <c r="A141">
        <v>108360</v>
      </c>
      <c r="B141" t="s">
        <v>145</v>
      </c>
      <c r="C141">
        <v>782</v>
      </c>
      <c r="D141">
        <v>15</v>
      </c>
      <c r="E141">
        <v>4</v>
      </c>
      <c r="F141">
        <v>1.9181585677749361E-2</v>
      </c>
    </row>
    <row r="142" spans="1:6" x14ac:dyDescent="0.2">
      <c r="A142">
        <v>108362</v>
      </c>
      <c r="B142" t="s">
        <v>146</v>
      </c>
      <c r="C142">
        <v>215</v>
      </c>
      <c r="D142">
        <v>0</v>
      </c>
      <c r="E142">
        <v>4</v>
      </c>
      <c r="F142">
        <v>0</v>
      </c>
    </row>
    <row r="143" spans="1:6" x14ac:dyDescent="0.2">
      <c r="A143">
        <v>108379</v>
      </c>
      <c r="B143" t="s">
        <v>147</v>
      </c>
      <c r="C143">
        <v>461</v>
      </c>
      <c r="D143">
        <v>2</v>
      </c>
      <c r="E143">
        <v>0</v>
      </c>
      <c r="F143">
        <v>4.3383947939262474E-3</v>
      </c>
    </row>
    <row r="144" spans="1:6" x14ac:dyDescent="0.2">
      <c r="A144">
        <v>108380</v>
      </c>
      <c r="B144" t="s">
        <v>148</v>
      </c>
      <c r="C144">
        <v>1</v>
      </c>
      <c r="D144">
        <v>1</v>
      </c>
      <c r="E144">
        <v>0</v>
      </c>
      <c r="F144">
        <v>1</v>
      </c>
    </row>
    <row r="145" spans="1:6" x14ac:dyDescent="0.2">
      <c r="A145">
        <v>108398</v>
      </c>
      <c r="B145" t="s">
        <v>149</v>
      </c>
      <c r="C145">
        <v>38</v>
      </c>
      <c r="D145">
        <v>81</v>
      </c>
      <c r="E145">
        <v>0</v>
      </c>
      <c r="F145">
        <v>2.1315789473684208</v>
      </c>
    </row>
    <row r="146" spans="1:6" x14ac:dyDescent="0.2">
      <c r="A146">
        <v>108403</v>
      </c>
      <c r="B146" t="s">
        <v>150</v>
      </c>
      <c r="C146">
        <v>121</v>
      </c>
      <c r="D146">
        <v>42</v>
      </c>
      <c r="E146">
        <v>142</v>
      </c>
      <c r="F146">
        <v>0.34710743801652888</v>
      </c>
    </row>
    <row r="147" spans="1:6" x14ac:dyDescent="0.2">
      <c r="A147">
        <v>108412</v>
      </c>
      <c r="B147" t="s">
        <v>151</v>
      </c>
      <c r="C147">
        <v>93</v>
      </c>
      <c r="D147">
        <v>71</v>
      </c>
      <c r="E147">
        <v>39</v>
      </c>
      <c r="F147">
        <v>0.76344086021505375</v>
      </c>
    </row>
    <row r="148" spans="1:6" x14ac:dyDescent="0.2">
      <c r="A148">
        <v>108428</v>
      </c>
      <c r="B148" t="s">
        <v>152</v>
      </c>
      <c r="C148">
        <v>0</v>
      </c>
      <c r="D148">
        <v>27</v>
      </c>
      <c r="E148">
        <v>0</v>
      </c>
      <c r="F148">
        <v>0</v>
      </c>
    </row>
    <row r="149" spans="1:6" x14ac:dyDescent="0.2">
      <c r="A149">
        <v>108436</v>
      </c>
      <c r="B149" t="s">
        <v>153</v>
      </c>
      <c r="C149">
        <v>53</v>
      </c>
      <c r="D149">
        <v>34</v>
      </c>
      <c r="E149">
        <v>0</v>
      </c>
      <c r="F149">
        <v>0.64150943396226412</v>
      </c>
    </row>
    <row r="150" spans="1:6" x14ac:dyDescent="0.2">
      <c r="A150">
        <v>108461</v>
      </c>
      <c r="B150" t="s">
        <v>154</v>
      </c>
      <c r="C150">
        <v>65</v>
      </c>
      <c r="D150">
        <v>1</v>
      </c>
      <c r="E150">
        <v>0</v>
      </c>
      <c r="F150">
        <v>1.5384615384615391E-2</v>
      </c>
    </row>
    <row r="151" spans="1:6" x14ac:dyDescent="0.2">
      <c r="A151">
        <v>108462</v>
      </c>
      <c r="B151" t="s">
        <v>155</v>
      </c>
      <c r="C151">
        <v>0</v>
      </c>
      <c r="D151">
        <v>193</v>
      </c>
      <c r="E151">
        <v>63</v>
      </c>
      <c r="F151">
        <v>0</v>
      </c>
    </row>
    <row r="152" spans="1:6" x14ac:dyDescent="0.2">
      <c r="A152">
        <v>108467</v>
      </c>
      <c r="B152" t="s">
        <v>156</v>
      </c>
      <c r="C152">
        <v>230</v>
      </c>
      <c r="D152">
        <v>220</v>
      </c>
      <c r="E152">
        <v>153</v>
      </c>
      <c r="F152">
        <v>0.95652173913043481</v>
      </c>
    </row>
    <row r="153" spans="1:6" x14ac:dyDescent="0.2">
      <c r="A153">
        <v>108474</v>
      </c>
      <c r="B153" t="s">
        <v>157</v>
      </c>
      <c r="C153">
        <v>190</v>
      </c>
      <c r="D153">
        <v>6</v>
      </c>
      <c r="E153">
        <v>0</v>
      </c>
      <c r="F153">
        <v>3.1578947368421047E-2</v>
      </c>
    </row>
    <row r="154" spans="1:6" x14ac:dyDescent="0.2">
      <c r="A154">
        <v>108484</v>
      </c>
      <c r="B154" t="s">
        <v>158</v>
      </c>
      <c r="C154">
        <v>218</v>
      </c>
      <c r="D154">
        <v>165</v>
      </c>
      <c r="E154">
        <v>0</v>
      </c>
      <c r="F154">
        <v>0.75688073394495414</v>
      </c>
    </row>
    <row r="155" spans="1:6" x14ac:dyDescent="0.2">
      <c r="A155">
        <v>108490</v>
      </c>
      <c r="B155" t="s">
        <v>159</v>
      </c>
      <c r="C155">
        <v>2088</v>
      </c>
      <c r="D155">
        <v>1839</v>
      </c>
      <c r="E155">
        <v>5</v>
      </c>
      <c r="F155">
        <v>0.88074712643678166</v>
      </c>
    </row>
    <row r="156" spans="1:6" x14ac:dyDescent="0.2">
      <c r="A156">
        <v>108493</v>
      </c>
      <c r="B156" t="s">
        <v>160</v>
      </c>
      <c r="C156">
        <v>285</v>
      </c>
      <c r="D156">
        <v>46</v>
      </c>
      <c r="E156">
        <v>0</v>
      </c>
      <c r="F156">
        <v>0.1614035087719298</v>
      </c>
    </row>
    <row r="157" spans="1:6" x14ac:dyDescent="0.2">
      <c r="A157">
        <v>108500</v>
      </c>
      <c r="B157" t="s">
        <v>161</v>
      </c>
      <c r="C157">
        <v>59</v>
      </c>
      <c r="D157">
        <v>281</v>
      </c>
      <c r="E157">
        <v>100</v>
      </c>
      <c r="F157">
        <v>4.7627118644067794</v>
      </c>
    </row>
    <row r="158" spans="1:6" x14ac:dyDescent="0.2">
      <c r="A158">
        <v>108541</v>
      </c>
      <c r="B158" t="s">
        <v>162</v>
      </c>
      <c r="C158">
        <v>2325</v>
      </c>
      <c r="D158">
        <v>2038</v>
      </c>
      <c r="E158">
        <v>1218</v>
      </c>
      <c r="F158">
        <v>0.87655913978494626</v>
      </c>
    </row>
    <row r="159" spans="1:6" x14ac:dyDescent="0.2">
      <c r="A159">
        <v>108566</v>
      </c>
      <c r="B159" t="s">
        <v>163</v>
      </c>
      <c r="C159">
        <v>20</v>
      </c>
      <c r="D159">
        <v>123</v>
      </c>
      <c r="E159">
        <v>40</v>
      </c>
      <c r="F159">
        <v>6.15</v>
      </c>
    </row>
    <row r="160" spans="1:6" x14ac:dyDescent="0.2">
      <c r="A160">
        <v>108570</v>
      </c>
      <c r="B160" t="s">
        <v>164</v>
      </c>
      <c r="C160">
        <v>115</v>
      </c>
      <c r="D160">
        <v>200</v>
      </c>
      <c r="E160">
        <v>46</v>
      </c>
      <c r="F160">
        <v>1.7391304347826091</v>
      </c>
    </row>
    <row r="161" spans="1:6" x14ac:dyDescent="0.2">
      <c r="A161">
        <v>108601</v>
      </c>
      <c r="B161" t="s">
        <v>165</v>
      </c>
      <c r="C161">
        <v>58</v>
      </c>
      <c r="D161">
        <v>68</v>
      </c>
      <c r="E161">
        <v>11</v>
      </c>
      <c r="F161">
        <v>1.172413793103448</v>
      </c>
    </row>
    <row r="162" spans="1:6" x14ac:dyDescent="0.2">
      <c r="A162">
        <v>108623</v>
      </c>
      <c r="B162" t="s">
        <v>166</v>
      </c>
      <c r="C162">
        <v>0</v>
      </c>
      <c r="D162">
        <v>51</v>
      </c>
      <c r="E162">
        <v>71</v>
      </c>
      <c r="F162">
        <v>0</v>
      </c>
    </row>
    <row r="163" spans="1:6" x14ac:dyDescent="0.2">
      <c r="A163">
        <v>108627</v>
      </c>
      <c r="B163" t="s">
        <v>167</v>
      </c>
      <c r="C163">
        <v>36</v>
      </c>
      <c r="D163">
        <v>20</v>
      </c>
      <c r="E163">
        <v>32</v>
      </c>
      <c r="F163">
        <v>0.55555555555555558</v>
      </c>
    </row>
    <row r="164" spans="1:6" x14ac:dyDescent="0.2">
      <c r="A164">
        <v>108635</v>
      </c>
      <c r="B164" t="s">
        <v>168</v>
      </c>
      <c r="C164">
        <v>41</v>
      </c>
      <c r="D164">
        <v>171</v>
      </c>
      <c r="E164">
        <v>63</v>
      </c>
      <c r="F164">
        <v>4.1707317073170733</v>
      </c>
    </row>
    <row r="165" spans="1:6" x14ac:dyDescent="0.2">
      <c r="A165">
        <v>108658</v>
      </c>
      <c r="B165" t="s">
        <v>169</v>
      </c>
      <c r="C165">
        <v>1532</v>
      </c>
      <c r="D165">
        <v>24</v>
      </c>
      <c r="E165">
        <v>54</v>
      </c>
      <c r="F165">
        <v>1.5665796344647522E-2</v>
      </c>
    </row>
    <row r="166" spans="1:6" x14ac:dyDescent="0.2">
      <c r="A166">
        <v>108703</v>
      </c>
      <c r="B166" t="s">
        <v>170</v>
      </c>
      <c r="C166">
        <v>84</v>
      </c>
      <c r="D166">
        <v>129</v>
      </c>
      <c r="E166">
        <v>1</v>
      </c>
      <c r="F166">
        <v>1.535714285714286</v>
      </c>
    </row>
    <row r="167" spans="1:6" x14ac:dyDescent="0.2">
      <c r="A167">
        <v>108714</v>
      </c>
      <c r="B167" t="s">
        <v>171</v>
      </c>
      <c r="C167">
        <v>0</v>
      </c>
      <c r="D167">
        <v>21</v>
      </c>
      <c r="E167">
        <v>4</v>
      </c>
      <c r="F167">
        <v>0</v>
      </c>
    </row>
    <row r="168" spans="1:6" x14ac:dyDescent="0.2">
      <c r="A168">
        <v>108750</v>
      </c>
      <c r="B168" t="s">
        <v>172</v>
      </c>
      <c r="C168">
        <v>186</v>
      </c>
      <c r="D168">
        <v>10</v>
      </c>
      <c r="E168">
        <v>4</v>
      </c>
      <c r="F168">
        <v>5.3763440860215048E-2</v>
      </c>
    </row>
    <row r="169" spans="1:6" x14ac:dyDescent="0.2">
      <c r="A169">
        <v>108751</v>
      </c>
      <c r="B169" t="s">
        <v>173</v>
      </c>
      <c r="C169">
        <v>49</v>
      </c>
      <c r="D169">
        <v>11</v>
      </c>
      <c r="E169">
        <v>0</v>
      </c>
      <c r="F169">
        <v>0.22448979591836729</v>
      </c>
    </row>
    <row r="170" spans="1:6" x14ac:dyDescent="0.2">
      <c r="A170">
        <v>108766</v>
      </c>
      <c r="B170" t="s">
        <v>174</v>
      </c>
      <c r="C170">
        <v>24</v>
      </c>
      <c r="D170">
        <v>31</v>
      </c>
      <c r="E170">
        <v>48</v>
      </c>
      <c r="F170">
        <v>1.291666666666667</v>
      </c>
    </row>
    <row r="171" spans="1:6" x14ac:dyDescent="0.2">
      <c r="A171">
        <v>108767</v>
      </c>
      <c r="B171" t="s">
        <v>175</v>
      </c>
      <c r="C171">
        <v>0</v>
      </c>
      <c r="D171">
        <v>13</v>
      </c>
      <c r="E171">
        <v>15</v>
      </c>
      <c r="F171">
        <v>0</v>
      </c>
    </row>
    <row r="172" spans="1:6" x14ac:dyDescent="0.2">
      <c r="A172">
        <v>108787</v>
      </c>
      <c r="B172" t="s">
        <v>176</v>
      </c>
      <c r="C172">
        <v>718</v>
      </c>
      <c r="D172">
        <v>647</v>
      </c>
      <c r="E172">
        <v>54</v>
      </c>
      <c r="F172">
        <v>0.90111420612813375</v>
      </c>
    </row>
    <row r="173" spans="1:6" x14ac:dyDescent="0.2">
      <c r="A173">
        <v>108792</v>
      </c>
      <c r="B173" t="s">
        <v>177</v>
      </c>
      <c r="C173">
        <v>0</v>
      </c>
      <c r="D173">
        <v>410</v>
      </c>
      <c r="E173">
        <v>16</v>
      </c>
      <c r="F173">
        <v>0</v>
      </c>
    </row>
    <row r="174" spans="1:6" x14ac:dyDescent="0.2">
      <c r="A174">
        <v>108848</v>
      </c>
      <c r="B174" t="s">
        <v>178</v>
      </c>
      <c r="C174">
        <v>263</v>
      </c>
      <c r="D174">
        <v>33</v>
      </c>
      <c r="E174">
        <v>67</v>
      </c>
      <c r="F174">
        <v>0.12547528517110271</v>
      </c>
    </row>
    <row r="175" spans="1:6" x14ac:dyDescent="0.2">
      <c r="A175">
        <v>108851</v>
      </c>
      <c r="B175" t="s">
        <v>179</v>
      </c>
      <c r="C175">
        <v>1</v>
      </c>
      <c r="D175">
        <v>7</v>
      </c>
      <c r="E175">
        <v>8</v>
      </c>
      <c r="F175">
        <v>7</v>
      </c>
    </row>
    <row r="176" spans="1:6" x14ac:dyDescent="0.2">
      <c r="A176">
        <v>108866</v>
      </c>
      <c r="B176" t="s">
        <v>180</v>
      </c>
      <c r="C176">
        <v>34</v>
      </c>
      <c r="D176">
        <v>3</v>
      </c>
      <c r="E176">
        <v>0</v>
      </c>
      <c r="F176">
        <v>8.8235294117647065E-2</v>
      </c>
    </row>
    <row r="177" spans="1:6" x14ac:dyDescent="0.2">
      <c r="A177">
        <v>108869</v>
      </c>
      <c r="B177" t="s">
        <v>181</v>
      </c>
      <c r="C177">
        <v>85</v>
      </c>
      <c r="D177">
        <v>56</v>
      </c>
      <c r="E177">
        <v>0</v>
      </c>
      <c r="F177">
        <v>0.6588235294117647</v>
      </c>
    </row>
    <row r="178" spans="1:6" x14ac:dyDescent="0.2">
      <c r="A178">
        <v>108877</v>
      </c>
      <c r="B178" t="s">
        <v>182</v>
      </c>
      <c r="C178">
        <v>63</v>
      </c>
      <c r="D178">
        <v>82</v>
      </c>
      <c r="E178">
        <v>11</v>
      </c>
      <c r="F178">
        <v>1.3015873015873021</v>
      </c>
    </row>
    <row r="179" spans="1:6" x14ac:dyDescent="0.2">
      <c r="A179">
        <v>108880</v>
      </c>
      <c r="B179" t="s">
        <v>183</v>
      </c>
      <c r="C179">
        <v>115</v>
      </c>
      <c r="D179">
        <v>39</v>
      </c>
      <c r="E179">
        <v>34</v>
      </c>
      <c r="F179">
        <v>0.33913043478260868</v>
      </c>
    </row>
    <row r="180" spans="1:6" x14ac:dyDescent="0.2">
      <c r="A180">
        <v>108890</v>
      </c>
      <c r="B180" t="s">
        <v>184</v>
      </c>
      <c r="C180">
        <v>30</v>
      </c>
      <c r="D180">
        <v>2</v>
      </c>
      <c r="E180">
        <v>0</v>
      </c>
      <c r="F180">
        <v>6.6666666666666666E-2</v>
      </c>
    </row>
    <row r="181" spans="1:6" x14ac:dyDescent="0.2">
      <c r="A181">
        <v>108893</v>
      </c>
      <c r="B181" t="s">
        <v>185</v>
      </c>
      <c r="C181">
        <v>190</v>
      </c>
      <c r="D181">
        <v>91</v>
      </c>
      <c r="E181">
        <v>0</v>
      </c>
      <c r="F181">
        <v>0.47894736842105262</v>
      </c>
    </row>
    <row r="182" spans="1:6" x14ac:dyDescent="0.2">
      <c r="A182">
        <v>108936</v>
      </c>
      <c r="B182" t="s">
        <v>186</v>
      </c>
      <c r="C182">
        <v>3</v>
      </c>
      <c r="D182">
        <v>5</v>
      </c>
      <c r="E182">
        <v>0</v>
      </c>
      <c r="F182">
        <v>1.666666666666667</v>
      </c>
    </row>
    <row r="183" spans="1:6" x14ac:dyDescent="0.2">
      <c r="A183">
        <v>108956</v>
      </c>
      <c r="B183" t="s">
        <v>187</v>
      </c>
      <c r="C183">
        <v>4</v>
      </c>
      <c r="D183">
        <v>10</v>
      </c>
      <c r="E183">
        <v>2</v>
      </c>
      <c r="F183">
        <v>2.5</v>
      </c>
    </row>
    <row r="184" spans="1:6" x14ac:dyDescent="0.2">
      <c r="A184">
        <v>108979</v>
      </c>
      <c r="B184" t="s">
        <v>188</v>
      </c>
      <c r="C184">
        <v>134</v>
      </c>
      <c r="D184">
        <v>402</v>
      </c>
      <c r="E184">
        <v>229</v>
      </c>
      <c r="F184">
        <v>3</v>
      </c>
    </row>
    <row r="185" spans="1:6" x14ac:dyDescent="0.2">
      <c r="A185">
        <v>109002</v>
      </c>
      <c r="B185" t="s">
        <v>189</v>
      </c>
      <c r="C185">
        <v>103</v>
      </c>
      <c r="D185">
        <v>4</v>
      </c>
      <c r="E185">
        <v>8</v>
      </c>
      <c r="F185">
        <v>3.8834951456310683E-2</v>
      </c>
    </row>
    <row r="186" spans="1:6" x14ac:dyDescent="0.2">
      <c r="A186">
        <v>109011</v>
      </c>
      <c r="B186" t="s">
        <v>190</v>
      </c>
      <c r="C186">
        <v>40</v>
      </c>
      <c r="D186">
        <v>80</v>
      </c>
      <c r="E186">
        <v>197</v>
      </c>
      <c r="F186">
        <v>2</v>
      </c>
    </row>
    <row r="187" spans="1:6" x14ac:dyDescent="0.2">
      <c r="A187">
        <v>109013</v>
      </c>
      <c r="B187" t="s">
        <v>191</v>
      </c>
      <c r="C187">
        <v>80</v>
      </c>
      <c r="D187">
        <v>21</v>
      </c>
      <c r="E187">
        <v>11</v>
      </c>
      <c r="F187">
        <v>0.26250000000000001</v>
      </c>
    </row>
    <row r="188" spans="1:6" x14ac:dyDescent="0.2">
      <c r="A188">
        <v>109079</v>
      </c>
      <c r="B188" t="s">
        <v>192</v>
      </c>
      <c r="C188">
        <v>280</v>
      </c>
      <c r="D188">
        <v>546</v>
      </c>
      <c r="E188">
        <v>47</v>
      </c>
      <c r="F188">
        <v>1.95</v>
      </c>
    </row>
    <row r="189" spans="1:6" x14ac:dyDescent="0.2">
      <c r="A189">
        <v>109084</v>
      </c>
      <c r="B189" t="s">
        <v>193</v>
      </c>
      <c r="C189">
        <v>10</v>
      </c>
      <c r="D189">
        <v>4</v>
      </c>
      <c r="E189">
        <v>9</v>
      </c>
      <c r="F189">
        <v>0.4</v>
      </c>
    </row>
    <row r="190" spans="1:6" x14ac:dyDescent="0.2">
      <c r="A190">
        <v>109093</v>
      </c>
      <c r="B190" t="s">
        <v>194</v>
      </c>
      <c r="C190">
        <v>58</v>
      </c>
      <c r="D190">
        <v>126</v>
      </c>
      <c r="E190">
        <v>41</v>
      </c>
      <c r="F190">
        <v>2.172413793103448</v>
      </c>
    </row>
    <row r="191" spans="1:6" x14ac:dyDescent="0.2">
      <c r="A191">
        <v>109107</v>
      </c>
      <c r="B191" t="s">
        <v>195</v>
      </c>
      <c r="C191">
        <v>65</v>
      </c>
      <c r="D191">
        <v>9</v>
      </c>
      <c r="E191">
        <v>0</v>
      </c>
      <c r="F191">
        <v>0.1384615384615385</v>
      </c>
    </row>
    <row r="192" spans="1:6" x14ac:dyDescent="0.2">
      <c r="A192">
        <v>109117</v>
      </c>
      <c r="B192" t="s">
        <v>196</v>
      </c>
      <c r="C192">
        <v>448</v>
      </c>
      <c r="D192">
        <v>8</v>
      </c>
      <c r="E192">
        <v>0</v>
      </c>
      <c r="F192">
        <v>1.785714285714286E-2</v>
      </c>
    </row>
    <row r="193" spans="1:6" x14ac:dyDescent="0.2">
      <c r="A193">
        <v>109148</v>
      </c>
      <c r="B193" t="s">
        <v>197</v>
      </c>
      <c r="C193">
        <v>92</v>
      </c>
      <c r="D193">
        <v>0</v>
      </c>
      <c r="E193">
        <v>1</v>
      </c>
      <c r="F193">
        <v>0</v>
      </c>
    </row>
    <row r="194" spans="1:6" x14ac:dyDescent="0.2">
      <c r="A194">
        <v>109160</v>
      </c>
      <c r="B194" t="s">
        <v>198</v>
      </c>
      <c r="C194">
        <v>120</v>
      </c>
      <c r="D194">
        <v>267</v>
      </c>
      <c r="E194">
        <v>330</v>
      </c>
      <c r="F194">
        <v>2.2250000000000001</v>
      </c>
    </row>
    <row r="195" spans="1:6" x14ac:dyDescent="0.2">
      <c r="A195">
        <v>109173</v>
      </c>
      <c r="B195" t="s">
        <v>199</v>
      </c>
      <c r="C195">
        <v>266</v>
      </c>
      <c r="D195">
        <v>2</v>
      </c>
      <c r="E195">
        <v>0</v>
      </c>
      <c r="F195">
        <v>7.5187969924812026E-3</v>
      </c>
    </row>
    <row r="196" spans="1:6" x14ac:dyDescent="0.2">
      <c r="A196">
        <v>109178</v>
      </c>
      <c r="B196" t="s">
        <v>200</v>
      </c>
      <c r="C196">
        <v>165</v>
      </c>
      <c r="D196">
        <v>321</v>
      </c>
      <c r="E196">
        <v>1</v>
      </c>
      <c r="F196">
        <v>1.945454545454546</v>
      </c>
    </row>
    <row r="197" spans="1:6" x14ac:dyDescent="0.2">
      <c r="A197">
        <v>109182</v>
      </c>
      <c r="B197" t="s">
        <v>201</v>
      </c>
      <c r="C197">
        <v>1156</v>
      </c>
      <c r="D197">
        <v>1153</v>
      </c>
      <c r="E197">
        <v>932</v>
      </c>
      <c r="F197">
        <v>0.99740484429065746</v>
      </c>
    </row>
    <row r="198" spans="1:6" x14ac:dyDescent="0.2">
      <c r="A198">
        <v>109196</v>
      </c>
      <c r="B198" t="s">
        <v>202</v>
      </c>
      <c r="C198">
        <v>247</v>
      </c>
      <c r="D198">
        <v>53</v>
      </c>
      <c r="E198">
        <v>5</v>
      </c>
      <c r="F198">
        <v>0.2145748987854251</v>
      </c>
    </row>
    <row r="199" spans="1:6" x14ac:dyDescent="0.2">
      <c r="A199">
        <v>109197</v>
      </c>
      <c r="B199" t="s">
        <v>203</v>
      </c>
      <c r="C199">
        <v>347</v>
      </c>
      <c r="D199">
        <v>108</v>
      </c>
      <c r="E199">
        <v>223</v>
      </c>
      <c r="F199">
        <v>0.31123919308357351</v>
      </c>
    </row>
    <row r="200" spans="1:6" x14ac:dyDescent="0.2">
      <c r="A200">
        <v>109205</v>
      </c>
      <c r="B200" t="s">
        <v>204</v>
      </c>
      <c r="C200">
        <v>249</v>
      </c>
      <c r="D200">
        <v>19</v>
      </c>
      <c r="E200">
        <v>83</v>
      </c>
      <c r="F200">
        <v>7.6305220883534142E-2</v>
      </c>
    </row>
    <row r="201" spans="1:6" x14ac:dyDescent="0.2">
      <c r="A201">
        <v>109207</v>
      </c>
      <c r="B201" t="s">
        <v>205</v>
      </c>
      <c r="C201">
        <v>162</v>
      </c>
      <c r="D201">
        <v>152</v>
      </c>
      <c r="E201">
        <v>67</v>
      </c>
      <c r="F201">
        <v>0.93827160493827155</v>
      </c>
    </row>
    <row r="202" spans="1:6" x14ac:dyDescent="0.2">
      <c r="A202">
        <v>109220</v>
      </c>
      <c r="B202" t="s">
        <v>206</v>
      </c>
      <c r="C202">
        <v>8</v>
      </c>
      <c r="D202">
        <v>256</v>
      </c>
      <c r="E202">
        <v>0</v>
      </c>
      <c r="F202">
        <v>32</v>
      </c>
    </row>
    <row r="203" spans="1:6" x14ac:dyDescent="0.2">
      <c r="A203">
        <v>109229</v>
      </c>
      <c r="B203" t="s">
        <v>207</v>
      </c>
      <c r="C203">
        <v>285</v>
      </c>
      <c r="D203">
        <v>305</v>
      </c>
      <c r="E203">
        <v>1</v>
      </c>
      <c r="F203">
        <v>1.070175438596491</v>
      </c>
    </row>
    <row r="204" spans="1:6" x14ac:dyDescent="0.2">
      <c r="A204">
        <v>109244</v>
      </c>
      <c r="B204" t="s">
        <v>208</v>
      </c>
      <c r="C204">
        <v>532</v>
      </c>
      <c r="D204">
        <v>0</v>
      </c>
      <c r="E204">
        <v>1</v>
      </c>
      <c r="F204">
        <v>0</v>
      </c>
    </row>
    <row r="205" spans="1:6" x14ac:dyDescent="0.2">
      <c r="A205">
        <v>109245</v>
      </c>
      <c r="B205" t="s">
        <v>209</v>
      </c>
      <c r="C205">
        <v>426</v>
      </c>
      <c r="D205">
        <v>27</v>
      </c>
      <c r="E205">
        <v>39</v>
      </c>
      <c r="F205">
        <v>6.3380281690140844E-2</v>
      </c>
    </row>
    <row r="206" spans="1:6" x14ac:dyDescent="0.2">
      <c r="A206">
        <v>109256</v>
      </c>
      <c r="B206" t="s">
        <v>210</v>
      </c>
      <c r="C206">
        <v>82</v>
      </c>
      <c r="D206">
        <v>76</v>
      </c>
      <c r="E206">
        <v>9</v>
      </c>
      <c r="F206">
        <v>0.92682926829268297</v>
      </c>
    </row>
    <row r="207" spans="1:6" x14ac:dyDescent="0.2">
      <c r="A207">
        <v>109265</v>
      </c>
      <c r="B207" t="s">
        <v>211</v>
      </c>
      <c r="C207">
        <v>445</v>
      </c>
      <c r="D207">
        <v>9</v>
      </c>
      <c r="E207">
        <v>0</v>
      </c>
      <c r="F207">
        <v>2.0224719101123591E-2</v>
      </c>
    </row>
    <row r="208" spans="1:6" x14ac:dyDescent="0.2">
      <c r="A208">
        <v>109267</v>
      </c>
      <c r="B208" t="s">
        <v>212</v>
      </c>
      <c r="C208">
        <v>55</v>
      </c>
      <c r="D208">
        <v>301</v>
      </c>
      <c r="E208">
        <v>72</v>
      </c>
      <c r="F208">
        <v>5.4727272727272727</v>
      </c>
    </row>
    <row r="209" spans="1:6" x14ac:dyDescent="0.2">
      <c r="A209">
        <v>109269</v>
      </c>
      <c r="B209" t="s">
        <v>213</v>
      </c>
      <c r="C209">
        <v>140</v>
      </c>
      <c r="D209">
        <v>980</v>
      </c>
      <c r="E209">
        <v>15</v>
      </c>
      <c r="F209">
        <v>7</v>
      </c>
    </row>
    <row r="210" spans="1:6" x14ac:dyDescent="0.2">
      <c r="A210">
        <v>109291</v>
      </c>
      <c r="B210" t="s">
        <v>214</v>
      </c>
      <c r="C210">
        <v>210</v>
      </c>
      <c r="D210">
        <v>12</v>
      </c>
      <c r="E210">
        <v>0</v>
      </c>
      <c r="F210">
        <v>5.7142857142857141E-2</v>
      </c>
    </row>
    <row r="211" spans="1:6" x14ac:dyDescent="0.2">
      <c r="A211">
        <v>109294</v>
      </c>
      <c r="B211" t="s">
        <v>215</v>
      </c>
      <c r="C211">
        <v>0</v>
      </c>
      <c r="D211">
        <v>207</v>
      </c>
      <c r="E211">
        <v>19</v>
      </c>
      <c r="F211">
        <v>0</v>
      </c>
    </row>
    <row r="212" spans="1:6" x14ac:dyDescent="0.2">
      <c r="A212">
        <v>109319</v>
      </c>
      <c r="B212" t="s">
        <v>216</v>
      </c>
      <c r="C212">
        <v>65</v>
      </c>
      <c r="D212">
        <v>12</v>
      </c>
      <c r="E212">
        <v>0</v>
      </c>
      <c r="F212">
        <v>0.1846153846153846</v>
      </c>
    </row>
    <row r="213" spans="1:6" x14ac:dyDescent="0.2">
      <c r="A213">
        <v>109365</v>
      </c>
      <c r="B213" t="s">
        <v>217</v>
      </c>
      <c r="C213">
        <v>58</v>
      </c>
      <c r="D213">
        <v>3</v>
      </c>
      <c r="E213">
        <v>0</v>
      </c>
      <c r="F213">
        <v>5.1724137931034482E-2</v>
      </c>
    </row>
    <row r="214" spans="1:6" x14ac:dyDescent="0.2">
      <c r="A214">
        <v>109369</v>
      </c>
      <c r="B214" t="s">
        <v>218</v>
      </c>
      <c r="C214">
        <v>94</v>
      </c>
      <c r="D214">
        <v>16</v>
      </c>
      <c r="E214">
        <v>3</v>
      </c>
      <c r="F214">
        <v>0.1702127659574468</v>
      </c>
    </row>
    <row r="215" spans="1:6" x14ac:dyDescent="0.2">
      <c r="A215">
        <v>109479</v>
      </c>
      <c r="B215" t="s">
        <v>219</v>
      </c>
      <c r="C215">
        <v>205</v>
      </c>
      <c r="D215">
        <v>1350</v>
      </c>
      <c r="E215">
        <v>45</v>
      </c>
      <c r="F215">
        <v>6.5853658536585362</v>
      </c>
    </row>
    <row r="216" spans="1:6" x14ac:dyDescent="0.2">
      <c r="A216">
        <v>109485</v>
      </c>
      <c r="B216" t="s">
        <v>220</v>
      </c>
      <c r="C216">
        <v>800</v>
      </c>
      <c r="D216">
        <v>172</v>
      </c>
      <c r="E216">
        <v>126</v>
      </c>
      <c r="F216">
        <v>0.215</v>
      </c>
    </row>
    <row r="217" spans="1:6" x14ac:dyDescent="0.2">
      <c r="A217">
        <v>109521</v>
      </c>
      <c r="B217" t="s">
        <v>221</v>
      </c>
      <c r="C217">
        <v>130</v>
      </c>
      <c r="D217">
        <v>71</v>
      </c>
      <c r="E217">
        <v>0</v>
      </c>
      <c r="F217">
        <v>0.5461538461538461</v>
      </c>
    </row>
    <row r="218" spans="1:6" x14ac:dyDescent="0.2">
      <c r="A218">
        <v>109610</v>
      </c>
      <c r="B218" t="s">
        <v>222</v>
      </c>
      <c r="C218">
        <v>38</v>
      </c>
      <c r="D218">
        <v>39</v>
      </c>
      <c r="E218">
        <v>0</v>
      </c>
      <c r="F218">
        <v>1.0263157894736841</v>
      </c>
    </row>
    <row r="219" spans="1:6" x14ac:dyDescent="0.2">
      <c r="A219">
        <v>109637</v>
      </c>
      <c r="B219" t="s">
        <v>223</v>
      </c>
      <c r="C219">
        <v>69</v>
      </c>
      <c r="D219">
        <v>8</v>
      </c>
      <c r="E219">
        <v>0</v>
      </c>
      <c r="F219">
        <v>0.11594202898550721</v>
      </c>
    </row>
    <row r="220" spans="1:6" x14ac:dyDescent="0.2">
      <c r="A220">
        <v>109675</v>
      </c>
      <c r="B220" t="s">
        <v>224</v>
      </c>
      <c r="C220">
        <v>176</v>
      </c>
      <c r="D220">
        <v>306</v>
      </c>
      <c r="E220">
        <v>23</v>
      </c>
      <c r="F220">
        <v>1.738636363636364</v>
      </c>
    </row>
    <row r="221" spans="1:6" x14ac:dyDescent="0.2">
      <c r="A221">
        <v>109678</v>
      </c>
      <c r="B221" t="s">
        <v>225</v>
      </c>
      <c r="C221">
        <v>157</v>
      </c>
      <c r="D221">
        <v>44</v>
      </c>
      <c r="E221">
        <v>27</v>
      </c>
      <c r="F221">
        <v>0.28025477707006369</v>
      </c>
    </row>
    <row r="222" spans="1:6" x14ac:dyDescent="0.2">
      <c r="A222">
        <v>109685</v>
      </c>
      <c r="B222" t="s">
        <v>226</v>
      </c>
      <c r="C222">
        <v>219</v>
      </c>
      <c r="D222">
        <v>136</v>
      </c>
      <c r="E222">
        <v>10</v>
      </c>
      <c r="F222">
        <v>0.62100456621004563</v>
      </c>
    </row>
    <row r="223" spans="1:6" x14ac:dyDescent="0.2">
      <c r="A223">
        <v>109686</v>
      </c>
      <c r="B223" t="s">
        <v>227</v>
      </c>
      <c r="C223">
        <v>165</v>
      </c>
      <c r="D223">
        <v>6</v>
      </c>
      <c r="E223">
        <v>9</v>
      </c>
      <c r="F223">
        <v>3.6363636363636362E-2</v>
      </c>
    </row>
    <row r="224" spans="1:6" x14ac:dyDescent="0.2">
      <c r="A224">
        <v>109708</v>
      </c>
      <c r="B224" t="s">
        <v>228</v>
      </c>
      <c r="C224">
        <v>236</v>
      </c>
      <c r="D224">
        <v>30</v>
      </c>
      <c r="E224">
        <v>7</v>
      </c>
      <c r="F224">
        <v>0.1271186440677966</v>
      </c>
    </row>
    <row r="225" spans="1:6" x14ac:dyDescent="0.2">
      <c r="A225">
        <v>109719</v>
      </c>
      <c r="B225" t="s">
        <v>229</v>
      </c>
      <c r="C225">
        <v>85</v>
      </c>
      <c r="D225">
        <v>76</v>
      </c>
      <c r="E225">
        <v>1</v>
      </c>
      <c r="F225">
        <v>0.89411764705882357</v>
      </c>
    </row>
    <row r="226" spans="1:6" x14ac:dyDescent="0.2">
      <c r="A226">
        <v>109723</v>
      </c>
      <c r="B226" t="s">
        <v>230</v>
      </c>
      <c r="C226">
        <v>2</v>
      </c>
      <c r="D226">
        <v>5</v>
      </c>
      <c r="E226">
        <v>32</v>
      </c>
      <c r="F226">
        <v>2.5</v>
      </c>
    </row>
    <row r="227" spans="1:6" x14ac:dyDescent="0.2">
      <c r="A227">
        <v>109734</v>
      </c>
      <c r="B227" t="s">
        <v>231</v>
      </c>
      <c r="C227">
        <v>4</v>
      </c>
      <c r="D227">
        <v>5</v>
      </c>
      <c r="E227">
        <v>0</v>
      </c>
      <c r="F227">
        <v>1.25</v>
      </c>
    </row>
    <row r="228" spans="1:6" x14ac:dyDescent="0.2">
      <c r="A228">
        <v>109735</v>
      </c>
      <c r="B228" t="s">
        <v>232</v>
      </c>
      <c r="C228">
        <v>162</v>
      </c>
      <c r="D228">
        <v>26</v>
      </c>
      <c r="E228">
        <v>0</v>
      </c>
      <c r="F228">
        <v>0.16049382716049379</v>
      </c>
    </row>
    <row r="229" spans="1:6" x14ac:dyDescent="0.2">
      <c r="A229">
        <v>109738</v>
      </c>
      <c r="B229" t="s">
        <v>233</v>
      </c>
      <c r="C229">
        <v>138</v>
      </c>
      <c r="D229">
        <v>372</v>
      </c>
      <c r="E229">
        <v>88</v>
      </c>
      <c r="F229">
        <v>2.695652173913043</v>
      </c>
    </row>
    <row r="230" spans="1:6" x14ac:dyDescent="0.2">
      <c r="A230">
        <v>109740</v>
      </c>
      <c r="B230" t="s">
        <v>234</v>
      </c>
      <c r="C230">
        <v>40</v>
      </c>
      <c r="D230">
        <v>30</v>
      </c>
      <c r="E230">
        <v>30</v>
      </c>
      <c r="F230">
        <v>0.75</v>
      </c>
    </row>
    <row r="231" spans="1:6" x14ac:dyDescent="0.2">
      <c r="A231">
        <v>109744</v>
      </c>
      <c r="B231" t="s">
        <v>235</v>
      </c>
      <c r="C231">
        <v>1571</v>
      </c>
      <c r="D231">
        <v>42</v>
      </c>
      <c r="E231">
        <v>6</v>
      </c>
      <c r="F231">
        <v>2.6734563971992361E-2</v>
      </c>
    </row>
    <row r="232" spans="1:6" x14ac:dyDescent="0.2">
      <c r="A232">
        <v>109762</v>
      </c>
      <c r="B232" t="s">
        <v>236</v>
      </c>
      <c r="C232">
        <v>0</v>
      </c>
      <c r="D232">
        <v>26</v>
      </c>
      <c r="E232">
        <v>0</v>
      </c>
      <c r="F232">
        <v>0</v>
      </c>
    </row>
    <row r="233" spans="1:6" x14ac:dyDescent="0.2">
      <c r="A233">
        <v>109765</v>
      </c>
      <c r="B233" t="s">
        <v>237</v>
      </c>
      <c r="C233">
        <v>67</v>
      </c>
      <c r="D233">
        <v>60</v>
      </c>
      <c r="E233">
        <v>60</v>
      </c>
      <c r="F233">
        <v>0.89552238805970152</v>
      </c>
    </row>
    <row r="234" spans="1:6" x14ac:dyDescent="0.2">
      <c r="A234">
        <v>109785</v>
      </c>
      <c r="B234" t="s">
        <v>238</v>
      </c>
      <c r="C234">
        <v>141</v>
      </c>
      <c r="D234">
        <v>185</v>
      </c>
      <c r="E234">
        <v>59</v>
      </c>
      <c r="F234">
        <v>1.312056737588652</v>
      </c>
    </row>
    <row r="235" spans="1:6" x14ac:dyDescent="0.2">
      <c r="A235">
        <v>109806</v>
      </c>
      <c r="B235" t="s">
        <v>239</v>
      </c>
      <c r="C235">
        <v>75</v>
      </c>
      <c r="D235">
        <v>13</v>
      </c>
      <c r="E235">
        <v>15</v>
      </c>
      <c r="F235">
        <v>0.17333333333333331</v>
      </c>
    </row>
    <row r="236" spans="1:6" x14ac:dyDescent="0.2">
      <c r="A236">
        <v>109834</v>
      </c>
      <c r="B236" t="s">
        <v>240</v>
      </c>
      <c r="C236">
        <v>0</v>
      </c>
      <c r="D236">
        <v>2</v>
      </c>
      <c r="E236">
        <v>30</v>
      </c>
      <c r="F236">
        <v>0</v>
      </c>
    </row>
    <row r="237" spans="1:6" x14ac:dyDescent="0.2">
      <c r="A237">
        <v>109867</v>
      </c>
      <c r="B237" t="s">
        <v>241</v>
      </c>
      <c r="C237">
        <v>558</v>
      </c>
      <c r="D237">
        <v>1</v>
      </c>
      <c r="E237">
        <v>0</v>
      </c>
      <c r="F237">
        <v>1.792114695340502E-3</v>
      </c>
    </row>
    <row r="238" spans="1:6" x14ac:dyDescent="0.2">
      <c r="A238">
        <v>109892</v>
      </c>
      <c r="B238" t="s">
        <v>242</v>
      </c>
      <c r="C238">
        <v>51</v>
      </c>
      <c r="D238">
        <v>131</v>
      </c>
      <c r="E238">
        <v>0</v>
      </c>
      <c r="F238">
        <v>2.5686274509803919</v>
      </c>
    </row>
    <row r="239" spans="1:6" x14ac:dyDescent="0.2">
      <c r="A239">
        <v>109928</v>
      </c>
      <c r="B239" t="s">
        <v>243</v>
      </c>
      <c r="C239">
        <v>478</v>
      </c>
      <c r="D239">
        <v>40</v>
      </c>
      <c r="E239">
        <v>14</v>
      </c>
      <c r="F239">
        <v>8.3682008368200833E-2</v>
      </c>
    </row>
    <row r="240" spans="1:6" x14ac:dyDescent="0.2">
      <c r="A240">
        <v>109947</v>
      </c>
      <c r="B240" t="s">
        <v>244</v>
      </c>
      <c r="C240">
        <v>15</v>
      </c>
      <c r="D240">
        <v>59</v>
      </c>
      <c r="E240">
        <v>4</v>
      </c>
      <c r="F240">
        <v>3.9333333333333331</v>
      </c>
    </row>
    <row r="241" spans="1:6" x14ac:dyDescent="0.2">
      <c r="A241">
        <v>109998</v>
      </c>
      <c r="B241" t="s">
        <v>245</v>
      </c>
      <c r="C241">
        <v>20</v>
      </c>
      <c r="D241">
        <v>90</v>
      </c>
      <c r="E241">
        <v>0</v>
      </c>
      <c r="F241">
        <v>4.5</v>
      </c>
    </row>
    <row r="242" spans="1:6" x14ac:dyDescent="0.2">
      <c r="A242">
        <v>110010</v>
      </c>
      <c r="B242" t="s">
        <v>246</v>
      </c>
      <c r="C242">
        <v>2000</v>
      </c>
      <c r="D242">
        <v>1861</v>
      </c>
      <c r="E242">
        <v>2106</v>
      </c>
      <c r="F242">
        <v>0.93049999999999999</v>
      </c>
    </row>
    <row r="243" spans="1:6" x14ac:dyDescent="0.2">
      <c r="A243">
        <v>110087</v>
      </c>
      <c r="B243" t="s">
        <v>247</v>
      </c>
      <c r="C243">
        <v>75</v>
      </c>
      <c r="D243">
        <v>23</v>
      </c>
      <c r="E243">
        <v>0</v>
      </c>
      <c r="F243">
        <v>0.30666666666666659</v>
      </c>
    </row>
    <row r="244" spans="1:6" x14ac:dyDescent="0.2">
      <c r="A244">
        <v>110104</v>
      </c>
      <c r="B244" t="s">
        <v>248</v>
      </c>
      <c r="C244">
        <v>1</v>
      </c>
      <c r="D244">
        <v>53</v>
      </c>
      <c r="E244">
        <v>0</v>
      </c>
      <c r="F244">
        <v>53</v>
      </c>
    </row>
    <row r="245" spans="1:6" x14ac:dyDescent="0.2">
      <c r="A245">
        <v>110142</v>
      </c>
      <c r="B245" t="s">
        <v>249</v>
      </c>
      <c r="C245">
        <v>482</v>
      </c>
      <c r="D245">
        <v>12</v>
      </c>
      <c r="E245">
        <v>86</v>
      </c>
      <c r="F245">
        <v>2.489626556016597E-2</v>
      </c>
    </row>
    <row r="246" spans="1:6" x14ac:dyDescent="0.2">
      <c r="A246">
        <v>110146</v>
      </c>
      <c r="B246" t="s">
        <v>250</v>
      </c>
      <c r="C246">
        <v>77</v>
      </c>
      <c r="D246">
        <v>246</v>
      </c>
      <c r="E246">
        <v>82</v>
      </c>
      <c r="F246">
        <v>3.1948051948051952</v>
      </c>
    </row>
    <row r="247" spans="1:6" x14ac:dyDescent="0.2">
      <c r="A247">
        <v>110173</v>
      </c>
      <c r="B247" t="s">
        <v>251</v>
      </c>
      <c r="C247">
        <v>43</v>
      </c>
      <c r="D247">
        <v>32</v>
      </c>
      <c r="E247">
        <v>22</v>
      </c>
      <c r="F247">
        <v>0.7441860465116279</v>
      </c>
    </row>
    <row r="248" spans="1:6" x14ac:dyDescent="0.2">
      <c r="A248">
        <v>110242</v>
      </c>
      <c r="B248" t="s">
        <v>252</v>
      </c>
      <c r="C248">
        <v>46</v>
      </c>
      <c r="D248">
        <v>1</v>
      </c>
      <c r="E248">
        <v>0</v>
      </c>
      <c r="F248">
        <v>2.1739130434782612E-2</v>
      </c>
    </row>
    <row r="249" spans="1:6" x14ac:dyDescent="0.2">
      <c r="A249">
        <v>110252</v>
      </c>
      <c r="B249" t="s">
        <v>253</v>
      </c>
      <c r="C249">
        <v>41</v>
      </c>
      <c r="D249">
        <v>9</v>
      </c>
      <c r="E249">
        <v>0</v>
      </c>
      <c r="F249">
        <v>0.21951219512195119</v>
      </c>
    </row>
    <row r="250" spans="1:6" x14ac:dyDescent="0.2">
      <c r="A250">
        <v>110274</v>
      </c>
      <c r="B250" t="s">
        <v>254</v>
      </c>
      <c r="C250">
        <v>223</v>
      </c>
      <c r="D250">
        <v>169</v>
      </c>
      <c r="E250">
        <v>5</v>
      </c>
      <c r="F250">
        <v>0.75784753363228696</v>
      </c>
    </row>
    <row r="251" spans="1:6" x14ac:dyDescent="0.2">
      <c r="A251">
        <v>110308</v>
      </c>
      <c r="B251" t="s">
        <v>255</v>
      </c>
      <c r="C251">
        <v>11</v>
      </c>
      <c r="D251">
        <v>130</v>
      </c>
      <c r="E251">
        <v>247</v>
      </c>
      <c r="F251">
        <v>11.81818181818182</v>
      </c>
    </row>
    <row r="252" spans="1:6" x14ac:dyDescent="0.2">
      <c r="A252">
        <v>110318</v>
      </c>
      <c r="B252" t="s">
        <v>256</v>
      </c>
      <c r="C252">
        <v>533</v>
      </c>
      <c r="D252">
        <v>136</v>
      </c>
      <c r="E252">
        <v>0</v>
      </c>
      <c r="F252">
        <v>0.25515947467166977</v>
      </c>
    </row>
    <row r="253" spans="1:6" x14ac:dyDescent="0.2">
      <c r="A253">
        <v>110360</v>
      </c>
      <c r="B253" t="s">
        <v>257</v>
      </c>
      <c r="C253">
        <v>85</v>
      </c>
      <c r="D253">
        <v>26</v>
      </c>
      <c r="E253">
        <v>53</v>
      </c>
      <c r="F253">
        <v>0.30588235294117649</v>
      </c>
    </row>
    <row r="254" spans="1:6" x14ac:dyDescent="0.2">
      <c r="A254">
        <v>110380</v>
      </c>
      <c r="B254" t="s">
        <v>258</v>
      </c>
      <c r="C254">
        <v>36</v>
      </c>
      <c r="D254">
        <v>9</v>
      </c>
      <c r="E254">
        <v>3</v>
      </c>
      <c r="F254">
        <v>0.25</v>
      </c>
    </row>
    <row r="255" spans="1:6" x14ac:dyDescent="0.2">
      <c r="A255">
        <v>110385</v>
      </c>
      <c r="B255" t="s">
        <v>259</v>
      </c>
      <c r="C255">
        <v>9</v>
      </c>
      <c r="D255">
        <v>9</v>
      </c>
      <c r="E255">
        <v>3</v>
      </c>
      <c r="F255">
        <v>1</v>
      </c>
    </row>
    <row r="256" spans="1:6" x14ac:dyDescent="0.2">
      <c r="A256">
        <v>110394</v>
      </c>
      <c r="B256" t="s">
        <v>260</v>
      </c>
      <c r="C256">
        <v>100</v>
      </c>
      <c r="D256">
        <v>303</v>
      </c>
      <c r="E256">
        <v>4</v>
      </c>
      <c r="F256">
        <v>3.03</v>
      </c>
    </row>
    <row r="257" spans="1:6" x14ac:dyDescent="0.2">
      <c r="A257">
        <v>110404</v>
      </c>
      <c r="B257" t="s">
        <v>261</v>
      </c>
      <c r="C257">
        <v>248</v>
      </c>
      <c r="D257">
        <v>422</v>
      </c>
      <c r="E257">
        <v>3</v>
      </c>
      <c r="F257">
        <v>1.7016129032258061</v>
      </c>
    </row>
    <row r="258" spans="1:6" x14ac:dyDescent="0.2">
      <c r="A258">
        <v>110479</v>
      </c>
      <c r="B258" t="s">
        <v>262</v>
      </c>
      <c r="C258">
        <v>103</v>
      </c>
      <c r="D258">
        <v>18</v>
      </c>
      <c r="E258">
        <v>88</v>
      </c>
      <c r="F258">
        <v>0.17475728155339809</v>
      </c>
    </row>
    <row r="259" spans="1:6" x14ac:dyDescent="0.2">
      <c r="A259">
        <v>110485</v>
      </c>
      <c r="B259" t="s">
        <v>263</v>
      </c>
      <c r="C259">
        <v>0</v>
      </c>
      <c r="D259">
        <v>47</v>
      </c>
      <c r="E259">
        <v>0</v>
      </c>
      <c r="F259">
        <v>0</v>
      </c>
    </row>
    <row r="260" spans="1:6" x14ac:dyDescent="0.2">
      <c r="A260">
        <v>110521</v>
      </c>
      <c r="B260" t="s">
        <v>264</v>
      </c>
      <c r="C260">
        <v>729</v>
      </c>
      <c r="D260">
        <v>52</v>
      </c>
      <c r="E260">
        <v>0</v>
      </c>
      <c r="F260">
        <v>7.1330589849108367E-2</v>
      </c>
    </row>
    <row r="261" spans="1:6" x14ac:dyDescent="0.2">
      <c r="A261">
        <v>110526</v>
      </c>
      <c r="B261" t="s">
        <v>265</v>
      </c>
      <c r="C261">
        <v>119</v>
      </c>
      <c r="D261">
        <v>383</v>
      </c>
      <c r="E261">
        <v>638</v>
      </c>
      <c r="F261">
        <v>3.2184873949579829</v>
      </c>
    </row>
    <row r="262" spans="1:6" x14ac:dyDescent="0.2">
      <c r="A262">
        <v>110531</v>
      </c>
      <c r="B262" t="s">
        <v>266</v>
      </c>
      <c r="C262">
        <v>110</v>
      </c>
      <c r="D262">
        <v>10</v>
      </c>
      <c r="E262">
        <v>6</v>
      </c>
      <c r="F262">
        <v>9.0909090909090912E-2</v>
      </c>
    </row>
    <row r="263" spans="1:6" x14ac:dyDescent="0.2">
      <c r="A263">
        <v>110540</v>
      </c>
      <c r="B263" t="s">
        <v>267</v>
      </c>
      <c r="C263">
        <v>100</v>
      </c>
      <c r="D263">
        <v>46</v>
      </c>
      <c r="E263">
        <v>9</v>
      </c>
      <c r="F263">
        <v>0.46</v>
      </c>
    </row>
    <row r="264" spans="1:6" x14ac:dyDescent="0.2">
      <c r="A264">
        <v>110545</v>
      </c>
      <c r="B264" t="s">
        <v>268</v>
      </c>
      <c r="C264">
        <v>198</v>
      </c>
      <c r="D264">
        <v>5</v>
      </c>
      <c r="E264">
        <v>1</v>
      </c>
      <c r="F264">
        <v>2.5252525252525249E-2</v>
      </c>
    </row>
    <row r="265" spans="1:6" x14ac:dyDescent="0.2">
      <c r="A265">
        <v>110572</v>
      </c>
      <c r="B265" t="s">
        <v>269</v>
      </c>
      <c r="C265">
        <v>132</v>
      </c>
      <c r="D265">
        <v>0</v>
      </c>
      <c r="E265">
        <v>2</v>
      </c>
      <c r="F265">
        <v>0</v>
      </c>
    </row>
    <row r="266" spans="1:6" x14ac:dyDescent="0.2">
      <c r="A266">
        <v>110599</v>
      </c>
      <c r="B266" t="s">
        <v>270</v>
      </c>
      <c r="C266">
        <v>200</v>
      </c>
      <c r="D266">
        <v>30</v>
      </c>
      <c r="E266">
        <v>2</v>
      </c>
      <c r="F266">
        <v>0.15</v>
      </c>
    </row>
    <row r="267" spans="1:6" x14ac:dyDescent="0.2">
      <c r="A267">
        <v>110600</v>
      </c>
      <c r="B267" t="s">
        <v>271</v>
      </c>
      <c r="C267">
        <v>255</v>
      </c>
      <c r="D267">
        <v>140</v>
      </c>
      <c r="E267">
        <v>148</v>
      </c>
      <c r="F267">
        <v>0.5490196078431373</v>
      </c>
    </row>
    <row r="268" spans="1:6" x14ac:dyDescent="0.2">
      <c r="A268">
        <v>110619</v>
      </c>
      <c r="B268" t="s">
        <v>272</v>
      </c>
      <c r="C268">
        <v>375</v>
      </c>
      <c r="D268">
        <v>792</v>
      </c>
      <c r="E268">
        <v>115</v>
      </c>
      <c r="F268">
        <v>2.1120000000000001</v>
      </c>
    </row>
    <row r="269" spans="1:6" x14ac:dyDescent="0.2">
      <c r="A269">
        <v>110628</v>
      </c>
      <c r="B269" t="s">
        <v>273</v>
      </c>
      <c r="C269">
        <v>3</v>
      </c>
      <c r="D269">
        <v>126</v>
      </c>
      <c r="E269">
        <v>93</v>
      </c>
      <c r="F269">
        <v>42</v>
      </c>
    </row>
    <row r="270" spans="1:6" x14ac:dyDescent="0.2">
      <c r="A270">
        <v>110637</v>
      </c>
      <c r="B270" t="s">
        <v>274</v>
      </c>
      <c r="C270">
        <v>505</v>
      </c>
      <c r="D270">
        <v>1530</v>
      </c>
      <c r="E270">
        <v>106</v>
      </c>
      <c r="F270">
        <v>3.0297029702970302</v>
      </c>
    </row>
    <row r="271" spans="1:6" x14ac:dyDescent="0.2">
      <c r="A271">
        <v>110642</v>
      </c>
      <c r="B271" t="s">
        <v>275</v>
      </c>
      <c r="C271">
        <v>487</v>
      </c>
      <c r="D271">
        <v>1063</v>
      </c>
      <c r="E271">
        <v>3</v>
      </c>
      <c r="F271">
        <v>2.182751540041068</v>
      </c>
    </row>
    <row r="272" spans="1:6" x14ac:dyDescent="0.2">
      <c r="A272">
        <v>110652</v>
      </c>
      <c r="B272" t="s">
        <v>276</v>
      </c>
      <c r="C272">
        <v>376</v>
      </c>
      <c r="D272">
        <v>166</v>
      </c>
      <c r="E272">
        <v>28</v>
      </c>
      <c r="F272">
        <v>0.44148936170212771</v>
      </c>
    </row>
    <row r="273" spans="1:6" x14ac:dyDescent="0.2">
      <c r="A273">
        <v>110659</v>
      </c>
      <c r="B273" t="s">
        <v>277</v>
      </c>
      <c r="C273">
        <v>99</v>
      </c>
      <c r="D273">
        <v>267</v>
      </c>
      <c r="E273">
        <v>2</v>
      </c>
      <c r="F273">
        <v>2.6969696969696968</v>
      </c>
    </row>
    <row r="274" spans="1:6" x14ac:dyDescent="0.2">
      <c r="A274">
        <v>110690</v>
      </c>
      <c r="B274" t="s">
        <v>278</v>
      </c>
      <c r="C274">
        <v>188</v>
      </c>
      <c r="D274">
        <v>10</v>
      </c>
      <c r="E274">
        <v>3</v>
      </c>
      <c r="F274">
        <v>5.3191489361702128E-2</v>
      </c>
    </row>
    <row r="275" spans="1:6" x14ac:dyDescent="0.2">
      <c r="A275">
        <v>110715</v>
      </c>
      <c r="B275" t="s">
        <v>279</v>
      </c>
      <c r="C275">
        <v>117</v>
      </c>
      <c r="D275">
        <v>34</v>
      </c>
      <c r="E275">
        <v>0</v>
      </c>
      <c r="F275">
        <v>0.29059829059829062</v>
      </c>
    </row>
    <row r="276" spans="1:6" x14ac:dyDescent="0.2">
      <c r="A276">
        <v>110737</v>
      </c>
      <c r="B276" t="s">
        <v>280</v>
      </c>
      <c r="C276">
        <v>138</v>
      </c>
      <c r="D276">
        <v>3</v>
      </c>
      <c r="E276">
        <v>4</v>
      </c>
      <c r="F276">
        <v>2.1739130434782612E-2</v>
      </c>
    </row>
    <row r="277" spans="1:6" x14ac:dyDescent="0.2">
      <c r="A277">
        <v>110745</v>
      </c>
      <c r="B277" t="s">
        <v>281</v>
      </c>
      <c r="C277">
        <v>170</v>
      </c>
      <c r="D277">
        <v>97</v>
      </c>
      <c r="E277">
        <v>51</v>
      </c>
      <c r="F277">
        <v>0.57058823529411762</v>
      </c>
    </row>
    <row r="278" spans="1:6" x14ac:dyDescent="0.2">
      <c r="A278">
        <v>110771</v>
      </c>
      <c r="B278" t="s">
        <v>282</v>
      </c>
      <c r="C278">
        <v>406</v>
      </c>
      <c r="D278">
        <v>0</v>
      </c>
      <c r="E278">
        <v>46</v>
      </c>
      <c r="F278">
        <v>0</v>
      </c>
    </row>
    <row r="279" spans="1:6" x14ac:dyDescent="0.2">
      <c r="A279">
        <v>110931</v>
      </c>
      <c r="B279" t="s">
        <v>283</v>
      </c>
      <c r="C279">
        <v>10</v>
      </c>
      <c r="D279">
        <v>37</v>
      </c>
      <c r="E279">
        <v>31</v>
      </c>
      <c r="F279">
        <v>3.7</v>
      </c>
    </row>
    <row r="280" spans="1:6" x14ac:dyDescent="0.2">
      <c r="A280">
        <v>110958</v>
      </c>
      <c r="B280" t="s">
        <v>284</v>
      </c>
      <c r="C280">
        <v>5</v>
      </c>
      <c r="D280">
        <v>506</v>
      </c>
      <c r="E280">
        <v>123</v>
      </c>
      <c r="F280">
        <v>101.2</v>
      </c>
    </row>
    <row r="281" spans="1:6" x14ac:dyDescent="0.2">
      <c r="A281">
        <v>111009</v>
      </c>
      <c r="B281" t="s">
        <v>285</v>
      </c>
      <c r="C281">
        <v>0</v>
      </c>
      <c r="D281">
        <v>57</v>
      </c>
      <c r="E281">
        <v>9</v>
      </c>
      <c r="F281">
        <v>0</v>
      </c>
    </row>
    <row r="282" spans="1:6" x14ac:dyDescent="0.2">
      <c r="A282">
        <v>111020</v>
      </c>
      <c r="B282" t="s">
        <v>286</v>
      </c>
      <c r="C282">
        <v>67</v>
      </c>
      <c r="D282">
        <v>108</v>
      </c>
      <c r="E282">
        <v>1</v>
      </c>
      <c r="F282">
        <v>1.6119402985074629</v>
      </c>
    </row>
    <row r="283" spans="1:6" x14ac:dyDescent="0.2">
      <c r="A283">
        <v>111064</v>
      </c>
      <c r="B283" t="s">
        <v>287</v>
      </c>
      <c r="C283">
        <v>327</v>
      </c>
      <c r="D283">
        <v>349</v>
      </c>
      <c r="E283">
        <v>0</v>
      </c>
      <c r="F283">
        <v>1.0672782874617739</v>
      </c>
    </row>
    <row r="284" spans="1:6" x14ac:dyDescent="0.2">
      <c r="A284">
        <v>111065</v>
      </c>
      <c r="B284" t="s">
        <v>288</v>
      </c>
      <c r="C284">
        <v>160</v>
      </c>
      <c r="D284">
        <v>62</v>
      </c>
      <c r="E284">
        <v>13</v>
      </c>
      <c r="F284">
        <v>0.38750000000000001</v>
      </c>
    </row>
    <row r="285" spans="1:6" x14ac:dyDescent="0.2">
      <c r="A285">
        <v>111124</v>
      </c>
      <c r="B285" t="s">
        <v>289</v>
      </c>
      <c r="C285">
        <v>88</v>
      </c>
      <c r="D285">
        <v>142</v>
      </c>
      <c r="E285">
        <v>37</v>
      </c>
      <c r="F285">
        <v>1.613636363636364</v>
      </c>
    </row>
    <row r="286" spans="1:6" x14ac:dyDescent="0.2">
      <c r="A286">
        <v>111138</v>
      </c>
      <c r="B286" t="s">
        <v>290</v>
      </c>
      <c r="C286">
        <v>24</v>
      </c>
      <c r="D286">
        <v>28</v>
      </c>
      <c r="E286">
        <v>2</v>
      </c>
      <c r="F286">
        <v>1.166666666666667</v>
      </c>
    </row>
    <row r="287" spans="1:6" x14ac:dyDescent="0.2">
      <c r="A287">
        <v>111152</v>
      </c>
      <c r="B287" t="s">
        <v>291</v>
      </c>
      <c r="C287">
        <v>130</v>
      </c>
      <c r="D287">
        <v>8</v>
      </c>
      <c r="E287">
        <v>98</v>
      </c>
      <c r="F287">
        <v>6.1538461538461542E-2</v>
      </c>
    </row>
    <row r="288" spans="1:6" x14ac:dyDescent="0.2">
      <c r="A288">
        <v>111157</v>
      </c>
      <c r="B288" t="s">
        <v>292</v>
      </c>
      <c r="C288">
        <v>194</v>
      </c>
      <c r="D288">
        <v>0</v>
      </c>
      <c r="E288">
        <v>77</v>
      </c>
      <c r="F288">
        <v>0</v>
      </c>
    </row>
    <row r="289" spans="1:6" x14ac:dyDescent="0.2">
      <c r="A289">
        <v>111178</v>
      </c>
      <c r="B289" t="s">
        <v>293</v>
      </c>
      <c r="C289">
        <v>105</v>
      </c>
      <c r="D289">
        <v>142</v>
      </c>
      <c r="E289">
        <v>6</v>
      </c>
      <c r="F289">
        <v>1.352380952380952</v>
      </c>
    </row>
    <row r="290" spans="1:6" x14ac:dyDescent="0.2">
      <c r="A290">
        <v>112044</v>
      </c>
      <c r="B290" t="s">
        <v>294</v>
      </c>
      <c r="C290">
        <v>162</v>
      </c>
      <c r="D290">
        <v>110</v>
      </c>
      <c r="E290">
        <v>60</v>
      </c>
      <c r="F290">
        <v>0.67901234567901236</v>
      </c>
    </row>
    <row r="291" spans="1:6" x14ac:dyDescent="0.2">
      <c r="A291">
        <v>112053</v>
      </c>
      <c r="B291" t="s">
        <v>295</v>
      </c>
      <c r="C291">
        <v>870</v>
      </c>
      <c r="D291">
        <v>134</v>
      </c>
      <c r="E291">
        <v>259</v>
      </c>
      <c r="F291">
        <v>0.15402298850574711</v>
      </c>
    </row>
    <row r="292" spans="1:6" x14ac:dyDescent="0.2">
      <c r="A292">
        <v>112056</v>
      </c>
      <c r="B292" t="s">
        <v>296</v>
      </c>
      <c r="C292">
        <v>314</v>
      </c>
      <c r="D292">
        <v>2</v>
      </c>
      <c r="E292">
        <v>0</v>
      </c>
      <c r="F292">
        <v>6.369426751592357E-3</v>
      </c>
    </row>
    <row r="293" spans="1:6" x14ac:dyDescent="0.2">
      <c r="A293">
        <v>112106</v>
      </c>
      <c r="B293" t="s">
        <v>297</v>
      </c>
      <c r="C293">
        <v>66</v>
      </c>
      <c r="D293">
        <v>13</v>
      </c>
      <c r="E293">
        <v>3</v>
      </c>
      <c r="F293">
        <v>0.19696969696969699</v>
      </c>
    </row>
    <row r="294" spans="1:6" x14ac:dyDescent="0.2">
      <c r="A294">
        <v>112123</v>
      </c>
      <c r="B294" t="s">
        <v>298</v>
      </c>
      <c r="C294">
        <v>27</v>
      </c>
      <c r="D294">
        <v>53</v>
      </c>
      <c r="E294">
        <v>0</v>
      </c>
      <c r="F294">
        <v>1.962962962962963</v>
      </c>
    </row>
    <row r="295" spans="1:6" x14ac:dyDescent="0.2">
      <c r="A295">
        <v>112129</v>
      </c>
      <c r="B295" t="s">
        <v>299</v>
      </c>
      <c r="C295">
        <v>538</v>
      </c>
      <c r="D295">
        <v>553</v>
      </c>
      <c r="E295">
        <v>17</v>
      </c>
      <c r="F295">
        <v>1.027881040892193</v>
      </c>
    </row>
    <row r="296" spans="1:6" x14ac:dyDescent="0.2">
      <c r="A296">
        <v>112140</v>
      </c>
      <c r="B296" t="s">
        <v>300</v>
      </c>
      <c r="C296">
        <v>115</v>
      </c>
      <c r="D296">
        <v>28</v>
      </c>
      <c r="E296">
        <v>2</v>
      </c>
      <c r="F296">
        <v>0.2434782608695652</v>
      </c>
    </row>
    <row r="297" spans="1:6" x14ac:dyDescent="0.2">
      <c r="A297">
        <v>112152</v>
      </c>
      <c r="B297" t="s">
        <v>301</v>
      </c>
      <c r="C297">
        <v>60</v>
      </c>
      <c r="D297">
        <v>17</v>
      </c>
      <c r="E297">
        <v>0</v>
      </c>
      <c r="F297">
        <v>0.28333333333333333</v>
      </c>
    </row>
    <row r="298" spans="1:6" x14ac:dyDescent="0.2">
      <c r="A298">
        <v>112177</v>
      </c>
      <c r="B298" t="s">
        <v>302</v>
      </c>
      <c r="C298">
        <v>78</v>
      </c>
      <c r="D298">
        <v>220</v>
      </c>
      <c r="E298">
        <v>5</v>
      </c>
      <c r="F298">
        <v>2.8205128205128212</v>
      </c>
    </row>
    <row r="299" spans="1:6" x14ac:dyDescent="0.2">
      <c r="A299">
        <v>112180</v>
      </c>
      <c r="B299" t="s">
        <v>303</v>
      </c>
      <c r="C299">
        <v>190</v>
      </c>
      <c r="D299">
        <v>22</v>
      </c>
      <c r="E299">
        <v>0</v>
      </c>
      <c r="F299">
        <v>0.1157894736842105</v>
      </c>
    </row>
    <row r="300" spans="1:6" x14ac:dyDescent="0.2">
      <c r="A300">
        <v>112209</v>
      </c>
      <c r="B300" t="s">
        <v>304</v>
      </c>
      <c r="C300">
        <v>123</v>
      </c>
      <c r="D300">
        <v>68</v>
      </c>
      <c r="E300">
        <v>42</v>
      </c>
      <c r="F300">
        <v>0.55284552845528456</v>
      </c>
    </row>
    <row r="301" spans="1:6" x14ac:dyDescent="0.2">
      <c r="A301">
        <v>112212</v>
      </c>
      <c r="B301" t="s">
        <v>305</v>
      </c>
      <c r="C301">
        <v>2</v>
      </c>
      <c r="D301">
        <v>12</v>
      </c>
      <c r="E301">
        <v>0</v>
      </c>
      <c r="F301">
        <v>6</v>
      </c>
    </row>
    <row r="302" spans="1:6" x14ac:dyDescent="0.2">
      <c r="A302">
        <v>112275</v>
      </c>
      <c r="B302" t="s">
        <v>306</v>
      </c>
      <c r="C302">
        <v>2</v>
      </c>
      <c r="D302">
        <v>0</v>
      </c>
      <c r="E302">
        <v>3</v>
      </c>
      <c r="F302">
        <v>0</v>
      </c>
    </row>
    <row r="303" spans="1:6" x14ac:dyDescent="0.2">
      <c r="A303">
        <v>112277</v>
      </c>
      <c r="B303" t="s">
        <v>307</v>
      </c>
      <c r="C303">
        <v>215</v>
      </c>
      <c r="D303">
        <v>175</v>
      </c>
      <c r="E303">
        <v>25</v>
      </c>
      <c r="F303">
        <v>0.81395348837209303</v>
      </c>
    </row>
    <row r="304" spans="1:6" x14ac:dyDescent="0.2">
      <c r="A304">
        <v>112305</v>
      </c>
      <c r="B304" t="s">
        <v>308</v>
      </c>
      <c r="C304">
        <v>888</v>
      </c>
      <c r="D304">
        <v>672</v>
      </c>
      <c r="E304">
        <v>713</v>
      </c>
      <c r="F304">
        <v>0.7567567567567568</v>
      </c>
    </row>
    <row r="305" spans="1:6" x14ac:dyDescent="0.2">
      <c r="A305">
        <v>112312</v>
      </c>
      <c r="B305" t="s">
        <v>309</v>
      </c>
      <c r="C305">
        <v>8</v>
      </c>
      <c r="D305">
        <v>12</v>
      </c>
      <c r="E305">
        <v>0</v>
      </c>
      <c r="F305">
        <v>1.5</v>
      </c>
    </row>
    <row r="306" spans="1:6" x14ac:dyDescent="0.2">
      <c r="A306">
        <v>112348</v>
      </c>
      <c r="B306" t="s">
        <v>310</v>
      </c>
      <c r="C306">
        <v>0</v>
      </c>
      <c r="D306">
        <v>46</v>
      </c>
      <c r="E306">
        <v>1</v>
      </c>
      <c r="F306">
        <v>0</v>
      </c>
    </row>
    <row r="307" spans="1:6" x14ac:dyDescent="0.2">
      <c r="A307">
        <v>112375</v>
      </c>
      <c r="B307" t="s">
        <v>311</v>
      </c>
      <c r="C307">
        <v>189</v>
      </c>
      <c r="D307">
        <v>77</v>
      </c>
      <c r="E307">
        <v>44</v>
      </c>
      <c r="F307">
        <v>0.40740740740740738</v>
      </c>
    </row>
    <row r="308" spans="1:6" x14ac:dyDescent="0.2">
      <c r="A308">
        <v>112384</v>
      </c>
      <c r="B308" t="s">
        <v>312</v>
      </c>
      <c r="C308">
        <v>147</v>
      </c>
      <c r="D308">
        <v>5</v>
      </c>
      <c r="E308">
        <v>0</v>
      </c>
      <c r="F308">
        <v>3.4013605442176867E-2</v>
      </c>
    </row>
    <row r="309" spans="1:6" x14ac:dyDescent="0.2">
      <c r="A309">
        <v>112407</v>
      </c>
      <c r="B309" t="s">
        <v>313</v>
      </c>
      <c r="C309">
        <v>0</v>
      </c>
      <c r="D309">
        <v>5</v>
      </c>
      <c r="E309">
        <v>0</v>
      </c>
      <c r="F309">
        <v>0</v>
      </c>
    </row>
    <row r="310" spans="1:6" x14ac:dyDescent="0.2">
      <c r="A310">
        <v>112422</v>
      </c>
      <c r="B310" t="s">
        <v>314</v>
      </c>
      <c r="C310">
        <v>113</v>
      </c>
      <c r="D310">
        <v>52</v>
      </c>
      <c r="E310">
        <v>14</v>
      </c>
      <c r="F310">
        <v>0.46017699115044253</v>
      </c>
    </row>
    <row r="311" spans="1:6" x14ac:dyDescent="0.2">
      <c r="A311">
        <v>112450</v>
      </c>
      <c r="B311" t="s">
        <v>315</v>
      </c>
      <c r="C311">
        <v>125</v>
      </c>
      <c r="D311">
        <v>18</v>
      </c>
      <c r="E311">
        <v>0</v>
      </c>
      <c r="F311">
        <v>0.14399999999999999</v>
      </c>
    </row>
    <row r="312" spans="1:6" x14ac:dyDescent="0.2">
      <c r="A312">
        <v>112461</v>
      </c>
      <c r="B312" t="s">
        <v>316</v>
      </c>
      <c r="C312">
        <v>29</v>
      </c>
      <c r="D312">
        <v>99</v>
      </c>
      <c r="E312">
        <v>215</v>
      </c>
      <c r="F312">
        <v>3.4137931034482758</v>
      </c>
    </row>
    <row r="313" spans="1:6" x14ac:dyDescent="0.2">
      <c r="A313">
        <v>112474</v>
      </c>
      <c r="B313" t="s">
        <v>317</v>
      </c>
      <c r="C313">
        <v>950</v>
      </c>
      <c r="D313">
        <v>1047</v>
      </c>
      <c r="E313">
        <v>708</v>
      </c>
      <c r="F313">
        <v>1.1021052631578949</v>
      </c>
    </row>
    <row r="314" spans="1:6" x14ac:dyDescent="0.2">
      <c r="A314">
        <v>112486</v>
      </c>
      <c r="B314" t="s">
        <v>318</v>
      </c>
      <c r="C314">
        <v>333</v>
      </c>
      <c r="D314">
        <v>5</v>
      </c>
      <c r="E314">
        <v>0</v>
      </c>
      <c r="F314">
        <v>1.501501501501501E-2</v>
      </c>
    </row>
    <row r="315" spans="1:6" x14ac:dyDescent="0.2">
      <c r="A315">
        <v>112489</v>
      </c>
      <c r="B315" t="s">
        <v>319</v>
      </c>
      <c r="C315">
        <v>100</v>
      </c>
      <c r="D315">
        <v>27</v>
      </c>
      <c r="E315">
        <v>16</v>
      </c>
      <c r="F315">
        <v>0.27</v>
      </c>
    </row>
    <row r="316" spans="1:6" x14ac:dyDescent="0.2">
      <c r="A316">
        <v>112511</v>
      </c>
      <c r="B316" t="s">
        <v>320</v>
      </c>
      <c r="C316">
        <v>129</v>
      </c>
      <c r="D316">
        <v>40</v>
      </c>
      <c r="E316">
        <v>33</v>
      </c>
      <c r="F316">
        <v>0.31007751937984501</v>
      </c>
    </row>
    <row r="317" spans="1:6" x14ac:dyDescent="0.2">
      <c r="A317">
        <v>112545</v>
      </c>
      <c r="B317" t="s">
        <v>321</v>
      </c>
      <c r="C317">
        <v>25</v>
      </c>
      <c r="D317">
        <v>179</v>
      </c>
      <c r="E317">
        <v>24</v>
      </c>
      <c r="F317">
        <v>7.16</v>
      </c>
    </row>
    <row r="318" spans="1:6" x14ac:dyDescent="0.2">
      <c r="A318">
        <v>112546</v>
      </c>
      <c r="B318" t="s">
        <v>322</v>
      </c>
      <c r="C318">
        <v>82</v>
      </c>
      <c r="D318">
        <v>23</v>
      </c>
      <c r="E318">
        <v>70</v>
      </c>
      <c r="F318">
        <v>0.28048780487804881</v>
      </c>
    </row>
    <row r="319" spans="1:6" x14ac:dyDescent="0.2">
      <c r="A319">
        <v>112577</v>
      </c>
      <c r="B319" t="s">
        <v>323</v>
      </c>
      <c r="C319">
        <v>202</v>
      </c>
      <c r="D319">
        <v>45</v>
      </c>
      <c r="E319">
        <v>24</v>
      </c>
      <c r="F319">
        <v>0.2227722772277228</v>
      </c>
    </row>
    <row r="320" spans="1:6" x14ac:dyDescent="0.2">
      <c r="A320">
        <v>112596</v>
      </c>
      <c r="B320" t="s">
        <v>324</v>
      </c>
      <c r="C320">
        <v>3</v>
      </c>
      <c r="D320">
        <v>145</v>
      </c>
      <c r="E320">
        <v>6</v>
      </c>
      <c r="F320">
        <v>48.333333333333343</v>
      </c>
    </row>
    <row r="321" spans="1:6" x14ac:dyDescent="0.2">
      <c r="A321">
        <v>112603</v>
      </c>
      <c r="B321" t="s">
        <v>325</v>
      </c>
      <c r="C321">
        <v>3</v>
      </c>
      <c r="D321">
        <v>29</v>
      </c>
      <c r="E321">
        <v>0</v>
      </c>
      <c r="F321">
        <v>9.6666666666666661</v>
      </c>
    </row>
    <row r="322" spans="1:6" x14ac:dyDescent="0.2">
      <c r="A322">
        <v>112606</v>
      </c>
      <c r="B322" t="s">
        <v>326</v>
      </c>
      <c r="C322">
        <v>70</v>
      </c>
      <c r="D322">
        <v>27</v>
      </c>
      <c r="E322">
        <v>30</v>
      </c>
      <c r="F322">
        <v>0.38571428571428568</v>
      </c>
    </row>
    <row r="323" spans="1:6" x14ac:dyDescent="0.2">
      <c r="A323">
        <v>112610</v>
      </c>
      <c r="B323" t="s">
        <v>327</v>
      </c>
      <c r="C323">
        <v>144</v>
      </c>
      <c r="D323">
        <v>254</v>
      </c>
      <c r="E323">
        <v>3</v>
      </c>
      <c r="F323">
        <v>1.7638888888888891</v>
      </c>
    </row>
    <row r="324" spans="1:6" x14ac:dyDescent="0.2">
      <c r="A324">
        <v>112627</v>
      </c>
      <c r="B324" t="s">
        <v>328</v>
      </c>
      <c r="C324">
        <v>0</v>
      </c>
      <c r="D324">
        <v>90</v>
      </c>
      <c r="E324">
        <v>14</v>
      </c>
      <c r="F324">
        <v>0</v>
      </c>
    </row>
    <row r="325" spans="1:6" x14ac:dyDescent="0.2">
      <c r="A325">
        <v>112630</v>
      </c>
      <c r="B325" t="s">
        <v>329</v>
      </c>
      <c r="C325">
        <v>0</v>
      </c>
      <c r="D325">
        <v>172</v>
      </c>
      <c r="E325">
        <v>0</v>
      </c>
      <c r="F325">
        <v>0</v>
      </c>
    </row>
    <row r="326" spans="1:6" x14ac:dyDescent="0.2">
      <c r="A326">
        <v>112636</v>
      </c>
      <c r="B326" t="s">
        <v>330</v>
      </c>
      <c r="C326">
        <v>85</v>
      </c>
      <c r="D326">
        <v>116</v>
      </c>
      <c r="E326">
        <v>0</v>
      </c>
      <c r="F326">
        <v>1.364705882352941</v>
      </c>
    </row>
    <row r="327" spans="1:6" x14ac:dyDescent="0.2">
      <c r="A327">
        <v>112676</v>
      </c>
      <c r="B327" t="s">
        <v>331</v>
      </c>
      <c r="C327">
        <v>184</v>
      </c>
      <c r="D327">
        <v>373</v>
      </c>
      <c r="E327">
        <v>47</v>
      </c>
      <c r="F327">
        <v>2.027173913043478</v>
      </c>
    </row>
    <row r="328" spans="1:6" x14ac:dyDescent="0.2">
      <c r="A328">
        <v>112831</v>
      </c>
      <c r="B328" t="s">
        <v>332</v>
      </c>
      <c r="C328">
        <v>104</v>
      </c>
      <c r="D328">
        <v>62</v>
      </c>
      <c r="E328">
        <v>70</v>
      </c>
      <c r="F328">
        <v>0.59615384615384615</v>
      </c>
    </row>
    <row r="329" spans="1:6" x14ac:dyDescent="0.2">
      <c r="A329">
        <v>112966</v>
      </c>
      <c r="B329" t="s">
        <v>333</v>
      </c>
      <c r="C329">
        <v>2</v>
      </c>
      <c r="D329">
        <v>86</v>
      </c>
      <c r="E329">
        <v>1</v>
      </c>
      <c r="F329">
        <v>43</v>
      </c>
    </row>
    <row r="330" spans="1:6" x14ac:dyDescent="0.2">
      <c r="A330">
        <v>112987</v>
      </c>
      <c r="B330" t="s">
        <v>334</v>
      </c>
      <c r="C330">
        <v>9</v>
      </c>
      <c r="D330">
        <v>0</v>
      </c>
      <c r="E330">
        <v>2</v>
      </c>
      <c r="F330">
        <v>0</v>
      </c>
    </row>
    <row r="331" spans="1:6" x14ac:dyDescent="0.2">
      <c r="A331">
        <v>112992</v>
      </c>
      <c r="B331" t="s">
        <v>335</v>
      </c>
      <c r="C331">
        <v>14</v>
      </c>
      <c r="D331">
        <v>70</v>
      </c>
      <c r="E331">
        <v>2</v>
      </c>
      <c r="F331">
        <v>5</v>
      </c>
    </row>
    <row r="332" spans="1:6" x14ac:dyDescent="0.2">
      <c r="A332">
        <v>113073</v>
      </c>
      <c r="B332" t="s">
        <v>336</v>
      </c>
      <c r="C332">
        <v>48</v>
      </c>
      <c r="D332">
        <v>12</v>
      </c>
      <c r="E332">
        <v>77</v>
      </c>
      <c r="F332">
        <v>0.25</v>
      </c>
    </row>
    <row r="333" spans="1:6" x14ac:dyDescent="0.2">
      <c r="A333">
        <v>113111</v>
      </c>
      <c r="B333" t="s">
        <v>337</v>
      </c>
      <c r="C333">
        <v>117</v>
      </c>
      <c r="D333">
        <v>392</v>
      </c>
      <c r="E333">
        <v>67</v>
      </c>
      <c r="F333">
        <v>3.350427350427351</v>
      </c>
    </row>
    <row r="334" spans="1:6" x14ac:dyDescent="0.2">
      <c r="A334">
        <v>113118</v>
      </c>
      <c r="B334" t="s">
        <v>338</v>
      </c>
      <c r="C334">
        <v>1458</v>
      </c>
      <c r="D334">
        <v>3499</v>
      </c>
      <c r="E334">
        <v>0</v>
      </c>
      <c r="F334">
        <v>2.3998628257887522</v>
      </c>
    </row>
    <row r="335" spans="1:6" x14ac:dyDescent="0.2">
      <c r="A335">
        <v>113164</v>
      </c>
      <c r="B335" t="s">
        <v>339</v>
      </c>
      <c r="C335">
        <v>40</v>
      </c>
      <c r="D335">
        <v>119</v>
      </c>
      <c r="E335">
        <v>10</v>
      </c>
      <c r="F335">
        <v>2.9750000000000001</v>
      </c>
    </row>
    <row r="336" spans="1:6" x14ac:dyDescent="0.2">
      <c r="A336">
        <v>113263</v>
      </c>
      <c r="B336" t="s">
        <v>340</v>
      </c>
      <c r="C336">
        <v>12</v>
      </c>
      <c r="D336">
        <v>8</v>
      </c>
      <c r="E336">
        <v>0</v>
      </c>
      <c r="F336">
        <v>0.66666666666666663</v>
      </c>
    </row>
    <row r="337" spans="1:6" x14ac:dyDescent="0.2">
      <c r="A337">
        <v>113335</v>
      </c>
      <c r="B337" t="s">
        <v>341</v>
      </c>
      <c r="C337">
        <v>84</v>
      </c>
      <c r="D337">
        <v>342</v>
      </c>
      <c r="E337">
        <v>84</v>
      </c>
      <c r="F337">
        <v>4.0714285714285712</v>
      </c>
    </row>
    <row r="338" spans="1:6" x14ac:dyDescent="0.2">
      <c r="A338">
        <v>113358</v>
      </c>
      <c r="B338" t="s">
        <v>342</v>
      </c>
      <c r="C338">
        <v>6</v>
      </c>
      <c r="D338">
        <v>66</v>
      </c>
      <c r="E338">
        <v>75</v>
      </c>
      <c r="F338">
        <v>11</v>
      </c>
    </row>
    <row r="339" spans="1:6" x14ac:dyDescent="0.2">
      <c r="A339">
        <v>113370</v>
      </c>
      <c r="B339" t="s">
        <v>343</v>
      </c>
      <c r="C339">
        <v>796</v>
      </c>
      <c r="D339">
        <v>58</v>
      </c>
      <c r="E339">
        <v>0</v>
      </c>
      <c r="F339">
        <v>7.2864321608040197E-2</v>
      </c>
    </row>
    <row r="340" spans="1:6" x14ac:dyDescent="0.2">
      <c r="A340">
        <v>113383</v>
      </c>
      <c r="B340" t="s">
        <v>344</v>
      </c>
      <c r="C340">
        <v>44</v>
      </c>
      <c r="D340">
        <v>5</v>
      </c>
      <c r="E340">
        <v>0</v>
      </c>
      <c r="F340">
        <v>0.1136363636363636</v>
      </c>
    </row>
    <row r="341" spans="1:6" x14ac:dyDescent="0.2">
      <c r="A341">
        <v>113387</v>
      </c>
      <c r="B341" t="s">
        <v>345</v>
      </c>
      <c r="C341">
        <v>267</v>
      </c>
      <c r="D341">
        <v>40</v>
      </c>
      <c r="E341">
        <v>0</v>
      </c>
      <c r="F341">
        <v>0.14981273408239701</v>
      </c>
    </row>
    <row r="342" spans="1:6" x14ac:dyDescent="0.2">
      <c r="A342">
        <v>113390</v>
      </c>
      <c r="B342" t="s">
        <v>346</v>
      </c>
      <c r="C342">
        <v>120</v>
      </c>
      <c r="D342">
        <v>166</v>
      </c>
      <c r="E342">
        <v>0</v>
      </c>
      <c r="F342">
        <v>1.3833333333333331</v>
      </c>
    </row>
    <row r="343" spans="1:6" x14ac:dyDescent="0.2">
      <c r="A343">
        <v>113397</v>
      </c>
      <c r="B343" t="s">
        <v>347</v>
      </c>
      <c r="C343">
        <v>93</v>
      </c>
      <c r="D343">
        <v>6</v>
      </c>
      <c r="E343">
        <v>3</v>
      </c>
      <c r="F343">
        <v>6.4516129032258063E-2</v>
      </c>
    </row>
    <row r="344" spans="1:6" x14ac:dyDescent="0.2">
      <c r="A344">
        <v>113399</v>
      </c>
      <c r="B344" t="s">
        <v>348</v>
      </c>
      <c r="C344">
        <v>125</v>
      </c>
      <c r="D344">
        <v>277</v>
      </c>
      <c r="E344">
        <v>0</v>
      </c>
      <c r="F344">
        <v>2.2160000000000002</v>
      </c>
    </row>
    <row r="345" spans="1:6" x14ac:dyDescent="0.2">
      <c r="A345">
        <v>113410</v>
      </c>
      <c r="B345" t="s">
        <v>349</v>
      </c>
      <c r="C345">
        <v>552</v>
      </c>
      <c r="D345">
        <v>2048</v>
      </c>
      <c r="E345">
        <v>2</v>
      </c>
      <c r="F345">
        <v>3.7101449275362319</v>
      </c>
    </row>
    <row r="346" spans="1:6" x14ac:dyDescent="0.2">
      <c r="A346">
        <v>113421</v>
      </c>
      <c r="B346" t="s">
        <v>350</v>
      </c>
      <c r="C346">
        <v>165</v>
      </c>
      <c r="D346">
        <v>55</v>
      </c>
      <c r="E346">
        <v>0</v>
      </c>
      <c r="F346">
        <v>0.33333333333333331</v>
      </c>
    </row>
    <row r="347" spans="1:6" x14ac:dyDescent="0.2">
      <c r="A347">
        <v>113444</v>
      </c>
      <c r="B347" t="s">
        <v>351</v>
      </c>
      <c r="C347">
        <v>2</v>
      </c>
      <c r="D347">
        <v>8</v>
      </c>
      <c r="E347">
        <v>3</v>
      </c>
      <c r="F347">
        <v>4</v>
      </c>
    </row>
    <row r="348" spans="1:6" x14ac:dyDescent="0.2">
      <c r="A348">
        <v>113455</v>
      </c>
      <c r="B348" t="s">
        <v>352</v>
      </c>
      <c r="C348">
        <v>42</v>
      </c>
      <c r="D348">
        <v>7</v>
      </c>
      <c r="E348">
        <v>0</v>
      </c>
      <c r="F348">
        <v>0.16666666666666671</v>
      </c>
    </row>
    <row r="349" spans="1:6" x14ac:dyDescent="0.2">
      <c r="A349">
        <v>113502</v>
      </c>
      <c r="B349" t="s">
        <v>353</v>
      </c>
      <c r="C349">
        <v>145</v>
      </c>
      <c r="D349">
        <v>6</v>
      </c>
      <c r="E349">
        <v>21</v>
      </c>
      <c r="F349">
        <v>4.1379310344827593E-2</v>
      </c>
    </row>
    <row r="350" spans="1:6" x14ac:dyDescent="0.2">
      <c r="A350">
        <v>113515</v>
      </c>
      <c r="B350" t="s">
        <v>354</v>
      </c>
      <c r="C350">
        <v>184</v>
      </c>
      <c r="D350">
        <v>63</v>
      </c>
      <c r="E350">
        <v>0</v>
      </c>
      <c r="F350">
        <v>0.34239130434782611</v>
      </c>
    </row>
    <row r="351" spans="1:6" x14ac:dyDescent="0.2">
      <c r="A351">
        <v>113519</v>
      </c>
      <c r="B351" t="s">
        <v>355</v>
      </c>
      <c r="C351">
        <v>364</v>
      </c>
      <c r="D351">
        <v>8</v>
      </c>
      <c r="E351">
        <v>0</v>
      </c>
      <c r="F351">
        <v>2.197802197802198E-2</v>
      </c>
    </row>
    <row r="352" spans="1:6" x14ac:dyDescent="0.2">
      <c r="A352">
        <v>113552</v>
      </c>
      <c r="B352" t="s">
        <v>356</v>
      </c>
      <c r="C352">
        <v>50</v>
      </c>
      <c r="D352">
        <v>1</v>
      </c>
      <c r="E352">
        <v>25</v>
      </c>
      <c r="F352">
        <v>0.02</v>
      </c>
    </row>
    <row r="353" spans="1:6" x14ac:dyDescent="0.2">
      <c r="A353">
        <v>113592</v>
      </c>
      <c r="B353" t="s">
        <v>357</v>
      </c>
      <c r="C353">
        <v>22</v>
      </c>
      <c r="D353">
        <v>44</v>
      </c>
      <c r="E353">
        <v>14</v>
      </c>
      <c r="F353">
        <v>2</v>
      </c>
    </row>
    <row r="354" spans="1:6" x14ac:dyDescent="0.2">
      <c r="A354">
        <v>113599</v>
      </c>
      <c r="B354" t="s">
        <v>358</v>
      </c>
      <c r="C354">
        <v>655</v>
      </c>
      <c r="D354">
        <v>2245</v>
      </c>
      <c r="E354">
        <v>19</v>
      </c>
      <c r="F354">
        <v>3.4274809160305342</v>
      </c>
    </row>
    <row r="355" spans="1:6" x14ac:dyDescent="0.2">
      <c r="A355">
        <v>114046</v>
      </c>
      <c r="B355" t="s">
        <v>359</v>
      </c>
      <c r="C355">
        <v>19</v>
      </c>
      <c r="D355">
        <v>34</v>
      </c>
      <c r="E355">
        <v>0</v>
      </c>
      <c r="F355">
        <v>1.7894736842105261</v>
      </c>
    </row>
    <row r="356" spans="1:6" x14ac:dyDescent="0.2">
      <c r="A356">
        <v>114073</v>
      </c>
      <c r="B356" t="s">
        <v>360</v>
      </c>
      <c r="C356">
        <v>1328</v>
      </c>
      <c r="D356">
        <v>381</v>
      </c>
      <c r="E356">
        <v>266</v>
      </c>
      <c r="F356">
        <v>0.2868975903614458</v>
      </c>
    </row>
    <row r="357" spans="1:6" x14ac:dyDescent="0.2">
      <c r="A357">
        <v>114264</v>
      </c>
      <c r="B357" t="s">
        <v>361</v>
      </c>
      <c r="C357">
        <v>3</v>
      </c>
      <c r="D357">
        <v>115</v>
      </c>
      <c r="E357">
        <v>13</v>
      </c>
      <c r="F357">
        <v>38.333333333333343</v>
      </c>
    </row>
    <row r="358" spans="1:6" x14ac:dyDescent="0.2">
      <c r="A358">
        <v>114556</v>
      </c>
      <c r="B358" t="s">
        <v>362</v>
      </c>
      <c r="C358">
        <v>414</v>
      </c>
      <c r="D358">
        <v>22</v>
      </c>
      <c r="E358">
        <v>304</v>
      </c>
      <c r="F358">
        <v>5.3140096618357488E-2</v>
      </c>
    </row>
    <row r="359" spans="1:6" x14ac:dyDescent="0.2">
      <c r="A359">
        <v>114564</v>
      </c>
      <c r="B359" t="s">
        <v>363</v>
      </c>
      <c r="C359">
        <v>30</v>
      </c>
      <c r="D359">
        <v>2</v>
      </c>
      <c r="E359">
        <v>2</v>
      </c>
      <c r="F359">
        <v>6.6666666666666666E-2</v>
      </c>
    </row>
    <row r="360" spans="1:6" x14ac:dyDescent="0.2">
      <c r="A360">
        <v>114601</v>
      </c>
      <c r="B360" t="s">
        <v>364</v>
      </c>
      <c r="C360">
        <v>2194</v>
      </c>
      <c r="D360">
        <v>1293</v>
      </c>
      <c r="E360">
        <v>2367</v>
      </c>
      <c r="F360">
        <v>0.58933454876937097</v>
      </c>
    </row>
    <row r="361" spans="1:6" x14ac:dyDescent="0.2">
      <c r="A361">
        <v>114700</v>
      </c>
      <c r="B361" t="s">
        <v>365</v>
      </c>
      <c r="C361">
        <v>75</v>
      </c>
      <c r="D361">
        <v>143</v>
      </c>
      <c r="E361">
        <v>0</v>
      </c>
      <c r="F361">
        <v>1.906666666666667</v>
      </c>
    </row>
    <row r="362" spans="1:6" x14ac:dyDescent="0.2">
      <c r="A362">
        <v>114759</v>
      </c>
      <c r="B362" t="s">
        <v>366</v>
      </c>
      <c r="C362">
        <v>0</v>
      </c>
      <c r="D362">
        <v>269</v>
      </c>
      <c r="E362">
        <v>19</v>
      </c>
      <c r="F362">
        <v>0</v>
      </c>
    </row>
    <row r="363" spans="1:6" x14ac:dyDescent="0.2">
      <c r="A363">
        <v>114763</v>
      </c>
      <c r="B363" t="s">
        <v>367</v>
      </c>
      <c r="C363">
        <v>54</v>
      </c>
      <c r="D363">
        <v>119</v>
      </c>
      <c r="E363">
        <v>50</v>
      </c>
      <c r="F363">
        <v>2.2037037037037042</v>
      </c>
    </row>
    <row r="364" spans="1:6" x14ac:dyDescent="0.2">
      <c r="A364">
        <v>114833</v>
      </c>
      <c r="B364" t="s">
        <v>368</v>
      </c>
      <c r="C364">
        <v>50</v>
      </c>
      <c r="D364">
        <v>29</v>
      </c>
      <c r="E364">
        <v>21</v>
      </c>
      <c r="F364">
        <v>0.57999999999999996</v>
      </c>
    </row>
    <row r="365" spans="1:6" x14ac:dyDescent="0.2">
      <c r="A365">
        <v>114873</v>
      </c>
      <c r="B365" t="s">
        <v>369</v>
      </c>
      <c r="C365">
        <v>216</v>
      </c>
      <c r="D365">
        <v>14</v>
      </c>
      <c r="E365">
        <v>0</v>
      </c>
      <c r="F365">
        <v>6.4814814814814811E-2</v>
      </c>
    </row>
    <row r="366" spans="1:6" x14ac:dyDescent="0.2">
      <c r="A366">
        <v>115007</v>
      </c>
      <c r="B366" t="s">
        <v>370</v>
      </c>
      <c r="C366">
        <v>1521</v>
      </c>
      <c r="D366">
        <v>167</v>
      </c>
      <c r="E366">
        <v>123</v>
      </c>
      <c r="F366">
        <v>0.1097961867192636</v>
      </c>
    </row>
    <row r="367" spans="1:6" x14ac:dyDescent="0.2">
      <c r="A367">
        <v>115079</v>
      </c>
      <c r="B367" t="s">
        <v>371</v>
      </c>
      <c r="C367">
        <v>0</v>
      </c>
      <c r="D367">
        <v>36</v>
      </c>
      <c r="E367">
        <v>63</v>
      </c>
      <c r="F367">
        <v>0</v>
      </c>
    </row>
    <row r="368" spans="1:6" x14ac:dyDescent="0.2">
      <c r="A368">
        <v>115132</v>
      </c>
      <c r="B368" t="s">
        <v>372</v>
      </c>
      <c r="C368">
        <v>39</v>
      </c>
      <c r="D368">
        <v>20</v>
      </c>
      <c r="E368">
        <v>39</v>
      </c>
      <c r="F368">
        <v>0.51282051282051277</v>
      </c>
    </row>
    <row r="369" spans="1:6" x14ac:dyDescent="0.2">
      <c r="A369">
        <v>115223</v>
      </c>
      <c r="B369" t="s">
        <v>373</v>
      </c>
      <c r="C369">
        <v>6</v>
      </c>
      <c r="D369">
        <v>5</v>
      </c>
      <c r="E369">
        <v>2</v>
      </c>
      <c r="F369">
        <v>0.83333333333333337</v>
      </c>
    </row>
    <row r="370" spans="1:6" x14ac:dyDescent="0.2">
      <c r="A370">
        <v>115314</v>
      </c>
      <c r="B370" t="s">
        <v>374</v>
      </c>
      <c r="C370">
        <v>487</v>
      </c>
      <c r="D370">
        <v>524</v>
      </c>
      <c r="E370">
        <v>0</v>
      </c>
      <c r="F370">
        <v>1.075975359342916</v>
      </c>
    </row>
    <row r="371" spans="1:6" x14ac:dyDescent="0.2">
      <c r="A371">
        <v>115325</v>
      </c>
      <c r="B371" t="s">
        <v>375</v>
      </c>
      <c r="C371">
        <v>61</v>
      </c>
      <c r="D371">
        <v>79</v>
      </c>
      <c r="E371">
        <v>0</v>
      </c>
      <c r="F371">
        <v>1.2950819672131151</v>
      </c>
    </row>
    <row r="372" spans="1:6" x14ac:dyDescent="0.2">
      <c r="A372">
        <v>115327</v>
      </c>
      <c r="B372" t="s">
        <v>376</v>
      </c>
      <c r="C372">
        <v>344</v>
      </c>
      <c r="D372">
        <v>53</v>
      </c>
      <c r="E372">
        <v>12</v>
      </c>
      <c r="F372">
        <v>0.15406976744186049</v>
      </c>
    </row>
    <row r="373" spans="1:6" x14ac:dyDescent="0.2">
      <c r="A373">
        <v>115425</v>
      </c>
      <c r="B373" t="s">
        <v>377</v>
      </c>
      <c r="C373">
        <v>138</v>
      </c>
      <c r="D373">
        <v>7</v>
      </c>
      <c r="E373">
        <v>23</v>
      </c>
      <c r="F373">
        <v>5.0724637681159417E-2</v>
      </c>
    </row>
    <row r="374" spans="1:6" x14ac:dyDescent="0.2">
      <c r="A374">
        <v>115514</v>
      </c>
      <c r="B374" t="s">
        <v>378</v>
      </c>
      <c r="C374">
        <v>0</v>
      </c>
      <c r="D374">
        <v>261</v>
      </c>
      <c r="E374">
        <v>0</v>
      </c>
      <c r="F374">
        <v>0</v>
      </c>
    </row>
    <row r="375" spans="1:6" x14ac:dyDescent="0.2">
      <c r="A375">
        <v>115539</v>
      </c>
      <c r="B375" t="s">
        <v>379</v>
      </c>
      <c r="C375">
        <v>93</v>
      </c>
      <c r="D375">
        <v>3</v>
      </c>
      <c r="E375">
        <v>24</v>
      </c>
      <c r="F375">
        <v>3.2258064516129031E-2</v>
      </c>
    </row>
    <row r="376" spans="1:6" x14ac:dyDescent="0.2">
      <c r="A376">
        <v>115661</v>
      </c>
      <c r="B376" t="s">
        <v>380</v>
      </c>
      <c r="C376">
        <v>107</v>
      </c>
      <c r="D376">
        <v>50</v>
      </c>
      <c r="E376">
        <v>0</v>
      </c>
      <c r="F376">
        <v>0.46728971962616822</v>
      </c>
    </row>
    <row r="377" spans="1:6" x14ac:dyDescent="0.2">
      <c r="A377">
        <v>115749</v>
      </c>
      <c r="B377" t="s">
        <v>381</v>
      </c>
      <c r="C377">
        <v>21</v>
      </c>
      <c r="D377">
        <v>1</v>
      </c>
      <c r="E377">
        <v>0</v>
      </c>
      <c r="F377">
        <v>4.7619047619047623E-2</v>
      </c>
    </row>
    <row r="378" spans="1:6" x14ac:dyDescent="0.2">
      <c r="A378">
        <v>115779</v>
      </c>
      <c r="B378" t="s">
        <v>382</v>
      </c>
      <c r="C378">
        <v>201</v>
      </c>
      <c r="D378">
        <v>286</v>
      </c>
      <c r="E378">
        <v>0</v>
      </c>
      <c r="F378">
        <v>1.422885572139303</v>
      </c>
    </row>
    <row r="379" spans="1:6" x14ac:dyDescent="0.2">
      <c r="A379">
        <v>115809</v>
      </c>
      <c r="B379" t="s">
        <v>383</v>
      </c>
      <c r="C379">
        <v>0</v>
      </c>
      <c r="D379">
        <v>3</v>
      </c>
      <c r="E379">
        <v>2</v>
      </c>
      <c r="F379">
        <v>0</v>
      </c>
    </row>
    <row r="380" spans="1:6" x14ac:dyDescent="0.2">
      <c r="A380">
        <v>115879</v>
      </c>
      <c r="B380" t="s">
        <v>384</v>
      </c>
      <c r="C380">
        <v>25</v>
      </c>
      <c r="D380">
        <v>2</v>
      </c>
      <c r="E380">
        <v>0</v>
      </c>
      <c r="F380">
        <v>0.08</v>
      </c>
    </row>
    <row r="381" spans="1:6" x14ac:dyDescent="0.2">
      <c r="A381">
        <v>115880</v>
      </c>
      <c r="B381" t="s">
        <v>385</v>
      </c>
      <c r="C381">
        <v>1</v>
      </c>
      <c r="D381">
        <v>50</v>
      </c>
      <c r="E381">
        <v>0</v>
      </c>
      <c r="F381">
        <v>50</v>
      </c>
    </row>
    <row r="382" spans="1:6" x14ac:dyDescent="0.2">
      <c r="A382">
        <v>115901</v>
      </c>
      <c r="B382" t="s">
        <v>386</v>
      </c>
      <c r="C382">
        <v>48</v>
      </c>
      <c r="D382">
        <v>12</v>
      </c>
      <c r="E382">
        <v>0</v>
      </c>
      <c r="F382">
        <v>0.25</v>
      </c>
    </row>
    <row r="383" spans="1:6" x14ac:dyDescent="0.2">
      <c r="A383">
        <v>115921</v>
      </c>
      <c r="B383" t="s">
        <v>387</v>
      </c>
      <c r="C383">
        <v>60</v>
      </c>
      <c r="D383">
        <v>19</v>
      </c>
      <c r="E383">
        <v>4</v>
      </c>
      <c r="F383">
        <v>0.31666666666666671</v>
      </c>
    </row>
    <row r="384" spans="1:6" x14ac:dyDescent="0.2">
      <c r="A384">
        <v>115929</v>
      </c>
      <c r="B384" t="s">
        <v>388</v>
      </c>
      <c r="C384">
        <v>187</v>
      </c>
      <c r="D384">
        <v>142</v>
      </c>
      <c r="E384">
        <v>42</v>
      </c>
      <c r="F384">
        <v>0.75935828877005351</v>
      </c>
    </row>
    <row r="385" spans="1:6" x14ac:dyDescent="0.2">
      <c r="A385">
        <v>116046</v>
      </c>
      <c r="B385" t="s">
        <v>389</v>
      </c>
      <c r="C385">
        <v>242</v>
      </c>
      <c r="D385">
        <v>134</v>
      </c>
      <c r="E385">
        <v>1</v>
      </c>
      <c r="F385">
        <v>0.55371900826446285</v>
      </c>
    </row>
    <row r="386" spans="1:6" x14ac:dyDescent="0.2">
      <c r="A386">
        <v>116147</v>
      </c>
      <c r="B386" t="s">
        <v>390</v>
      </c>
      <c r="C386">
        <v>128</v>
      </c>
      <c r="D386">
        <v>76</v>
      </c>
      <c r="E386">
        <v>56</v>
      </c>
      <c r="F386">
        <v>0.59375</v>
      </c>
    </row>
    <row r="387" spans="1:6" x14ac:dyDescent="0.2">
      <c r="A387">
        <v>116180</v>
      </c>
      <c r="B387" t="s">
        <v>391</v>
      </c>
      <c r="C387">
        <v>213</v>
      </c>
      <c r="D387">
        <v>198</v>
      </c>
      <c r="E387">
        <v>0</v>
      </c>
      <c r="F387">
        <v>0.92957746478873238</v>
      </c>
    </row>
    <row r="388" spans="1:6" x14ac:dyDescent="0.2">
      <c r="A388">
        <v>116203</v>
      </c>
      <c r="B388" t="s">
        <v>392</v>
      </c>
      <c r="C388">
        <v>22</v>
      </c>
      <c r="D388">
        <v>134</v>
      </c>
      <c r="E388">
        <v>76</v>
      </c>
      <c r="F388">
        <v>6.0909090909090908</v>
      </c>
    </row>
    <row r="389" spans="1:6" x14ac:dyDescent="0.2">
      <c r="A389">
        <v>116292</v>
      </c>
      <c r="B389" t="s">
        <v>393</v>
      </c>
      <c r="C389">
        <v>462</v>
      </c>
      <c r="D389">
        <v>88</v>
      </c>
      <c r="E389">
        <v>6</v>
      </c>
      <c r="F389">
        <v>0.19047619047619049</v>
      </c>
    </row>
    <row r="390" spans="1:6" x14ac:dyDescent="0.2">
      <c r="A390">
        <v>116457</v>
      </c>
      <c r="B390" t="s">
        <v>394</v>
      </c>
      <c r="C390">
        <v>251</v>
      </c>
      <c r="D390">
        <v>14</v>
      </c>
      <c r="E390">
        <v>0</v>
      </c>
      <c r="F390">
        <v>5.5776892430278877E-2</v>
      </c>
    </row>
    <row r="391" spans="1:6" x14ac:dyDescent="0.2">
      <c r="A391">
        <v>116549</v>
      </c>
      <c r="B391" t="s">
        <v>395</v>
      </c>
      <c r="C391">
        <v>0</v>
      </c>
      <c r="D391">
        <v>17</v>
      </c>
      <c r="E391">
        <v>2</v>
      </c>
      <c r="F391">
        <v>0</v>
      </c>
    </row>
    <row r="392" spans="1:6" x14ac:dyDescent="0.2">
      <c r="A392">
        <v>116660</v>
      </c>
      <c r="B392" t="s">
        <v>396</v>
      </c>
      <c r="C392">
        <v>1335</v>
      </c>
      <c r="D392">
        <v>1688</v>
      </c>
      <c r="E392">
        <v>2565</v>
      </c>
      <c r="F392">
        <v>1.264419475655431</v>
      </c>
    </row>
    <row r="393" spans="1:6" x14ac:dyDescent="0.2">
      <c r="A393">
        <v>116837</v>
      </c>
      <c r="B393" t="s">
        <v>397</v>
      </c>
      <c r="C393">
        <v>166</v>
      </c>
      <c r="D393">
        <v>82</v>
      </c>
      <c r="E393">
        <v>23</v>
      </c>
      <c r="F393">
        <v>0.49397590361445781</v>
      </c>
    </row>
    <row r="394" spans="1:6" x14ac:dyDescent="0.2">
      <c r="A394">
        <v>117072</v>
      </c>
      <c r="B394" t="s">
        <v>398</v>
      </c>
      <c r="C394">
        <v>237</v>
      </c>
      <c r="D394">
        <v>33</v>
      </c>
      <c r="E394">
        <v>17</v>
      </c>
      <c r="F394">
        <v>0.13924050632911389</v>
      </c>
    </row>
    <row r="395" spans="1:6" x14ac:dyDescent="0.2">
      <c r="A395">
        <v>117408</v>
      </c>
      <c r="B395" t="s">
        <v>399</v>
      </c>
      <c r="C395">
        <v>25</v>
      </c>
      <c r="D395">
        <v>73</v>
      </c>
      <c r="E395">
        <v>2</v>
      </c>
      <c r="F395">
        <v>2.92</v>
      </c>
    </row>
    <row r="396" spans="1:6" x14ac:dyDescent="0.2">
      <c r="A396">
        <v>117733</v>
      </c>
      <c r="B396" t="s">
        <v>400</v>
      </c>
      <c r="C396">
        <v>90</v>
      </c>
      <c r="D396">
        <v>273</v>
      </c>
      <c r="E396">
        <v>0</v>
      </c>
      <c r="F396">
        <v>3.0333333333333332</v>
      </c>
    </row>
    <row r="397" spans="1:6" x14ac:dyDescent="0.2">
      <c r="A397">
        <v>117857</v>
      </c>
      <c r="B397" t="s">
        <v>401</v>
      </c>
      <c r="C397">
        <v>38</v>
      </c>
      <c r="D397">
        <v>29</v>
      </c>
      <c r="E397">
        <v>22</v>
      </c>
      <c r="F397">
        <v>0.76315789473684215</v>
      </c>
    </row>
    <row r="398" spans="1:6" x14ac:dyDescent="0.2">
      <c r="A398">
        <v>118166</v>
      </c>
      <c r="B398" t="s">
        <v>402</v>
      </c>
      <c r="C398">
        <v>100</v>
      </c>
      <c r="D398">
        <v>83</v>
      </c>
      <c r="E398">
        <v>9</v>
      </c>
      <c r="F398">
        <v>0.83</v>
      </c>
    </row>
    <row r="399" spans="1:6" x14ac:dyDescent="0.2">
      <c r="A399">
        <v>118223</v>
      </c>
      <c r="B399" t="s">
        <v>403</v>
      </c>
      <c r="C399">
        <v>183</v>
      </c>
      <c r="D399">
        <v>201</v>
      </c>
      <c r="E399">
        <v>0</v>
      </c>
      <c r="F399">
        <v>1.098360655737705</v>
      </c>
    </row>
    <row r="400" spans="1:6" x14ac:dyDescent="0.2">
      <c r="A400">
        <v>118351</v>
      </c>
      <c r="B400" t="s">
        <v>404</v>
      </c>
      <c r="C400">
        <v>325</v>
      </c>
      <c r="D400">
        <v>12</v>
      </c>
      <c r="E400">
        <v>0</v>
      </c>
      <c r="F400">
        <v>3.6923076923076933E-2</v>
      </c>
    </row>
    <row r="401" spans="1:6" x14ac:dyDescent="0.2">
      <c r="A401">
        <v>119065</v>
      </c>
      <c r="B401" t="s">
        <v>405</v>
      </c>
      <c r="C401">
        <v>130</v>
      </c>
      <c r="D401">
        <v>16</v>
      </c>
      <c r="E401">
        <v>0</v>
      </c>
      <c r="F401">
        <v>0.1230769230769231</v>
      </c>
    </row>
    <row r="402" spans="1:6" x14ac:dyDescent="0.2">
      <c r="A402">
        <v>119697</v>
      </c>
      <c r="B402" t="s">
        <v>406</v>
      </c>
      <c r="C402">
        <v>3</v>
      </c>
      <c r="D402">
        <v>19</v>
      </c>
      <c r="E402">
        <v>31</v>
      </c>
      <c r="F402">
        <v>6.333333333333333</v>
      </c>
    </row>
    <row r="403" spans="1:6" x14ac:dyDescent="0.2">
      <c r="A403">
        <v>119904</v>
      </c>
      <c r="B403" t="s">
        <v>407</v>
      </c>
      <c r="C403">
        <v>95</v>
      </c>
      <c r="D403">
        <v>300</v>
      </c>
      <c r="E403">
        <v>50</v>
      </c>
      <c r="F403">
        <v>3.1578947368421049</v>
      </c>
    </row>
    <row r="404" spans="1:6" x14ac:dyDescent="0.2">
      <c r="A404">
        <v>119937</v>
      </c>
      <c r="B404" t="s">
        <v>408</v>
      </c>
      <c r="C404">
        <v>377</v>
      </c>
      <c r="D404">
        <v>915</v>
      </c>
      <c r="E404">
        <v>7</v>
      </c>
      <c r="F404">
        <v>2.4270557029177722</v>
      </c>
    </row>
    <row r="405" spans="1:6" x14ac:dyDescent="0.2">
      <c r="A405">
        <v>120234</v>
      </c>
      <c r="B405" t="s">
        <v>409</v>
      </c>
      <c r="C405">
        <v>0</v>
      </c>
      <c r="D405">
        <v>43</v>
      </c>
      <c r="E405">
        <v>54</v>
      </c>
      <c r="F405">
        <v>0</v>
      </c>
    </row>
    <row r="406" spans="1:6" x14ac:dyDescent="0.2">
      <c r="A406">
        <v>120614</v>
      </c>
      <c r="B406" t="s">
        <v>410</v>
      </c>
      <c r="C406">
        <v>2</v>
      </c>
      <c r="D406">
        <v>25</v>
      </c>
      <c r="E406">
        <v>28</v>
      </c>
      <c r="F406">
        <v>12.5</v>
      </c>
    </row>
    <row r="407" spans="1:6" x14ac:dyDescent="0.2">
      <c r="A407">
        <v>120625</v>
      </c>
      <c r="B407" t="s">
        <v>411</v>
      </c>
      <c r="C407">
        <v>0</v>
      </c>
      <c r="D407">
        <v>20</v>
      </c>
      <c r="E407">
        <v>75</v>
      </c>
      <c r="F407">
        <v>0</v>
      </c>
    </row>
    <row r="408" spans="1:6" x14ac:dyDescent="0.2">
      <c r="A408">
        <v>121102</v>
      </c>
      <c r="B408" t="s">
        <v>412</v>
      </c>
      <c r="C408">
        <v>25</v>
      </c>
      <c r="D408">
        <v>244</v>
      </c>
      <c r="E408">
        <v>99</v>
      </c>
      <c r="F408">
        <v>9.76</v>
      </c>
    </row>
    <row r="409" spans="1:6" x14ac:dyDescent="0.2">
      <c r="A409">
        <v>122506</v>
      </c>
      <c r="B409" t="s">
        <v>413</v>
      </c>
      <c r="C409">
        <v>25</v>
      </c>
      <c r="D409">
        <v>1</v>
      </c>
      <c r="E409">
        <v>1</v>
      </c>
      <c r="F409">
        <v>0.04</v>
      </c>
    </row>
    <row r="410" spans="1:6" x14ac:dyDescent="0.2">
      <c r="A410">
        <v>122790</v>
      </c>
      <c r="B410" t="s">
        <v>414</v>
      </c>
      <c r="C410">
        <v>242</v>
      </c>
      <c r="D410">
        <v>113</v>
      </c>
      <c r="E410">
        <v>13</v>
      </c>
      <c r="F410">
        <v>0.46694214876033058</v>
      </c>
    </row>
    <row r="411" spans="1:6" x14ac:dyDescent="0.2">
      <c r="A411">
        <v>124184</v>
      </c>
      <c r="B411" t="s">
        <v>415</v>
      </c>
      <c r="C411">
        <v>0</v>
      </c>
      <c r="D411">
        <v>9</v>
      </c>
      <c r="E411">
        <v>28</v>
      </c>
      <c r="F411">
        <v>0</v>
      </c>
    </row>
    <row r="412" spans="1:6" x14ac:dyDescent="0.2">
      <c r="A412">
        <v>124496</v>
      </c>
      <c r="B412" t="s">
        <v>416</v>
      </c>
      <c r="C412">
        <v>992</v>
      </c>
      <c r="D412">
        <v>2171</v>
      </c>
      <c r="E412">
        <v>406</v>
      </c>
      <c r="F412">
        <v>2.188508064516129</v>
      </c>
    </row>
    <row r="413" spans="1:6" x14ac:dyDescent="0.2">
      <c r="A413">
        <v>124527</v>
      </c>
      <c r="B413" t="s">
        <v>417</v>
      </c>
      <c r="C413">
        <v>50</v>
      </c>
      <c r="D413">
        <v>5</v>
      </c>
      <c r="E413">
        <v>0</v>
      </c>
      <c r="F413">
        <v>0.1</v>
      </c>
    </row>
    <row r="414" spans="1:6" x14ac:dyDescent="0.2">
      <c r="A414">
        <v>124615</v>
      </c>
      <c r="B414" t="s">
        <v>418</v>
      </c>
      <c r="C414">
        <v>148</v>
      </c>
      <c r="D414">
        <v>965</v>
      </c>
      <c r="E414">
        <v>125</v>
      </c>
      <c r="F414">
        <v>6.5202702702702702</v>
      </c>
    </row>
    <row r="415" spans="1:6" x14ac:dyDescent="0.2">
      <c r="A415">
        <v>124720</v>
      </c>
      <c r="B415" t="s">
        <v>419</v>
      </c>
      <c r="C415">
        <v>84</v>
      </c>
      <c r="D415">
        <v>14</v>
      </c>
      <c r="E415">
        <v>3</v>
      </c>
      <c r="F415">
        <v>0.16666666666666671</v>
      </c>
    </row>
    <row r="416" spans="1:6" x14ac:dyDescent="0.2">
      <c r="A416">
        <v>124863</v>
      </c>
      <c r="B416" t="s">
        <v>420</v>
      </c>
      <c r="C416">
        <v>114</v>
      </c>
      <c r="D416">
        <v>77</v>
      </c>
      <c r="E416">
        <v>94</v>
      </c>
      <c r="F416">
        <v>0.67543859649122806</v>
      </c>
    </row>
    <row r="417" spans="1:6" x14ac:dyDescent="0.2">
      <c r="A417">
        <v>125348</v>
      </c>
      <c r="B417" t="s">
        <v>421</v>
      </c>
      <c r="C417">
        <v>14</v>
      </c>
      <c r="D417">
        <v>13</v>
      </c>
      <c r="E417">
        <v>0</v>
      </c>
      <c r="F417">
        <v>0.9285714285714286</v>
      </c>
    </row>
    <row r="418" spans="1:6" x14ac:dyDescent="0.2">
      <c r="A418">
        <v>125630</v>
      </c>
      <c r="B418" t="s">
        <v>422</v>
      </c>
      <c r="C418">
        <v>80</v>
      </c>
      <c r="D418">
        <v>46</v>
      </c>
      <c r="E418">
        <v>56</v>
      </c>
      <c r="F418">
        <v>0.57499999999999996</v>
      </c>
    </row>
    <row r="419" spans="1:6" x14ac:dyDescent="0.2">
      <c r="A419">
        <v>125938</v>
      </c>
      <c r="B419" t="s">
        <v>423</v>
      </c>
      <c r="C419">
        <v>0</v>
      </c>
      <c r="D419">
        <v>6</v>
      </c>
      <c r="E419">
        <v>0</v>
      </c>
      <c r="F419">
        <v>0</v>
      </c>
    </row>
    <row r="420" spans="1:6" x14ac:dyDescent="0.2">
      <c r="A420">
        <v>126094</v>
      </c>
      <c r="B420" t="s">
        <v>424</v>
      </c>
      <c r="C420">
        <v>36</v>
      </c>
      <c r="D420">
        <v>60</v>
      </c>
      <c r="E420">
        <v>2</v>
      </c>
      <c r="F420">
        <v>1.666666666666667</v>
      </c>
    </row>
    <row r="421" spans="1:6" x14ac:dyDescent="0.2">
      <c r="A421">
        <v>126256</v>
      </c>
      <c r="B421" t="s">
        <v>425</v>
      </c>
      <c r="C421">
        <v>211</v>
      </c>
      <c r="D421">
        <v>539</v>
      </c>
      <c r="E421">
        <v>45</v>
      </c>
      <c r="F421">
        <v>2.554502369668247</v>
      </c>
    </row>
    <row r="422" spans="1:6" x14ac:dyDescent="0.2">
      <c r="A422">
        <v>126706</v>
      </c>
      <c r="B422" t="s">
        <v>426</v>
      </c>
      <c r="C422">
        <v>41</v>
      </c>
      <c r="D422">
        <v>24</v>
      </c>
      <c r="E422">
        <v>0</v>
      </c>
      <c r="F422">
        <v>0.58536585365853655</v>
      </c>
    </row>
    <row r="423" spans="1:6" x14ac:dyDescent="0.2">
      <c r="A423">
        <v>126746</v>
      </c>
      <c r="B423" t="s">
        <v>427</v>
      </c>
      <c r="C423">
        <v>0</v>
      </c>
      <c r="D423">
        <v>523</v>
      </c>
      <c r="E423">
        <v>104</v>
      </c>
      <c r="F423">
        <v>0</v>
      </c>
    </row>
    <row r="424" spans="1:6" x14ac:dyDescent="0.2">
      <c r="A424">
        <v>127119</v>
      </c>
      <c r="B424" t="s">
        <v>428</v>
      </c>
      <c r="C424">
        <v>14</v>
      </c>
      <c r="D424">
        <v>95</v>
      </c>
      <c r="E424">
        <v>54</v>
      </c>
      <c r="F424">
        <v>6.7857142857142856</v>
      </c>
    </row>
    <row r="425" spans="1:6" x14ac:dyDescent="0.2">
      <c r="A425">
        <v>127250</v>
      </c>
      <c r="B425" t="s">
        <v>429</v>
      </c>
      <c r="C425">
        <v>625</v>
      </c>
      <c r="D425">
        <v>79</v>
      </c>
      <c r="E425">
        <v>133</v>
      </c>
      <c r="F425">
        <v>0.12640000000000001</v>
      </c>
    </row>
    <row r="426" spans="1:6" x14ac:dyDescent="0.2">
      <c r="A426">
        <v>127414</v>
      </c>
      <c r="B426" t="s">
        <v>430</v>
      </c>
      <c r="C426">
        <v>59</v>
      </c>
      <c r="D426">
        <v>60</v>
      </c>
      <c r="E426">
        <v>15</v>
      </c>
      <c r="F426">
        <v>1.0169491525423731</v>
      </c>
    </row>
    <row r="427" spans="1:6" x14ac:dyDescent="0.2">
      <c r="A427">
        <v>127501</v>
      </c>
      <c r="B427" t="s">
        <v>431</v>
      </c>
      <c r="C427">
        <v>33</v>
      </c>
      <c r="D427">
        <v>79</v>
      </c>
      <c r="E427">
        <v>1</v>
      </c>
      <c r="F427">
        <v>2.393939393939394</v>
      </c>
    </row>
    <row r="428" spans="1:6" x14ac:dyDescent="0.2">
      <c r="A428">
        <v>127820</v>
      </c>
      <c r="B428" t="s">
        <v>432</v>
      </c>
      <c r="C428">
        <v>40</v>
      </c>
      <c r="D428">
        <v>14</v>
      </c>
      <c r="E428">
        <v>1</v>
      </c>
      <c r="F428">
        <v>0.35</v>
      </c>
    </row>
    <row r="429" spans="1:6" x14ac:dyDescent="0.2">
      <c r="A429">
        <v>128219</v>
      </c>
      <c r="B429" t="s">
        <v>433</v>
      </c>
      <c r="C429">
        <v>138</v>
      </c>
      <c r="D429">
        <v>27</v>
      </c>
      <c r="E429">
        <v>0</v>
      </c>
      <c r="F429">
        <v>0.19565217391304349</v>
      </c>
    </row>
    <row r="430" spans="1:6" x14ac:dyDescent="0.2">
      <c r="A430">
        <v>128220</v>
      </c>
      <c r="B430" t="s">
        <v>434</v>
      </c>
      <c r="C430">
        <v>14</v>
      </c>
      <c r="D430">
        <v>13</v>
      </c>
      <c r="E430">
        <v>3</v>
      </c>
      <c r="F430">
        <v>0.9285714285714286</v>
      </c>
    </row>
    <row r="431" spans="1:6" x14ac:dyDescent="0.2">
      <c r="A431">
        <v>128236</v>
      </c>
      <c r="B431" t="s">
        <v>435</v>
      </c>
      <c r="C431">
        <v>148</v>
      </c>
      <c r="D431">
        <v>6</v>
      </c>
      <c r="E431">
        <v>1</v>
      </c>
      <c r="F431">
        <v>4.0540540540540543E-2</v>
      </c>
    </row>
    <row r="432" spans="1:6" x14ac:dyDescent="0.2">
      <c r="A432">
        <v>128688</v>
      </c>
      <c r="B432" t="s">
        <v>436</v>
      </c>
      <c r="C432">
        <v>89</v>
      </c>
      <c r="D432">
        <v>25</v>
      </c>
      <c r="E432">
        <v>1</v>
      </c>
      <c r="F432">
        <v>0.2808988764044944</v>
      </c>
    </row>
    <row r="433" spans="1:6" x14ac:dyDescent="0.2">
      <c r="A433">
        <v>128775</v>
      </c>
      <c r="B433" t="s">
        <v>437</v>
      </c>
      <c r="C433">
        <v>12</v>
      </c>
      <c r="D433">
        <v>1424</v>
      </c>
      <c r="E433">
        <v>204</v>
      </c>
      <c r="F433">
        <v>118.6666666666667</v>
      </c>
    </row>
    <row r="434" spans="1:6" x14ac:dyDescent="0.2">
      <c r="A434">
        <v>129179</v>
      </c>
      <c r="B434" t="s">
        <v>438</v>
      </c>
      <c r="C434">
        <v>12</v>
      </c>
      <c r="D434">
        <v>420</v>
      </c>
      <c r="E434">
        <v>4</v>
      </c>
      <c r="F434">
        <v>35</v>
      </c>
    </row>
    <row r="435" spans="1:6" x14ac:dyDescent="0.2">
      <c r="A435">
        <v>129200</v>
      </c>
      <c r="B435" t="s">
        <v>439</v>
      </c>
      <c r="C435">
        <v>216</v>
      </c>
      <c r="D435">
        <v>238</v>
      </c>
      <c r="E435">
        <v>70</v>
      </c>
      <c r="F435">
        <v>1.1018518518518521</v>
      </c>
    </row>
    <row r="436" spans="1:6" x14ac:dyDescent="0.2">
      <c r="A436">
        <v>129244</v>
      </c>
      <c r="B436" t="s">
        <v>440</v>
      </c>
      <c r="C436">
        <v>215</v>
      </c>
      <c r="D436">
        <v>77</v>
      </c>
      <c r="E436">
        <v>181</v>
      </c>
      <c r="F436">
        <v>0.35813953488372091</v>
      </c>
    </row>
    <row r="437" spans="1:6" x14ac:dyDescent="0.2">
      <c r="A437">
        <v>129364</v>
      </c>
      <c r="B437" t="s">
        <v>441</v>
      </c>
      <c r="C437">
        <v>209</v>
      </c>
      <c r="D437">
        <v>86</v>
      </c>
      <c r="E437">
        <v>66</v>
      </c>
      <c r="F437">
        <v>0.41148325358851667</v>
      </c>
    </row>
    <row r="438" spans="1:6" x14ac:dyDescent="0.2">
      <c r="A438">
        <v>129439</v>
      </c>
      <c r="B438" t="s">
        <v>442</v>
      </c>
      <c r="C438">
        <v>185</v>
      </c>
      <c r="D438">
        <v>7</v>
      </c>
      <c r="E438">
        <v>33</v>
      </c>
      <c r="F438">
        <v>3.783783783783784E-2</v>
      </c>
    </row>
    <row r="439" spans="1:6" x14ac:dyDescent="0.2">
      <c r="A439">
        <v>130973</v>
      </c>
      <c r="B439" t="s">
        <v>443</v>
      </c>
      <c r="C439">
        <v>256</v>
      </c>
      <c r="D439">
        <v>99</v>
      </c>
      <c r="E439">
        <v>5</v>
      </c>
      <c r="F439">
        <v>0.38671875</v>
      </c>
    </row>
    <row r="440" spans="1:6" x14ac:dyDescent="0.2">
      <c r="A440">
        <v>130975</v>
      </c>
      <c r="B440" t="s">
        <v>444</v>
      </c>
      <c r="C440">
        <v>412</v>
      </c>
      <c r="D440">
        <v>299</v>
      </c>
      <c r="E440">
        <v>9</v>
      </c>
      <c r="F440">
        <v>0.72572815533980584</v>
      </c>
    </row>
    <row r="441" spans="1:6" x14ac:dyDescent="0.2">
      <c r="A441">
        <v>131884</v>
      </c>
      <c r="B441" t="s">
        <v>445</v>
      </c>
      <c r="C441">
        <v>82</v>
      </c>
      <c r="D441">
        <v>99</v>
      </c>
      <c r="E441">
        <v>18</v>
      </c>
      <c r="F441">
        <v>1.2073170731707319</v>
      </c>
    </row>
    <row r="442" spans="1:6" x14ac:dyDescent="0.2">
      <c r="A442">
        <v>132066</v>
      </c>
      <c r="B442" t="s">
        <v>446</v>
      </c>
      <c r="C442">
        <v>133</v>
      </c>
      <c r="D442">
        <v>204</v>
      </c>
      <c r="E442">
        <v>3</v>
      </c>
      <c r="F442">
        <v>1.5338345864661651</v>
      </c>
    </row>
    <row r="443" spans="1:6" x14ac:dyDescent="0.2">
      <c r="A443">
        <v>132097</v>
      </c>
      <c r="B443" t="s">
        <v>447</v>
      </c>
      <c r="C443">
        <v>377</v>
      </c>
      <c r="D443">
        <v>37</v>
      </c>
      <c r="E443">
        <v>0</v>
      </c>
      <c r="F443">
        <v>9.8143236074270557E-2</v>
      </c>
    </row>
    <row r="444" spans="1:6" x14ac:dyDescent="0.2">
      <c r="A444">
        <v>132171</v>
      </c>
      <c r="B444" t="s">
        <v>448</v>
      </c>
      <c r="C444">
        <v>0</v>
      </c>
      <c r="D444">
        <v>6</v>
      </c>
      <c r="E444">
        <v>4</v>
      </c>
      <c r="F444">
        <v>0</v>
      </c>
    </row>
    <row r="445" spans="1:6" x14ac:dyDescent="0.2">
      <c r="A445">
        <v>132229</v>
      </c>
      <c r="B445" t="s">
        <v>449</v>
      </c>
      <c r="C445">
        <v>746</v>
      </c>
      <c r="D445">
        <v>30</v>
      </c>
      <c r="E445">
        <v>0</v>
      </c>
      <c r="F445">
        <v>4.0214477211796253E-2</v>
      </c>
    </row>
    <row r="446" spans="1:6" x14ac:dyDescent="0.2">
      <c r="A446">
        <v>132851</v>
      </c>
      <c r="B446" t="s">
        <v>450</v>
      </c>
      <c r="C446">
        <v>1976</v>
      </c>
      <c r="D446">
        <v>377</v>
      </c>
      <c r="E446">
        <v>10</v>
      </c>
      <c r="F446">
        <v>0.19078947368421051</v>
      </c>
    </row>
    <row r="447" spans="1:6" x14ac:dyDescent="0.2">
      <c r="A447">
        <v>132962</v>
      </c>
      <c r="B447" t="s">
        <v>451</v>
      </c>
      <c r="C447">
        <v>123</v>
      </c>
      <c r="D447">
        <v>241</v>
      </c>
      <c r="E447">
        <v>165</v>
      </c>
      <c r="F447">
        <v>1.9593495934959351</v>
      </c>
    </row>
    <row r="448" spans="1:6" x14ac:dyDescent="0.2">
      <c r="A448">
        <v>132998</v>
      </c>
      <c r="B448" t="s">
        <v>452</v>
      </c>
      <c r="C448">
        <v>82</v>
      </c>
      <c r="D448">
        <v>66</v>
      </c>
      <c r="E448">
        <v>97</v>
      </c>
      <c r="F448">
        <v>0.80487804878048785</v>
      </c>
    </row>
    <row r="449" spans="1:6" x14ac:dyDescent="0.2">
      <c r="A449">
        <v>133567</v>
      </c>
      <c r="B449" t="s">
        <v>453</v>
      </c>
      <c r="C449">
        <v>463</v>
      </c>
      <c r="D449">
        <v>75</v>
      </c>
      <c r="E449">
        <v>253</v>
      </c>
      <c r="F449">
        <v>0.1619870410367171</v>
      </c>
    </row>
    <row r="450" spans="1:6" x14ac:dyDescent="0.2">
      <c r="A450">
        <v>133907</v>
      </c>
      <c r="B450" t="s">
        <v>454</v>
      </c>
      <c r="C450">
        <v>33</v>
      </c>
      <c r="D450">
        <v>7</v>
      </c>
      <c r="E450">
        <v>0</v>
      </c>
      <c r="F450">
        <v>0.2121212121212121</v>
      </c>
    </row>
    <row r="451" spans="1:6" x14ac:dyDescent="0.2">
      <c r="A451">
        <v>134938</v>
      </c>
      <c r="B451" t="s">
        <v>455</v>
      </c>
      <c r="C451">
        <v>204</v>
      </c>
      <c r="D451">
        <v>26</v>
      </c>
      <c r="E451">
        <v>42</v>
      </c>
      <c r="F451">
        <v>0.12745098039215691</v>
      </c>
    </row>
    <row r="452" spans="1:6" x14ac:dyDescent="0.2">
      <c r="A452">
        <v>135100</v>
      </c>
      <c r="B452" t="s">
        <v>456</v>
      </c>
      <c r="C452">
        <v>4</v>
      </c>
      <c r="D452">
        <v>11</v>
      </c>
      <c r="E452">
        <v>7</v>
      </c>
      <c r="F452">
        <v>2.75</v>
      </c>
    </row>
    <row r="453" spans="1:6" x14ac:dyDescent="0.2">
      <c r="A453">
        <v>135122</v>
      </c>
      <c r="B453" t="s">
        <v>457</v>
      </c>
      <c r="C453">
        <v>862</v>
      </c>
      <c r="D453">
        <v>278</v>
      </c>
      <c r="E453">
        <v>675</v>
      </c>
      <c r="F453">
        <v>0.3225058004640371</v>
      </c>
    </row>
    <row r="454" spans="1:6" x14ac:dyDescent="0.2">
      <c r="A454">
        <v>135343</v>
      </c>
      <c r="B454" t="s">
        <v>458</v>
      </c>
      <c r="C454">
        <v>0</v>
      </c>
      <c r="D454">
        <v>15</v>
      </c>
      <c r="E454">
        <v>97</v>
      </c>
      <c r="F454">
        <v>0</v>
      </c>
    </row>
    <row r="455" spans="1:6" x14ac:dyDescent="0.2">
      <c r="A455">
        <v>135368</v>
      </c>
      <c r="B455" t="s">
        <v>459</v>
      </c>
      <c r="C455">
        <v>139</v>
      </c>
      <c r="D455">
        <v>95</v>
      </c>
      <c r="E455">
        <v>20</v>
      </c>
      <c r="F455">
        <v>0.68345323741007191</v>
      </c>
    </row>
    <row r="456" spans="1:6" x14ac:dyDescent="0.2">
      <c r="A456">
        <v>135594</v>
      </c>
      <c r="B456" t="s">
        <v>460</v>
      </c>
      <c r="C456">
        <v>20</v>
      </c>
      <c r="D456">
        <v>9</v>
      </c>
      <c r="E456">
        <v>0</v>
      </c>
      <c r="F456">
        <v>0.45</v>
      </c>
    </row>
    <row r="457" spans="1:6" x14ac:dyDescent="0.2">
      <c r="A457">
        <v>137813</v>
      </c>
      <c r="B457" t="s">
        <v>461</v>
      </c>
      <c r="C457">
        <v>274</v>
      </c>
      <c r="D457">
        <v>62</v>
      </c>
      <c r="E457">
        <v>30</v>
      </c>
      <c r="F457">
        <v>0.2262773722627737</v>
      </c>
    </row>
    <row r="458" spans="1:6" x14ac:dyDescent="0.2">
      <c r="A458">
        <v>138516</v>
      </c>
      <c r="B458" t="s">
        <v>462</v>
      </c>
      <c r="C458">
        <v>140</v>
      </c>
      <c r="D458">
        <v>114</v>
      </c>
      <c r="E458">
        <v>30</v>
      </c>
      <c r="F458">
        <v>0.81428571428571428</v>
      </c>
    </row>
    <row r="459" spans="1:6" x14ac:dyDescent="0.2">
      <c r="A459">
        <v>138774</v>
      </c>
      <c r="B459" t="s">
        <v>463</v>
      </c>
      <c r="C459">
        <v>0</v>
      </c>
      <c r="D459">
        <v>5</v>
      </c>
      <c r="E459">
        <v>0</v>
      </c>
      <c r="F459">
        <v>0</v>
      </c>
    </row>
    <row r="460" spans="1:6" x14ac:dyDescent="0.2">
      <c r="A460">
        <v>139260</v>
      </c>
      <c r="B460" t="s">
        <v>464</v>
      </c>
      <c r="C460">
        <v>8</v>
      </c>
      <c r="D460">
        <v>7</v>
      </c>
      <c r="E460">
        <v>2</v>
      </c>
      <c r="F460">
        <v>0.875</v>
      </c>
    </row>
    <row r="461" spans="1:6" x14ac:dyDescent="0.2">
      <c r="A461">
        <v>140070</v>
      </c>
      <c r="B461" t="s">
        <v>465</v>
      </c>
      <c r="C461">
        <v>2</v>
      </c>
      <c r="D461">
        <v>161</v>
      </c>
      <c r="E461">
        <v>0</v>
      </c>
      <c r="F461">
        <v>80.5</v>
      </c>
    </row>
    <row r="462" spans="1:6" x14ac:dyDescent="0.2">
      <c r="A462">
        <v>140284</v>
      </c>
      <c r="B462" t="s">
        <v>466</v>
      </c>
      <c r="C462">
        <v>85</v>
      </c>
      <c r="D462">
        <v>1</v>
      </c>
      <c r="E462">
        <v>4</v>
      </c>
      <c r="F462">
        <v>1.1764705882352939E-2</v>
      </c>
    </row>
    <row r="463" spans="1:6" x14ac:dyDescent="0.2">
      <c r="A463">
        <v>140442</v>
      </c>
      <c r="B463" t="s">
        <v>467</v>
      </c>
      <c r="C463">
        <v>4</v>
      </c>
      <c r="D463">
        <v>245</v>
      </c>
      <c r="E463">
        <v>101</v>
      </c>
      <c r="F463">
        <v>61.25</v>
      </c>
    </row>
    <row r="464" spans="1:6" x14ac:dyDescent="0.2">
      <c r="A464">
        <v>141123</v>
      </c>
      <c r="B464" t="s">
        <v>468</v>
      </c>
      <c r="C464">
        <v>100</v>
      </c>
      <c r="D464">
        <v>102</v>
      </c>
      <c r="E464">
        <v>22</v>
      </c>
      <c r="F464">
        <v>1.02</v>
      </c>
    </row>
    <row r="465" spans="1:6" x14ac:dyDescent="0.2">
      <c r="A465">
        <v>141269</v>
      </c>
      <c r="B465" t="s">
        <v>469</v>
      </c>
      <c r="C465">
        <v>314</v>
      </c>
      <c r="D465">
        <v>997</v>
      </c>
      <c r="E465">
        <v>2</v>
      </c>
      <c r="F465">
        <v>3.1751592356687901</v>
      </c>
    </row>
    <row r="466" spans="1:6" x14ac:dyDescent="0.2">
      <c r="A466">
        <v>141315</v>
      </c>
      <c r="B466" t="s">
        <v>470</v>
      </c>
      <c r="C466">
        <v>225</v>
      </c>
      <c r="D466">
        <v>17</v>
      </c>
      <c r="E466">
        <v>17</v>
      </c>
      <c r="F466">
        <v>7.5555555555555556E-2</v>
      </c>
    </row>
    <row r="467" spans="1:6" x14ac:dyDescent="0.2">
      <c r="A467">
        <v>141355</v>
      </c>
      <c r="B467" t="s">
        <v>471</v>
      </c>
      <c r="C467">
        <v>0</v>
      </c>
      <c r="D467">
        <v>15</v>
      </c>
      <c r="E467">
        <v>5</v>
      </c>
      <c r="F467">
        <v>0</v>
      </c>
    </row>
    <row r="468" spans="1:6" x14ac:dyDescent="0.2">
      <c r="A468">
        <v>141887</v>
      </c>
      <c r="B468" t="s">
        <v>472</v>
      </c>
      <c r="C468">
        <v>276</v>
      </c>
      <c r="D468">
        <v>32</v>
      </c>
      <c r="E468">
        <v>174</v>
      </c>
      <c r="F468">
        <v>0.11594202898550721</v>
      </c>
    </row>
    <row r="469" spans="1:6" x14ac:dyDescent="0.2">
      <c r="A469">
        <v>142059</v>
      </c>
      <c r="B469" t="s">
        <v>473</v>
      </c>
      <c r="C469">
        <v>10</v>
      </c>
      <c r="D469">
        <v>1</v>
      </c>
      <c r="E469">
        <v>0</v>
      </c>
      <c r="F469">
        <v>0.1</v>
      </c>
    </row>
    <row r="470" spans="1:6" x14ac:dyDescent="0.2">
      <c r="A470">
        <v>143651</v>
      </c>
      <c r="B470" t="s">
        <v>474</v>
      </c>
      <c r="C470">
        <v>40</v>
      </c>
      <c r="D470">
        <v>33</v>
      </c>
      <c r="E470">
        <v>15</v>
      </c>
      <c r="F470">
        <v>0.82499999999999996</v>
      </c>
    </row>
    <row r="471" spans="1:6" x14ac:dyDescent="0.2">
      <c r="A471">
        <v>143890</v>
      </c>
      <c r="B471" t="s">
        <v>475</v>
      </c>
      <c r="C471">
        <v>670</v>
      </c>
      <c r="D471">
        <v>3</v>
      </c>
      <c r="E471">
        <v>2</v>
      </c>
      <c r="F471">
        <v>4.4776119402985077E-3</v>
      </c>
    </row>
    <row r="472" spans="1:6" x14ac:dyDescent="0.2">
      <c r="A472">
        <v>143994</v>
      </c>
      <c r="B472" t="s">
        <v>476</v>
      </c>
      <c r="C472">
        <v>31</v>
      </c>
      <c r="D472">
        <v>13</v>
      </c>
      <c r="E472">
        <v>19</v>
      </c>
      <c r="F472">
        <v>0.41935483870967738</v>
      </c>
    </row>
    <row r="473" spans="1:6" x14ac:dyDescent="0.2">
      <c r="A473">
        <v>144068</v>
      </c>
      <c r="B473" t="s">
        <v>477</v>
      </c>
      <c r="C473">
        <v>20</v>
      </c>
      <c r="D473">
        <v>19</v>
      </c>
      <c r="E473">
        <v>6</v>
      </c>
      <c r="F473">
        <v>0.95</v>
      </c>
    </row>
    <row r="474" spans="1:6" x14ac:dyDescent="0.2">
      <c r="A474">
        <v>144320</v>
      </c>
      <c r="B474" t="s">
        <v>478</v>
      </c>
      <c r="C474">
        <v>148</v>
      </c>
      <c r="D474">
        <v>412</v>
      </c>
      <c r="E474">
        <v>36</v>
      </c>
      <c r="F474">
        <v>2.7837837837837842</v>
      </c>
    </row>
    <row r="475" spans="1:6" x14ac:dyDescent="0.2">
      <c r="A475">
        <v>145058</v>
      </c>
      <c r="B475" t="s">
        <v>479</v>
      </c>
      <c r="C475">
        <v>621</v>
      </c>
      <c r="D475">
        <v>292</v>
      </c>
      <c r="E475">
        <v>426</v>
      </c>
      <c r="F475">
        <v>0.47020933977455709</v>
      </c>
    </row>
    <row r="476" spans="1:6" x14ac:dyDescent="0.2">
      <c r="A476">
        <v>145124</v>
      </c>
      <c r="B476" t="s">
        <v>480</v>
      </c>
      <c r="C476">
        <v>108</v>
      </c>
      <c r="D476">
        <v>18</v>
      </c>
      <c r="E476">
        <v>0</v>
      </c>
      <c r="F476">
        <v>0.16666666666666671</v>
      </c>
    </row>
    <row r="477" spans="1:6" x14ac:dyDescent="0.2">
      <c r="A477">
        <v>145395</v>
      </c>
      <c r="B477" t="s">
        <v>481</v>
      </c>
      <c r="C477">
        <v>2</v>
      </c>
      <c r="D477">
        <v>7</v>
      </c>
      <c r="E477">
        <v>0</v>
      </c>
      <c r="F477">
        <v>3.5</v>
      </c>
    </row>
    <row r="478" spans="1:6" x14ac:dyDescent="0.2">
      <c r="A478">
        <v>145461</v>
      </c>
      <c r="B478" t="s">
        <v>482</v>
      </c>
      <c r="C478">
        <v>54</v>
      </c>
      <c r="D478">
        <v>222</v>
      </c>
      <c r="E478">
        <v>0</v>
      </c>
      <c r="F478">
        <v>4.1111111111111107</v>
      </c>
    </row>
    <row r="479" spans="1:6" x14ac:dyDescent="0.2">
      <c r="A479">
        <v>145570</v>
      </c>
      <c r="B479" t="s">
        <v>483</v>
      </c>
      <c r="C479">
        <v>189</v>
      </c>
      <c r="D479">
        <v>88</v>
      </c>
      <c r="E479">
        <v>0</v>
      </c>
      <c r="F479">
        <v>0.46560846560846558</v>
      </c>
    </row>
    <row r="480" spans="1:6" x14ac:dyDescent="0.2">
      <c r="A480">
        <v>146835</v>
      </c>
      <c r="B480" t="s">
        <v>484</v>
      </c>
      <c r="C480">
        <v>198</v>
      </c>
      <c r="D480">
        <v>210</v>
      </c>
      <c r="E480">
        <v>5</v>
      </c>
      <c r="F480">
        <v>1.060606060606061</v>
      </c>
    </row>
    <row r="481" spans="1:6" x14ac:dyDescent="0.2">
      <c r="A481">
        <v>147636</v>
      </c>
      <c r="B481" t="s">
        <v>485</v>
      </c>
      <c r="C481">
        <v>91</v>
      </c>
      <c r="D481">
        <v>404</v>
      </c>
      <c r="E481">
        <v>233</v>
      </c>
      <c r="F481">
        <v>4.4395604395604398</v>
      </c>
    </row>
    <row r="482" spans="1:6" x14ac:dyDescent="0.2">
      <c r="A482">
        <v>147909</v>
      </c>
      <c r="B482" t="s">
        <v>486</v>
      </c>
      <c r="C482">
        <v>5</v>
      </c>
      <c r="D482">
        <v>10</v>
      </c>
      <c r="E482">
        <v>0</v>
      </c>
      <c r="F482">
        <v>2</v>
      </c>
    </row>
    <row r="483" spans="1:6" x14ac:dyDescent="0.2">
      <c r="A483">
        <v>147917</v>
      </c>
      <c r="B483" t="s">
        <v>487</v>
      </c>
      <c r="C483">
        <v>260</v>
      </c>
      <c r="D483">
        <v>237</v>
      </c>
      <c r="E483">
        <v>304</v>
      </c>
      <c r="F483">
        <v>0.91153846153846152</v>
      </c>
    </row>
    <row r="484" spans="1:6" x14ac:dyDescent="0.2">
      <c r="A484">
        <v>148039</v>
      </c>
      <c r="B484" t="s">
        <v>488</v>
      </c>
      <c r="C484">
        <v>7</v>
      </c>
      <c r="D484">
        <v>14</v>
      </c>
      <c r="E484">
        <v>0</v>
      </c>
      <c r="F484">
        <v>2</v>
      </c>
    </row>
    <row r="485" spans="1:6" x14ac:dyDescent="0.2">
      <c r="A485">
        <v>148303</v>
      </c>
      <c r="B485" t="s">
        <v>489</v>
      </c>
      <c r="C485">
        <v>15</v>
      </c>
      <c r="D485">
        <v>7</v>
      </c>
      <c r="E485">
        <v>9</v>
      </c>
      <c r="F485">
        <v>0.46666666666666667</v>
      </c>
    </row>
    <row r="486" spans="1:6" x14ac:dyDescent="0.2">
      <c r="A486">
        <v>148367</v>
      </c>
      <c r="B486" t="s">
        <v>490</v>
      </c>
      <c r="C486">
        <v>46</v>
      </c>
      <c r="D486">
        <v>21</v>
      </c>
      <c r="E486">
        <v>0</v>
      </c>
      <c r="F486">
        <v>0.45652173913043481</v>
      </c>
    </row>
    <row r="487" spans="1:6" x14ac:dyDescent="0.2">
      <c r="A487">
        <v>148395</v>
      </c>
      <c r="B487" t="s">
        <v>491</v>
      </c>
      <c r="C487">
        <v>10</v>
      </c>
      <c r="D487">
        <v>12</v>
      </c>
      <c r="E487">
        <v>0</v>
      </c>
      <c r="F487">
        <v>1.2</v>
      </c>
    </row>
    <row r="488" spans="1:6" x14ac:dyDescent="0.2">
      <c r="A488">
        <v>148711</v>
      </c>
      <c r="B488" t="s">
        <v>492</v>
      </c>
      <c r="C488">
        <v>107</v>
      </c>
      <c r="D488">
        <v>6</v>
      </c>
      <c r="E488">
        <v>3</v>
      </c>
      <c r="F488">
        <v>5.6074766355140193E-2</v>
      </c>
    </row>
    <row r="489" spans="1:6" x14ac:dyDescent="0.2">
      <c r="A489">
        <v>149335</v>
      </c>
      <c r="B489" t="s">
        <v>493</v>
      </c>
      <c r="C489">
        <v>47</v>
      </c>
      <c r="D489">
        <v>302</v>
      </c>
      <c r="E489">
        <v>20</v>
      </c>
      <c r="F489">
        <v>6.4255319148936172</v>
      </c>
    </row>
    <row r="490" spans="1:6" x14ac:dyDescent="0.2">
      <c r="A490">
        <v>150470</v>
      </c>
      <c r="B490" t="s">
        <v>494</v>
      </c>
      <c r="C490">
        <v>5</v>
      </c>
      <c r="D490">
        <v>1</v>
      </c>
      <c r="E490">
        <v>0</v>
      </c>
      <c r="F490">
        <v>0.2</v>
      </c>
    </row>
    <row r="491" spans="1:6" x14ac:dyDescent="0.2">
      <c r="A491">
        <v>150938</v>
      </c>
      <c r="B491" t="s">
        <v>495</v>
      </c>
      <c r="C491">
        <v>185</v>
      </c>
      <c r="D491">
        <v>283</v>
      </c>
      <c r="E491">
        <v>116</v>
      </c>
      <c r="F491">
        <v>1.5297297297297301</v>
      </c>
    </row>
    <row r="492" spans="1:6" x14ac:dyDescent="0.2">
      <c r="A492">
        <v>151032</v>
      </c>
      <c r="B492" t="s">
        <v>496</v>
      </c>
      <c r="C492">
        <v>446</v>
      </c>
      <c r="D492">
        <v>72</v>
      </c>
      <c r="E492">
        <v>53</v>
      </c>
      <c r="F492">
        <v>0.1614349775784753</v>
      </c>
    </row>
    <row r="493" spans="1:6" x14ac:dyDescent="0.2">
      <c r="A493">
        <v>151263</v>
      </c>
      <c r="B493" t="s">
        <v>497</v>
      </c>
      <c r="C493">
        <v>434</v>
      </c>
      <c r="D493">
        <v>55</v>
      </c>
      <c r="E493">
        <v>193</v>
      </c>
      <c r="F493">
        <v>0.12672811059907829</v>
      </c>
    </row>
    <row r="494" spans="1:6" x14ac:dyDescent="0.2">
      <c r="A494">
        <v>151282</v>
      </c>
      <c r="B494" t="s">
        <v>498</v>
      </c>
      <c r="C494">
        <v>21</v>
      </c>
      <c r="D494">
        <v>113</v>
      </c>
      <c r="E494">
        <v>114</v>
      </c>
      <c r="F494">
        <v>5.3809523809523814</v>
      </c>
    </row>
    <row r="495" spans="1:6" x14ac:dyDescent="0.2">
      <c r="A495">
        <v>152049</v>
      </c>
      <c r="B495" t="s">
        <v>499</v>
      </c>
      <c r="C495">
        <v>77</v>
      </c>
      <c r="D495">
        <v>59</v>
      </c>
      <c r="E495">
        <v>36</v>
      </c>
      <c r="F495">
        <v>0.76623376623376627</v>
      </c>
    </row>
    <row r="496" spans="1:6" x14ac:dyDescent="0.2">
      <c r="A496">
        <v>152792</v>
      </c>
      <c r="B496" t="s">
        <v>500</v>
      </c>
      <c r="C496">
        <v>0</v>
      </c>
      <c r="D496">
        <v>144</v>
      </c>
      <c r="E496">
        <v>0</v>
      </c>
      <c r="F496">
        <v>0</v>
      </c>
    </row>
    <row r="497" spans="1:6" x14ac:dyDescent="0.2">
      <c r="A497">
        <v>153711</v>
      </c>
      <c r="B497" t="s">
        <v>501</v>
      </c>
      <c r="C497">
        <v>15</v>
      </c>
      <c r="D497">
        <v>16</v>
      </c>
      <c r="E497">
        <v>2</v>
      </c>
      <c r="F497">
        <v>1.0666666666666671</v>
      </c>
    </row>
    <row r="498" spans="1:6" x14ac:dyDescent="0.2">
      <c r="A498">
        <v>153812</v>
      </c>
      <c r="B498" t="s">
        <v>502</v>
      </c>
      <c r="C498">
        <v>0</v>
      </c>
      <c r="D498">
        <v>4</v>
      </c>
      <c r="E498">
        <v>0</v>
      </c>
      <c r="F498">
        <v>0</v>
      </c>
    </row>
    <row r="499" spans="1:6" x14ac:dyDescent="0.2">
      <c r="A499">
        <v>153918</v>
      </c>
      <c r="B499" t="s">
        <v>503</v>
      </c>
      <c r="C499">
        <v>236</v>
      </c>
      <c r="D499">
        <v>35</v>
      </c>
      <c r="E499">
        <v>113</v>
      </c>
      <c r="F499">
        <v>0.14830508474576271</v>
      </c>
    </row>
    <row r="500" spans="1:6" x14ac:dyDescent="0.2">
      <c r="A500">
        <v>154313</v>
      </c>
      <c r="B500" t="s">
        <v>504</v>
      </c>
      <c r="C500">
        <v>24</v>
      </c>
      <c r="D500">
        <v>45</v>
      </c>
      <c r="E500">
        <v>24</v>
      </c>
      <c r="F500">
        <v>1.875</v>
      </c>
    </row>
    <row r="501" spans="1:6" x14ac:dyDescent="0.2">
      <c r="A501">
        <v>154340</v>
      </c>
      <c r="B501" t="s">
        <v>505</v>
      </c>
      <c r="C501">
        <v>0</v>
      </c>
      <c r="D501">
        <v>884</v>
      </c>
      <c r="E501">
        <v>399</v>
      </c>
      <c r="F501">
        <v>0</v>
      </c>
    </row>
    <row r="502" spans="1:6" x14ac:dyDescent="0.2">
      <c r="A502">
        <v>154594</v>
      </c>
      <c r="B502" t="s">
        <v>506</v>
      </c>
      <c r="C502">
        <v>0</v>
      </c>
      <c r="D502">
        <v>9</v>
      </c>
      <c r="E502">
        <v>0</v>
      </c>
      <c r="F502">
        <v>0</v>
      </c>
    </row>
    <row r="503" spans="1:6" x14ac:dyDescent="0.2">
      <c r="A503">
        <v>154999</v>
      </c>
      <c r="B503" t="s">
        <v>507</v>
      </c>
      <c r="C503">
        <v>35</v>
      </c>
      <c r="D503">
        <v>8</v>
      </c>
      <c r="E503">
        <v>0</v>
      </c>
      <c r="F503">
        <v>0.22857142857142859</v>
      </c>
    </row>
    <row r="504" spans="1:6" x14ac:dyDescent="0.2">
      <c r="A504">
        <v>155263</v>
      </c>
      <c r="B504" t="s">
        <v>508</v>
      </c>
      <c r="C504">
        <v>154</v>
      </c>
      <c r="D504">
        <v>179</v>
      </c>
      <c r="E504">
        <v>306</v>
      </c>
      <c r="F504">
        <v>1.162337662337662</v>
      </c>
    </row>
    <row r="505" spans="1:6" x14ac:dyDescent="0.2">
      <c r="A505">
        <v>155646</v>
      </c>
      <c r="B505" t="s">
        <v>509</v>
      </c>
      <c r="C505">
        <v>29</v>
      </c>
      <c r="D505">
        <v>209</v>
      </c>
      <c r="E505">
        <v>21</v>
      </c>
      <c r="F505">
        <v>7.2068965517241379</v>
      </c>
    </row>
    <row r="506" spans="1:6" x14ac:dyDescent="0.2">
      <c r="A506">
        <v>156030</v>
      </c>
      <c r="B506" t="s">
        <v>510</v>
      </c>
      <c r="C506">
        <v>38</v>
      </c>
      <c r="D506">
        <v>55</v>
      </c>
      <c r="E506">
        <v>43</v>
      </c>
      <c r="F506">
        <v>1.4473684210526321</v>
      </c>
    </row>
    <row r="507" spans="1:6" x14ac:dyDescent="0.2">
      <c r="A507">
        <v>156114</v>
      </c>
      <c r="B507" t="s">
        <v>511</v>
      </c>
      <c r="C507">
        <v>47</v>
      </c>
      <c r="D507">
        <v>28</v>
      </c>
      <c r="E507">
        <v>5</v>
      </c>
      <c r="F507">
        <v>0.5957446808510638</v>
      </c>
    </row>
    <row r="508" spans="1:6" x14ac:dyDescent="0.2">
      <c r="A508">
        <v>156561</v>
      </c>
      <c r="B508" t="s">
        <v>512</v>
      </c>
      <c r="C508">
        <v>49</v>
      </c>
      <c r="D508">
        <v>44</v>
      </c>
      <c r="E508">
        <v>4</v>
      </c>
      <c r="F508">
        <v>0.89795918367346939</v>
      </c>
    </row>
    <row r="509" spans="1:6" x14ac:dyDescent="0.2">
      <c r="A509">
        <v>156634</v>
      </c>
      <c r="B509" t="s">
        <v>513</v>
      </c>
      <c r="C509">
        <v>8</v>
      </c>
      <c r="D509">
        <v>61</v>
      </c>
      <c r="E509">
        <v>7</v>
      </c>
      <c r="F509">
        <v>7.625</v>
      </c>
    </row>
    <row r="510" spans="1:6" x14ac:dyDescent="0.2">
      <c r="A510">
        <v>156776</v>
      </c>
      <c r="B510" t="s">
        <v>514</v>
      </c>
      <c r="C510">
        <v>192</v>
      </c>
      <c r="D510">
        <v>115</v>
      </c>
      <c r="E510">
        <v>1</v>
      </c>
      <c r="F510">
        <v>0.59895833333333337</v>
      </c>
    </row>
    <row r="511" spans="1:6" x14ac:dyDescent="0.2">
      <c r="A511">
        <v>156843</v>
      </c>
      <c r="B511" t="s">
        <v>515</v>
      </c>
      <c r="C511">
        <v>43</v>
      </c>
      <c r="D511">
        <v>57</v>
      </c>
      <c r="E511">
        <v>31</v>
      </c>
      <c r="F511">
        <v>1.3255813953488369</v>
      </c>
    </row>
    <row r="512" spans="1:6" x14ac:dyDescent="0.2">
      <c r="A512">
        <v>157071</v>
      </c>
      <c r="B512" t="s">
        <v>516</v>
      </c>
      <c r="C512">
        <v>151</v>
      </c>
      <c r="D512">
        <v>631</v>
      </c>
      <c r="E512">
        <v>17</v>
      </c>
      <c r="F512">
        <v>4.1788079470198678</v>
      </c>
    </row>
    <row r="513" spans="1:6" x14ac:dyDescent="0.2">
      <c r="A513">
        <v>157301</v>
      </c>
      <c r="B513" t="s">
        <v>517</v>
      </c>
      <c r="C513">
        <v>13</v>
      </c>
      <c r="D513">
        <v>94</v>
      </c>
      <c r="E513">
        <v>0</v>
      </c>
      <c r="F513">
        <v>7.2307692307692308</v>
      </c>
    </row>
    <row r="514" spans="1:6" x14ac:dyDescent="0.2">
      <c r="A514">
        <v>157469</v>
      </c>
      <c r="B514" t="s">
        <v>518</v>
      </c>
      <c r="C514">
        <v>172</v>
      </c>
      <c r="D514">
        <v>7</v>
      </c>
      <c r="E514">
        <v>8</v>
      </c>
      <c r="F514">
        <v>4.0697674418604647E-2</v>
      </c>
    </row>
    <row r="515" spans="1:6" x14ac:dyDescent="0.2">
      <c r="A515">
        <v>157471</v>
      </c>
      <c r="B515" t="s">
        <v>519</v>
      </c>
      <c r="C515">
        <v>27</v>
      </c>
      <c r="D515">
        <v>33</v>
      </c>
      <c r="E515">
        <v>0</v>
      </c>
      <c r="F515">
        <v>1.2222222222222221</v>
      </c>
    </row>
    <row r="516" spans="1:6" x14ac:dyDescent="0.2">
      <c r="A516">
        <v>157728</v>
      </c>
      <c r="B516" t="s">
        <v>520</v>
      </c>
      <c r="C516">
        <v>0</v>
      </c>
      <c r="D516">
        <v>12</v>
      </c>
      <c r="E516">
        <v>7</v>
      </c>
      <c r="F516">
        <v>0</v>
      </c>
    </row>
    <row r="517" spans="1:6" x14ac:dyDescent="0.2">
      <c r="A517">
        <v>157734</v>
      </c>
      <c r="B517" t="s">
        <v>521</v>
      </c>
      <c r="C517">
        <v>68</v>
      </c>
      <c r="D517">
        <v>85</v>
      </c>
      <c r="E517">
        <v>0</v>
      </c>
      <c r="F517">
        <v>1.25</v>
      </c>
    </row>
    <row r="518" spans="1:6" x14ac:dyDescent="0.2">
      <c r="A518">
        <v>157831</v>
      </c>
      <c r="B518" t="s">
        <v>522</v>
      </c>
      <c r="C518">
        <v>5</v>
      </c>
      <c r="D518">
        <v>251</v>
      </c>
      <c r="E518">
        <v>11</v>
      </c>
      <c r="F518">
        <v>50.2</v>
      </c>
    </row>
    <row r="519" spans="1:6" x14ac:dyDescent="0.2">
      <c r="A519">
        <v>158186</v>
      </c>
      <c r="B519" t="s">
        <v>523</v>
      </c>
      <c r="C519">
        <v>130</v>
      </c>
      <c r="D519">
        <v>132</v>
      </c>
      <c r="E519">
        <v>0</v>
      </c>
      <c r="F519">
        <v>1.0153846153846151</v>
      </c>
    </row>
    <row r="520" spans="1:6" x14ac:dyDescent="0.2">
      <c r="A520">
        <v>158258</v>
      </c>
      <c r="B520" t="s">
        <v>524</v>
      </c>
      <c r="C520">
        <v>250</v>
      </c>
      <c r="D520">
        <v>41</v>
      </c>
      <c r="E520">
        <v>28</v>
      </c>
      <c r="F520">
        <v>0.16400000000000001</v>
      </c>
    </row>
    <row r="521" spans="1:6" x14ac:dyDescent="0.2">
      <c r="A521">
        <v>158327</v>
      </c>
      <c r="B521" t="s">
        <v>525</v>
      </c>
      <c r="C521">
        <v>323</v>
      </c>
      <c r="D521">
        <v>1</v>
      </c>
      <c r="E521">
        <v>0</v>
      </c>
      <c r="F521">
        <v>3.095975232198143E-3</v>
      </c>
    </row>
    <row r="522" spans="1:6" x14ac:dyDescent="0.2">
      <c r="A522">
        <v>158405</v>
      </c>
      <c r="B522" t="s">
        <v>526</v>
      </c>
      <c r="C522">
        <v>0</v>
      </c>
      <c r="D522">
        <v>8</v>
      </c>
      <c r="E522">
        <v>6</v>
      </c>
      <c r="F522">
        <v>0</v>
      </c>
    </row>
    <row r="523" spans="1:6" x14ac:dyDescent="0.2">
      <c r="A523">
        <v>160259</v>
      </c>
      <c r="B523" t="s">
        <v>527</v>
      </c>
      <c r="C523">
        <v>84</v>
      </c>
      <c r="D523">
        <v>66</v>
      </c>
      <c r="E523">
        <v>23</v>
      </c>
      <c r="F523">
        <v>0.7857142857142857</v>
      </c>
    </row>
    <row r="524" spans="1:6" x14ac:dyDescent="0.2">
      <c r="A524">
        <v>162888</v>
      </c>
      <c r="B524" t="s">
        <v>528</v>
      </c>
      <c r="C524">
        <v>5</v>
      </c>
      <c r="D524">
        <v>17</v>
      </c>
      <c r="E524">
        <v>0</v>
      </c>
      <c r="F524">
        <v>3.4</v>
      </c>
    </row>
    <row r="525" spans="1:6" x14ac:dyDescent="0.2">
      <c r="A525">
        <v>162954</v>
      </c>
      <c r="B525" t="s">
        <v>529</v>
      </c>
      <c r="C525">
        <v>39</v>
      </c>
      <c r="D525">
        <v>25</v>
      </c>
      <c r="E525">
        <v>6</v>
      </c>
      <c r="F525">
        <v>0.64102564102564108</v>
      </c>
    </row>
    <row r="526" spans="1:6" x14ac:dyDescent="0.2">
      <c r="A526">
        <v>163211</v>
      </c>
      <c r="B526" t="s">
        <v>530</v>
      </c>
      <c r="C526">
        <v>200</v>
      </c>
      <c r="D526">
        <v>29</v>
      </c>
      <c r="E526">
        <v>19</v>
      </c>
      <c r="F526">
        <v>0.14499999999999999</v>
      </c>
    </row>
    <row r="527" spans="1:6" x14ac:dyDescent="0.2">
      <c r="A527">
        <v>164112</v>
      </c>
      <c r="B527" t="s">
        <v>531</v>
      </c>
      <c r="C527">
        <v>27</v>
      </c>
      <c r="D527">
        <v>52</v>
      </c>
      <c r="E527">
        <v>0</v>
      </c>
      <c r="F527">
        <v>1.925925925925926</v>
      </c>
    </row>
    <row r="528" spans="1:6" x14ac:dyDescent="0.2">
      <c r="A528">
        <v>164165</v>
      </c>
      <c r="B528" t="s">
        <v>532</v>
      </c>
      <c r="C528">
        <v>38</v>
      </c>
      <c r="D528">
        <v>10</v>
      </c>
      <c r="E528">
        <v>8</v>
      </c>
      <c r="F528">
        <v>0.26315789473684209</v>
      </c>
    </row>
    <row r="529" spans="1:6" x14ac:dyDescent="0.2">
      <c r="A529">
        <v>164535</v>
      </c>
      <c r="B529" t="s">
        <v>533</v>
      </c>
      <c r="C529">
        <v>0</v>
      </c>
      <c r="D529">
        <v>7</v>
      </c>
      <c r="E529">
        <v>0</v>
      </c>
      <c r="F529">
        <v>0</v>
      </c>
    </row>
    <row r="530" spans="1:6" x14ac:dyDescent="0.2">
      <c r="A530">
        <v>164536</v>
      </c>
      <c r="B530" t="s">
        <v>534</v>
      </c>
      <c r="C530">
        <v>196</v>
      </c>
      <c r="D530">
        <v>25</v>
      </c>
      <c r="E530">
        <v>43</v>
      </c>
      <c r="F530">
        <v>0.1275510204081633</v>
      </c>
    </row>
    <row r="531" spans="1:6" x14ac:dyDescent="0.2">
      <c r="A531">
        <v>164915</v>
      </c>
      <c r="B531" t="s">
        <v>535</v>
      </c>
      <c r="C531">
        <v>172</v>
      </c>
      <c r="D531">
        <v>9</v>
      </c>
      <c r="E531">
        <v>0</v>
      </c>
      <c r="F531">
        <v>5.232558139534884E-2</v>
      </c>
    </row>
    <row r="532" spans="1:6" x14ac:dyDescent="0.2">
      <c r="A532">
        <v>164977</v>
      </c>
      <c r="B532" t="s">
        <v>536</v>
      </c>
      <c r="C532">
        <v>0</v>
      </c>
      <c r="D532">
        <v>11</v>
      </c>
      <c r="E532">
        <v>13</v>
      </c>
      <c r="F532">
        <v>0</v>
      </c>
    </row>
    <row r="533" spans="1:6" x14ac:dyDescent="0.2">
      <c r="A533">
        <v>165109</v>
      </c>
      <c r="B533" t="s">
        <v>537</v>
      </c>
      <c r="C533">
        <v>95</v>
      </c>
      <c r="D533">
        <v>165</v>
      </c>
      <c r="E533">
        <v>0</v>
      </c>
      <c r="F533">
        <v>1.736842105263158</v>
      </c>
    </row>
    <row r="534" spans="1:6" x14ac:dyDescent="0.2">
      <c r="A534">
        <v>165629</v>
      </c>
      <c r="B534" t="s">
        <v>538</v>
      </c>
      <c r="C534">
        <v>535</v>
      </c>
      <c r="D534">
        <v>1232</v>
      </c>
      <c r="E534">
        <v>60</v>
      </c>
      <c r="F534">
        <v>2.3028037383177571</v>
      </c>
    </row>
    <row r="535" spans="1:6" x14ac:dyDescent="0.2">
      <c r="A535">
        <v>166224</v>
      </c>
      <c r="B535" t="s">
        <v>539</v>
      </c>
      <c r="C535">
        <v>22</v>
      </c>
      <c r="D535">
        <v>19</v>
      </c>
      <c r="E535">
        <v>36</v>
      </c>
      <c r="F535">
        <v>0.86363636363636365</v>
      </c>
    </row>
    <row r="536" spans="1:6" x14ac:dyDescent="0.2">
      <c r="A536">
        <v>167139</v>
      </c>
      <c r="B536" t="s">
        <v>540</v>
      </c>
      <c r="C536">
        <v>160</v>
      </c>
      <c r="D536">
        <v>28</v>
      </c>
      <c r="E536">
        <v>0</v>
      </c>
      <c r="F536">
        <v>0.17499999999999999</v>
      </c>
    </row>
    <row r="537" spans="1:6" x14ac:dyDescent="0.2">
      <c r="A537">
        <v>167300</v>
      </c>
      <c r="B537" t="s">
        <v>541</v>
      </c>
      <c r="C537">
        <v>12</v>
      </c>
      <c r="D537">
        <v>31</v>
      </c>
      <c r="E537">
        <v>0</v>
      </c>
      <c r="F537">
        <v>2.583333333333333</v>
      </c>
    </row>
    <row r="538" spans="1:6" x14ac:dyDescent="0.2">
      <c r="A538">
        <v>167965</v>
      </c>
      <c r="B538" t="s">
        <v>542</v>
      </c>
      <c r="C538">
        <v>128</v>
      </c>
      <c r="D538">
        <v>121</v>
      </c>
      <c r="E538">
        <v>31</v>
      </c>
      <c r="F538">
        <v>0.9453125</v>
      </c>
    </row>
    <row r="539" spans="1:6" x14ac:dyDescent="0.2">
      <c r="A539">
        <v>169787</v>
      </c>
      <c r="B539" t="s">
        <v>543</v>
      </c>
      <c r="C539">
        <v>515</v>
      </c>
      <c r="D539">
        <v>570</v>
      </c>
      <c r="E539">
        <v>53</v>
      </c>
      <c r="F539">
        <v>1.1067961165048541</v>
      </c>
    </row>
    <row r="540" spans="1:6" x14ac:dyDescent="0.2">
      <c r="A540">
        <v>170384</v>
      </c>
      <c r="B540" t="s">
        <v>544</v>
      </c>
      <c r="C540">
        <v>0</v>
      </c>
      <c r="D540">
        <v>4</v>
      </c>
      <c r="E540">
        <v>8</v>
      </c>
      <c r="F540">
        <v>0</v>
      </c>
    </row>
    <row r="541" spans="1:6" x14ac:dyDescent="0.2">
      <c r="A541">
        <v>172684</v>
      </c>
      <c r="B541" t="s">
        <v>545</v>
      </c>
      <c r="C541">
        <v>20</v>
      </c>
      <c r="D541">
        <v>10</v>
      </c>
      <c r="E541">
        <v>0</v>
      </c>
      <c r="F541">
        <v>0.5</v>
      </c>
    </row>
    <row r="542" spans="1:6" x14ac:dyDescent="0.2">
      <c r="A542">
        <v>172686</v>
      </c>
      <c r="B542" t="s">
        <v>546</v>
      </c>
      <c r="C542">
        <v>1</v>
      </c>
      <c r="D542">
        <v>87</v>
      </c>
      <c r="E542">
        <v>109</v>
      </c>
      <c r="F542">
        <v>87</v>
      </c>
    </row>
    <row r="543" spans="1:6" x14ac:dyDescent="0.2">
      <c r="A543">
        <v>173528</v>
      </c>
      <c r="B543" t="s">
        <v>547</v>
      </c>
      <c r="C543">
        <v>75</v>
      </c>
      <c r="D543">
        <v>29</v>
      </c>
      <c r="E543">
        <v>35</v>
      </c>
      <c r="F543">
        <v>0.38666666666666671</v>
      </c>
    </row>
    <row r="544" spans="1:6" x14ac:dyDescent="0.2">
      <c r="A544">
        <v>174235</v>
      </c>
      <c r="B544" t="s">
        <v>548</v>
      </c>
      <c r="C544">
        <v>44</v>
      </c>
      <c r="D544">
        <v>23</v>
      </c>
      <c r="E544">
        <v>19</v>
      </c>
      <c r="F544">
        <v>0.52272727272727271</v>
      </c>
    </row>
    <row r="545" spans="1:6" x14ac:dyDescent="0.2">
      <c r="A545">
        <v>175721</v>
      </c>
      <c r="B545" t="s">
        <v>549</v>
      </c>
      <c r="C545">
        <v>2200</v>
      </c>
      <c r="D545">
        <v>865</v>
      </c>
      <c r="E545">
        <v>106</v>
      </c>
      <c r="F545">
        <v>0.39318181818181819</v>
      </c>
    </row>
    <row r="546" spans="1:6" x14ac:dyDescent="0.2">
      <c r="A546">
        <v>178090</v>
      </c>
      <c r="B546" t="s">
        <v>550</v>
      </c>
      <c r="C546">
        <v>23</v>
      </c>
      <c r="D546">
        <v>154</v>
      </c>
      <c r="E546">
        <v>0</v>
      </c>
      <c r="F546">
        <v>6.6956521739130439</v>
      </c>
    </row>
    <row r="547" spans="1:6" x14ac:dyDescent="0.2">
      <c r="A547">
        <v>179779</v>
      </c>
      <c r="B547" t="s">
        <v>551</v>
      </c>
      <c r="C547">
        <v>2</v>
      </c>
      <c r="D547">
        <v>1</v>
      </c>
      <c r="E547">
        <v>0</v>
      </c>
      <c r="F547">
        <v>0.5</v>
      </c>
    </row>
    <row r="548" spans="1:6" x14ac:dyDescent="0.2">
      <c r="A548">
        <v>179811</v>
      </c>
      <c r="B548" t="s">
        <v>552</v>
      </c>
      <c r="C548">
        <v>48</v>
      </c>
      <c r="D548">
        <v>413</v>
      </c>
      <c r="E548">
        <v>18</v>
      </c>
      <c r="F548">
        <v>8.6041666666666661</v>
      </c>
    </row>
    <row r="549" spans="1:6" x14ac:dyDescent="0.2">
      <c r="A549">
        <v>184616</v>
      </c>
      <c r="B549" t="s">
        <v>553</v>
      </c>
      <c r="C549">
        <v>15</v>
      </c>
      <c r="D549">
        <v>0</v>
      </c>
      <c r="E549">
        <v>1</v>
      </c>
      <c r="F549">
        <v>0</v>
      </c>
    </row>
    <row r="550" spans="1:6" x14ac:dyDescent="0.2">
      <c r="A550">
        <v>185176</v>
      </c>
      <c r="B550" t="s">
        <v>554</v>
      </c>
      <c r="C550">
        <v>49</v>
      </c>
      <c r="D550">
        <v>22</v>
      </c>
      <c r="E550">
        <v>17</v>
      </c>
      <c r="F550">
        <v>0.44897959183673469</v>
      </c>
    </row>
    <row r="551" spans="1:6" x14ac:dyDescent="0.2">
      <c r="A551">
        <v>185357</v>
      </c>
      <c r="B551" t="s">
        <v>555</v>
      </c>
      <c r="C551">
        <v>100</v>
      </c>
      <c r="D551">
        <v>265</v>
      </c>
      <c r="E551">
        <v>22</v>
      </c>
      <c r="F551">
        <v>2.65</v>
      </c>
    </row>
    <row r="552" spans="1:6" x14ac:dyDescent="0.2">
      <c r="A552">
        <v>185617</v>
      </c>
      <c r="B552" t="s">
        <v>556</v>
      </c>
      <c r="C552">
        <v>4</v>
      </c>
      <c r="D552">
        <v>7</v>
      </c>
      <c r="E552">
        <v>8</v>
      </c>
      <c r="F552">
        <v>1.75</v>
      </c>
    </row>
    <row r="553" spans="1:6" x14ac:dyDescent="0.2">
      <c r="A553">
        <v>186872</v>
      </c>
      <c r="B553" t="s">
        <v>557</v>
      </c>
      <c r="C553">
        <v>98</v>
      </c>
      <c r="D553">
        <v>679</v>
      </c>
      <c r="E553">
        <v>374</v>
      </c>
      <c r="F553">
        <v>6.9285714285714288</v>
      </c>
    </row>
    <row r="554" spans="1:6" x14ac:dyDescent="0.2">
      <c r="A554">
        <v>187670</v>
      </c>
      <c r="B554" t="s">
        <v>558</v>
      </c>
      <c r="C554">
        <v>75</v>
      </c>
      <c r="D554">
        <v>649</v>
      </c>
      <c r="E554">
        <v>184</v>
      </c>
      <c r="F554">
        <v>8.6533333333333342</v>
      </c>
    </row>
    <row r="555" spans="1:6" x14ac:dyDescent="0.2">
      <c r="A555">
        <v>187999</v>
      </c>
      <c r="B555" t="s">
        <v>559</v>
      </c>
      <c r="C555">
        <v>0</v>
      </c>
      <c r="D555">
        <v>618</v>
      </c>
      <c r="E555">
        <v>100</v>
      </c>
      <c r="F555">
        <v>0</v>
      </c>
    </row>
    <row r="556" spans="1:6" x14ac:dyDescent="0.2">
      <c r="A556">
        <v>189075</v>
      </c>
      <c r="B556" t="s">
        <v>560</v>
      </c>
      <c r="C556">
        <v>183</v>
      </c>
      <c r="D556">
        <v>6</v>
      </c>
      <c r="E556">
        <v>3</v>
      </c>
      <c r="F556">
        <v>3.2786885245901641E-2</v>
      </c>
    </row>
    <row r="557" spans="1:6" x14ac:dyDescent="0.2">
      <c r="A557">
        <v>189114</v>
      </c>
      <c r="B557" t="s">
        <v>561</v>
      </c>
      <c r="C557">
        <v>164</v>
      </c>
      <c r="D557">
        <v>31</v>
      </c>
      <c r="E557">
        <v>46</v>
      </c>
      <c r="F557">
        <v>0.18902439024390241</v>
      </c>
    </row>
    <row r="558" spans="1:6" x14ac:dyDescent="0.2">
      <c r="A558">
        <v>189441</v>
      </c>
      <c r="B558" t="s">
        <v>562</v>
      </c>
      <c r="C558">
        <v>50</v>
      </c>
      <c r="D558">
        <v>15</v>
      </c>
      <c r="E558">
        <v>0</v>
      </c>
      <c r="F558">
        <v>0.3</v>
      </c>
    </row>
    <row r="559" spans="1:6" x14ac:dyDescent="0.2">
      <c r="A559">
        <v>189472</v>
      </c>
      <c r="B559" t="s">
        <v>563</v>
      </c>
      <c r="C559">
        <v>15</v>
      </c>
      <c r="D559">
        <v>39</v>
      </c>
      <c r="E559">
        <v>2</v>
      </c>
      <c r="F559">
        <v>2.6</v>
      </c>
    </row>
    <row r="560" spans="1:6" x14ac:dyDescent="0.2">
      <c r="A560">
        <v>190492</v>
      </c>
      <c r="B560" t="s">
        <v>564</v>
      </c>
      <c r="C560">
        <v>14</v>
      </c>
      <c r="D560">
        <v>18</v>
      </c>
      <c r="E560">
        <v>0</v>
      </c>
      <c r="F560">
        <v>1.285714285714286</v>
      </c>
    </row>
    <row r="561" spans="1:6" x14ac:dyDescent="0.2">
      <c r="A561">
        <v>190848</v>
      </c>
      <c r="B561" t="s">
        <v>565</v>
      </c>
      <c r="C561">
        <v>115</v>
      </c>
      <c r="D561">
        <v>109</v>
      </c>
      <c r="E561">
        <v>211</v>
      </c>
      <c r="F561">
        <v>0.94782608695652171</v>
      </c>
    </row>
    <row r="562" spans="1:6" x14ac:dyDescent="0.2">
      <c r="A562">
        <v>193186</v>
      </c>
      <c r="B562" t="s">
        <v>566</v>
      </c>
      <c r="C562">
        <v>0</v>
      </c>
      <c r="D562">
        <v>5</v>
      </c>
      <c r="E562">
        <v>0</v>
      </c>
      <c r="F562">
        <v>0</v>
      </c>
    </row>
    <row r="563" spans="1:6" x14ac:dyDescent="0.2">
      <c r="A563">
        <v>193368</v>
      </c>
      <c r="B563" t="s">
        <v>567</v>
      </c>
      <c r="C563">
        <v>30</v>
      </c>
      <c r="D563">
        <v>11</v>
      </c>
      <c r="E563">
        <v>1</v>
      </c>
      <c r="F563">
        <v>0.36666666666666659</v>
      </c>
    </row>
    <row r="564" spans="1:6" x14ac:dyDescent="0.2">
      <c r="A564">
        <v>193540</v>
      </c>
      <c r="B564" t="s">
        <v>568</v>
      </c>
      <c r="C564">
        <v>80</v>
      </c>
      <c r="D564">
        <v>92</v>
      </c>
      <c r="E564">
        <v>0</v>
      </c>
      <c r="F564">
        <v>1.1499999999999999</v>
      </c>
    </row>
    <row r="565" spans="1:6" x14ac:dyDescent="0.2">
      <c r="A565">
        <v>193887</v>
      </c>
      <c r="B565" t="s">
        <v>569</v>
      </c>
      <c r="C565">
        <v>0</v>
      </c>
      <c r="D565">
        <v>6</v>
      </c>
      <c r="E565">
        <v>0</v>
      </c>
      <c r="F565">
        <v>0</v>
      </c>
    </row>
    <row r="566" spans="1:6" x14ac:dyDescent="0.2">
      <c r="A566">
        <v>197700</v>
      </c>
      <c r="B566" t="s">
        <v>570</v>
      </c>
      <c r="C566">
        <v>170</v>
      </c>
      <c r="D566">
        <v>210</v>
      </c>
      <c r="E566">
        <v>71</v>
      </c>
      <c r="F566">
        <v>1.2352941176470591</v>
      </c>
    </row>
    <row r="567" spans="1:6" x14ac:dyDescent="0.2">
      <c r="A567">
        <v>198139</v>
      </c>
      <c r="B567" t="s">
        <v>571</v>
      </c>
      <c r="C567">
        <v>25</v>
      </c>
      <c r="D567">
        <v>6</v>
      </c>
      <c r="E567">
        <v>0</v>
      </c>
      <c r="F567">
        <v>0.24</v>
      </c>
    </row>
    <row r="568" spans="1:6" x14ac:dyDescent="0.2">
      <c r="A568">
        <v>198553</v>
      </c>
      <c r="B568" t="s">
        <v>572</v>
      </c>
      <c r="C568">
        <v>0</v>
      </c>
      <c r="D568">
        <v>14</v>
      </c>
      <c r="E568">
        <v>20</v>
      </c>
      <c r="F568">
        <v>0</v>
      </c>
    </row>
    <row r="569" spans="1:6" x14ac:dyDescent="0.2">
      <c r="A569">
        <v>198611</v>
      </c>
      <c r="B569" t="s">
        <v>573</v>
      </c>
      <c r="C569">
        <v>105</v>
      </c>
      <c r="D569">
        <v>359</v>
      </c>
      <c r="E569">
        <v>0</v>
      </c>
      <c r="F569">
        <v>3.4190476190476189</v>
      </c>
    </row>
    <row r="570" spans="1:6" x14ac:dyDescent="0.2">
      <c r="A570">
        <v>201477</v>
      </c>
      <c r="B570" t="s">
        <v>574</v>
      </c>
      <c r="C570">
        <v>52</v>
      </c>
      <c r="D570">
        <v>1</v>
      </c>
      <c r="E570">
        <v>0</v>
      </c>
      <c r="F570">
        <v>1.9230769230769228E-2</v>
      </c>
    </row>
    <row r="571" spans="1:6" x14ac:dyDescent="0.2">
      <c r="A571">
        <v>202651</v>
      </c>
      <c r="B571" t="s">
        <v>575</v>
      </c>
      <c r="C571">
        <v>71</v>
      </c>
      <c r="D571">
        <v>13</v>
      </c>
      <c r="E571">
        <v>25</v>
      </c>
      <c r="F571">
        <v>0.18309859154929581</v>
      </c>
    </row>
    <row r="572" spans="1:6" x14ac:dyDescent="0.2">
      <c r="A572">
        <v>204157</v>
      </c>
      <c r="B572" t="s">
        <v>576</v>
      </c>
      <c r="C572">
        <v>11</v>
      </c>
      <c r="D572">
        <v>6</v>
      </c>
      <c r="E572">
        <v>0</v>
      </c>
      <c r="F572">
        <v>0.54545454545454541</v>
      </c>
    </row>
    <row r="573" spans="1:6" x14ac:dyDescent="0.2">
      <c r="A573">
        <v>204302</v>
      </c>
      <c r="B573" t="s">
        <v>577</v>
      </c>
      <c r="C573">
        <v>55</v>
      </c>
      <c r="D573">
        <v>14</v>
      </c>
      <c r="E573">
        <v>9</v>
      </c>
      <c r="F573">
        <v>0.25454545454545452</v>
      </c>
    </row>
    <row r="574" spans="1:6" x14ac:dyDescent="0.2">
      <c r="A574">
        <v>204311</v>
      </c>
      <c r="B574" t="s">
        <v>578</v>
      </c>
      <c r="C574">
        <v>26</v>
      </c>
      <c r="D574">
        <v>93</v>
      </c>
      <c r="E574">
        <v>0</v>
      </c>
      <c r="F574">
        <v>3.5769230769230771</v>
      </c>
    </row>
    <row r="575" spans="1:6" x14ac:dyDescent="0.2">
      <c r="A575">
        <v>205136</v>
      </c>
      <c r="B575" t="s">
        <v>579</v>
      </c>
      <c r="C575">
        <v>160</v>
      </c>
      <c r="D575">
        <v>2</v>
      </c>
      <c r="E575">
        <v>0</v>
      </c>
      <c r="F575">
        <v>1.2500000000000001E-2</v>
      </c>
    </row>
    <row r="576" spans="1:6" x14ac:dyDescent="0.2">
      <c r="A576">
        <v>205183</v>
      </c>
      <c r="B576" t="s">
        <v>580</v>
      </c>
      <c r="C576">
        <v>0</v>
      </c>
      <c r="D576">
        <v>2</v>
      </c>
      <c r="E576">
        <v>0</v>
      </c>
      <c r="F576">
        <v>0</v>
      </c>
    </row>
    <row r="577" spans="1:6" x14ac:dyDescent="0.2">
      <c r="A577">
        <v>205360</v>
      </c>
      <c r="B577" t="s">
        <v>581</v>
      </c>
      <c r="C577">
        <v>356</v>
      </c>
      <c r="D577">
        <v>311</v>
      </c>
      <c r="E577">
        <v>28</v>
      </c>
      <c r="F577">
        <v>0.8735955056179775</v>
      </c>
    </row>
    <row r="578" spans="1:6" x14ac:dyDescent="0.2">
      <c r="A578">
        <v>205859</v>
      </c>
      <c r="B578" t="s">
        <v>582</v>
      </c>
      <c r="C578">
        <v>0</v>
      </c>
      <c r="D578">
        <v>4</v>
      </c>
      <c r="E578">
        <v>0</v>
      </c>
      <c r="F578">
        <v>0</v>
      </c>
    </row>
    <row r="579" spans="1:6" x14ac:dyDescent="0.2">
      <c r="A579">
        <v>207035</v>
      </c>
      <c r="B579" t="s">
        <v>583</v>
      </c>
      <c r="C579">
        <v>2</v>
      </c>
      <c r="D579">
        <v>92</v>
      </c>
      <c r="E579">
        <v>4</v>
      </c>
      <c r="F579">
        <v>46</v>
      </c>
    </row>
    <row r="580" spans="1:6" x14ac:dyDescent="0.2">
      <c r="A580">
        <v>209923</v>
      </c>
      <c r="B580" t="s">
        <v>584</v>
      </c>
      <c r="C580">
        <v>52</v>
      </c>
      <c r="D580">
        <v>21</v>
      </c>
      <c r="E580">
        <v>0</v>
      </c>
      <c r="F580">
        <v>0.40384615384615391</v>
      </c>
    </row>
    <row r="581" spans="1:6" x14ac:dyDescent="0.2">
      <c r="A581">
        <v>210565</v>
      </c>
      <c r="B581" t="s">
        <v>585</v>
      </c>
      <c r="C581">
        <v>31</v>
      </c>
      <c r="D581">
        <v>7</v>
      </c>
      <c r="E581">
        <v>0</v>
      </c>
      <c r="F581">
        <v>0.22580645161290319</v>
      </c>
    </row>
    <row r="582" spans="1:6" x14ac:dyDescent="0.2">
      <c r="A582">
        <v>210651</v>
      </c>
      <c r="B582" t="s">
        <v>586</v>
      </c>
      <c r="C582">
        <v>150</v>
      </c>
      <c r="D582">
        <v>0</v>
      </c>
      <c r="E582">
        <v>4</v>
      </c>
      <c r="F582">
        <v>0</v>
      </c>
    </row>
    <row r="583" spans="1:6" x14ac:dyDescent="0.2">
      <c r="A583">
        <v>210852</v>
      </c>
      <c r="B583" t="s">
        <v>587</v>
      </c>
      <c r="C583">
        <v>21</v>
      </c>
      <c r="D583">
        <v>16</v>
      </c>
      <c r="E583">
        <v>0</v>
      </c>
      <c r="F583">
        <v>0.76190476190476186</v>
      </c>
    </row>
    <row r="584" spans="1:6" x14ac:dyDescent="0.2">
      <c r="A584">
        <v>212211</v>
      </c>
      <c r="B584" t="s">
        <v>588</v>
      </c>
      <c r="C584">
        <v>0</v>
      </c>
      <c r="D584">
        <v>4</v>
      </c>
      <c r="E584">
        <v>0</v>
      </c>
      <c r="F584">
        <v>0</v>
      </c>
    </row>
    <row r="585" spans="1:6" x14ac:dyDescent="0.2">
      <c r="A585">
        <v>212348</v>
      </c>
      <c r="B585" t="s">
        <v>589</v>
      </c>
      <c r="C585">
        <v>32</v>
      </c>
      <c r="D585">
        <v>17</v>
      </c>
      <c r="E585">
        <v>3</v>
      </c>
      <c r="F585">
        <v>0.53125</v>
      </c>
    </row>
    <row r="586" spans="1:6" x14ac:dyDescent="0.2">
      <c r="A586">
        <v>212546</v>
      </c>
      <c r="B586" t="s">
        <v>590</v>
      </c>
      <c r="C586">
        <v>12</v>
      </c>
      <c r="D586">
        <v>7</v>
      </c>
      <c r="E586">
        <v>0</v>
      </c>
      <c r="F586">
        <v>0.58333333333333337</v>
      </c>
    </row>
    <row r="587" spans="1:6" x14ac:dyDescent="0.2">
      <c r="A587">
        <v>214319</v>
      </c>
      <c r="B587" t="s">
        <v>591</v>
      </c>
      <c r="C587">
        <v>218</v>
      </c>
      <c r="D587">
        <v>14</v>
      </c>
      <c r="E587">
        <v>0</v>
      </c>
      <c r="F587">
        <v>6.4220183486238536E-2</v>
      </c>
    </row>
    <row r="588" spans="1:6" x14ac:dyDescent="0.2">
      <c r="A588">
        <v>216455</v>
      </c>
      <c r="B588" t="s">
        <v>592</v>
      </c>
      <c r="C588">
        <v>0</v>
      </c>
      <c r="D588">
        <v>2</v>
      </c>
      <c r="E588">
        <v>15</v>
      </c>
      <c r="F588">
        <v>0</v>
      </c>
    </row>
    <row r="589" spans="1:6" x14ac:dyDescent="0.2">
      <c r="A589">
        <v>216820</v>
      </c>
      <c r="B589" t="s">
        <v>593</v>
      </c>
      <c r="C589">
        <v>100</v>
      </c>
      <c r="D589">
        <v>47</v>
      </c>
      <c r="E589">
        <v>10</v>
      </c>
      <c r="F589">
        <v>0.47</v>
      </c>
    </row>
    <row r="590" spans="1:6" x14ac:dyDescent="0.2">
      <c r="A590">
        <v>217880</v>
      </c>
      <c r="B590" t="s">
        <v>594</v>
      </c>
      <c r="C590">
        <v>21</v>
      </c>
      <c r="D590">
        <v>7</v>
      </c>
      <c r="E590">
        <v>0</v>
      </c>
      <c r="F590">
        <v>0.33333333333333331</v>
      </c>
    </row>
    <row r="591" spans="1:6" x14ac:dyDescent="0.2">
      <c r="A591">
        <v>219125</v>
      </c>
      <c r="B591" t="s">
        <v>595</v>
      </c>
      <c r="C591">
        <v>9</v>
      </c>
      <c r="D591">
        <v>40</v>
      </c>
      <c r="E591">
        <v>13</v>
      </c>
      <c r="F591">
        <v>4.4444444444444446</v>
      </c>
    </row>
    <row r="592" spans="1:6" x14ac:dyDescent="0.2">
      <c r="A592">
        <v>219157</v>
      </c>
      <c r="B592" t="s">
        <v>596</v>
      </c>
      <c r="C592">
        <v>15</v>
      </c>
      <c r="D592">
        <v>0</v>
      </c>
      <c r="E592">
        <v>60</v>
      </c>
      <c r="F592">
        <v>0</v>
      </c>
    </row>
    <row r="593" spans="1:6" x14ac:dyDescent="0.2">
      <c r="A593">
        <v>222038</v>
      </c>
      <c r="B593" t="s">
        <v>597</v>
      </c>
      <c r="C593">
        <v>0</v>
      </c>
      <c r="D593">
        <v>3</v>
      </c>
      <c r="E593">
        <v>0</v>
      </c>
      <c r="F593">
        <v>0</v>
      </c>
    </row>
    <row r="594" spans="1:6" x14ac:dyDescent="0.2">
      <c r="A594">
        <v>223835</v>
      </c>
      <c r="B594" t="s">
        <v>598</v>
      </c>
      <c r="C594">
        <v>147</v>
      </c>
      <c r="D594">
        <v>34</v>
      </c>
      <c r="E594">
        <v>51</v>
      </c>
      <c r="F594">
        <v>0.2312925170068027</v>
      </c>
    </row>
    <row r="595" spans="1:6" x14ac:dyDescent="0.2">
      <c r="A595">
        <v>223867</v>
      </c>
      <c r="B595" t="s">
        <v>599</v>
      </c>
      <c r="C595">
        <v>286</v>
      </c>
      <c r="D595">
        <v>51</v>
      </c>
      <c r="E595">
        <v>15</v>
      </c>
      <c r="F595">
        <v>0.17832167832167831</v>
      </c>
    </row>
    <row r="596" spans="1:6" x14ac:dyDescent="0.2">
      <c r="A596">
        <v>225076</v>
      </c>
      <c r="B596" t="s">
        <v>600</v>
      </c>
      <c r="C596">
        <v>237</v>
      </c>
      <c r="D596">
        <v>190</v>
      </c>
      <c r="E596">
        <v>71</v>
      </c>
      <c r="F596">
        <v>0.80168776371308015</v>
      </c>
    </row>
    <row r="597" spans="1:6" x14ac:dyDescent="0.2">
      <c r="A597">
        <v>228700</v>
      </c>
      <c r="B597" t="s">
        <v>601</v>
      </c>
      <c r="C597">
        <v>608</v>
      </c>
      <c r="D597">
        <v>53</v>
      </c>
      <c r="E597">
        <v>80</v>
      </c>
      <c r="F597">
        <v>8.7171052631578941E-2</v>
      </c>
    </row>
    <row r="598" spans="1:6" x14ac:dyDescent="0.2">
      <c r="A598">
        <v>230607</v>
      </c>
      <c r="B598" t="s">
        <v>602</v>
      </c>
      <c r="C598">
        <v>0</v>
      </c>
      <c r="D598">
        <v>35</v>
      </c>
      <c r="E598">
        <v>38</v>
      </c>
      <c r="F598">
        <v>0</v>
      </c>
    </row>
    <row r="599" spans="1:6" x14ac:dyDescent="0.2">
      <c r="A599">
        <v>233436</v>
      </c>
      <c r="B599" t="s">
        <v>603</v>
      </c>
      <c r="C599">
        <v>3</v>
      </c>
      <c r="D599">
        <v>0</v>
      </c>
      <c r="E599">
        <v>5</v>
      </c>
      <c r="F599">
        <v>0</v>
      </c>
    </row>
    <row r="600" spans="1:6" x14ac:dyDescent="0.2">
      <c r="A600">
        <v>237422</v>
      </c>
      <c r="B600" t="s">
        <v>604</v>
      </c>
      <c r="C600">
        <v>0</v>
      </c>
      <c r="D600">
        <v>5</v>
      </c>
      <c r="E600">
        <v>5</v>
      </c>
      <c r="F600">
        <v>0</v>
      </c>
    </row>
    <row r="601" spans="1:6" x14ac:dyDescent="0.2">
      <c r="A601">
        <v>238617</v>
      </c>
      <c r="B601" t="s">
        <v>605</v>
      </c>
      <c r="C601">
        <v>0</v>
      </c>
      <c r="D601">
        <v>12</v>
      </c>
      <c r="E601">
        <v>15</v>
      </c>
      <c r="F601">
        <v>0</v>
      </c>
    </row>
    <row r="602" spans="1:6" x14ac:dyDescent="0.2">
      <c r="A602">
        <v>252871</v>
      </c>
      <c r="B602" t="s">
        <v>606</v>
      </c>
      <c r="C602">
        <v>0</v>
      </c>
      <c r="D602">
        <v>4</v>
      </c>
      <c r="E602">
        <v>3</v>
      </c>
      <c r="F602">
        <v>0</v>
      </c>
    </row>
    <row r="603" spans="1:6" x14ac:dyDescent="0.2">
      <c r="A603">
        <v>253844</v>
      </c>
      <c r="B603" t="s">
        <v>607</v>
      </c>
      <c r="C603">
        <v>0</v>
      </c>
      <c r="D603">
        <v>0</v>
      </c>
      <c r="E603">
        <v>2</v>
      </c>
      <c r="F603">
        <v>0</v>
      </c>
    </row>
    <row r="604" spans="1:6" x14ac:dyDescent="0.2">
      <c r="A604">
        <v>293426</v>
      </c>
      <c r="B604" t="s">
        <v>608</v>
      </c>
      <c r="C604">
        <v>8</v>
      </c>
      <c r="D604">
        <v>9</v>
      </c>
      <c r="E604">
        <v>12</v>
      </c>
      <c r="F604">
        <v>1.125</v>
      </c>
    </row>
    <row r="605" spans="1:6" x14ac:dyDescent="0.2">
      <c r="A605">
        <v>300074</v>
      </c>
      <c r="B605" t="s">
        <v>609</v>
      </c>
      <c r="C605">
        <v>1</v>
      </c>
      <c r="D605">
        <v>23</v>
      </c>
      <c r="E605">
        <v>9</v>
      </c>
      <c r="F605">
        <v>23</v>
      </c>
    </row>
    <row r="606" spans="1:6" x14ac:dyDescent="0.2">
      <c r="A606">
        <v>300565</v>
      </c>
      <c r="B606" t="s">
        <v>610</v>
      </c>
      <c r="C606">
        <v>20</v>
      </c>
      <c r="D606">
        <v>29</v>
      </c>
      <c r="E606">
        <v>9</v>
      </c>
      <c r="F606">
        <v>1.45</v>
      </c>
    </row>
    <row r="607" spans="1:6" x14ac:dyDescent="0.2">
      <c r="A607">
        <v>300687</v>
      </c>
      <c r="B607" t="s">
        <v>611</v>
      </c>
      <c r="C607">
        <v>120</v>
      </c>
      <c r="D607">
        <v>18</v>
      </c>
      <c r="E607">
        <v>16</v>
      </c>
      <c r="F607">
        <v>0.15</v>
      </c>
    </row>
    <row r="608" spans="1:6" x14ac:dyDescent="0.2">
      <c r="A608">
        <v>301164</v>
      </c>
      <c r="B608" t="s">
        <v>612</v>
      </c>
      <c r="C608">
        <v>20</v>
      </c>
      <c r="D608">
        <v>15</v>
      </c>
      <c r="E608">
        <v>0</v>
      </c>
      <c r="F608">
        <v>0.75</v>
      </c>
    </row>
    <row r="609" spans="1:6" x14ac:dyDescent="0.2">
      <c r="A609">
        <v>301248</v>
      </c>
      <c r="B609" t="s">
        <v>613</v>
      </c>
      <c r="C609">
        <v>74</v>
      </c>
      <c r="D609">
        <v>14</v>
      </c>
      <c r="E609">
        <v>4</v>
      </c>
      <c r="F609">
        <v>0.1891891891891892</v>
      </c>
    </row>
    <row r="610" spans="1:6" x14ac:dyDescent="0.2">
      <c r="A610">
        <v>301446</v>
      </c>
      <c r="B610" t="s">
        <v>614</v>
      </c>
      <c r="C610">
        <v>55</v>
      </c>
      <c r="D610">
        <v>11</v>
      </c>
      <c r="E610">
        <v>8</v>
      </c>
      <c r="F610">
        <v>0.2</v>
      </c>
    </row>
    <row r="611" spans="1:6" x14ac:dyDescent="0.2">
      <c r="A611">
        <v>301506</v>
      </c>
      <c r="B611" t="s">
        <v>615</v>
      </c>
      <c r="C611">
        <v>0</v>
      </c>
      <c r="D611">
        <v>280</v>
      </c>
      <c r="E611">
        <v>49</v>
      </c>
      <c r="F611">
        <v>0</v>
      </c>
    </row>
    <row r="612" spans="1:6" x14ac:dyDescent="0.2">
      <c r="A612">
        <v>302416</v>
      </c>
      <c r="B612" t="s">
        <v>616</v>
      </c>
      <c r="C612">
        <v>5</v>
      </c>
      <c r="D612">
        <v>0</v>
      </c>
      <c r="E612">
        <v>51</v>
      </c>
      <c r="F612">
        <v>0</v>
      </c>
    </row>
    <row r="613" spans="1:6" x14ac:dyDescent="0.2">
      <c r="A613">
        <v>302493</v>
      </c>
      <c r="B613" t="s">
        <v>617</v>
      </c>
      <c r="C613">
        <v>20</v>
      </c>
      <c r="D613">
        <v>460</v>
      </c>
      <c r="E613">
        <v>16</v>
      </c>
      <c r="F613">
        <v>23</v>
      </c>
    </row>
    <row r="614" spans="1:6" x14ac:dyDescent="0.2">
      <c r="A614">
        <v>302836</v>
      </c>
      <c r="B614" t="s">
        <v>618</v>
      </c>
      <c r="C614">
        <v>8</v>
      </c>
      <c r="D614">
        <v>191</v>
      </c>
      <c r="E614">
        <v>106</v>
      </c>
      <c r="F614">
        <v>23.875</v>
      </c>
    </row>
    <row r="615" spans="1:6" x14ac:dyDescent="0.2">
      <c r="A615">
        <v>302987</v>
      </c>
      <c r="B615" t="s">
        <v>619</v>
      </c>
      <c r="C615">
        <v>16</v>
      </c>
      <c r="D615">
        <v>7</v>
      </c>
      <c r="E615">
        <v>18</v>
      </c>
      <c r="F615">
        <v>0.4375</v>
      </c>
    </row>
    <row r="616" spans="1:6" x14ac:dyDescent="0.2">
      <c r="A616">
        <v>303223</v>
      </c>
      <c r="B616" t="s">
        <v>620</v>
      </c>
      <c r="C616">
        <v>247</v>
      </c>
      <c r="D616">
        <v>908</v>
      </c>
      <c r="E616">
        <v>184</v>
      </c>
      <c r="F616">
        <v>3.6761133603238871</v>
      </c>
    </row>
    <row r="617" spans="1:6" x14ac:dyDescent="0.2">
      <c r="A617">
        <v>303663</v>
      </c>
      <c r="B617" t="s">
        <v>621</v>
      </c>
      <c r="C617">
        <v>193</v>
      </c>
      <c r="D617">
        <v>29</v>
      </c>
      <c r="E617">
        <v>0</v>
      </c>
      <c r="F617">
        <v>0.15025906735751299</v>
      </c>
    </row>
    <row r="618" spans="1:6" x14ac:dyDescent="0.2">
      <c r="A618">
        <v>303942</v>
      </c>
      <c r="B618" t="s">
        <v>622</v>
      </c>
      <c r="C618">
        <v>0</v>
      </c>
      <c r="D618">
        <v>4</v>
      </c>
      <c r="E618">
        <v>4</v>
      </c>
      <c r="F618">
        <v>0</v>
      </c>
    </row>
    <row r="619" spans="1:6" x14ac:dyDescent="0.2">
      <c r="A619">
        <v>304016</v>
      </c>
      <c r="B619" t="s">
        <v>623</v>
      </c>
      <c r="C619">
        <v>15</v>
      </c>
      <c r="D619">
        <v>30</v>
      </c>
      <c r="E619">
        <v>12</v>
      </c>
      <c r="F619">
        <v>2</v>
      </c>
    </row>
    <row r="620" spans="1:6" x14ac:dyDescent="0.2">
      <c r="A620">
        <v>304056</v>
      </c>
      <c r="B620" t="s">
        <v>624</v>
      </c>
      <c r="C620">
        <v>0</v>
      </c>
      <c r="D620">
        <v>0</v>
      </c>
      <c r="E620">
        <v>1</v>
      </c>
      <c r="F620">
        <v>0</v>
      </c>
    </row>
    <row r="621" spans="1:6" x14ac:dyDescent="0.2">
      <c r="A621">
        <v>305322</v>
      </c>
      <c r="B621" t="s">
        <v>625</v>
      </c>
      <c r="C621">
        <v>41</v>
      </c>
      <c r="D621">
        <v>13</v>
      </c>
      <c r="E621">
        <v>0</v>
      </c>
      <c r="F621">
        <v>0.31707317073170732</v>
      </c>
    </row>
    <row r="622" spans="1:6" x14ac:dyDescent="0.2">
      <c r="A622">
        <v>305755</v>
      </c>
      <c r="B622" t="s">
        <v>626</v>
      </c>
      <c r="C622">
        <v>459</v>
      </c>
      <c r="D622">
        <v>203</v>
      </c>
      <c r="E622">
        <v>427</v>
      </c>
      <c r="F622">
        <v>0.44226579520697168</v>
      </c>
    </row>
    <row r="623" spans="1:6" x14ac:dyDescent="0.2">
      <c r="A623">
        <v>305888</v>
      </c>
      <c r="B623" t="s">
        <v>627</v>
      </c>
      <c r="C623">
        <v>252</v>
      </c>
      <c r="D623">
        <v>6</v>
      </c>
      <c r="E623">
        <v>2</v>
      </c>
      <c r="F623">
        <v>2.3809523809523812E-2</v>
      </c>
    </row>
    <row r="624" spans="1:6" x14ac:dyDescent="0.2">
      <c r="A624">
        <v>305896</v>
      </c>
      <c r="B624" t="s">
        <v>628</v>
      </c>
      <c r="C624">
        <v>152</v>
      </c>
      <c r="D624">
        <v>234</v>
      </c>
      <c r="E624">
        <v>59</v>
      </c>
      <c r="F624">
        <v>1.5394736842105261</v>
      </c>
    </row>
    <row r="625" spans="1:6" x14ac:dyDescent="0.2">
      <c r="A625">
        <v>305997</v>
      </c>
      <c r="B625" t="s">
        <v>629</v>
      </c>
      <c r="C625">
        <v>32</v>
      </c>
      <c r="D625">
        <v>23</v>
      </c>
      <c r="E625">
        <v>31</v>
      </c>
      <c r="F625">
        <v>0.71875</v>
      </c>
    </row>
    <row r="626" spans="1:6" x14ac:dyDescent="0.2">
      <c r="A626">
        <v>306038</v>
      </c>
      <c r="B626" t="s">
        <v>630</v>
      </c>
      <c r="C626">
        <v>105</v>
      </c>
      <c r="D626">
        <v>53</v>
      </c>
      <c r="E626">
        <v>0</v>
      </c>
      <c r="F626">
        <v>0.50476190476190474</v>
      </c>
    </row>
    <row r="627" spans="1:6" x14ac:dyDescent="0.2">
      <c r="A627">
        <v>307677</v>
      </c>
      <c r="B627" t="s">
        <v>631</v>
      </c>
      <c r="C627">
        <v>0</v>
      </c>
      <c r="D627">
        <v>22</v>
      </c>
      <c r="E627">
        <v>0</v>
      </c>
      <c r="F627">
        <v>0</v>
      </c>
    </row>
    <row r="628" spans="1:6" x14ac:dyDescent="0.2">
      <c r="A628">
        <v>307831</v>
      </c>
      <c r="B628" t="s">
        <v>632</v>
      </c>
      <c r="C628">
        <v>0</v>
      </c>
      <c r="D628">
        <v>30</v>
      </c>
      <c r="E628">
        <v>99</v>
      </c>
      <c r="F628">
        <v>0</v>
      </c>
    </row>
    <row r="629" spans="1:6" x14ac:dyDescent="0.2">
      <c r="A629">
        <v>307983</v>
      </c>
      <c r="B629" t="s">
        <v>633</v>
      </c>
      <c r="C629">
        <v>0</v>
      </c>
      <c r="D629">
        <v>458</v>
      </c>
      <c r="E629">
        <v>12</v>
      </c>
      <c r="F629">
        <v>0</v>
      </c>
    </row>
    <row r="630" spans="1:6" x14ac:dyDescent="0.2">
      <c r="A630">
        <v>308599</v>
      </c>
      <c r="B630" t="s">
        <v>634</v>
      </c>
      <c r="C630">
        <v>83</v>
      </c>
      <c r="D630">
        <v>1</v>
      </c>
      <c r="E630">
        <v>0</v>
      </c>
      <c r="F630">
        <v>1.204819277108434E-2</v>
      </c>
    </row>
    <row r="631" spans="1:6" x14ac:dyDescent="0.2">
      <c r="A631">
        <v>308856</v>
      </c>
      <c r="B631" t="s">
        <v>635</v>
      </c>
      <c r="C631">
        <v>275</v>
      </c>
      <c r="D631">
        <v>24</v>
      </c>
      <c r="E631">
        <v>1</v>
      </c>
      <c r="F631">
        <v>8.727272727272728E-2</v>
      </c>
    </row>
    <row r="632" spans="1:6" x14ac:dyDescent="0.2">
      <c r="A632">
        <v>309455</v>
      </c>
      <c r="B632" t="s">
        <v>636</v>
      </c>
      <c r="C632">
        <v>0</v>
      </c>
      <c r="D632">
        <v>0</v>
      </c>
      <c r="E632">
        <v>1</v>
      </c>
      <c r="F632">
        <v>0</v>
      </c>
    </row>
    <row r="633" spans="1:6" x14ac:dyDescent="0.2">
      <c r="A633">
        <v>309704</v>
      </c>
      <c r="B633" t="s">
        <v>637</v>
      </c>
      <c r="C633">
        <v>198</v>
      </c>
      <c r="D633">
        <v>9</v>
      </c>
      <c r="E633">
        <v>6</v>
      </c>
      <c r="F633">
        <v>4.5454545454545463E-2</v>
      </c>
    </row>
    <row r="634" spans="1:6" x14ac:dyDescent="0.2">
      <c r="A634">
        <v>309888</v>
      </c>
      <c r="B634" t="s">
        <v>638</v>
      </c>
      <c r="C634">
        <v>0</v>
      </c>
      <c r="D634">
        <v>21</v>
      </c>
      <c r="E634">
        <v>29</v>
      </c>
      <c r="F634">
        <v>0</v>
      </c>
    </row>
    <row r="635" spans="1:6" x14ac:dyDescent="0.2">
      <c r="A635">
        <v>309995</v>
      </c>
      <c r="B635" t="s">
        <v>639</v>
      </c>
      <c r="C635">
        <v>458</v>
      </c>
      <c r="D635">
        <v>801</v>
      </c>
      <c r="E635">
        <v>48</v>
      </c>
      <c r="F635">
        <v>1.748908296943231</v>
      </c>
    </row>
    <row r="636" spans="1:6" x14ac:dyDescent="0.2">
      <c r="A636">
        <v>310479</v>
      </c>
      <c r="B636" t="s">
        <v>640</v>
      </c>
      <c r="C636">
        <v>44</v>
      </c>
      <c r="D636">
        <v>16</v>
      </c>
      <c r="E636">
        <v>5</v>
      </c>
      <c r="F636">
        <v>0.36363636363636359</v>
      </c>
    </row>
    <row r="637" spans="1:6" x14ac:dyDescent="0.2">
      <c r="A637">
        <v>310911</v>
      </c>
      <c r="B637" t="s">
        <v>641</v>
      </c>
      <c r="C637">
        <v>58</v>
      </c>
      <c r="D637">
        <v>265</v>
      </c>
      <c r="E637">
        <v>21</v>
      </c>
      <c r="F637">
        <v>4.568965517241379</v>
      </c>
    </row>
    <row r="638" spans="1:6" x14ac:dyDescent="0.2">
      <c r="A638">
        <v>311450</v>
      </c>
      <c r="B638" t="s">
        <v>642</v>
      </c>
      <c r="C638">
        <v>17</v>
      </c>
      <c r="D638">
        <v>62</v>
      </c>
      <c r="E638">
        <v>0</v>
      </c>
      <c r="F638">
        <v>3.6470588235294121</v>
      </c>
    </row>
    <row r="639" spans="1:6" x14ac:dyDescent="0.2">
      <c r="A639">
        <v>313325</v>
      </c>
      <c r="B639" t="s">
        <v>643</v>
      </c>
      <c r="C639">
        <v>1</v>
      </c>
      <c r="D639">
        <v>8</v>
      </c>
      <c r="E639">
        <v>10</v>
      </c>
      <c r="F639">
        <v>8</v>
      </c>
    </row>
    <row r="640" spans="1:6" x14ac:dyDescent="0.2">
      <c r="A640">
        <v>313761</v>
      </c>
      <c r="B640" t="s">
        <v>644</v>
      </c>
      <c r="C640">
        <v>0</v>
      </c>
      <c r="D640">
        <v>5</v>
      </c>
      <c r="E640">
        <v>0</v>
      </c>
      <c r="F640">
        <v>0</v>
      </c>
    </row>
    <row r="641" spans="1:6" x14ac:dyDescent="0.2">
      <c r="A641">
        <v>313790</v>
      </c>
      <c r="B641" t="s">
        <v>645</v>
      </c>
      <c r="C641">
        <v>295</v>
      </c>
      <c r="D641">
        <v>1087</v>
      </c>
      <c r="E641">
        <v>8</v>
      </c>
      <c r="F641">
        <v>3.6847457627118638</v>
      </c>
    </row>
    <row r="642" spans="1:6" x14ac:dyDescent="0.2">
      <c r="A642">
        <v>313954</v>
      </c>
      <c r="B642" t="s">
        <v>646</v>
      </c>
      <c r="C642">
        <v>7</v>
      </c>
      <c r="D642">
        <v>6</v>
      </c>
      <c r="E642">
        <v>3</v>
      </c>
      <c r="F642">
        <v>0.8571428571428571</v>
      </c>
    </row>
    <row r="643" spans="1:6" x14ac:dyDescent="0.2">
      <c r="A643">
        <v>315001</v>
      </c>
      <c r="B643" t="s">
        <v>647</v>
      </c>
      <c r="C643">
        <v>57</v>
      </c>
      <c r="D643">
        <v>102</v>
      </c>
      <c r="E643">
        <v>0</v>
      </c>
      <c r="F643">
        <v>1.7894736842105261</v>
      </c>
    </row>
    <row r="644" spans="1:6" x14ac:dyDescent="0.2">
      <c r="A644">
        <v>315055</v>
      </c>
      <c r="B644" t="s">
        <v>648</v>
      </c>
      <c r="C644">
        <v>200</v>
      </c>
      <c r="D644">
        <v>9</v>
      </c>
      <c r="E644">
        <v>375</v>
      </c>
      <c r="F644">
        <v>4.4999999999999998E-2</v>
      </c>
    </row>
    <row r="645" spans="1:6" x14ac:dyDescent="0.2">
      <c r="A645">
        <v>315176</v>
      </c>
      <c r="B645" t="s">
        <v>649</v>
      </c>
      <c r="C645">
        <v>83</v>
      </c>
      <c r="D645">
        <v>13</v>
      </c>
      <c r="E645">
        <v>2</v>
      </c>
      <c r="F645">
        <v>0.15662650602409639</v>
      </c>
    </row>
    <row r="646" spans="1:6" x14ac:dyDescent="0.2">
      <c r="A646">
        <v>315428</v>
      </c>
      <c r="B646" t="s">
        <v>650</v>
      </c>
      <c r="C646">
        <v>28</v>
      </c>
      <c r="D646">
        <v>183</v>
      </c>
      <c r="E646">
        <v>54</v>
      </c>
      <c r="F646">
        <v>6.5357142857142856</v>
      </c>
    </row>
    <row r="647" spans="1:6" x14ac:dyDescent="0.2">
      <c r="A647">
        <v>315703</v>
      </c>
      <c r="B647" t="s">
        <v>651</v>
      </c>
      <c r="C647">
        <v>80</v>
      </c>
      <c r="D647">
        <v>65</v>
      </c>
      <c r="E647">
        <v>15</v>
      </c>
      <c r="F647">
        <v>0.8125</v>
      </c>
    </row>
    <row r="648" spans="1:6" x14ac:dyDescent="0.2">
      <c r="A648">
        <v>315722</v>
      </c>
      <c r="B648" t="s">
        <v>652</v>
      </c>
      <c r="C648">
        <v>210</v>
      </c>
      <c r="D648">
        <v>174</v>
      </c>
      <c r="E648">
        <v>92</v>
      </c>
      <c r="F648">
        <v>0.82857142857142863</v>
      </c>
    </row>
    <row r="649" spans="1:6" x14ac:dyDescent="0.2">
      <c r="A649">
        <v>316023</v>
      </c>
      <c r="B649" t="s">
        <v>653</v>
      </c>
      <c r="C649">
        <v>28</v>
      </c>
      <c r="D649">
        <v>25</v>
      </c>
      <c r="E649">
        <v>12</v>
      </c>
      <c r="F649">
        <v>0.8928571428571429</v>
      </c>
    </row>
    <row r="650" spans="1:6" x14ac:dyDescent="0.2">
      <c r="A650">
        <v>316716</v>
      </c>
      <c r="B650" t="s">
        <v>654</v>
      </c>
      <c r="C650">
        <v>724</v>
      </c>
      <c r="D650">
        <v>181</v>
      </c>
      <c r="E650">
        <v>258</v>
      </c>
      <c r="F650">
        <v>0.25</v>
      </c>
    </row>
    <row r="651" spans="1:6" x14ac:dyDescent="0.2">
      <c r="A651">
        <v>316726</v>
      </c>
      <c r="B651" t="s">
        <v>655</v>
      </c>
      <c r="C651">
        <v>272</v>
      </c>
      <c r="D651">
        <v>133</v>
      </c>
      <c r="E651">
        <v>94</v>
      </c>
      <c r="F651">
        <v>0.4889705882352941</v>
      </c>
    </row>
    <row r="652" spans="1:6" x14ac:dyDescent="0.2">
      <c r="A652">
        <v>317462</v>
      </c>
      <c r="B652" t="s">
        <v>656</v>
      </c>
      <c r="C652">
        <v>16</v>
      </c>
      <c r="D652">
        <v>14</v>
      </c>
      <c r="E652">
        <v>0</v>
      </c>
      <c r="F652">
        <v>0.875</v>
      </c>
    </row>
    <row r="653" spans="1:6" x14ac:dyDescent="0.2">
      <c r="A653">
        <v>317638</v>
      </c>
      <c r="B653" t="s">
        <v>657</v>
      </c>
      <c r="C653">
        <v>23</v>
      </c>
      <c r="D653">
        <v>13</v>
      </c>
      <c r="E653">
        <v>0</v>
      </c>
      <c r="F653">
        <v>0.56521739130434778</v>
      </c>
    </row>
    <row r="654" spans="1:6" x14ac:dyDescent="0.2">
      <c r="A654">
        <v>318425</v>
      </c>
      <c r="B654" t="s">
        <v>658</v>
      </c>
      <c r="C654">
        <v>25</v>
      </c>
      <c r="D654">
        <v>29</v>
      </c>
      <c r="E654">
        <v>0</v>
      </c>
      <c r="F654">
        <v>1.1599999999999999</v>
      </c>
    </row>
    <row r="655" spans="1:6" x14ac:dyDescent="0.2">
      <c r="A655">
        <v>318725</v>
      </c>
      <c r="B655" t="s">
        <v>659</v>
      </c>
      <c r="C655">
        <v>235</v>
      </c>
      <c r="D655">
        <v>1454</v>
      </c>
      <c r="E655">
        <v>9</v>
      </c>
      <c r="F655">
        <v>6.1872340425531913</v>
      </c>
    </row>
    <row r="656" spans="1:6" x14ac:dyDescent="0.2">
      <c r="A656">
        <v>319013</v>
      </c>
      <c r="B656" t="s">
        <v>660</v>
      </c>
      <c r="C656">
        <v>0</v>
      </c>
      <c r="D656">
        <v>60</v>
      </c>
      <c r="E656">
        <v>0</v>
      </c>
      <c r="F656">
        <v>0</v>
      </c>
    </row>
    <row r="657" spans="1:6" x14ac:dyDescent="0.2">
      <c r="A657">
        <v>319336</v>
      </c>
      <c r="B657" t="s">
        <v>661</v>
      </c>
      <c r="C657">
        <v>68</v>
      </c>
      <c r="D657">
        <v>18</v>
      </c>
      <c r="E657">
        <v>16</v>
      </c>
      <c r="F657">
        <v>0.26470588235294118</v>
      </c>
    </row>
    <row r="658" spans="1:6" x14ac:dyDescent="0.2">
      <c r="A658">
        <v>320631</v>
      </c>
      <c r="B658" t="s">
        <v>662</v>
      </c>
      <c r="C658">
        <v>0</v>
      </c>
      <c r="D658">
        <v>212</v>
      </c>
      <c r="E658">
        <v>181</v>
      </c>
      <c r="F658">
        <v>0</v>
      </c>
    </row>
    <row r="659" spans="1:6" x14ac:dyDescent="0.2">
      <c r="A659">
        <v>320923</v>
      </c>
      <c r="B659" t="s">
        <v>663</v>
      </c>
      <c r="C659">
        <v>67</v>
      </c>
      <c r="D659">
        <v>242</v>
      </c>
      <c r="E659">
        <v>1</v>
      </c>
      <c r="F659">
        <v>3.6119402985074629</v>
      </c>
    </row>
    <row r="660" spans="1:6" x14ac:dyDescent="0.2">
      <c r="A660">
        <v>321168</v>
      </c>
      <c r="B660" t="s">
        <v>664</v>
      </c>
      <c r="C660">
        <v>36</v>
      </c>
      <c r="D660">
        <v>13</v>
      </c>
      <c r="E660">
        <v>17</v>
      </c>
      <c r="F660">
        <v>0.3611111111111111</v>
      </c>
    </row>
    <row r="661" spans="1:6" x14ac:dyDescent="0.2">
      <c r="A661">
        <v>321253</v>
      </c>
      <c r="B661" t="s">
        <v>665</v>
      </c>
      <c r="C661">
        <v>45</v>
      </c>
      <c r="D661">
        <v>3</v>
      </c>
      <c r="E661">
        <v>14</v>
      </c>
      <c r="F661">
        <v>6.6666666666666666E-2</v>
      </c>
    </row>
    <row r="662" spans="1:6" x14ac:dyDescent="0.2">
      <c r="A662">
        <v>321467</v>
      </c>
      <c r="B662" t="s">
        <v>666</v>
      </c>
      <c r="C662">
        <v>9</v>
      </c>
      <c r="D662">
        <v>39</v>
      </c>
      <c r="E662">
        <v>74</v>
      </c>
      <c r="F662">
        <v>4.333333333333333</v>
      </c>
    </row>
    <row r="663" spans="1:6" x14ac:dyDescent="0.2">
      <c r="A663">
        <v>321757</v>
      </c>
      <c r="B663" t="s">
        <v>667</v>
      </c>
      <c r="C663">
        <v>12</v>
      </c>
      <c r="D663">
        <v>4</v>
      </c>
      <c r="E663">
        <v>5</v>
      </c>
      <c r="F663">
        <v>0.33333333333333331</v>
      </c>
    </row>
    <row r="664" spans="1:6" x14ac:dyDescent="0.2">
      <c r="A664">
        <v>321833</v>
      </c>
      <c r="B664" t="s">
        <v>668</v>
      </c>
      <c r="C664">
        <v>206</v>
      </c>
      <c r="D664">
        <v>550</v>
      </c>
      <c r="E664">
        <v>18</v>
      </c>
      <c r="F664">
        <v>2.6699029126213589</v>
      </c>
    </row>
    <row r="665" spans="1:6" x14ac:dyDescent="0.2">
      <c r="A665">
        <v>322638</v>
      </c>
      <c r="B665" t="s">
        <v>669</v>
      </c>
      <c r="C665">
        <v>10</v>
      </c>
      <c r="D665">
        <v>131</v>
      </c>
      <c r="E665">
        <v>6</v>
      </c>
      <c r="F665">
        <v>13.1</v>
      </c>
    </row>
    <row r="666" spans="1:6" x14ac:dyDescent="0.2">
      <c r="A666">
        <v>322803</v>
      </c>
      <c r="B666" t="s">
        <v>670</v>
      </c>
      <c r="C666">
        <v>31</v>
      </c>
      <c r="D666">
        <v>89</v>
      </c>
      <c r="E666">
        <v>11</v>
      </c>
      <c r="F666">
        <v>2.870967741935484</v>
      </c>
    </row>
    <row r="667" spans="1:6" x14ac:dyDescent="0.2">
      <c r="A667">
        <v>323651</v>
      </c>
      <c r="B667" t="s">
        <v>671</v>
      </c>
      <c r="C667">
        <v>0</v>
      </c>
      <c r="D667">
        <v>6</v>
      </c>
      <c r="E667">
        <v>0</v>
      </c>
      <c r="F667">
        <v>0</v>
      </c>
    </row>
    <row r="668" spans="1:6" x14ac:dyDescent="0.2">
      <c r="A668">
        <v>323664</v>
      </c>
      <c r="B668" t="s">
        <v>672</v>
      </c>
      <c r="C668">
        <v>1240</v>
      </c>
      <c r="D668">
        <v>23</v>
      </c>
      <c r="E668">
        <v>80</v>
      </c>
      <c r="F668">
        <v>1.8548387096774189E-2</v>
      </c>
    </row>
    <row r="669" spans="1:6" x14ac:dyDescent="0.2">
      <c r="A669">
        <v>324163</v>
      </c>
      <c r="B669" t="s">
        <v>673</v>
      </c>
      <c r="C669">
        <v>2</v>
      </c>
      <c r="D669">
        <v>116</v>
      </c>
      <c r="E669">
        <v>10</v>
      </c>
      <c r="F669">
        <v>58</v>
      </c>
    </row>
    <row r="670" spans="1:6" x14ac:dyDescent="0.2">
      <c r="A670">
        <v>324380</v>
      </c>
      <c r="B670" t="s">
        <v>674</v>
      </c>
      <c r="C670">
        <v>43</v>
      </c>
      <c r="D670">
        <v>21</v>
      </c>
      <c r="E670">
        <v>70</v>
      </c>
      <c r="F670">
        <v>0.48837209302325579</v>
      </c>
    </row>
    <row r="671" spans="1:6" x14ac:dyDescent="0.2">
      <c r="A671">
        <v>325338</v>
      </c>
      <c r="B671" t="s">
        <v>675</v>
      </c>
      <c r="C671">
        <v>20</v>
      </c>
      <c r="D671">
        <v>556</v>
      </c>
      <c r="E671">
        <v>36</v>
      </c>
      <c r="F671">
        <v>27.8</v>
      </c>
    </row>
    <row r="672" spans="1:6" x14ac:dyDescent="0.2">
      <c r="A672">
        <v>325495</v>
      </c>
      <c r="B672" t="s">
        <v>676</v>
      </c>
      <c r="C672">
        <v>45</v>
      </c>
      <c r="D672">
        <v>30</v>
      </c>
      <c r="E672">
        <v>0</v>
      </c>
      <c r="F672">
        <v>0.66666666666666663</v>
      </c>
    </row>
    <row r="673" spans="1:6" x14ac:dyDescent="0.2">
      <c r="A673">
        <v>325626</v>
      </c>
      <c r="B673" t="s">
        <v>677</v>
      </c>
      <c r="C673">
        <v>130</v>
      </c>
      <c r="D673">
        <v>6</v>
      </c>
      <c r="E673">
        <v>40</v>
      </c>
      <c r="F673">
        <v>4.6153846153846163E-2</v>
      </c>
    </row>
    <row r="674" spans="1:6" x14ac:dyDescent="0.2">
      <c r="A674">
        <v>326239</v>
      </c>
      <c r="B674" t="s">
        <v>678</v>
      </c>
      <c r="C674">
        <v>171</v>
      </c>
      <c r="D674">
        <v>117</v>
      </c>
      <c r="E674">
        <v>22</v>
      </c>
      <c r="F674">
        <v>0.68421052631578949</v>
      </c>
    </row>
    <row r="675" spans="1:6" x14ac:dyDescent="0.2">
      <c r="A675">
        <v>326240</v>
      </c>
      <c r="B675" t="s">
        <v>679</v>
      </c>
      <c r="C675">
        <v>0</v>
      </c>
      <c r="D675">
        <v>116</v>
      </c>
      <c r="E675">
        <v>27</v>
      </c>
      <c r="F675">
        <v>0</v>
      </c>
    </row>
    <row r="676" spans="1:6" x14ac:dyDescent="0.2">
      <c r="A676">
        <v>326941</v>
      </c>
      <c r="B676" t="s">
        <v>680</v>
      </c>
      <c r="C676">
        <v>1358</v>
      </c>
      <c r="D676">
        <v>51</v>
      </c>
      <c r="E676">
        <v>46</v>
      </c>
      <c r="F676">
        <v>3.755522827687776E-2</v>
      </c>
    </row>
    <row r="677" spans="1:6" x14ac:dyDescent="0.2">
      <c r="A677">
        <v>327053</v>
      </c>
      <c r="B677" t="s">
        <v>681</v>
      </c>
      <c r="C677">
        <v>10</v>
      </c>
      <c r="D677">
        <v>28</v>
      </c>
      <c r="E677">
        <v>0</v>
      </c>
      <c r="F677">
        <v>2.8</v>
      </c>
    </row>
    <row r="678" spans="1:6" x14ac:dyDescent="0.2">
      <c r="A678">
        <v>327797</v>
      </c>
      <c r="B678" t="s">
        <v>682</v>
      </c>
      <c r="C678">
        <v>4184</v>
      </c>
      <c r="D678">
        <v>714</v>
      </c>
      <c r="E678">
        <v>587</v>
      </c>
      <c r="F678">
        <v>0.17065009560229449</v>
      </c>
    </row>
    <row r="679" spans="1:6" x14ac:dyDescent="0.2">
      <c r="A679">
        <v>328024</v>
      </c>
      <c r="B679" t="s">
        <v>683</v>
      </c>
      <c r="C679">
        <v>85</v>
      </c>
      <c r="D679">
        <v>101</v>
      </c>
      <c r="E679">
        <v>0</v>
      </c>
      <c r="F679">
        <v>1.1882352941176471</v>
      </c>
    </row>
    <row r="680" spans="1:6" x14ac:dyDescent="0.2">
      <c r="A680">
        <v>328070</v>
      </c>
      <c r="B680" t="s">
        <v>684</v>
      </c>
      <c r="C680">
        <v>45</v>
      </c>
      <c r="D680">
        <v>3</v>
      </c>
      <c r="E680">
        <v>0</v>
      </c>
      <c r="F680">
        <v>6.6666666666666666E-2</v>
      </c>
    </row>
    <row r="681" spans="1:6" x14ac:dyDescent="0.2">
      <c r="A681">
        <v>328079</v>
      </c>
      <c r="B681" t="s">
        <v>685</v>
      </c>
      <c r="C681">
        <v>96</v>
      </c>
      <c r="D681">
        <v>2127</v>
      </c>
      <c r="E681">
        <v>200</v>
      </c>
      <c r="F681">
        <v>22.15625</v>
      </c>
    </row>
    <row r="682" spans="1:6" x14ac:dyDescent="0.2">
      <c r="A682">
        <v>328240</v>
      </c>
      <c r="B682" t="s">
        <v>686</v>
      </c>
      <c r="C682">
        <v>88</v>
      </c>
      <c r="D682">
        <v>10</v>
      </c>
      <c r="E682">
        <v>0</v>
      </c>
      <c r="F682">
        <v>0.1136363636363636</v>
      </c>
    </row>
    <row r="683" spans="1:6" x14ac:dyDescent="0.2">
      <c r="A683">
        <v>336327</v>
      </c>
      <c r="B683" t="s">
        <v>687</v>
      </c>
      <c r="C683">
        <v>82</v>
      </c>
      <c r="D683">
        <v>44</v>
      </c>
      <c r="E683">
        <v>0</v>
      </c>
      <c r="F683">
        <v>0.53658536585365857</v>
      </c>
    </row>
    <row r="684" spans="1:6" x14ac:dyDescent="0.2">
      <c r="A684">
        <v>365837</v>
      </c>
      <c r="B684" t="s">
        <v>688</v>
      </c>
      <c r="C684">
        <v>0</v>
      </c>
      <c r="D684">
        <v>328</v>
      </c>
      <c r="E684">
        <v>135</v>
      </c>
      <c r="F684">
        <v>0</v>
      </c>
    </row>
    <row r="685" spans="1:6" x14ac:dyDescent="0.2">
      <c r="A685">
        <v>408831</v>
      </c>
      <c r="B685" t="s">
        <v>689</v>
      </c>
      <c r="C685">
        <v>1392</v>
      </c>
      <c r="D685">
        <v>577</v>
      </c>
      <c r="E685">
        <v>679</v>
      </c>
      <c r="F685">
        <v>0.41451149425287348</v>
      </c>
    </row>
    <row r="686" spans="1:6" x14ac:dyDescent="0.2">
      <c r="A686">
        <v>411438</v>
      </c>
      <c r="B686" t="s">
        <v>690</v>
      </c>
      <c r="C686">
        <v>6</v>
      </c>
      <c r="D686">
        <v>0</v>
      </c>
      <c r="E686">
        <v>3</v>
      </c>
      <c r="F686">
        <v>0</v>
      </c>
    </row>
    <row r="687" spans="1:6" x14ac:dyDescent="0.2">
      <c r="A687">
        <v>413773</v>
      </c>
      <c r="B687" t="s">
        <v>691</v>
      </c>
      <c r="C687">
        <v>181</v>
      </c>
      <c r="D687">
        <v>11</v>
      </c>
      <c r="E687">
        <v>0</v>
      </c>
      <c r="F687">
        <v>6.0773480662983423E-2</v>
      </c>
    </row>
    <row r="688" spans="1:6" x14ac:dyDescent="0.2">
      <c r="A688">
        <v>417949</v>
      </c>
      <c r="B688" t="s">
        <v>692</v>
      </c>
      <c r="C688">
        <v>108</v>
      </c>
      <c r="D688">
        <v>15</v>
      </c>
      <c r="E688">
        <v>0</v>
      </c>
      <c r="F688">
        <v>0.1388888888888889</v>
      </c>
    </row>
    <row r="689" spans="1:6" x14ac:dyDescent="0.2">
      <c r="A689">
        <v>422611</v>
      </c>
      <c r="B689" t="s">
        <v>693</v>
      </c>
      <c r="C689">
        <v>62</v>
      </c>
      <c r="D689">
        <v>50</v>
      </c>
      <c r="E689">
        <v>44</v>
      </c>
      <c r="F689">
        <v>0.80645161290322576</v>
      </c>
    </row>
    <row r="690" spans="1:6" x14ac:dyDescent="0.2">
      <c r="A690">
        <v>427790</v>
      </c>
      <c r="B690" t="s">
        <v>694</v>
      </c>
      <c r="C690">
        <v>3</v>
      </c>
      <c r="D690">
        <v>103</v>
      </c>
      <c r="E690">
        <v>1</v>
      </c>
      <c r="F690">
        <v>34.333333333333343</v>
      </c>
    </row>
    <row r="691" spans="1:6" x14ac:dyDescent="0.2">
      <c r="A691">
        <v>441034</v>
      </c>
      <c r="B691" t="s">
        <v>695</v>
      </c>
      <c r="C691">
        <v>210</v>
      </c>
      <c r="D691">
        <v>14</v>
      </c>
      <c r="E691">
        <v>8</v>
      </c>
      <c r="F691">
        <v>6.6666666666666666E-2</v>
      </c>
    </row>
    <row r="692" spans="1:6" x14ac:dyDescent="0.2">
      <c r="A692">
        <v>442328</v>
      </c>
      <c r="B692" t="s">
        <v>696</v>
      </c>
      <c r="C692">
        <v>18</v>
      </c>
      <c r="D692">
        <v>39</v>
      </c>
      <c r="E692">
        <v>0</v>
      </c>
      <c r="F692">
        <v>2.166666666666667</v>
      </c>
    </row>
    <row r="693" spans="1:6" x14ac:dyDescent="0.2">
      <c r="A693">
        <v>442850</v>
      </c>
      <c r="B693" t="s">
        <v>697</v>
      </c>
      <c r="C693">
        <v>36</v>
      </c>
      <c r="D693">
        <v>6</v>
      </c>
      <c r="E693">
        <v>0</v>
      </c>
      <c r="F693">
        <v>0.16666666666666671</v>
      </c>
    </row>
    <row r="694" spans="1:6" x14ac:dyDescent="0.2">
      <c r="A694">
        <v>445108</v>
      </c>
      <c r="B694" t="s">
        <v>698</v>
      </c>
      <c r="C694">
        <v>298</v>
      </c>
      <c r="D694">
        <v>602</v>
      </c>
      <c r="E694">
        <v>0</v>
      </c>
      <c r="F694">
        <v>2.0201342281879189</v>
      </c>
    </row>
    <row r="695" spans="1:6" x14ac:dyDescent="0.2">
      <c r="A695">
        <v>446518</v>
      </c>
      <c r="B695" t="s">
        <v>699</v>
      </c>
      <c r="C695">
        <v>344</v>
      </c>
      <c r="D695">
        <v>113</v>
      </c>
      <c r="E695">
        <v>20</v>
      </c>
      <c r="F695">
        <v>0.32848837209302317</v>
      </c>
    </row>
    <row r="696" spans="1:6" x14ac:dyDescent="0.2">
      <c r="A696">
        <v>448278</v>
      </c>
      <c r="B696" t="s">
        <v>700</v>
      </c>
      <c r="C696">
        <v>2</v>
      </c>
      <c r="D696">
        <v>136</v>
      </c>
      <c r="E696">
        <v>1</v>
      </c>
      <c r="F696">
        <v>68</v>
      </c>
    </row>
    <row r="697" spans="1:6" x14ac:dyDescent="0.2">
      <c r="A697">
        <v>451087</v>
      </c>
      <c r="B697" t="s">
        <v>701</v>
      </c>
      <c r="C697">
        <v>191</v>
      </c>
      <c r="D697">
        <v>171</v>
      </c>
      <c r="E697">
        <v>14</v>
      </c>
      <c r="F697">
        <v>0.89528795811518325</v>
      </c>
    </row>
    <row r="698" spans="1:6" x14ac:dyDescent="0.2">
      <c r="A698">
        <v>451126</v>
      </c>
      <c r="B698" t="s">
        <v>702</v>
      </c>
      <c r="C698">
        <v>140</v>
      </c>
      <c r="D698">
        <v>91</v>
      </c>
      <c r="E698">
        <v>0</v>
      </c>
      <c r="F698">
        <v>0.65</v>
      </c>
    </row>
    <row r="699" spans="1:6" x14ac:dyDescent="0.2">
      <c r="A699">
        <v>452290</v>
      </c>
      <c r="B699" t="s">
        <v>703</v>
      </c>
      <c r="C699">
        <v>0</v>
      </c>
      <c r="D699">
        <v>48</v>
      </c>
      <c r="E699">
        <v>8</v>
      </c>
      <c r="F699">
        <v>0</v>
      </c>
    </row>
    <row r="700" spans="1:6" x14ac:dyDescent="0.2">
      <c r="A700">
        <v>452895</v>
      </c>
      <c r="B700" t="s">
        <v>704</v>
      </c>
      <c r="C700">
        <v>12</v>
      </c>
      <c r="D700">
        <v>16</v>
      </c>
      <c r="E700">
        <v>0</v>
      </c>
      <c r="F700">
        <v>1.333333333333333</v>
      </c>
    </row>
    <row r="701" spans="1:6" x14ac:dyDescent="0.2">
      <c r="A701">
        <v>452932</v>
      </c>
      <c r="B701" t="s">
        <v>705</v>
      </c>
      <c r="C701">
        <v>14</v>
      </c>
      <c r="D701">
        <v>2</v>
      </c>
      <c r="E701">
        <v>0</v>
      </c>
      <c r="F701">
        <v>0.14285714285714279</v>
      </c>
    </row>
    <row r="702" spans="1:6" x14ac:dyDescent="0.2">
      <c r="A702">
        <v>454367</v>
      </c>
      <c r="B702" t="s">
        <v>706</v>
      </c>
      <c r="C702">
        <v>403</v>
      </c>
      <c r="D702">
        <v>288</v>
      </c>
      <c r="E702">
        <v>22</v>
      </c>
      <c r="F702">
        <v>0.71464019851116622</v>
      </c>
    </row>
    <row r="703" spans="1:6" x14ac:dyDescent="0.2">
      <c r="A703">
        <v>456357</v>
      </c>
      <c r="B703" t="s">
        <v>707</v>
      </c>
      <c r="C703">
        <v>0</v>
      </c>
      <c r="D703">
        <v>1</v>
      </c>
      <c r="E703">
        <v>32</v>
      </c>
      <c r="F703">
        <v>0</v>
      </c>
    </row>
    <row r="704" spans="1:6" x14ac:dyDescent="0.2">
      <c r="A704">
        <v>458279</v>
      </c>
      <c r="B704" t="s">
        <v>708</v>
      </c>
      <c r="C704">
        <v>0</v>
      </c>
      <c r="D704">
        <v>36</v>
      </c>
      <c r="E704">
        <v>0</v>
      </c>
      <c r="F704">
        <v>0</v>
      </c>
    </row>
    <row r="705" spans="1:6" x14ac:dyDescent="0.2">
      <c r="A705">
        <v>458721</v>
      </c>
      <c r="B705" t="s">
        <v>709</v>
      </c>
      <c r="C705">
        <v>0</v>
      </c>
      <c r="D705">
        <v>33</v>
      </c>
      <c r="E705">
        <v>51</v>
      </c>
      <c r="F705">
        <v>0</v>
      </c>
    </row>
    <row r="706" spans="1:6" x14ac:dyDescent="0.2">
      <c r="A706">
        <v>459129</v>
      </c>
      <c r="B706" t="s">
        <v>710</v>
      </c>
      <c r="C706">
        <v>380</v>
      </c>
      <c r="D706">
        <v>32</v>
      </c>
      <c r="E706">
        <v>7</v>
      </c>
      <c r="F706">
        <v>8.4210526315789472E-2</v>
      </c>
    </row>
    <row r="707" spans="1:6" x14ac:dyDescent="0.2">
      <c r="A707">
        <v>459199</v>
      </c>
      <c r="B707" t="s">
        <v>711</v>
      </c>
      <c r="C707">
        <v>225</v>
      </c>
      <c r="D707">
        <v>76</v>
      </c>
      <c r="E707">
        <v>549</v>
      </c>
      <c r="F707">
        <v>0.33777777777777779</v>
      </c>
    </row>
    <row r="708" spans="1:6" x14ac:dyDescent="0.2">
      <c r="A708">
        <v>459200</v>
      </c>
      <c r="B708" t="s">
        <v>712</v>
      </c>
      <c r="C708">
        <v>98</v>
      </c>
      <c r="D708">
        <v>3</v>
      </c>
      <c r="E708">
        <v>33</v>
      </c>
      <c r="F708">
        <v>3.0612244897959179E-2</v>
      </c>
    </row>
    <row r="709" spans="1:6" x14ac:dyDescent="0.2">
      <c r="A709">
        <v>459269</v>
      </c>
      <c r="B709" t="s">
        <v>713</v>
      </c>
      <c r="C709">
        <v>104</v>
      </c>
      <c r="D709">
        <v>153</v>
      </c>
      <c r="E709">
        <v>32</v>
      </c>
      <c r="F709">
        <v>1.471153846153846</v>
      </c>
    </row>
    <row r="710" spans="1:6" x14ac:dyDescent="0.2">
      <c r="A710">
        <v>459344</v>
      </c>
      <c r="B710" t="s">
        <v>714</v>
      </c>
      <c r="C710">
        <v>61</v>
      </c>
      <c r="D710">
        <v>133</v>
      </c>
      <c r="E710">
        <v>0</v>
      </c>
      <c r="F710">
        <v>2.180327868852459</v>
      </c>
    </row>
    <row r="711" spans="1:6" x14ac:dyDescent="0.2">
      <c r="A711">
        <v>459447</v>
      </c>
      <c r="B711" t="s">
        <v>715</v>
      </c>
      <c r="C711">
        <v>5</v>
      </c>
      <c r="D711">
        <v>8</v>
      </c>
      <c r="E711">
        <v>3</v>
      </c>
      <c r="F711">
        <v>1.6</v>
      </c>
    </row>
    <row r="712" spans="1:6" x14ac:dyDescent="0.2">
      <c r="A712">
        <v>459541</v>
      </c>
      <c r="B712" t="s">
        <v>716</v>
      </c>
      <c r="C712">
        <v>30</v>
      </c>
      <c r="D712">
        <v>157</v>
      </c>
      <c r="E712">
        <v>8</v>
      </c>
      <c r="F712">
        <v>5.2333333333333334</v>
      </c>
    </row>
    <row r="713" spans="1:6" x14ac:dyDescent="0.2">
      <c r="A713">
        <v>461763</v>
      </c>
      <c r="B713" t="s">
        <v>717</v>
      </c>
      <c r="C713">
        <v>95</v>
      </c>
      <c r="D713">
        <v>0</v>
      </c>
      <c r="E713">
        <v>13</v>
      </c>
      <c r="F713">
        <v>0</v>
      </c>
    </row>
    <row r="714" spans="1:6" x14ac:dyDescent="0.2">
      <c r="A714">
        <v>461977</v>
      </c>
      <c r="B714" t="s">
        <v>718</v>
      </c>
      <c r="C714">
        <v>18</v>
      </c>
      <c r="D714">
        <v>19</v>
      </c>
      <c r="E714">
        <v>10</v>
      </c>
      <c r="F714">
        <v>1.055555555555556</v>
      </c>
    </row>
    <row r="715" spans="1:6" x14ac:dyDescent="0.2">
      <c r="A715">
        <v>462404</v>
      </c>
      <c r="B715" t="s">
        <v>719</v>
      </c>
      <c r="C715">
        <v>120</v>
      </c>
      <c r="D715">
        <v>8</v>
      </c>
      <c r="E715">
        <v>0</v>
      </c>
      <c r="F715">
        <v>6.6666666666666666E-2</v>
      </c>
    </row>
    <row r="716" spans="1:6" x14ac:dyDescent="0.2">
      <c r="A716">
        <v>463089</v>
      </c>
      <c r="B716" t="s">
        <v>720</v>
      </c>
      <c r="C716">
        <v>120</v>
      </c>
      <c r="D716">
        <v>83</v>
      </c>
      <c r="E716">
        <v>13</v>
      </c>
      <c r="F716">
        <v>0.69166666666666665</v>
      </c>
    </row>
    <row r="717" spans="1:6" x14ac:dyDescent="0.2">
      <c r="A717">
        <v>464691</v>
      </c>
      <c r="B717" t="s">
        <v>721</v>
      </c>
      <c r="C717">
        <v>66</v>
      </c>
      <c r="D717">
        <v>4</v>
      </c>
      <c r="E717">
        <v>125</v>
      </c>
      <c r="F717">
        <v>6.0606060606060608E-2</v>
      </c>
    </row>
    <row r="718" spans="1:6" x14ac:dyDescent="0.2">
      <c r="A718">
        <v>465304</v>
      </c>
      <c r="B718" t="s">
        <v>722</v>
      </c>
      <c r="C718">
        <v>18</v>
      </c>
      <c r="D718">
        <v>53</v>
      </c>
      <c r="E718">
        <v>0</v>
      </c>
      <c r="F718">
        <v>2.9444444444444451</v>
      </c>
    </row>
    <row r="719" spans="1:6" x14ac:dyDescent="0.2">
      <c r="A719">
        <v>465602</v>
      </c>
      <c r="B719" t="s">
        <v>723</v>
      </c>
      <c r="C719">
        <v>13</v>
      </c>
      <c r="D719">
        <v>16</v>
      </c>
      <c r="E719">
        <v>0</v>
      </c>
      <c r="F719">
        <v>1.2307692307692311</v>
      </c>
    </row>
    <row r="720" spans="1:6" x14ac:dyDescent="0.2">
      <c r="A720">
        <v>465697</v>
      </c>
      <c r="B720" t="s">
        <v>724</v>
      </c>
      <c r="C720">
        <v>20</v>
      </c>
      <c r="D720">
        <v>4</v>
      </c>
      <c r="E720">
        <v>0</v>
      </c>
      <c r="F720">
        <v>0.2</v>
      </c>
    </row>
    <row r="721" spans="1:6" x14ac:dyDescent="0.2">
      <c r="A721">
        <v>465960</v>
      </c>
      <c r="B721" t="s">
        <v>725</v>
      </c>
      <c r="C721">
        <v>0</v>
      </c>
      <c r="D721">
        <v>13</v>
      </c>
      <c r="E721">
        <v>0</v>
      </c>
      <c r="F721">
        <v>0</v>
      </c>
    </row>
    <row r="722" spans="1:6" x14ac:dyDescent="0.2">
      <c r="A722">
        <v>465967</v>
      </c>
      <c r="B722" t="s">
        <v>726</v>
      </c>
      <c r="C722">
        <v>109</v>
      </c>
      <c r="D722">
        <v>30</v>
      </c>
      <c r="E722">
        <v>23</v>
      </c>
      <c r="F722">
        <v>0.27522935779816521</v>
      </c>
    </row>
    <row r="723" spans="1:6" x14ac:dyDescent="0.2">
      <c r="A723">
        <v>465969</v>
      </c>
      <c r="B723" t="s">
        <v>727</v>
      </c>
      <c r="C723">
        <v>65</v>
      </c>
      <c r="D723">
        <v>45</v>
      </c>
      <c r="E723">
        <v>34</v>
      </c>
      <c r="F723">
        <v>0.69230769230769229</v>
      </c>
    </row>
    <row r="724" spans="1:6" x14ac:dyDescent="0.2">
      <c r="A724">
        <v>465977</v>
      </c>
      <c r="B724" t="s">
        <v>728</v>
      </c>
      <c r="C724">
        <v>1</v>
      </c>
      <c r="D724">
        <v>365</v>
      </c>
      <c r="E724">
        <v>1</v>
      </c>
      <c r="F724">
        <v>365</v>
      </c>
    </row>
    <row r="725" spans="1:6" x14ac:dyDescent="0.2">
      <c r="A725">
        <v>465982</v>
      </c>
      <c r="B725" t="s">
        <v>729</v>
      </c>
      <c r="C725">
        <v>0</v>
      </c>
      <c r="D725">
        <v>3</v>
      </c>
      <c r="E725">
        <v>0</v>
      </c>
      <c r="F725">
        <v>0</v>
      </c>
    </row>
    <row r="726" spans="1:6" x14ac:dyDescent="0.2">
      <c r="A726">
        <v>466037</v>
      </c>
      <c r="B726" t="s">
        <v>730</v>
      </c>
      <c r="C726">
        <v>120</v>
      </c>
      <c r="D726">
        <v>415</v>
      </c>
      <c r="E726">
        <v>5</v>
      </c>
      <c r="F726">
        <v>3.458333333333333</v>
      </c>
    </row>
    <row r="727" spans="1:6" x14ac:dyDescent="0.2">
      <c r="A727">
        <v>466041</v>
      </c>
      <c r="B727" t="s">
        <v>731</v>
      </c>
      <c r="C727">
        <v>3</v>
      </c>
      <c r="D727">
        <v>8</v>
      </c>
      <c r="E727">
        <v>0</v>
      </c>
      <c r="F727">
        <v>2.666666666666667</v>
      </c>
    </row>
    <row r="728" spans="1:6" x14ac:dyDescent="0.2">
      <c r="A728">
        <v>466044</v>
      </c>
      <c r="B728" t="s">
        <v>732</v>
      </c>
      <c r="C728">
        <v>70</v>
      </c>
      <c r="D728">
        <v>13</v>
      </c>
      <c r="E728">
        <v>30</v>
      </c>
      <c r="F728">
        <v>0.18571428571428569</v>
      </c>
    </row>
    <row r="729" spans="1:6" x14ac:dyDescent="0.2">
      <c r="A729">
        <v>466211</v>
      </c>
      <c r="B729" t="s">
        <v>733</v>
      </c>
      <c r="C729">
        <v>0</v>
      </c>
      <c r="D729">
        <v>34</v>
      </c>
      <c r="E729">
        <v>31</v>
      </c>
      <c r="F729">
        <v>0</v>
      </c>
    </row>
    <row r="730" spans="1:6" x14ac:dyDescent="0.2">
      <c r="A730">
        <v>466214</v>
      </c>
      <c r="B730" t="s">
        <v>734</v>
      </c>
      <c r="C730">
        <v>64</v>
      </c>
      <c r="D730">
        <v>6</v>
      </c>
      <c r="E730">
        <v>0</v>
      </c>
      <c r="F730">
        <v>9.375E-2</v>
      </c>
    </row>
    <row r="731" spans="1:6" x14ac:dyDescent="0.2">
      <c r="A731">
        <v>466223</v>
      </c>
      <c r="B731" t="s">
        <v>735</v>
      </c>
      <c r="C731">
        <v>46</v>
      </c>
      <c r="D731">
        <v>1</v>
      </c>
      <c r="E731">
        <v>1</v>
      </c>
      <c r="F731">
        <v>2.1739130434782612E-2</v>
      </c>
    </row>
    <row r="732" spans="1:6" x14ac:dyDescent="0.2">
      <c r="A732">
        <v>466242</v>
      </c>
      <c r="B732" t="s">
        <v>736</v>
      </c>
      <c r="C732">
        <v>190</v>
      </c>
      <c r="D732">
        <v>16</v>
      </c>
      <c r="E732">
        <v>5</v>
      </c>
      <c r="F732">
        <v>8.4210526315789472E-2</v>
      </c>
    </row>
    <row r="733" spans="1:6" x14ac:dyDescent="0.2">
      <c r="A733">
        <v>466357</v>
      </c>
      <c r="B733" t="s">
        <v>737</v>
      </c>
      <c r="C733">
        <v>59</v>
      </c>
      <c r="D733">
        <v>23</v>
      </c>
      <c r="E733">
        <v>24</v>
      </c>
      <c r="F733">
        <v>0.38983050847457629</v>
      </c>
    </row>
    <row r="734" spans="1:6" x14ac:dyDescent="0.2">
      <c r="A734">
        <v>466446</v>
      </c>
      <c r="B734" t="s">
        <v>738</v>
      </c>
      <c r="C734">
        <v>2</v>
      </c>
      <c r="D734">
        <v>2</v>
      </c>
      <c r="E734">
        <v>1</v>
      </c>
      <c r="F734">
        <v>1</v>
      </c>
    </row>
    <row r="735" spans="1:6" x14ac:dyDescent="0.2">
      <c r="A735">
        <v>466490</v>
      </c>
      <c r="B735" t="s">
        <v>739</v>
      </c>
      <c r="C735">
        <v>152</v>
      </c>
      <c r="D735">
        <v>0</v>
      </c>
      <c r="E735">
        <v>44</v>
      </c>
      <c r="F735">
        <v>0</v>
      </c>
    </row>
    <row r="736" spans="1:6" x14ac:dyDescent="0.2">
      <c r="A736">
        <v>466491</v>
      </c>
      <c r="B736" t="s">
        <v>740</v>
      </c>
      <c r="C736">
        <v>3</v>
      </c>
      <c r="D736">
        <v>381</v>
      </c>
      <c r="E736">
        <v>64</v>
      </c>
      <c r="F736">
        <v>127</v>
      </c>
    </row>
    <row r="737" spans="1:6" x14ac:dyDescent="0.2">
      <c r="A737">
        <v>466669</v>
      </c>
      <c r="B737" t="s">
        <v>741</v>
      </c>
      <c r="C737">
        <v>235</v>
      </c>
      <c r="D737">
        <v>0</v>
      </c>
      <c r="E737">
        <v>8</v>
      </c>
      <c r="F737">
        <v>0</v>
      </c>
    </row>
    <row r="738" spans="1:6" x14ac:dyDescent="0.2">
      <c r="A738">
        <v>467119</v>
      </c>
      <c r="B738" t="s">
        <v>742</v>
      </c>
      <c r="C738">
        <v>164</v>
      </c>
      <c r="D738">
        <v>294</v>
      </c>
      <c r="E738">
        <v>404</v>
      </c>
      <c r="F738">
        <v>1.7926829268292681</v>
      </c>
    </row>
    <row r="739" spans="1:6" x14ac:dyDescent="0.2">
      <c r="A739">
        <v>467555</v>
      </c>
      <c r="B739" t="s">
        <v>743</v>
      </c>
      <c r="C739">
        <v>112</v>
      </c>
      <c r="D739">
        <v>6</v>
      </c>
      <c r="E739">
        <v>0</v>
      </c>
      <c r="F739">
        <v>5.3571428571428568E-2</v>
      </c>
    </row>
    <row r="740" spans="1:6" x14ac:dyDescent="0.2">
      <c r="A740">
        <v>467633</v>
      </c>
      <c r="B740" t="s">
        <v>744</v>
      </c>
      <c r="C740">
        <v>7</v>
      </c>
      <c r="D740">
        <v>3</v>
      </c>
      <c r="E740">
        <v>0</v>
      </c>
      <c r="F740">
        <v>0.42857142857142849</v>
      </c>
    </row>
    <row r="741" spans="1:6" x14ac:dyDescent="0.2">
      <c r="A741">
        <v>468524</v>
      </c>
      <c r="B741" t="s">
        <v>745</v>
      </c>
      <c r="C741">
        <v>8</v>
      </c>
      <c r="D741">
        <v>11</v>
      </c>
      <c r="E741">
        <v>0</v>
      </c>
      <c r="F741">
        <v>1.375</v>
      </c>
    </row>
    <row r="742" spans="1:6" x14ac:dyDescent="0.2">
      <c r="A742">
        <v>468843</v>
      </c>
      <c r="B742" t="s">
        <v>746</v>
      </c>
      <c r="C742">
        <v>1</v>
      </c>
      <c r="D742">
        <v>84</v>
      </c>
      <c r="E742">
        <v>0</v>
      </c>
      <c r="F742">
        <v>84</v>
      </c>
    </row>
    <row r="743" spans="1:6" x14ac:dyDescent="0.2">
      <c r="A743">
        <v>469988</v>
      </c>
      <c r="B743" t="s">
        <v>747</v>
      </c>
      <c r="C743">
        <v>10</v>
      </c>
      <c r="D743">
        <v>6</v>
      </c>
      <c r="E743">
        <v>0</v>
      </c>
      <c r="F743">
        <v>0.6</v>
      </c>
    </row>
    <row r="744" spans="1:6" x14ac:dyDescent="0.2">
      <c r="A744">
        <v>470006</v>
      </c>
      <c r="B744" t="s">
        <v>748</v>
      </c>
      <c r="C744">
        <v>1106</v>
      </c>
      <c r="D744">
        <v>1028</v>
      </c>
      <c r="E744">
        <v>10</v>
      </c>
      <c r="F744">
        <v>0.92947558770343586</v>
      </c>
    </row>
    <row r="745" spans="1:6" x14ac:dyDescent="0.2">
      <c r="A745">
        <v>470672</v>
      </c>
      <c r="B745" t="s">
        <v>749</v>
      </c>
      <c r="C745">
        <v>0</v>
      </c>
      <c r="D745">
        <v>215</v>
      </c>
      <c r="E745">
        <v>8</v>
      </c>
      <c r="F745">
        <v>0</v>
      </c>
    </row>
    <row r="746" spans="1:6" x14ac:dyDescent="0.2">
      <c r="A746">
        <v>470696</v>
      </c>
      <c r="B746" t="s">
        <v>750</v>
      </c>
      <c r="C746">
        <v>1</v>
      </c>
      <c r="D746">
        <v>0</v>
      </c>
      <c r="E746">
        <v>12</v>
      </c>
      <c r="F746">
        <v>0</v>
      </c>
    </row>
    <row r="747" spans="1:6" x14ac:dyDescent="0.2">
      <c r="A747">
        <v>470764</v>
      </c>
      <c r="B747" t="s">
        <v>751</v>
      </c>
      <c r="C747">
        <v>8</v>
      </c>
      <c r="D747">
        <v>1</v>
      </c>
      <c r="E747">
        <v>0</v>
      </c>
      <c r="F747">
        <v>0.125</v>
      </c>
    </row>
    <row r="748" spans="1:6" x14ac:dyDescent="0.2">
      <c r="A748">
        <v>470907</v>
      </c>
      <c r="B748" t="s">
        <v>752</v>
      </c>
      <c r="C748">
        <v>2</v>
      </c>
      <c r="D748">
        <v>16</v>
      </c>
      <c r="E748">
        <v>46</v>
      </c>
      <c r="F748">
        <v>8</v>
      </c>
    </row>
    <row r="749" spans="1:6" x14ac:dyDescent="0.2">
      <c r="A749">
        <v>470994</v>
      </c>
      <c r="B749" t="s">
        <v>753</v>
      </c>
      <c r="C749">
        <v>18</v>
      </c>
      <c r="D749">
        <v>15</v>
      </c>
      <c r="E749">
        <v>1</v>
      </c>
      <c r="F749">
        <v>0.83333333333333337</v>
      </c>
    </row>
    <row r="750" spans="1:6" x14ac:dyDescent="0.2">
      <c r="A750">
        <v>471191</v>
      </c>
      <c r="B750" t="s">
        <v>754</v>
      </c>
      <c r="C750">
        <v>239</v>
      </c>
      <c r="D750">
        <v>789</v>
      </c>
      <c r="E750">
        <v>202</v>
      </c>
      <c r="F750">
        <v>3.3012552301255229</v>
      </c>
    </row>
    <row r="751" spans="1:6" x14ac:dyDescent="0.2">
      <c r="A751">
        <v>471807</v>
      </c>
      <c r="B751" t="s">
        <v>755</v>
      </c>
      <c r="C751">
        <v>1</v>
      </c>
      <c r="D751">
        <v>8</v>
      </c>
      <c r="E751">
        <v>0</v>
      </c>
      <c r="F751">
        <v>8</v>
      </c>
    </row>
    <row r="752" spans="1:6" x14ac:dyDescent="0.2">
      <c r="A752">
        <v>472922</v>
      </c>
      <c r="B752" t="s">
        <v>756</v>
      </c>
      <c r="C752">
        <v>9</v>
      </c>
      <c r="D752">
        <v>0</v>
      </c>
      <c r="E752">
        <v>5</v>
      </c>
      <c r="F752">
        <v>0</v>
      </c>
    </row>
    <row r="753" spans="1:6" x14ac:dyDescent="0.2">
      <c r="A753">
        <v>474623</v>
      </c>
      <c r="B753" t="s">
        <v>757</v>
      </c>
      <c r="C753">
        <v>16</v>
      </c>
      <c r="D753">
        <v>281</v>
      </c>
      <c r="E753">
        <v>50</v>
      </c>
      <c r="F753">
        <v>17.5625</v>
      </c>
    </row>
    <row r="754" spans="1:6" x14ac:dyDescent="0.2">
      <c r="A754">
        <v>475505</v>
      </c>
      <c r="B754" t="s">
        <v>758</v>
      </c>
      <c r="C754">
        <v>31</v>
      </c>
      <c r="D754">
        <v>0</v>
      </c>
      <c r="E754">
        <v>24</v>
      </c>
      <c r="F754">
        <v>0</v>
      </c>
    </row>
    <row r="755" spans="1:6" x14ac:dyDescent="0.2">
      <c r="A755">
        <v>476092</v>
      </c>
      <c r="B755" t="s">
        <v>759</v>
      </c>
      <c r="C755">
        <v>34</v>
      </c>
      <c r="D755">
        <v>5</v>
      </c>
      <c r="E755">
        <v>0</v>
      </c>
      <c r="F755">
        <v>0.1470588235294118</v>
      </c>
    </row>
    <row r="756" spans="1:6" x14ac:dyDescent="0.2">
      <c r="A756">
        <v>476910</v>
      </c>
      <c r="B756" t="s">
        <v>760</v>
      </c>
      <c r="C756">
        <v>0</v>
      </c>
      <c r="D756">
        <v>16</v>
      </c>
      <c r="E756">
        <v>27</v>
      </c>
      <c r="F756">
        <v>0</v>
      </c>
    </row>
    <row r="757" spans="1:6" x14ac:dyDescent="0.2">
      <c r="A757">
        <v>477215</v>
      </c>
      <c r="B757" t="s">
        <v>761</v>
      </c>
      <c r="C757">
        <v>0</v>
      </c>
      <c r="D757">
        <v>4</v>
      </c>
      <c r="E757">
        <v>0</v>
      </c>
      <c r="F757">
        <v>0</v>
      </c>
    </row>
    <row r="758" spans="1:6" x14ac:dyDescent="0.2">
      <c r="A758">
        <v>477467</v>
      </c>
      <c r="B758" t="s">
        <v>762</v>
      </c>
      <c r="C758">
        <v>6</v>
      </c>
      <c r="D758">
        <v>12</v>
      </c>
      <c r="E758">
        <v>0</v>
      </c>
      <c r="F758">
        <v>2</v>
      </c>
    </row>
    <row r="759" spans="1:6" x14ac:dyDescent="0.2">
      <c r="A759">
        <v>477587</v>
      </c>
      <c r="B759" t="s">
        <v>763</v>
      </c>
      <c r="C759">
        <v>10</v>
      </c>
      <c r="D759">
        <v>103</v>
      </c>
      <c r="E759">
        <v>30</v>
      </c>
      <c r="F759">
        <v>10.3</v>
      </c>
    </row>
    <row r="760" spans="1:6" x14ac:dyDescent="0.2">
      <c r="A760">
        <v>477606</v>
      </c>
      <c r="B760" t="s">
        <v>764</v>
      </c>
      <c r="C760">
        <v>3</v>
      </c>
      <c r="D760">
        <v>114</v>
      </c>
      <c r="E760">
        <v>21</v>
      </c>
      <c r="F760">
        <v>38</v>
      </c>
    </row>
    <row r="761" spans="1:6" x14ac:dyDescent="0.2">
      <c r="A761">
        <v>477653</v>
      </c>
      <c r="B761" t="s">
        <v>765</v>
      </c>
      <c r="C761">
        <v>0</v>
      </c>
      <c r="D761">
        <v>0</v>
      </c>
      <c r="E761">
        <v>3</v>
      </c>
      <c r="F761">
        <v>0</v>
      </c>
    </row>
    <row r="762" spans="1:6" x14ac:dyDescent="0.2">
      <c r="A762">
        <v>477887</v>
      </c>
      <c r="B762" t="s">
        <v>766</v>
      </c>
      <c r="C762">
        <v>106</v>
      </c>
      <c r="D762">
        <v>373</v>
      </c>
      <c r="E762">
        <v>1</v>
      </c>
      <c r="F762">
        <v>3.5188679245283021</v>
      </c>
    </row>
    <row r="763" spans="1:6" x14ac:dyDescent="0.2">
      <c r="A763">
        <v>478216</v>
      </c>
      <c r="B763" t="s">
        <v>767</v>
      </c>
      <c r="C763">
        <v>23</v>
      </c>
      <c r="D763">
        <v>4</v>
      </c>
      <c r="E763">
        <v>13</v>
      </c>
      <c r="F763">
        <v>0.17391304347826089</v>
      </c>
    </row>
    <row r="764" spans="1:6" x14ac:dyDescent="0.2">
      <c r="A764">
        <v>478812</v>
      </c>
      <c r="B764" t="s">
        <v>768</v>
      </c>
      <c r="C764">
        <v>164</v>
      </c>
      <c r="D764">
        <v>116</v>
      </c>
      <c r="E764">
        <v>305</v>
      </c>
      <c r="F764">
        <v>0.70731707317073167</v>
      </c>
    </row>
    <row r="765" spans="1:6" x14ac:dyDescent="0.2">
      <c r="A765">
        <v>479509</v>
      </c>
      <c r="B765" t="s">
        <v>769</v>
      </c>
      <c r="C765">
        <v>8</v>
      </c>
      <c r="D765">
        <v>11</v>
      </c>
      <c r="E765">
        <v>1</v>
      </c>
      <c r="F765">
        <v>1.375</v>
      </c>
    </row>
    <row r="766" spans="1:6" x14ac:dyDescent="0.2">
      <c r="A766">
        <v>480485</v>
      </c>
      <c r="B766" t="s">
        <v>770</v>
      </c>
      <c r="C766">
        <v>4</v>
      </c>
      <c r="D766">
        <v>6</v>
      </c>
      <c r="E766">
        <v>1</v>
      </c>
      <c r="F766">
        <v>1.5</v>
      </c>
    </row>
    <row r="767" spans="1:6" x14ac:dyDescent="0.2">
      <c r="A767">
        <v>480877</v>
      </c>
      <c r="B767" t="s">
        <v>771</v>
      </c>
      <c r="C767">
        <v>0</v>
      </c>
      <c r="D767">
        <v>17</v>
      </c>
      <c r="E767">
        <v>7</v>
      </c>
      <c r="F767">
        <v>0</v>
      </c>
    </row>
    <row r="768" spans="1:6" x14ac:dyDescent="0.2">
      <c r="A768">
        <v>481940</v>
      </c>
      <c r="B768" t="s">
        <v>772</v>
      </c>
      <c r="C768">
        <v>23</v>
      </c>
      <c r="D768">
        <v>4</v>
      </c>
      <c r="E768">
        <v>0</v>
      </c>
      <c r="F768">
        <v>0.17391304347826089</v>
      </c>
    </row>
    <row r="769" spans="1:6" x14ac:dyDescent="0.2">
      <c r="A769">
        <v>482009</v>
      </c>
      <c r="B769" t="s">
        <v>773</v>
      </c>
      <c r="C769">
        <v>0</v>
      </c>
      <c r="D769">
        <v>12</v>
      </c>
      <c r="E769">
        <v>1</v>
      </c>
      <c r="F769">
        <v>0</v>
      </c>
    </row>
    <row r="770" spans="1:6" x14ac:dyDescent="0.2">
      <c r="A770">
        <v>482999</v>
      </c>
      <c r="B770" t="s">
        <v>774</v>
      </c>
      <c r="C770">
        <v>18</v>
      </c>
      <c r="D770">
        <v>6</v>
      </c>
      <c r="E770">
        <v>46</v>
      </c>
      <c r="F770">
        <v>0.33333333333333331</v>
      </c>
    </row>
    <row r="771" spans="1:6" x14ac:dyDescent="0.2">
      <c r="A771">
        <v>483729</v>
      </c>
      <c r="B771" t="s">
        <v>775</v>
      </c>
      <c r="C771">
        <v>1</v>
      </c>
      <c r="D771">
        <v>4</v>
      </c>
      <c r="E771">
        <v>0</v>
      </c>
      <c r="F771">
        <v>4</v>
      </c>
    </row>
    <row r="772" spans="1:6" x14ac:dyDescent="0.2">
      <c r="A772">
        <v>484480</v>
      </c>
      <c r="B772" t="s">
        <v>776</v>
      </c>
      <c r="C772">
        <v>10</v>
      </c>
      <c r="D772">
        <v>7</v>
      </c>
      <c r="E772">
        <v>3</v>
      </c>
      <c r="F772">
        <v>0.7</v>
      </c>
    </row>
    <row r="773" spans="1:6" x14ac:dyDescent="0.2">
      <c r="A773">
        <v>484505</v>
      </c>
      <c r="B773" t="s">
        <v>777</v>
      </c>
      <c r="C773">
        <v>33</v>
      </c>
      <c r="D773">
        <v>34</v>
      </c>
      <c r="E773">
        <v>23</v>
      </c>
      <c r="F773">
        <v>1.0303030303030301</v>
      </c>
    </row>
    <row r="774" spans="1:6" x14ac:dyDescent="0.2">
      <c r="A774">
        <v>484843</v>
      </c>
      <c r="B774" t="s">
        <v>778</v>
      </c>
      <c r="C774">
        <v>111</v>
      </c>
      <c r="D774">
        <v>350</v>
      </c>
      <c r="E774">
        <v>8</v>
      </c>
      <c r="F774">
        <v>3.1531531531531529</v>
      </c>
    </row>
    <row r="775" spans="1:6" x14ac:dyDescent="0.2">
      <c r="A775">
        <v>485670</v>
      </c>
      <c r="B775" t="s">
        <v>779</v>
      </c>
      <c r="C775">
        <v>18</v>
      </c>
      <c r="D775">
        <v>28</v>
      </c>
      <c r="E775">
        <v>0</v>
      </c>
      <c r="F775">
        <v>1.555555555555556</v>
      </c>
    </row>
    <row r="776" spans="1:6" x14ac:dyDescent="0.2">
      <c r="A776">
        <v>486118</v>
      </c>
      <c r="B776" t="s">
        <v>780</v>
      </c>
      <c r="C776">
        <v>126</v>
      </c>
      <c r="D776">
        <v>5</v>
      </c>
      <c r="E776">
        <v>0</v>
      </c>
      <c r="F776">
        <v>3.968253968253968E-2</v>
      </c>
    </row>
    <row r="777" spans="1:6" x14ac:dyDescent="0.2">
      <c r="A777">
        <v>486478</v>
      </c>
      <c r="B777" t="s">
        <v>781</v>
      </c>
      <c r="C777">
        <v>155</v>
      </c>
      <c r="D777">
        <v>29</v>
      </c>
      <c r="E777">
        <v>10</v>
      </c>
      <c r="F777">
        <v>0.18709677419354839</v>
      </c>
    </row>
    <row r="778" spans="1:6" x14ac:dyDescent="0.2">
      <c r="A778">
        <v>486792</v>
      </c>
      <c r="B778" t="s">
        <v>782</v>
      </c>
      <c r="C778">
        <v>0</v>
      </c>
      <c r="D778">
        <v>7</v>
      </c>
      <c r="E778">
        <v>1</v>
      </c>
      <c r="F778">
        <v>0</v>
      </c>
    </row>
    <row r="779" spans="1:6" x14ac:dyDescent="0.2">
      <c r="A779">
        <v>488064</v>
      </c>
      <c r="B779" t="s">
        <v>783</v>
      </c>
      <c r="C779">
        <v>100</v>
      </c>
      <c r="D779">
        <v>1</v>
      </c>
      <c r="E779">
        <v>0</v>
      </c>
      <c r="F779">
        <v>0.01</v>
      </c>
    </row>
    <row r="780" spans="1:6" x14ac:dyDescent="0.2">
      <c r="A780">
        <v>488116</v>
      </c>
      <c r="B780" t="s">
        <v>784</v>
      </c>
      <c r="C780">
        <v>8</v>
      </c>
      <c r="D780">
        <v>3</v>
      </c>
      <c r="E780">
        <v>3</v>
      </c>
      <c r="F780">
        <v>0.375</v>
      </c>
    </row>
    <row r="781" spans="1:6" x14ac:dyDescent="0.2">
      <c r="A781">
        <v>491098</v>
      </c>
      <c r="B781" t="s">
        <v>785</v>
      </c>
      <c r="C781">
        <v>0</v>
      </c>
      <c r="D781">
        <v>22</v>
      </c>
      <c r="E781">
        <v>0</v>
      </c>
      <c r="F781">
        <v>0</v>
      </c>
    </row>
    <row r="782" spans="1:6" x14ac:dyDescent="0.2">
      <c r="A782">
        <v>491132</v>
      </c>
      <c r="B782" t="s">
        <v>786</v>
      </c>
      <c r="C782">
        <v>2</v>
      </c>
      <c r="D782">
        <v>49</v>
      </c>
      <c r="E782">
        <v>0</v>
      </c>
      <c r="F782">
        <v>24.5</v>
      </c>
    </row>
    <row r="783" spans="1:6" x14ac:dyDescent="0.2">
      <c r="A783">
        <v>491619</v>
      </c>
      <c r="B783" t="s">
        <v>787</v>
      </c>
      <c r="C783">
        <v>43</v>
      </c>
      <c r="D783">
        <v>55</v>
      </c>
      <c r="E783">
        <v>0</v>
      </c>
      <c r="F783">
        <v>1.279069767441861</v>
      </c>
    </row>
    <row r="784" spans="1:6" x14ac:dyDescent="0.2">
      <c r="A784">
        <v>491705</v>
      </c>
      <c r="B784" t="s">
        <v>788</v>
      </c>
      <c r="C784">
        <v>226</v>
      </c>
      <c r="D784">
        <v>51</v>
      </c>
      <c r="E784">
        <v>195</v>
      </c>
      <c r="F784">
        <v>0.22566371681415931</v>
      </c>
    </row>
    <row r="785" spans="1:6" x14ac:dyDescent="0.2">
      <c r="A785">
        <v>493451</v>
      </c>
      <c r="B785" t="s">
        <v>789</v>
      </c>
      <c r="C785">
        <v>5</v>
      </c>
      <c r="D785">
        <v>33</v>
      </c>
      <c r="E785">
        <v>41</v>
      </c>
      <c r="F785">
        <v>6.6</v>
      </c>
    </row>
    <row r="786" spans="1:6" x14ac:dyDescent="0.2">
      <c r="A786">
        <v>493856</v>
      </c>
      <c r="B786" t="s">
        <v>790</v>
      </c>
      <c r="C786">
        <v>25</v>
      </c>
      <c r="D786">
        <v>26</v>
      </c>
      <c r="E786">
        <v>16</v>
      </c>
      <c r="F786">
        <v>1.04</v>
      </c>
    </row>
    <row r="787" spans="1:6" x14ac:dyDescent="0.2">
      <c r="A787">
        <v>493927</v>
      </c>
      <c r="B787" t="s">
        <v>791</v>
      </c>
      <c r="C787">
        <v>17</v>
      </c>
      <c r="D787">
        <v>20</v>
      </c>
      <c r="E787">
        <v>0</v>
      </c>
      <c r="F787">
        <v>1.1764705882352939</v>
      </c>
    </row>
    <row r="788" spans="1:6" x14ac:dyDescent="0.2">
      <c r="A788">
        <v>494655</v>
      </c>
      <c r="B788" t="s">
        <v>792</v>
      </c>
      <c r="C788">
        <v>17</v>
      </c>
      <c r="D788">
        <v>58</v>
      </c>
      <c r="E788">
        <v>28</v>
      </c>
      <c r="F788">
        <v>3.4117647058823528</v>
      </c>
    </row>
    <row r="789" spans="1:6" x14ac:dyDescent="0.2">
      <c r="A789">
        <v>494926</v>
      </c>
      <c r="B789" t="s">
        <v>793</v>
      </c>
      <c r="C789">
        <v>31</v>
      </c>
      <c r="D789">
        <v>4</v>
      </c>
      <c r="E789">
        <v>1</v>
      </c>
      <c r="F789">
        <v>0.1290322580645161</v>
      </c>
    </row>
    <row r="790" spans="1:6" x14ac:dyDescent="0.2">
      <c r="A790">
        <v>497705</v>
      </c>
      <c r="B790" t="s">
        <v>794</v>
      </c>
      <c r="C790">
        <v>5115</v>
      </c>
      <c r="D790">
        <v>411</v>
      </c>
      <c r="E790">
        <v>0</v>
      </c>
      <c r="F790">
        <v>8.0351906158357772E-2</v>
      </c>
    </row>
    <row r="791" spans="1:6" x14ac:dyDescent="0.2">
      <c r="A791">
        <v>498161</v>
      </c>
      <c r="B791" t="s">
        <v>795</v>
      </c>
      <c r="C791">
        <v>6</v>
      </c>
      <c r="D791">
        <v>5</v>
      </c>
      <c r="E791">
        <v>0</v>
      </c>
      <c r="F791">
        <v>0.83333333333333337</v>
      </c>
    </row>
    <row r="792" spans="1:6" x14ac:dyDescent="0.2">
      <c r="A792">
        <v>498207</v>
      </c>
      <c r="B792" t="s">
        <v>796</v>
      </c>
      <c r="C792">
        <v>17</v>
      </c>
      <c r="D792">
        <v>0</v>
      </c>
      <c r="E792">
        <v>3</v>
      </c>
      <c r="F792">
        <v>0</v>
      </c>
    </row>
    <row r="793" spans="1:6" x14ac:dyDescent="0.2">
      <c r="A793">
        <v>499976</v>
      </c>
      <c r="B793" t="s">
        <v>797</v>
      </c>
      <c r="C793">
        <v>266</v>
      </c>
      <c r="D793">
        <v>256</v>
      </c>
      <c r="E793">
        <v>12</v>
      </c>
      <c r="F793">
        <v>0.96240601503759393</v>
      </c>
    </row>
    <row r="794" spans="1:6" x14ac:dyDescent="0.2">
      <c r="A794">
        <v>500453</v>
      </c>
      <c r="B794" t="s">
        <v>798</v>
      </c>
      <c r="C794">
        <v>4</v>
      </c>
      <c r="D794">
        <v>0</v>
      </c>
      <c r="E794">
        <v>10</v>
      </c>
      <c r="F794">
        <v>0</v>
      </c>
    </row>
    <row r="795" spans="1:6" x14ac:dyDescent="0.2">
      <c r="A795">
        <v>500661</v>
      </c>
      <c r="B795" t="s">
        <v>799</v>
      </c>
      <c r="C795">
        <v>2</v>
      </c>
      <c r="D795">
        <v>4</v>
      </c>
      <c r="E795">
        <v>2</v>
      </c>
      <c r="F795">
        <v>2</v>
      </c>
    </row>
    <row r="796" spans="1:6" x14ac:dyDescent="0.2">
      <c r="A796">
        <v>502025</v>
      </c>
      <c r="B796" t="s">
        <v>800</v>
      </c>
      <c r="C796">
        <v>1</v>
      </c>
      <c r="D796">
        <v>5</v>
      </c>
      <c r="E796">
        <v>5</v>
      </c>
      <c r="F796">
        <v>5</v>
      </c>
    </row>
    <row r="797" spans="1:6" x14ac:dyDescent="0.2">
      <c r="A797">
        <v>508779</v>
      </c>
      <c r="B797" t="s">
        <v>801</v>
      </c>
      <c r="C797">
        <v>79</v>
      </c>
      <c r="D797">
        <v>12</v>
      </c>
      <c r="E797">
        <v>1</v>
      </c>
      <c r="F797">
        <v>0.15189873417721519</v>
      </c>
    </row>
    <row r="798" spans="1:6" x14ac:dyDescent="0.2">
      <c r="A798">
        <v>510378</v>
      </c>
      <c r="B798" t="s">
        <v>802</v>
      </c>
      <c r="C798">
        <v>3</v>
      </c>
      <c r="D798">
        <v>7</v>
      </c>
      <c r="E798">
        <v>3</v>
      </c>
      <c r="F798">
        <v>2.333333333333333</v>
      </c>
    </row>
    <row r="799" spans="1:6" x14ac:dyDescent="0.2">
      <c r="A799">
        <v>510427</v>
      </c>
      <c r="B799" t="s">
        <v>803</v>
      </c>
      <c r="C799">
        <v>78</v>
      </c>
      <c r="D799">
        <v>3</v>
      </c>
      <c r="E799">
        <v>1</v>
      </c>
      <c r="F799">
        <v>3.8461538461538457E-2</v>
      </c>
    </row>
    <row r="800" spans="1:6" x14ac:dyDescent="0.2">
      <c r="A800">
        <v>510946</v>
      </c>
      <c r="B800" t="s">
        <v>804</v>
      </c>
      <c r="C800">
        <v>6</v>
      </c>
      <c r="D800">
        <v>5</v>
      </c>
      <c r="E800">
        <v>0</v>
      </c>
      <c r="F800">
        <v>0.83333333333333337</v>
      </c>
    </row>
    <row r="801" spans="1:6" x14ac:dyDescent="0.2">
      <c r="A801">
        <v>511036</v>
      </c>
      <c r="B801" t="s">
        <v>805</v>
      </c>
      <c r="C801">
        <v>231</v>
      </c>
      <c r="D801">
        <v>1492</v>
      </c>
      <c r="E801">
        <v>17</v>
      </c>
      <c r="F801">
        <v>6.4588744588744591</v>
      </c>
    </row>
    <row r="802" spans="1:6" x14ac:dyDescent="0.2">
      <c r="A802">
        <v>511752</v>
      </c>
      <c r="B802" t="s">
        <v>806</v>
      </c>
      <c r="C802">
        <v>4</v>
      </c>
      <c r="D802">
        <v>13</v>
      </c>
      <c r="E802">
        <v>0</v>
      </c>
      <c r="F802">
        <v>3.25</v>
      </c>
    </row>
    <row r="803" spans="1:6" x14ac:dyDescent="0.2">
      <c r="A803">
        <v>512806</v>
      </c>
      <c r="B803" t="s">
        <v>807</v>
      </c>
      <c r="C803">
        <v>0</v>
      </c>
      <c r="D803">
        <v>9</v>
      </c>
      <c r="E803">
        <v>18</v>
      </c>
      <c r="F803">
        <v>0</v>
      </c>
    </row>
    <row r="804" spans="1:6" x14ac:dyDescent="0.2">
      <c r="A804">
        <v>512912</v>
      </c>
      <c r="B804" t="s">
        <v>808</v>
      </c>
      <c r="C804">
        <v>0</v>
      </c>
      <c r="D804">
        <v>83</v>
      </c>
      <c r="E804">
        <v>62</v>
      </c>
      <c r="F804">
        <v>0</v>
      </c>
    </row>
    <row r="805" spans="1:6" x14ac:dyDescent="0.2">
      <c r="A805">
        <v>512963</v>
      </c>
      <c r="B805" t="s">
        <v>809</v>
      </c>
      <c r="C805">
        <v>30</v>
      </c>
      <c r="D805">
        <v>5</v>
      </c>
      <c r="E805">
        <v>5</v>
      </c>
      <c r="F805">
        <v>0.16666666666666671</v>
      </c>
    </row>
    <row r="806" spans="1:6" x14ac:dyDescent="0.2">
      <c r="A806">
        <v>513112</v>
      </c>
      <c r="B806" t="s">
        <v>810</v>
      </c>
      <c r="C806">
        <v>4</v>
      </c>
      <c r="D806">
        <v>5</v>
      </c>
      <c r="E806">
        <v>15</v>
      </c>
      <c r="F806">
        <v>1.25</v>
      </c>
    </row>
    <row r="807" spans="1:6" x14ac:dyDescent="0.2">
      <c r="A807">
        <v>513431</v>
      </c>
      <c r="B807" t="s">
        <v>811</v>
      </c>
      <c r="C807">
        <v>208</v>
      </c>
      <c r="D807">
        <v>11</v>
      </c>
      <c r="E807">
        <v>8</v>
      </c>
      <c r="F807">
        <v>5.2884615384615377E-2</v>
      </c>
    </row>
    <row r="808" spans="1:6" x14ac:dyDescent="0.2">
      <c r="A808">
        <v>513462</v>
      </c>
      <c r="B808" t="s">
        <v>812</v>
      </c>
      <c r="C808">
        <v>595</v>
      </c>
      <c r="D808">
        <v>34</v>
      </c>
      <c r="E808">
        <v>0</v>
      </c>
      <c r="F808">
        <v>5.7142857142857141E-2</v>
      </c>
    </row>
    <row r="809" spans="1:6" x14ac:dyDescent="0.2">
      <c r="A809">
        <v>513816</v>
      </c>
      <c r="B809" t="s">
        <v>813</v>
      </c>
      <c r="C809">
        <v>160</v>
      </c>
      <c r="D809">
        <v>60</v>
      </c>
      <c r="E809">
        <v>10</v>
      </c>
      <c r="F809">
        <v>0.375</v>
      </c>
    </row>
    <row r="810" spans="1:6" x14ac:dyDescent="0.2">
      <c r="A810">
        <v>514302</v>
      </c>
      <c r="B810" t="s">
        <v>814</v>
      </c>
      <c r="C810">
        <v>1</v>
      </c>
      <c r="D810">
        <v>17</v>
      </c>
      <c r="E810">
        <v>2</v>
      </c>
      <c r="F810">
        <v>17</v>
      </c>
    </row>
    <row r="811" spans="1:6" x14ac:dyDescent="0.2">
      <c r="A811">
        <v>514322</v>
      </c>
      <c r="B811" t="s">
        <v>815</v>
      </c>
      <c r="C811">
        <v>310</v>
      </c>
      <c r="D811">
        <v>39</v>
      </c>
      <c r="E811">
        <v>55</v>
      </c>
      <c r="F811">
        <v>0.12580645161290319</v>
      </c>
    </row>
    <row r="812" spans="1:6" x14ac:dyDescent="0.2">
      <c r="A812">
        <v>514566</v>
      </c>
      <c r="B812" t="s">
        <v>816</v>
      </c>
      <c r="C812">
        <v>0</v>
      </c>
      <c r="D812">
        <v>368</v>
      </c>
      <c r="E812">
        <v>370</v>
      </c>
      <c r="F812">
        <v>0</v>
      </c>
    </row>
    <row r="813" spans="1:6" x14ac:dyDescent="0.2">
      <c r="A813">
        <v>515108</v>
      </c>
      <c r="B813" t="s">
        <v>817</v>
      </c>
      <c r="C813">
        <v>15</v>
      </c>
      <c r="D813">
        <v>12</v>
      </c>
      <c r="E813">
        <v>0</v>
      </c>
      <c r="F813">
        <v>0.8</v>
      </c>
    </row>
    <row r="814" spans="1:6" x14ac:dyDescent="0.2">
      <c r="A814">
        <v>515147</v>
      </c>
      <c r="B814" t="s">
        <v>818</v>
      </c>
      <c r="C814">
        <v>55</v>
      </c>
      <c r="D814">
        <v>10</v>
      </c>
      <c r="E814">
        <v>1</v>
      </c>
      <c r="F814">
        <v>0.1818181818181818</v>
      </c>
    </row>
    <row r="815" spans="1:6" x14ac:dyDescent="0.2">
      <c r="A815">
        <v>515162</v>
      </c>
      <c r="B815" t="s">
        <v>819</v>
      </c>
      <c r="C815">
        <v>0</v>
      </c>
      <c r="D815">
        <v>1</v>
      </c>
      <c r="E815">
        <v>306</v>
      </c>
      <c r="F815">
        <v>0</v>
      </c>
    </row>
    <row r="816" spans="1:6" x14ac:dyDescent="0.2">
      <c r="A816">
        <v>518257</v>
      </c>
      <c r="B816" t="s">
        <v>820</v>
      </c>
      <c r="C816">
        <v>44</v>
      </c>
      <c r="D816">
        <v>3</v>
      </c>
      <c r="E816">
        <v>0</v>
      </c>
      <c r="F816">
        <v>6.8181818181818177E-2</v>
      </c>
    </row>
    <row r="817" spans="1:6" x14ac:dyDescent="0.2">
      <c r="A817">
        <v>520250</v>
      </c>
      <c r="B817" t="s">
        <v>821</v>
      </c>
      <c r="C817">
        <v>360</v>
      </c>
      <c r="D817">
        <v>314</v>
      </c>
      <c r="E817">
        <v>16</v>
      </c>
      <c r="F817">
        <v>0.87222222222222223</v>
      </c>
    </row>
    <row r="818" spans="1:6" x14ac:dyDescent="0.2">
      <c r="A818">
        <v>520949</v>
      </c>
      <c r="B818" t="s">
        <v>822</v>
      </c>
      <c r="C818">
        <v>66</v>
      </c>
      <c r="D818">
        <v>1</v>
      </c>
      <c r="E818">
        <v>0</v>
      </c>
      <c r="F818">
        <v>1.515151515151515E-2</v>
      </c>
    </row>
    <row r="819" spans="1:6" x14ac:dyDescent="0.2">
      <c r="A819">
        <v>521948</v>
      </c>
      <c r="B819" t="s">
        <v>823</v>
      </c>
      <c r="C819">
        <v>25</v>
      </c>
      <c r="D819">
        <v>5</v>
      </c>
      <c r="E819">
        <v>0</v>
      </c>
      <c r="F819">
        <v>0.2</v>
      </c>
    </row>
    <row r="820" spans="1:6" x14ac:dyDescent="0.2">
      <c r="A820">
        <v>523755</v>
      </c>
      <c r="B820" t="s">
        <v>824</v>
      </c>
      <c r="C820">
        <v>5</v>
      </c>
      <c r="D820">
        <v>2</v>
      </c>
      <c r="E820">
        <v>4</v>
      </c>
      <c r="F820">
        <v>0.4</v>
      </c>
    </row>
    <row r="821" spans="1:6" x14ac:dyDescent="0.2">
      <c r="A821">
        <v>531347</v>
      </c>
      <c r="B821" t="s">
        <v>825</v>
      </c>
      <c r="C821">
        <v>0</v>
      </c>
      <c r="D821">
        <v>7</v>
      </c>
      <c r="E821">
        <v>16</v>
      </c>
      <c r="F821">
        <v>0</v>
      </c>
    </row>
    <row r="822" spans="1:6" x14ac:dyDescent="0.2">
      <c r="A822">
        <v>532061</v>
      </c>
      <c r="B822" t="s">
        <v>826</v>
      </c>
      <c r="C822">
        <v>31</v>
      </c>
      <c r="D822">
        <v>10</v>
      </c>
      <c r="E822">
        <v>11</v>
      </c>
      <c r="F822">
        <v>0.32258064516129031</v>
      </c>
    </row>
    <row r="823" spans="1:6" x14ac:dyDescent="0.2">
      <c r="A823">
        <v>532247</v>
      </c>
      <c r="B823" t="s">
        <v>827</v>
      </c>
      <c r="C823">
        <v>703</v>
      </c>
      <c r="D823">
        <v>411</v>
      </c>
      <c r="E823">
        <v>37</v>
      </c>
      <c r="F823">
        <v>0.58463726884779521</v>
      </c>
    </row>
    <row r="824" spans="1:6" x14ac:dyDescent="0.2">
      <c r="A824">
        <v>533752</v>
      </c>
      <c r="B824" t="s">
        <v>828</v>
      </c>
      <c r="C824">
        <v>0</v>
      </c>
      <c r="D824">
        <v>2</v>
      </c>
      <c r="E824">
        <v>1</v>
      </c>
      <c r="F824">
        <v>0</v>
      </c>
    </row>
    <row r="825" spans="1:6" x14ac:dyDescent="0.2">
      <c r="A825">
        <v>535762</v>
      </c>
      <c r="B825" t="s">
        <v>829</v>
      </c>
      <c r="C825">
        <v>13</v>
      </c>
      <c r="D825">
        <v>901</v>
      </c>
      <c r="E825">
        <v>144</v>
      </c>
      <c r="F825">
        <v>69.307692307692307</v>
      </c>
    </row>
    <row r="826" spans="1:6" x14ac:dyDescent="0.2">
      <c r="A826">
        <v>536862</v>
      </c>
      <c r="B826" t="s">
        <v>830</v>
      </c>
      <c r="C826">
        <v>4</v>
      </c>
      <c r="D826">
        <v>6</v>
      </c>
      <c r="E826">
        <v>5</v>
      </c>
      <c r="F826">
        <v>1.5</v>
      </c>
    </row>
    <row r="827" spans="1:6" x14ac:dyDescent="0.2">
      <c r="A827">
        <v>538457</v>
      </c>
      <c r="B827" t="s">
        <v>831</v>
      </c>
      <c r="C827">
        <v>0</v>
      </c>
      <c r="D827">
        <v>5</v>
      </c>
      <c r="E827">
        <v>0</v>
      </c>
      <c r="F827">
        <v>0</v>
      </c>
    </row>
    <row r="828" spans="1:6" x14ac:dyDescent="0.2">
      <c r="A828">
        <v>542050</v>
      </c>
      <c r="B828" t="s">
        <v>832</v>
      </c>
      <c r="C828">
        <v>101</v>
      </c>
      <c r="D828">
        <v>11</v>
      </c>
      <c r="E828">
        <v>25</v>
      </c>
      <c r="F828">
        <v>0.1089108910891089</v>
      </c>
    </row>
    <row r="829" spans="1:6" x14ac:dyDescent="0.2">
      <c r="A829">
        <v>542060</v>
      </c>
      <c r="B829" t="s">
        <v>833</v>
      </c>
      <c r="C829">
        <v>2</v>
      </c>
      <c r="D829">
        <v>6</v>
      </c>
      <c r="E829">
        <v>0</v>
      </c>
      <c r="F829">
        <v>3</v>
      </c>
    </row>
    <row r="830" spans="1:6" x14ac:dyDescent="0.2">
      <c r="A830">
        <v>543347</v>
      </c>
      <c r="B830" t="s">
        <v>834</v>
      </c>
      <c r="C830">
        <v>28</v>
      </c>
      <c r="D830">
        <v>86</v>
      </c>
      <c r="E830">
        <v>18</v>
      </c>
      <c r="F830">
        <v>3.0714285714285721</v>
      </c>
    </row>
    <row r="831" spans="1:6" x14ac:dyDescent="0.2">
      <c r="A831">
        <v>547648</v>
      </c>
      <c r="B831" t="s">
        <v>835</v>
      </c>
      <c r="C831">
        <v>0</v>
      </c>
      <c r="D831">
        <v>18</v>
      </c>
      <c r="E831">
        <v>84</v>
      </c>
      <c r="F831">
        <v>0</v>
      </c>
    </row>
    <row r="832" spans="1:6" x14ac:dyDescent="0.2">
      <c r="A832">
        <v>548262</v>
      </c>
      <c r="B832" t="s">
        <v>836</v>
      </c>
      <c r="C832">
        <v>7</v>
      </c>
      <c r="D832">
        <v>156</v>
      </c>
      <c r="E832">
        <v>130</v>
      </c>
      <c r="F832">
        <v>22.285714285714281</v>
      </c>
    </row>
    <row r="833" spans="1:6" x14ac:dyDescent="0.2">
      <c r="A833">
        <v>549754</v>
      </c>
      <c r="B833" t="s">
        <v>837</v>
      </c>
      <c r="C833">
        <v>16</v>
      </c>
      <c r="D833">
        <v>21</v>
      </c>
      <c r="E833">
        <v>7</v>
      </c>
      <c r="F833">
        <v>1.3125</v>
      </c>
    </row>
    <row r="834" spans="1:6" x14ac:dyDescent="0.2">
      <c r="A834">
        <v>551261</v>
      </c>
      <c r="B834" t="s">
        <v>838</v>
      </c>
      <c r="C834">
        <v>0</v>
      </c>
      <c r="D834">
        <v>8</v>
      </c>
      <c r="E834">
        <v>0</v>
      </c>
      <c r="F834">
        <v>0</v>
      </c>
    </row>
    <row r="835" spans="1:6" x14ac:dyDescent="0.2">
      <c r="A835">
        <v>552247</v>
      </c>
      <c r="B835" t="s">
        <v>839</v>
      </c>
      <c r="C835">
        <v>30</v>
      </c>
      <c r="D835">
        <v>54</v>
      </c>
      <c r="E835">
        <v>12</v>
      </c>
      <c r="F835">
        <v>1.8</v>
      </c>
    </row>
    <row r="836" spans="1:6" x14ac:dyDescent="0.2">
      <c r="A836">
        <v>554048</v>
      </c>
      <c r="B836" t="s">
        <v>840</v>
      </c>
      <c r="C836">
        <v>19</v>
      </c>
      <c r="D836">
        <v>88</v>
      </c>
      <c r="E836">
        <v>0</v>
      </c>
      <c r="F836">
        <v>4.6315789473684212</v>
      </c>
    </row>
    <row r="837" spans="1:6" x14ac:dyDescent="0.2">
      <c r="A837">
        <v>556455</v>
      </c>
      <c r="B837" t="s">
        <v>841</v>
      </c>
      <c r="C837">
        <v>25</v>
      </c>
      <c r="D837">
        <v>50</v>
      </c>
      <c r="E837">
        <v>14</v>
      </c>
      <c r="F837">
        <v>2</v>
      </c>
    </row>
    <row r="838" spans="1:6" x14ac:dyDescent="0.2">
      <c r="A838">
        <v>556953</v>
      </c>
      <c r="B838" t="s">
        <v>842</v>
      </c>
      <c r="C838">
        <v>6</v>
      </c>
      <c r="D838">
        <v>13</v>
      </c>
      <c r="E838">
        <v>0</v>
      </c>
      <c r="F838">
        <v>2.166666666666667</v>
      </c>
    </row>
    <row r="839" spans="1:6" x14ac:dyDescent="0.2">
      <c r="A839">
        <v>557455</v>
      </c>
      <c r="B839" t="s">
        <v>843</v>
      </c>
      <c r="C839">
        <v>0</v>
      </c>
      <c r="D839">
        <v>3</v>
      </c>
      <c r="E839">
        <v>0</v>
      </c>
      <c r="F839">
        <v>0</v>
      </c>
    </row>
    <row r="840" spans="1:6" x14ac:dyDescent="0.2">
      <c r="A840">
        <v>559849</v>
      </c>
      <c r="B840" t="s">
        <v>844</v>
      </c>
      <c r="C840">
        <v>0</v>
      </c>
      <c r="D840">
        <v>0</v>
      </c>
      <c r="E840">
        <v>9</v>
      </c>
      <c r="F840">
        <v>0</v>
      </c>
    </row>
    <row r="841" spans="1:6" x14ac:dyDescent="0.2">
      <c r="A841">
        <v>567756</v>
      </c>
      <c r="B841" t="s">
        <v>845</v>
      </c>
      <c r="C841">
        <v>34</v>
      </c>
      <c r="D841">
        <v>262</v>
      </c>
      <c r="E841">
        <v>229</v>
      </c>
      <c r="F841">
        <v>7.7058823529411766</v>
      </c>
    </row>
    <row r="842" spans="1:6" x14ac:dyDescent="0.2">
      <c r="A842">
        <v>568450</v>
      </c>
      <c r="B842" t="s">
        <v>846</v>
      </c>
      <c r="C842">
        <v>0</v>
      </c>
      <c r="D842">
        <v>30</v>
      </c>
      <c r="E842">
        <v>6</v>
      </c>
      <c r="F842">
        <v>0</v>
      </c>
    </row>
    <row r="843" spans="1:6" x14ac:dyDescent="0.2">
      <c r="A843">
        <v>570556</v>
      </c>
      <c r="B843" t="s">
        <v>847</v>
      </c>
      <c r="C843">
        <v>0</v>
      </c>
      <c r="D843">
        <v>58</v>
      </c>
      <c r="E843">
        <v>14</v>
      </c>
      <c r="F843">
        <v>0</v>
      </c>
    </row>
    <row r="844" spans="1:6" x14ac:dyDescent="0.2">
      <c r="A844">
        <v>570653</v>
      </c>
      <c r="B844" t="s">
        <v>848</v>
      </c>
      <c r="C844">
        <v>0</v>
      </c>
      <c r="D844">
        <v>20</v>
      </c>
      <c r="E844">
        <v>10</v>
      </c>
      <c r="F844">
        <v>0</v>
      </c>
    </row>
    <row r="845" spans="1:6" x14ac:dyDescent="0.2">
      <c r="A845">
        <v>579148</v>
      </c>
      <c r="B845" t="s">
        <v>849</v>
      </c>
      <c r="C845">
        <v>0</v>
      </c>
      <c r="D845">
        <v>3</v>
      </c>
      <c r="E845">
        <v>3</v>
      </c>
      <c r="F845">
        <v>0</v>
      </c>
    </row>
    <row r="846" spans="1:6" x14ac:dyDescent="0.2">
      <c r="A846" t="s">
        <v>850</v>
      </c>
      <c r="B846" t="s">
        <v>851</v>
      </c>
      <c r="C846">
        <v>5</v>
      </c>
      <c r="D846">
        <v>1</v>
      </c>
      <c r="E846">
        <v>14</v>
      </c>
      <c r="F846">
        <v>0.2</v>
      </c>
    </row>
    <row r="847" spans="1:6" x14ac:dyDescent="0.2">
      <c r="A847" t="s">
        <v>852</v>
      </c>
      <c r="B847" t="s">
        <v>853</v>
      </c>
      <c r="C847">
        <v>2119</v>
      </c>
      <c r="D847">
        <v>13</v>
      </c>
      <c r="E847">
        <v>63</v>
      </c>
      <c r="F847">
        <v>6.1349693251533744E-3</v>
      </c>
    </row>
    <row r="848" spans="1:6" x14ac:dyDescent="0.2">
      <c r="A848" t="s">
        <v>854</v>
      </c>
      <c r="B848" t="s">
        <v>855</v>
      </c>
      <c r="C848">
        <v>8800</v>
      </c>
      <c r="D848">
        <v>59</v>
      </c>
      <c r="E848">
        <v>7</v>
      </c>
      <c r="F848">
        <v>6.7045454545454543E-3</v>
      </c>
    </row>
    <row r="849" spans="1:6" x14ac:dyDescent="0.2">
      <c r="A849" t="s">
        <v>856</v>
      </c>
      <c r="B849" t="s">
        <v>857</v>
      </c>
      <c r="C849">
        <v>5316</v>
      </c>
      <c r="D849">
        <v>41</v>
      </c>
      <c r="E849">
        <v>1</v>
      </c>
      <c r="F849">
        <v>7.7125658389766739E-3</v>
      </c>
    </row>
    <row r="850" spans="1:6" x14ac:dyDescent="0.2">
      <c r="A850" t="s">
        <v>858</v>
      </c>
      <c r="B850" t="s">
        <v>859</v>
      </c>
      <c r="C850">
        <v>328</v>
      </c>
      <c r="D850">
        <v>78</v>
      </c>
      <c r="E850">
        <v>0</v>
      </c>
      <c r="F850">
        <v>0.2378048780487805</v>
      </c>
    </row>
    <row r="851" spans="1:6" x14ac:dyDescent="0.2">
      <c r="A851" t="s">
        <v>860</v>
      </c>
      <c r="B851" t="s">
        <v>861</v>
      </c>
      <c r="C851">
        <v>322</v>
      </c>
      <c r="D851">
        <v>781</v>
      </c>
      <c r="E851">
        <v>178</v>
      </c>
      <c r="F851">
        <v>2.4254658385093171</v>
      </c>
    </row>
    <row r="852" spans="1:6" x14ac:dyDescent="0.2">
      <c r="A852" t="s">
        <v>862</v>
      </c>
      <c r="B852" t="s">
        <v>863</v>
      </c>
      <c r="C852">
        <v>139</v>
      </c>
      <c r="D852">
        <v>41</v>
      </c>
      <c r="E852">
        <v>14</v>
      </c>
      <c r="F852">
        <v>0.29496402877697842</v>
      </c>
    </row>
    <row r="853" spans="1:6" x14ac:dyDescent="0.2">
      <c r="A853" t="s">
        <v>864</v>
      </c>
      <c r="B853" t="s">
        <v>865</v>
      </c>
      <c r="C853">
        <v>203</v>
      </c>
      <c r="D853">
        <v>15</v>
      </c>
      <c r="E853">
        <v>0</v>
      </c>
      <c r="F853">
        <v>7.3891625615763554E-2</v>
      </c>
    </row>
    <row r="854" spans="1:6" x14ac:dyDescent="0.2">
      <c r="A854" t="s">
        <v>866</v>
      </c>
      <c r="B854" t="s">
        <v>867</v>
      </c>
      <c r="C854">
        <v>1</v>
      </c>
      <c r="D854">
        <v>60</v>
      </c>
      <c r="E854">
        <v>9</v>
      </c>
      <c r="F854">
        <v>60</v>
      </c>
    </row>
    <row r="855" spans="1:6" x14ac:dyDescent="0.2">
      <c r="A855" t="s">
        <v>868</v>
      </c>
      <c r="B855" t="s">
        <v>869</v>
      </c>
      <c r="C855">
        <v>0</v>
      </c>
      <c r="D855">
        <v>136</v>
      </c>
      <c r="E855">
        <v>0</v>
      </c>
      <c r="F855">
        <v>0</v>
      </c>
    </row>
    <row r="856" spans="1:6" x14ac:dyDescent="0.2">
      <c r="A856" t="s">
        <v>870</v>
      </c>
      <c r="B856" t="s">
        <v>871</v>
      </c>
      <c r="C856">
        <v>92</v>
      </c>
      <c r="D856">
        <v>34</v>
      </c>
      <c r="E856">
        <v>12</v>
      </c>
      <c r="F856">
        <v>0.36956521739130432</v>
      </c>
    </row>
    <row r="857" spans="1:6" x14ac:dyDescent="0.2">
      <c r="A857" t="s">
        <v>872</v>
      </c>
      <c r="B857" t="s">
        <v>873</v>
      </c>
      <c r="C857">
        <v>1800</v>
      </c>
      <c r="D857">
        <v>68</v>
      </c>
      <c r="E857">
        <v>28</v>
      </c>
      <c r="F857">
        <v>3.7777777777777778E-2</v>
      </c>
    </row>
    <row r="858" spans="1:6" x14ac:dyDescent="0.2">
      <c r="A858" t="s">
        <v>874</v>
      </c>
      <c r="B858" t="s">
        <v>875</v>
      </c>
      <c r="C858">
        <v>57</v>
      </c>
      <c r="D858">
        <v>51</v>
      </c>
      <c r="E858">
        <v>0</v>
      </c>
      <c r="F858">
        <v>0.89473684210526316</v>
      </c>
    </row>
    <row r="859" spans="1:6" x14ac:dyDescent="0.2">
      <c r="A859" t="s">
        <v>876</v>
      </c>
      <c r="B859" t="s">
        <v>877</v>
      </c>
      <c r="C859">
        <v>0</v>
      </c>
      <c r="D859">
        <v>8</v>
      </c>
      <c r="E859">
        <v>0</v>
      </c>
      <c r="F859">
        <v>0</v>
      </c>
    </row>
    <row r="860" spans="1:6" x14ac:dyDescent="0.2">
      <c r="A860" t="s">
        <v>878</v>
      </c>
      <c r="B860" t="s">
        <v>879</v>
      </c>
      <c r="C860">
        <v>284</v>
      </c>
      <c r="D860">
        <v>248</v>
      </c>
      <c r="E860">
        <v>93</v>
      </c>
      <c r="F860">
        <v>0.87323943661971826</v>
      </c>
    </row>
    <row r="861" spans="1:6" x14ac:dyDescent="0.2">
      <c r="A861" t="s">
        <v>880</v>
      </c>
      <c r="B861" t="s">
        <v>881</v>
      </c>
      <c r="C861">
        <v>12</v>
      </c>
      <c r="D861">
        <v>518</v>
      </c>
      <c r="E861">
        <v>39</v>
      </c>
      <c r="F861">
        <v>43.166666666666657</v>
      </c>
    </row>
    <row r="862" spans="1:6" x14ac:dyDescent="0.2">
      <c r="A862" t="s">
        <v>882</v>
      </c>
      <c r="B862" t="s">
        <v>883</v>
      </c>
      <c r="C862">
        <v>0</v>
      </c>
      <c r="D862">
        <v>10</v>
      </c>
      <c r="E862">
        <v>0</v>
      </c>
      <c r="F862">
        <v>0</v>
      </c>
    </row>
    <row r="863" spans="1:6" x14ac:dyDescent="0.2">
      <c r="A863" t="s">
        <v>884</v>
      </c>
      <c r="B863" t="s">
        <v>885</v>
      </c>
      <c r="C863">
        <v>0</v>
      </c>
      <c r="D863">
        <v>57</v>
      </c>
      <c r="E863">
        <v>0</v>
      </c>
      <c r="F863">
        <v>0</v>
      </c>
    </row>
    <row r="864" spans="1:6" x14ac:dyDescent="0.2">
      <c r="A864" t="s">
        <v>886</v>
      </c>
      <c r="B864" t="s">
        <v>887</v>
      </c>
      <c r="C864">
        <v>10</v>
      </c>
      <c r="D864">
        <v>2</v>
      </c>
      <c r="E864">
        <v>0</v>
      </c>
      <c r="F86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I26" sqref="I26"/>
    </sheetView>
  </sheetViews>
  <sheetFormatPr baseColWidth="10" defaultColWidth="8.83203125" defaultRowHeight="15" x14ac:dyDescent="0.2"/>
  <cols>
    <col min="1" max="1" width="29.6640625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888</v>
      </c>
      <c r="B1" s="1" t="s">
        <v>889</v>
      </c>
      <c r="C1" s="1" t="s">
        <v>890</v>
      </c>
    </row>
    <row r="2" spans="1:3" x14ac:dyDescent="0.2">
      <c r="A2" t="s">
        <v>891</v>
      </c>
      <c r="C2">
        <v>199784</v>
      </c>
    </row>
    <row r="3" spans="1:3" x14ac:dyDescent="0.2">
      <c r="A3" t="s">
        <v>892</v>
      </c>
      <c r="B3">
        <v>863</v>
      </c>
    </row>
    <row r="4" spans="1:3" x14ac:dyDescent="0.2">
      <c r="A4" t="s">
        <v>893</v>
      </c>
      <c r="C4">
        <v>12795</v>
      </c>
    </row>
    <row r="5" spans="1:3" x14ac:dyDescent="0.2">
      <c r="A5" t="s">
        <v>894</v>
      </c>
      <c r="B5">
        <v>80</v>
      </c>
    </row>
    <row r="6" spans="1:3" x14ac:dyDescent="0.2">
      <c r="A6" t="s">
        <v>895</v>
      </c>
      <c r="C6">
        <v>23806</v>
      </c>
    </row>
    <row r="7" spans="1:3" x14ac:dyDescent="0.2">
      <c r="A7" t="s">
        <v>896</v>
      </c>
      <c r="B7">
        <v>229</v>
      </c>
    </row>
    <row r="8" spans="1:3" x14ac:dyDescent="0.2">
      <c r="A8" t="s">
        <v>897</v>
      </c>
      <c r="C8">
        <v>12112</v>
      </c>
    </row>
    <row r="9" spans="1:3" x14ac:dyDescent="0.2">
      <c r="A9" t="s">
        <v>898</v>
      </c>
      <c r="B9">
        <v>67</v>
      </c>
    </row>
    <row r="11" spans="1:3" x14ac:dyDescent="0.2">
      <c r="A11" t="s">
        <v>899</v>
      </c>
      <c r="C11">
        <v>124945</v>
      </c>
    </row>
    <row r="12" spans="1:3" x14ac:dyDescent="0.2">
      <c r="A12" t="s">
        <v>900</v>
      </c>
      <c r="B12">
        <v>80</v>
      </c>
    </row>
    <row r="13" spans="1:3" x14ac:dyDescent="0.2">
      <c r="A13" t="s">
        <v>901</v>
      </c>
      <c r="C13">
        <v>5032</v>
      </c>
    </row>
    <row r="14" spans="1:3" x14ac:dyDescent="0.2">
      <c r="A14" t="s">
        <v>902</v>
      </c>
      <c r="B14">
        <v>6</v>
      </c>
    </row>
    <row r="15" spans="1:3" x14ac:dyDescent="0.2">
      <c r="A15" t="s">
        <v>903</v>
      </c>
      <c r="C15">
        <v>7697</v>
      </c>
    </row>
    <row r="16" spans="1:3" x14ac:dyDescent="0.2">
      <c r="A16" t="s">
        <v>904</v>
      </c>
      <c r="B16">
        <v>9</v>
      </c>
    </row>
    <row r="17" spans="1:3" x14ac:dyDescent="0.2">
      <c r="A17" t="s">
        <v>905</v>
      </c>
      <c r="C17">
        <v>6663</v>
      </c>
    </row>
    <row r="18" spans="1:3" x14ac:dyDescent="0.2">
      <c r="A18" t="s">
        <v>906</v>
      </c>
      <c r="B18">
        <v>7</v>
      </c>
    </row>
    <row r="19" spans="1:3" x14ac:dyDescent="0.2">
      <c r="A19" t="s">
        <v>907</v>
      </c>
      <c r="C19">
        <v>20209</v>
      </c>
    </row>
    <row r="20" spans="1:3" x14ac:dyDescent="0.2">
      <c r="A20" t="s">
        <v>908</v>
      </c>
      <c r="B20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79D8-121D-E443-818F-D7B49715714B}">
  <dimension ref="A1:M18"/>
  <sheetViews>
    <sheetView tabSelected="1" workbookViewId="0">
      <selection activeCell="A14" sqref="A14"/>
    </sheetView>
  </sheetViews>
  <sheetFormatPr baseColWidth="10" defaultRowHeight="15" x14ac:dyDescent="0.2"/>
  <cols>
    <col min="1" max="1" width="39.1640625" bestFit="1" customWidth="1"/>
  </cols>
  <sheetData>
    <row r="1" spans="1:13" x14ac:dyDescent="0.2">
      <c r="A1" s="5" t="s">
        <v>915</v>
      </c>
      <c r="B1" s="4" t="s">
        <v>909</v>
      </c>
      <c r="C1" s="4" t="s">
        <v>910</v>
      </c>
      <c r="D1" s="4" t="s">
        <v>911</v>
      </c>
      <c r="E1" s="4" t="s">
        <v>912</v>
      </c>
      <c r="F1" s="4" t="s">
        <v>913</v>
      </c>
      <c r="G1" s="4" t="s">
        <v>914</v>
      </c>
      <c r="H1" s="4" t="s">
        <v>917</v>
      </c>
      <c r="I1" s="4" t="s">
        <v>918</v>
      </c>
      <c r="J1" s="4" t="s">
        <v>919</v>
      </c>
      <c r="K1" s="4" t="s">
        <v>920</v>
      </c>
      <c r="L1" s="4" t="s">
        <v>921</v>
      </c>
      <c r="M1" s="4" t="s">
        <v>922</v>
      </c>
    </row>
    <row r="2" spans="1:13" x14ac:dyDescent="0.2">
      <c r="A2" s="2" t="s">
        <v>3</v>
      </c>
      <c r="B2" s="3">
        <v>10923</v>
      </c>
      <c r="C2" s="3">
        <v>13025</v>
      </c>
      <c r="D2" s="3">
        <v>15096</v>
      </c>
      <c r="E2" s="3">
        <v>17931</v>
      </c>
      <c r="F2" s="3">
        <v>17165</v>
      </c>
      <c r="G2" s="3">
        <v>17483</v>
      </c>
    </row>
    <row r="3" spans="1:13" x14ac:dyDescent="0.2">
      <c r="A3" s="2" t="s">
        <v>4</v>
      </c>
      <c r="B3" s="3">
        <v>3211</v>
      </c>
      <c r="C3" s="3">
        <v>3143</v>
      </c>
      <c r="D3" s="3">
        <v>7483</v>
      </c>
      <c r="E3" s="3">
        <v>10966</v>
      </c>
      <c r="F3" s="3">
        <v>11887</v>
      </c>
      <c r="G3" s="3">
        <v>11347</v>
      </c>
    </row>
    <row r="4" spans="1:13" x14ac:dyDescent="0.2">
      <c r="A4" t="s">
        <v>916</v>
      </c>
      <c r="B4" s="3">
        <v>1408</v>
      </c>
      <c r="C4" s="3">
        <v>2601</v>
      </c>
      <c r="D4" s="3">
        <v>3814</v>
      </c>
      <c r="E4" s="3">
        <v>5494</v>
      </c>
      <c r="F4" s="3">
        <v>6825</v>
      </c>
      <c r="G4" s="3">
        <v>2830</v>
      </c>
      <c r="H4" s="3">
        <v>3623</v>
      </c>
      <c r="I4" s="3">
        <v>6126</v>
      </c>
      <c r="J4" s="3">
        <v>6413</v>
      </c>
      <c r="K4" s="3">
        <v>8787</v>
      </c>
      <c r="L4" s="3">
        <v>7633</v>
      </c>
      <c r="M4" s="3">
        <v>6818</v>
      </c>
    </row>
    <row r="8" spans="1:13" x14ac:dyDescent="0.2">
      <c r="A8" s="5" t="s">
        <v>923</v>
      </c>
      <c r="B8" s="4" t="s">
        <v>909</v>
      </c>
      <c r="C8" s="4" t="s">
        <v>910</v>
      </c>
      <c r="D8" s="4" t="s">
        <v>911</v>
      </c>
      <c r="E8" s="4" t="s">
        <v>912</v>
      </c>
      <c r="F8" s="4" t="s">
        <v>913</v>
      </c>
      <c r="G8" s="4" t="s">
        <v>914</v>
      </c>
      <c r="H8" s="4" t="s">
        <v>917</v>
      </c>
      <c r="I8" s="4" t="s">
        <v>918</v>
      </c>
      <c r="J8" s="4" t="s">
        <v>919</v>
      </c>
      <c r="K8" s="4" t="s">
        <v>920</v>
      </c>
      <c r="L8" s="4" t="s">
        <v>921</v>
      </c>
      <c r="M8" s="4" t="s">
        <v>922</v>
      </c>
    </row>
    <row r="9" spans="1:13" x14ac:dyDescent="0.2">
      <c r="A9" t="s">
        <v>926</v>
      </c>
      <c r="B9" s="6">
        <v>0.317</v>
      </c>
      <c r="C9" s="6">
        <v>0.317</v>
      </c>
      <c r="D9" s="6">
        <v>0.317</v>
      </c>
      <c r="E9" s="6">
        <v>0.317</v>
      </c>
      <c r="F9" s="6">
        <v>0.317</v>
      </c>
      <c r="G9" s="6">
        <v>0.317</v>
      </c>
      <c r="H9" s="6">
        <v>0.317</v>
      </c>
      <c r="I9" s="6">
        <v>0.317</v>
      </c>
      <c r="J9" s="6">
        <v>0.317</v>
      </c>
      <c r="K9" s="6">
        <v>0.317</v>
      </c>
      <c r="L9" s="6">
        <v>0.317</v>
      </c>
      <c r="M9" s="6">
        <v>0.317</v>
      </c>
    </row>
    <row r="10" spans="1:13" x14ac:dyDescent="0.2">
      <c r="A10" t="s">
        <v>927</v>
      </c>
      <c r="B10" s="6">
        <v>0.43099999999999999</v>
      </c>
      <c r="C10" s="6">
        <v>0.43099999999999999</v>
      </c>
      <c r="D10" s="6">
        <v>0.43099999999999999</v>
      </c>
      <c r="E10" s="6">
        <v>0.43099999999999999</v>
      </c>
      <c r="F10" s="6">
        <v>0.43099999999999999</v>
      </c>
      <c r="G10" s="6">
        <v>0.43099999999999999</v>
      </c>
      <c r="H10" s="6">
        <v>0.43099999999999999</v>
      </c>
      <c r="I10" s="6">
        <v>0.43099999999999999</v>
      </c>
      <c r="J10" s="6">
        <v>0.43099999999999999</v>
      </c>
      <c r="K10" s="6">
        <v>0.43099999999999999</v>
      </c>
      <c r="L10" s="6">
        <v>0.43099999999999999</v>
      </c>
      <c r="M10" s="6">
        <v>0.43099999999999999</v>
      </c>
    </row>
    <row r="11" spans="1:13" x14ac:dyDescent="0.2">
      <c r="A11" t="s">
        <v>928</v>
      </c>
      <c r="B11" s="7">
        <v>0.03</v>
      </c>
      <c r="C11" s="7">
        <v>3.1E-2</v>
      </c>
      <c r="D11" s="7">
        <v>3.5999999999999997E-2</v>
      </c>
      <c r="E11" s="7">
        <v>0.04</v>
      </c>
      <c r="F11" s="7">
        <v>4.2000000000000003E-2</v>
      </c>
      <c r="G11" s="7">
        <v>4.2999999999999997E-2</v>
      </c>
    </row>
    <row r="12" spans="1:13" x14ac:dyDescent="0.2">
      <c r="A12" t="s">
        <v>924</v>
      </c>
      <c r="C12" s="7">
        <v>0.11</v>
      </c>
      <c r="D12" s="7">
        <v>0.129</v>
      </c>
      <c r="E12" s="7">
        <v>0.13200000000000001</v>
      </c>
      <c r="F12" s="7">
        <v>0.14099999999999999</v>
      </c>
      <c r="G12" s="8">
        <v>0.152</v>
      </c>
    </row>
    <row r="13" spans="1:13" x14ac:dyDescent="0.2">
      <c r="A13" t="s">
        <v>933</v>
      </c>
      <c r="C13" s="7">
        <v>0.14099999999999999</v>
      </c>
      <c r="D13" s="7">
        <v>0.16500000000000001</v>
      </c>
      <c r="E13" s="7">
        <v>0.189</v>
      </c>
      <c r="F13" s="7">
        <v>0.2</v>
      </c>
      <c r="G13" s="7">
        <v>0.22900000000000001</v>
      </c>
    </row>
    <row r="14" spans="1:13" x14ac:dyDescent="0.2">
      <c r="A14" t="s">
        <v>932</v>
      </c>
      <c r="E14" s="6">
        <f>E13+E17</f>
        <v>0.28800000000000003</v>
      </c>
      <c r="F14" s="6">
        <f>F13+F17</f>
        <v>0.33900000000000002</v>
      </c>
      <c r="G14" s="6">
        <f>G13+G17</f>
        <v>0.35799999999999998</v>
      </c>
    </row>
    <row r="16" spans="1:13" x14ac:dyDescent="0.2">
      <c r="I16" t="s">
        <v>929</v>
      </c>
      <c r="J16" t="s">
        <v>930</v>
      </c>
      <c r="K16" t="s">
        <v>931</v>
      </c>
    </row>
    <row r="17" spans="1:11" x14ac:dyDescent="0.2">
      <c r="A17" t="s">
        <v>925</v>
      </c>
      <c r="E17" s="7">
        <v>9.9000000000000005E-2</v>
      </c>
      <c r="F17" s="7">
        <v>0.13900000000000001</v>
      </c>
      <c r="G17" s="7">
        <v>0.129</v>
      </c>
      <c r="I17" s="9">
        <f>29989/156912</f>
        <v>0.19111986336290404</v>
      </c>
      <c r="J17" s="9">
        <f>7127/156912</f>
        <v>4.542036300601611E-2</v>
      </c>
      <c r="K17" s="9">
        <f>1807/156912</f>
        <v>1.1516008973182421E-2</v>
      </c>
    </row>
    <row r="18" spans="1:11" x14ac:dyDescent="0.2">
      <c r="I18">
        <v>23</v>
      </c>
      <c r="J18">
        <v>37</v>
      </c>
      <c r="K18">
        <v>40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Data</vt:lpstr>
      <vt:lpstr>Overview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2025-07-10T15:45:50Z</dcterms:created>
  <dcterms:modified xsi:type="dcterms:W3CDTF">2025-07-10T22:59:47Z</dcterms:modified>
</cp:coreProperties>
</file>