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ckardish/Documents/APAP Working Sheets/"/>
    </mc:Choice>
  </mc:AlternateContent>
  <xr:revisionPtr revIDLastSave="0" documentId="13_ncr:1_{FDD85906-FCFA-4442-9C5B-2744A62095DA}" xr6:coauthVersionLast="47" xr6:coauthVersionMax="47" xr10:uidLastSave="{00000000-0000-0000-0000-000000000000}"/>
  <bookViews>
    <workbookView xWindow="0" yWindow="600" windowWidth="26240" windowHeight="16360" activeTab="3" xr2:uid="{00000000-000D-0000-FFFF-FFFF00000000}"/>
  </bookViews>
  <sheets>
    <sheet name="Early Dropped" sheetId="1" r:id="rId1"/>
    <sheet name="High Early Dropped" sheetId="2" r:id="rId2"/>
    <sheet name="Reengaged" sheetId="3" r:id="rId3"/>
    <sheet name="Still Inactive" sheetId="4" r:id="rId4"/>
  </sheets>
  <definedNames>
    <definedName name="_xlnm._FilterDatabase" localSheetId="2" hidden="1">Reengaged!$A$1:$H$40</definedName>
    <definedName name="_xlnm._FilterDatabase" localSheetId="3" hidden="1">'Still Inactive'!$A$1:$H$303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4" i="4" l="1"/>
  <c r="H290" i="4"/>
  <c r="H41" i="4"/>
  <c r="H84" i="4"/>
  <c r="H7" i="4"/>
  <c r="H37" i="4"/>
  <c r="H50" i="4"/>
  <c r="H293" i="4"/>
  <c r="H8" i="4"/>
  <c r="H295" i="4"/>
  <c r="H123" i="4"/>
  <c r="H10" i="4"/>
  <c r="H296" i="4"/>
  <c r="H280" i="4"/>
  <c r="H285" i="4"/>
  <c r="H283" i="4"/>
  <c r="H16" i="4"/>
  <c r="H18" i="4"/>
  <c r="H289" i="4"/>
  <c r="H38" i="4"/>
  <c r="H45" i="4"/>
  <c r="H297" i="4"/>
  <c r="H303" i="4"/>
  <c r="H298" i="4"/>
  <c r="H47" i="4"/>
  <c r="H2" i="4"/>
  <c r="H79" i="4"/>
  <c r="H265" i="4"/>
  <c r="H300" i="4"/>
  <c r="H78" i="4"/>
  <c r="H264" i="4"/>
  <c r="H277" i="4"/>
  <c r="H267" i="4"/>
  <c r="H52" i="4"/>
  <c r="H301" i="4"/>
  <c r="H42" i="4"/>
  <c r="H3" i="4"/>
  <c r="H54" i="4"/>
  <c r="H55" i="4"/>
  <c r="H57" i="4"/>
  <c r="H58" i="4"/>
  <c r="H4" i="4"/>
  <c r="H271" i="4"/>
  <c r="H44" i="4"/>
  <c r="H276" i="4"/>
  <c r="H59" i="4"/>
  <c r="H64" i="4"/>
  <c r="H89" i="4"/>
  <c r="H287" i="4"/>
  <c r="H282" i="4"/>
  <c r="H95" i="4"/>
  <c r="H66" i="4"/>
  <c r="H53" i="4"/>
  <c r="H69" i="4"/>
  <c r="H302" i="4"/>
  <c r="H294" i="4"/>
  <c r="H121" i="4"/>
  <c r="H72" i="4"/>
  <c r="H70" i="4"/>
  <c r="H73" i="4"/>
  <c r="H299" i="4"/>
  <c r="H278" i="4"/>
  <c r="H77" i="4"/>
  <c r="H5" i="4"/>
  <c r="H63" i="4"/>
  <c r="H129" i="4"/>
  <c r="H81" i="4"/>
  <c r="H6" i="4"/>
  <c r="H82" i="4"/>
  <c r="H85" i="4"/>
  <c r="H9" i="4"/>
  <c r="H86" i="4"/>
  <c r="H80" i="4"/>
  <c r="H288" i="4"/>
  <c r="H88" i="4"/>
  <c r="H91" i="4"/>
  <c r="H11" i="4"/>
  <c r="H12" i="4"/>
  <c r="H13" i="4"/>
  <c r="H266" i="4"/>
  <c r="H268" i="4"/>
  <c r="H14" i="4"/>
  <c r="H92" i="4"/>
  <c r="H260" i="4"/>
  <c r="H15" i="4"/>
  <c r="H96" i="4"/>
  <c r="H97" i="4"/>
  <c r="H98" i="4"/>
  <c r="H120" i="4"/>
  <c r="H254" i="4"/>
  <c r="H94" i="4"/>
  <c r="H255" i="4"/>
  <c r="H261" i="4"/>
  <c r="H256" i="4"/>
  <c r="H257" i="4"/>
  <c r="H258" i="4"/>
  <c r="H292" i="4"/>
  <c r="H259" i="4"/>
  <c r="H17" i="4"/>
  <c r="H262" i="4"/>
  <c r="H281" i="4"/>
  <c r="H286" i="4"/>
  <c r="H75" i="4"/>
  <c r="H62" i="4"/>
  <c r="H291" i="4"/>
  <c r="H19" i="4"/>
  <c r="H104" i="4"/>
  <c r="H60" i="4"/>
  <c r="H270" i="4"/>
  <c r="H115" i="4"/>
  <c r="H20" i="4"/>
  <c r="H67" i="4"/>
  <c r="H279" i="4"/>
  <c r="H108" i="4"/>
  <c r="H269" i="4"/>
  <c r="H46" i="4"/>
  <c r="H83" i="4"/>
  <c r="H68" i="4"/>
  <c r="H39" i="4"/>
  <c r="H40" i="4"/>
  <c r="H93" i="4"/>
  <c r="H87" i="4"/>
  <c r="H21" i="4"/>
  <c r="H22" i="4"/>
  <c r="H23" i="4"/>
  <c r="H76" i="4"/>
  <c r="H71" i="4"/>
  <c r="H263" i="4"/>
  <c r="H24" i="4"/>
  <c r="H25" i="4"/>
  <c r="H26" i="4"/>
  <c r="H61" i="4"/>
  <c r="H114" i="4"/>
  <c r="H27" i="4"/>
  <c r="H28" i="4"/>
  <c r="H51" i="4"/>
  <c r="H74" i="4"/>
  <c r="H29" i="4"/>
  <c r="H65" i="4"/>
  <c r="H30" i="4"/>
  <c r="H56" i="4"/>
  <c r="H106" i="4"/>
  <c r="H43" i="4"/>
  <c r="H31" i="4"/>
  <c r="H49" i="4"/>
  <c r="H32" i="4"/>
  <c r="H33" i="4"/>
  <c r="H34" i="4"/>
  <c r="H48" i="4"/>
  <c r="H90" i="4"/>
  <c r="H118" i="4"/>
  <c r="H35" i="4"/>
  <c r="H36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2" i="3"/>
</calcChain>
</file>

<file path=xl/sharedStrings.xml><?xml version="1.0" encoding="utf-8"?>
<sst xmlns="http://schemas.openxmlformats.org/spreadsheetml/2006/main" count="410" uniqueCount="372">
  <si>
    <t>Account_Number</t>
  </si>
  <si>
    <t>AgencyName</t>
  </si>
  <si>
    <t>Axon Footprint</t>
  </si>
  <si>
    <t>Jan_Eligibility_Cohort</t>
  </si>
  <si>
    <t>Sept_Eligibility_Cohort</t>
  </si>
  <si>
    <t>Jan_T12_SIM_pp</t>
  </si>
  <si>
    <t>Sept_T12_SIM_pp</t>
  </si>
  <si>
    <t>Volusia Sheriff's Office - FL</t>
  </si>
  <si>
    <t>Liberty Hill Police Dept. - TX</t>
  </si>
  <si>
    <t>Westmont Police Dept. - IL</t>
  </si>
  <si>
    <t>University of Maryland Baltimore - MD</t>
  </si>
  <si>
    <t>Surprise Police Dept. - AZ</t>
  </si>
  <si>
    <t>Kanawha County Sheriff's Office - WV</t>
  </si>
  <si>
    <t>Pueblo County Sheriff's Office - CO</t>
  </si>
  <si>
    <t>Louisiana Probation &amp; Parole</t>
  </si>
  <si>
    <t>Charlottesville-Albemarle Airport Police - VA</t>
  </si>
  <si>
    <t>Corona Police Dept. - CA</t>
  </si>
  <si>
    <t>Crawford County Sheriff's Office - KS</t>
  </si>
  <si>
    <t>DuBois City Police Department - PA</t>
  </si>
  <si>
    <t>Cheektowaga Police Dept - NY</t>
  </si>
  <si>
    <t>Tilden Twp Police Dept. - PA</t>
  </si>
  <si>
    <t>Fairfield Glade Police Dept. - TN</t>
  </si>
  <si>
    <t>Inman Police Dept. - SC</t>
  </si>
  <si>
    <t>Yuma Police Department - CO</t>
  </si>
  <si>
    <t>Braintree Police Dept. - MA</t>
  </si>
  <si>
    <t>Shiloh Police Dept. - IL</t>
  </si>
  <si>
    <t>Johnson City Police Dept. -TN</t>
  </si>
  <si>
    <t>Leander Police Dept. - TX</t>
  </si>
  <si>
    <t>Bryan Police Dept. - TX</t>
  </si>
  <si>
    <t>Mobile Police Department - AL</t>
  </si>
  <si>
    <t>Virginia Beach Police Dept. - VA</t>
  </si>
  <si>
    <t>Brush Police Department - CO</t>
  </si>
  <si>
    <t>DuPage County Sheriff's Office</t>
  </si>
  <si>
    <t>Kissimmee Police Dept. - FL</t>
  </si>
  <si>
    <t>Pekin Police Dept.- IL</t>
  </si>
  <si>
    <t>Redmond Police Dept. - WA</t>
  </si>
  <si>
    <t>Metropolitan Transportation Authority PD - NY</t>
  </si>
  <si>
    <t>East Baton Rouge Parish Sheriff's Dept. - LA</t>
  </si>
  <si>
    <t>Richmond Police Dept. - VA</t>
  </si>
  <si>
    <t>Jefferson County Sheriff's Office - WA</t>
  </si>
  <si>
    <t>Frederick Police Department - CO</t>
  </si>
  <si>
    <t>Duluth Police Dept. - MN</t>
  </si>
  <si>
    <t>Fort Worth Police Department - TX</t>
  </si>
  <si>
    <t>Waukesha Police Dept. - WI</t>
  </si>
  <si>
    <t>St. Cloud Police Dept. - FL</t>
  </si>
  <si>
    <t>Abington Township Police Dept. - PA</t>
  </si>
  <si>
    <t>Woodburn Police Dept. - OR</t>
  </si>
  <si>
    <t>Spokane Police Dept. - WA</t>
  </si>
  <si>
    <t>Buncombe County Sheriff's Office - NC</t>
  </si>
  <si>
    <t>Florida Highway Patrol - FL</t>
  </si>
  <si>
    <t>Seminole County Sheriff's Office - FL</t>
  </si>
  <si>
    <t>Utica City Police Dept. - NY</t>
  </si>
  <si>
    <t>Palm Beach County Sheriff's Office - FL</t>
  </si>
  <si>
    <t>University Of Kentucky Police Department - KY</t>
  </si>
  <si>
    <t>Allegheny County Police Dept. - PA</t>
  </si>
  <si>
    <t>Bloomington Police Dept. - MN</t>
  </si>
  <si>
    <t>Madison County Sheriff's Office - AL</t>
  </si>
  <si>
    <t>Amherst Police Dept. - NY</t>
  </si>
  <si>
    <t>Pittsburgh Bureau of Police - PA</t>
  </si>
  <si>
    <t>Visalia Police Dept. - CA</t>
  </si>
  <si>
    <t>Jefferson County Sheriff's Office - AL</t>
  </si>
  <si>
    <t>New Mexico Dept. of Public Safety - NM</t>
  </si>
  <si>
    <t>North Richland Hills Police Dept. - TX</t>
  </si>
  <si>
    <t>Houston Metro Transit Authority - TX</t>
  </si>
  <si>
    <t>Maryland Transit Administration Police - MD</t>
  </si>
  <si>
    <t>Centre County Correctional Facility - PA</t>
  </si>
  <si>
    <t>Oneida County Sheriff's Office - NY</t>
  </si>
  <si>
    <t>Concord Police Department - NC</t>
  </si>
  <si>
    <t>Largo Police Dept. - FL</t>
  </si>
  <si>
    <t>Soap Lake Police Dept.-WA</t>
  </si>
  <si>
    <t>Union City Police Dept. - NJ</t>
  </si>
  <si>
    <t>University of Penn Division of Public Safety</t>
  </si>
  <si>
    <t>Dallas-Fort Worth Int'l Airport Police - TX</t>
  </si>
  <si>
    <t>Polk County Sheriff's Office - OR</t>
  </si>
  <si>
    <t>Orlando Police Dept. - FL</t>
  </si>
  <si>
    <t>Sayreville Police Dept. - NJ</t>
  </si>
  <si>
    <t>CA0115697</t>
  </si>
  <si>
    <t>Strathroy-Caradoc Police Service</t>
  </si>
  <si>
    <t>Waterloo Police Dept. - IA</t>
  </si>
  <si>
    <t>DUMFRIES POLICE DEPT. - VA</t>
  </si>
  <si>
    <t>Blue Springs Police Dept. - MO</t>
  </si>
  <si>
    <t>Horry County Police Dept - SC</t>
  </si>
  <si>
    <t>Daly City Police Department - CA</t>
  </si>
  <si>
    <t>Tigard Police Dept. - OR</t>
  </si>
  <si>
    <t>Stroud Police Dept. - OK</t>
  </si>
  <si>
    <t>Globe Police Dept. - AZ</t>
  </si>
  <si>
    <t>Crescent City Police Dept. - CA</t>
  </si>
  <si>
    <t>Rocky Mount Police Department - NC</t>
  </si>
  <si>
    <t>St Louis County Dept. of Justice Services - MO</t>
  </si>
  <si>
    <t>Taylor Police Dept. - MI</t>
  </si>
  <si>
    <t>Kern County Sheriff's Office - CA</t>
  </si>
  <si>
    <t>Carrollton Police Dept. - TX</t>
  </si>
  <si>
    <t>Cicero Police Dept. - IL</t>
  </si>
  <si>
    <t>CA0115551</t>
  </si>
  <si>
    <t>Guelph Police Service</t>
  </si>
  <si>
    <t>University of Pittsburgh Police Dept. - HQ</t>
  </si>
  <si>
    <t>Castle Rock Police Department - CO</t>
  </si>
  <si>
    <t>La Verne Police Dept. - CA</t>
  </si>
  <si>
    <t>Moultonborough Police Dept. - NH</t>
  </si>
  <si>
    <t>Round Lake Park Police Department - IL</t>
  </si>
  <si>
    <t>Mills County Sheriff's Office - IA</t>
  </si>
  <si>
    <t>Washington County Sheriff's Office - GA</t>
  </si>
  <si>
    <t>Baldwin Police Dept.- GA</t>
  </si>
  <si>
    <t>Compton Code Enforcement - CA</t>
  </si>
  <si>
    <t>Dekalb County Police Dept.- GA</t>
  </si>
  <si>
    <t>Pennsauken Police Dept. - NJ</t>
  </si>
  <si>
    <t>SLC Unified Police Dept. - UT</t>
  </si>
  <si>
    <t>Middletown Police Dept. - CT</t>
  </si>
  <si>
    <t>Jefferson Parish Sheriff's Office - LA</t>
  </si>
  <si>
    <t>Indianola Police Dept. - IA</t>
  </si>
  <si>
    <t>Winnfield Police Dept. - LA</t>
  </si>
  <si>
    <t>Hercules Police Dept. - CA</t>
  </si>
  <si>
    <t>St. Marys Police Dept. - GA</t>
  </si>
  <si>
    <t>Camanche Police Dept. - IA</t>
  </si>
  <si>
    <t>Hillsboro Beach Police Dept.-FL</t>
  </si>
  <si>
    <t>Menlo Park Police Dept. - CA</t>
  </si>
  <si>
    <t>Powder Springs Police Dept. - GA</t>
  </si>
  <si>
    <t>Milner Police Department - GA</t>
  </si>
  <si>
    <t>Estes Park Police Department - CO</t>
  </si>
  <si>
    <t>Portland Police Department - ME</t>
  </si>
  <si>
    <t>Bradley County Sheriff's Office - TN</t>
  </si>
  <si>
    <t>Federal Way Police Dept. - WA</t>
  </si>
  <si>
    <t>Minnesota State Patrol - MN</t>
  </si>
  <si>
    <t>Washtenaw County Sheriff's Office - MI</t>
  </si>
  <si>
    <t>Annapolis Police Dept. - MD</t>
  </si>
  <si>
    <t>St. Joseph County Police Dept. - IN</t>
  </si>
  <si>
    <t>Fort Pierce Police Dept - FL</t>
  </si>
  <si>
    <t>Grand Prairie Police Dept. - TX</t>
  </si>
  <si>
    <t>Highland Village Police Dept. - TX</t>
  </si>
  <si>
    <t>Windham Police Dept. - ME</t>
  </si>
  <si>
    <t>Chattanooga Police Dept. - TN</t>
  </si>
  <si>
    <t>Glenn Heights Police Dept. - TX</t>
  </si>
  <si>
    <t>Perth Amboy Police Dept. - NJ</t>
  </si>
  <si>
    <t>Queen Creek Police Department - AZ</t>
  </si>
  <si>
    <t>Unicoi Police Dept. - TN</t>
  </si>
  <si>
    <t>Santa Fe Police Dept. - NM</t>
  </si>
  <si>
    <t>Knox County Sheriff's Office - TN</t>
  </si>
  <si>
    <t>Dothan Police Department - AL</t>
  </si>
  <si>
    <t>Montgomery County Sheriff's Office - PA</t>
  </si>
  <si>
    <t>Town of Mead Police Department - CO</t>
  </si>
  <si>
    <t>Cheney Police Dept. - WA</t>
  </si>
  <si>
    <t>North Miami Beach Police Dept. - FL</t>
  </si>
  <si>
    <t>Nashwauk Police Dept. - MN</t>
  </si>
  <si>
    <t>Denver International Airport - CO</t>
  </si>
  <si>
    <t>Canton Police Dept. - GA</t>
  </si>
  <si>
    <t>Bensalem Township Police Dept. - PA</t>
  </si>
  <si>
    <t>Lee's Summit Police Department - MO</t>
  </si>
  <si>
    <t>Williamsburg Police Dept. - VA</t>
  </si>
  <si>
    <t>Zion Police Department - IL</t>
  </si>
  <si>
    <t>Robbins Police Dept. - IL</t>
  </si>
  <si>
    <t>Millcreek Township Police Dept. - PA</t>
  </si>
  <si>
    <t>Clay County Sheriffs Office - NC</t>
  </si>
  <si>
    <t>SYRACUSE POLICE DEPT.  - NY</t>
  </si>
  <si>
    <t>Lansing Police Department - MI</t>
  </si>
  <si>
    <t>Lathrop Police Department - CA</t>
  </si>
  <si>
    <t>Louisville Metro Police Department</t>
  </si>
  <si>
    <t>Westfield Police Dept. - NJ</t>
  </si>
  <si>
    <t>Seattle Police Dept. - WA</t>
  </si>
  <si>
    <t>Middlesex County (NJ) Prosecutor‚Äôs Office</t>
  </si>
  <si>
    <t>Auburn Police Dept. - WA</t>
  </si>
  <si>
    <t>Douglas County Sheriff's Office - GA</t>
  </si>
  <si>
    <t>Renton Police Dept. - WA</t>
  </si>
  <si>
    <t>Paradise Valley Police Dept. - AZ</t>
  </si>
  <si>
    <t>Williams Bay Police Dept. - WI</t>
  </si>
  <si>
    <t>Greater Cleveland Regional Transit Authority - OH</t>
  </si>
  <si>
    <t>Metra Police Department - IL</t>
  </si>
  <si>
    <t>Henry County Sheriff's Office - GA</t>
  </si>
  <si>
    <t>Village of Ellenville Police Dept - NY</t>
  </si>
  <si>
    <t>Bridgeton Police Dept - NC</t>
  </si>
  <si>
    <t>Boylston Police Dept - MA</t>
  </si>
  <si>
    <t>Polk School District</t>
  </si>
  <si>
    <t>Loveland Police Dept. - CO</t>
  </si>
  <si>
    <t>Greensboro Police Dept. - NC</t>
  </si>
  <si>
    <t>Bexar County Sheriff's Office - TX</t>
  </si>
  <si>
    <t>Co-Op City Police - NY</t>
  </si>
  <si>
    <t>Fairfield Police Department - CT</t>
  </si>
  <si>
    <t>Jackson Police Dept. - MS</t>
  </si>
  <si>
    <t>Northern Lancaster County Regional Police Dept-PA</t>
  </si>
  <si>
    <t>Elyria Police Department - OH</t>
  </si>
  <si>
    <t>Dover Police Dept. - DE</t>
  </si>
  <si>
    <t>Martinez Police Dept. - CA</t>
  </si>
  <si>
    <t>Ca√±on City Police Department - CO</t>
  </si>
  <si>
    <t>Gustine Police Dept. - CA</t>
  </si>
  <si>
    <t>Colusa County Sheriff's Office - CA</t>
  </si>
  <si>
    <t>Ephraim City Police Dept. - UT</t>
  </si>
  <si>
    <t>King City Police Dept. - CA</t>
  </si>
  <si>
    <t>Saratoga Springs Police Dept. - NY</t>
  </si>
  <si>
    <t>Lincoln University Police Department - MO</t>
  </si>
  <si>
    <t>Oakview Police Dept. - MO</t>
  </si>
  <si>
    <t>Wicomico County Sheriff's Office - MD</t>
  </si>
  <si>
    <t>City of Rock Hill Police Dept - SC</t>
  </si>
  <si>
    <t>Niagara Falls Police Dept - NY</t>
  </si>
  <si>
    <t>Ft Smith Police Dept / Fort Smith Police Dept. - AR</t>
  </si>
  <si>
    <t>Monterey Police Dept. - CA</t>
  </si>
  <si>
    <t>Sunset Police Dept. - UT</t>
  </si>
  <si>
    <t>San Luis Police Dept. - AZ</t>
  </si>
  <si>
    <t>Leominster Police Dept - MA</t>
  </si>
  <si>
    <t>Iola Police Department - KS</t>
  </si>
  <si>
    <t>College Park Police Dept . - GA</t>
  </si>
  <si>
    <t>Highfill Police Department - AR</t>
  </si>
  <si>
    <t>Providence Police Dept. - RI</t>
  </si>
  <si>
    <t>Charlotte - Mecklenburg Police Dept. - NC</t>
  </si>
  <si>
    <t>East Point Police Dept. - GA</t>
  </si>
  <si>
    <t>Union County Sheriff's Office - NM</t>
  </si>
  <si>
    <t>Orange County Probation Department - NY</t>
  </si>
  <si>
    <t>Dallas Police Dept.- GA</t>
  </si>
  <si>
    <t>Evanston Police Dept. - IL</t>
  </si>
  <si>
    <t>Arkansas Game and Fish Commission - AR</t>
  </si>
  <si>
    <t>Ocean City Police Dept - MD</t>
  </si>
  <si>
    <t>Orange County Sheriff's Office - NY</t>
  </si>
  <si>
    <t>Durham County Sheriff's Office - NC</t>
  </si>
  <si>
    <t>Saratoga County Sheriff's Office - NY</t>
  </si>
  <si>
    <t>Worcester Police Department - MA</t>
  </si>
  <si>
    <t>Loudon Police Dept. - TN</t>
  </si>
  <si>
    <t>Lakeland Police Dept. - FL</t>
  </si>
  <si>
    <t>Glendale Police Dept. - AZ</t>
  </si>
  <si>
    <t>Santa Ana Police Dept - CA</t>
  </si>
  <si>
    <t>Port Orchard Police Dept. - WA</t>
  </si>
  <si>
    <t>Winfield Police Dept. - MO</t>
  </si>
  <si>
    <t>Weber State University Police Dept. - UT</t>
  </si>
  <si>
    <t>Central CT State University Police Dept. - CT</t>
  </si>
  <si>
    <t>Fairfax County Sheriff's Office - VA</t>
  </si>
  <si>
    <t>Orange Police Dept. - CA</t>
  </si>
  <si>
    <t>Herriman City Police Department - UT</t>
  </si>
  <si>
    <t>Newport News Police Dept. - VA</t>
  </si>
  <si>
    <t>Florence County Sheriff's Office - SC</t>
  </si>
  <si>
    <t>Kalamazoo County Sheriff's Office - MI</t>
  </si>
  <si>
    <t>Buena Park Police Dept. - CA</t>
  </si>
  <si>
    <t>Muscogee County Sheriff's Office - GA</t>
  </si>
  <si>
    <t>Allegheny County Sheriff's Office - PA</t>
  </si>
  <si>
    <t>Norfolk Police Dept. - VA</t>
  </si>
  <si>
    <t>The City of Athens - TN</t>
  </si>
  <si>
    <t>Delmar Police Dept. - DE/MD</t>
  </si>
  <si>
    <t>Manchester by the Sea Police Dept - MA</t>
  </si>
  <si>
    <t>Syracuse University DPS - NY</t>
  </si>
  <si>
    <t>Nevada Legislative Police</t>
  </si>
  <si>
    <t>Alameda County Sheriff's Office - CA</t>
  </si>
  <si>
    <t>University of Alabama - Huntsville</t>
  </si>
  <si>
    <t>Columbia Heights Police Department - MN</t>
  </si>
  <si>
    <t>Saint Clair County Sheriff's Office - IL</t>
  </si>
  <si>
    <t>Middlesex County Sheriff's - NJ</t>
  </si>
  <si>
    <t>Forty Fort Police Dept.</t>
  </si>
  <si>
    <t>Laconia Police Dept. - NH</t>
  </si>
  <si>
    <t>Prior Lake Police Dept. - MN</t>
  </si>
  <si>
    <t>Lehi Police Department - UT</t>
  </si>
  <si>
    <t>Atwater Police Dept. - CA</t>
  </si>
  <si>
    <t>Kernersville Police Dept. - NC</t>
  </si>
  <si>
    <t>Mandeville Police Dept. - LA</t>
  </si>
  <si>
    <t>Bibb County Sheriff's Office - GA</t>
  </si>
  <si>
    <t>Jasper County Sheriff's Office - SC</t>
  </si>
  <si>
    <t>Spotswood Police Dept. - NJ</t>
  </si>
  <si>
    <t>Prescott Valley Police Department - AZ</t>
  </si>
  <si>
    <t>Ann Arbor Police Dept. - MI</t>
  </si>
  <si>
    <t>Chesapeake Police Dept. - VA</t>
  </si>
  <si>
    <t>Pittsburg Police Dept - CA</t>
  </si>
  <si>
    <t>Pasco Sheriff's Office - FL</t>
  </si>
  <si>
    <t>Upper Chichester Township Police Dept. - PA</t>
  </si>
  <si>
    <t>Escalon Police Dept. - CA</t>
  </si>
  <si>
    <t>Worcester County Sheriff's Office - MD</t>
  </si>
  <si>
    <t>Siloam Springs Police Dept. - AR</t>
  </si>
  <si>
    <t>Kyle Police Dept. - TX</t>
  </si>
  <si>
    <t>Middletown Police Dept. - DE</t>
  </si>
  <si>
    <t>Berkley Police Dept. - MI</t>
  </si>
  <si>
    <t>Pearland Fire Marshal's Office - TX</t>
  </si>
  <si>
    <t>Wilkins Twp Police Dept - PA</t>
  </si>
  <si>
    <t>Pine Plains Police Dept - NY</t>
  </si>
  <si>
    <t>Greenfield Police Dept. - CA</t>
  </si>
  <si>
    <t>Eloy Police Dept. - AZ</t>
  </si>
  <si>
    <t>San Mateo Police Dept. - CA</t>
  </si>
  <si>
    <t>Crowley Police Dept. - LA</t>
  </si>
  <si>
    <t>Zephyrhills Police Dept. - FL</t>
  </si>
  <si>
    <t>Flagstaff Police Dept. - AZ</t>
  </si>
  <si>
    <t>South Jordan Police Department - UT</t>
  </si>
  <si>
    <t>Atherton Police Dept. - CA</t>
  </si>
  <si>
    <t>Pitt County Sheriff's Office - NC</t>
  </si>
  <si>
    <t>Smyrna Police Dept. - DE</t>
  </si>
  <si>
    <t>Pittsburg City Police Department - KS</t>
  </si>
  <si>
    <t>Hamilton County Sheriff's Office - TN</t>
  </si>
  <si>
    <t>Village of Ossining Police Dept. - NY</t>
  </si>
  <si>
    <t>Reno Police Dept. - NV</t>
  </si>
  <si>
    <t>Greenburgh Police Dept. - NY</t>
  </si>
  <si>
    <t>Carmel Police Department - IN</t>
  </si>
  <si>
    <t>Melbourne Police Dept - FL</t>
  </si>
  <si>
    <t>Rockdale County Sheriff's Office - GA</t>
  </si>
  <si>
    <t>Charlottesville Police Dept. - VA</t>
  </si>
  <si>
    <t>Ferguson Township Police Dept. - PA</t>
  </si>
  <si>
    <t>Winnebago County Sheriff's Office - IL</t>
  </si>
  <si>
    <t>Warren County Sheriff's Dept. - NY</t>
  </si>
  <si>
    <t>Union Township Police Dept. - NJ</t>
  </si>
  <si>
    <t>Aurora Police Dept. - CO</t>
  </si>
  <si>
    <t>Martin County Sheriff's Office - FL</t>
  </si>
  <si>
    <t>Savannah Police - GA</t>
  </si>
  <si>
    <t>Portsmouth Police Department - VA</t>
  </si>
  <si>
    <t>Anaheim Police Dept. - CA</t>
  </si>
  <si>
    <t>Hammond Police Dept. - IN</t>
  </si>
  <si>
    <t>Ponca City Police Department-OK</t>
  </si>
  <si>
    <t>Anoka County Sheriff's Office - MN</t>
  </si>
  <si>
    <t>Schaumburg Police Dept. - IL</t>
  </si>
  <si>
    <t>Peoria Police Dept. - AZ</t>
  </si>
  <si>
    <t>Henrico County Police Dept. - VA</t>
  </si>
  <si>
    <t>Vancouver Police Dept. - WA</t>
  </si>
  <si>
    <t>Metro Transit Police Dept - MN</t>
  </si>
  <si>
    <t>Washington Metro Area Transit</t>
  </si>
  <si>
    <t>Sandoval County Sheriff's Office - NM</t>
  </si>
  <si>
    <t>Hazleton Police Dept - PA</t>
  </si>
  <si>
    <t>Covington County Sheriff's Office - AL</t>
  </si>
  <si>
    <t xml:space="preserve"> -   </t>
  </si>
  <si>
    <t>Conway Police Dept - AR</t>
  </si>
  <si>
    <t>Deerfield Police Dept. - IL</t>
  </si>
  <si>
    <t>Philadelphia County Sheriff's Office - PA</t>
  </si>
  <si>
    <t>Atlanta Police Dept. - GA</t>
  </si>
  <si>
    <t>Ontario Police Dept. - CA</t>
  </si>
  <si>
    <t>Carbondale Police Dept. -IL</t>
  </si>
  <si>
    <t>Rutgers University PD - New Brunswick - NJ</t>
  </si>
  <si>
    <t>New Rochelle Police Dept. - NY</t>
  </si>
  <si>
    <t>University of Nebraska Police Department - NE</t>
  </si>
  <si>
    <t>Columbia Police Department - SC</t>
  </si>
  <si>
    <t>St. Mary's County Sheriff's Office - MD</t>
  </si>
  <si>
    <t>Holmdel Police Dept. - NJ</t>
  </si>
  <si>
    <t>Newport Police Dept. - OR</t>
  </si>
  <si>
    <t>Fayette County Sheriff's Office - KY</t>
  </si>
  <si>
    <t>Bessemer Police Dept - AL</t>
  </si>
  <si>
    <t>Dade City Police Department - FL</t>
  </si>
  <si>
    <t>Albany County Sheriff's Office - NY</t>
  </si>
  <si>
    <t>Hays County Sheriff's Office- TX</t>
  </si>
  <si>
    <t>Lancaster City Police Dept. - PA</t>
  </si>
  <si>
    <t>Tulsa Police Dept. - OK</t>
  </si>
  <si>
    <t>Virginia Beach Sheriff's Office - VA</t>
  </si>
  <si>
    <t>Los Angeles World Airports (LAWA) - CA</t>
  </si>
  <si>
    <t>Maricopa County Community Colleges</t>
  </si>
  <si>
    <t>Woodstock Police Department - VT</t>
  </si>
  <si>
    <t>Kent County Sheriff's Office - MD</t>
  </si>
  <si>
    <t>CA0115412</t>
  </si>
  <si>
    <t>Royal Canadian Mounted Police HQ -CAN</t>
  </si>
  <si>
    <t>Key West Police Dept. - FL</t>
  </si>
  <si>
    <t>Baker Police Dept. - LA</t>
  </si>
  <si>
    <t>Colerain Township Police Dept. - OH</t>
  </si>
  <si>
    <t>Black Mountain Police Dept. - NC</t>
  </si>
  <si>
    <t>Wood County Sheriff's Office - OH</t>
  </si>
  <si>
    <t>Birmingham Police Dept. - AL</t>
  </si>
  <si>
    <t>Do√±a Ana County Sheriff's Dept. - NM</t>
  </si>
  <si>
    <t>Clarksville Police Dept. - TN</t>
  </si>
  <si>
    <t>UT Southwestern Police Dept. - TX</t>
  </si>
  <si>
    <t>BUFFALO CITY POLICE DEPT. - NY</t>
  </si>
  <si>
    <t>Michigan State University Police Dept.</t>
  </si>
  <si>
    <t>University of Florida Police Dept - FL</t>
  </si>
  <si>
    <t>Anne Arundel County Police Dept. - MD</t>
  </si>
  <si>
    <t>Langley Police Dept. - WA</t>
  </si>
  <si>
    <t>Memphis Police Department - TN</t>
  </si>
  <si>
    <t>Kennesaw State University Police Dept. - GA</t>
  </si>
  <si>
    <t>Pinehurst Police Dept. - NC</t>
  </si>
  <si>
    <t>Fullerton Police Dept. - CA</t>
  </si>
  <si>
    <t>Fremont Police Dept. - CA</t>
  </si>
  <si>
    <t>Clark County Sheriff's Office - WA</t>
  </si>
  <si>
    <t>Bernalillo County Sheriff's Dept. - NM</t>
  </si>
  <si>
    <t>San Benito County Sheriff's Office - CA</t>
  </si>
  <si>
    <t>Erie Police Dept. - PA</t>
  </si>
  <si>
    <t>Arlington Police Dept. - VA</t>
  </si>
  <si>
    <t>Tucson Police Dept - AZ</t>
  </si>
  <si>
    <t>Riviera Beach Police Dept. - FL</t>
  </si>
  <si>
    <t>Temple Police Dept. - TX</t>
  </si>
  <si>
    <t>Napa Police Dept. - CA</t>
  </si>
  <si>
    <t>Greenville Police Dept. - SC</t>
  </si>
  <si>
    <t>Seminole County Sheriffs Office - GA</t>
  </si>
  <si>
    <t>San Marcos Police Dept. - TX</t>
  </si>
  <si>
    <t>Baltimore City Police Dept - MD</t>
  </si>
  <si>
    <t>Davie Police Dept - FL</t>
  </si>
  <si>
    <t>Boston Police Dept. - MA</t>
  </si>
  <si>
    <t>Moniteau County Sheriff's Dept. - MO</t>
  </si>
  <si>
    <t>Forest Heights Police Dept. - MD</t>
  </si>
  <si>
    <t>Bellevue Police Dept. - WA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</si>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</sst>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9" fontId="0" fillId="0" borderId="0" xfId="1" applyFont="1"/>
    <xf numFmtId="0" fontId="1" fillId="0" borderId="2" xfId="0" applyFont="1" applyFill="1" applyBorder="1" applyAlignment="1">
      <alignment horizontal="center" vertical="top"/>
    </xf>
    <xf numFmtId="0" fontId="3" fillId="2" borderId="0" xfId="2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3">
    <cellStyle name="Good" xfId="2" builtinId="26"/>
    <cellStyle name="Normal" xfId="0" builtinId="0"/>
    <cellStyle name="Percent" xfId="1" builtinId="5"/>
  </cellStyles>
  <dxfs count="1">
    <dxf>
      <fill>
        <patternFill patternType="solid">
          <fgColor rgb="FFC6EFCE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sqref="A1:G1"/>
    </sheetView>
  </sheetViews>
  <sheetFormatPr baseColWidth="10" defaultColWidth="9.1640625" defaultRowHeight="15" x14ac:dyDescent="0.2"/>
  <cols>
    <col min="1" max="1" width="14.83203125" bestFit="1" customWidth="1"/>
    <col min="2" max="2" width="35" bestFit="1" customWidth="1"/>
    <col min="3" max="3" width="12.83203125" bestFit="1" customWidth="1"/>
    <col min="4" max="4" width="18" bestFit="1" customWidth="1"/>
    <col min="5" max="5" width="19" bestFit="1" customWidth="1"/>
    <col min="6" max="6" width="14" bestFit="1" customWidth="1"/>
    <col min="7" max="7" width="1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110318</v>
      </c>
      <c r="B2" t="s">
        <v>7</v>
      </c>
      <c r="C2">
        <v>533</v>
      </c>
      <c r="D2">
        <v>15</v>
      </c>
      <c r="E2">
        <v>23</v>
      </c>
      <c r="F2" s="2">
        <v>0.94934333958724204</v>
      </c>
      <c r="G2" s="2">
        <v>0.16510318949343339</v>
      </c>
    </row>
    <row r="3" spans="1:7" x14ac:dyDescent="0.2">
      <c r="A3">
        <v>105754</v>
      </c>
      <c r="B3" t="s">
        <v>16</v>
      </c>
      <c r="C3">
        <v>228</v>
      </c>
      <c r="D3">
        <v>11</v>
      </c>
      <c r="E3">
        <v>19</v>
      </c>
      <c r="F3" s="2">
        <v>1.368421052631579</v>
      </c>
      <c r="G3" s="2">
        <v>6.1403508771929821E-2</v>
      </c>
    </row>
    <row r="4" spans="1:7" x14ac:dyDescent="0.2">
      <c r="A4">
        <v>112676</v>
      </c>
      <c r="B4" t="s">
        <v>26</v>
      </c>
      <c r="C4">
        <v>184</v>
      </c>
      <c r="D4">
        <v>5</v>
      </c>
      <c r="E4">
        <v>13</v>
      </c>
      <c r="F4" s="2">
        <v>1.9076086956521741</v>
      </c>
      <c r="G4" s="2">
        <v>0.32608695652173908</v>
      </c>
    </row>
    <row r="5" spans="1:7" x14ac:dyDescent="0.2">
      <c r="A5">
        <v>109686</v>
      </c>
      <c r="B5" t="s">
        <v>11</v>
      </c>
      <c r="C5">
        <v>165</v>
      </c>
      <c r="D5">
        <v>14</v>
      </c>
      <c r="E5">
        <v>22</v>
      </c>
      <c r="F5" s="2">
        <v>1.6909090909090909</v>
      </c>
      <c r="G5" s="2">
        <v>2.4242424242424239E-2</v>
      </c>
    </row>
    <row r="6" spans="1:7" x14ac:dyDescent="0.2">
      <c r="A6">
        <v>108237</v>
      </c>
      <c r="B6" t="s">
        <v>13</v>
      </c>
      <c r="C6">
        <v>131</v>
      </c>
      <c r="D6">
        <v>12</v>
      </c>
      <c r="E6">
        <v>20</v>
      </c>
      <c r="F6" s="2">
        <v>5.9236641221374047</v>
      </c>
      <c r="G6" s="2">
        <v>2.770992366412214</v>
      </c>
    </row>
    <row r="7" spans="1:7" x14ac:dyDescent="0.2">
      <c r="A7">
        <v>167965</v>
      </c>
      <c r="B7" t="s">
        <v>12</v>
      </c>
      <c r="C7">
        <v>128</v>
      </c>
      <c r="D7">
        <v>12</v>
      </c>
      <c r="E7">
        <v>20</v>
      </c>
      <c r="F7" s="2">
        <v>1.546875</v>
      </c>
      <c r="G7" s="2">
        <v>0.4296875</v>
      </c>
    </row>
    <row r="8" spans="1:7" x14ac:dyDescent="0.2">
      <c r="A8">
        <v>113399</v>
      </c>
      <c r="B8" t="s">
        <v>19</v>
      </c>
      <c r="C8">
        <v>125</v>
      </c>
      <c r="D8">
        <v>11</v>
      </c>
      <c r="E8">
        <v>19</v>
      </c>
      <c r="F8" s="2">
        <v>2.4239999999999999</v>
      </c>
      <c r="G8" s="2">
        <v>0.13600000000000001</v>
      </c>
    </row>
    <row r="9" spans="1:7" x14ac:dyDescent="0.2">
      <c r="A9">
        <v>315703</v>
      </c>
      <c r="B9" t="s">
        <v>10</v>
      </c>
      <c r="C9">
        <v>80</v>
      </c>
      <c r="D9">
        <v>14</v>
      </c>
      <c r="E9">
        <v>22</v>
      </c>
      <c r="F9" s="2">
        <v>0.83750000000000002</v>
      </c>
      <c r="G9" s="2">
        <v>0.375</v>
      </c>
    </row>
    <row r="10" spans="1:7" x14ac:dyDescent="0.2">
      <c r="A10">
        <v>301446</v>
      </c>
      <c r="B10" t="s">
        <v>14</v>
      </c>
      <c r="C10">
        <v>55</v>
      </c>
      <c r="D10">
        <v>11</v>
      </c>
      <c r="E10">
        <v>19</v>
      </c>
      <c r="F10" s="2">
        <v>0.89090909090909087</v>
      </c>
      <c r="G10" s="2">
        <v>0.29090909090909089</v>
      </c>
    </row>
    <row r="11" spans="1:7" x14ac:dyDescent="0.2">
      <c r="A11">
        <v>442850</v>
      </c>
      <c r="B11" t="s">
        <v>17</v>
      </c>
      <c r="C11">
        <v>36</v>
      </c>
      <c r="D11">
        <v>11</v>
      </c>
      <c r="E11">
        <v>19</v>
      </c>
      <c r="F11" s="2">
        <v>1.6388888888888891</v>
      </c>
      <c r="G11" s="2">
        <v>0.16666666666666671</v>
      </c>
    </row>
    <row r="12" spans="1:7" x14ac:dyDescent="0.2">
      <c r="A12">
        <v>112123</v>
      </c>
      <c r="B12" t="s">
        <v>25</v>
      </c>
      <c r="C12">
        <v>27</v>
      </c>
      <c r="D12">
        <v>5</v>
      </c>
      <c r="E12">
        <v>13</v>
      </c>
      <c r="F12" s="2">
        <v>1.037037037037037</v>
      </c>
      <c r="G12" s="2">
        <v>0.29629629629629628</v>
      </c>
    </row>
    <row r="13" spans="1:7" x14ac:dyDescent="0.2">
      <c r="A13">
        <v>481940</v>
      </c>
      <c r="B13" t="s">
        <v>18</v>
      </c>
      <c r="C13">
        <v>23</v>
      </c>
      <c r="D13">
        <v>11</v>
      </c>
      <c r="E13">
        <v>19</v>
      </c>
      <c r="F13" s="2">
        <v>1.869565217391304</v>
      </c>
      <c r="G13" s="2">
        <v>0.17391304347826089</v>
      </c>
    </row>
    <row r="14" spans="1:7" x14ac:dyDescent="0.2">
      <c r="A14">
        <v>210852</v>
      </c>
      <c r="B14" t="s">
        <v>8</v>
      </c>
      <c r="C14">
        <v>21</v>
      </c>
      <c r="D14">
        <v>15</v>
      </c>
      <c r="E14">
        <v>23</v>
      </c>
      <c r="F14" s="2">
        <v>1.714285714285714</v>
      </c>
      <c r="G14" s="2">
        <v>0.76190476190476186</v>
      </c>
    </row>
    <row r="15" spans="1:7" x14ac:dyDescent="0.2">
      <c r="A15">
        <v>493927</v>
      </c>
      <c r="B15" t="s">
        <v>21</v>
      </c>
      <c r="C15">
        <v>17</v>
      </c>
      <c r="D15">
        <v>9</v>
      </c>
      <c r="E15">
        <v>17</v>
      </c>
      <c r="F15" s="2">
        <v>1.705882352941176</v>
      </c>
      <c r="G15" s="2">
        <v>0</v>
      </c>
    </row>
    <row r="16" spans="1:7" x14ac:dyDescent="0.2">
      <c r="A16">
        <v>157301</v>
      </c>
      <c r="B16" t="s">
        <v>22</v>
      </c>
      <c r="C16">
        <v>13</v>
      </c>
      <c r="D16">
        <v>9</v>
      </c>
      <c r="E16">
        <v>17</v>
      </c>
      <c r="F16" s="2">
        <v>8.4615384615384617</v>
      </c>
      <c r="G16" s="2">
        <v>0</v>
      </c>
    </row>
    <row r="17" spans="1:7" x14ac:dyDescent="0.2">
      <c r="A17">
        <v>452895</v>
      </c>
      <c r="B17" t="s">
        <v>15</v>
      </c>
      <c r="C17">
        <v>12</v>
      </c>
      <c r="D17">
        <v>11</v>
      </c>
      <c r="E17">
        <v>19</v>
      </c>
      <c r="F17" s="2">
        <v>1.333333333333333</v>
      </c>
      <c r="G17" s="2">
        <v>0</v>
      </c>
    </row>
    <row r="18" spans="1:7" x14ac:dyDescent="0.2">
      <c r="A18">
        <v>327053</v>
      </c>
      <c r="B18" t="s">
        <v>23</v>
      </c>
      <c r="C18">
        <v>10</v>
      </c>
      <c r="D18">
        <v>8</v>
      </c>
      <c r="E18">
        <v>16</v>
      </c>
      <c r="F18" s="2">
        <v>2</v>
      </c>
      <c r="G18" s="2">
        <v>0.8</v>
      </c>
    </row>
    <row r="19" spans="1:7" x14ac:dyDescent="0.2">
      <c r="A19">
        <v>162888</v>
      </c>
      <c r="B19" t="s">
        <v>9</v>
      </c>
      <c r="C19">
        <v>5</v>
      </c>
      <c r="D19">
        <v>15</v>
      </c>
      <c r="E19">
        <v>23</v>
      </c>
      <c r="F19" s="2">
        <v>3.4</v>
      </c>
      <c r="G19" s="2">
        <v>0.4</v>
      </c>
    </row>
    <row r="20" spans="1:7" x14ac:dyDescent="0.2">
      <c r="A20">
        <v>305270</v>
      </c>
      <c r="B20" t="s">
        <v>20</v>
      </c>
      <c r="C20">
        <v>4</v>
      </c>
      <c r="D20">
        <v>10</v>
      </c>
      <c r="E20">
        <v>18</v>
      </c>
      <c r="F20" s="2">
        <v>0.75</v>
      </c>
      <c r="G20" s="2">
        <v>0</v>
      </c>
    </row>
    <row r="21" spans="1:7" x14ac:dyDescent="0.2">
      <c r="A21">
        <v>465977</v>
      </c>
      <c r="B21" t="s">
        <v>24</v>
      </c>
      <c r="C21">
        <v>1</v>
      </c>
      <c r="D21">
        <v>8</v>
      </c>
      <c r="E21">
        <v>16</v>
      </c>
      <c r="F21" s="2">
        <v>245</v>
      </c>
      <c r="G21" s="2">
        <v>93</v>
      </c>
    </row>
  </sheetData>
  <sortState xmlns:xlrd2="http://schemas.microsoft.com/office/spreadsheetml/2017/richdata2" ref="A2:G21">
    <sortCondition descending="1" ref="C1:C2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210852</v>
      </c>
      <c r="B2" t="s">
        <v>8</v>
      </c>
      <c r="C2">
        <v>21</v>
      </c>
      <c r="D2">
        <v>15</v>
      </c>
      <c r="E2">
        <v>23</v>
      </c>
      <c r="F2">
        <v>1.714285714285714</v>
      </c>
      <c r="G2">
        <v>0.76190476190476186</v>
      </c>
    </row>
    <row r="3" spans="1:7" x14ac:dyDescent="0.2">
      <c r="A3">
        <v>162888</v>
      </c>
      <c r="B3" t="s">
        <v>9</v>
      </c>
      <c r="C3">
        <v>5</v>
      </c>
      <c r="D3">
        <v>15</v>
      </c>
      <c r="E3">
        <v>23</v>
      </c>
      <c r="F3">
        <v>3.4</v>
      </c>
      <c r="G3">
        <v>0.4</v>
      </c>
    </row>
    <row r="4" spans="1:7" x14ac:dyDescent="0.2">
      <c r="A4">
        <v>109686</v>
      </c>
      <c r="B4" t="s">
        <v>11</v>
      </c>
      <c r="C4">
        <v>165</v>
      </c>
      <c r="D4">
        <v>14</v>
      </c>
      <c r="E4">
        <v>22</v>
      </c>
      <c r="F4">
        <v>1.6909090909090909</v>
      </c>
      <c r="G4">
        <v>2.4242424242424239E-2</v>
      </c>
    </row>
    <row r="5" spans="1:7" x14ac:dyDescent="0.2">
      <c r="A5">
        <v>167965</v>
      </c>
      <c r="B5" t="s">
        <v>12</v>
      </c>
      <c r="C5">
        <v>128</v>
      </c>
      <c r="D5">
        <v>12</v>
      </c>
      <c r="E5">
        <v>20</v>
      </c>
      <c r="F5">
        <v>1.546875</v>
      </c>
      <c r="G5">
        <v>0.4296875</v>
      </c>
    </row>
    <row r="6" spans="1:7" x14ac:dyDescent="0.2">
      <c r="A6">
        <v>108237</v>
      </c>
      <c r="B6" t="s">
        <v>13</v>
      </c>
      <c r="C6">
        <v>131</v>
      </c>
      <c r="D6">
        <v>12</v>
      </c>
      <c r="E6">
        <v>20</v>
      </c>
      <c r="F6">
        <v>5.9236641221374047</v>
      </c>
      <c r="G6">
        <v>2.770992366412214</v>
      </c>
    </row>
    <row r="7" spans="1:7" x14ac:dyDescent="0.2">
      <c r="A7">
        <v>442850</v>
      </c>
      <c r="B7" t="s">
        <v>17</v>
      </c>
      <c r="C7">
        <v>36</v>
      </c>
      <c r="D7">
        <v>11</v>
      </c>
      <c r="E7">
        <v>19</v>
      </c>
      <c r="F7">
        <v>1.6388888888888891</v>
      </c>
      <c r="G7">
        <v>0.16666666666666671</v>
      </c>
    </row>
    <row r="8" spans="1:7" x14ac:dyDescent="0.2">
      <c r="A8">
        <v>481940</v>
      </c>
      <c r="B8" t="s">
        <v>18</v>
      </c>
      <c r="C8">
        <v>23</v>
      </c>
      <c r="D8">
        <v>11</v>
      </c>
      <c r="E8">
        <v>19</v>
      </c>
      <c r="F8">
        <v>1.869565217391304</v>
      </c>
      <c r="G8">
        <v>0.17391304347826089</v>
      </c>
    </row>
    <row r="9" spans="1:7" x14ac:dyDescent="0.2">
      <c r="A9">
        <v>113399</v>
      </c>
      <c r="B9" t="s">
        <v>19</v>
      </c>
      <c r="C9">
        <v>125</v>
      </c>
      <c r="D9">
        <v>11</v>
      </c>
      <c r="E9">
        <v>19</v>
      </c>
      <c r="F9">
        <v>2.4239999999999999</v>
      </c>
      <c r="G9">
        <v>0.13600000000000001</v>
      </c>
    </row>
    <row r="10" spans="1:7" x14ac:dyDescent="0.2">
      <c r="A10">
        <v>493927</v>
      </c>
      <c r="B10" t="s">
        <v>21</v>
      </c>
      <c r="C10">
        <v>17</v>
      </c>
      <c r="D10">
        <v>9</v>
      </c>
      <c r="E10">
        <v>17</v>
      </c>
      <c r="F10">
        <v>1.705882352941176</v>
      </c>
      <c r="G10">
        <v>0</v>
      </c>
    </row>
    <row r="11" spans="1:7" x14ac:dyDescent="0.2">
      <c r="A11">
        <v>157301</v>
      </c>
      <c r="B11" t="s">
        <v>22</v>
      </c>
      <c r="C11">
        <v>13</v>
      </c>
      <c r="D11">
        <v>9</v>
      </c>
      <c r="E11">
        <v>17</v>
      </c>
      <c r="F11">
        <v>8.4615384615384617</v>
      </c>
      <c r="G11">
        <v>0</v>
      </c>
    </row>
    <row r="12" spans="1:7" x14ac:dyDescent="0.2">
      <c r="A12">
        <v>327053</v>
      </c>
      <c r="B12" t="s">
        <v>23</v>
      </c>
      <c r="C12">
        <v>10</v>
      </c>
      <c r="D12">
        <v>8</v>
      </c>
      <c r="E12">
        <v>16</v>
      </c>
      <c r="F12">
        <v>2</v>
      </c>
      <c r="G12">
        <v>0.8</v>
      </c>
    </row>
    <row r="13" spans="1:7" x14ac:dyDescent="0.2">
      <c r="A13">
        <v>465977</v>
      </c>
      <c r="B13" t="s">
        <v>24</v>
      </c>
      <c r="C13">
        <v>1</v>
      </c>
      <c r="D13">
        <v>8</v>
      </c>
      <c r="E13">
        <v>16</v>
      </c>
      <c r="F13">
        <v>245</v>
      </c>
      <c r="G13">
        <v>93</v>
      </c>
    </row>
    <row r="14" spans="1:7" x14ac:dyDescent="0.2">
      <c r="A14">
        <v>112676</v>
      </c>
      <c r="B14" t="s">
        <v>26</v>
      </c>
      <c r="C14">
        <v>184</v>
      </c>
      <c r="D14">
        <v>5</v>
      </c>
      <c r="E14">
        <v>13</v>
      </c>
      <c r="F14">
        <v>1.9076086956521741</v>
      </c>
      <c r="G14">
        <v>0.32608695652173908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40"/>
  <sheetViews>
    <sheetView workbookViewId="0">
      <selection activeCell="A2" sqref="A2:H34"/>
    </sheetView>
  </sheetViews>
  <sheetFormatPr baseColWidth="10" defaultColWidth="9.1640625" defaultRowHeight="15" x14ac:dyDescent="0.2"/>
  <cols>
    <col min="1" max="1" width="14.83203125" bestFit="1" customWidth="1"/>
    <col min="2" max="2" width="37.1640625" bestFit="1" customWidth="1"/>
    <col min="3" max="3" width="12.83203125" bestFit="1" customWidth="1"/>
    <col min="4" max="4" width="18" bestFit="1" customWidth="1"/>
    <col min="5" max="5" width="14" bestFit="1" customWidth="1"/>
    <col min="6" max="6" width="19" bestFit="1" customWidth="1"/>
    <col min="7" max="7" width="1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4" t="s">
        <v>371</v>
      </c>
    </row>
    <row r="2" spans="1:8" ht="16" x14ac:dyDescent="0.2">
      <c r="A2">
        <v>110010</v>
      </c>
      <c r="B2" t="s">
        <v>52</v>
      </c>
      <c r="C2" s="5">
        <v>2000</v>
      </c>
      <c r="D2">
        <v>25</v>
      </c>
      <c r="E2" s="2">
        <v>2.9499999999999998E-2</v>
      </c>
      <c r="F2">
        <v>33</v>
      </c>
      <c r="G2" s="2">
        <v>0.9325</v>
      </c>
      <c r="H2" s="3">
        <f>(G2-E2)/E2</f>
        <v>30.610169491525426</v>
      </c>
    </row>
    <row r="3" spans="1:8" ht="16" x14ac:dyDescent="0.2">
      <c r="A3">
        <v>105785</v>
      </c>
      <c r="B3" t="s">
        <v>42</v>
      </c>
      <c r="C3" s="5">
        <v>1993</v>
      </c>
      <c r="D3">
        <v>35</v>
      </c>
      <c r="E3" s="2">
        <v>6.5228299046663316E-2</v>
      </c>
      <c r="F3">
        <v>43</v>
      </c>
      <c r="G3" s="2">
        <v>0.81384846964375313</v>
      </c>
      <c r="H3" s="3">
        <f>(G3-E3)/E3</f>
        <v>11.476923076923079</v>
      </c>
    </row>
    <row r="4" spans="1:8" ht="16" x14ac:dyDescent="0.2">
      <c r="A4">
        <v>109182</v>
      </c>
      <c r="B4" t="s">
        <v>36</v>
      </c>
      <c r="C4" s="5">
        <v>1156</v>
      </c>
      <c r="D4">
        <v>38</v>
      </c>
      <c r="E4" s="2">
        <v>0.1254325259515571</v>
      </c>
      <c r="F4">
        <v>46</v>
      </c>
      <c r="G4" s="2">
        <v>1.1773356401384081</v>
      </c>
      <c r="H4" s="3">
        <f>(G4-E4)/E4</f>
        <v>8.3862068965517214</v>
      </c>
    </row>
    <row r="5" spans="1:8" ht="16" x14ac:dyDescent="0.2">
      <c r="A5">
        <v>124496</v>
      </c>
      <c r="B5" t="s">
        <v>58</v>
      </c>
      <c r="C5" s="5">
        <v>992</v>
      </c>
      <c r="D5">
        <v>18</v>
      </c>
      <c r="E5" s="2">
        <v>0.27923387096774188</v>
      </c>
      <c r="F5">
        <v>26</v>
      </c>
      <c r="G5" s="2">
        <v>1.7026209677419351</v>
      </c>
      <c r="H5" s="3">
        <f>(G5-E5)/E5</f>
        <v>5.0974729241877252</v>
      </c>
    </row>
    <row r="6" spans="1:8" hidden="1" x14ac:dyDescent="0.2">
      <c r="A6">
        <v>112305</v>
      </c>
      <c r="B6" t="s">
        <v>30</v>
      </c>
      <c r="C6">
        <v>888</v>
      </c>
      <c r="D6">
        <v>42</v>
      </c>
      <c r="E6" s="2">
        <v>8.4459459459459457E-2</v>
      </c>
      <c r="F6">
        <v>50</v>
      </c>
      <c r="G6" s="2">
        <v>0.73536036036036034</v>
      </c>
      <c r="H6" s="3">
        <f>(G6-E6)/E6</f>
        <v>7.706666666666667</v>
      </c>
    </row>
    <row r="7" spans="1:8" ht="16" x14ac:dyDescent="0.2">
      <c r="A7">
        <v>107750</v>
      </c>
      <c r="B7" t="s">
        <v>61</v>
      </c>
      <c r="C7" s="5">
        <v>745</v>
      </c>
      <c r="D7">
        <v>15</v>
      </c>
      <c r="E7" s="2">
        <v>9.6644295302013419E-2</v>
      </c>
      <c r="F7">
        <v>23</v>
      </c>
      <c r="G7" s="2">
        <v>1.3959731543624161</v>
      </c>
      <c r="H7" s="3">
        <f>(G7-E7)/E7</f>
        <v>13.444444444444445</v>
      </c>
    </row>
    <row r="8" spans="1:8" ht="16" x14ac:dyDescent="0.2">
      <c r="A8">
        <v>107092</v>
      </c>
      <c r="B8" t="s">
        <v>50</v>
      </c>
      <c r="C8" s="5">
        <v>570</v>
      </c>
      <c r="D8">
        <v>28</v>
      </c>
      <c r="E8" s="2">
        <v>0.34385964912280698</v>
      </c>
      <c r="F8">
        <v>36</v>
      </c>
      <c r="G8" s="2">
        <v>6.0052631578947366</v>
      </c>
      <c r="H8" s="3">
        <f>(G8-E8)/E8</f>
        <v>16.464285714285715</v>
      </c>
    </row>
    <row r="9" spans="1:8" hidden="1" x14ac:dyDescent="0.2">
      <c r="A9">
        <v>165629</v>
      </c>
      <c r="B9" t="s">
        <v>38</v>
      </c>
      <c r="C9">
        <v>535</v>
      </c>
      <c r="D9">
        <v>37</v>
      </c>
      <c r="E9" s="2">
        <v>0.25233644859813081</v>
      </c>
      <c r="F9">
        <v>45</v>
      </c>
      <c r="G9" s="2">
        <v>0.54392523364485978</v>
      </c>
      <c r="H9" s="3">
        <f>(G9-E9)/E9</f>
        <v>1.1555555555555557</v>
      </c>
    </row>
    <row r="10" spans="1:8" ht="16" x14ac:dyDescent="0.2">
      <c r="A10">
        <v>115314</v>
      </c>
      <c r="B10" t="s">
        <v>60</v>
      </c>
      <c r="C10" s="5">
        <v>487</v>
      </c>
      <c r="D10">
        <v>15</v>
      </c>
      <c r="E10" s="2">
        <v>2.4640657084188909E-2</v>
      </c>
      <c r="F10">
        <v>23</v>
      </c>
      <c r="G10" s="2">
        <v>1.0287474332648869</v>
      </c>
      <c r="H10" s="3">
        <f>(G10-E10)/E10</f>
        <v>40.75</v>
      </c>
    </row>
    <row r="11" spans="1:8" hidden="1" x14ac:dyDescent="0.2">
      <c r="A11">
        <v>106658</v>
      </c>
      <c r="B11" t="s">
        <v>29</v>
      </c>
      <c r="C11">
        <v>449</v>
      </c>
      <c r="D11">
        <v>43</v>
      </c>
      <c r="E11" s="2">
        <v>0.267260579064588</v>
      </c>
      <c r="F11">
        <v>51</v>
      </c>
      <c r="G11" s="2">
        <v>0.81514476614699327</v>
      </c>
      <c r="H11" s="3">
        <f>(G11-E11)/E11</f>
        <v>2.0499999999999994</v>
      </c>
    </row>
    <row r="12" spans="1:8" hidden="1" x14ac:dyDescent="0.2">
      <c r="A12">
        <v>107831</v>
      </c>
      <c r="B12" t="s">
        <v>37</v>
      </c>
      <c r="C12">
        <v>402</v>
      </c>
      <c r="D12">
        <v>37</v>
      </c>
      <c r="E12" s="2">
        <v>0.1119402985074627</v>
      </c>
      <c r="F12">
        <v>45</v>
      </c>
      <c r="G12" s="2">
        <v>1.2039800995024881</v>
      </c>
      <c r="H12" s="3">
        <f>(G12-E12)/E12</f>
        <v>9.7555555555555582</v>
      </c>
    </row>
    <row r="13" spans="1:8" hidden="1" x14ac:dyDescent="0.2">
      <c r="A13">
        <v>446518</v>
      </c>
      <c r="B13" t="s">
        <v>47</v>
      </c>
      <c r="C13">
        <v>344</v>
      </c>
      <c r="D13">
        <v>30</v>
      </c>
      <c r="E13" s="2">
        <v>4.6511627906976737E-2</v>
      </c>
      <c r="F13">
        <v>38</v>
      </c>
      <c r="G13" s="2">
        <v>0.56104651162790697</v>
      </c>
      <c r="H13" s="3">
        <f>(G13-E13)/E13</f>
        <v>11.062500000000002</v>
      </c>
    </row>
    <row r="14" spans="1:8" hidden="1" x14ac:dyDescent="0.2">
      <c r="A14">
        <v>223867</v>
      </c>
      <c r="B14" t="s">
        <v>57</v>
      </c>
      <c r="C14">
        <v>286</v>
      </c>
      <c r="D14">
        <v>20</v>
      </c>
      <c r="E14" s="2">
        <v>0.1398601398601399</v>
      </c>
      <c r="F14">
        <v>28</v>
      </c>
      <c r="G14" s="2">
        <v>0.54195804195804198</v>
      </c>
      <c r="H14" s="3">
        <f>(G14-E14)/E14</f>
        <v>2.8749999999999991</v>
      </c>
    </row>
    <row r="15" spans="1:8" hidden="1" x14ac:dyDescent="0.2">
      <c r="A15">
        <v>107794</v>
      </c>
      <c r="B15" t="s">
        <v>63</v>
      </c>
      <c r="C15">
        <v>250</v>
      </c>
      <c r="D15">
        <v>15</v>
      </c>
      <c r="E15" s="2">
        <v>0.16800000000000001</v>
      </c>
      <c r="F15">
        <v>23</v>
      </c>
      <c r="G15" s="2">
        <v>2.012</v>
      </c>
      <c r="H15" s="3">
        <f>(G15-E15)/E15</f>
        <v>10.976190476190476</v>
      </c>
    </row>
    <row r="16" spans="1:8" hidden="1" x14ac:dyDescent="0.2">
      <c r="A16">
        <v>109196</v>
      </c>
      <c r="B16" t="s">
        <v>48</v>
      </c>
      <c r="C16">
        <v>247</v>
      </c>
      <c r="D16">
        <v>28</v>
      </c>
      <c r="E16" s="2">
        <v>2.4291497975708499E-2</v>
      </c>
      <c r="F16">
        <v>36</v>
      </c>
      <c r="G16" s="2">
        <v>0.83805668016194335</v>
      </c>
      <c r="H16" s="3">
        <f>(G16-E16)/E16</f>
        <v>33.500000000000007</v>
      </c>
    </row>
    <row r="17" spans="1:8" hidden="1" x14ac:dyDescent="0.2">
      <c r="A17">
        <v>225076</v>
      </c>
      <c r="B17" t="s">
        <v>49</v>
      </c>
      <c r="C17">
        <v>237</v>
      </c>
      <c r="D17">
        <v>28</v>
      </c>
      <c r="E17" s="2">
        <v>2.5316455696202531E-2</v>
      </c>
      <c r="F17">
        <v>36</v>
      </c>
      <c r="G17" s="2">
        <v>0.70886075949367089</v>
      </c>
      <c r="H17" s="3">
        <f>(G17-E17)/E17</f>
        <v>27</v>
      </c>
    </row>
    <row r="18" spans="1:8" hidden="1" x14ac:dyDescent="0.2">
      <c r="A18">
        <v>459199</v>
      </c>
      <c r="B18" t="s">
        <v>54</v>
      </c>
      <c r="C18">
        <v>225</v>
      </c>
      <c r="D18">
        <v>24</v>
      </c>
      <c r="E18" s="2">
        <v>0.08</v>
      </c>
      <c r="F18">
        <v>32</v>
      </c>
      <c r="G18" s="2">
        <v>0.52444444444444449</v>
      </c>
      <c r="H18" s="3">
        <f>(G18-E18)/E18</f>
        <v>5.5555555555555562</v>
      </c>
    </row>
    <row r="19" spans="1:8" hidden="1" x14ac:dyDescent="0.2">
      <c r="A19">
        <v>315722</v>
      </c>
      <c r="B19" t="s">
        <v>64</v>
      </c>
      <c r="C19">
        <v>210</v>
      </c>
      <c r="D19">
        <v>14</v>
      </c>
      <c r="E19" s="2">
        <v>7.1428571428571425E-2</v>
      </c>
      <c r="F19">
        <v>22</v>
      </c>
      <c r="G19" s="2">
        <v>0.9</v>
      </c>
      <c r="H19" s="3">
        <f>(G19-E19)/E19</f>
        <v>11.600000000000001</v>
      </c>
    </row>
    <row r="20" spans="1:8" ht="16" x14ac:dyDescent="0.2">
      <c r="A20">
        <v>115779</v>
      </c>
      <c r="B20" t="s">
        <v>28</v>
      </c>
      <c r="C20" s="5">
        <v>201</v>
      </c>
      <c r="D20">
        <v>43</v>
      </c>
      <c r="E20" s="2">
        <v>0</v>
      </c>
      <c r="F20">
        <v>51</v>
      </c>
      <c r="G20" s="2">
        <v>1.4029850746268659</v>
      </c>
      <c r="H20" s="3">
        <v>50</v>
      </c>
    </row>
    <row r="21" spans="1:8" hidden="1" x14ac:dyDescent="0.2">
      <c r="A21">
        <v>156776</v>
      </c>
      <c r="B21" t="s">
        <v>51</v>
      </c>
      <c r="C21">
        <v>192</v>
      </c>
      <c r="D21">
        <v>28</v>
      </c>
      <c r="E21" s="2">
        <v>0.47916666666666669</v>
      </c>
      <c r="F21">
        <v>36</v>
      </c>
      <c r="G21" s="2">
        <v>0.671875</v>
      </c>
      <c r="H21" s="3">
        <f>(G21-E21)/E21</f>
        <v>0.40217391304347822</v>
      </c>
    </row>
    <row r="22" spans="1:8" hidden="1" x14ac:dyDescent="0.2">
      <c r="A22">
        <v>108893</v>
      </c>
      <c r="B22" t="s">
        <v>56</v>
      </c>
      <c r="C22">
        <v>190</v>
      </c>
      <c r="D22">
        <v>23</v>
      </c>
      <c r="E22" s="2">
        <v>2.1052631578947371E-2</v>
      </c>
      <c r="F22">
        <v>31</v>
      </c>
      <c r="G22" s="2">
        <v>0.50526315789473686</v>
      </c>
      <c r="H22" s="3">
        <f>(G22-E22)/E22</f>
        <v>22.999999999999996</v>
      </c>
    </row>
    <row r="23" spans="1:8" hidden="1" x14ac:dyDescent="0.2">
      <c r="A23">
        <v>112375</v>
      </c>
      <c r="B23" t="s">
        <v>32</v>
      </c>
      <c r="C23">
        <v>189</v>
      </c>
      <c r="D23">
        <v>40</v>
      </c>
      <c r="E23" s="2">
        <v>0.1693121693121693</v>
      </c>
      <c r="F23">
        <v>48</v>
      </c>
      <c r="G23" s="2">
        <v>1.1005291005291</v>
      </c>
      <c r="H23" s="3">
        <f>(G23-E23)/E23</f>
        <v>5.4999999999999973</v>
      </c>
    </row>
    <row r="24" spans="1:8" hidden="1" x14ac:dyDescent="0.2">
      <c r="A24">
        <v>109675</v>
      </c>
      <c r="B24" t="s">
        <v>41</v>
      </c>
      <c r="C24">
        <v>176</v>
      </c>
      <c r="D24">
        <v>36</v>
      </c>
      <c r="E24" s="2">
        <v>0.44886363636363641</v>
      </c>
      <c r="F24">
        <v>44</v>
      </c>
      <c r="G24" s="2">
        <v>1.426136363636364</v>
      </c>
      <c r="H24" s="3">
        <f>(G24-E24)/E24</f>
        <v>2.1772151898734182</v>
      </c>
    </row>
    <row r="25" spans="1:8" hidden="1" x14ac:dyDescent="0.2">
      <c r="A25">
        <v>109207</v>
      </c>
      <c r="B25" t="s">
        <v>33</v>
      </c>
      <c r="C25">
        <v>162</v>
      </c>
      <c r="D25">
        <v>40</v>
      </c>
      <c r="E25" s="2">
        <v>0.1728395061728395</v>
      </c>
      <c r="F25">
        <v>48</v>
      </c>
      <c r="G25" s="2">
        <v>1.074074074074074</v>
      </c>
      <c r="H25" s="3">
        <f>(G25-E25)/E25</f>
        <v>5.2142857142857135</v>
      </c>
    </row>
    <row r="26" spans="1:8" hidden="1" x14ac:dyDescent="0.2">
      <c r="A26">
        <v>108080</v>
      </c>
      <c r="B26" t="s">
        <v>43</v>
      </c>
      <c r="C26">
        <v>152</v>
      </c>
      <c r="D26">
        <v>35</v>
      </c>
      <c r="E26" s="2">
        <v>0.36842105263157893</v>
      </c>
      <c r="F26">
        <v>43</v>
      </c>
      <c r="G26" s="2">
        <v>2.5657894736842111</v>
      </c>
      <c r="H26" s="3">
        <f>(G26-E26)/E26</f>
        <v>5.9642857142857162</v>
      </c>
    </row>
    <row r="27" spans="1:8" hidden="1" x14ac:dyDescent="0.2">
      <c r="A27">
        <v>157071</v>
      </c>
      <c r="B27" t="s">
        <v>55</v>
      </c>
      <c r="C27">
        <v>151</v>
      </c>
      <c r="D27">
        <v>24</v>
      </c>
      <c r="E27" s="2">
        <v>0.26490066225165559</v>
      </c>
      <c r="F27">
        <v>32</v>
      </c>
      <c r="G27" s="2">
        <v>4.185430463576159</v>
      </c>
      <c r="H27" s="3">
        <f>(G27-E27)/E27</f>
        <v>14.800000000000002</v>
      </c>
    </row>
    <row r="28" spans="1:8" hidden="1" x14ac:dyDescent="0.2">
      <c r="A28">
        <v>132066</v>
      </c>
      <c r="B28" t="s">
        <v>62</v>
      </c>
      <c r="C28">
        <v>133</v>
      </c>
      <c r="D28">
        <v>15</v>
      </c>
      <c r="E28" s="2">
        <v>9.7744360902255634E-2</v>
      </c>
      <c r="F28">
        <v>23</v>
      </c>
      <c r="G28" s="2">
        <v>1.225563909774436</v>
      </c>
      <c r="H28" s="3">
        <f>(G28-E28)/E28</f>
        <v>11.538461538461537</v>
      </c>
    </row>
    <row r="29" spans="1:8" hidden="1" x14ac:dyDescent="0.2">
      <c r="A29">
        <v>119065</v>
      </c>
      <c r="B29" t="s">
        <v>59</v>
      </c>
      <c r="C29">
        <v>130</v>
      </c>
      <c r="D29">
        <v>16</v>
      </c>
      <c r="E29" s="2">
        <v>0.3923076923076923</v>
      </c>
      <c r="F29">
        <v>24</v>
      </c>
      <c r="G29" s="2">
        <v>1.638461538461538</v>
      </c>
      <c r="H29" s="3">
        <f>(G29-E29)/E29</f>
        <v>3.176470588235293</v>
      </c>
    </row>
    <row r="30" spans="1:8" hidden="1" x14ac:dyDescent="0.2">
      <c r="A30">
        <v>306038</v>
      </c>
      <c r="B30" t="s">
        <v>35</v>
      </c>
      <c r="C30">
        <v>105</v>
      </c>
      <c r="D30">
        <v>39</v>
      </c>
      <c r="E30" s="2">
        <v>0.1714285714285714</v>
      </c>
      <c r="F30">
        <v>47</v>
      </c>
      <c r="G30" s="2">
        <v>3.6190476190476191</v>
      </c>
      <c r="H30" s="3">
        <f>(G30-E30)/E30</f>
        <v>20.111111111111114</v>
      </c>
    </row>
    <row r="31" spans="1:8" hidden="1" x14ac:dyDescent="0.2">
      <c r="A31">
        <v>185357</v>
      </c>
      <c r="B31" t="s">
        <v>44</v>
      </c>
      <c r="C31">
        <v>100</v>
      </c>
      <c r="D31">
        <v>33</v>
      </c>
      <c r="E31" s="2">
        <v>0.37</v>
      </c>
      <c r="F31">
        <v>41</v>
      </c>
      <c r="G31" s="2">
        <v>2.82</v>
      </c>
      <c r="H31" s="3">
        <f>(G31-E31)/E31</f>
        <v>6.621621621621621</v>
      </c>
    </row>
    <row r="32" spans="1:8" hidden="1" x14ac:dyDescent="0.2">
      <c r="A32">
        <v>111124</v>
      </c>
      <c r="B32" t="s">
        <v>27</v>
      </c>
      <c r="C32">
        <v>88</v>
      </c>
      <c r="D32">
        <v>50</v>
      </c>
      <c r="E32" s="2">
        <v>0.43181818181818182</v>
      </c>
      <c r="F32">
        <v>58</v>
      </c>
      <c r="G32" s="2">
        <v>6.2727272727272716</v>
      </c>
      <c r="H32" s="3">
        <f>(G32-E32)/E32</f>
        <v>13.526315789473681</v>
      </c>
    </row>
    <row r="33" spans="1:8" hidden="1" x14ac:dyDescent="0.2">
      <c r="A33">
        <v>120233</v>
      </c>
      <c r="B33" t="s">
        <v>45</v>
      </c>
      <c r="C33">
        <v>85</v>
      </c>
      <c r="D33">
        <v>31</v>
      </c>
      <c r="E33" s="2">
        <v>5.8823529411764712E-2</v>
      </c>
      <c r="G33" s="2"/>
      <c r="H33" s="3">
        <f>(G33-E33)/E33</f>
        <v>-1</v>
      </c>
    </row>
    <row r="34" spans="1:8" ht="16" x14ac:dyDescent="0.2">
      <c r="A34">
        <v>160259</v>
      </c>
      <c r="B34" t="s">
        <v>53</v>
      </c>
      <c r="C34" s="5">
        <v>84</v>
      </c>
      <c r="D34">
        <v>25</v>
      </c>
      <c r="E34" s="2">
        <v>3.5714285714285712E-2</v>
      </c>
      <c r="F34">
        <v>33</v>
      </c>
      <c r="G34" s="2">
        <v>1.80952380952381</v>
      </c>
      <c r="H34" s="3">
        <f>(G34-E34)/E34</f>
        <v>49.666666666666679</v>
      </c>
    </row>
    <row r="35" spans="1:8" hidden="1" x14ac:dyDescent="0.2">
      <c r="A35">
        <v>108436</v>
      </c>
      <c r="B35" t="s">
        <v>46</v>
      </c>
      <c r="C35">
        <v>53</v>
      </c>
      <c r="D35">
        <v>30</v>
      </c>
      <c r="E35" s="2">
        <v>3.7735849056603772E-2</v>
      </c>
      <c r="F35">
        <v>38</v>
      </c>
      <c r="G35" s="2">
        <v>0.79245283018867929</v>
      </c>
      <c r="H35" s="3">
        <f>(G35-E35)/E35</f>
        <v>20.000000000000004</v>
      </c>
    </row>
    <row r="36" spans="1:8" hidden="1" x14ac:dyDescent="0.2">
      <c r="A36">
        <v>108276</v>
      </c>
      <c r="B36" t="s">
        <v>39</v>
      </c>
      <c r="C36">
        <v>38</v>
      </c>
      <c r="D36">
        <v>36</v>
      </c>
      <c r="E36" s="2">
        <v>0.18421052631578949</v>
      </c>
      <c r="F36">
        <v>44</v>
      </c>
      <c r="G36" s="2">
        <v>4</v>
      </c>
      <c r="H36" s="3">
        <f>(G36-E36)/E36</f>
        <v>20.714285714285712</v>
      </c>
    </row>
    <row r="37" spans="1:8" hidden="1" x14ac:dyDescent="0.2">
      <c r="A37">
        <v>108060</v>
      </c>
      <c r="B37" t="s">
        <v>40</v>
      </c>
      <c r="C37">
        <v>31</v>
      </c>
      <c r="D37">
        <v>36</v>
      </c>
      <c r="E37" s="2">
        <v>0.41935483870967738</v>
      </c>
      <c r="F37">
        <v>44</v>
      </c>
      <c r="G37" s="2">
        <v>1.387096774193548</v>
      </c>
      <c r="H37" s="3">
        <f>(G37-E37)/E37</f>
        <v>2.307692307692307</v>
      </c>
    </row>
    <row r="38" spans="1:8" hidden="1" x14ac:dyDescent="0.2">
      <c r="A38">
        <v>112461</v>
      </c>
      <c r="B38" t="s">
        <v>34</v>
      </c>
      <c r="C38">
        <v>29</v>
      </c>
      <c r="D38">
        <v>39</v>
      </c>
      <c r="E38" s="2">
        <v>6.8965517241379309E-2</v>
      </c>
      <c r="F38">
        <v>47</v>
      </c>
      <c r="G38" s="2">
        <v>3.241379310344827</v>
      </c>
      <c r="H38" s="3">
        <f>(G38-E38)/E38</f>
        <v>45.999999999999993</v>
      </c>
    </row>
    <row r="39" spans="1:8" hidden="1" x14ac:dyDescent="0.2">
      <c r="A39">
        <v>151282</v>
      </c>
      <c r="B39" t="s">
        <v>65</v>
      </c>
      <c r="C39">
        <v>21</v>
      </c>
      <c r="D39">
        <v>13</v>
      </c>
      <c r="E39" s="2">
        <v>0.33333333333333331</v>
      </c>
      <c r="F39">
        <v>21</v>
      </c>
      <c r="G39" s="2">
        <v>4.7619047619047619</v>
      </c>
      <c r="H39" s="3">
        <f>(G39-E39)/E39</f>
        <v>13.285714285714286</v>
      </c>
    </row>
    <row r="40" spans="1:8" hidden="1" x14ac:dyDescent="0.2">
      <c r="A40">
        <v>302987</v>
      </c>
      <c r="B40" t="s">
        <v>31</v>
      </c>
      <c r="C40">
        <v>16</v>
      </c>
      <c r="D40">
        <v>41</v>
      </c>
      <c r="E40" s="2">
        <v>6.25E-2</v>
      </c>
      <c r="F40">
        <v>49</v>
      </c>
      <c r="G40" s="2">
        <v>0.5</v>
      </c>
      <c r="H40" s="3">
        <f>(G40-E40)/E40</f>
        <v>7</v>
      </c>
    </row>
  </sheetData>
  <autoFilter ref="A1:H40" xr:uid="{00000000-0001-0000-0200-000000000000}">
    <filterColumn colId="2">
      <colorFilter dxfId="0"/>
    </filterColumn>
  </autoFilter>
  <sortState xmlns:xlrd2="http://schemas.microsoft.com/office/spreadsheetml/2017/richdata2" ref="A2:H40">
    <sortCondition descending="1" ref="C1:C40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303"/>
  <sheetViews>
    <sheetView tabSelected="1" workbookViewId="0">
      <selection sqref="A1:H45"/>
    </sheetView>
  </sheetViews>
  <sheetFormatPr baseColWidth="10" defaultColWidth="9.1640625" defaultRowHeight="15" x14ac:dyDescent="0.2"/>
  <cols>
    <col min="1" max="1" width="14.83203125" bestFit="1" customWidth="1"/>
    <col min="2" max="2" width="40.6640625" bestFit="1" customWidth="1"/>
    <col min="3" max="3" width="12.83203125" style="6" bestFit="1" customWidth="1"/>
    <col min="4" max="4" width="18" style="6" bestFit="1" customWidth="1"/>
    <col min="5" max="5" width="19" style="6" bestFit="1" customWidth="1"/>
    <col min="6" max="6" width="14" style="6" bestFit="1" customWidth="1"/>
    <col min="7" max="7" width="15" style="6" bestFit="1" customWidth="1"/>
    <col min="8" max="8" width="9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371</v>
      </c>
    </row>
    <row r="2" spans="1:8" hidden="1" x14ac:dyDescent="0.2">
      <c r="A2">
        <v>106844</v>
      </c>
      <c r="B2" t="s">
        <v>135</v>
      </c>
      <c r="C2" s="6">
        <v>456</v>
      </c>
      <c r="D2" s="6">
        <v>39</v>
      </c>
      <c r="E2" s="6">
        <v>47</v>
      </c>
      <c r="F2" s="7">
        <v>4.3859649122807024E-3</v>
      </c>
      <c r="G2" s="7">
        <v>0</v>
      </c>
      <c r="H2" s="3">
        <f>(G2-F2)/F2</f>
        <v>-1</v>
      </c>
    </row>
    <row r="3" spans="1:8" hidden="1" x14ac:dyDescent="0.2">
      <c r="A3">
        <v>112486</v>
      </c>
      <c r="B3" t="s">
        <v>352</v>
      </c>
      <c r="C3" s="6">
        <v>333</v>
      </c>
      <c r="D3" s="6">
        <v>16</v>
      </c>
      <c r="E3" s="6">
        <v>24</v>
      </c>
      <c r="F3" s="7">
        <v>1.501501501501501E-2</v>
      </c>
      <c r="G3" s="7">
        <v>0</v>
      </c>
      <c r="H3" s="3">
        <f>(G3-F3)/F3</f>
        <v>-1</v>
      </c>
    </row>
    <row r="4" spans="1:8" hidden="1" x14ac:dyDescent="0.2">
      <c r="A4">
        <v>109173</v>
      </c>
      <c r="B4" t="s">
        <v>290</v>
      </c>
      <c r="C4" s="6">
        <v>266</v>
      </c>
      <c r="D4" s="6">
        <v>24</v>
      </c>
      <c r="E4" s="6">
        <v>32</v>
      </c>
      <c r="F4" s="7">
        <v>1.12781954887218E-2</v>
      </c>
      <c r="G4" s="7">
        <v>0</v>
      </c>
      <c r="H4" s="3">
        <f>(G4-F4)/F4</f>
        <v>-1</v>
      </c>
    </row>
    <row r="5" spans="1:8" hidden="1" x14ac:dyDescent="0.2">
      <c r="A5">
        <v>413773</v>
      </c>
      <c r="B5" t="s">
        <v>207</v>
      </c>
      <c r="C5" s="6">
        <v>181</v>
      </c>
      <c r="D5" s="6">
        <v>32</v>
      </c>
      <c r="E5" s="6">
        <v>40</v>
      </c>
      <c r="F5" s="7">
        <v>6.0773480662983423E-2</v>
      </c>
      <c r="G5" s="7">
        <v>0</v>
      </c>
      <c r="H5" s="3">
        <f>(G5-F5)/F5</f>
        <v>-1</v>
      </c>
    </row>
    <row r="6" spans="1:8" hidden="1" x14ac:dyDescent="0.2">
      <c r="A6">
        <v>112453</v>
      </c>
      <c r="B6" t="s">
        <v>222</v>
      </c>
      <c r="C6" s="6">
        <v>165</v>
      </c>
      <c r="D6" s="6">
        <v>30</v>
      </c>
      <c r="E6" s="6">
        <v>38</v>
      </c>
      <c r="F6" s="7">
        <v>6.0606060606060606E-3</v>
      </c>
      <c r="G6" s="7">
        <v>0</v>
      </c>
      <c r="H6" s="3">
        <f>(G6-F6)/F6</f>
        <v>-1</v>
      </c>
    </row>
    <row r="7" spans="1:8" x14ac:dyDescent="0.2">
      <c r="A7">
        <v>106346</v>
      </c>
      <c r="B7" t="s">
        <v>157</v>
      </c>
      <c r="C7" s="6">
        <v>1340</v>
      </c>
      <c r="D7" s="6">
        <v>37</v>
      </c>
      <c r="E7" s="6">
        <v>45</v>
      </c>
      <c r="F7" s="7">
        <v>0.1223880597014925</v>
      </c>
      <c r="G7" s="7">
        <v>0.1238805970149254</v>
      </c>
      <c r="H7" s="3">
        <f>(G7-F7)/F7</f>
        <v>1.2195121951220095E-2</v>
      </c>
    </row>
    <row r="8" spans="1:8" x14ac:dyDescent="0.2">
      <c r="A8">
        <v>135122</v>
      </c>
      <c r="B8" t="s">
        <v>346</v>
      </c>
      <c r="C8" s="6">
        <v>862</v>
      </c>
      <c r="D8" s="6">
        <v>18</v>
      </c>
      <c r="E8" s="6">
        <v>26</v>
      </c>
      <c r="F8" s="7">
        <v>0.39559164733178648</v>
      </c>
      <c r="G8" s="7">
        <v>0.21345707656612531</v>
      </c>
      <c r="H8" s="3">
        <f>(G8-F8)/F8</f>
        <v>-0.4604105571847506</v>
      </c>
    </row>
    <row r="9" spans="1:8" hidden="1" x14ac:dyDescent="0.2">
      <c r="A9">
        <v>205136</v>
      </c>
      <c r="B9" t="s">
        <v>325</v>
      </c>
      <c r="C9" s="6">
        <v>160</v>
      </c>
      <c r="D9" s="6">
        <v>21</v>
      </c>
      <c r="E9" s="6">
        <v>29</v>
      </c>
      <c r="F9" s="7">
        <v>5.6250000000000001E-2</v>
      </c>
      <c r="G9" s="7">
        <v>0</v>
      </c>
      <c r="H9" s="3">
        <f>(G9-F9)/F9</f>
        <v>-1</v>
      </c>
    </row>
    <row r="10" spans="1:8" x14ac:dyDescent="0.2">
      <c r="A10">
        <v>108360</v>
      </c>
      <c r="B10" t="s">
        <v>122</v>
      </c>
      <c r="C10" s="6">
        <v>782</v>
      </c>
      <c r="D10" s="6">
        <v>40</v>
      </c>
      <c r="E10" s="6">
        <v>48</v>
      </c>
      <c r="F10" s="7">
        <v>0.1125319693094629</v>
      </c>
      <c r="G10" s="7">
        <v>2.6854219948849109E-2</v>
      </c>
      <c r="H10" s="3">
        <f>(G10-F10)/F10</f>
        <v>-0.76136363636363624</v>
      </c>
    </row>
    <row r="11" spans="1:8" hidden="1" x14ac:dyDescent="0.2">
      <c r="A11">
        <v>112384</v>
      </c>
      <c r="B11" t="s">
        <v>92</v>
      </c>
      <c r="C11" s="6">
        <v>147</v>
      </c>
      <c r="D11" s="6">
        <v>42</v>
      </c>
      <c r="E11" s="6">
        <v>50</v>
      </c>
      <c r="F11" s="7">
        <v>4.7619047619047623E-2</v>
      </c>
      <c r="G11" s="7">
        <v>0</v>
      </c>
      <c r="H11" s="3">
        <f>(G11-F11)/F11</f>
        <v>-1</v>
      </c>
    </row>
    <row r="12" spans="1:8" hidden="1" x14ac:dyDescent="0.2">
      <c r="A12">
        <v>106932</v>
      </c>
      <c r="B12" t="s">
        <v>171</v>
      </c>
      <c r="C12" s="6">
        <v>145</v>
      </c>
      <c r="D12" s="6">
        <v>36</v>
      </c>
      <c r="E12" s="6">
        <v>44</v>
      </c>
      <c r="F12" s="7">
        <v>6.8965517241379309E-3</v>
      </c>
      <c r="G12" s="7">
        <v>0</v>
      </c>
      <c r="H12" s="3">
        <f>(G12-F12)/F12</f>
        <v>-1</v>
      </c>
    </row>
    <row r="13" spans="1:8" hidden="1" x14ac:dyDescent="0.2">
      <c r="A13">
        <v>114456</v>
      </c>
      <c r="B13" t="s">
        <v>189</v>
      </c>
      <c r="C13" s="6">
        <v>142</v>
      </c>
      <c r="D13" s="6">
        <v>35</v>
      </c>
      <c r="E13" s="6">
        <v>43</v>
      </c>
      <c r="F13" s="7">
        <v>1.408450704225352E-2</v>
      </c>
      <c r="G13" s="7">
        <v>0</v>
      </c>
      <c r="H13" s="3">
        <f>(G13-F13)/F13</f>
        <v>-1</v>
      </c>
    </row>
    <row r="14" spans="1:8" hidden="1" x14ac:dyDescent="0.2">
      <c r="A14">
        <v>110636</v>
      </c>
      <c r="B14" t="s">
        <v>359</v>
      </c>
      <c r="C14" s="6">
        <v>140</v>
      </c>
      <c r="D14" s="6">
        <v>15</v>
      </c>
      <c r="E14" s="6">
        <v>23</v>
      </c>
      <c r="F14" s="7">
        <v>2.8571428571428571E-2</v>
      </c>
      <c r="G14" s="7">
        <v>0</v>
      </c>
      <c r="H14" s="3">
        <f>(G14-F14)/F14</f>
        <v>-1</v>
      </c>
    </row>
    <row r="15" spans="1:8" hidden="1" x14ac:dyDescent="0.2">
      <c r="A15">
        <v>111152</v>
      </c>
      <c r="B15" t="s">
        <v>121</v>
      </c>
      <c r="C15" s="6">
        <v>130</v>
      </c>
      <c r="D15" s="6">
        <v>40</v>
      </c>
      <c r="E15" s="6">
        <v>48</v>
      </c>
      <c r="F15" s="7">
        <v>9.2307692307692313E-2</v>
      </c>
      <c r="G15" s="7">
        <v>0</v>
      </c>
      <c r="H15" s="3">
        <f>(G15-F15)/F15</f>
        <v>-1</v>
      </c>
    </row>
    <row r="16" spans="1:8" x14ac:dyDescent="0.2">
      <c r="A16">
        <v>107397</v>
      </c>
      <c r="B16" t="s">
        <v>255</v>
      </c>
      <c r="C16" s="6">
        <v>673</v>
      </c>
      <c r="D16" s="6">
        <v>27</v>
      </c>
      <c r="E16" s="6">
        <v>35</v>
      </c>
      <c r="F16" s="7">
        <v>0.1738484398216939</v>
      </c>
      <c r="G16" s="7">
        <v>0.1471025260029718</v>
      </c>
      <c r="H16" s="3">
        <f>(G16-F16)/F16</f>
        <v>-0.15384615384615363</v>
      </c>
    </row>
    <row r="17" spans="1:8" hidden="1" x14ac:dyDescent="0.2">
      <c r="A17">
        <v>107396</v>
      </c>
      <c r="B17" t="s">
        <v>120</v>
      </c>
      <c r="C17" s="6">
        <v>106</v>
      </c>
      <c r="D17" s="6">
        <v>40</v>
      </c>
      <c r="E17" s="6">
        <v>48</v>
      </c>
      <c r="F17" s="7">
        <v>7.5471698113207544E-2</v>
      </c>
      <c r="G17" s="7">
        <v>0</v>
      </c>
      <c r="H17" s="3">
        <f>(G17-F17)/F17</f>
        <v>-1</v>
      </c>
    </row>
    <row r="18" spans="1:8" x14ac:dyDescent="0.2">
      <c r="A18">
        <v>513462</v>
      </c>
      <c r="B18" t="s">
        <v>327</v>
      </c>
      <c r="C18" s="6">
        <v>595</v>
      </c>
      <c r="D18" s="6">
        <v>21</v>
      </c>
      <c r="E18" s="6">
        <v>29</v>
      </c>
      <c r="F18" s="7">
        <v>0.1042016806722689</v>
      </c>
      <c r="G18" s="7">
        <v>0.1058823529411765</v>
      </c>
      <c r="H18" s="3">
        <f>(G18-F18)/F18</f>
        <v>1.6129032258064859E-2</v>
      </c>
    </row>
    <row r="19" spans="1:8" hidden="1" x14ac:dyDescent="0.2">
      <c r="A19">
        <v>119402</v>
      </c>
      <c r="B19" t="s">
        <v>251</v>
      </c>
      <c r="C19" s="6">
        <v>95</v>
      </c>
      <c r="D19" s="6">
        <v>27</v>
      </c>
      <c r="E19" s="6">
        <v>35</v>
      </c>
      <c r="F19" s="7">
        <v>4.2105263157894743E-2</v>
      </c>
      <c r="G19" s="7">
        <v>0</v>
      </c>
      <c r="H19" s="3">
        <f>(G19-F19)/F19</f>
        <v>-1</v>
      </c>
    </row>
    <row r="20" spans="1:8" hidden="1" x14ac:dyDescent="0.2">
      <c r="A20">
        <v>145627</v>
      </c>
      <c r="B20" t="s">
        <v>176</v>
      </c>
      <c r="C20" s="6">
        <v>86</v>
      </c>
      <c r="D20" s="6">
        <v>36</v>
      </c>
      <c r="E20" s="6">
        <v>44</v>
      </c>
      <c r="F20" s="7">
        <v>0.1162790697674419</v>
      </c>
      <c r="G20" s="7">
        <v>0</v>
      </c>
      <c r="H20" s="3">
        <f>(G20-F20)/F20</f>
        <v>-1</v>
      </c>
    </row>
    <row r="21" spans="1:8" hidden="1" x14ac:dyDescent="0.2">
      <c r="A21">
        <v>109502</v>
      </c>
      <c r="B21" t="s">
        <v>342</v>
      </c>
      <c r="C21" s="6">
        <v>58</v>
      </c>
      <c r="D21" s="6">
        <v>18</v>
      </c>
      <c r="E21" s="6">
        <v>26</v>
      </c>
      <c r="F21" s="7">
        <v>3.4482758620689648E-2</v>
      </c>
      <c r="G21" s="7">
        <v>0</v>
      </c>
      <c r="H21" s="3">
        <f>(G21-F21)/F21</f>
        <v>-1</v>
      </c>
    </row>
    <row r="22" spans="1:8" hidden="1" x14ac:dyDescent="0.2">
      <c r="A22">
        <v>515147</v>
      </c>
      <c r="B22" t="s">
        <v>244</v>
      </c>
      <c r="C22" s="6">
        <v>55</v>
      </c>
      <c r="D22" s="6">
        <v>28</v>
      </c>
      <c r="E22" s="6">
        <v>36</v>
      </c>
      <c r="F22" s="7">
        <v>0.16363636363636361</v>
      </c>
      <c r="G22" s="7">
        <v>0</v>
      </c>
      <c r="H22" s="3">
        <f>(G22-F22)/F22</f>
        <v>-1</v>
      </c>
    </row>
    <row r="23" spans="1:8" hidden="1" x14ac:dyDescent="0.2">
      <c r="A23">
        <v>307788</v>
      </c>
      <c r="B23" t="s">
        <v>278</v>
      </c>
      <c r="C23" s="6">
        <v>54</v>
      </c>
      <c r="D23" s="6">
        <v>25</v>
      </c>
      <c r="E23" s="6">
        <v>33</v>
      </c>
      <c r="F23" s="7">
        <v>0.14814814814814811</v>
      </c>
      <c r="G23" s="7">
        <v>0</v>
      </c>
      <c r="H23" s="3">
        <f>(G23-F23)/F23</f>
        <v>-1</v>
      </c>
    </row>
    <row r="24" spans="1:8" hidden="1" x14ac:dyDescent="0.2">
      <c r="A24">
        <v>107083</v>
      </c>
      <c r="B24" t="s">
        <v>338</v>
      </c>
      <c r="C24" s="6">
        <v>47</v>
      </c>
      <c r="D24" s="6">
        <v>19</v>
      </c>
      <c r="E24" s="6">
        <v>27</v>
      </c>
      <c r="F24" s="7">
        <v>0.36170212765957449</v>
      </c>
      <c r="G24" s="7">
        <v>0</v>
      </c>
      <c r="H24" s="3">
        <f>(G24-F24)/F24</f>
        <v>-1</v>
      </c>
    </row>
    <row r="25" spans="1:8" hidden="1" x14ac:dyDescent="0.2">
      <c r="A25">
        <v>328070</v>
      </c>
      <c r="B25" t="s">
        <v>144</v>
      </c>
      <c r="C25" s="6">
        <v>45</v>
      </c>
      <c r="D25" s="6">
        <v>38</v>
      </c>
      <c r="E25" s="6">
        <v>46</v>
      </c>
      <c r="F25" s="7">
        <v>8.8888888888888892E-2</v>
      </c>
      <c r="G25" s="7">
        <v>0</v>
      </c>
      <c r="H25" s="3">
        <f>(G25-F25)/F25</f>
        <v>-1</v>
      </c>
    </row>
    <row r="26" spans="1:8" hidden="1" x14ac:dyDescent="0.2">
      <c r="A26">
        <v>518257</v>
      </c>
      <c r="B26" t="s">
        <v>154</v>
      </c>
      <c r="C26" s="6">
        <v>44</v>
      </c>
      <c r="D26" s="6">
        <v>37</v>
      </c>
      <c r="E26" s="6">
        <v>45</v>
      </c>
      <c r="F26" s="7">
        <v>6.8181818181818177E-2</v>
      </c>
      <c r="G26" s="7">
        <v>0</v>
      </c>
      <c r="H26" s="3">
        <f>(G26-F26)/F26</f>
        <v>-1</v>
      </c>
    </row>
    <row r="27" spans="1:8" hidden="1" x14ac:dyDescent="0.2">
      <c r="A27">
        <v>119398</v>
      </c>
      <c r="B27" t="s">
        <v>269</v>
      </c>
      <c r="C27" s="6">
        <v>42</v>
      </c>
      <c r="D27" s="6">
        <v>26</v>
      </c>
      <c r="E27" s="6">
        <v>34</v>
      </c>
      <c r="F27" s="7">
        <v>0.23809523809523811</v>
      </c>
      <c r="G27" s="7">
        <v>0</v>
      </c>
      <c r="H27" s="3">
        <f>(G27-F27)/F27</f>
        <v>-1</v>
      </c>
    </row>
    <row r="28" spans="1:8" hidden="1" x14ac:dyDescent="0.2">
      <c r="A28">
        <v>115708</v>
      </c>
      <c r="B28" t="s">
        <v>322</v>
      </c>
      <c r="C28" s="6">
        <v>41</v>
      </c>
      <c r="D28" s="6">
        <v>22</v>
      </c>
      <c r="E28" s="6">
        <v>30</v>
      </c>
      <c r="F28" s="7">
        <v>0.43902439024390238</v>
      </c>
      <c r="G28" s="7">
        <v>0</v>
      </c>
      <c r="H28" s="3">
        <f>(G28-F28)/F28</f>
        <v>-1</v>
      </c>
    </row>
    <row r="29" spans="1:8" hidden="1" x14ac:dyDescent="0.2">
      <c r="A29">
        <v>311696</v>
      </c>
      <c r="B29" t="s">
        <v>243</v>
      </c>
      <c r="C29" s="6">
        <v>35</v>
      </c>
      <c r="D29" s="6">
        <v>28</v>
      </c>
      <c r="E29" s="6">
        <v>36</v>
      </c>
      <c r="F29" s="7">
        <v>0.14285714285714279</v>
      </c>
      <c r="G29" s="7">
        <v>0</v>
      </c>
      <c r="H29" s="3">
        <f>(G29-F29)/F29</f>
        <v>-1</v>
      </c>
    </row>
    <row r="30" spans="1:8" hidden="1" x14ac:dyDescent="0.2">
      <c r="A30">
        <v>108866</v>
      </c>
      <c r="B30" t="s">
        <v>267</v>
      </c>
      <c r="C30" s="6">
        <v>34</v>
      </c>
      <c r="D30" s="6">
        <v>26</v>
      </c>
      <c r="E30" s="6">
        <v>34</v>
      </c>
      <c r="F30" s="7">
        <v>8.8235294117647065E-2</v>
      </c>
      <c r="G30" s="7">
        <v>0</v>
      </c>
      <c r="H30" s="3">
        <f>(G30-F30)/F30</f>
        <v>-1</v>
      </c>
    </row>
    <row r="31" spans="1:8" hidden="1" x14ac:dyDescent="0.2">
      <c r="A31">
        <v>108391</v>
      </c>
      <c r="B31" t="s">
        <v>118</v>
      </c>
      <c r="C31" s="6">
        <v>27</v>
      </c>
      <c r="D31" s="6">
        <v>40</v>
      </c>
      <c r="E31" s="6">
        <v>48</v>
      </c>
      <c r="F31" s="7">
        <v>3.7037037037037028E-2</v>
      </c>
      <c r="G31" s="7">
        <v>0</v>
      </c>
      <c r="H31" s="3">
        <f>(G31-F31)/F31</f>
        <v>-1</v>
      </c>
    </row>
    <row r="32" spans="1:8" hidden="1" x14ac:dyDescent="0.2">
      <c r="A32">
        <v>109105</v>
      </c>
      <c r="B32" t="s">
        <v>266</v>
      </c>
      <c r="C32" s="6">
        <v>24</v>
      </c>
      <c r="D32" s="6">
        <v>26</v>
      </c>
      <c r="E32" s="6">
        <v>34</v>
      </c>
      <c r="F32" s="7">
        <v>8.3333333333333329E-2</v>
      </c>
      <c r="G32" s="7">
        <v>0</v>
      </c>
      <c r="H32" s="3">
        <f>(G32-F32)/F32</f>
        <v>-1</v>
      </c>
    </row>
    <row r="33" spans="1:8" hidden="1" x14ac:dyDescent="0.2">
      <c r="A33">
        <v>515023</v>
      </c>
      <c r="B33" t="s">
        <v>213</v>
      </c>
      <c r="C33" s="6">
        <v>22</v>
      </c>
      <c r="D33" s="6">
        <v>31</v>
      </c>
      <c r="E33" s="6">
        <v>39</v>
      </c>
      <c r="F33" s="7">
        <v>0.27272727272727271</v>
      </c>
      <c r="G33" s="7">
        <v>0</v>
      </c>
      <c r="H33" s="3">
        <f>(G33-F33)/F33</f>
        <v>-1</v>
      </c>
    </row>
    <row r="34" spans="1:8" hidden="1" x14ac:dyDescent="0.2">
      <c r="A34">
        <v>107621</v>
      </c>
      <c r="B34" t="s">
        <v>300</v>
      </c>
      <c r="C34" s="6">
        <v>22</v>
      </c>
      <c r="D34" s="6">
        <v>24</v>
      </c>
      <c r="E34" s="6">
        <v>32</v>
      </c>
      <c r="F34" s="7">
        <v>0.22727272727272729</v>
      </c>
      <c r="G34" s="7">
        <v>0</v>
      </c>
      <c r="H34" s="3">
        <f>(G34-F34)/F34</f>
        <v>-1</v>
      </c>
    </row>
    <row r="35" spans="1:8" hidden="1" x14ac:dyDescent="0.2">
      <c r="A35">
        <v>452681</v>
      </c>
      <c r="B35" t="s">
        <v>237</v>
      </c>
      <c r="C35" s="6">
        <v>6</v>
      </c>
      <c r="D35" s="6">
        <v>29</v>
      </c>
      <c r="E35" s="6">
        <v>37</v>
      </c>
      <c r="F35" s="7">
        <v>0.16666666666666671</v>
      </c>
      <c r="G35" s="7">
        <v>0</v>
      </c>
      <c r="H35" s="3">
        <f>(G35-F35)/F35</f>
        <v>-1</v>
      </c>
    </row>
    <row r="36" spans="1:8" hidden="1" x14ac:dyDescent="0.2">
      <c r="A36">
        <v>150470</v>
      </c>
      <c r="B36" t="s">
        <v>347</v>
      </c>
      <c r="C36" s="6">
        <v>5</v>
      </c>
      <c r="D36" s="6">
        <v>18</v>
      </c>
      <c r="E36" s="6">
        <v>26</v>
      </c>
      <c r="F36" s="7">
        <v>0.4</v>
      </c>
      <c r="G36" s="7">
        <v>0</v>
      </c>
      <c r="H36" s="3">
        <f>(G36-F36)/F36</f>
        <v>-1</v>
      </c>
    </row>
    <row r="37" spans="1:8" hidden="1" x14ac:dyDescent="0.2">
      <c r="A37">
        <v>107911</v>
      </c>
      <c r="B37" t="s">
        <v>155</v>
      </c>
      <c r="C37" s="6">
        <v>1312</v>
      </c>
      <c r="D37" s="6">
        <v>37</v>
      </c>
      <c r="E37" s="6">
        <v>45</v>
      </c>
      <c r="F37" s="7">
        <v>7.5457317073170729E-2</v>
      </c>
      <c r="G37" s="7">
        <v>1.5243902439024391E-3</v>
      </c>
      <c r="H37" s="3">
        <f>(G37-F37)/F37</f>
        <v>-0.97979797979797978</v>
      </c>
    </row>
    <row r="38" spans="1:8" x14ac:dyDescent="0.2">
      <c r="A38">
        <v>106916</v>
      </c>
      <c r="B38" t="s">
        <v>299</v>
      </c>
      <c r="C38" s="6">
        <v>533</v>
      </c>
      <c r="D38" s="6">
        <v>24</v>
      </c>
      <c r="E38" s="6">
        <v>32</v>
      </c>
      <c r="F38" s="7">
        <v>0.20637898686679171</v>
      </c>
      <c r="G38" s="7">
        <v>0.2120075046904315</v>
      </c>
      <c r="H38" s="3">
        <f>(G38-F38)/F38</f>
        <v>2.7272727272727375E-2</v>
      </c>
    </row>
    <row r="39" spans="1:8" hidden="1" x14ac:dyDescent="0.2">
      <c r="A39">
        <v>108461</v>
      </c>
      <c r="B39" t="s">
        <v>336</v>
      </c>
      <c r="C39" s="6">
        <v>65</v>
      </c>
      <c r="D39" s="6">
        <v>19</v>
      </c>
      <c r="E39" s="6">
        <v>27</v>
      </c>
      <c r="F39" s="7">
        <v>0.23076923076923081</v>
      </c>
      <c r="G39" s="7">
        <v>1.5384615384615391E-2</v>
      </c>
      <c r="H39" s="3">
        <f>(G39-F39)/F39</f>
        <v>-0.93333333333333335</v>
      </c>
    </row>
    <row r="40" spans="1:8" hidden="1" x14ac:dyDescent="0.2">
      <c r="A40">
        <v>109319</v>
      </c>
      <c r="B40" t="s">
        <v>349</v>
      </c>
      <c r="C40" s="6">
        <v>65</v>
      </c>
      <c r="D40" s="6">
        <v>17</v>
      </c>
      <c r="E40" s="6">
        <v>25</v>
      </c>
      <c r="F40" s="7">
        <v>0.1846153846153846</v>
      </c>
      <c r="G40" s="7">
        <v>1.5384615384615391E-2</v>
      </c>
      <c r="H40" s="3">
        <f>(G40-F40)/F40</f>
        <v>-0.91666666666666663</v>
      </c>
    </row>
    <row r="41" spans="1:8" hidden="1" x14ac:dyDescent="0.2">
      <c r="A41">
        <v>108481</v>
      </c>
      <c r="C41" s="6">
        <v>2000</v>
      </c>
      <c r="D41" s="6">
        <v>26</v>
      </c>
      <c r="E41" s="6">
        <v>34</v>
      </c>
      <c r="F41" s="7">
        <v>3.2000000000000001E-2</v>
      </c>
      <c r="G41" s="7">
        <v>3.0000000000000001E-3</v>
      </c>
      <c r="H41" s="3">
        <f>(G41-F41)/F41</f>
        <v>-0.90625</v>
      </c>
    </row>
    <row r="42" spans="1:8" hidden="1" x14ac:dyDescent="0.2">
      <c r="A42">
        <v>106509</v>
      </c>
      <c r="B42" t="s">
        <v>311</v>
      </c>
      <c r="C42" s="6">
        <v>341</v>
      </c>
      <c r="D42" s="6">
        <v>23</v>
      </c>
      <c r="E42" s="6">
        <v>31</v>
      </c>
      <c r="F42" s="7">
        <v>2.932551319648094E-2</v>
      </c>
      <c r="G42" s="7">
        <v>2.9325513196480938E-3</v>
      </c>
      <c r="H42" s="3">
        <f>(G42-F42)/F42</f>
        <v>-0.9</v>
      </c>
    </row>
    <row r="43" spans="1:8" hidden="1" x14ac:dyDescent="0.2">
      <c r="A43">
        <v>512963</v>
      </c>
      <c r="B43" t="s">
        <v>257</v>
      </c>
      <c r="C43" s="6">
        <v>30</v>
      </c>
      <c r="D43" s="6">
        <v>27</v>
      </c>
      <c r="E43" s="6">
        <v>35</v>
      </c>
      <c r="F43" s="7">
        <v>0.3</v>
      </c>
      <c r="G43" s="7">
        <v>3.3333333333333333E-2</v>
      </c>
      <c r="H43" s="3">
        <f>(G43-F43)/F43</f>
        <v>-0.88888888888888895</v>
      </c>
    </row>
    <row r="44" spans="1:8" hidden="1" x14ac:dyDescent="0.2">
      <c r="A44">
        <v>305888</v>
      </c>
      <c r="B44" t="s">
        <v>292</v>
      </c>
      <c r="C44" s="6">
        <v>252</v>
      </c>
      <c r="D44" s="6">
        <v>24</v>
      </c>
      <c r="E44" s="6">
        <v>32</v>
      </c>
      <c r="F44" s="7">
        <v>3.5714285714285712E-2</v>
      </c>
      <c r="G44" s="7">
        <v>3.968253968253968E-3</v>
      </c>
      <c r="H44" s="3">
        <f>(G44-F44)/F44</f>
        <v>-0.88888888888888884</v>
      </c>
    </row>
    <row r="45" spans="1:8" x14ac:dyDescent="0.2">
      <c r="A45">
        <v>158258</v>
      </c>
      <c r="B45" t="s">
        <v>66</v>
      </c>
      <c r="C45" s="6">
        <v>500</v>
      </c>
      <c r="D45" s="6">
        <v>60</v>
      </c>
      <c r="E45" s="6">
        <v>38</v>
      </c>
      <c r="F45" s="7">
        <v>0.34399999999999997</v>
      </c>
      <c r="G45" s="7">
        <v>0.16400000000000001</v>
      </c>
      <c r="H45" s="3">
        <f>(G45-F45)/F45</f>
        <v>-0.5232558139534883</v>
      </c>
    </row>
    <row r="46" spans="1:8" hidden="1" x14ac:dyDescent="0.2">
      <c r="A46">
        <v>305596</v>
      </c>
      <c r="B46" t="s">
        <v>312</v>
      </c>
      <c r="C46" s="6">
        <v>70</v>
      </c>
      <c r="D46" s="6">
        <v>23</v>
      </c>
      <c r="E46" s="6">
        <v>31</v>
      </c>
      <c r="F46" s="7">
        <v>0.1</v>
      </c>
      <c r="G46" s="7">
        <v>1.428571428571429E-2</v>
      </c>
      <c r="H46" s="3">
        <f>(G46-F46)/F46</f>
        <v>-0.8571428571428571</v>
      </c>
    </row>
    <row r="47" spans="1:8" x14ac:dyDescent="0.2">
      <c r="A47">
        <v>305755</v>
      </c>
      <c r="B47" t="s">
        <v>302</v>
      </c>
      <c r="C47" s="6">
        <v>459</v>
      </c>
      <c r="D47" s="6">
        <v>24</v>
      </c>
      <c r="E47" s="6">
        <v>32</v>
      </c>
      <c r="F47" s="7">
        <v>0.44662309368191722</v>
      </c>
      <c r="G47" s="7">
        <v>0.42265795206971679</v>
      </c>
      <c r="H47" s="3">
        <f>(G47-F47)/F47</f>
        <v>-5.3658536585365825E-2</v>
      </c>
    </row>
    <row r="48" spans="1:8" hidden="1" x14ac:dyDescent="0.2">
      <c r="A48">
        <v>115749</v>
      </c>
      <c r="B48" t="s">
        <v>256</v>
      </c>
      <c r="C48" s="6">
        <v>21</v>
      </c>
      <c r="D48" s="6">
        <v>27</v>
      </c>
      <c r="E48" s="6">
        <v>35</v>
      </c>
      <c r="F48" s="7">
        <v>0.2857142857142857</v>
      </c>
      <c r="G48" s="7">
        <v>4.7619047619047623E-2</v>
      </c>
      <c r="H48" s="3">
        <f>(G48-F48)/F48</f>
        <v>-0.83333333333333337</v>
      </c>
    </row>
    <row r="49" spans="1:8" hidden="1" x14ac:dyDescent="0.2">
      <c r="A49">
        <v>198139</v>
      </c>
      <c r="B49" t="s">
        <v>337</v>
      </c>
      <c r="C49" s="6">
        <v>25</v>
      </c>
      <c r="D49" s="6">
        <v>19</v>
      </c>
      <c r="E49" s="6">
        <v>27</v>
      </c>
      <c r="F49" s="7">
        <v>0.24</v>
      </c>
      <c r="G49" s="7">
        <v>0.04</v>
      </c>
      <c r="H49" s="3">
        <f>(G49-F49)/F49</f>
        <v>-0.83333333333333326</v>
      </c>
    </row>
    <row r="50" spans="1:8" hidden="1" x14ac:dyDescent="0.2">
      <c r="A50">
        <v>107016</v>
      </c>
      <c r="B50" t="s">
        <v>236</v>
      </c>
      <c r="C50" s="6">
        <v>1201</v>
      </c>
      <c r="D50" s="6">
        <v>29</v>
      </c>
      <c r="E50" s="6">
        <v>37</v>
      </c>
      <c r="F50" s="7">
        <v>9.3255620316402998E-2</v>
      </c>
      <c r="G50" s="7">
        <v>1.665278934221482E-2</v>
      </c>
      <c r="H50" s="3">
        <f>(G50-F50)/F50</f>
        <v>-0.82142857142857151</v>
      </c>
    </row>
    <row r="51" spans="1:8" hidden="1" x14ac:dyDescent="0.2">
      <c r="A51">
        <v>127820</v>
      </c>
      <c r="B51" t="s">
        <v>270</v>
      </c>
      <c r="C51" s="6">
        <v>40</v>
      </c>
      <c r="D51" s="6">
        <v>26</v>
      </c>
      <c r="E51" s="6">
        <v>34</v>
      </c>
      <c r="F51" s="7">
        <v>0.35</v>
      </c>
      <c r="G51" s="7">
        <v>7.4999999999999997E-2</v>
      </c>
      <c r="H51" s="3">
        <f>(G51-F51)/F51</f>
        <v>-0.7857142857142857</v>
      </c>
    </row>
    <row r="52" spans="1:8" x14ac:dyDescent="0.2">
      <c r="A52">
        <v>106476</v>
      </c>
      <c r="B52" t="s">
        <v>279</v>
      </c>
      <c r="C52" s="6">
        <v>385</v>
      </c>
      <c r="D52" s="6">
        <v>25</v>
      </c>
      <c r="E52" s="6">
        <v>33</v>
      </c>
      <c r="F52" s="7">
        <v>0.15324675324675319</v>
      </c>
      <c r="G52" s="7">
        <v>0.212987012987013</v>
      </c>
      <c r="H52" s="3">
        <f>(G52-F52)/F52</f>
        <v>0.3898305084745769</v>
      </c>
    </row>
    <row r="53" spans="1:8" hidden="1" x14ac:dyDescent="0.2">
      <c r="A53">
        <v>110545</v>
      </c>
      <c r="B53" t="s">
        <v>294</v>
      </c>
      <c r="C53" s="6">
        <v>198</v>
      </c>
      <c r="D53" s="6">
        <v>24</v>
      </c>
      <c r="E53" s="6">
        <v>32</v>
      </c>
      <c r="F53" s="7">
        <v>9.0909090909090912E-2</v>
      </c>
      <c r="G53" s="7">
        <v>2.02020202020202E-2</v>
      </c>
      <c r="H53" s="3">
        <f>(G53-F53)/F53</f>
        <v>-0.7777777777777779</v>
      </c>
    </row>
    <row r="54" spans="1:8" hidden="1" x14ac:dyDescent="0.2">
      <c r="A54">
        <v>118351</v>
      </c>
      <c r="B54" t="s">
        <v>106</v>
      </c>
      <c r="C54" s="6">
        <v>325</v>
      </c>
      <c r="D54" s="6">
        <v>41</v>
      </c>
      <c r="E54" s="6">
        <v>49</v>
      </c>
      <c r="F54" s="7">
        <v>8.3076923076923076E-2</v>
      </c>
      <c r="G54" s="7">
        <v>1.846153846153846E-2</v>
      </c>
      <c r="H54" s="3">
        <f>(G54-F54)/F54</f>
        <v>-0.77777777777777779</v>
      </c>
    </row>
    <row r="55" spans="1:8" x14ac:dyDescent="0.2">
      <c r="A55">
        <v>108493</v>
      </c>
      <c r="B55" t="s">
        <v>298</v>
      </c>
      <c r="C55" s="6">
        <v>285</v>
      </c>
      <c r="D55" s="6">
        <v>24</v>
      </c>
      <c r="E55" s="6">
        <v>32</v>
      </c>
      <c r="F55" s="7">
        <v>0.14385964912280699</v>
      </c>
      <c r="G55" s="7">
        <v>0.10526315789473679</v>
      </c>
      <c r="H55" s="3">
        <f>(G55-F55)/F55</f>
        <v>-0.26829268292682945</v>
      </c>
    </row>
    <row r="56" spans="1:8" hidden="1" x14ac:dyDescent="0.2">
      <c r="A56">
        <v>133907</v>
      </c>
      <c r="B56" t="s">
        <v>363</v>
      </c>
      <c r="C56" s="6">
        <v>33</v>
      </c>
      <c r="D56" s="6">
        <v>15</v>
      </c>
      <c r="E56" s="6">
        <v>23</v>
      </c>
      <c r="F56" s="7">
        <v>0.2424242424242424</v>
      </c>
      <c r="G56" s="7">
        <v>6.0606060606060608E-2</v>
      </c>
      <c r="H56" s="3">
        <f>(G56-F56)/F56</f>
        <v>-0.75</v>
      </c>
    </row>
    <row r="57" spans="1:8" x14ac:dyDescent="0.2">
      <c r="A57">
        <v>109229</v>
      </c>
      <c r="B57" t="s">
        <v>362</v>
      </c>
      <c r="C57" s="6">
        <v>285</v>
      </c>
      <c r="D57" s="6">
        <v>15</v>
      </c>
      <c r="E57" s="6">
        <v>23</v>
      </c>
      <c r="F57" s="7">
        <v>0.2350877192982456</v>
      </c>
      <c r="G57" s="7">
        <v>0.24912280701754391</v>
      </c>
      <c r="H57" s="3">
        <f>(G57-F57)/F57</f>
        <v>5.9701492537313744E-2</v>
      </c>
    </row>
    <row r="58" spans="1:8" x14ac:dyDescent="0.2">
      <c r="A58">
        <v>137813</v>
      </c>
      <c r="B58" t="s">
        <v>370</v>
      </c>
      <c r="C58" s="6">
        <v>274</v>
      </c>
      <c r="D58" s="6">
        <v>13</v>
      </c>
      <c r="E58" s="6">
        <v>21</v>
      </c>
      <c r="F58" s="7">
        <v>0.21167883211678831</v>
      </c>
      <c r="G58" s="7">
        <v>8.0291970802919707E-2</v>
      </c>
      <c r="H58" s="3">
        <f>(G58-F58)/F58</f>
        <v>-0.62068965517241381</v>
      </c>
    </row>
    <row r="59" spans="1:8" x14ac:dyDescent="0.2">
      <c r="A59">
        <v>117072</v>
      </c>
      <c r="B59" t="s">
        <v>214</v>
      </c>
      <c r="C59" s="6">
        <v>237</v>
      </c>
      <c r="D59" s="6">
        <v>31</v>
      </c>
      <c r="E59" s="6">
        <v>39</v>
      </c>
      <c r="F59" s="7">
        <v>0.32911392405063289</v>
      </c>
      <c r="G59" s="7">
        <v>0.16033755274261599</v>
      </c>
      <c r="H59" s="3">
        <f>(G59-F59)/F59</f>
        <v>-0.51282051282051289</v>
      </c>
    </row>
    <row r="60" spans="1:8" hidden="1" x14ac:dyDescent="0.2">
      <c r="A60">
        <v>113397</v>
      </c>
      <c r="B60" t="s">
        <v>191</v>
      </c>
      <c r="C60" s="6">
        <v>93</v>
      </c>
      <c r="D60" s="6">
        <v>35</v>
      </c>
      <c r="E60" s="6">
        <v>43</v>
      </c>
      <c r="F60" s="7">
        <v>7.5268817204301078E-2</v>
      </c>
      <c r="G60" s="7">
        <v>2.150537634408602E-2</v>
      </c>
      <c r="H60" s="3">
        <f>(G60-F60)/F60</f>
        <v>-0.71428571428571441</v>
      </c>
    </row>
    <row r="61" spans="1:8" hidden="1" x14ac:dyDescent="0.2">
      <c r="A61">
        <v>113383</v>
      </c>
      <c r="B61" t="s">
        <v>350</v>
      </c>
      <c r="C61" s="6">
        <v>44</v>
      </c>
      <c r="D61" s="6">
        <v>17</v>
      </c>
      <c r="E61" s="6">
        <v>25</v>
      </c>
      <c r="F61" s="7">
        <v>0.22727272727272729</v>
      </c>
      <c r="G61" s="7">
        <v>6.8181818181818177E-2</v>
      </c>
      <c r="H61" s="3">
        <f>(G61-F61)/F61</f>
        <v>-0.70000000000000007</v>
      </c>
    </row>
    <row r="62" spans="1:8" hidden="1" x14ac:dyDescent="0.2">
      <c r="A62">
        <v>112489</v>
      </c>
      <c r="B62" t="s">
        <v>345</v>
      </c>
      <c r="C62" s="6">
        <v>100</v>
      </c>
      <c r="D62" s="6">
        <v>18</v>
      </c>
      <c r="E62" s="6">
        <v>26</v>
      </c>
      <c r="F62" s="7">
        <v>0.28999999999999998</v>
      </c>
      <c r="G62" s="7">
        <v>0.09</v>
      </c>
      <c r="H62" s="3">
        <f>(G62-F62)/F62</f>
        <v>-0.68965517241379304</v>
      </c>
    </row>
    <row r="63" spans="1:8" hidden="1" x14ac:dyDescent="0.2">
      <c r="A63">
        <v>164915</v>
      </c>
      <c r="B63" t="s">
        <v>192</v>
      </c>
      <c r="C63" s="6">
        <v>172</v>
      </c>
      <c r="D63" s="6">
        <v>35</v>
      </c>
      <c r="E63" s="6">
        <v>43</v>
      </c>
      <c r="F63" s="7">
        <v>9.3023255813953487E-2</v>
      </c>
      <c r="G63" s="7">
        <v>3.4883720930232558E-2</v>
      </c>
      <c r="H63" s="3">
        <f>(G63-F63)/F63</f>
        <v>-0.625</v>
      </c>
    </row>
    <row r="64" spans="1:8" x14ac:dyDescent="0.2">
      <c r="A64">
        <v>153918</v>
      </c>
      <c r="B64" t="s">
        <v>67</v>
      </c>
      <c r="C64" s="6">
        <v>236</v>
      </c>
      <c r="D64" s="6">
        <v>48</v>
      </c>
      <c r="E64" s="6">
        <v>56</v>
      </c>
      <c r="F64" s="7">
        <v>0.1652542372881356</v>
      </c>
      <c r="G64" s="7">
        <v>4.6610169491525417E-2</v>
      </c>
      <c r="H64" s="3">
        <f>(G64-F64)/F64</f>
        <v>-0.71794871794871806</v>
      </c>
    </row>
    <row r="65" spans="1:8" hidden="1" x14ac:dyDescent="0.2">
      <c r="A65">
        <v>476092</v>
      </c>
      <c r="B65" t="s">
        <v>177</v>
      </c>
      <c r="C65" s="6">
        <v>34</v>
      </c>
      <c r="D65" s="6">
        <v>36</v>
      </c>
      <c r="E65" s="6">
        <v>44</v>
      </c>
      <c r="F65" s="7">
        <v>0.1470588235294118</v>
      </c>
      <c r="G65" s="7">
        <v>5.8823529411764712E-2</v>
      </c>
      <c r="H65" s="3">
        <f>(G65-F65)/F65</f>
        <v>-0.6</v>
      </c>
    </row>
    <row r="66" spans="1:8" x14ac:dyDescent="0.2">
      <c r="A66">
        <v>163211</v>
      </c>
      <c r="B66" t="s">
        <v>123</v>
      </c>
      <c r="C66" s="6">
        <v>200</v>
      </c>
      <c r="D66" s="6">
        <v>40</v>
      </c>
      <c r="E66" s="6">
        <v>48</v>
      </c>
      <c r="F66" s="7">
        <v>0.14000000000000001</v>
      </c>
      <c r="G66" s="7">
        <v>3.5000000000000003E-2</v>
      </c>
      <c r="H66" s="3">
        <f>(G66-F66)/F66</f>
        <v>-0.75</v>
      </c>
    </row>
    <row r="67" spans="1:8" hidden="1" x14ac:dyDescent="0.2">
      <c r="A67">
        <v>108043</v>
      </c>
      <c r="B67" t="s">
        <v>83</v>
      </c>
      <c r="C67" s="6">
        <v>85</v>
      </c>
      <c r="D67" s="6">
        <v>43</v>
      </c>
      <c r="E67" s="6">
        <v>51</v>
      </c>
      <c r="F67" s="7">
        <v>0.36470588235294121</v>
      </c>
      <c r="G67" s="7">
        <v>0.1647058823529412</v>
      </c>
      <c r="H67" s="3">
        <f>(G67-F67)/F67</f>
        <v>-0.54838709677419351</v>
      </c>
    </row>
    <row r="68" spans="1:8" hidden="1" x14ac:dyDescent="0.2">
      <c r="A68">
        <v>109107</v>
      </c>
      <c r="B68" t="s">
        <v>193</v>
      </c>
      <c r="C68" s="6">
        <v>65</v>
      </c>
      <c r="D68" s="6">
        <v>35</v>
      </c>
      <c r="E68" s="6">
        <v>43</v>
      </c>
      <c r="F68" s="7">
        <v>0.16923076923076921</v>
      </c>
      <c r="G68" s="7">
        <v>7.6923076923076927E-2</v>
      </c>
      <c r="H68" s="3">
        <f>(G68-F68)/F68</f>
        <v>-0.54545454545454541</v>
      </c>
    </row>
    <row r="69" spans="1:8" x14ac:dyDescent="0.2">
      <c r="A69">
        <v>146835</v>
      </c>
      <c r="B69" t="s">
        <v>366</v>
      </c>
      <c r="C69" s="6">
        <v>198</v>
      </c>
      <c r="D69" s="6">
        <v>14</v>
      </c>
      <c r="E69" s="6">
        <v>22</v>
      </c>
      <c r="F69" s="7">
        <v>0.23232323232323229</v>
      </c>
      <c r="G69" s="7">
        <v>0.25757575757575762</v>
      </c>
      <c r="H69" s="3">
        <f>(G69-F69)/F69</f>
        <v>0.1086956521739134</v>
      </c>
    </row>
    <row r="70" spans="1:8" x14ac:dyDescent="0.2">
      <c r="A70">
        <v>112180</v>
      </c>
      <c r="B70" t="s">
        <v>314</v>
      </c>
      <c r="C70" s="6">
        <v>190</v>
      </c>
      <c r="D70" s="6">
        <v>23</v>
      </c>
      <c r="E70" s="6">
        <v>31</v>
      </c>
      <c r="F70" s="7">
        <v>0.1210526315789474</v>
      </c>
      <c r="G70" s="7">
        <v>2.6315789473684209E-2</v>
      </c>
      <c r="H70" s="3">
        <f>(G70-F70)/F70</f>
        <v>-0.78260869565217395</v>
      </c>
    </row>
    <row r="71" spans="1:8" hidden="1" x14ac:dyDescent="0.2">
      <c r="A71">
        <v>500208</v>
      </c>
      <c r="B71" t="s">
        <v>223</v>
      </c>
      <c r="C71" s="6">
        <v>50</v>
      </c>
      <c r="D71" s="6">
        <v>30</v>
      </c>
      <c r="E71" s="6">
        <v>38</v>
      </c>
      <c r="F71" s="7">
        <v>0.04</v>
      </c>
      <c r="G71" s="7">
        <v>0.02</v>
      </c>
      <c r="H71" s="3">
        <f>(G71-F71)/F71</f>
        <v>-0.5</v>
      </c>
    </row>
    <row r="72" spans="1:8" x14ac:dyDescent="0.2">
      <c r="A72">
        <v>466242</v>
      </c>
      <c r="B72" t="s">
        <v>313</v>
      </c>
      <c r="C72" s="6">
        <v>190</v>
      </c>
      <c r="D72" s="6">
        <v>23</v>
      </c>
      <c r="E72" s="6">
        <v>31</v>
      </c>
      <c r="F72" s="7">
        <v>0.1157894736842105</v>
      </c>
      <c r="G72" s="7">
        <v>7.8947368421052627E-2</v>
      </c>
      <c r="H72" s="3">
        <f>(G72-F72)/F72</f>
        <v>-0.31818181818181807</v>
      </c>
    </row>
    <row r="73" spans="1:8" x14ac:dyDescent="0.2">
      <c r="A73">
        <v>145570</v>
      </c>
      <c r="B73" t="s">
        <v>353</v>
      </c>
      <c r="C73" s="6">
        <v>189</v>
      </c>
      <c r="D73" s="6">
        <v>16</v>
      </c>
      <c r="E73" s="6">
        <v>24</v>
      </c>
      <c r="F73" s="7">
        <v>0.25925925925925919</v>
      </c>
      <c r="G73" s="7">
        <v>0.24867724867724869</v>
      </c>
      <c r="H73" s="3">
        <f>(G73-F73)/F73</f>
        <v>-4.0816326530611929E-2</v>
      </c>
    </row>
    <row r="74" spans="1:8" hidden="1" x14ac:dyDescent="0.2">
      <c r="A74">
        <v>115132</v>
      </c>
      <c r="B74" t="s">
        <v>162</v>
      </c>
      <c r="C74" s="6">
        <v>39</v>
      </c>
      <c r="D74" s="6">
        <v>37</v>
      </c>
      <c r="E74" s="6">
        <v>45</v>
      </c>
      <c r="F74" s="7">
        <v>0.46153846153846162</v>
      </c>
      <c r="G74" s="7">
        <v>0.25641025641025639</v>
      </c>
      <c r="H74" s="3">
        <f>(G74-F74)/F74</f>
        <v>-0.44444444444444459</v>
      </c>
    </row>
    <row r="75" spans="1:8" hidden="1" x14ac:dyDescent="0.2">
      <c r="A75">
        <v>141123</v>
      </c>
      <c r="B75" t="s">
        <v>258</v>
      </c>
      <c r="C75" s="6">
        <v>100</v>
      </c>
      <c r="D75" s="6">
        <v>27</v>
      </c>
      <c r="E75" s="6">
        <v>35</v>
      </c>
      <c r="F75" s="7">
        <v>0.33</v>
      </c>
      <c r="G75" s="7">
        <v>0.21</v>
      </c>
      <c r="H75" s="3">
        <f>(G75-F75)/F75</f>
        <v>-0.3636363636363637</v>
      </c>
    </row>
    <row r="76" spans="1:8" hidden="1" x14ac:dyDescent="0.2">
      <c r="A76">
        <v>201477</v>
      </c>
      <c r="B76" t="s">
        <v>242</v>
      </c>
      <c r="C76" s="6">
        <v>52</v>
      </c>
      <c r="D76" s="6">
        <v>28</v>
      </c>
      <c r="E76" s="6">
        <v>36</v>
      </c>
      <c r="F76" s="7">
        <v>5.7692307692307702E-2</v>
      </c>
      <c r="G76" s="7">
        <v>3.8461538461538457E-2</v>
      </c>
      <c r="H76" s="3">
        <f>(G76-F76)/F76</f>
        <v>-0.33333333333333354</v>
      </c>
    </row>
    <row r="77" spans="1:8" hidden="1" x14ac:dyDescent="0.2">
      <c r="A77">
        <v>189075</v>
      </c>
      <c r="B77" t="s">
        <v>334</v>
      </c>
      <c r="C77" s="6">
        <v>183</v>
      </c>
      <c r="D77" s="6">
        <v>19</v>
      </c>
      <c r="E77" s="6">
        <v>27</v>
      </c>
      <c r="F77" s="7">
        <v>1.6393442622950821E-2</v>
      </c>
      <c r="G77" s="7">
        <v>1.092896174863388E-2</v>
      </c>
      <c r="H77" s="3">
        <f>(G77-F77)/F77</f>
        <v>-0.33333333333333337</v>
      </c>
    </row>
    <row r="78" spans="1:8" hidden="1" x14ac:dyDescent="0.2">
      <c r="A78">
        <v>107333</v>
      </c>
      <c r="B78" t="s">
        <v>200</v>
      </c>
      <c r="C78" s="6">
        <v>438</v>
      </c>
      <c r="D78" s="6">
        <v>33</v>
      </c>
      <c r="E78" s="6">
        <v>41</v>
      </c>
      <c r="F78" s="7">
        <v>2.7397260273972601E-2</v>
      </c>
      <c r="G78" s="7">
        <v>1.8264840182648401E-2</v>
      </c>
      <c r="H78" s="3">
        <f>(G78-F78)/F78</f>
        <v>-0.33333333333333331</v>
      </c>
    </row>
    <row r="79" spans="1:8" hidden="1" x14ac:dyDescent="0.2">
      <c r="A79">
        <v>109117</v>
      </c>
      <c r="B79" t="s">
        <v>341</v>
      </c>
      <c r="C79" s="6">
        <v>448</v>
      </c>
      <c r="D79" s="6">
        <v>18</v>
      </c>
      <c r="E79" s="6">
        <v>26</v>
      </c>
      <c r="F79" s="7">
        <v>2.6785714285714281E-2</v>
      </c>
      <c r="G79" s="7">
        <v>1.785714285714286E-2</v>
      </c>
      <c r="H79" s="3">
        <f>(G79-F79)/F79</f>
        <v>-0.33333333333333309</v>
      </c>
    </row>
    <row r="80" spans="1:8" hidden="1" x14ac:dyDescent="0.2">
      <c r="A80">
        <v>106477</v>
      </c>
      <c r="B80" t="s">
        <v>190</v>
      </c>
      <c r="C80" s="6">
        <v>158</v>
      </c>
      <c r="D80" s="6">
        <v>35</v>
      </c>
      <c r="E80" s="6">
        <v>43</v>
      </c>
      <c r="F80" s="7">
        <v>1.8987341772151899E-2</v>
      </c>
      <c r="G80" s="7">
        <v>1.2658227848101271E-2</v>
      </c>
      <c r="H80" s="3">
        <f>(G80-F80)/F80</f>
        <v>-0.33333333333333309</v>
      </c>
    </row>
    <row r="81" spans="1:8" x14ac:dyDescent="0.2">
      <c r="A81">
        <v>113421</v>
      </c>
      <c r="B81" t="s">
        <v>160</v>
      </c>
      <c r="C81" s="6">
        <v>165</v>
      </c>
      <c r="D81" s="6">
        <v>37</v>
      </c>
      <c r="E81" s="6">
        <v>45</v>
      </c>
      <c r="F81" s="7">
        <v>0.30909090909090908</v>
      </c>
      <c r="G81" s="7">
        <v>0.26060606060606062</v>
      </c>
      <c r="H81" s="3">
        <f>(G81-F81)/F81</f>
        <v>-0.15686274509803916</v>
      </c>
    </row>
    <row r="82" spans="1:8" x14ac:dyDescent="0.2">
      <c r="A82">
        <v>109735</v>
      </c>
      <c r="B82" t="s">
        <v>317</v>
      </c>
      <c r="C82" s="6">
        <v>162</v>
      </c>
      <c r="D82" s="6">
        <v>23</v>
      </c>
      <c r="E82" s="6">
        <v>31</v>
      </c>
      <c r="F82" s="7">
        <v>0.1728395061728395</v>
      </c>
      <c r="G82" s="7">
        <v>0</v>
      </c>
      <c r="H82" s="3">
        <f>(G82-F82)/F82</f>
        <v>-1</v>
      </c>
    </row>
    <row r="83" spans="1:8" hidden="1" x14ac:dyDescent="0.2">
      <c r="A83">
        <v>109637</v>
      </c>
      <c r="B83" t="s">
        <v>96</v>
      </c>
      <c r="C83" s="6">
        <v>69</v>
      </c>
      <c r="D83" s="6">
        <v>42</v>
      </c>
      <c r="E83" s="6">
        <v>50</v>
      </c>
      <c r="F83" s="7">
        <v>0.28985507246376813</v>
      </c>
      <c r="G83" s="7">
        <v>0.20289855072463769</v>
      </c>
      <c r="H83" s="3">
        <f>(G83-F83)/F83</f>
        <v>-0.3</v>
      </c>
    </row>
    <row r="84" spans="1:8" hidden="1" x14ac:dyDescent="0.2">
      <c r="A84">
        <v>106000</v>
      </c>
      <c r="B84" t="s">
        <v>310</v>
      </c>
      <c r="C84" s="6">
        <v>1800</v>
      </c>
      <c r="D84" s="6">
        <v>23</v>
      </c>
      <c r="E84" s="6">
        <v>31</v>
      </c>
      <c r="F84" s="7">
        <v>2.777777777777778E-2</v>
      </c>
      <c r="G84" s="7">
        <v>0.02</v>
      </c>
      <c r="H84" s="3">
        <f>(G84-F84)/F84</f>
        <v>-0.28000000000000003</v>
      </c>
    </row>
    <row r="85" spans="1:8" x14ac:dyDescent="0.2">
      <c r="A85">
        <v>107709</v>
      </c>
      <c r="B85" t="s">
        <v>296</v>
      </c>
      <c r="C85" s="6">
        <v>160</v>
      </c>
      <c r="D85" s="6">
        <v>24</v>
      </c>
      <c r="E85" s="6">
        <v>32</v>
      </c>
      <c r="F85" s="7">
        <v>0.10625</v>
      </c>
      <c r="G85" s="7">
        <v>0</v>
      </c>
      <c r="H85" s="3">
        <f>(G85-F85)/F85</f>
        <v>-1</v>
      </c>
    </row>
    <row r="86" spans="1:8" x14ac:dyDescent="0.2">
      <c r="A86">
        <v>107245</v>
      </c>
      <c r="B86" t="s">
        <v>351</v>
      </c>
      <c r="C86" s="6">
        <v>160</v>
      </c>
      <c r="D86" s="6">
        <v>17</v>
      </c>
      <c r="E86" s="6">
        <v>25</v>
      </c>
      <c r="F86" s="7">
        <v>0.30625000000000002</v>
      </c>
      <c r="G86" s="7">
        <v>0.16250000000000001</v>
      </c>
      <c r="H86" s="3">
        <f>(G86-F86)/F86</f>
        <v>-0.46938775510204084</v>
      </c>
    </row>
    <row r="87" spans="1:8" hidden="1" x14ac:dyDescent="0.2">
      <c r="A87">
        <v>466357</v>
      </c>
      <c r="B87" t="s">
        <v>318</v>
      </c>
      <c r="C87" s="6">
        <v>59</v>
      </c>
      <c r="D87" s="6">
        <v>23</v>
      </c>
      <c r="E87" s="6">
        <v>31</v>
      </c>
      <c r="F87" s="7">
        <v>0.28813559322033899</v>
      </c>
      <c r="G87" s="7">
        <v>0.22033898305084751</v>
      </c>
      <c r="H87" s="3">
        <f>(G87-F87)/F87</f>
        <v>-0.23529411764705868</v>
      </c>
    </row>
    <row r="88" spans="1:8" x14ac:dyDescent="0.2">
      <c r="A88">
        <v>108027</v>
      </c>
      <c r="B88" t="s">
        <v>146</v>
      </c>
      <c r="C88" s="6">
        <v>148</v>
      </c>
      <c r="D88" s="6">
        <v>38</v>
      </c>
      <c r="E88" s="6">
        <v>46</v>
      </c>
      <c r="F88" s="7">
        <v>0.20270270270270269</v>
      </c>
      <c r="G88" s="7">
        <v>0</v>
      </c>
      <c r="H88" s="3">
        <f>(G88-F88)/F88</f>
        <v>-1</v>
      </c>
    </row>
    <row r="89" spans="1:8" hidden="1" x14ac:dyDescent="0.2">
      <c r="A89">
        <v>141315</v>
      </c>
      <c r="B89" t="s">
        <v>277</v>
      </c>
      <c r="C89" s="6">
        <v>225</v>
      </c>
      <c r="D89" s="6">
        <v>25</v>
      </c>
      <c r="E89" s="6">
        <v>33</v>
      </c>
      <c r="F89" s="7">
        <v>2.6666666666666668E-2</v>
      </c>
      <c r="G89" s="7">
        <v>2.222222222222222E-2</v>
      </c>
      <c r="H89" s="3">
        <f>(G89-F89)/F89</f>
        <v>-0.16666666666666682</v>
      </c>
    </row>
    <row r="90" spans="1:8" hidden="1" x14ac:dyDescent="0.2">
      <c r="A90">
        <v>482999</v>
      </c>
      <c r="B90" t="s">
        <v>139</v>
      </c>
      <c r="C90" s="6">
        <v>18</v>
      </c>
      <c r="D90" s="6">
        <v>39</v>
      </c>
      <c r="E90" s="6">
        <v>47</v>
      </c>
      <c r="F90" s="7">
        <v>0.33333333333333331</v>
      </c>
      <c r="G90" s="7">
        <v>0.27777777777777779</v>
      </c>
      <c r="H90" s="3">
        <f>(G90-F90)/F90</f>
        <v>-0.16666666666666657</v>
      </c>
    </row>
    <row r="91" spans="1:8" x14ac:dyDescent="0.2">
      <c r="A91">
        <v>106311</v>
      </c>
      <c r="B91" t="s">
        <v>297</v>
      </c>
      <c r="C91" s="6">
        <v>148</v>
      </c>
      <c r="D91" s="6">
        <v>24</v>
      </c>
      <c r="E91" s="6">
        <v>32</v>
      </c>
      <c r="F91" s="7">
        <v>0.1283783783783784</v>
      </c>
      <c r="G91" s="7">
        <v>8.7837837837837843E-2</v>
      </c>
      <c r="H91" s="3">
        <f>(G91-F91)/F91</f>
        <v>-0.31578947368421062</v>
      </c>
    </row>
    <row r="92" spans="1:8" x14ac:dyDescent="0.2">
      <c r="A92">
        <v>128219</v>
      </c>
      <c r="B92" t="s">
        <v>78</v>
      </c>
      <c r="C92" s="6">
        <v>138</v>
      </c>
      <c r="D92" s="6">
        <v>45</v>
      </c>
      <c r="E92" s="6">
        <v>53</v>
      </c>
      <c r="F92" s="7">
        <v>0.26811594202898548</v>
      </c>
      <c r="G92" s="7">
        <v>3.6231884057971023E-2</v>
      </c>
      <c r="H92" s="3">
        <f>(G92-F92)/F92</f>
        <v>-0.86486486486486491</v>
      </c>
    </row>
    <row r="93" spans="1:8" hidden="1" x14ac:dyDescent="0.2">
      <c r="A93">
        <v>466214</v>
      </c>
      <c r="B93" t="s">
        <v>156</v>
      </c>
      <c r="C93" s="6">
        <v>64</v>
      </c>
      <c r="D93" s="6">
        <v>37</v>
      </c>
      <c r="E93" s="6">
        <v>45</v>
      </c>
      <c r="F93" s="7">
        <v>0.109375</v>
      </c>
      <c r="G93" s="7">
        <v>9.375E-2</v>
      </c>
      <c r="H93" s="3">
        <f>(G93-F93)/F93</f>
        <v>-0.14285714285714285</v>
      </c>
    </row>
    <row r="94" spans="1:8" hidden="1" x14ac:dyDescent="0.2">
      <c r="A94">
        <v>462404</v>
      </c>
      <c r="B94" t="s">
        <v>95</v>
      </c>
      <c r="C94" s="6">
        <v>120</v>
      </c>
      <c r="D94" s="6">
        <v>42</v>
      </c>
      <c r="E94" s="6">
        <v>50</v>
      </c>
      <c r="F94" s="7">
        <v>5.8333333333333327E-2</v>
      </c>
      <c r="G94" s="7">
        <v>0.05</v>
      </c>
      <c r="H94" s="3">
        <f>(G94-F94)/F94</f>
        <v>-0.14285714285714271</v>
      </c>
    </row>
    <row r="95" spans="1:8" hidden="1" x14ac:dyDescent="0.2">
      <c r="A95" t="s">
        <v>93</v>
      </c>
      <c r="B95" t="s">
        <v>94</v>
      </c>
      <c r="C95" s="6">
        <v>203</v>
      </c>
      <c r="D95" s="6">
        <v>42</v>
      </c>
      <c r="E95" s="6">
        <v>50</v>
      </c>
      <c r="F95" s="7">
        <v>5.4187192118226597E-2</v>
      </c>
      <c r="G95" s="7">
        <v>4.9261083743842367E-2</v>
      </c>
      <c r="H95" s="3">
        <f>(G95-F95)/F95</f>
        <v>-9.0909090909090801E-2</v>
      </c>
    </row>
    <row r="96" spans="1:8" x14ac:dyDescent="0.2">
      <c r="A96">
        <v>325626</v>
      </c>
      <c r="B96" t="s">
        <v>124</v>
      </c>
      <c r="C96" s="6">
        <v>130</v>
      </c>
      <c r="D96" s="6">
        <v>40</v>
      </c>
      <c r="E96" s="6">
        <v>48</v>
      </c>
      <c r="F96" s="7">
        <v>0.2461538461538462</v>
      </c>
      <c r="G96" s="7">
        <v>3.8461538461538457E-2</v>
      </c>
      <c r="H96" s="3">
        <f>(G96-F96)/F96</f>
        <v>-0.84375</v>
      </c>
    </row>
    <row r="97" spans="1:8" x14ac:dyDescent="0.2">
      <c r="A97">
        <v>109521</v>
      </c>
      <c r="B97" t="s">
        <v>161</v>
      </c>
      <c r="C97" s="6">
        <v>130</v>
      </c>
      <c r="D97" s="6">
        <v>37</v>
      </c>
      <c r="E97" s="6">
        <v>45</v>
      </c>
      <c r="F97" s="7">
        <v>0.45384615384615379</v>
      </c>
      <c r="G97" s="7">
        <v>0.43846153846153851</v>
      </c>
      <c r="H97" s="3">
        <f>(G97-F97)/F97</f>
        <v>-3.3898305084745527E-2</v>
      </c>
    </row>
    <row r="98" spans="1:8" x14ac:dyDescent="0.2">
      <c r="A98">
        <v>107126</v>
      </c>
      <c r="B98" t="s">
        <v>271</v>
      </c>
      <c r="C98" s="6">
        <v>129</v>
      </c>
      <c r="D98" s="6">
        <v>26</v>
      </c>
      <c r="E98" s="6">
        <v>34</v>
      </c>
      <c r="F98" s="7">
        <v>0.43410852713178288</v>
      </c>
      <c r="G98" s="7">
        <v>0.34108527131782951</v>
      </c>
      <c r="H98" s="3">
        <f>(G98-F98)/F98</f>
        <v>-0.21428571428571405</v>
      </c>
    </row>
    <row r="99" spans="1:8" hidden="1" x14ac:dyDescent="0.2">
      <c r="A99">
        <v>105678</v>
      </c>
      <c r="B99" t="s">
        <v>202</v>
      </c>
      <c r="C99" s="6">
        <v>90</v>
      </c>
      <c r="D99" s="6">
        <v>32</v>
      </c>
      <c r="E99" s="6">
        <v>40</v>
      </c>
      <c r="F99" s="7">
        <v>0</v>
      </c>
      <c r="G99" s="7">
        <v>0.48888888888888887</v>
      </c>
      <c r="H99" s="3">
        <v>0</v>
      </c>
    </row>
    <row r="100" spans="1:8" hidden="1" x14ac:dyDescent="0.2">
      <c r="A100">
        <v>112606</v>
      </c>
      <c r="B100" t="s">
        <v>260</v>
      </c>
      <c r="C100" s="6">
        <v>70</v>
      </c>
      <c r="D100" s="6">
        <v>26</v>
      </c>
      <c r="E100" s="6">
        <v>34</v>
      </c>
      <c r="F100" s="7">
        <v>0</v>
      </c>
      <c r="G100" s="7">
        <v>0.41428571428571431</v>
      </c>
      <c r="H100" s="3">
        <v>0</v>
      </c>
    </row>
    <row r="101" spans="1:8" hidden="1" x14ac:dyDescent="0.2">
      <c r="A101">
        <v>193368</v>
      </c>
      <c r="B101" t="s">
        <v>262</v>
      </c>
      <c r="C101" s="6">
        <v>30</v>
      </c>
      <c r="D101" s="6">
        <v>26</v>
      </c>
      <c r="E101" s="6">
        <v>34</v>
      </c>
      <c r="F101" s="7">
        <v>0</v>
      </c>
      <c r="G101" s="7">
        <v>0.36666666666666659</v>
      </c>
      <c r="H101" s="3">
        <v>0</v>
      </c>
    </row>
    <row r="102" spans="1:8" hidden="1" x14ac:dyDescent="0.2">
      <c r="A102">
        <v>189441</v>
      </c>
      <c r="B102" t="s">
        <v>249</v>
      </c>
      <c r="C102" s="6">
        <v>50</v>
      </c>
      <c r="D102" s="6">
        <v>27</v>
      </c>
      <c r="E102" s="6">
        <v>35</v>
      </c>
      <c r="F102" s="7">
        <v>0</v>
      </c>
      <c r="G102" s="7">
        <v>0.28000000000000003</v>
      </c>
      <c r="H102" s="3">
        <v>0</v>
      </c>
    </row>
    <row r="103" spans="1:8" hidden="1" x14ac:dyDescent="0.2">
      <c r="A103">
        <v>112152</v>
      </c>
      <c r="B103" t="s">
        <v>355</v>
      </c>
      <c r="C103" s="6">
        <v>60</v>
      </c>
      <c r="D103" s="6">
        <v>15</v>
      </c>
      <c r="E103" s="6">
        <v>23</v>
      </c>
      <c r="F103" s="7">
        <v>0</v>
      </c>
      <c r="G103" s="7">
        <v>0.26666666666666672</v>
      </c>
      <c r="H103" s="3">
        <v>0</v>
      </c>
    </row>
    <row r="104" spans="1:8" hidden="1" x14ac:dyDescent="0.2">
      <c r="A104">
        <v>109369</v>
      </c>
      <c r="B104" t="s">
        <v>226</v>
      </c>
      <c r="C104" s="6">
        <v>94</v>
      </c>
      <c r="D104" s="6">
        <v>30</v>
      </c>
      <c r="E104" s="6">
        <v>38</v>
      </c>
      <c r="F104" s="7">
        <v>0.24468085106382981</v>
      </c>
      <c r="G104" s="7">
        <v>0.24468085106382981</v>
      </c>
      <c r="H104" s="3">
        <f>(G104-F104)/F104</f>
        <v>0</v>
      </c>
    </row>
    <row r="105" spans="1:8" hidden="1" x14ac:dyDescent="0.2">
      <c r="A105">
        <v>213659</v>
      </c>
      <c r="B105" t="s">
        <v>199</v>
      </c>
      <c r="C105" s="6">
        <v>13</v>
      </c>
      <c r="D105" s="6">
        <v>33</v>
      </c>
      <c r="E105" s="6">
        <v>41</v>
      </c>
      <c r="F105" s="7">
        <v>0</v>
      </c>
      <c r="G105" s="7">
        <v>0.23076923076923081</v>
      </c>
      <c r="H105" s="3">
        <v>0</v>
      </c>
    </row>
    <row r="106" spans="1:8" hidden="1" x14ac:dyDescent="0.2">
      <c r="A106">
        <v>210565</v>
      </c>
      <c r="B106" t="s">
        <v>335</v>
      </c>
      <c r="C106" s="6">
        <v>31</v>
      </c>
      <c r="D106" s="6">
        <v>19</v>
      </c>
      <c r="E106" s="6">
        <v>27</v>
      </c>
      <c r="F106" s="7">
        <v>0.22580645161290319</v>
      </c>
      <c r="G106" s="7">
        <v>0.22580645161290319</v>
      </c>
      <c r="H106" s="3">
        <f>(G106-F106)/F106</f>
        <v>0</v>
      </c>
    </row>
    <row r="107" spans="1:8" hidden="1" x14ac:dyDescent="0.2">
      <c r="A107">
        <v>309704</v>
      </c>
      <c r="B107" t="s">
        <v>211</v>
      </c>
      <c r="C107" s="6">
        <v>198</v>
      </c>
      <c r="D107" s="6">
        <v>31</v>
      </c>
      <c r="E107" s="6">
        <v>39</v>
      </c>
      <c r="F107" s="7">
        <v>0</v>
      </c>
      <c r="G107" s="7">
        <v>0.2121212121212121</v>
      </c>
      <c r="H107" s="3">
        <v>0</v>
      </c>
    </row>
    <row r="108" spans="1:8" hidden="1" x14ac:dyDescent="0.2">
      <c r="A108">
        <v>110087</v>
      </c>
      <c r="B108" t="s">
        <v>344</v>
      </c>
      <c r="C108" s="6">
        <v>75</v>
      </c>
      <c r="D108" s="6">
        <v>18</v>
      </c>
      <c r="E108" s="6">
        <v>26</v>
      </c>
      <c r="F108" s="7">
        <v>0.2</v>
      </c>
      <c r="G108" s="7">
        <v>0.2</v>
      </c>
      <c r="H108" s="3">
        <f>(G108-F108)/F108</f>
        <v>0</v>
      </c>
    </row>
    <row r="109" spans="1:8" hidden="1" x14ac:dyDescent="0.2">
      <c r="A109">
        <v>108474</v>
      </c>
      <c r="B109" t="s">
        <v>282</v>
      </c>
      <c r="C109" s="6">
        <v>190</v>
      </c>
      <c r="D109" s="6">
        <v>24</v>
      </c>
      <c r="E109" s="6">
        <v>32</v>
      </c>
      <c r="F109" s="7">
        <v>0</v>
      </c>
      <c r="G109" s="7">
        <v>0.18421052631578949</v>
      </c>
      <c r="H109" s="3">
        <v>0</v>
      </c>
    </row>
    <row r="110" spans="1:8" hidden="1" x14ac:dyDescent="0.2">
      <c r="A110">
        <v>466385</v>
      </c>
      <c r="B110" t="s">
        <v>320</v>
      </c>
      <c r="C110" s="6">
        <v>67</v>
      </c>
      <c r="D110" s="6">
        <v>22</v>
      </c>
      <c r="E110" s="6">
        <v>30</v>
      </c>
      <c r="F110" s="7">
        <v>0</v>
      </c>
      <c r="G110" s="7">
        <v>0.17910447761194029</v>
      </c>
      <c r="H110" s="3">
        <v>0</v>
      </c>
    </row>
    <row r="111" spans="1:8" hidden="1" x14ac:dyDescent="0.2">
      <c r="A111">
        <v>478216</v>
      </c>
      <c r="B111" t="s">
        <v>309</v>
      </c>
      <c r="C111" s="6">
        <v>23</v>
      </c>
      <c r="D111" s="6">
        <v>23</v>
      </c>
      <c r="E111" s="6">
        <v>31</v>
      </c>
      <c r="F111" s="7">
        <v>0</v>
      </c>
      <c r="G111" s="7">
        <v>0.17391304347826089</v>
      </c>
      <c r="H111" s="3">
        <v>0</v>
      </c>
    </row>
    <row r="112" spans="1:8" hidden="1" x14ac:dyDescent="0.2">
      <c r="A112">
        <v>112053</v>
      </c>
      <c r="B112" t="s">
        <v>108</v>
      </c>
      <c r="C112" s="6">
        <v>870</v>
      </c>
      <c r="D112" s="6">
        <v>40</v>
      </c>
      <c r="E112" s="6">
        <v>48</v>
      </c>
      <c r="F112" s="7">
        <v>0</v>
      </c>
      <c r="G112" s="7">
        <v>0.16896551724137929</v>
      </c>
      <c r="H112" s="3">
        <v>0</v>
      </c>
    </row>
    <row r="113" spans="1:8" hidden="1" x14ac:dyDescent="0.2">
      <c r="A113">
        <v>109113</v>
      </c>
      <c r="B113" t="s">
        <v>218</v>
      </c>
      <c r="C113" s="6">
        <v>6</v>
      </c>
      <c r="D113" s="6">
        <v>30</v>
      </c>
      <c r="E113" s="6">
        <v>38</v>
      </c>
      <c r="F113" s="7">
        <v>0</v>
      </c>
      <c r="G113" s="7">
        <v>0.16666666666666671</v>
      </c>
      <c r="H113" s="3">
        <v>0</v>
      </c>
    </row>
    <row r="114" spans="1:8" hidden="1" x14ac:dyDescent="0.2">
      <c r="A114">
        <v>113455</v>
      </c>
      <c r="B114" t="s">
        <v>245</v>
      </c>
      <c r="C114" s="6">
        <v>42</v>
      </c>
      <c r="D114" s="6">
        <v>28</v>
      </c>
      <c r="E114" s="6">
        <v>36</v>
      </c>
      <c r="F114" s="7">
        <v>0.16666666666666671</v>
      </c>
      <c r="G114" s="7">
        <v>0.16666666666666671</v>
      </c>
      <c r="H114" s="3">
        <f>(G114-F114)/F114</f>
        <v>0</v>
      </c>
    </row>
    <row r="115" spans="1:8" hidden="1" x14ac:dyDescent="0.2">
      <c r="A115">
        <v>107655</v>
      </c>
      <c r="B115" t="s">
        <v>209</v>
      </c>
      <c r="C115" s="6">
        <v>88</v>
      </c>
      <c r="D115" s="6">
        <v>32</v>
      </c>
      <c r="E115" s="6">
        <v>40</v>
      </c>
      <c r="F115" s="7">
        <v>0.15909090909090909</v>
      </c>
      <c r="G115" s="7">
        <v>0.15909090909090909</v>
      </c>
      <c r="H115" s="3">
        <f>(G115-F115)/F115</f>
        <v>0</v>
      </c>
    </row>
    <row r="116" spans="1:8" hidden="1" x14ac:dyDescent="0.2">
      <c r="A116">
        <v>116184</v>
      </c>
      <c r="B116" t="s">
        <v>86</v>
      </c>
      <c r="C116" s="6">
        <v>13</v>
      </c>
      <c r="D116" s="6">
        <v>42</v>
      </c>
      <c r="E116" s="6">
        <v>50</v>
      </c>
      <c r="F116" s="7">
        <v>0</v>
      </c>
      <c r="G116" s="7">
        <v>0.15384615384615391</v>
      </c>
      <c r="H116" s="3">
        <v>0</v>
      </c>
    </row>
    <row r="117" spans="1:8" hidden="1" x14ac:dyDescent="0.2">
      <c r="A117">
        <v>300687</v>
      </c>
      <c r="B117" t="s">
        <v>165</v>
      </c>
      <c r="C117" s="6">
        <v>120</v>
      </c>
      <c r="D117" s="6">
        <v>36</v>
      </c>
      <c r="E117" s="6">
        <v>44</v>
      </c>
      <c r="F117" s="7">
        <v>0</v>
      </c>
      <c r="G117" s="7">
        <v>0.15</v>
      </c>
      <c r="H117" s="3">
        <v>0</v>
      </c>
    </row>
    <row r="118" spans="1:8" hidden="1" x14ac:dyDescent="0.2">
      <c r="A118">
        <v>107880</v>
      </c>
      <c r="B118" t="s">
        <v>80</v>
      </c>
      <c r="C118" s="6">
        <v>14</v>
      </c>
      <c r="D118" s="6">
        <v>44</v>
      </c>
      <c r="E118" s="6">
        <v>52</v>
      </c>
      <c r="F118" s="7">
        <v>0.14285714285714279</v>
      </c>
      <c r="G118" s="7">
        <v>0.14285714285714279</v>
      </c>
      <c r="H118" s="3">
        <f>(G118-F118)/F118</f>
        <v>0</v>
      </c>
    </row>
    <row r="119" spans="1:8" hidden="1" x14ac:dyDescent="0.2">
      <c r="A119">
        <v>121105</v>
      </c>
      <c r="B119" t="s">
        <v>194</v>
      </c>
      <c r="C119" s="6">
        <v>8</v>
      </c>
      <c r="D119" s="6">
        <v>34</v>
      </c>
      <c r="E119" s="6">
        <v>42</v>
      </c>
      <c r="F119" s="7">
        <v>0</v>
      </c>
      <c r="G119" s="7">
        <v>0.125</v>
      </c>
      <c r="H119" s="3">
        <v>0</v>
      </c>
    </row>
    <row r="120" spans="1:8" x14ac:dyDescent="0.2">
      <c r="A120">
        <v>486118</v>
      </c>
      <c r="B120" t="s">
        <v>315</v>
      </c>
      <c r="C120" s="6">
        <v>126</v>
      </c>
      <c r="D120" s="6">
        <v>23</v>
      </c>
      <c r="E120" s="6">
        <v>31</v>
      </c>
      <c r="F120" s="7">
        <v>0.126984126984127</v>
      </c>
      <c r="G120" s="7">
        <v>0.13492063492063491</v>
      </c>
      <c r="H120" s="3">
        <f>(G120-F120)/F120</f>
        <v>6.2499999999999771E-2</v>
      </c>
    </row>
    <row r="121" spans="1:8" hidden="1" x14ac:dyDescent="0.2">
      <c r="A121">
        <v>303663</v>
      </c>
      <c r="B121" t="s">
        <v>208</v>
      </c>
      <c r="C121" s="6">
        <v>193</v>
      </c>
      <c r="D121" s="6">
        <v>32</v>
      </c>
      <c r="E121" s="6">
        <v>40</v>
      </c>
      <c r="F121" s="7">
        <v>9.3264248704663211E-2</v>
      </c>
      <c r="G121" s="7">
        <v>9.3264248704663211E-2</v>
      </c>
      <c r="H121" s="3">
        <f>(G121-F121)/F121</f>
        <v>0</v>
      </c>
    </row>
    <row r="122" spans="1:8" hidden="1" x14ac:dyDescent="0.2">
      <c r="A122">
        <v>115879</v>
      </c>
      <c r="B122" t="s">
        <v>109</v>
      </c>
      <c r="C122" s="6">
        <v>25</v>
      </c>
      <c r="D122" s="6">
        <v>40</v>
      </c>
      <c r="E122" s="6">
        <v>48</v>
      </c>
      <c r="F122" s="7">
        <v>0</v>
      </c>
      <c r="G122" s="7">
        <v>0.08</v>
      </c>
      <c r="H122" s="3">
        <v>0</v>
      </c>
    </row>
    <row r="123" spans="1:8" hidden="1" x14ac:dyDescent="0.2">
      <c r="A123">
        <v>113370</v>
      </c>
      <c r="B123" t="s">
        <v>326</v>
      </c>
      <c r="C123" s="6">
        <v>796</v>
      </c>
      <c r="D123" s="6">
        <v>21</v>
      </c>
      <c r="E123" s="6">
        <v>29</v>
      </c>
      <c r="F123" s="7">
        <v>7.7889447236180909E-2</v>
      </c>
      <c r="G123" s="7">
        <v>7.7889447236180909E-2</v>
      </c>
      <c r="H123" s="3">
        <f>(G123-F123)/F123</f>
        <v>0</v>
      </c>
    </row>
    <row r="124" spans="1:8" hidden="1" x14ac:dyDescent="0.2">
      <c r="A124">
        <v>107887</v>
      </c>
      <c r="B124" t="s">
        <v>348</v>
      </c>
      <c r="C124" s="6">
        <v>2281</v>
      </c>
      <c r="D124" s="6">
        <v>17</v>
      </c>
      <c r="E124" s="6">
        <v>25</v>
      </c>
      <c r="F124" s="7">
        <v>0</v>
      </c>
      <c r="G124" s="7">
        <v>6.7075843928101717E-2</v>
      </c>
      <c r="H124" s="3">
        <v>0</v>
      </c>
    </row>
    <row r="125" spans="1:8" hidden="1" x14ac:dyDescent="0.2">
      <c r="A125">
        <v>108890</v>
      </c>
      <c r="B125" t="s">
        <v>73</v>
      </c>
      <c r="C125" s="6">
        <v>30</v>
      </c>
      <c r="D125" s="6">
        <v>45</v>
      </c>
      <c r="E125" s="6">
        <v>53</v>
      </c>
      <c r="F125" s="7">
        <v>0</v>
      </c>
      <c r="G125" s="7">
        <v>6.6666666666666666E-2</v>
      </c>
      <c r="H125" s="3">
        <v>0</v>
      </c>
    </row>
    <row r="126" spans="1:8" hidden="1" x14ac:dyDescent="0.2">
      <c r="A126">
        <v>206457</v>
      </c>
      <c r="B126" t="s">
        <v>114</v>
      </c>
      <c r="C126" s="6">
        <v>18</v>
      </c>
      <c r="D126" s="6">
        <v>40</v>
      </c>
      <c r="E126" s="6">
        <v>48</v>
      </c>
      <c r="F126" s="7">
        <v>0</v>
      </c>
      <c r="G126" s="7">
        <v>5.5555555555555552E-2</v>
      </c>
      <c r="H126" s="3">
        <v>0</v>
      </c>
    </row>
    <row r="127" spans="1:8" hidden="1" x14ac:dyDescent="0.2">
      <c r="A127">
        <v>510427</v>
      </c>
      <c r="B127" t="s">
        <v>133</v>
      </c>
      <c r="C127" s="6">
        <v>78</v>
      </c>
      <c r="D127" s="6">
        <v>39</v>
      </c>
      <c r="E127" s="6">
        <v>47</v>
      </c>
      <c r="F127" s="7">
        <v>0</v>
      </c>
      <c r="G127" s="7">
        <v>5.128205128205128E-2</v>
      </c>
      <c r="H127" s="3">
        <v>0</v>
      </c>
    </row>
    <row r="128" spans="1:8" hidden="1" x14ac:dyDescent="0.2">
      <c r="A128">
        <v>198056</v>
      </c>
      <c r="B128" t="s">
        <v>220</v>
      </c>
      <c r="C128" s="6">
        <v>20</v>
      </c>
      <c r="D128" s="6">
        <v>30</v>
      </c>
      <c r="E128" s="6">
        <v>38</v>
      </c>
      <c r="F128" s="7">
        <v>0</v>
      </c>
      <c r="G128" s="7">
        <v>0.05</v>
      </c>
      <c r="H128" s="3">
        <v>0</v>
      </c>
    </row>
    <row r="129" spans="1:8" hidden="1" x14ac:dyDescent="0.2">
      <c r="A129">
        <v>157469</v>
      </c>
      <c r="B129" t="s">
        <v>206</v>
      </c>
      <c r="C129" s="6">
        <v>172</v>
      </c>
      <c r="D129" s="6">
        <v>32</v>
      </c>
      <c r="E129" s="6">
        <v>40</v>
      </c>
      <c r="F129" s="7">
        <v>4.0697674418604647E-2</v>
      </c>
      <c r="G129" s="7">
        <v>4.0697674418604647E-2</v>
      </c>
      <c r="H129" s="3">
        <f>(G129-F129)/F129</f>
        <v>0</v>
      </c>
    </row>
    <row r="130" spans="1:8" hidden="1" x14ac:dyDescent="0.2">
      <c r="A130">
        <v>106199</v>
      </c>
      <c r="B130" t="s">
        <v>280</v>
      </c>
      <c r="C130" s="6">
        <v>109</v>
      </c>
      <c r="D130" s="6">
        <v>24</v>
      </c>
      <c r="E130" s="6">
        <v>32</v>
      </c>
      <c r="F130" s="7">
        <v>0</v>
      </c>
      <c r="G130" s="7">
        <v>3.669724770642202E-2</v>
      </c>
      <c r="H130" s="3">
        <v>0</v>
      </c>
    </row>
    <row r="131" spans="1:8" hidden="1" x14ac:dyDescent="0.2">
      <c r="A131">
        <v>109997</v>
      </c>
      <c r="B131" t="s">
        <v>107</v>
      </c>
      <c r="C131" s="6">
        <v>119</v>
      </c>
      <c r="D131" s="6">
        <v>40</v>
      </c>
      <c r="E131" s="6">
        <v>48</v>
      </c>
      <c r="F131" s="7">
        <v>0</v>
      </c>
      <c r="G131" s="7">
        <v>3.3613445378151259E-2</v>
      </c>
      <c r="H131" s="3">
        <v>0</v>
      </c>
    </row>
    <row r="132" spans="1:8" hidden="1" x14ac:dyDescent="0.2">
      <c r="A132">
        <v>105861</v>
      </c>
      <c r="B132" t="s">
        <v>68</v>
      </c>
      <c r="C132" s="6">
        <v>157</v>
      </c>
      <c r="D132" s="6">
        <v>47</v>
      </c>
      <c r="E132" s="6">
        <v>55</v>
      </c>
      <c r="F132" s="7">
        <v>0</v>
      </c>
      <c r="G132" s="7">
        <v>3.1847133757961783E-2</v>
      </c>
      <c r="H132" s="3">
        <v>0</v>
      </c>
    </row>
    <row r="133" spans="1:8" hidden="1" x14ac:dyDescent="0.2">
      <c r="A133">
        <v>107174</v>
      </c>
      <c r="B133" t="s">
        <v>238</v>
      </c>
      <c r="C133" s="6">
        <v>34</v>
      </c>
      <c r="D133" s="6">
        <v>28</v>
      </c>
      <c r="E133" s="6">
        <v>36</v>
      </c>
      <c r="F133" s="7">
        <v>0</v>
      </c>
      <c r="G133" s="7">
        <v>2.9411764705882349E-2</v>
      </c>
      <c r="H133" s="3">
        <v>0</v>
      </c>
    </row>
    <row r="134" spans="1:8" hidden="1" x14ac:dyDescent="0.2">
      <c r="A134">
        <v>105331</v>
      </c>
      <c r="B134" t="s">
        <v>215</v>
      </c>
      <c r="C134" s="6">
        <v>480</v>
      </c>
      <c r="D134" s="6">
        <v>30</v>
      </c>
      <c r="E134" s="6">
        <v>38</v>
      </c>
      <c r="F134" s="7">
        <v>0</v>
      </c>
      <c r="G134" s="7">
        <v>2.0833333333333329E-2</v>
      </c>
      <c r="H134" s="3">
        <v>0</v>
      </c>
    </row>
    <row r="135" spans="1:8" hidden="1" x14ac:dyDescent="0.2">
      <c r="A135" t="s">
        <v>332</v>
      </c>
      <c r="B135" t="s">
        <v>333</v>
      </c>
      <c r="C135" s="6">
        <v>8800</v>
      </c>
      <c r="D135" s="6">
        <v>19</v>
      </c>
      <c r="E135" s="6">
        <v>27</v>
      </c>
      <c r="F135" s="7">
        <v>0</v>
      </c>
      <c r="G135" s="7">
        <v>7.0454545454545457E-3</v>
      </c>
      <c r="H135" s="3">
        <v>0</v>
      </c>
    </row>
    <row r="136" spans="1:8" hidden="1" x14ac:dyDescent="0.2">
      <c r="A136">
        <v>112056</v>
      </c>
      <c r="B136" t="s">
        <v>324</v>
      </c>
      <c r="C136" s="6">
        <v>314</v>
      </c>
      <c r="D136" s="6">
        <v>21</v>
      </c>
      <c r="E136" s="6">
        <v>29</v>
      </c>
      <c r="F136" s="7">
        <v>0</v>
      </c>
      <c r="G136" s="7">
        <v>6.369426751592357E-3</v>
      </c>
      <c r="H136" s="3">
        <v>0</v>
      </c>
    </row>
    <row r="137" spans="1:8" hidden="1" x14ac:dyDescent="0.2">
      <c r="A137">
        <v>108015</v>
      </c>
      <c r="B137" t="s">
        <v>339</v>
      </c>
      <c r="C137" s="6">
        <v>775</v>
      </c>
      <c r="D137" s="6">
        <v>18</v>
      </c>
      <c r="E137" s="6">
        <v>26</v>
      </c>
      <c r="F137" s="7">
        <v>0</v>
      </c>
      <c r="G137" s="7">
        <v>3.8709677419354839E-3</v>
      </c>
      <c r="H137" s="3">
        <v>0</v>
      </c>
    </row>
    <row r="138" spans="1:8" hidden="1" x14ac:dyDescent="0.2">
      <c r="A138">
        <v>143890</v>
      </c>
      <c r="B138" t="s">
        <v>230</v>
      </c>
      <c r="C138" s="6">
        <v>670</v>
      </c>
      <c r="D138" s="6">
        <v>29</v>
      </c>
      <c r="E138" s="6">
        <v>37</v>
      </c>
      <c r="F138" s="7">
        <v>0</v>
      </c>
      <c r="G138" s="7">
        <v>2.9850746268656721E-3</v>
      </c>
      <c r="H138" s="3">
        <v>0</v>
      </c>
    </row>
    <row r="139" spans="1:8" hidden="1" x14ac:dyDescent="0.2">
      <c r="A139">
        <v>207111</v>
      </c>
      <c r="B139" t="s">
        <v>329</v>
      </c>
      <c r="C139" s="6" t="s">
        <v>306</v>
      </c>
      <c r="D139" s="6">
        <v>20</v>
      </c>
      <c r="E139" s="6">
        <v>28</v>
      </c>
      <c r="F139" s="7">
        <v>0</v>
      </c>
      <c r="G139" s="7">
        <v>0</v>
      </c>
      <c r="H139" s="3">
        <v>0</v>
      </c>
    </row>
    <row r="140" spans="1:8" hidden="1" x14ac:dyDescent="0.2">
      <c r="A140">
        <v>479904</v>
      </c>
      <c r="B140" t="s">
        <v>330</v>
      </c>
      <c r="C140" s="6" t="s">
        <v>306</v>
      </c>
      <c r="D140" s="6">
        <v>20</v>
      </c>
      <c r="E140" s="6">
        <v>28</v>
      </c>
      <c r="F140" s="7">
        <v>0</v>
      </c>
      <c r="G140" s="7">
        <v>0</v>
      </c>
      <c r="H140" s="3">
        <v>0</v>
      </c>
    </row>
    <row r="141" spans="1:8" hidden="1" x14ac:dyDescent="0.2">
      <c r="A141">
        <v>309455</v>
      </c>
      <c r="B141" t="s">
        <v>368</v>
      </c>
      <c r="C141" s="6" t="s">
        <v>306</v>
      </c>
      <c r="D141" s="6">
        <v>13</v>
      </c>
      <c r="E141" s="6">
        <v>21</v>
      </c>
      <c r="F141" s="7">
        <v>0</v>
      </c>
      <c r="G141" s="7">
        <v>0</v>
      </c>
      <c r="H141" s="3">
        <v>0</v>
      </c>
    </row>
    <row r="142" spans="1:8" hidden="1" x14ac:dyDescent="0.2">
      <c r="A142">
        <v>109208</v>
      </c>
      <c r="B142" t="s">
        <v>74</v>
      </c>
      <c r="C142" s="6">
        <v>1200</v>
      </c>
      <c r="D142" s="6">
        <v>45</v>
      </c>
      <c r="E142" s="6">
        <v>53</v>
      </c>
      <c r="F142" s="7">
        <v>0</v>
      </c>
      <c r="G142" s="7">
        <v>0</v>
      </c>
      <c r="H142" s="3">
        <v>0</v>
      </c>
    </row>
    <row r="143" spans="1:8" hidden="1" x14ac:dyDescent="0.2">
      <c r="A143">
        <v>113468</v>
      </c>
      <c r="B143" t="s">
        <v>130</v>
      </c>
      <c r="C143" s="6">
        <v>434</v>
      </c>
      <c r="D143" s="6">
        <v>39</v>
      </c>
      <c r="E143" s="6">
        <v>47</v>
      </c>
      <c r="F143" s="7">
        <v>0</v>
      </c>
      <c r="G143" s="7">
        <v>0</v>
      </c>
      <c r="H143" s="3">
        <v>0</v>
      </c>
    </row>
    <row r="144" spans="1:8" hidden="1" x14ac:dyDescent="0.2">
      <c r="A144">
        <v>105857</v>
      </c>
      <c r="B144" t="s">
        <v>216</v>
      </c>
      <c r="C144" s="6">
        <v>419</v>
      </c>
      <c r="D144" s="6">
        <v>30</v>
      </c>
      <c r="E144" s="6">
        <v>38</v>
      </c>
      <c r="F144" s="7">
        <v>0</v>
      </c>
      <c r="G144" s="7">
        <v>0</v>
      </c>
      <c r="H144" s="3">
        <v>0</v>
      </c>
    </row>
    <row r="145" spans="1:8" hidden="1" x14ac:dyDescent="0.2">
      <c r="A145">
        <v>110771</v>
      </c>
      <c r="B145" t="s">
        <v>323</v>
      </c>
      <c r="C145" s="6">
        <v>406</v>
      </c>
      <c r="D145" s="6">
        <v>21</v>
      </c>
      <c r="E145" s="6">
        <v>29</v>
      </c>
      <c r="F145" s="7">
        <v>0</v>
      </c>
      <c r="G145" s="7">
        <v>0</v>
      </c>
      <c r="H145" s="3">
        <v>0</v>
      </c>
    </row>
    <row r="146" spans="1:8" hidden="1" x14ac:dyDescent="0.2">
      <c r="A146">
        <v>154321</v>
      </c>
      <c r="B146" t="s">
        <v>328</v>
      </c>
      <c r="C146" s="6">
        <v>400</v>
      </c>
      <c r="D146" s="6">
        <v>20</v>
      </c>
      <c r="E146" s="6">
        <v>28</v>
      </c>
      <c r="F146" s="7">
        <v>0</v>
      </c>
      <c r="G146" s="7">
        <v>0</v>
      </c>
      <c r="H146" s="3">
        <v>0</v>
      </c>
    </row>
    <row r="147" spans="1:8" hidden="1" x14ac:dyDescent="0.2">
      <c r="A147">
        <v>106603</v>
      </c>
      <c r="B147" t="s">
        <v>354</v>
      </c>
      <c r="C147" s="6">
        <v>378</v>
      </c>
      <c r="D147" s="6">
        <v>15</v>
      </c>
      <c r="E147" s="6">
        <v>23</v>
      </c>
      <c r="F147" s="7">
        <v>0</v>
      </c>
      <c r="G147" s="7">
        <v>0</v>
      </c>
      <c r="H147" s="3">
        <v>0</v>
      </c>
    </row>
    <row r="148" spans="1:8" hidden="1" x14ac:dyDescent="0.2">
      <c r="A148">
        <v>198594</v>
      </c>
      <c r="B148" t="s">
        <v>286</v>
      </c>
      <c r="C148" s="6">
        <v>316</v>
      </c>
      <c r="D148" s="6">
        <v>24</v>
      </c>
      <c r="E148" s="6">
        <v>32</v>
      </c>
      <c r="F148" s="7">
        <v>0</v>
      </c>
      <c r="G148" s="7">
        <v>0</v>
      </c>
      <c r="H148" s="3">
        <v>0</v>
      </c>
    </row>
    <row r="149" spans="1:8" hidden="1" x14ac:dyDescent="0.2">
      <c r="A149">
        <v>124019</v>
      </c>
      <c r="B149" t="s">
        <v>248</v>
      </c>
      <c r="C149" s="6">
        <v>255</v>
      </c>
      <c r="D149" s="6">
        <v>27</v>
      </c>
      <c r="E149" s="6">
        <v>35</v>
      </c>
      <c r="F149" s="7">
        <v>0</v>
      </c>
      <c r="G149" s="7">
        <v>0</v>
      </c>
      <c r="H149" s="3">
        <v>0</v>
      </c>
    </row>
    <row r="150" spans="1:8" hidden="1" x14ac:dyDescent="0.2">
      <c r="A150">
        <v>466669</v>
      </c>
      <c r="B150" t="s">
        <v>221</v>
      </c>
      <c r="C150" s="6">
        <v>235</v>
      </c>
      <c r="D150" s="6">
        <v>30</v>
      </c>
      <c r="E150" s="6">
        <v>38</v>
      </c>
      <c r="F150" s="7">
        <v>0</v>
      </c>
      <c r="G150" s="7">
        <v>0</v>
      </c>
      <c r="H150" s="3">
        <v>0</v>
      </c>
    </row>
    <row r="151" spans="1:8" hidden="1" x14ac:dyDescent="0.2">
      <c r="A151">
        <v>444661</v>
      </c>
      <c r="B151" t="s">
        <v>70</v>
      </c>
      <c r="C151" s="6">
        <v>213</v>
      </c>
      <c r="D151" s="6">
        <v>46</v>
      </c>
      <c r="E151" s="6">
        <v>54</v>
      </c>
      <c r="F151" s="7">
        <v>0</v>
      </c>
      <c r="G151" s="7">
        <v>0</v>
      </c>
      <c r="H151" s="3">
        <v>0</v>
      </c>
    </row>
    <row r="152" spans="1:8" hidden="1" x14ac:dyDescent="0.2">
      <c r="A152">
        <v>108457</v>
      </c>
      <c r="B152" t="s">
        <v>72</v>
      </c>
      <c r="C152" s="6">
        <v>200</v>
      </c>
      <c r="D152" s="6">
        <v>45</v>
      </c>
      <c r="E152" s="6">
        <v>53</v>
      </c>
      <c r="F152" s="7">
        <v>0</v>
      </c>
      <c r="G152" s="7">
        <v>0</v>
      </c>
      <c r="H152" s="3">
        <v>0</v>
      </c>
    </row>
    <row r="153" spans="1:8" hidden="1" x14ac:dyDescent="0.2">
      <c r="A153">
        <v>209491</v>
      </c>
      <c r="B153" t="s">
        <v>240</v>
      </c>
      <c r="C153" s="6">
        <v>196</v>
      </c>
      <c r="D153" s="6">
        <v>28</v>
      </c>
      <c r="E153" s="6">
        <v>36</v>
      </c>
      <c r="F153" s="7">
        <v>0</v>
      </c>
      <c r="G153" s="7">
        <v>0</v>
      </c>
      <c r="H153" s="3">
        <v>0</v>
      </c>
    </row>
    <row r="154" spans="1:8" hidden="1" x14ac:dyDescent="0.2">
      <c r="A154">
        <v>110673</v>
      </c>
      <c r="B154" t="s">
        <v>340</v>
      </c>
      <c r="C154" s="6">
        <v>190</v>
      </c>
      <c r="D154" s="6">
        <v>18</v>
      </c>
      <c r="E154" s="6">
        <v>26</v>
      </c>
      <c r="F154" s="7">
        <v>0</v>
      </c>
      <c r="G154" s="7">
        <v>0</v>
      </c>
      <c r="H154" s="3">
        <v>0</v>
      </c>
    </row>
    <row r="155" spans="1:8" hidden="1" x14ac:dyDescent="0.2">
      <c r="A155">
        <v>109866</v>
      </c>
      <c r="B155" t="s">
        <v>283</v>
      </c>
      <c r="C155" s="6">
        <v>169</v>
      </c>
      <c r="D155" s="6">
        <v>24</v>
      </c>
      <c r="E155" s="6">
        <v>32</v>
      </c>
      <c r="F155" s="7">
        <v>0</v>
      </c>
      <c r="G155" s="7">
        <v>0</v>
      </c>
      <c r="H155" s="3">
        <v>0</v>
      </c>
    </row>
    <row r="156" spans="1:8" hidden="1" x14ac:dyDescent="0.2">
      <c r="A156">
        <v>113498</v>
      </c>
      <c r="B156" t="s">
        <v>274</v>
      </c>
      <c r="C156" s="6">
        <v>160</v>
      </c>
      <c r="D156" s="6">
        <v>25</v>
      </c>
      <c r="E156" s="6">
        <v>33</v>
      </c>
      <c r="F156" s="7">
        <v>0</v>
      </c>
      <c r="G156" s="7">
        <v>0</v>
      </c>
      <c r="H156" s="3">
        <v>0</v>
      </c>
    </row>
    <row r="157" spans="1:8" hidden="1" x14ac:dyDescent="0.2">
      <c r="A157">
        <v>466490</v>
      </c>
      <c r="B157" t="s">
        <v>288</v>
      </c>
      <c r="C157" s="6">
        <v>152</v>
      </c>
      <c r="D157" s="6">
        <v>24</v>
      </c>
      <c r="E157" s="6">
        <v>32</v>
      </c>
      <c r="F157" s="7">
        <v>0</v>
      </c>
      <c r="G157" s="7">
        <v>0</v>
      </c>
      <c r="H157" s="3">
        <v>0</v>
      </c>
    </row>
    <row r="158" spans="1:8" hidden="1" x14ac:dyDescent="0.2">
      <c r="A158">
        <v>109357</v>
      </c>
      <c r="B158" t="s">
        <v>126</v>
      </c>
      <c r="C158" s="6">
        <v>150</v>
      </c>
      <c r="D158" s="6">
        <v>39</v>
      </c>
      <c r="E158" s="6">
        <v>47</v>
      </c>
      <c r="F158" s="7">
        <v>0</v>
      </c>
      <c r="G158" s="7">
        <v>0</v>
      </c>
      <c r="H158" s="3">
        <v>0</v>
      </c>
    </row>
    <row r="159" spans="1:8" hidden="1" x14ac:dyDescent="0.2">
      <c r="A159">
        <v>125304</v>
      </c>
      <c r="B159" t="s">
        <v>87</v>
      </c>
      <c r="C159" s="6">
        <v>149</v>
      </c>
      <c r="D159" s="6">
        <v>42</v>
      </c>
      <c r="E159" s="6">
        <v>50</v>
      </c>
      <c r="F159" s="7">
        <v>0</v>
      </c>
      <c r="G159" s="7">
        <v>0</v>
      </c>
      <c r="H159" s="3">
        <v>0</v>
      </c>
    </row>
    <row r="160" spans="1:8" hidden="1" x14ac:dyDescent="0.2">
      <c r="A160">
        <v>106575</v>
      </c>
      <c r="B160" t="s">
        <v>281</v>
      </c>
      <c r="C160" s="6">
        <v>142</v>
      </c>
      <c r="D160" s="6">
        <v>24</v>
      </c>
      <c r="E160" s="6">
        <v>32</v>
      </c>
      <c r="F160" s="7">
        <v>0</v>
      </c>
      <c r="G160" s="7">
        <v>0</v>
      </c>
      <c r="H160" s="3">
        <v>0</v>
      </c>
    </row>
    <row r="161" spans="1:8" hidden="1" x14ac:dyDescent="0.2">
      <c r="A161">
        <v>110572</v>
      </c>
      <c r="B161" t="s">
        <v>284</v>
      </c>
      <c r="C161" s="6">
        <v>132</v>
      </c>
      <c r="D161" s="6">
        <v>24</v>
      </c>
      <c r="E161" s="6">
        <v>32</v>
      </c>
      <c r="F161" s="7">
        <v>0</v>
      </c>
      <c r="G161" s="7">
        <v>0</v>
      </c>
      <c r="H161" s="3">
        <v>0</v>
      </c>
    </row>
    <row r="162" spans="1:8" hidden="1" x14ac:dyDescent="0.2">
      <c r="A162">
        <v>477403</v>
      </c>
      <c r="B162" t="s">
        <v>143</v>
      </c>
      <c r="C162" s="6">
        <v>127</v>
      </c>
      <c r="D162" s="6">
        <v>38</v>
      </c>
      <c r="E162" s="6">
        <v>46</v>
      </c>
      <c r="F162" s="7">
        <v>0</v>
      </c>
      <c r="G162" s="7">
        <v>0</v>
      </c>
      <c r="H162" s="3">
        <v>0</v>
      </c>
    </row>
    <row r="163" spans="1:8" hidden="1" x14ac:dyDescent="0.2">
      <c r="A163">
        <v>456645</v>
      </c>
      <c r="B163" t="s">
        <v>71</v>
      </c>
      <c r="C163" s="6">
        <v>125</v>
      </c>
      <c r="D163" s="6">
        <v>46</v>
      </c>
      <c r="E163" s="6">
        <v>54</v>
      </c>
      <c r="F163" s="7">
        <v>0</v>
      </c>
      <c r="G163" s="7">
        <v>0</v>
      </c>
      <c r="H163" s="3">
        <v>0</v>
      </c>
    </row>
    <row r="164" spans="1:8" hidden="1" x14ac:dyDescent="0.2">
      <c r="A164">
        <v>171610</v>
      </c>
      <c r="B164" t="s">
        <v>164</v>
      </c>
      <c r="C164" s="6">
        <v>120</v>
      </c>
      <c r="D164" s="6">
        <v>36</v>
      </c>
      <c r="E164" s="6">
        <v>44</v>
      </c>
      <c r="F164" s="7">
        <v>0</v>
      </c>
      <c r="G164" s="7">
        <v>0</v>
      </c>
      <c r="H164" s="3">
        <v>0</v>
      </c>
    </row>
    <row r="165" spans="1:8" hidden="1" x14ac:dyDescent="0.2">
      <c r="A165">
        <v>109795</v>
      </c>
      <c r="B165" t="s">
        <v>141</v>
      </c>
      <c r="C165" s="6">
        <v>109</v>
      </c>
      <c r="D165" s="6">
        <v>38</v>
      </c>
      <c r="E165" s="6">
        <v>46</v>
      </c>
      <c r="F165" s="7">
        <v>0</v>
      </c>
      <c r="G165" s="7">
        <v>0</v>
      </c>
      <c r="H165" s="3">
        <v>0</v>
      </c>
    </row>
    <row r="166" spans="1:8" hidden="1" x14ac:dyDescent="0.2">
      <c r="A166">
        <v>109167</v>
      </c>
      <c r="B166" t="s">
        <v>239</v>
      </c>
      <c r="C166" s="6">
        <v>108</v>
      </c>
      <c r="D166" s="6">
        <v>28</v>
      </c>
      <c r="E166" s="6">
        <v>36</v>
      </c>
      <c r="F166" s="7">
        <v>0</v>
      </c>
      <c r="G166" s="7">
        <v>0</v>
      </c>
      <c r="H166" s="3">
        <v>0</v>
      </c>
    </row>
    <row r="167" spans="1:8" hidden="1" x14ac:dyDescent="0.2">
      <c r="A167">
        <v>461763</v>
      </c>
      <c r="B167" t="s">
        <v>234</v>
      </c>
      <c r="C167" s="6">
        <v>95</v>
      </c>
      <c r="D167" s="6">
        <v>29</v>
      </c>
      <c r="E167" s="6">
        <v>37</v>
      </c>
      <c r="F167" s="7">
        <v>0</v>
      </c>
      <c r="G167" s="7">
        <v>0</v>
      </c>
      <c r="H167" s="3">
        <v>0</v>
      </c>
    </row>
    <row r="168" spans="1:8" hidden="1" x14ac:dyDescent="0.2">
      <c r="A168">
        <v>145341</v>
      </c>
      <c r="B168" t="s">
        <v>198</v>
      </c>
      <c r="C168" s="6">
        <v>85</v>
      </c>
      <c r="D168" s="6">
        <v>33</v>
      </c>
      <c r="E168" s="6">
        <v>41</v>
      </c>
      <c r="F168" s="7">
        <v>0</v>
      </c>
      <c r="G168" s="7">
        <v>0</v>
      </c>
      <c r="H168" s="3">
        <v>0</v>
      </c>
    </row>
    <row r="169" spans="1:8" hidden="1" x14ac:dyDescent="0.2">
      <c r="A169">
        <v>107849</v>
      </c>
      <c r="B169" t="s">
        <v>272</v>
      </c>
      <c r="C169" s="6">
        <v>84</v>
      </c>
      <c r="D169" s="6">
        <v>25</v>
      </c>
      <c r="E169" s="6">
        <v>33</v>
      </c>
      <c r="F169" s="7">
        <v>0</v>
      </c>
      <c r="G169" s="7">
        <v>0</v>
      </c>
      <c r="H169" s="3">
        <v>0</v>
      </c>
    </row>
    <row r="170" spans="1:8" hidden="1" x14ac:dyDescent="0.2">
      <c r="A170">
        <v>302773</v>
      </c>
      <c r="B170" t="s">
        <v>287</v>
      </c>
      <c r="C170" s="6">
        <v>83</v>
      </c>
      <c r="D170" s="6">
        <v>24</v>
      </c>
      <c r="E170" s="6">
        <v>32</v>
      </c>
      <c r="F170" s="7">
        <v>0</v>
      </c>
      <c r="G170" s="7">
        <v>0</v>
      </c>
      <c r="H170" s="3">
        <v>0</v>
      </c>
    </row>
    <row r="171" spans="1:8" hidden="1" x14ac:dyDescent="0.2">
      <c r="A171">
        <v>144968</v>
      </c>
      <c r="B171" t="s">
        <v>186</v>
      </c>
      <c r="C171" s="6">
        <v>80</v>
      </c>
      <c r="D171" s="6">
        <v>35</v>
      </c>
      <c r="E171" s="6">
        <v>43</v>
      </c>
      <c r="F171" s="7">
        <v>0</v>
      </c>
      <c r="G171" s="7">
        <v>0</v>
      </c>
      <c r="H171" s="3">
        <v>0</v>
      </c>
    </row>
    <row r="172" spans="1:8" hidden="1" x14ac:dyDescent="0.2">
      <c r="A172">
        <v>300479</v>
      </c>
      <c r="B172" t="s">
        <v>115</v>
      </c>
      <c r="C172" s="6">
        <v>77</v>
      </c>
      <c r="D172" s="6">
        <v>40</v>
      </c>
      <c r="E172" s="6">
        <v>48</v>
      </c>
      <c r="F172" s="7">
        <v>0</v>
      </c>
      <c r="G172" s="7">
        <v>0</v>
      </c>
      <c r="H172" s="3">
        <v>0</v>
      </c>
    </row>
    <row r="173" spans="1:8" hidden="1" x14ac:dyDescent="0.2">
      <c r="A173">
        <v>112547</v>
      </c>
      <c r="B173" t="s">
        <v>246</v>
      </c>
      <c r="C173" s="6">
        <v>71</v>
      </c>
      <c r="D173" s="6">
        <v>27</v>
      </c>
      <c r="E173" s="6">
        <v>35</v>
      </c>
      <c r="F173" s="7">
        <v>0</v>
      </c>
      <c r="G173" s="7">
        <v>0</v>
      </c>
      <c r="H173" s="3">
        <v>0</v>
      </c>
    </row>
    <row r="174" spans="1:8" hidden="1" x14ac:dyDescent="0.2">
      <c r="A174">
        <v>115752</v>
      </c>
      <c r="B174" t="s">
        <v>228</v>
      </c>
      <c r="C174" s="6">
        <v>60</v>
      </c>
      <c r="D174" s="6">
        <v>29</v>
      </c>
      <c r="E174" s="6">
        <v>37</v>
      </c>
      <c r="F174" s="7">
        <v>0</v>
      </c>
      <c r="G174" s="7">
        <v>0</v>
      </c>
      <c r="H174" s="3">
        <v>0</v>
      </c>
    </row>
    <row r="175" spans="1:8" hidden="1" x14ac:dyDescent="0.2">
      <c r="A175">
        <v>109278</v>
      </c>
      <c r="B175" t="s">
        <v>181</v>
      </c>
      <c r="C175" s="6">
        <v>59</v>
      </c>
      <c r="D175" s="6">
        <v>35</v>
      </c>
      <c r="E175" s="6">
        <v>43</v>
      </c>
      <c r="F175" s="7">
        <v>0</v>
      </c>
      <c r="G175" s="7">
        <v>0</v>
      </c>
      <c r="H175" s="3">
        <v>0</v>
      </c>
    </row>
    <row r="176" spans="1:8" hidden="1" x14ac:dyDescent="0.2">
      <c r="A176">
        <v>315246</v>
      </c>
      <c r="B176" t="s">
        <v>131</v>
      </c>
      <c r="C176" s="6">
        <v>57</v>
      </c>
      <c r="D176" s="6">
        <v>39</v>
      </c>
      <c r="E176" s="6">
        <v>47</v>
      </c>
      <c r="F176" s="7">
        <v>0</v>
      </c>
      <c r="G176" s="7">
        <v>0</v>
      </c>
      <c r="H176" s="3">
        <v>0</v>
      </c>
    </row>
    <row r="177" spans="1:8" hidden="1" x14ac:dyDescent="0.2">
      <c r="A177">
        <v>106909</v>
      </c>
      <c r="B177" t="s">
        <v>97</v>
      </c>
      <c r="C177" s="6">
        <v>56</v>
      </c>
      <c r="D177" s="6">
        <v>41</v>
      </c>
      <c r="E177" s="6">
        <v>49</v>
      </c>
      <c r="F177" s="7">
        <v>0</v>
      </c>
      <c r="G177" s="7">
        <v>0</v>
      </c>
      <c r="H177" s="3">
        <v>0</v>
      </c>
    </row>
    <row r="178" spans="1:8" hidden="1" x14ac:dyDescent="0.2">
      <c r="A178">
        <v>113549</v>
      </c>
      <c r="B178" t="s">
        <v>148</v>
      </c>
      <c r="C178" s="6">
        <v>55</v>
      </c>
      <c r="D178" s="6">
        <v>37</v>
      </c>
      <c r="E178" s="6">
        <v>45</v>
      </c>
      <c r="F178" s="7">
        <v>0</v>
      </c>
      <c r="G178" s="7">
        <v>0</v>
      </c>
      <c r="H178" s="3">
        <v>0</v>
      </c>
    </row>
    <row r="179" spans="1:8" hidden="1" x14ac:dyDescent="0.2">
      <c r="A179">
        <v>317085</v>
      </c>
      <c r="B179" t="s">
        <v>75</v>
      </c>
      <c r="C179" s="6">
        <v>53</v>
      </c>
      <c r="D179" s="6">
        <v>45</v>
      </c>
      <c r="E179" s="6">
        <v>53</v>
      </c>
      <c r="F179" s="7">
        <v>0</v>
      </c>
      <c r="G179" s="7">
        <v>0</v>
      </c>
      <c r="H179" s="3">
        <v>0</v>
      </c>
    </row>
    <row r="180" spans="1:8" hidden="1" x14ac:dyDescent="0.2">
      <c r="A180">
        <v>303941</v>
      </c>
      <c r="B180" t="s">
        <v>204</v>
      </c>
      <c r="C180" s="6">
        <v>53</v>
      </c>
      <c r="D180" s="6">
        <v>32</v>
      </c>
      <c r="E180" s="6">
        <v>40</v>
      </c>
      <c r="F180" s="7">
        <v>0</v>
      </c>
      <c r="G180" s="7">
        <v>0</v>
      </c>
      <c r="H180" s="3">
        <v>0</v>
      </c>
    </row>
    <row r="181" spans="1:8" hidden="1" x14ac:dyDescent="0.2">
      <c r="A181">
        <v>122134</v>
      </c>
      <c r="B181" t="s">
        <v>195</v>
      </c>
      <c r="C181" s="6">
        <v>49</v>
      </c>
      <c r="D181" s="6">
        <v>34</v>
      </c>
      <c r="E181" s="6">
        <v>42</v>
      </c>
      <c r="F181" s="7">
        <v>0</v>
      </c>
      <c r="G181" s="7">
        <v>0</v>
      </c>
      <c r="H181" s="3">
        <v>0</v>
      </c>
    </row>
    <row r="182" spans="1:8" hidden="1" x14ac:dyDescent="0.2">
      <c r="A182">
        <v>302228</v>
      </c>
      <c r="B182" t="s">
        <v>89</v>
      </c>
      <c r="C182" s="6">
        <v>46</v>
      </c>
      <c r="D182" s="6">
        <v>42</v>
      </c>
      <c r="E182" s="6">
        <v>50</v>
      </c>
      <c r="F182" s="7">
        <v>0</v>
      </c>
      <c r="G182" s="7">
        <v>0</v>
      </c>
      <c r="H182" s="3">
        <v>0</v>
      </c>
    </row>
    <row r="183" spans="1:8" hidden="1" x14ac:dyDescent="0.2">
      <c r="A183">
        <v>112745</v>
      </c>
      <c r="B183" t="s">
        <v>247</v>
      </c>
      <c r="C183" s="6">
        <v>46</v>
      </c>
      <c r="D183" s="6">
        <v>27</v>
      </c>
      <c r="E183" s="6">
        <v>35</v>
      </c>
      <c r="F183" s="7">
        <v>0</v>
      </c>
      <c r="G183" s="7">
        <v>0</v>
      </c>
      <c r="H183" s="3">
        <v>0</v>
      </c>
    </row>
    <row r="184" spans="1:8" hidden="1" x14ac:dyDescent="0.2">
      <c r="A184">
        <v>177293</v>
      </c>
      <c r="B184" t="s">
        <v>261</v>
      </c>
      <c r="C184" s="6">
        <v>46</v>
      </c>
      <c r="D184" s="6">
        <v>26</v>
      </c>
      <c r="E184" s="6">
        <v>34</v>
      </c>
      <c r="F184" s="7">
        <v>0</v>
      </c>
      <c r="G184" s="7">
        <v>0</v>
      </c>
      <c r="H184" s="3">
        <v>0</v>
      </c>
    </row>
    <row r="185" spans="1:8" hidden="1" x14ac:dyDescent="0.2">
      <c r="A185">
        <v>108105</v>
      </c>
      <c r="B185" t="s">
        <v>147</v>
      </c>
      <c r="C185" s="6">
        <v>40</v>
      </c>
      <c r="D185" s="6">
        <v>37</v>
      </c>
      <c r="E185" s="6">
        <v>45</v>
      </c>
      <c r="F185" s="7">
        <v>0</v>
      </c>
      <c r="G185" s="7">
        <v>0</v>
      </c>
      <c r="H185" s="3">
        <v>0</v>
      </c>
    </row>
    <row r="186" spans="1:8" hidden="1" x14ac:dyDescent="0.2">
      <c r="A186">
        <v>106665</v>
      </c>
      <c r="B186" t="s">
        <v>304</v>
      </c>
      <c r="C186" s="6">
        <v>40</v>
      </c>
      <c r="D186" s="6">
        <v>23</v>
      </c>
      <c r="E186" s="6">
        <v>31</v>
      </c>
      <c r="F186" s="7">
        <v>0</v>
      </c>
      <c r="G186" s="7">
        <v>0</v>
      </c>
      <c r="H186" s="3">
        <v>0</v>
      </c>
    </row>
    <row r="187" spans="1:8" hidden="1" x14ac:dyDescent="0.2">
      <c r="A187" t="s">
        <v>76</v>
      </c>
      <c r="B187" t="s">
        <v>77</v>
      </c>
      <c r="C187" s="6">
        <v>37</v>
      </c>
      <c r="D187" s="6">
        <v>45</v>
      </c>
      <c r="E187" s="6">
        <v>53</v>
      </c>
      <c r="F187" s="7">
        <v>0</v>
      </c>
      <c r="G187" s="7">
        <v>0</v>
      </c>
      <c r="H187" s="3">
        <v>0</v>
      </c>
    </row>
    <row r="188" spans="1:8" hidden="1" x14ac:dyDescent="0.2">
      <c r="A188">
        <v>116153</v>
      </c>
      <c r="B188" t="s">
        <v>275</v>
      </c>
      <c r="C188" s="6">
        <v>37</v>
      </c>
      <c r="D188" s="6">
        <v>25</v>
      </c>
      <c r="E188" s="6">
        <v>33</v>
      </c>
      <c r="F188" s="7">
        <v>0</v>
      </c>
      <c r="G188" s="7">
        <v>0</v>
      </c>
      <c r="H188" s="3">
        <v>0</v>
      </c>
    </row>
    <row r="189" spans="1:8" hidden="1" x14ac:dyDescent="0.2">
      <c r="A189">
        <v>206152</v>
      </c>
      <c r="B189" t="s">
        <v>231</v>
      </c>
      <c r="C189" s="6">
        <v>36</v>
      </c>
      <c r="D189" s="6">
        <v>29</v>
      </c>
      <c r="E189" s="6">
        <v>37</v>
      </c>
      <c r="F189" s="7">
        <v>0</v>
      </c>
      <c r="G189" s="7">
        <v>0</v>
      </c>
      <c r="H189" s="3">
        <v>0</v>
      </c>
    </row>
    <row r="190" spans="1:8" hidden="1" x14ac:dyDescent="0.2">
      <c r="A190">
        <v>136561</v>
      </c>
      <c r="B190" t="s">
        <v>111</v>
      </c>
      <c r="C190" s="6">
        <v>35</v>
      </c>
      <c r="D190" s="6">
        <v>40</v>
      </c>
      <c r="E190" s="6">
        <v>48</v>
      </c>
      <c r="F190" s="7">
        <v>0</v>
      </c>
      <c r="G190" s="7">
        <v>0</v>
      </c>
      <c r="H190" s="3">
        <v>0</v>
      </c>
    </row>
    <row r="191" spans="1:8" hidden="1" x14ac:dyDescent="0.2">
      <c r="A191">
        <v>313868</v>
      </c>
      <c r="B191" t="s">
        <v>101</v>
      </c>
      <c r="C191" s="6">
        <v>32</v>
      </c>
      <c r="D191" s="6">
        <v>41</v>
      </c>
      <c r="E191" s="6">
        <v>49</v>
      </c>
      <c r="F191" s="7">
        <v>0</v>
      </c>
      <c r="G191" s="7">
        <v>0</v>
      </c>
      <c r="H191" s="3">
        <v>0</v>
      </c>
    </row>
    <row r="192" spans="1:8" hidden="1" x14ac:dyDescent="0.2">
      <c r="A192">
        <v>326651</v>
      </c>
      <c r="B192" t="s">
        <v>205</v>
      </c>
      <c r="C192" s="6">
        <v>31</v>
      </c>
      <c r="D192" s="6">
        <v>32</v>
      </c>
      <c r="E192" s="6">
        <v>40</v>
      </c>
      <c r="F192" s="7">
        <v>0</v>
      </c>
      <c r="G192" s="7">
        <v>0</v>
      </c>
      <c r="H192" s="3">
        <v>0</v>
      </c>
    </row>
    <row r="193" spans="1:8" hidden="1" x14ac:dyDescent="0.2">
      <c r="A193">
        <v>112732</v>
      </c>
      <c r="B193" t="s">
        <v>273</v>
      </c>
      <c r="C193" s="6">
        <v>30</v>
      </c>
      <c r="D193" s="6">
        <v>25</v>
      </c>
      <c r="E193" s="6">
        <v>33</v>
      </c>
      <c r="F193" s="7">
        <v>0</v>
      </c>
      <c r="G193" s="7">
        <v>0</v>
      </c>
      <c r="H193" s="3">
        <v>0</v>
      </c>
    </row>
    <row r="194" spans="1:8" hidden="1" x14ac:dyDescent="0.2">
      <c r="A194">
        <v>209872</v>
      </c>
      <c r="B194" t="s">
        <v>149</v>
      </c>
      <c r="C194" s="6">
        <v>27</v>
      </c>
      <c r="D194" s="6">
        <v>37</v>
      </c>
      <c r="E194" s="6">
        <v>45</v>
      </c>
      <c r="F194" s="7">
        <v>0</v>
      </c>
      <c r="G194" s="7">
        <v>0</v>
      </c>
      <c r="H194" s="3">
        <v>0</v>
      </c>
    </row>
    <row r="195" spans="1:8" hidden="1" x14ac:dyDescent="0.2">
      <c r="A195">
        <v>106987</v>
      </c>
      <c r="B195" t="s">
        <v>217</v>
      </c>
      <c r="C195" s="6">
        <v>27</v>
      </c>
      <c r="D195" s="6">
        <v>30</v>
      </c>
      <c r="E195" s="6">
        <v>38</v>
      </c>
      <c r="F195" s="7">
        <v>0</v>
      </c>
      <c r="G195" s="7">
        <v>0</v>
      </c>
      <c r="H195" s="3">
        <v>0</v>
      </c>
    </row>
    <row r="196" spans="1:8" hidden="1" x14ac:dyDescent="0.2">
      <c r="A196">
        <v>474285</v>
      </c>
      <c r="B196" t="s">
        <v>235</v>
      </c>
      <c r="C196" s="6">
        <v>27</v>
      </c>
      <c r="D196" s="6">
        <v>29</v>
      </c>
      <c r="E196" s="6">
        <v>37</v>
      </c>
      <c r="F196" s="7">
        <v>0</v>
      </c>
      <c r="G196" s="7">
        <v>0</v>
      </c>
      <c r="H196" s="3">
        <v>0</v>
      </c>
    </row>
    <row r="197" spans="1:8" hidden="1" x14ac:dyDescent="0.2">
      <c r="A197">
        <v>110605</v>
      </c>
      <c r="B197" t="s">
        <v>319</v>
      </c>
      <c r="C197" s="6">
        <v>27</v>
      </c>
      <c r="D197" s="6">
        <v>22</v>
      </c>
      <c r="E197" s="6">
        <v>30</v>
      </c>
      <c r="F197" s="7">
        <v>0</v>
      </c>
      <c r="G197" s="7">
        <v>0</v>
      </c>
      <c r="H197" s="3">
        <v>0</v>
      </c>
    </row>
    <row r="198" spans="1:8" hidden="1" x14ac:dyDescent="0.2">
      <c r="A198">
        <v>445589</v>
      </c>
      <c r="B198" t="s">
        <v>331</v>
      </c>
      <c r="C198" s="6">
        <v>27</v>
      </c>
      <c r="D198" s="6">
        <v>19</v>
      </c>
      <c r="E198" s="6">
        <v>27</v>
      </c>
      <c r="F198" s="7">
        <v>0</v>
      </c>
      <c r="G198" s="7">
        <v>0</v>
      </c>
      <c r="H198" s="3">
        <v>0</v>
      </c>
    </row>
    <row r="199" spans="1:8" hidden="1" x14ac:dyDescent="0.2">
      <c r="A199">
        <v>110898</v>
      </c>
      <c r="B199" t="s">
        <v>85</v>
      </c>
      <c r="C199" s="6">
        <v>24</v>
      </c>
      <c r="D199" s="6">
        <v>42</v>
      </c>
      <c r="E199" s="6">
        <v>50</v>
      </c>
      <c r="F199" s="7">
        <v>0</v>
      </c>
      <c r="G199" s="7">
        <v>0</v>
      </c>
      <c r="H199" s="3">
        <v>0</v>
      </c>
    </row>
    <row r="200" spans="1:8" hidden="1" x14ac:dyDescent="0.2">
      <c r="A200">
        <v>325210</v>
      </c>
      <c r="B200" t="s">
        <v>166</v>
      </c>
      <c r="C200" s="6">
        <v>24</v>
      </c>
      <c r="D200" s="6">
        <v>36</v>
      </c>
      <c r="E200" s="6">
        <v>44</v>
      </c>
      <c r="F200" s="7">
        <v>0</v>
      </c>
      <c r="G200" s="7">
        <v>0</v>
      </c>
      <c r="H200" s="3">
        <v>0</v>
      </c>
    </row>
    <row r="201" spans="1:8" hidden="1" x14ac:dyDescent="0.2">
      <c r="A201">
        <v>117091</v>
      </c>
      <c r="B201" t="s">
        <v>183</v>
      </c>
      <c r="C201" s="6">
        <v>24</v>
      </c>
      <c r="D201" s="6">
        <v>35</v>
      </c>
      <c r="E201" s="6">
        <v>43</v>
      </c>
      <c r="F201" s="7">
        <v>0</v>
      </c>
      <c r="G201" s="7">
        <v>0</v>
      </c>
      <c r="H201" s="3">
        <v>0</v>
      </c>
    </row>
    <row r="202" spans="1:8" hidden="1" x14ac:dyDescent="0.2">
      <c r="A202">
        <v>133264</v>
      </c>
      <c r="B202" t="s">
        <v>185</v>
      </c>
      <c r="C202" s="6">
        <v>23</v>
      </c>
      <c r="D202" s="6">
        <v>35</v>
      </c>
      <c r="E202" s="6">
        <v>43</v>
      </c>
      <c r="F202" s="7">
        <v>0</v>
      </c>
      <c r="G202" s="7">
        <v>0</v>
      </c>
      <c r="H202" s="3">
        <v>0</v>
      </c>
    </row>
    <row r="203" spans="1:8" hidden="1" x14ac:dyDescent="0.2">
      <c r="A203">
        <v>198540</v>
      </c>
      <c r="B203" t="s">
        <v>285</v>
      </c>
      <c r="C203" s="6">
        <v>23</v>
      </c>
      <c r="D203" s="6">
        <v>24</v>
      </c>
      <c r="E203" s="6">
        <v>32</v>
      </c>
      <c r="F203" s="7">
        <v>0</v>
      </c>
      <c r="G203" s="7">
        <v>0</v>
      </c>
      <c r="H203" s="3">
        <v>0</v>
      </c>
    </row>
    <row r="204" spans="1:8" hidden="1" x14ac:dyDescent="0.2">
      <c r="A204">
        <v>110889</v>
      </c>
      <c r="B204" t="s">
        <v>219</v>
      </c>
      <c r="C204" s="6">
        <v>21</v>
      </c>
      <c r="D204" s="6">
        <v>30</v>
      </c>
      <c r="E204" s="6">
        <v>38</v>
      </c>
      <c r="F204" s="7">
        <v>0</v>
      </c>
      <c r="G204" s="7">
        <v>0</v>
      </c>
      <c r="H204" s="3">
        <v>0</v>
      </c>
    </row>
    <row r="205" spans="1:8" hidden="1" x14ac:dyDescent="0.2">
      <c r="A205">
        <v>137634</v>
      </c>
      <c r="B205" t="s">
        <v>197</v>
      </c>
      <c r="C205" s="6">
        <v>17</v>
      </c>
      <c r="D205" s="6">
        <v>33</v>
      </c>
      <c r="E205" s="6">
        <v>41</v>
      </c>
      <c r="F205" s="7">
        <v>0</v>
      </c>
      <c r="G205" s="7">
        <v>0</v>
      </c>
      <c r="H205" s="3">
        <v>0</v>
      </c>
    </row>
    <row r="206" spans="1:8" hidden="1" x14ac:dyDescent="0.2">
      <c r="A206">
        <v>109223</v>
      </c>
      <c r="B206" t="s">
        <v>140</v>
      </c>
      <c r="C206" s="6">
        <v>16</v>
      </c>
      <c r="D206" s="6">
        <v>38</v>
      </c>
      <c r="E206" s="6">
        <v>46</v>
      </c>
      <c r="F206" s="7">
        <v>0</v>
      </c>
      <c r="G206" s="7">
        <v>0</v>
      </c>
      <c r="H206" s="3">
        <v>0</v>
      </c>
    </row>
    <row r="207" spans="1:8" hidden="1" x14ac:dyDescent="0.2">
      <c r="A207">
        <v>419011</v>
      </c>
      <c r="B207" t="s">
        <v>151</v>
      </c>
      <c r="C207" s="6">
        <v>16</v>
      </c>
      <c r="D207" s="6">
        <v>37</v>
      </c>
      <c r="E207" s="6">
        <v>45</v>
      </c>
      <c r="F207" s="7">
        <v>0</v>
      </c>
      <c r="G207" s="7">
        <v>0</v>
      </c>
      <c r="H207" s="3">
        <v>0</v>
      </c>
    </row>
    <row r="208" spans="1:8" hidden="1" x14ac:dyDescent="0.2">
      <c r="A208">
        <v>113345</v>
      </c>
      <c r="B208" t="s">
        <v>182</v>
      </c>
      <c r="C208" s="6">
        <v>15</v>
      </c>
      <c r="D208" s="6">
        <v>35</v>
      </c>
      <c r="E208" s="6">
        <v>43</v>
      </c>
      <c r="F208" s="7">
        <v>0</v>
      </c>
      <c r="G208" s="7">
        <v>0</v>
      </c>
      <c r="H208" s="3">
        <v>0</v>
      </c>
    </row>
    <row r="209" spans="1:8" hidden="1" x14ac:dyDescent="0.2">
      <c r="A209">
        <v>312926</v>
      </c>
      <c r="B209" t="s">
        <v>79</v>
      </c>
      <c r="C209" s="6">
        <v>14</v>
      </c>
      <c r="D209" s="6">
        <v>44</v>
      </c>
      <c r="E209" s="6">
        <v>52</v>
      </c>
      <c r="F209" s="7">
        <v>0</v>
      </c>
      <c r="G209" s="7">
        <v>0</v>
      </c>
      <c r="H209" s="3">
        <v>0</v>
      </c>
    </row>
    <row r="210" spans="1:8" hidden="1" x14ac:dyDescent="0.2">
      <c r="A210">
        <v>513800</v>
      </c>
      <c r="B210" t="s">
        <v>170</v>
      </c>
      <c r="C210" s="6">
        <v>14</v>
      </c>
      <c r="D210" s="6">
        <v>36</v>
      </c>
      <c r="E210" s="6">
        <v>44</v>
      </c>
      <c r="F210" s="7">
        <v>0</v>
      </c>
      <c r="G210" s="7">
        <v>0</v>
      </c>
      <c r="H210" s="3">
        <v>0</v>
      </c>
    </row>
    <row r="211" spans="1:8" hidden="1" x14ac:dyDescent="0.2">
      <c r="A211">
        <v>452932</v>
      </c>
      <c r="B211" t="s">
        <v>369</v>
      </c>
      <c r="C211" s="6">
        <v>14</v>
      </c>
      <c r="D211" s="6">
        <v>13</v>
      </c>
      <c r="E211" s="6">
        <v>21</v>
      </c>
      <c r="F211" s="7">
        <v>0</v>
      </c>
      <c r="G211" s="7">
        <v>0</v>
      </c>
      <c r="H211" s="3">
        <v>0</v>
      </c>
    </row>
    <row r="212" spans="1:8" hidden="1" x14ac:dyDescent="0.2">
      <c r="A212">
        <v>140206</v>
      </c>
      <c r="B212" t="s">
        <v>163</v>
      </c>
      <c r="C212" s="6">
        <v>12</v>
      </c>
      <c r="D212" s="6">
        <v>36</v>
      </c>
      <c r="E212" s="6">
        <v>44</v>
      </c>
      <c r="F212" s="7">
        <v>0</v>
      </c>
      <c r="G212" s="7">
        <v>0</v>
      </c>
      <c r="H212" s="3">
        <v>0</v>
      </c>
    </row>
    <row r="213" spans="1:8" hidden="1" x14ac:dyDescent="0.2">
      <c r="A213">
        <v>471128</v>
      </c>
      <c r="B213" t="s">
        <v>264</v>
      </c>
      <c r="C213" s="6">
        <v>12</v>
      </c>
      <c r="D213" s="6">
        <v>26</v>
      </c>
      <c r="E213" s="6">
        <v>34</v>
      </c>
      <c r="F213" s="7">
        <v>0</v>
      </c>
      <c r="G213" s="7">
        <v>0</v>
      </c>
      <c r="H213" s="3">
        <v>0</v>
      </c>
    </row>
    <row r="214" spans="1:8" hidden="1" x14ac:dyDescent="0.2">
      <c r="A214">
        <v>466108</v>
      </c>
      <c r="B214" t="s">
        <v>132</v>
      </c>
      <c r="C214" s="6">
        <v>11</v>
      </c>
      <c r="D214" s="6">
        <v>39</v>
      </c>
      <c r="E214" s="6">
        <v>47</v>
      </c>
      <c r="F214" s="7">
        <v>0</v>
      </c>
      <c r="G214" s="7">
        <v>0</v>
      </c>
      <c r="H214" s="3">
        <v>0</v>
      </c>
    </row>
    <row r="215" spans="1:8" hidden="1" x14ac:dyDescent="0.2">
      <c r="A215">
        <v>155158</v>
      </c>
      <c r="B215" t="s">
        <v>307</v>
      </c>
      <c r="C215" s="6">
        <v>11</v>
      </c>
      <c r="D215" s="6">
        <v>23</v>
      </c>
      <c r="E215" s="6">
        <v>31</v>
      </c>
      <c r="F215" s="7">
        <v>0</v>
      </c>
      <c r="G215" s="7">
        <v>0</v>
      </c>
      <c r="H215" s="3">
        <v>0</v>
      </c>
    </row>
    <row r="216" spans="1:8" hidden="1" x14ac:dyDescent="0.2">
      <c r="A216">
        <v>182044</v>
      </c>
      <c r="B216" t="s">
        <v>113</v>
      </c>
      <c r="C216" s="6">
        <v>9</v>
      </c>
      <c r="D216" s="6">
        <v>40</v>
      </c>
      <c r="E216" s="6">
        <v>48</v>
      </c>
      <c r="F216" s="7">
        <v>0</v>
      </c>
      <c r="G216" s="7">
        <v>0</v>
      </c>
      <c r="H216" s="3">
        <v>0</v>
      </c>
    </row>
    <row r="217" spans="1:8" hidden="1" x14ac:dyDescent="0.2">
      <c r="A217">
        <v>155394</v>
      </c>
      <c r="B217" t="s">
        <v>69</v>
      </c>
      <c r="C217" s="6">
        <v>8</v>
      </c>
      <c r="D217" s="6">
        <v>46</v>
      </c>
      <c r="E217" s="6">
        <v>54</v>
      </c>
      <c r="F217" s="7">
        <v>0</v>
      </c>
      <c r="G217" s="7">
        <v>0</v>
      </c>
      <c r="H217" s="3">
        <v>0</v>
      </c>
    </row>
    <row r="218" spans="1:8" hidden="1" x14ac:dyDescent="0.2">
      <c r="A218">
        <v>472588</v>
      </c>
      <c r="B218" t="s">
        <v>102</v>
      </c>
      <c r="C218" s="6">
        <v>8</v>
      </c>
      <c r="D218" s="6">
        <v>41</v>
      </c>
      <c r="E218" s="6">
        <v>49</v>
      </c>
      <c r="F218" s="7">
        <v>0</v>
      </c>
      <c r="G218" s="7">
        <v>0</v>
      </c>
      <c r="H218" s="3">
        <v>0</v>
      </c>
    </row>
    <row r="219" spans="1:8" hidden="1" x14ac:dyDescent="0.2">
      <c r="A219">
        <v>302591</v>
      </c>
      <c r="B219" t="s">
        <v>203</v>
      </c>
      <c r="C219" s="6">
        <v>8</v>
      </c>
      <c r="D219" s="6">
        <v>32</v>
      </c>
      <c r="E219" s="6">
        <v>40</v>
      </c>
      <c r="F219" s="7">
        <v>0</v>
      </c>
      <c r="G219" s="7">
        <v>0</v>
      </c>
      <c r="H219" s="3">
        <v>0</v>
      </c>
    </row>
    <row r="220" spans="1:8" hidden="1" x14ac:dyDescent="0.2">
      <c r="A220">
        <v>488474</v>
      </c>
      <c r="B220" t="s">
        <v>265</v>
      </c>
      <c r="C220" s="6">
        <v>8</v>
      </c>
      <c r="D220" s="6">
        <v>26</v>
      </c>
      <c r="E220" s="6">
        <v>34</v>
      </c>
      <c r="F220" s="7">
        <v>0</v>
      </c>
      <c r="G220" s="7">
        <v>0</v>
      </c>
      <c r="H220" s="3">
        <v>0</v>
      </c>
    </row>
    <row r="221" spans="1:8" hidden="1" x14ac:dyDescent="0.2">
      <c r="A221">
        <v>321491</v>
      </c>
      <c r="B221" t="s">
        <v>116</v>
      </c>
      <c r="C221" s="6">
        <v>5</v>
      </c>
      <c r="D221" s="6">
        <v>40</v>
      </c>
      <c r="E221" s="6">
        <v>48</v>
      </c>
      <c r="F221" s="7">
        <v>0</v>
      </c>
      <c r="G221" s="7">
        <v>0</v>
      </c>
      <c r="H221" s="3">
        <v>0</v>
      </c>
    </row>
    <row r="222" spans="1:8" hidden="1" x14ac:dyDescent="0.2">
      <c r="A222">
        <v>472194</v>
      </c>
      <c r="B222" t="s">
        <v>168</v>
      </c>
      <c r="C222" s="6">
        <v>5</v>
      </c>
      <c r="D222" s="6">
        <v>36</v>
      </c>
      <c r="E222" s="6">
        <v>44</v>
      </c>
      <c r="F222" s="7">
        <v>0</v>
      </c>
      <c r="G222" s="7">
        <v>0</v>
      </c>
      <c r="H222" s="3">
        <v>0</v>
      </c>
    </row>
    <row r="223" spans="1:8" hidden="1" x14ac:dyDescent="0.2">
      <c r="A223">
        <v>116988</v>
      </c>
      <c r="B223" t="s">
        <v>229</v>
      </c>
      <c r="C223" s="6">
        <v>5</v>
      </c>
      <c r="D223" s="6">
        <v>29</v>
      </c>
      <c r="E223" s="6">
        <v>37</v>
      </c>
      <c r="F223" s="7">
        <v>0</v>
      </c>
      <c r="G223" s="7">
        <v>0</v>
      </c>
      <c r="H223" s="3">
        <v>0</v>
      </c>
    </row>
    <row r="224" spans="1:8" hidden="1" x14ac:dyDescent="0.2">
      <c r="A224">
        <v>457816</v>
      </c>
      <c r="B224" t="s">
        <v>142</v>
      </c>
      <c r="C224" s="6">
        <v>4</v>
      </c>
      <c r="D224" s="6">
        <v>38</v>
      </c>
      <c r="E224" s="6">
        <v>46</v>
      </c>
      <c r="F224" s="7">
        <v>0</v>
      </c>
      <c r="G224" s="7">
        <v>0</v>
      </c>
      <c r="H224" s="3">
        <v>0</v>
      </c>
    </row>
    <row r="225" spans="1:8" hidden="1" x14ac:dyDescent="0.2">
      <c r="A225">
        <v>513870</v>
      </c>
      <c r="B225" t="s">
        <v>188</v>
      </c>
      <c r="C225" s="6">
        <v>4</v>
      </c>
      <c r="D225" s="6">
        <v>35</v>
      </c>
      <c r="E225" s="6">
        <v>43</v>
      </c>
      <c r="F225" s="7">
        <v>0</v>
      </c>
      <c r="G225" s="7">
        <v>0</v>
      </c>
      <c r="H225" s="3">
        <v>0</v>
      </c>
    </row>
    <row r="226" spans="1:8" hidden="1" x14ac:dyDescent="0.2">
      <c r="A226">
        <v>108828</v>
      </c>
      <c r="B226" t="s">
        <v>259</v>
      </c>
      <c r="C226" s="6">
        <v>4</v>
      </c>
      <c r="D226" s="6">
        <v>26</v>
      </c>
      <c r="E226" s="6">
        <v>34</v>
      </c>
      <c r="F226" s="7">
        <v>0</v>
      </c>
      <c r="G226" s="7">
        <v>0</v>
      </c>
      <c r="H226" s="3">
        <v>0</v>
      </c>
    </row>
    <row r="227" spans="1:8" hidden="1" x14ac:dyDescent="0.2">
      <c r="A227">
        <v>302136</v>
      </c>
      <c r="B227" t="s">
        <v>232</v>
      </c>
      <c r="C227" s="6">
        <v>3</v>
      </c>
      <c r="D227" s="6">
        <v>29</v>
      </c>
      <c r="E227" s="6">
        <v>37</v>
      </c>
      <c r="F227" s="7">
        <v>0</v>
      </c>
      <c r="G227" s="7">
        <v>0</v>
      </c>
      <c r="H227" s="3">
        <v>0</v>
      </c>
    </row>
    <row r="228" spans="1:8" hidden="1" x14ac:dyDescent="0.2">
      <c r="A228">
        <v>481431</v>
      </c>
      <c r="B228" t="s">
        <v>250</v>
      </c>
      <c r="C228" s="6">
        <v>3</v>
      </c>
      <c r="D228" s="6">
        <v>27</v>
      </c>
      <c r="E228" s="6">
        <v>35</v>
      </c>
      <c r="F228" s="7">
        <v>0</v>
      </c>
      <c r="G228" s="7">
        <v>0</v>
      </c>
      <c r="H228" s="3">
        <v>0</v>
      </c>
    </row>
    <row r="229" spans="1:8" hidden="1" x14ac:dyDescent="0.2">
      <c r="A229">
        <v>460777</v>
      </c>
      <c r="B229" t="s">
        <v>308</v>
      </c>
      <c r="C229" s="6">
        <v>3</v>
      </c>
      <c r="D229" s="6">
        <v>23</v>
      </c>
      <c r="E229" s="6">
        <v>31</v>
      </c>
      <c r="F229" s="7">
        <v>0</v>
      </c>
      <c r="G229" s="7">
        <v>0</v>
      </c>
      <c r="H229" s="3">
        <v>0</v>
      </c>
    </row>
    <row r="230" spans="1:8" hidden="1" x14ac:dyDescent="0.2">
      <c r="A230">
        <v>110283</v>
      </c>
      <c r="B230" t="s">
        <v>84</v>
      </c>
      <c r="C230" s="6">
        <v>2</v>
      </c>
      <c r="D230" s="6">
        <v>42</v>
      </c>
      <c r="E230" s="6">
        <v>50</v>
      </c>
      <c r="F230" s="7">
        <v>0</v>
      </c>
      <c r="G230" s="7">
        <v>0</v>
      </c>
      <c r="H230" s="3">
        <v>0</v>
      </c>
    </row>
    <row r="231" spans="1:8" hidden="1" x14ac:dyDescent="0.2">
      <c r="A231">
        <v>170850</v>
      </c>
      <c r="B231" t="s">
        <v>88</v>
      </c>
      <c r="C231" s="6">
        <v>2</v>
      </c>
      <c r="D231" s="6">
        <v>42</v>
      </c>
      <c r="E231" s="6">
        <v>50</v>
      </c>
      <c r="F231" s="7">
        <v>0</v>
      </c>
      <c r="G231" s="7">
        <v>0</v>
      </c>
      <c r="H231" s="3">
        <v>0</v>
      </c>
    </row>
    <row r="232" spans="1:8" hidden="1" x14ac:dyDescent="0.2">
      <c r="A232">
        <v>131030</v>
      </c>
      <c r="B232" t="s">
        <v>98</v>
      </c>
      <c r="C232" s="6">
        <v>2</v>
      </c>
      <c r="D232" s="6">
        <v>41</v>
      </c>
      <c r="E232" s="6">
        <v>49</v>
      </c>
      <c r="F232" s="7">
        <v>0</v>
      </c>
      <c r="G232" s="7">
        <v>0</v>
      </c>
      <c r="H232" s="3">
        <v>0</v>
      </c>
    </row>
    <row r="233" spans="1:8" hidden="1" x14ac:dyDescent="0.2">
      <c r="A233">
        <v>132788</v>
      </c>
      <c r="B233" t="s">
        <v>99</v>
      </c>
      <c r="C233" s="6">
        <v>2</v>
      </c>
      <c r="D233" s="6">
        <v>41</v>
      </c>
      <c r="E233" s="6">
        <v>49</v>
      </c>
      <c r="F233" s="7">
        <v>0</v>
      </c>
      <c r="G233" s="7">
        <v>0</v>
      </c>
      <c r="H233" s="3">
        <v>0</v>
      </c>
    </row>
    <row r="234" spans="1:8" hidden="1" x14ac:dyDescent="0.2">
      <c r="A234">
        <v>217075</v>
      </c>
      <c r="B234" t="s">
        <v>100</v>
      </c>
      <c r="C234" s="6">
        <v>2</v>
      </c>
      <c r="D234" s="6">
        <v>41</v>
      </c>
      <c r="E234" s="6">
        <v>49</v>
      </c>
      <c r="F234" s="7">
        <v>0</v>
      </c>
      <c r="G234" s="7">
        <v>0</v>
      </c>
      <c r="H234" s="3">
        <v>0</v>
      </c>
    </row>
    <row r="235" spans="1:8" hidden="1" x14ac:dyDescent="0.2">
      <c r="A235">
        <v>156754</v>
      </c>
      <c r="B235" t="s">
        <v>112</v>
      </c>
      <c r="C235" s="6">
        <v>2</v>
      </c>
      <c r="D235" s="6">
        <v>40</v>
      </c>
      <c r="E235" s="6">
        <v>48</v>
      </c>
      <c r="F235" s="7">
        <v>0</v>
      </c>
      <c r="G235" s="7">
        <v>0</v>
      </c>
      <c r="H235" s="3">
        <v>0</v>
      </c>
    </row>
    <row r="236" spans="1:8" hidden="1" x14ac:dyDescent="0.2">
      <c r="A236">
        <v>512979</v>
      </c>
      <c r="B236" t="s">
        <v>117</v>
      </c>
      <c r="C236" s="6">
        <v>2</v>
      </c>
      <c r="D236" s="6">
        <v>40</v>
      </c>
      <c r="E236" s="6">
        <v>48</v>
      </c>
      <c r="F236" s="7">
        <v>0</v>
      </c>
      <c r="G236" s="7">
        <v>0</v>
      </c>
      <c r="H236" s="3">
        <v>0</v>
      </c>
    </row>
    <row r="237" spans="1:8" hidden="1" x14ac:dyDescent="0.2">
      <c r="A237">
        <v>112275</v>
      </c>
      <c r="B237" t="s">
        <v>128</v>
      </c>
      <c r="C237" s="6">
        <v>2</v>
      </c>
      <c r="D237" s="6">
        <v>39</v>
      </c>
      <c r="E237" s="6">
        <v>47</v>
      </c>
      <c r="F237" s="7">
        <v>0</v>
      </c>
      <c r="G237" s="7">
        <v>0</v>
      </c>
      <c r="H237" s="3">
        <v>0</v>
      </c>
    </row>
    <row r="238" spans="1:8" hidden="1" x14ac:dyDescent="0.2">
      <c r="A238">
        <v>113122</v>
      </c>
      <c r="B238" t="s">
        <v>129</v>
      </c>
      <c r="C238" s="6">
        <v>2</v>
      </c>
      <c r="D238" s="6">
        <v>39</v>
      </c>
      <c r="E238" s="6">
        <v>47</v>
      </c>
      <c r="F238" s="7">
        <v>0</v>
      </c>
      <c r="G238" s="7">
        <v>0</v>
      </c>
      <c r="H238" s="3">
        <v>0</v>
      </c>
    </row>
    <row r="239" spans="1:8" hidden="1" x14ac:dyDescent="0.2">
      <c r="A239">
        <v>243787</v>
      </c>
      <c r="B239" t="s">
        <v>150</v>
      </c>
      <c r="C239" s="6">
        <v>2</v>
      </c>
      <c r="D239" s="6">
        <v>37</v>
      </c>
      <c r="E239" s="6">
        <v>45</v>
      </c>
      <c r="F239" s="7">
        <v>0</v>
      </c>
      <c r="G239" s="7">
        <v>0</v>
      </c>
      <c r="H239" s="3">
        <v>0</v>
      </c>
    </row>
    <row r="240" spans="1:8" hidden="1" x14ac:dyDescent="0.2">
      <c r="A240">
        <v>413465</v>
      </c>
      <c r="B240" t="s">
        <v>167</v>
      </c>
      <c r="C240" s="6">
        <v>2</v>
      </c>
      <c r="D240" s="6">
        <v>36</v>
      </c>
      <c r="E240" s="6">
        <v>44</v>
      </c>
      <c r="F240" s="7">
        <v>0</v>
      </c>
      <c r="G240" s="7">
        <v>0</v>
      </c>
      <c r="H240" s="3">
        <v>0</v>
      </c>
    </row>
    <row r="241" spans="1:8" hidden="1" x14ac:dyDescent="0.2">
      <c r="A241">
        <v>481658</v>
      </c>
      <c r="B241" t="s">
        <v>169</v>
      </c>
      <c r="C241" s="6">
        <v>2</v>
      </c>
      <c r="D241" s="6">
        <v>36</v>
      </c>
      <c r="E241" s="6">
        <v>44</v>
      </c>
      <c r="F241" s="7">
        <v>0</v>
      </c>
      <c r="G241" s="7">
        <v>0</v>
      </c>
      <c r="H241" s="3">
        <v>0</v>
      </c>
    </row>
    <row r="242" spans="1:8" hidden="1" x14ac:dyDescent="0.2">
      <c r="A242">
        <v>107047</v>
      </c>
      <c r="B242" t="s">
        <v>180</v>
      </c>
      <c r="C242" s="6">
        <v>2</v>
      </c>
      <c r="D242" s="6">
        <v>35</v>
      </c>
      <c r="E242" s="6">
        <v>43</v>
      </c>
      <c r="F242" s="7">
        <v>0</v>
      </c>
      <c r="G242" s="7">
        <v>0</v>
      </c>
      <c r="H242" s="3">
        <v>0</v>
      </c>
    </row>
    <row r="243" spans="1:8" hidden="1" x14ac:dyDescent="0.2">
      <c r="A243">
        <v>129694</v>
      </c>
      <c r="B243" t="s">
        <v>184</v>
      </c>
      <c r="C243" s="6">
        <v>2</v>
      </c>
      <c r="D243" s="6">
        <v>35</v>
      </c>
      <c r="E243" s="6">
        <v>43</v>
      </c>
      <c r="F243" s="7">
        <v>0</v>
      </c>
      <c r="G243" s="7">
        <v>0</v>
      </c>
      <c r="H243" s="3">
        <v>0</v>
      </c>
    </row>
    <row r="244" spans="1:8" hidden="1" x14ac:dyDescent="0.2">
      <c r="A244">
        <v>456302</v>
      </c>
      <c r="B244" t="s">
        <v>233</v>
      </c>
      <c r="C244" s="6">
        <v>2</v>
      </c>
      <c r="D244" s="6">
        <v>29</v>
      </c>
      <c r="E244" s="6">
        <v>37</v>
      </c>
      <c r="F244" s="7">
        <v>0</v>
      </c>
      <c r="G244" s="7">
        <v>0</v>
      </c>
      <c r="H244" s="3">
        <v>0</v>
      </c>
    </row>
    <row r="245" spans="1:8" hidden="1" x14ac:dyDescent="0.2">
      <c r="A245">
        <v>234438</v>
      </c>
      <c r="B245" t="s">
        <v>241</v>
      </c>
      <c r="C245" s="6">
        <v>2</v>
      </c>
      <c r="D245" s="6">
        <v>28</v>
      </c>
      <c r="E245" s="6">
        <v>36</v>
      </c>
      <c r="F245" s="7">
        <v>0</v>
      </c>
      <c r="G245" s="7">
        <v>0</v>
      </c>
      <c r="H245" s="3">
        <v>0</v>
      </c>
    </row>
    <row r="246" spans="1:8" hidden="1" x14ac:dyDescent="0.2">
      <c r="A246">
        <v>463655</v>
      </c>
      <c r="B246" t="s">
        <v>276</v>
      </c>
      <c r="C246" s="6">
        <v>2</v>
      </c>
      <c r="D246" s="6">
        <v>25</v>
      </c>
      <c r="E246" s="6">
        <v>33</v>
      </c>
      <c r="F246" s="7">
        <v>0</v>
      </c>
      <c r="G246" s="7">
        <v>0</v>
      </c>
      <c r="H246" s="3">
        <v>0</v>
      </c>
    </row>
    <row r="247" spans="1:8" hidden="1" x14ac:dyDescent="0.2">
      <c r="A247">
        <v>106614</v>
      </c>
      <c r="B247" t="s">
        <v>303</v>
      </c>
      <c r="C247" s="6">
        <v>2</v>
      </c>
      <c r="D247" s="6">
        <v>23</v>
      </c>
      <c r="E247" s="6">
        <v>31</v>
      </c>
      <c r="F247" s="7">
        <v>0</v>
      </c>
      <c r="G247" s="7">
        <v>0</v>
      </c>
      <c r="H247" s="3">
        <v>0</v>
      </c>
    </row>
    <row r="248" spans="1:8" hidden="1" x14ac:dyDescent="0.2">
      <c r="A248">
        <v>509751</v>
      </c>
      <c r="B248" t="s">
        <v>103</v>
      </c>
      <c r="C248" s="6">
        <v>1</v>
      </c>
      <c r="D248" s="6">
        <v>41</v>
      </c>
      <c r="E248" s="6">
        <v>49</v>
      </c>
      <c r="F248" s="7">
        <v>0</v>
      </c>
      <c r="G248" s="7">
        <v>0</v>
      </c>
      <c r="H248" s="3">
        <v>0</v>
      </c>
    </row>
    <row r="249" spans="1:8" hidden="1" x14ac:dyDescent="0.2">
      <c r="A249">
        <v>128243</v>
      </c>
      <c r="B249" t="s">
        <v>110</v>
      </c>
      <c r="C249" s="6">
        <v>1</v>
      </c>
      <c r="D249" s="6">
        <v>40</v>
      </c>
      <c r="E249" s="6">
        <v>48</v>
      </c>
      <c r="F249" s="7">
        <v>0</v>
      </c>
      <c r="G249" s="7">
        <v>0</v>
      </c>
      <c r="H249" s="3">
        <v>0</v>
      </c>
    </row>
    <row r="250" spans="1:8" hidden="1" x14ac:dyDescent="0.2">
      <c r="A250">
        <v>513358</v>
      </c>
      <c r="B250" t="s">
        <v>134</v>
      </c>
      <c r="C250" s="6">
        <v>1</v>
      </c>
      <c r="D250" s="6">
        <v>39</v>
      </c>
      <c r="E250" s="6">
        <v>47</v>
      </c>
      <c r="F250" s="7">
        <v>0</v>
      </c>
      <c r="G250" s="7">
        <v>0</v>
      </c>
      <c r="H250" s="3">
        <v>0</v>
      </c>
    </row>
    <row r="251" spans="1:8" hidden="1" x14ac:dyDescent="0.2">
      <c r="A251">
        <v>470696</v>
      </c>
      <c r="B251" t="s">
        <v>187</v>
      </c>
      <c r="C251" s="6">
        <v>1</v>
      </c>
      <c r="D251" s="6">
        <v>35</v>
      </c>
      <c r="E251" s="6">
        <v>43</v>
      </c>
      <c r="F251" s="7">
        <v>0</v>
      </c>
      <c r="G251" s="7">
        <v>0</v>
      </c>
      <c r="H251" s="3">
        <v>0</v>
      </c>
    </row>
    <row r="252" spans="1:8" hidden="1" x14ac:dyDescent="0.2">
      <c r="A252">
        <v>462908</v>
      </c>
      <c r="B252" t="s">
        <v>263</v>
      </c>
      <c r="C252" s="6">
        <v>1</v>
      </c>
      <c r="D252" s="6">
        <v>26</v>
      </c>
      <c r="E252" s="6">
        <v>34</v>
      </c>
      <c r="F252" s="7">
        <v>0</v>
      </c>
      <c r="G252" s="7">
        <v>0</v>
      </c>
      <c r="H252" s="3">
        <v>0</v>
      </c>
    </row>
    <row r="253" spans="1:8" hidden="1" x14ac:dyDescent="0.2">
      <c r="A253">
        <v>120192</v>
      </c>
      <c r="B253" t="s">
        <v>305</v>
      </c>
      <c r="C253" s="6" t="s">
        <v>306</v>
      </c>
      <c r="D253" s="6">
        <v>23</v>
      </c>
      <c r="E253" s="6">
        <v>31</v>
      </c>
      <c r="F253" s="7">
        <v>0</v>
      </c>
      <c r="G253" s="7">
        <v>0</v>
      </c>
      <c r="H253" s="3">
        <v>0</v>
      </c>
    </row>
    <row r="254" spans="1:8" x14ac:dyDescent="0.2">
      <c r="A254">
        <v>112450</v>
      </c>
      <c r="B254" t="s">
        <v>159</v>
      </c>
      <c r="C254" s="6">
        <v>125</v>
      </c>
      <c r="D254" s="6">
        <v>37</v>
      </c>
      <c r="E254" s="6">
        <v>45</v>
      </c>
      <c r="F254" s="7">
        <v>0.192</v>
      </c>
      <c r="G254" s="7">
        <v>0.14399999999999999</v>
      </c>
      <c r="H254" s="3">
        <f>(G254-F254)/F254</f>
        <v>-0.25000000000000006</v>
      </c>
    </row>
    <row r="255" spans="1:8" x14ac:dyDescent="0.2">
      <c r="A255">
        <v>463089</v>
      </c>
      <c r="B255" t="s">
        <v>138</v>
      </c>
      <c r="C255" s="6">
        <v>120</v>
      </c>
      <c r="D255" s="6">
        <v>39</v>
      </c>
      <c r="E255" s="6">
        <v>47</v>
      </c>
      <c r="F255" s="7">
        <v>0.25833333333333341</v>
      </c>
      <c r="G255" s="7">
        <v>6.6666666666666666E-2</v>
      </c>
      <c r="H255" s="3">
        <f>(G255-F255)/F255</f>
        <v>-0.74193548387096786</v>
      </c>
    </row>
    <row r="256" spans="1:8" x14ac:dyDescent="0.2">
      <c r="A256">
        <v>105389</v>
      </c>
      <c r="B256" t="s">
        <v>145</v>
      </c>
      <c r="C256" s="6">
        <v>111</v>
      </c>
      <c r="D256" s="6">
        <v>38</v>
      </c>
      <c r="E256" s="6">
        <v>46</v>
      </c>
      <c r="F256" s="7">
        <v>0.1081081081081081</v>
      </c>
      <c r="G256" s="7">
        <v>4.5045045045045043E-2</v>
      </c>
      <c r="H256" s="3">
        <f>(G256-F256)/F256</f>
        <v>-0.58333333333333337</v>
      </c>
    </row>
    <row r="257" spans="1:8" x14ac:dyDescent="0.2">
      <c r="A257">
        <v>417949</v>
      </c>
      <c r="B257" t="s">
        <v>158</v>
      </c>
      <c r="C257" s="6">
        <v>108</v>
      </c>
      <c r="D257" s="6">
        <v>37</v>
      </c>
      <c r="E257" s="6">
        <v>45</v>
      </c>
      <c r="F257" s="7">
        <v>0.14814814814814811</v>
      </c>
      <c r="G257" s="7">
        <v>0</v>
      </c>
      <c r="H257" s="3">
        <f>(G257-F257)/F257</f>
        <v>-1</v>
      </c>
    </row>
    <row r="258" spans="1:8" x14ac:dyDescent="0.2">
      <c r="A258">
        <v>145124</v>
      </c>
      <c r="B258" t="s">
        <v>179</v>
      </c>
      <c r="C258" s="6">
        <v>108</v>
      </c>
      <c r="D258" s="6">
        <v>36</v>
      </c>
      <c r="E258" s="6">
        <v>44</v>
      </c>
      <c r="F258" s="7">
        <v>0.3611111111111111</v>
      </c>
      <c r="G258" s="7">
        <v>9.2592592592592587E-3</v>
      </c>
      <c r="H258" s="3">
        <f>(G258-F258)/F258</f>
        <v>-0.97435897435897445</v>
      </c>
    </row>
    <row r="259" spans="1:8" x14ac:dyDescent="0.2">
      <c r="A259">
        <v>106911</v>
      </c>
      <c r="B259" t="s">
        <v>254</v>
      </c>
      <c r="C259" s="6">
        <v>107</v>
      </c>
      <c r="D259" s="6">
        <v>27</v>
      </c>
      <c r="E259" s="6">
        <v>35</v>
      </c>
      <c r="F259" s="7">
        <v>0.10280373831775701</v>
      </c>
      <c r="G259" s="7">
        <v>0.10280373831775701</v>
      </c>
      <c r="H259" s="3">
        <f>(G259-F259)/F259</f>
        <v>0</v>
      </c>
    </row>
    <row r="260" spans="1:8" hidden="1" x14ac:dyDescent="0.2">
      <c r="A260">
        <v>144805</v>
      </c>
      <c r="B260" t="s">
        <v>119</v>
      </c>
      <c r="C260" s="6">
        <v>138</v>
      </c>
      <c r="D260" s="6">
        <v>40</v>
      </c>
      <c r="E260" s="6">
        <v>48</v>
      </c>
      <c r="F260" s="7">
        <v>4.3478260869565223E-2</v>
      </c>
      <c r="G260" s="7">
        <v>5.7971014492753617E-2</v>
      </c>
      <c r="H260" s="3">
        <f>(G260-F260)/F260</f>
        <v>0.33333333333333304</v>
      </c>
    </row>
    <row r="261" spans="1:8" hidden="1" x14ac:dyDescent="0.2">
      <c r="A261">
        <v>467555</v>
      </c>
      <c r="B261" t="s">
        <v>174</v>
      </c>
      <c r="C261" s="6">
        <v>112</v>
      </c>
      <c r="D261" s="6">
        <v>36</v>
      </c>
      <c r="E261" s="6">
        <v>44</v>
      </c>
      <c r="F261" s="7">
        <v>5.3571428571428568E-2</v>
      </c>
      <c r="G261" s="7">
        <v>7.1428571428571425E-2</v>
      </c>
      <c r="H261" s="3">
        <f>(G261-F261)/F261</f>
        <v>0.33333333333333331</v>
      </c>
    </row>
    <row r="262" spans="1:8" x14ac:dyDescent="0.2">
      <c r="A262">
        <v>309960</v>
      </c>
      <c r="B262" t="s">
        <v>321</v>
      </c>
      <c r="C262" s="6">
        <v>105</v>
      </c>
      <c r="D262" s="6">
        <v>22</v>
      </c>
      <c r="E262" s="6">
        <v>30</v>
      </c>
      <c r="F262" s="7">
        <v>0.10476190476190481</v>
      </c>
      <c r="G262" s="7">
        <v>0</v>
      </c>
      <c r="H262" s="3">
        <f>(G262-F262)/F262</f>
        <v>-1</v>
      </c>
    </row>
    <row r="263" spans="1:8" hidden="1" x14ac:dyDescent="0.2">
      <c r="A263">
        <v>113073</v>
      </c>
      <c r="B263" t="s">
        <v>295</v>
      </c>
      <c r="C263" s="6">
        <v>48</v>
      </c>
      <c r="D263" s="6">
        <v>24</v>
      </c>
      <c r="E263" s="6">
        <v>32</v>
      </c>
      <c r="F263" s="7">
        <v>0.1041666666666667</v>
      </c>
      <c r="G263" s="7">
        <v>0.14583333333333329</v>
      </c>
      <c r="H263" s="3">
        <f>(G263-F263)/F263</f>
        <v>0.39999999999999913</v>
      </c>
    </row>
    <row r="264" spans="1:8" hidden="1" x14ac:dyDescent="0.2">
      <c r="A264">
        <v>151263</v>
      </c>
      <c r="B264" t="s">
        <v>212</v>
      </c>
      <c r="C264" s="6">
        <v>434</v>
      </c>
      <c r="D264" s="6">
        <v>31</v>
      </c>
      <c r="E264" s="6">
        <v>39</v>
      </c>
      <c r="F264" s="7">
        <v>7.1428571428571425E-2</v>
      </c>
      <c r="G264" s="7">
        <v>0.1036866359447005</v>
      </c>
      <c r="H264" s="3">
        <f>(G264-F264)/F264</f>
        <v>0.45161290322580705</v>
      </c>
    </row>
    <row r="265" spans="1:8" hidden="1" x14ac:dyDescent="0.2">
      <c r="A265">
        <v>151032</v>
      </c>
      <c r="B265" t="s">
        <v>316</v>
      </c>
      <c r="C265" s="6">
        <v>446</v>
      </c>
      <c r="D265" s="6">
        <v>23</v>
      </c>
      <c r="E265" s="6">
        <v>31</v>
      </c>
      <c r="F265" s="7">
        <v>0.13004484304932731</v>
      </c>
      <c r="G265" s="7">
        <v>0.2017937219730942</v>
      </c>
      <c r="H265" s="3">
        <f>(G265-F265)/F265</f>
        <v>0.55172413793103514</v>
      </c>
    </row>
    <row r="266" spans="1:8" hidden="1" x14ac:dyDescent="0.2">
      <c r="A266">
        <v>105721</v>
      </c>
      <c r="B266" t="s">
        <v>268</v>
      </c>
      <c r="C266" s="6">
        <v>142</v>
      </c>
      <c r="D266" s="6">
        <v>26</v>
      </c>
      <c r="E266" s="6">
        <v>34</v>
      </c>
      <c r="F266" s="7">
        <v>0.14084507042253519</v>
      </c>
      <c r="G266" s="7">
        <v>0.22535211267605629</v>
      </c>
      <c r="H266" s="3">
        <f>(G266-F266)/F266</f>
        <v>0.59999999999999987</v>
      </c>
    </row>
    <row r="267" spans="1:8" hidden="1" x14ac:dyDescent="0.2">
      <c r="A267">
        <v>114556</v>
      </c>
      <c r="B267" t="s">
        <v>136</v>
      </c>
      <c r="C267" s="6">
        <v>414</v>
      </c>
      <c r="D267" s="6">
        <v>39</v>
      </c>
      <c r="E267" s="6">
        <v>47</v>
      </c>
      <c r="F267" s="7">
        <v>2.6570048309178741E-2</v>
      </c>
      <c r="G267" s="7">
        <v>4.3478260869565223E-2</v>
      </c>
      <c r="H267" s="3">
        <f>(G267-F267)/F267</f>
        <v>0.6363636363636368</v>
      </c>
    </row>
    <row r="268" spans="1:8" hidden="1" x14ac:dyDescent="0.2">
      <c r="A268">
        <v>451126</v>
      </c>
      <c r="B268" t="s">
        <v>210</v>
      </c>
      <c r="C268" s="6">
        <v>140</v>
      </c>
      <c r="D268" s="6">
        <v>32</v>
      </c>
      <c r="E268" s="6">
        <v>40</v>
      </c>
      <c r="F268" s="7">
        <v>0.23571428571428571</v>
      </c>
      <c r="G268" s="7">
        <v>0.40714285714285708</v>
      </c>
      <c r="H268" s="3">
        <f>(G268-F268)/F268</f>
        <v>0.72727272727272707</v>
      </c>
    </row>
    <row r="269" spans="1:8" hidden="1" x14ac:dyDescent="0.2">
      <c r="A269">
        <v>202651</v>
      </c>
      <c r="B269" t="s">
        <v>196</v>
      </c>
      <c r="C269" s="6">
        <v>71</v>
      </c>
      <c r="D269" s="6">
        <v>34</v>
      </c>
      <c r="E269" s="6">
        <v>42</v>
      </c>
      <c r="F269" s="7">
        <v>0.1126760563380282</v>
      </c>
      <c r="G269" s="7">
        <v>0.19718309859154931</v>
      </c>
      <c r="H269" s="3">
        <f>(G269-F269)/F269</f>
        <v>0.74999999999999967</v>
      </c>
    </row>
    <row r="270" spans="1:8" hidden="1" x14ac:dyDescent="0.2">
      <c r="A270">
        <v>128688</v>
      </c>
      <c r="B270" t="s">
        <v>361</v>
      </c>
      <c r="C270" s="6">
        <v>89</v>
      </c>
      <c r="D270" s="6">
        <v>15</v>
      </c>
      <c r="E270" s="6">
        <v>23</v>
      </c>
      <c r="F270" s="7">
        <v>0.15730337078651679</v>
      </c>
      <c r="G270" s="7">
        <v>0.2808988764044944</v>
      </c>
      <c r="H270" s="3">
        <f>(G270-F270)/F270</f>
        <v>0.78571428571428648</v>
      </c>
    </row>
    <row r="271" spans="1:8" hidden="1" x14ac:dyDescent="0.2">
      <c r="A271">
        <v>108848</v>
      </c>
      <c r="B271" t="s">
        <v>301</v>
      </c>
      <c r="C271" s="6">
        <v>263</v>
      </c>
      <c r="D271" s="6">
        <v>24</v>
      </c>
      <c r="E271" s="6">
        <v>32</v>
      </c>
      <c r="F271" s="7">
        <v>0.24714828897338401</v>
      </c>
      <c r="G271" s="7">
        <v>0.46768060836501901</v>
      </c>
      <c r="H271" s="3">
        <f>(G271-F271)/F271</f>
        <v>0.89230769230769247</v>
      </c>
    </row>
    <row r="272" spans="1:8" hidden="1" x14ac:dyDescent="0.2">
      <c r="A272">
        <v>111070</v>
      </c>
      <c r="B272" t="s">
        <v>227</v>
      </c>
      <c r="C272" s="6">
        <v>120</v>
      </c>
      <c r="D272" s="6">
        <v>29</v>
      </c>
      <c r="E272" s="6">
        <v>37</v>
      </c>
      <c r="F272" s="7">
        <v>0</v>
      </c>
      <c r="G272" s="7">
        <v>0.43333333333333329</v>
      </c>
      <c r="H272" s="3">
        <v>1</v>
      </c>
    </row>
    <row r="273" spans="1:8" hidden="1" x14ac:dyDescent="0.2">
      <c r="A273">
        <v>110652</v>
      </c>
      <c r="B273" t="s">
        <v>127</v>
      </c>
      <c r="C273" s="6">
        <v>376</v>
      </c>
      <c r="D273" s="6">
        <v>39</v>
      </c>
      <c r="E273" s="6">
        <v>47</v>
      </c>
      <c r="F273" s="7">
        <v>0</v>
      </c>
      <c r="G273" s="7">
        <v>0.41755319148936171</v>
      </c>
      <c r="H273" s="3">
        <v>1</v>
      </c>
    </row>
    <row r="274" spans="1:8" hidden="1" x14ac:dyDescent="0.2">
      <c r="A274">
        <v>108724</v>
      </c>
      <c r="B274" t="s">
        <v>125</v>
      </c>
      <c r="C274" s="6">
        <v>102</v>
      </c>
      <c r="D274" s="6">
        <v>39</v>
      </c>
      <c r="E274" s="6">
        <v>47</v>
      </c>
      <c r="F274" s="7">
        <v>0</v>
      </c>
      <c r="G274" s="7">
        <v>0.40196078431372551</v>
      </c>
      <c r="H274" s="3">
        <v>1</v>
      </c>
    </row>
    <row r="275" spans="1:8" hidden="1" x14ac:dyDescent="0.2">
      <c r="A275">
        <v>175721</v>
      </c>
      <c r="B275" t="s">
        <v>367</v>
      </c>
      <c r="C275" s="6">
        <v>2200</v>
      </c>
      <c r="D275" s="6">
        <v>13</v>
      </c>
      <c r="E275" s="6">
        <v>21</v>
      </c>
      <c r="F275" s="7">
        <v>0</v>
      </c>
      <c r="G275" s="7">
        <v>0.27727272727272728</v>
      </c>
      <c r="H275" s="3">
        <v>1</v>
      </c>
    </row>
    <row r="276" spans="1:8" hidden="1" x14ac:dyDescent="0.2">
      <c r="A276">
        <v>122790</v>
      </c>
      <c r="B276" t="s">
        <v>81</v>
      </c>
      <c r="C276" s="6">
        <v>242</v>
      </c>
      <c r="D276" s="6">
        <v>44</v>
      </c>
      <c r="E276" s="6">
        <v>52</v>
      </c>
      <c r="F276" s="7">
        <v>0.21900826446280991</v>
      </c>
      <c r="G276" s="7">
        <v>0.45041322314049592</v>
      </c>
      <c r="H276" s="3">
        <f>(G276-F276)/F276</f>
        <v>1.0566037735849059</v>
      </c>
    </row>
    <row r="277" spans="1:8" hidden="1" x14ac:dyDescent="0.2">
      <c r="A277">
        <v>100282</v>
      </c>
      <c r="B277" t="s">
        <v>253</v>
      </c>
      <c r="C277" s="6">
        <v>423</v>
      </c>
      <c r="D277" s="6">
        <v>27</v>
      </c>
      <c r="E277" s="6">
        <v>35</v>
      </c>
      <c r="F277" s="7">
        <v>7.328605200945626E-2</v>
      </c>
      <c r="G277" s="7">
        <v>0.1583924349881797</v>
      </c>
      <c r="H277" s="3">
        <f>(G277-F277)/F277</f>
        <v>1.1612903225806457</v>
      </c>
    </row>
    <row r="278" spans="1:8" hidden="1" x14ac:dyDescent="0.2">
      <c r="A278">
        <v>108750</v>
      </c>
      <c r="B278" t="s">
        <v>360</v>
      </c>
      <c r="C278" s="6">
        <v>186</v>
      </c>
      <c r="D278" s="6">
        <v>15</v>
      </c>
      <c r="E278" s="6">
        <v>23</v>
      </c>
      <c r="F278" s="7">
        <v>5.3763440860215048E-2</v>
      </c>
      <c r="G278" s="7">
        <v>0.1290322580645161</v>
      </c>
      <c r="H278" s="3">
        <f>(G278-F278)/F278</f>
        <v>1.3999999999999997</v>
      </c>
    </row>
    <row r="279" spans="1:8" hidden="1" x14ac:dyDescent="0.2">
      <c r="A279">
        <v>173528</v>
      </c>
      <c r="B279" t="s">
        <v>178</v>
      </c>
      <c r="C279" s="6">
        <v>75</v>
      </c>
      <c r="D279" s="6">
        <v>36</v>
      </c>
      <c r="E279" s="6">
        <v>44</v>
      </c>
      <c r="F279" s="7">
        <v>0.1866666666666667</v>
      </c>
      <c r="G279" s="7">
        <v>0.45333333333333331</v>
      </c>
      <c r="H279" s="3">
        <f>(G279-F279)/F279</f>
        <v>1.4285714285714279</v>
      </c>
    </row>
    <row r="280" spans="1:8" hidden="1" x14ac:dyDescent="0.2">
      <c r="A280">
        <v>132229</v>
      </c>
      <c r="B280" t="s">
        <v>173</v>
      </c>
      <c r="C280" s="6">
        <v>746</v>
      </c>
      <c r="D280" s="6">
        <v>36</v>
      </c>
      <c r="E280" s="6">
        <v>44</v>
      </c>
      <c r="F280" s="7">
        <v>4.0214477211796253E-2</v>
      </c>
      <c r="G280" s="7">
        <v>0.1005361930294906</v>
      </c>
      <c r="H280" s="3">
        <f>(G280-F280)/F280</f>
        <v>1.4999999999999993</v>
      </c>
    </row>
    <row r="281" spans="1:8" hidden="1" x14ac:dyDescent="0.2">
      <c r="A281">
        <v>110479</v>
      </c>
      <c r="B281" t="s">
        <v>364</v>
      </c>
      <c r="C281" s="6">
        <v>103</v>
      </c>
      <c r="D281" s="6">
        <v>14</v>
      </c>
      <c r="E281" s="6">
        <v>22</v>
      </c>
      <c r="F281" s="7">
        <v>3.8834951456310683E-2</v>
      </c>
      <c r="G281" s="7">
        <v>0.1067961165048544</v>
      </c>
      <c r="H281" s="3">
        <f>(G281-F281)/F281</f>
        <v>1.7500000000000004</v>
      </c>
    </row>
    <row r="282" spans="1:8" hidden="1" x14ac:dyDescent="0.2">
      <c r="A282">
        <v>214319</v>
      </c>
      <c r="B282" t="s">
        <v>91</v>
      </c>
      <c r="C282" s="6">
        <v>218</v>
      </c>
      <c r="D282" s="6">
        <v>42</v>
      </c>
      <c r="E282" s="6">
        <v>50</v>
      </c>
      <c r="F282" s="7">
        <v>4.1284403669724773E-2</v>
      </c>
      <c r="G282" s="7">
        <v>0.1146788990825688</v>
      </c>
      <c r="H282" s="3">
        <f>(G282-F282)/F282</f>
        <v>1.7777777777777775</v>
      </c>
    </row>
    <row r="283" spans="1:8" hidden="1" x14ac:dyDescent="0.2">
      <c r="A283">
        <v>316716</v>
      </c>
      <c r="B283" t="s">
        <v>343</v>
      </c>
      <c r="C283" s="6">
        <v>724</v>
      </c>
      <c r="D283" s="6">
        <v>18</v>
      </c>
      <c r="E283" s="6">
        <v>26</v>
      </c>
      <c r="F283" s="7">
        <v>9.668508287292818E-2</v>
      </c>
      <c r="G283" s="7">
        <v>0.27071823204419893</v>
      </c>
      <c r="H283" s="3">
        <f>(G283-F283)/F283</f>
        <v>1.8000000000000003</v>
      </c>
    </row>
    <row r="284" spans="1:8" hidden="1" x14ac:dyDescent="0.2">
      <c r="A284">
        <v>105526</v>
      </c>
      <c r="B284" t="s">
        <v>365</v>
      </c>
      <c r="C284" s="6">
        <v>2836</v>
      </c>
      <c r="D284" s="6">
        <v>14</v>
      </c>
      <c r="E284" s="6">
        <v>22</v>
      </c>
      <c r="F284" s="7">
        <v>0.16713681241184769</v>
      </c>
      <c r="G284" s="7">
        <v>0.48307475317348381</v>
      </c>
      <c r="H284" s="3">
        <f>(G284-F284)/F284</f>
        <v>1.8902953586497888</v>
      </c>
    </row>
    <row r="285" spans="1:8" hidden="1" x14ac:dyDescent="0.2">
      <c r="A285">
        <v>110521</v>
      </c>
      <c r="B285" t="s">
        <v>172</v>
      </c>
      <c r="C285" s="6">
        <v>729</v>
      </c>
      <c r="D285" s="6">
        <v>36</v>
      </c>
      <c r="E285" s="6">
        <v>44</v>
      </c>
      <c r="F285" s="7">
        <v>1.646090534979424E-2</v>
      </c>
      <c r="G285" s="7">
        <v>4.8010973936899862E-2</v>
      </c>
      <c r="H285" s="3">
        <f>(G285-F285)/F285</f>
        <v>1.9166666666666663</v>
      </c>
    </row>
    <row r="286" spans="1:8" hidden="1" x14ac:dyDescent="0.2">
      <c r="A286">
        <v>110540</v>
      </c>
      <c r="B286" t="s">
        <v>82</v>
      </c>
      <c r="C286" s="6">
        <v>100</v>
      </c>
      <c r="D286" s="6">
        <v>43</v>
      </c>
      <c r="E286" s="6">
        <v>51</v>
      </c>
      <c r="F286" s="7">
        <v>0.1</v>
      </c>
      <c r="G286" s="7">
        <v>0.31</v>
      </c>
      <c r="H286" s="3">
        <f>(G286-F286)/F286</f>
        <v>2.0999999999999996</v>
      </c>
    </row>
    <row r="287" spans="1:8" hidden="1" x14ac:dyDescent="0.2">
      <c r="A287">
        <v>110274</v>
      </c>
      <c r="B287" t="s">
        <v>225</v>
      </c>
      <c r="C287" s="6">
        <v>223</v>
      </c>
      <c r="D287" s="6">
        <v>30</v>
      </c>
      <c r="E287" s="6">
        <v>38</v>
      </c>
      <c r="F287" s="7">
        <v>6.726457399103139E-2</v>
      </c>
      <c r="G287" s="7">
        <v>0.26457399103139012</v>
      </c>
      <c r="H287" s="3">
        <f>(G287-F287)/F287</f>
        <v>2.9333333333333331</v>
      </c>
    </row>
    <row r="288" spans="1:8" hidden="1" x14ac:dyDescent="0.2">
      <c r="A288">
        <v>108014</v>
      </c>
      <c r="B288" t="s">
        <v>137</v>
      </c>
      <c r="C288" s="6">
        <v>157</v>
      </c>
      <c r="D288" s="6">
        <v>39</v>
      </c>
      <c r="E288" s="6">
        <v>47</v>
      </c>
      <c r="F288" s="7">
        <v>0.1082802547770701</v>
      </c>
      <c r="G288" s="7">
        <v>0.43949044585987262</v>
      </c>
      <c r="H288" s="3">
        <f>(G288-F288)/F288</f>
        <v>3.0588235294117636</v>
      </c>
    </row>
    <row r="289" spans="1:8" hidden="1" x14ac:dyDescent="0.2">
      <c r="A289">
        <v>113410</v>
      </c>
      <c r="B289" t="s">
        <v>293</v>
      </c>
      <c r="C289" s="6">
        <v>552</v>
      </c>
      <c r="D289" s="6">
        <v>24</v>
      </c>
      <c r="E289" s="6">
        <v>32</v>
      </c>
      <c r="F289" s="7">
        <v>7.6086956521739135E-2</v>
      </c>
      <c r="G289" s="7">
        <v>0.30978260869565222</v>
      </c>
      <c r="H289" s="3">
        <f>(G289-F289)/F289</f>
        <v>3.0714285714285716</v>
      </c>
    </row>
    <row r="290" spans="1:8" hidden="1" x14ac:dyDescent="0.2">
      <c r="A290">
        <v>106936</v>
      </c>
      <c r="B290" t="s">
        <v>201</v>
      </c>
      <c r="C290" s="6">
        <v>2010</v>
      </c>
      <c r="D290" s="6">
        <v>33</v>
      </c>
      <c r="E290" s="6">
        <v>41</v>
      </c>
      <c r="F290" s="7">
        <v>0.1059701492537313</v>
      </c>
      <c r="G290" s="7">
        <v>0.45671641791044781</v>
      </c>
      <c r="H290" s="3">
        <f>(G290-F290)/F290</f>
        <v>3.3098591549295802</v>
      </c>
    </row>
    <row r="291" spans="1:8" hidden="1" x14ac:dyDescent="0.2">
      <c r="A291">
        <v>459200</v>
      </c>
      <c r="B291" t="s">
        <v>105</v>
      </c>
      <c r="C291" s="6">
        <v>98</v>
      </c>
      <c r="D291" s="6">
        <v>41</v>
      </c>
      <c r="E291" s="6">
        <v>49</v>
      </c>
      <c r="F291" s="7">
        <v>8.1632653061224483E-2</v>
      </c>
      <c r="G291" s="7">
        <v>0.35714285714285721</v>
      </c>
      <c r="H291" s="3">
        <f>(G291-F291)/F291</f>
        <v>3.3750000000000013</v>
      </c>
    </row>
    <row r="292" spans="1:8" hidden="1" x14ac:dyDescent="0.2">
      <c r="A292">
        <v>148711</v>
      </c>
      <c r="B292" t="s">
        <v>175</v>
      </c>
      <c r="C292" s="6">
        <v>107</v>
      </c>
      <c r="D292" s="6">
        <v>36</v>
      </c>
      <c r="E292" s="6">
        <v>44</v>
      </c>
      <c r="F292" s="7">
        <v>6.5420560747663545E-2</v>
      </c>
      <c r="G292" s="7">
        <v>0.28971962616822428</v>
      </c>
      <c r="H292" s="3">
        <f>(G292-F292)/F292</f>
        <v>3.4285714285714284</v>
      </c>
    </row>
    <row r="293" spans="1:8" hidden="1" x14ac:dyDescent="0.2">
      <c r="A293">
        <v>106774</v>
      </c>
      <c r="B293" t="s">
        <v>358</v>
      </c>
      <c r="C293" s="6">
        <v>1018</v>
      </c>
      <c r="D293" s="6">
        <v>15</v>
      </c>
      <c r="E293" s="6">
        <v>23</v>
      </c>
      <c r="F293" s="7">
        <v>2.1611001964636539E-2</v>
      </c>
      <c r="G293" s="7">
        <v>9.9214145383104121E-2</v>
      </c>
      <c r="H293" s="3">
        <f>(G293-F293)/F293</f>
        <v>3.5909090909090913</v>
      </c>
    </row>
    <row r="294" spans="1:8" hidden="1" x14ac:dyDescent="0.2">
      <c r="A294">
        <v>111157</v>
      </c>
      <c r="B294" t="s">
        <v>252</v>
      </c>
      <c r="C294" s="6">
        <v>194</v>
      </c>
      <c r="D294" s="6">
        <v>27</v>
      </c>
      <c r="E294" s="6">
        <v>35</v>
      </c>
      <c r="F294" s="7">
        <v>5.6701030927835051E-2</v>
      </c>
      <c r="G294" s="7">
        <v>0.29381443298969068</v>
      </c>
      <c r="H294" s="3">
        <f>(G294-F294)/F294</f>
        <v>4.1818181818181808</v>
      </c>
    </row>
    <row r="295" spans="1:8" hidden="1" x14ac:dyDescent="0.2">
      <c r="A295">
        <v>109485</v>
      </c>
      <c r="B295" t="s">
        <v>104</v>
      </c>
      <c r="C295" s="6">
        <v>800</v>
      </c>
      <c r="D295" s="6">
        <v>41</v>
      </c>
      <c r="E295" s="6">
        <v>49</v>
      </c>
      <c r="F295" s="7">
        <v>3.5000000000000003E-2</v>
      </c>
      <c r="G295" s="7">
        <v>0.18625</v>
      </c>
      <c r="H295" s="3">
        <f>(G295-F295)/F295</f>
        <v>4.3214285714285712</v>
      </c>
    </row>
    <row r="296" spans="1:8" hidden="1" x14ac:dyDescent="0.2">
      <c r="A296">
        <v>105706</v>
      </c>
      <c r="B296" t="s">
        <v>289</v>
      </c>
      <c r="C296" s="6">
        <v>760</v>
      </c>
      <c r="D296" s="6">
        <v>24</v>
      </c>
      <c r="E296" s="6">
        <v>32</v>
      </c>
      <c r="F296" s="7">
        <v>1.0526315789473681E-2</v>
      </c>
      <c r="G296" s="7">
        <v>6.4473684210526322E-2</v>
      </c>
      <c r="H296" s="3">
        <f>(G296-F296)/F296</f>
        <v>5.1250000000000027</v>
      </c>
    </row>
    <row r="297" spans="1:8" hidden="1" x14ac:dyDescent="0.2">
      <c r="A297">
        <v>108109</v>
      </c>
      <c r="B297" t="s">
        <v>224</v>
      </c>
      <c r="C297" s="6">
        <v>499</v>
      </c>
      <c r="D297" s="6">
        <v>30</v>
      </c>
      <c r="E297" s="6">
        <v>38</v>
      </c>
      <c r="F297" s="7">
        <v>4.4088176352705413E-2</v>
      </c>
      <c r="G297" s="7">
        <v>0.27655310621242479</v>
      </c>
      <c r="H297" s="3">
        <f>(G297-F297)/F297</f>
        <v>5.2727272727272716</v>
      </c>
    </row>
    <row r="298" spans="1:8" hidden="1" x14ac:dyDescent="0.2">
      <c r="A298">
        <v>116292</v>
      </c>
      <c r="B298" t="s">
        <v>291</v>
      </c>
      <c r="C298" s="6">
        <v>462</v>
      </c>
      <c r="D298" s="6">
        <v>24</v>
      </c>
      <c r="E298" s="6">
        <v>32</v>
      </c>
      <c r="F298" s="7">
        <v>1.298701298701299E-2</v>
      </c>
      <c r="G298" s="7">
        <v>9.0909090909090912E-2</v>
      </c>
      <c r="H298" s="3">
        <f>(G298-F298)/F298</f>
        <v>5.9999999999999982</v>
      </c>
    </row>
    <row r="299" spans="1:8" hidden="1" x14ac:dyDescent="0.2">
      <c r="A299">
        <v>110690</v>
      </c>
      <c r="B299" t="s">
        <v>153</v>
      </c>
      <c r="C299" s="6">
        <v>188</v>
      </c>
      <c r="D299" s="6">
        <v>37</v>
      </c>
      <c r="E299" s="6">
        <v>45</v>
      </c>
      <c r="F299" s="7">
        <v>5.3191489361702126E-3</v>
      </c>
      <c r="G299" s="7">
        <v>5.3191489361702128E-2</v>
      </c>
      <c r="H299" s="3">
        <f>(G299-F299)/F299</f>
        <v>9</v>
      </c>
    </row>
    <row r="300" spans="1:8" hidden="1" x14ac:dyDescent="0.2">
      <c r="A300">
        <v>109265</v>
      </c>
      <c r="B300" t="s">
        <v>357</v>
      </c>
      <c r="C300" s="6">
        <v>445</v>
      </c>
      <c r="D300" s="6">
        <v>15</v>
      </c>
      <c r="E300" s="6">
        <v>23</v>
      </c>
      <c r="F300" s="7">
        <v>2.0224719101123591E-2</v>
      </c>
      <c r="G300" s="7">
        <v>0.20898876404494379</v>
      </c>
      <c r="H300" s="3">
        <f>(G300-F300)/F300</f>
        <v>9.3333333333333339</v>
      </c>
    </row>
    <row r="301" spans="1:8" hidden="1" x14ac:dyDescent="0.2">
      <c r="A301">
        <v>113519</v>
      </c>
      <c r="B301" t="s">
        <v>152</v>
      </c>
      <c r="C301" s="6">
        <v>364</v>
      </c>
      <c r="D301" s="6">
        <v>37</v>
      </c>
      <c r="E301" s="6">
        <v>45</v>
      </c>
      <c r="F301" s="7">
        <v>2.747252747252747E-3</v>
      </c>
      <c r="G301" s="7">
        <v>6.3186813186813184E-2</v>
      </c>
      <c r="H301" s="3">
        <f>(G301-F301)/F301</f>
        <v>22.000000000000004</v>
      </c>
    </row>
    <row r="302" spans="1:8" hidden="1" x14ac:dyDescent="0.2">
      <c r="A302">
        <v>164536</v>
      </c>
      <c r="B302" t="s">
        <v>356</v>
      </c>
      <c r="C302" s="6">
        <v>196</v>
      </c>
      <c r="D302" s="6">
        <v>15</v>
      </c>
      <c r="E302" s="6">
        <v>23</v>
      </c>
      <c r="F302" s="7">
        <v>5.1020408163265302E-3</v>
      </c>
      <c r="G302" s="7">
        <v>0.15306122448979589</v>
      </c>
      <c r="H302" s="3">
        <f>(G302-F302)/F302</f>
        <v>28.999999999999996</v>
      </c>
    </row>
    <row r="303" spans="1:8" hidden="1" x14ac:dyDescent="0.2">
      <c r="A303">
        <v>109928</v>
      </c>
      <c r="B303" t="s">
        <v>90</v>
      </c>
      <c r="C303" s="6">
        <v>478</v>
      </c>
      <c r="D303" s="6">
        <v>42</v>
      </c>
      <c r="E303" s="6">
        <v>50</v>
      </c>
      <c r="F303" s="7">
        <v>2.0920502092050212E-3</v>
      </c>
      <c r="G303" s="7">
        <v>8.1589958158995821E-2</v>
      </c>
      <c r="H303" s="3">
        <f>(G303-F303)/F303</f>
        <v>37.999999999999993</v>
      </c>
    </row>
  </sheetData>
  <autoFilter ref="A1:H303" xr:uid="{00000000-0001-0000-0300-000000000000}">
    <filterColumn colId="2">
      <customFilters>
        <customFilter operator="greaterThan" val="100"/>
      </customFilters>
    </filterColumn>
    <filterColumn colId="5">
      <customFilters>
        <customFilter operator="greaterThan" val="0.1"/>
      </customFilters>
    </filterColumn>
    <filterColumn colId="7">
      <customFilters>
        <customFilter operator="lessThan" val="0.5"/>
      </customFilters>
    </filterColumn>
    <sortState xmlns:xlrd2="http://schemas.microsoft.com/office/spreadsheetml/2017/richdata2" ref="A7:H262">
      <sortCondition descending="1" ref="C1:C303"/>
    </sortState>
  </autoFilter>
  <sortState xmlns:xlrd2="http://schemas.microsoft.com/office/spreadsheetml/2017/richdata2" ref="A2:G303">
    <sortCondition descending="1" ref="C1:C30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Early Dropped</vt:lpstr>
      <vt:lpstr>High Early Dropped</vt:lpstr>
      <vt:lpstr>Reengaged</vt:lpstr>
      <vt:lpstr>Still Inactive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Kardish</cp:lastModifiedBy>
  <dcterms:created xsi:type="dcterms:W3CDTF">2025-10-02T20:11:25Z</dcterms:created>
  <dcterms:modified xsi:type="dcterms:W3CDTF">2025-10-03T19:47:04Z</dcterms:modified>
</cp:coreProperties>
</file>